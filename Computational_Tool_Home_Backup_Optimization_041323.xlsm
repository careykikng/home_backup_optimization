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ada\Box\VW project\Tool\"/>
    </mc:Choice>
  </mc:AlternateContent>
  <xr:revisionPtr revIDLastSave="0" documentId="13_ncr:1_{57CCD995-2335-45E1-A0D1-3F7E2E55172C}" xr6:coauthVersionLast="47" xr6:coauthVersionMax="47" xr10:uidLastSave="{00000000-0000-0000-0000-000000000000}"/>
  <bookViews>
    <workbookView xWindow="5016" yWindow="2304" windowWidth="17280" windowHeight="8880" tabRatio="833" activeTab="1" xr2:uid="{00000000-000D-0000-FFFF-FFFF00000000}"/>
  </bookViews>
  <sheets>
    <sheet name="Glossary" sheetId="13" r:id="rId1"/>
    <sheet name="User Interface" sheetId="1" r:id="rId2"/>
    <sheet name="Calculation Values" sheetId="2" r:id="rId3"/>
    <sheet name="Optimization Results" sheetId="25" r:id="rId4"/>
    <sheet name="A" sheetId="21" r:id="rId5"/>
    <sheet name="b" sheetId="22" r:id="rId6"/>
    <sheet name="c" sheetId="23" r:id="rId7"/>
    <sheet name="List Options" sheetId="4" r:id="rId8"/>
    <sheet name="Actual Home Load Profiles" sheetId="27" r:id="rId9"/>
    <sheet name="PV Profiles" sheetId="28" r:id="rId10"/>
    <sheet name="Temperature Profiles" sheetId="30" r:id="rId11"/>
    <sheet name="HVAC Appliances" sheetId="31" r:id="rId12"/>
    <sheet name="HVAC Appliances Austin" sheetId="33" r:id="rId13"/>
    <sheet name="HVAC Appliances Amarillo" sheetId="34" r:id="rId14"/>
    <sheet name="Preferred Appliance Timings" sheetId="3" r:id="rId15"/>
    <sheet name="Preferred Backup Source Timings" sheetId="29" r:id="rId16"/>
  </sheets>
  <definedNames>
    <definedName name="Appliances_List">'List Options'!$D$4:$D$111</definedName>
    <definedName name="Communications_List">'List Options'!$D$4:$D$6</definedName>
    <definedName name="Cooking_List">'List Options'!$D$7:$D$28</definedName>
    <definedName name="Discretionary_Appliances_List">'List Options'!$D$29:$D$52</definedName>
    <definedName name="Entertainment_List">'List Options'!$D$53:$D$69</definedName>
    <definedName name="Food_Preservation_List">'List Options'!$D$70:$D$75</definedName>
    <definedName name="Heating_Cooling_HVAC_List">'List Options'!$D$76:$D$83</definedName>
    <definedName name="Lighting_List">'List Options'!$D$84:$D$87</definedName>
    <definedName name="solver_adj" localSheetId="2" hidden="1">'Calculation Values'!#REF!,'Calculation Values'!#REF!,'Calculation Values'!#REF!</definedName>
    <definedName name="solver_adj" localSheetId="3" hidden="1">'Optimization Results'!$H$7:$H$102,'Optimization Results'!#REF!,'Optimization Results'!#REF!</definedName>
    <definedName name="solver_cvg" localSheetId="2" hidden="1">0.0001</definedName>
    <definedName name="solver_cvg" localSheetId="3" hidden="1">0.0001</definedName>
    <definedName name="solver_drv" localSheetId="2" hidden="1">2</definedName>
    <definedName name="solver_drv" localSheetId="3" hidden="1">2</definedName>
    <definedName name="solver_eng" localSheetId="2" hidden="1">2</definedName>
    <definedName name="solver_eng" localSheetId="3" hidden="1">2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'Calculation Values'!#REF!</definedName>
    <definedName name="solver_lhs1" localSheetId="3" hidden="1">'Optimization Results'!#REF!</definedName>
    <definedName name="solver_lhs2" localSheetId="2" hidden="1">'Calculation Values'!#REF!</definedName>
    <definedName name="solver_lhs2" localSheetId="3" hidden="1">'Optimization Results'!#REF!</definedName>
    <definedName name="solver_lhs3" localSheetId="2" hidden="1">'Calculation Values'!#REF!</definedName>
    <definedName name="solver_lhs3" localSheetId="3" hidden="1">'Optimization Results'!$H$7:$H$102</definedName>
    <definedName name="solver_lhs4" localSheetId="2" hidden="1">'Calculation Values'!#REF!</definedName>
    <definedName name="solver_lhs4" localSheetId="3" hidden="1">'Optimization Results'!#REF!</definedName>
    <definedName name="solver_lhs5" localSheetId="2" hidden="1">'Calculation Values'!#REF!</definedName>
    <definedName name="solver_lhs5" localSheetId="3" hidden="1">'Optimization Results'!#REF!</definedName>
    <definedName name="solver_lhs6" localSheetId="2" hidden="1">'Calculation Values'!#REF!</definedName>
    <definedName name="solver_lhs6" localSheetId="3" hidden="1">'Optimization Results'!#REF!</definedName>
    <definedName name="solver_lhs7" localSheetId="2" hidden="1">'Calculation Values'!#REF!</definedName>
    <definedName name="solver_lhs7" localSheetId="3" hidden="1">'Optimization Results'!#REF!</definedName>
    <definedName name="solver_lhs8" localSheetId="2" hidden="1">'Calculation Values'!$N$7:$N$102</definedName>
    <definedName name="solver_lhs8" localSheetId="3" hidden="1">'Optimization Results'!$N$7:$N$102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8</definedName>
    <definedName name="solver_num" localSheetId="3" hidden="1">8</definedName>
    <definedName name="solver_nwt" localSheetId="2" hidden="1">1</definedName>
    <definedName name="solver_nwt" localSheetId="3" hidden="1">1</definedName>
    <definedName name="solver_opt" localSheetId="2" hidden="1">'Calculation Values'!$L$3</definedName>
    <definedName name="solver_opt" localSheetId="3" hidden="1">'Optimization Results'!$H$3</definedName>
    <definedName name="solver_pre" localSheetId="2" hidden="1">0.000001</definedName>
    <definedName name="solver_pre" localSheetId="3" hidden="1">0.000001</definedName>
    <definedName name="solver_rbv" localSheetId="2" hidden="1">2</definedName>
    <definedName name="solver_rbv" localSheetId="3" hidden="1">2</definedName>
    <definedName name="solver_rel1" localSheetId="2" hidden="1">2</definedName>
    <definedName name="solver_rel1" localSheetId="3" hidden="1">2</definedName>
    <definedName name="solver_rel2" localSheetId="2" hidden="1">2</definedName>
    <definedName name="solver_rel2" localSheetId="3" hidden="1">2</definedName>
    <definedName name="solver_rel3" localSheetId="2" hidden="1">1</definedName>
    <definedName name="solver_rel3" localSheetId="3" hidden="1">1</definedName>
    <definedName name="solver_rel4" localSheetId="2" hidden="1">1</definedName>
    <definedName name="solver_rel4" localSheetId="3" hidden="1">1</definedName>
    <definedName name="solver_rel5" localSheetId="2" hidden="1">4</definedName>
    <definedName name="solver_rel5" localSheetId="3" hidden="1">4</definedName>
    <definedName name="solver_rel6" localSheetId="2" hidden="1">1</definedName>
    <definedName name="solver_rel6" localSheetId="3" hidden="1">1</definedName>
    <definedName name="solver_rel7" localSheetId="2" hidden="1">4</definedName>
    <definedName name="solver_rel7" localSheetId="3" hidden="1">4</definedName>
    <definedName name="solver_rel8" localSheetId="2" hidden="1">2</definedName>
    <definedName name="solver_rel8" localSheetId="3" hidden="1">2</definedName>
    <definedName name="solver_rhs1" localSheetId="2" hidden="1">0</definedName>
    <definedName name="solver_rhs1" localSheetId="3" hidden="1">0</definedName>
    <definedName name="solver_rhs2" localSheetId="2" hidden="1">0</definedName>
    <definedName name="solver_rhs2" localSheetId="3" hidden="1">0</definedName>
    <definedName name="solver_rhs3" localSheetId="2" hidden="1">1</definedName>
    <definedName name="solver_rhs3" localSheetId="3" hidden="1">1</definedName>
    <definedName name="solver_rhs4" localSheetId="2" hidden="1">1</definedName>
    <definedName name="solver_rhs4" localSheetId="3" hidden="1">1</definedName>
    <definedName name="solver_rhs5" localSheetId="2" hidden="1">"integer"</definedName>
    <definedName name="solver_rhs5" localSheetId="3" hidden="1">"integer"</definedName>
    <definedName name="solver_rhs6" localSheetId="2" hidden="1">1</definedName>
    <definedName name="solver_rhs6" localSheetId="3" hidden="1">1</definedName>
    <definedName name="solver_rhs7" localSheetId="2" hidden="1">"integer"</definedName>
    <definedName name="solver_rhs7" localSheetId="3" hidden="1">"integer"</definedName>
    <definedName name="solver_rhs8" localSheetId="2" hidden="1">0</definedName>
    <definedName name="solver_rhs8" localSheetId="3" hidden="1">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2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  <definedName name="Water_Wastewater_List">'List Options'!$D$88:$D$111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2" l="1"/>
  <c r="B7" i="25"/>
  <c r="B8" i="25"/>
  <c r="B9" i="25" s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EG7" i="2"/>
  <c r="G77" i="1"/>
  <c r="F38" i="1"/>
  <c r="E77" i="4"/>
  <c r="F77" i="4"/>
  <c r="EZ16" i="31"/>
  <c r="EZ20" i="31"/>
  <c r="EZ43" i="31"/>
  <c r="EZ44" i="31"/>
  <c r="EZ52" i="31"/>
  <c r="EZ53" i="31"/>
  <c r="EZ60" i="31"/>
  <c r="EZ61" i="31"/>
  <c r="EZ68" i="31"/>
  <c r="EZ69" i="31"/>
  <c r="EZ76" i="31"/>
  <c r="EZ77" i="31"/>
  <c r="EZ84" i="31"/>
  <c r="EZ86" i="31"/>
  <c r="EZ95" i="31"/>
  <c r="EZ96" i="31"/>
  <c r="EX12" i="31"/>
  <c r="EX15" i="31"/>
  <c r="EX39" i="31"/>
  <c r="EX40" i="31"/>
  <c r="EX50" i="31"/>
  <c r="EX51" i="31"/>
  <c r="EX58" i="31"/>
  <c r="EX59" i="31"/>
  <c r="EX66" i="31"/>
  <c r="EX67" i="31"/>
  <c r="EX74" i="31"/>
  <c r="EX75" i="31"/>
  <c r="EX82" i="31"/>
  <c r="EX83" i="31"/>
  <c r="EX92" i="31"/>
  <c r="EX94" i="31"/>
  <c r="EV8" i="31"/>
  <c r="EV11" i="31"/>
  <c r="EV24" i="31"/>
  <c r="EV27" i="31"/>
  <c r="EV40" i="31"/>
  <c r="EV43" i="31"/>
  <c r="EV50" i="31"/>
  <c r="EV51" i="31"/>
  <c r="EV58" i="31"/>
  <c r="EV59" i="31"/>
  <c r="EV66" i="31"/>
  <c r="EV67" i="31"/>
  <c r="EV74" i="31"/>
  <c r="EV75" i="31"/>
  <c r="EV82" i="31"/>
  <c r="EV83" i="31"/>
  <c r="EV90" i="31"/>
  <c r="EV91" i="31"/>
  <c r="EV99" i="31"/>
  <c r="EV100" i="31"/>
  <c r="EX6" i="33"/>
  <c r="EX7" i="33"/>
  <c r="EX8" i="33"/>
  <c r="EX9" i="33"/>
  <c r="EX10" i="33"/>
  <c r="EX11" i="33"/>
  <c r="EX12" i="33"/>
  <c r="EX13" i="33"/>
  <c r="EX14" i="33"/>
  <c r="EX15" i="33"/>
  <c r="EX16" i="33"/>
  <c r="EX17" i="33"/>
  <c r="EX18" i="33"/>
  <c r="EX19" i="33"/>
  <c r="EX20" i="33"/>
  <c r="EX21" i="33"/>
  <c r="EX22" i="33"/>
  <c r="EX23" i="33"/>
  <c r="EX24" i="33"/>
  <c r="EX25" i="33"/>
  <c r="EX26" i="33"/>
  <c r="EX27" i="33"/>
  <c r="EX28" i="33"/>
  <c r="EX29" i="33"/>
  <c r="EX30" i="33"/>
  <c r="EX31" i="33"/>
  <c r="EX32" i="33"/>
  <c r="EX33" i="33"/>
  <c r="EX34" i="33"/>
  <c r="EX35" i="33"/>
  <c r="EX36" i="33"/>
  <c r="EX37" i="33"/>
  <c r="EX38" i="33"/>
  <c r="EX39" i="33"/>
  <c r="EX40" i="33"/>
  <c r="EX41" i="33"/>
  <c r="EX42" i="33"/>
  <c r="EX43" i="33"/>
  <c r="EX44" i="33"/>
  <c r="EX45" i="33"/>
  <c r="EX46" i="33"/>
  <c r="EX47" i="33"/>
  <c r="EX48" i="33"/>
  <c r="EX49" i="33"/>
  <c r="EX50" i="33"/>
  <c r="EX51" i="33"/>
  <c r="EX52" i="33"/>
  <c r="EX53" i="33"/>
  <c r="EX54" i="33"/>
  <c r="EX55" i="33"/>
  <c r="EX56" i="33"/>
  <c r="EX57" i="33"/>
  <c r="EX58" i="33"/>
  <c r="EX59" i="33"/>
  <c r="EX60" i="33"/>
  <c r="EX61" i="33"/>
  <c r="EX62" i="33"/>
  <c r="EX63" i="33"/>
  <c r="EX64" i="33"/>
  <c r="EX65" i="33"/>
  <c r="EX66" i="33"/>
  <c r="EX67" i="33"/>
  <c r="EX68" i="33"/>
  <c r="EX69" i="33"/>
  <c r="EX70" i="33"/>
  <c r="EX71" i="33"/>
  <c r="EX72" i="33"/>
  <c r="EX73" i="33"/>
  <c r="EX74" i="33"/>
  <c r="EX75" i="33"/>
  <c r="EX76" i="33"/>
  <c r="EX77" i="33"/>
  <c r="EX78" i="33"/>
  <c r="EX79" i="33"/>
  <c r="EX80" i="33"/>
  <c r="EX81" i="33"/>
  <c r="EX82" i="33"/>
  <c r="EX83" i="33"/>
  <c r="EX84" i="33"/>
  <c r="EX85" i="33"/>
  <c r="EX86" i="33"/>
  <c r="EX87" i="33"/>
  <c r="EX88" i="33"/>
  <c r="EX89" i="33"/>
  <c r="EX90" i="33"/>
  <c r="EX91" i="33"/>
  <c r="EX92" i="33"/>
  <c r="EX93" i="33"/>
  <c r="EX94" i="33"/>
  <c r="EX95" i="33"/>
  <c r="EX96" i="33"/>
  <c r="EX97" i="33"/>
  <c r="EX98" i="33"/>
  <c r="EX99" i="33"/>
  <c r="EX100" i="33"/>
  <c r="EZ6" i="33"/>
  <c r="EZ7" i="33"/>
  <c r="EZ8" i="33"/>
  <c r="EZ9" i="33"/>
  <c r="EZ10" i="33"/>
  <c r="EZ11" i="33"/>
  <c r="EZ12" i="33"/>
  <c r="EZ13" i="33"/>
  <c r="EZ14" i="33"/>
  <c r="EZ15" i="33"/>
  <c r="EZ16" i="33"/>
  <c r="EZ17" i="33"/>
  <c r="EZ18" i="33"/>
  <c r="EZ19" i="33"/>
  <c r="EZ20" i="33"/>
  <c r="EZ21" i="33"/>
  <c r="EZ22" i="33"/>
  <c r="EZ23" i="33"/>
  <c r="EZ24" i="33"/>
  <c r="EZ25" i="33"/>
  <c r="EZ26" i="33"/>
  <c r="EZ27" i="33"/>
  <c r="EZ28" i="33"/>
  <c r="EZ29" i="33"/>
  <c r="EZ30" i="33"/>
  <c r="EZ31" i="33"/>
  <c r="EZ32" i="33"/>
  <c r="EZ33" i="33"/>
  <c r="EZ34" i="33"/>
  <c r="EZ35" i="33"/>
  <c r="EZ36" i="33"/>
  <c r="EZ37" i="33"/>
  <c r="EZ38" i="33"/>
  <c r="EZ39" i="33"/>
  <c r="EZ40" i="33"/>
  <c r="EZ41" i="33"/>
  <c r="EZ42" i="33"/>
  <c r="EZ43" i="33"/>
  <c r="EZ44" i="33"/>
  <c r="EZ45" i="33"/>
  <c r="EZ46" i="33"/>
  <c r="EZ47" i="33"/>
  <c r="EZ48" i="33"/>
  <c r="EZ49" i="33"/>
  <c r="EZ50" i="33"/>
  <c r="EZ51" i="33"/>
  <c r="EZ52" i="33"/>
  <c r="EZ53" i="33"/>
  <c r="EZ54" i="33"/>
  <c r="EZ55" i="33"/>
  <c r="EZ56" i="33"/>
  <c r="EZ57" i="33"/>
  <c r="EZ58" i="33"/>
  <c r="EZ59" i="33"/>
  <c r="EZ60" i="33"/>
  <c r="EZ61" i="33"/>
  <c r="EZ62" i="33"/>
  <c r="EZ63" i="33"/>
  <c r="EZ64" i="33"/>
  <c r="EZ65" i="33"/>
  <c r="EZ66" i="33"/>
  <c r="EZ67" i="33"/>
  <c r="EZ68" i="33"/>
  <c r="EZ69" i="33"/>
  <c r="EZ70" i="33"/>
  <c r="EZ71" i="33"/>
  <c r="EZ72" i="33"/>
  <c r="EZ73" i="33"/>
  <c r="EZ74" i="33"/>
  <c r="EZ75" i="33"/>
  <c r="EZ76" i="33"/>
  <c r="EZ77" i="33"/>
  <c r="EZ78" i="33"/>
  <c r="EZ79" i="33"/>
  <c r="EZ80" i="33"/>
  <c r="EZ81" i="33"/>
  <c r="EZ82" i="33"/>
  <c r="EZ83" i="33"/>
  <c r="EZ84" i="33"/>
  <c r="EZ85" i="33"/>
  <c r="EZ86" i="33"/>
  <c r="EZ87" i="33"/>
  <c r="EZ88" i="33"/>
  <c r="EZ89" i="33"/>
  <c r="EZ90" i="33"/>
  <c r="EZ91" i="33"/>
  <c r="EZ92" i="33"/>
  <c r="EZ93" i="33"/>
  <c r="EZ94" i="33"/>
  <c r="EZ95" i="33"/>
  <c r="EZ96" i="33"/>
  <c r="EZ97" i="33"/>
  <c r="EZ98" i="33"/>
  <c r="EZ99" i="33"/>
  <c r="EZ100" i="33"/>
  <c r="EZ5" i="33"/>
  <c r="EF5" i="33"/>
  <c r="EX5" i="33"/>
  <c r="ED5" i="33"/>
  <c r="EV6" i="33"/>
  <c r="EV7" i="33"/>
  <c r="EV8" i="33"/>
  <c r="EV9" i="33"/>
  <c r="EV10" i="33"/>
  <c r="EV11" i="33"/>
  <c r="EV12" i="33"/>
  <c r="EV13" i="33"/>
  <c r="EV14" i="33"/>
  <c r="EV15" i="33"/>
  <c r="EV16" i="33"/>
  <c r="EV17" i="33"/>
  <c r="EV18" i="33"/>
  <c r="EV19" i="33"/>
  <c r="EV20" i="33"/>
  <c r="EV21" i="33"/>
  <c r="EV22" i="33"/>
  <c r="EV23" i="33"/>
  <c r="EV24" i="33"/>
  <c r="EV25" i="33"/>
  <c r="EV26" i="33"/>
  <c r="EV27" i="33"/>
  <c r="EV28" i="33"/>
  <c r="EV29" i="33"/>
  <c r="EV30" i="33"/>
  <c r="EV31" i="33"/>
  <c r="EV32" i="33"/>
  <c r="EV33" i="33"/>
  <c r="EV34" i="33"/>
  <c r="EV35" i="33"/>
  <c r="EV36" i="33"/>
  <c r="EV37" i="33"/>
  <c r="EV38" i="33"/>
  <c r="EV39" i="33"/>
  <c r="EV40" i="33"/>
  <c r="EV41" i="33"/>
  <c r="EV42" i="33"/>
  <c r="EV43" i="33"/>
  <c r="EV44" i="33"/>
  <c r="EV45" i="33"/>
  <c r="EV46" i="33"/>
  <c r="EV47" i="33"/>
  <c r="EV48" i="33"/>
  <c r="EV49" i="33"/>
  <c r="EV50" i="33"/>
  <c r="EV51" i="33"/>
  <c r="EV52" i="33"/>
  <c r="EV53" i="33"/>
  <c r="EV54" i="33"/>
  <c r="EV55" i="33"/>
  <c r="EV56" i="33"/>
  <c r="EV57" i="33"/>
  <c r="EV58" i="33"/>
  <c r="EV59" i="33"/>
  <c r="EV60" i="33"/>
  <c r="EV61" i="33"/>
  <c r="EV62" i="33"/>
  <c r="EV63" i="33"/>
  <c r="EV64" i="33"/>
  <c r="EV65" i="33"/>
  <c r="EV66" i="33"/>
  <c r="EV67" i="33"/>
  <c r="EV68" i="33"/>
  <c r="EV69" i="33"/>
  <c r="EV70" i="33"/>
  <c r="EV71" i="33"/>
  <c r="EV72" i="33"/>
  <c r="EV73" i="33"/>
  <c r="EV74" i="33"/>
  <c r="EV75" i="33"/>
  <c r="EV76" i="33"/>
  <c r="EV77" i="33"/>
  <c r="EV78" i="33"/>
  <c r="EV79" i="33"/>
  <c r="EV80" i="33"/>
  <c r="EV81" i="33"/>
  <c r="EV82" i="33"/>
  <c r="EV83" i="33"/>
  <c r="EV84" i="33"/>
  <c r="EV85" i="33"/>
  <c r="EV86" i="33"/>
  <c r="EV87" i="33"/>
  <c r="EV88" i="33"/>
  <c r="EV89" i="33"/>
  <c r="EV90" i="33"/>
  <c r="EV91" i="33"/>
  <c r="EV92" i="33"/>
  <c r="EV93" i="33"/>
  <c r="EV94" i="33"/>
  <c r="EV95" i="33"/>
  <c r="EV96" i="33"/>
  <c r="EV97" i="33"/>
  <c r="EV98" i="33"/>
  <c r="EV99" i="33"/>
  <c r="EV100" i="33"/>
  <c r="EV5" i="33"/>
  <c r="EB5" i="33"/>
  <c r="E108" i="33"/>
  <c r="E108" i="34"/>
  <c r="G115" i="33"/>
  <c r="H115" i="33"/>
  <c r="I115" i="33"/>
  <c r="G117" i="33"/>
  <c r="H117" i="33"/>
  <c r="I117" i="33"/>
  <c r="EZ7" i="34"/>
  <c r="EZ7" i="31" s="1"/>
  <c r="EZ8" i="34"/>
  <c r="EZ8" i="31" s="1"/>
  <c r="EZ12" i="34"/>
  <c r="EZ12" i="31" s="1"/>
  <c r="EZ16" i="34"/>
  <c r="EZ20" i="34"/>
  <c r="EZ24" i="34"/>
  <c r="EZ24" i="31" s="1"/>
  <c r="EZ28" i="34"/>
  <c r="EZ28" i="31" s="1"/>
  <c r="EZ32" i="34"/>
  <c r="EZ32" i="31" s="1"/>
  <c r="EZ36" i="34"/>
  <c r="EZ36" i="31" s="1"/>
  <c r="EZ39" i="34"/>
  <c r="EZ39" i="31" s="1"/>
  <c r="EZ40" i="34"/>
  <c r="EZ40" i="31" s="1"/>
  <c r="EZ43" i="34"/>
  <c r="EZ44" i="34"/>
  <c r="EZ46" i="34"/>
  <c r="EZ46" i="31" s="1"/>
  <c r="EZ47" i="34"/>
  <c r="EZ47" i="31" s="1"/>
  <c r="EZ48" i="34"/>
  <c r="EZ48" i="31" s="1"/>
  <c r="EZ49" i="34"/>
  <c r="EZ49" i="31" s="1"/>
  <c r="EZ50" i="34"/>
  <c r="EZ50" i="31" s="1"/>
  <c r="EZ51" i="34"/>
  <c r="EZ51" i="31" s="1"/>
  <c r="EZ52" i="34"/>
  <c r="EZ53" i="34"/>
  <c r="EZ54" i="34"/>
  <c r="EZ54" i="31" s="1"/>
  <c r="EZ55" i="34"/>
  <c r="EZ55" i="31" s="1"/>
  <c r="EZ56" i="34"/>
  <c r="EZ56" i="31" s="1"/>
  <c r="EZ57" i="34"/>
  <c r="EZ57" i="31" s="1"/>
  <c r="EZ58" i="34"/>
  <c r="EZ58" i="31" s="1"/>
  <c r="EZ59" i="34"/>
  <c r="EZ59" i="31" s="1"/>
  <c r="EZ60" i="34"/>
  <c r="EZ61" i="34"/>
  <c r="EZ62" i="34"/>
  <c r="EZ62" i="31" s="1"/>
  <c r="EZ63" i="34"/>
  <c r="EZ63" i="31" s="1"/>
  <c r="EZ64" i="34"/>
  <c r="EZ64" i="31" s="1"/>
  <c r="EZ65" i="34"/>
  <c r="EZ65" i="31" s="1"/>
  <c r="EZ66" i="34"/>
  <c r="EZ66" i="31" s="1"/>
  <c r="EZ67" i="34"/>
  <c r="EZ67" i="31" s="1"/>
  <c r="EZ68" i="34"/>
  <c r="EZ69" i="34"/>
  <c r="EZ70" i="34"/>
  <c r="EZ70" i="31" s="1"/>
  <c r="EZ71" i="34"/>
  <c r="EZ71" i="31" s="1"/>
  <c r="EZ72" i="34"/>
  <c r="EZ72" i="31" s="1"/>
  <c r="EZ73" i="34"/>
  <c r="EZ73" i="31" s="1"/>
  <c r="EZ74" i="34"/>
  <c r="EZ74" i="31" s="1"/>
  <c r="EZ75" i="34"/>
  <c r="EZ75" i="31" s="1"/>
  <c r="EZ76" i="34"/>
  <c r="EZ77" i="34"/>
  <c r="EZ78" i="34"/>
  <c r="EZ78" i="31" s="1"/>
  <c r="EZ79" i="34"/>
  <c r="EZ79" i="31" s="1"/>
  <c r="EZ80" i="34"/>
  <c r="EZ80" i="31" s="1"/>
  <c r="EZ81" i="34"/>
  <c r="EZ81" i="31" s="1"/>
  <c r="EZ82" i="34"/>
  <c r="EZ82" i="31" s="1"/>
  <c r="EZ83" i="34"/>
  <c r="EZ83" i="31" s="1"/>
  <c r="EZ84" i="34"/>
  <c r="EZ86" i="34"/>
  <c r="EZ87" i="34"/>
  <c r="EZ87" i="31" s="1"/>
  <c r="EZ88" i="34"/>
  <c r="EZ88" i="31" s="1"/>
  <c r="EZ90" i="34"/>
  <c r="EZ90" i="31" s="1"/>
  <c r="EZ91" i="34"/>
  <c r="EZ91" i="31" s="1"/>
  <c r="EZ92" i="34"/>
  <c r="EZ92" i="31" s="1"/>
  <c r="EZ94" i="34"/>
  <c r="EZ94" i="31" s="1"/>
  <c r="EZ95" i="34"/>
  <c r="EZ96" i="34"/>
  <c r="EZ98" i="34"/>
  <c r="EZ98" i="31" s="1"/>
  <c r="EZ99" i="34"/>
  <c r="EZ99" i="31" s="1"/>
  <c r="EZ100" i="34"/>
  <c r="EZ100" i="31" s="1"/>
  <c r="EX7" i="34"/>
  <c r="EX7" i="31" s="1"/>
  <c r="EX8" i="34"/>
  <c r="EX8" i="31" s="1"/>
  <c r="EX11" i="34"/>
  <c r="EX11" i="31" s="1"/>
  <c r="EX12" i="34"/>
  <c r="EX15" i="34"/>
  <c r="EX16" i="34"/>
  <c r="EX16" i="31" s="1"/>
  <c r="EX20" i="34"/>
  <c r="EX20" i="31" s="1"/>
  <c r="EX24" i="34"/>
  <c r="EX24" i="31" s="1"/>
  <c r="EX28" i="34"/>
  <c r="EX28" i="31" s="1"/>
  <c r="EX32" i="34"/>
  <c r="EX32" i="31" s="1"/>
  <c r="EX36" i="34"/>
  <c r="EX36" i="31" s="1"/>
  <c r="EX39" i="34"/>
  <c r="EX40" i="34"/>
  <c r="EX43" i="34"/>
  <c r="EX43" i="31" s="1"/>
  <c r="EX44" i="34"/>
  <c r="EX44" i="31" s="1"/>
  <c r="EX46" i="34"/>
  <c r="EX46" i="31" s="1"/>
  <c r="EX47" i="34"/>
  <c r="EX47" i="31" s="1"/>
  <c r="EX48" i="34"/>
  <c r="EX48" i="31" s="1"/>
  <c r="EX49" i="34"/>
  <c r="EX49" i="31" s="1"/>
  <c r="EX50" i="34"/>
  <c r="EX51" i="34"/>
  <c r="EX52" i="34"/>
  <c r="EX52" i="31" s="1"/>
  <c r="EX53" i="34"/>
  <c r="EX53" i="31" s="1"/>
  <c r="EX54" i="34"/>
  <c r="EX54" i="31" s="1"/>
  <c r="EX55" i="34"/>
  <c r="EX55" i="31" s="1"/>
  <c r="EX56" i="34"/>
  <c r="EX56" i="31" s="1"/>
  <c r="EX57" i="34"/>
  <c r="EX57" i="31" s="1"/>
  <c r="EX58" i="34"/>
  <c r="EX59" i="34"/>
  <c r="EX60" i="34"/>
  <c r="EX60" i="31" s="1"/>
  <c r="EX61" i="34"/>
  <c r="EX61" i="31" s="1"/>
  <c r="EX62" i="34"/>
  <c r="EX62" i="31" s="1"/>
  <c r="EX63" i="34"/>
  <c r="EX63" i="31" s="1"/>
  <c r="EX64" i="34"/>
  <c r="EX64" i="31" s="1"/>
  <c r="EX65" i="34"/>
  <c r="EX65" i="31" s="1"/>
  <c r="EX66" i="34"/>
  <c r="EX67" i="34"/>
  <c r="EX68" i="34"/>
  <c r="EX68" i="31" s="1"/>
  <c r="EX69" i="34"/>
  <c r="EX69" i="31" s="1"/>
  <c r="EX70" i="34"/>
  <c r="EX70" i="31" s="1"/>
  <c r="EX71" i="34"/>
  <c r="EX71" i="31" s="1"/>
  <c r="EX72" i="34"/>
  <c r="EX72" i="31" s="1"/>
  <c r="EX73" i="34"/>
  <c r="EX73" i="31" s="1"/>
  <c r="EX74" i="34"/>
  <c r="EX75" i="34"/>
  <c r="EX76" i="34"/>
  <c r="EX76" i="31" s="1"/>
  <c r="EX77" i="34"/>
  <c r="EX77" i="31" s="1"/>
  <c r="EX78" i="34"/>
  <c r="EX78" i="31" s="1"/>
  <c r="EX79" i="34"/>
  <c r="EX79" i="31" s="1"/>
  <c r="EX80" i="34"/>
  <c r="EX80" i="31" s="1"/>
  <c r="EX81" i="34"/>
  <c r="EX81" i="31" s="1"/>
  <c r="EX82" i="34"/>
  <c r="EX83" i="34"/>
  <c r="EX84" i="34"/>
  <c r="EX84" i="31" s="1"/>
  <c r="EX86" i="34"/>
  <c r="EX86" i="31" s="1"/>
  <c r="EX87" i="34"/>
  <c r="EX87" i="31" s="1"/>
  <c r="EX88" i="34"/>
  <c r="EX88" i="31" s="1"/>
  <c r="EX90" i="34"/>
  <c r="EX90" i="31" s="1"/>
  <c r="EX91" i="34"/>
  <c r="EX91" i="31" s="1"/>
  <c r="EX92" i="34"/>
  <c r="EX94" i="34"/>
  <c r="EX95" i="34"/>
  <c r="EX95" i="31" s="1"/>
  <c r="EX96" i="34"/>
  <c r="EX96" i="31" s="1"/>
  <c r="EX98" i="34"/>
  <c r="EX98" i="31" s="1"/>
  <c r="EX99" i="34"/>
  <c r="EX99" i="31" s="1"/>
  <c r="EX100" i="34"/>
  <c r="EX100" i="31" s="1"/>
  <c r="EV7" i="34"/>
  <c r="EV7" i="31" s="1"/>
  <c r="EV8" i="34"/>
  <c r="EV11" i="34"/>
  <c r="EV12" i="34"/>
  <c r="EV12" i="31" s="1"/>
  <c r="EV15" i="34"/>
  <c r="EV15" i="31" s="1"/>
  <c r="EV16" i="34"/>
  <c r="EV16" i="31" s="1"/>
  <c r="EV19" i="34"/>
  <c r="EV19" i="31" s="1"/>
  <c r="EV20" i="34"/>
  <c r="EV20" i="31" s="1"/>
  <c r="EV23" i="34"/>
  <c r="EV23" i="31" s="1"/>
  <c r="EV24" i="34"/>
  <c r="EV27" i="34"/>
  <c r="EV28" i="34"/>
  <c r="EV28" i="31" s="1"/>
  <c r="EV31" i="34"/>
  <c r="EV31" i="31" s="1"/>
  <c r="EV32" i="34"/>
  <c r="EV32" i="31" s="1"/>
  <c r="EV35" i="34"/>
  <c r="EV35" i="31" s="1"/>
  <c r="EV36" i="34"/>
  <c r="EV36" i="31" s="1"/>
  <c r="EV39" i="34"/>
  <c r="EV39" i="31" s="1"/>
  <c r="EV40" i="34"/>
  <c r="EV43" i="34"/>
  <c r="EV44" i="34"/>
  <c r="EV44" i="31" s="1"/>
  <c r="EV45" i="34"/>
  <c r="EV45" i="31" s="1"/>
  <c r="EV46" i="34"/>
  <c r="EV46" i="31" s="1"/>
  <c r="EV47" i="34"/>
  <c r="EV47" i="31" s="1"/>
  <c r="EV48" i="34"/>
  <c r="EV48" i="31" s="1"/>
  <c r="EV49" i="34"/>
  <c r="EV49" i="31" s="1"/>
  <c r="EV50" i="34"/>
  <c r="EV51" i="34"/>
  <c r="EV52" i="34"/>
  <c r="EV52" i="31" s="1"/>
  <c r="EV53" i="34"/>
  <c r="EV53" i="31" s="1"/>
  <c r="EV54" i="34"/>
  <c r="EV54" i="31" s="1"/>
  <c r="EV55" i="34"/>
  <c r="EV55" i="31" s="1"/>
  <c r="EV56" i="34"/>
  <c r="EV56" i="31" s="1"/>
  <c r="EV57" i="34"/>
  <c r="EV57" i="31" s="1"/>
  <c r="EV58" i="34"/>
  <c r="EV59" i="34"/>
  <c r="EV60" i="34"/>
  <c r="EV60" i="31" s="1"/>
  <c r="EV61" i="34"/>
  <c r="EV61" i="31" s="1"/>
  <c r="EV62" i="34"/>
  <c r="EV62" i="31" s="1"/>
  <c r="EV63" i="34"/>
  <c r="EV63" i="31" s="1"/>
  <c r="EV64" i="34"/>
  <c r="EV64" i="31" s="1"/>
  <c r="EV65" i="34"/>
  <c r="EV65" i="31" s="1"/>
  <c r="EV66" i="34"/>
  <c r="EV67" i="34"/>
  <c r="EV68" i="34"/>
  <c r="EV68" i="31" s="1"/>
  <c r="EV69" i="34"/>
  <c r="EV69" i="31" s="1"/>
  <c r="EV70" i="34"/>
  <c r="EV70" i="31" s="1"/>
  <c r="EV71" i="34"/>
  <c r="EV71" i="31" s="1"/>
  <c r="EV72" i="34"/>
  <c r="EV72" i="31" s="1"/>
  <c r="EV73" i="34"/>
  <c r="EV73" i="31" s="1"/>
  <c r="EV74" i="34"/>
  <c r="EV75" i="34"/>
  <c r="EV76" i="34"/>
  <c r="EV76" i="31" s="1"/>
  <c r="EV77" i="34"/>
  <c r="EV77" i="31" s="1"/>
  <c r="EV78" i="34"/>
  <c r="EV78" i="31" s="1"/>
  <c r="EV79" i="34"/>
  <c r="EV79" i="31" s="1"/>
  <c r="EV80" i="34"/>
  <c r="EV80" i="31" s="1"/>
  <c r="EV81" i="34"/>
  <c r="EV81" i="31" s="1"/>
  <c r="EV82" i="34"/>
  <c r="EV83" i="34"/>
  <c r="EV84" i="34"/>
  <c r="EV84" i="31" s="1"/>
  <c r="EV85" i="34"/>
  <c r="EV85" i="31" s="1"/>
  <c r="EV86" i="34"/>
  <c r="EV86" i="31" s="1"/>
  <c r="EV87" i="34"/>
  <c r="EV87" i="31" s="1"/>
  <c r="EV88" i="34"/>
  <c r="EV88" i="31" s="1"/>
  <c r="EV89" i="34"/>
  <c r="EV89" i="31" s="1"/>
  <c r="EV90" i="34"/>
  <c r="EV91" i="34"/>
  <c r="EV92" i="34"/>
  <c r="EV92" i="31" s="1"/>
  <c r="EV93" i="34"/>
  <c r="EV93" i="31" s="1"/>
  <c r="EV94" i="34"/>
  <c r="EV94" i="31" s="1"/>
  <c r="EV95" i="34"/>
  <c r="EV95" i="31" s="1"/>
  <c r="EV96" i="34"/>
  <c r="EV96" i="31" s="1"/>
  <c r="EV98" i="34"/>
  <c r="EV98" i="31" s="1"/>
  <c r="EV99" i="34"/>
  <c r="EV100" i="34"/>
  <c r="EF109" i="34"/>
  <c r="EF108" i="34"/>
  <c r="EF5" i="34" s="1"/>
  <c r="EF114" i="34"/>
  <c r="EF113" i="34"/>
  <c r="EF112" i="34"/>
  <c r="EF116" i="34"/>
  <c r="EF117" i="34"/>
  <c r="EF118" i="34"/>
  <c r="EF120" i="34"/>
  <c r="ED120" i="34"/>
  <c r="ED117" i="34"/>
  <c r="ED116" i="34"/>
  <c r="ED113" i="34"/>
  <c r="ED112" i="34"/>
  <c r="ED109" i="34"/>
  <c r="ED108" i="34"/>
  <c r="EB108" i="34"/>
  <c r="EB5" i="34" s="1"/>
  <c r="ED134" i="34"/>
  <c r="ED133" i="34"/>
  <c r="ED132" i="34"/>
  <c r="ED130" i="34"/>
  <c r="ED129" i="34"/>
  <c r="ED128" i="34"/>
  <c r="EF134" i="34"/>
  <c r="EF132" i="34"/>
  <c r="EF133" i="34"/>
  <c r="EF130" i="34"/>
  <c r="EF129" i="34"/>
  <c r="EF128" i="34"/>
  <c r="EF126" i="34"/>
  <c r="EF125" i="34"/>
  <c r="EF124" i="34"/>
  <c r="EF122" i="34"/>
  <c r="EF121" i="34"/>
  <c r="ED121" i="34"/>
  <c r="ED122" i="34"/>
  <c r="ED126" i="34"/>
  <c r="ED125" i="34"/>
  <c r="ED124" i="34"/>
  <c r="EB145" i="34"/>
  <c r="EB144" i="34"/>
  <c r="ED148" i="34"/>
  <c r="ED145" i="34"/>
  <c r="ED144" i="34"/>
  <c r="ED141" i="34"/>
  <c r="ED140" i="34"/>
  <c r="ED138" i="34"/>
  <c r="ED136" i="34"/>
  <c r="ED137" i="34"/>
  <c r="EF137" i="34"/>
  <c r="EF136" i="34"/>
  <c r="EF138" i="34"/>
  <c r="EF140" i="34"/>
  <c r="EF141" i="34"/>
  <c r="EF144" i="34"/>
  <c r="EF145" i="34"/>
  <c r="EF148" i="34"/>
  <c r="EF188" i="34"/>
  <c r="ED188" i="34"/>
  <c r="EF200" i="34"/>
  <c r="EF196" i="34"/>
  <c r="EF192" i="34"/>
  <c r="ED192" i="34"/>
  <c r="ED196" i="34"/>
  <c r="ED200" i="34"/>
  <c r="EB200" i="34"/>
  <c r="EB141" i="34"/>
  <c r="EB140" i="34"/>
  <c r="EB137" i="34"/>
  <c r="EB136" i="34"/>
  <c r="EB133" i="34"/>
  <c r="EB132" i="34"/>
  <c r="EB129" i="34"/>
  <c r="EB128" i="34"/>
  <c r="EB125" i="34"/>
  <c r="EB124" i="34"/>
  <c r="EB121" i="34"/>
  <c r="EB120" i="34"/>
  <c r="EB117" i="34"/>
  <c r="EB116" i="34"/>
  <c r="EB113" i="34"/>
  <c r="EB112" i="34"/>
  <c r="EB109" i="34"/>
  <c r="ED5" i="34"/>
  <c r="H120" i="34"/>
  <c r="H120" i="31"/>
  <c r="F93" i="1"/>
  <c r="G93" i="1"/>
  <c r="H121" i="34" s="1"/>
  <c r="H93" i="1"/>
  <c r="B8" i="2" l="1"/>
  <c r="B9" i="2" s="1"/>
  <c r="B10" i="2" s="1"/>
  <c r="B11" i="2" s="1"/>
  <c r="E114" i="34"/>
  <c r="EV102" i="33"/>
  <c r="EX102" i="33"/>
  <c r="EZ207" i="34"/>
  <c r="EZ133" i="34" s="1"/>
  <c r="EZ30" i="34" s="1"/>
  <c r="EZ30" i="31" s="1"/>
  <c r="EV207" i="34"/>
  <c r="EV145" i="34" s="1"/>
  <c r="EX207" i="34"/>
  <c r="H121" i="31"/>
  <c r="E114" i="31" s="1"/>
  <c r="EF89" i="34"/>
  <c r="EF37" i="34"/>
  <c r="EF14" i="34"/>
  <c r="EF26" i="34"/>
  <c r="EF34" i="34"/>
  <c r="EF23" i="34"/>
  <c r="EF15" i="34"/>
  <c r="EF33" i="34"/>
  <c r="EF22" i="34"/>
  <c r="EF10" i="34"/>
  <c r="EF45" i="34"/>
  <c r="EF31" i="34"/>
  <c r="EF21" i="34"/>
  <c r="EF11" i="34"/>
  <c r="EF42" i="34"/>
  <c r="EF30" i="34"/>
  <c r="EF19" i="34"/>
  <c r="EF9" i="34"/>
  <c r="EF93" i="34"/>
  <c r="EF41" i="34"/>
  <c r="EF29" i="34"/>
  <c r="EF18" i="34"/>
  <c r="EF97" i="34"/>
  <c r="EF38" i="34"/>
  <c r="EF27" i="34"/>
  <c r="EF17" i="34"/>
  <c r="EF6" i="34"/>
  <c r="EF85" i="34"/>
  <c r="EF35" i="34"/>
  <c r="EF25" i="34"/>
  <c r="EF13" i="34"/>
  <c r="EF7" i="34"/>
  <c r="EF8" i="34"/>
  <c r="EF12" i="34"/>
  <c r="EF16" i="34"/>
  <c r="EF20" i="34"/>
  <c r="EF24" i="34"/>
  <c r="EF28" i="34"/>
  <c r="EF32" i="34"/>
  <c r="EF36" i="34"/>
  <c r="EF39" i="34"/>
  <c r="EF40" i="34"/>
  <c r="EF43" i="34"/>
  <c r="EF44" i="34"/>
  <c r="EF46" i="34"/>
  <c r="EF47" i="34"/>
  <c r="EF48" i="34"/>
  <c r="EF49" i="34"/>
  <c r="EF50" i="34"/>
  <c r="EF51" i="34"/>
  <c r="EF52" i="34"/>
  <c r="EF53" i="34"/>
  <c r="EF54" i="34"/>
  <c r="EF55" i="34"/>
  <c r="EF56" i="34"/>
  <c r="EF57" i="34"/>
  <c r="EF58" i="34"/>
  <c r="EF59" i="34"/>
  <c r="EF60" i="34"/>
  <c r="EF61" i="34"/>
  <c r="EF62" i="34"/>
  <c r="EF63" i="34"/>
  <c r="EF64" i="34"/>
  <c r="EF65" i="34"/>
  <c r="EF66" i="34"/>
  <c r="EF67" i="34"/>
  <c r="EF68" i="34"/>
  <c r="EF69" i="34"/>
  <c r="EF70" i="34"/>
  <c r="EF71" i="34"/>
  <c r="EF72" i="34"/>
  <c r="EF73" i="34"/>
  <c r="EF74" i="34"/>
  <c r="EF75" i="34"/>
  <c r="EF76" i="34"/>
  <c r="EF77" i="34"/>
  <c r="EF78" i="34"/>
  <c r="EF79" i="34"/>
  <c r="EF80" i="34"/>
  <c r="EF81" i="34"/>
  <c r="EF82" i="34"/>
  <c r="EF83" i="34"/>
  <c r="EF84" i="34"/>
  <c r="EF86" i="34"/>
  <c r="EF87" i="34"/>
  <c r="EF88" i="34"/>
  <c r="EF90" i="34"/>
  <c r="EF91" i="34"/>
  <c r="EF92" i="34"/>
  <c r="EF94" i="34"/>
  <c r="EF95" i="34"/>
  <c r="EF96" i="34"/>
  <c r="EF98" i="34"/>
  <c r="EF99" i="34"/>
  <c r="EF100" i="34"/>
  <c r="B12" i="2" l="1"/>
  <c r="B13" i="2" s="1"/>
  <c r="EZ102" i="33"/>
  <c r="EZ138" i="34"/>
  <c r="EZ35" i="34" s="1"/>
  <c r="EZ35" i="31" s="1"/>
  <c r="EZ196" i="34"/>
  <c r="EZ93" i="34" s="1"/>
  <c r="EZ93" i="31" s="1"/>
  <c r="EZ109" i="34"/>
  <c r="EZ6" i="34" s="1"/>
  <c r="EZ6" i="31" s="1"/>
  <c r="EZ116" i="34"/>
  <c r="EZ13" i="34" s="1"/>
  <c r="EZ13" i="31" s="1"/>
  <c r="EZ134" i="34"/>
  <c r="EZ31" i="34" s="1"/>
  <c r="EZ31" i="31" s="1"/>
  <c r="EZ117" i="34"/>
  <c r="EZ14" i="34" s="1"/>
  <c r="EZ14" i="31" s="1"/>
  <c r="EZ148" i="34"/>
  <c r="EZ45" i="34" s="1"/>
  <c r="EZ45" i="31" s="1"/>
  <c r="EZ126" i="34"/>
  <c r="EZ23" i="34" s="1"/>
  <c r="EZ23" i="31" s="1"/>
  <c r="EZ200" i="34"/>
  <c r="EZ97" i="34" s="1"/>
  <c r="EZ97" i="31" s="1"/>
  <c r="EZ130" i="34"/>
  <c r="EZ27" i="34" s="1"/>
  <c r="EZ27" i="31" s="1"/>
  <c r="EZ112" i="34"/>
  <c r="EZ9" i="34" s="1"/>
  <c r="EZ9" i="31" s="1"/>
  <c r="EZ136" i="34"/>
  <c r="EZ33" i="34" s="1"/>
  <c r="EZ33" i="31" s="1"/>
  <c r="EZ137" i="34"/>
  <c r="EZ34" i="34" s="1"/>
  <c r="EZ34" i="31" s="1"/>
  <c r="EZ145" i="34"/>
  <c r="EZ42" i="34" s="1"/>
  <c r="EZ42" i="31" s="1"/>
  <c r="EZ188" i="34"/>
  <c r="EZ85" i="34" s="1"/>
  <c r="EZ85" i="31" s="1"/>
  <c r="EZ141" i="34"/>
  <c r="EZ38" i="34" s="1"/>
  <c r="EZ38" i="31" s="1"/>
  <c r="EZ108" i="34"/>
  <c r="EZ5" i="34" s="1"/>
  <c r="EZ5" i="31" s="1"/>
  <c r="EZ144" i="34"/>
  <c r="EZ41" i="34" s="1"/>
  <c r="EZ41" i="31" s="1"/>
  <c r="EZ120" i="34"/>
  <c r="EZ17" i="34" s="1"/>
  <c r="EZ17" i="31" s="1"/>
  <c r="EZ121" i="34"/>
  <c r="EZ18" i="34" s="1"/>
  <c r="EZ18" i="31" s="1"/>
  <c r="EZ113" i="34"/>
  <c r="EZ10" i="34" s="1"/>
  <c r="EZ10" i="31" s="1"/>
  <c r="EZ192" i="34"/>
  <c r="EZ89" i="34" s="1"/>
  <c r="EZ89" i="31" s="1"/>
  <c r="EZ128" i="34"/>
  <c r="EZ25" i="34" s="1"/>
  <c r="EZ25" i="31" s="1"/>
  <c r="EZ125" i="34"/>
  <c r="EZ22" i="34" s="1"/>
  <c r="EZ22" i="31" s="1"/>
  <c r="EZ118" i="34"/>
  <c r="EZ15" i="34" s="1"/>
  <c r="EZ15" i="31" s="1"/>
  <c r="EZ114" i="34"/>
  <c r="EZ11" i="34" s="1"/>
  <c r="EZ11" i="31" s="1"/>
  <c r="EZ132" i="34"/>
  <c r="EZ29" i="34" s="1"/>
  <c r="EZ29" i="31" s="1"/>
  <c r="EZ129" i="34"/>
  <c r="EZ26" i="34" s="1"/>
  <c r="EZ26" i="31" s="1"/>
  <c r="EZ122" i="34"/>
  <c r="EZ19" i="34" s="1"/>
  <c r="EZ19" i="31" s="1"/>
  <c r="EZ124" i="34"/>
  <c r="EZ21" i="34" s="1"/>
  <c r="EZ21" i="31" s="1"/>
  <c r="EZ140" i="34"/>
  <c r="EZ37" i="34" s="1"/>
  <c r="EZ37" i="31" s="1"/>
  <c r="EV42" i="34"/>
  <c r="EV42" i="31" s="1"/>
  <c r="EV200" i="34"/>
  <c r="EV97" i="34" s="1"/>
  <c r="EV97" i="31" s="1"/>
  <c r="EV141" i="34"/>
  <c r="EV38" i="34" s="1"/>
  <c r="EV38" i="31" s="1"/>
  <c r="EX122" i="34"/>
  <c r="EX19" i="34" s="1"/>
  <c r="EX125" i="34"/>
  <c r="EX22" i="34" s="1"/>
  <c r="EX117" i="34"/>
  <c r="EX14" i="34" s="1"/>
  <c r="EX137" i="34"/>
  <c r="EX34" i="34" s="1"/>
  <c r="EX121" i="34"/>
  <c r="EX18" i="34" s="1"/>
  <c r="EX141" i="34"/>
  <c r="EX38" i="34" s="1"/>
  <c r="EX140" i="34"/>
  <c r="EX37" i="34" s="1"/>
  <c r="EX128" i="34"/>
  <c r="EX25" i="34" s="1"/>
  <c r="EX124" i="34"/>
  <c r="EX21" i="34" s="1"/>
  <c r="EX196" i="34"/>
  <c r="EX93" i="34" s="1"/>
  <c r="EX112" i="34"/>
  <c r="EX9" i="34" s="1"/>
  <c r="EX200" i="34"/>
  <c r="EX97" i="34" s="1"/>
  <c r="EX148" i="34"/>
  <c r="EX45" i="34" s="1"/>
  <c r="EX116" i="34"/>
  <c r="EX13" i="34" s="1"/>
  <c r="EX132" i="34"/>
  <c r="EX29" i="34" s="1"/>
  <c r="EX120" i="34"/>
  <c r="EX17" i="34" s="1"/>
  <c r="EX136" i="34"/>
  <c r="EX33" i="34" s="1"/>
  <c r="EX109" i="34"/>
  <c r="EX6" i="34" s="1"/>
  <c r="EX145" i="34"/>
  <c r="EX42" i="34" s="1"/>
  <c r="EX192" i="34"/>
  <c r="EX89" i="34" s="1"/>
  <c r="EX144" i="34"/>
  <c r="EX41" i="34" s="1"/>
  <c r="EX138" i="34"/>
  <c r="EX35" i="34" s="1"/>
  <c r="EX134" i="34"/>
  <c r="EX31" i="34" s="1"/>
  <c r="EX130" i="34"/>
  <c r="EX27" i="34" s="1"/>
  <c r="EX126" i="34"/>
  <c r="EX23" i="34" s="1"/>
  <c r="EX113" i="34"/>
  <c r="EX10" i="34" s="1"/>
  <c r="EX108" i="34"/>
  <c r="EX188" i="34"/>
  <c r="EX85" i="34" s="1"/>
  <c r="EX133" i="34"/>
  <c r="EX30" i="34" s="1"/>
  <c r="EX129" i="34"/>
  <c r="EX26" i="34" s="1"/>
  <c r="EV113" i="34"/>
  <c r="EV10" i="34" s="1"/>
  <c r="EV10" i="31" s="1"/>
  <c r="EV144" i="34"/>
  <c r="EV41" i="34" s="1"/>
  <c r="EV41" i="31" s="1"/>
  <c r="EV108" i="34"/>
  <c r="EV5" i="34" s="1"/>
  <c r="EV5" i="31" s="1"/>
  <c r="EV137" i="34"/>
  <c r="EV34" i="34" s="1"/>
  <c r="EV34" i="31" s="1"/>
  <c r="EV133" i="34"/>
  <c r="EV30" i="34" s="1"/>
  <c r="EV30" i="31" s="1"/>
  <c r="EV129" i="34"/>
  <c r="EV26" i="34" s="1"/>
  <c r="EV26" i="31" s="1"/>
  <c r="EV125" i="34"/>
  <c r="EV22" i="34" s="1"/>
  <c r="EV22" i="31" s="1"/>
  <c r="EV121" i="34"/>
  <c r="EV18" i="34" s="1"/>
  <c r="EV18" i="31" s="1"/>
  <c r="EV112" i="34"/>
  <c r="EV9" i="34" s="1"/>
  <c r="EV9" i="31" s="1"/>
  <c r="EV116" i="34"/>
  <c r="EV13" i="34" s="1"/>
  <c r="EV13" i="31" s="1"/>
  <c r="EV140" i="34"/>
  <c r="EV37" i="34" s="1"/>
  <c r="EV37" i="31" s="1"/>
  <c r="EV128" i="34"/>
  <c r="EV25" i="34" s="1"/>
  <c r="EV25" i="31" s="1"/>
  <c r="EV120" i="34"/>
  <c r="EV17" i="34" s="1"/>
  <c r="EV17" i="31" s="1"/>
  <c r="EV136" i="34"/>
  <c r="EV33" i="34" s="1"/>
  <c r="EV33" i="31" s="1"/>
  <c r="EV124" i="34"/>
  <c r="EV21" i="34" s="1"/>
  <c r="EV21" i="31" s="1"/>
  <c r="EV109" i="34"/>
  <c r="EV6" i="34" s="1"/>
  <c r="EV6" i="31" s="1"/>
  <c r="EV132" i="34"/>
  <c r="EV29" i="34" s="1"/>
  <c r="EV29" i="31" s="1"/>
  <c r="EV117" i="34"/>
  <c r="EV14" i="34" s="1"/>
  <c r="EV14" i="31" s="1"/>
  <c r="EB17" i="34"/>
  <c r="EB6" i="34"/>
  <c r="EB7" i="34"/>
  <c r="EB8" i="34"/>
  <c r="EB9" i="34"/>
  <c r="EB10" i="34"/>
  <c r="EB11" i="34"/>
  <c r="EB12" i="34"/>
  <c r="EB13" i="34"/>
  <c r="EB14" i="34"/>
  <c r="EB15" i="34"/>
  <c r="EB16" i="34"/>
  <c r="EB18" i="34"/>
  <c r="EB19" i="34"/>
  <c r="EB20" i="34"/>
  <c r="EB21" i="34"/>
  <c r="EB22" i="34"/>
  <c r="EB23" i="34"/>
  <c r="EB24" i="34"/>
  <c r="EB25" i="34"/>
  <c r="EB26" i="34"/>
  <c r="EB27" i="34"/>
  <c r="EB28" i="34"/>
  <c r="EB29" i="34"/>
  <c r="EB30" i="34"/>
  <c r="EB31" i="34"/>
  <c r="EB32" i="34"/>
  <c r="EB33" i="34"/>
  <c r="EB34" i="34"/>
  <c r="EB35" i="34"/>
  <c r="EB36" i="34"/>
  <c r="EB37" i="34"/>
  <c r="EB38" i="34"/>
  <c r="EB39" i="34"/>
  <c r="EB40" i="34"/>
  <c r="EB41" i="34"/>
  <c r="EB42" i="34"/>
  <c r="EB43" i="34"/>
  <c r="EB44" i="34"/>
  <c r="EB45" i="34"/>
  <c r="EB46" i="34"/>
  <c r="EB47" i="34"/>
  <c r="EB48" i="34"/>
  <c r="EB49" i="34"/>
  <c r="EB50" i="34"/>
  <c r="EB51" i="34"/>
  <c r="EB52" i="34"/>
  <c r="EB53" i="34"/>
  <c r="EB54" i="34"/>
  <c r="EB55" i="34"/>
  <c r="EB56" i="34"/>
  <c r="EB57" i="34"/>
  <c r="EB58" i="34"/>
  <c r="EB59" i="34"/>
  <c r="EB60" i="34"/>
  <c r="EB61" i="34"/>
  <c r="EB62" i="34"/>
  <c r="EB63" i="34"/>
  <c r="EB64" i="34"/>
  <c r="EB65" i="34"/>
  <c r="EB66" i="34"/>
  <c r="EB67" i="34"/>
  <c r="EB68" i="34"/>
  <c r="EB69" i="34"/>
  <c r="EB70" i="34"/>
  <c r="EB71" i="34"/>
  <c r="EB72" i="34"/>
  <c r="EB73" i="34"/>
  <c r="EB74" i="34"/>
  <c r="EB75" i="34"/>
  <c r="EB76" i="34"/>
  <c r="EB77" i="34"/>
  <c r="EB78" i="34"/>
  <c r="EB79" i="34"/>
  <c r="EB80" i="34"/>
  <c r="EB81" i="34"/>
  <c r="EB82" i="34"/>
  <c r="EB83" i="34"/>
  <c r="EB84" i="34"/>
  <c r="EB85" i="34"/>
  <c r="EB86" i="34"/>
  <c r="EB87" i="34"/>
  <c r="EB88" i="34"/>
  <c r="EB89" i="34"/>
  <c r="EB90" i="34"/>
  <c r="EB91" i="34"/>
  <c r="EB92" i="34"/>
  <c r="EB93" i="34"/>
  <c r="EB94" i="34"/>
  <c r="EB95" i="34"/>
  <c r="EB96" i="34"/>
  <c r="EB97" i="34"/>
  <c r="EB98" i="34"/>
  <c r="EB99" i="34"/>
  <c r="EB100" i="34"/>
  <c r="B14" i="2" l="1"/>
  <c r="B15" i="2" s="1"/>
  <c r="EX85" i="31"/>
  <c r="EX89" i="31"/>
  <c r="EX97" i="31"/>
  <c r="EX34" i="31"/>
  <c r="EX45" i="31"/>
  <c r="EX42" i="31"/>
  <c r="EX9" i="31"/>
  <c r="EX14" i="31"/>
  <c r="EX41" i="31"/>
  <c r="EX93" i="31"/>
  <c r="EX6" i="31"/>
  <c r="EV102" i="31"/>
  <c r="EX23" i="31"/>
  <c r="EX33" i="31"/>
  <c r="EX21" i="31"/>
  <c r="EX19" i="31"/>
  <c r="EX35" i="31"/>
  <c r="EX30" i="31"/>
  <c r="EX22" i="31"/>
  <c r="EX27" i="31"/>
  <c r="EX17" i="31"/>
  <c r="EX25" i="31"/>
  <c r="EX26" i="31"/>
  <c r="EX18" i="31"/>
  <c r="EX10" i="31"/>
  <c r="EX31" i="31"/>
  <c r="EX29" i="31"/>
  <c r="EX37" i="31"/>
  <c r="EZ102" i="31"/>
  <c r="EX13" i="31"/>
  <c r="EX38" i="31"/>
  <c r="EZ205" i="34"/>
  <c r="EZ102" i="34"/>
  <c r="EV102" i="34"/>
  <c r="EX5" i="34"/>
  <c r="EX5" i="31" s="1"/>
  <c r="EX205" i="34"/>
  <c r="EV205" i="34"/>
  <c r="AG305" i="27"/>
  <c r="AI305" i="27"/>
  <c r="B16" i="2" l="1"/>
  <c r="EX102" i="31"/>
  <c r="EX102" i="34"/>
  <c r="I117" i="34"/>
  <c r="H117" i="34"/>
  <c r="G117" i="34"/>
  <c r="I115" i="34"/>
  <c r="H115" i="34"/>
  <c r="G115" i="34"/>
  <c r="ED205" i="34"/>
  <c r="B17" i="2" l="1"/>
  <c r="AK305" i="27"/>
  <c r="AK203" i="27"/>
  <c r="AI203" i="27"/>
  <c r="AG203" i="27"/>
  <c r="AA276" i="30"/>
  <c r="AA269" i="30"/>
  <c r="AA245" i="30"/>
  <c r="AA237" i="30"/>
  <c r="AA213" i="30"/>
  <c r="AA202" i="30"/>
  <c r="AA297" i="30"/>
  <c r="AA296" i="30"/>
  <c r="AA295" i="30"/>
  <c r="AA294" i="30"/>
  <c r="AA293" i="30"/>
  <c r="AA292" i="30"/>
  <c r="AA291" i="30"/>
  <c r="AA290" i="30"/>
  <c r="AA289" i="30"/>
  <c r="AA288" i="30"/>
  <c r="AA287" i="30"/>
  <c r="AA286" i="30"/>
  <c r="AA285" i="30"/>
  <c r="AA284" i="30"/>
  <c r="AA283" i="30"/>
  <c r="AA282" i="30"/>
  <c r="AA281" i="30"/>
  <c r="AA280" i="30"/>
  <c r="AA279" i="30"/>
  <c r="AA278" i="30"/>
  <c r="AA274" i="30"/>
  <c r="AA273" i="30"/>
  <c r="AA272" i="30"/>
  <c r="AA271" i="30"/>
  <c r="AA270" i="30"/>
  <c r="AA266" i="30"/>
  <c r="AA265" i="30"/>
  <c r="AA264" i="30"/>
  <c r="AA263" i="30"/>
  <c r="AA262" i="30"/>
  <c r="AA261" i="30"/>
  <c r="AA260" i="30"/>
  <c r="AA259" i="30"/>
  <c r="AA258" i="30"/>
  <c r="AA257" i="30"/>
  <c r="AA256" i="30"/>
  <c r="AA255" i="30"/>
  <c r="AA254" i="30"/>
  <c r="AA253" i="30"/>
  <c r="AA252" i="30"/>
  <c r="AA251" i="30"/>
  <c r="AA250" i="30"/>
  <c r="AA249" i="30"/>
  <c r="AA248" i="30"/>
  <c r="AA247" i="30"/>
  <c r="AA246" i="30"/>
  <c r="AA244" i="30"/>
  <c r="AA242" i="30"/>
  <c r="AA241" i="30"/>
  <c r="AA240" i="30"/>
  <c r="AA239" i="30"/>
  <c r="AA238" i="30"/>
  <c r="AA234" i="30"/>
  <c r="AA233" i="30"/>
  <c r="AA232" i="30"/>
  <c r="AA231" i="30"/>
  <c r="AA230" i="30"/>
  <c r="AA229" i="30"/>
  <c r="AA228" i="30"/>
  <c r="AA227" i="30"/>
  <c r="AA226" i="30"/>
  <c r="AA225" i="30"/>
  <c r="AA224" i="30"/>
  <c r="AA223" i="30"/>
  <c r="AA222" i="30"/>
  <c r="AA221" i="30"/>
  <c r="AA220" i="30"/>
  <c r="AA219" i="30"/>
  <c r="AA218" i="30"/>
  <c r="AA217" i="30"/>
  <c r="AA216" i="30"/>
  <c r="AA215" i="30"/>
  <c r="AA214" i="30"/>
  <c r="AA212" i="30"/>
  <c r="AA210" i="30"/>
  <c r="AA209" i="30"/>
  <c r="AA208" i="30"/>
  <c r="AA207" i="30"/>
  <c r="AA206" i="30"/>
  <c r="AA202" i="28"/>
  <c r="AA301" i="28"/>
  <c r="AA300" i="28"/>
  <c r="AA299" i="28"/>
  <c r="AA298" i="28"/>
  <c r="AA297" i="28"/>
  <c r="AA296" i="28"/>
  <c r="AA295" i="28"/>
  <c r="AA294" i="28"/>
  <c r="AA293" i="28"/>
  <c r="AA292" i="28"/>
  <c r="AA291" i="28"/>
  <c r="AA290" i="28"/>
  <c r="AA289" i="28"/>
  <c r="AA288" i="28"/>
  <c r="AA287" i="28"/>
  <c r="AA286" i="28"/>
  <c r="AA285" i="28"/>
  <c r="AA284" i="28"/>
  <c r="AA283" i="28"/>
  <c r="AA282" i="28"/>
  <c r="AA281" i="28"/>
  <c r="AA280" i="28"/>
  <c r="AA279" i="28"/>
  <c r="AA278" i="28"/>
  <c r="AA277" i="28"/>
  <c r="AA276" i="28"/>
  <c r="AA275" i="28"/>
  <c r="AA274" i="28"/>
  <c r="AA273" i="28"/>
  <c r="AA272" i="28"/>
  <c r="AA271" i="28"/>
  <c r="AA270" i="28"/>
  <c r="AA269" i="28"/>
  <c r="AA268" i="28"/>
  <c r="AA267" i="28"/>
  <c r="AA266" i="28"/>
  <c r="AA265" i="28"/>
  <c r="AA264" i="28"/>
  <c r="AA263" i="28"/>
  <c r="AA262" i="28"/>
  <c r="AA261" i="28"/>
  <c r="AA260" i="28"/>
  <c r="AA259" i="28"/>
  <c r="AA258" i="28"/>
  <c r="AA257" i="28"/>
  <c r="AA256" i="28"/>
  <c r="AA255" i="28"/>
  <c r="AA254" i="28"/>
  <c r="AA253" i="28"/>
  <c r="AA252" i="28"/>
  <c r="AA251" i="28"/>
  <c r="AA250" i="28"/>
  <c r="AA249" i="28"/>
  <c r="AA248" i="28"/>
  <c r="AA247" i="28"/>
  <c r="AA246" i="28"/>
  <c r="AA245" i="28"/>
  <c r="AA244" i="28"/>
  <c r="AA243" i="28"/>
  <c r="AA242" i="28"/>
  <c r="AA241" i="28"/>
  <c r="AA240" i="28"/>
  <c r="AA239" i="28"/>
  <c r="AA238" i="28"/>
  <c r="AA237" i="28"/>
  <c r="AA236" i="28"/>
  <c r="AA235" i="28"/>
  <c r="AA234" i="28"/>
  <c r="AA233" i="28"/>
  <c r="AA232" i="28"/>
  <c r="AA231" i="28"/>
  <c r="AA230" i="28"/>
  <c r="AA229" i="28"/>
  <c r="AA228" i="28"/>
  <c r="AA227" i="28"/>
  <c r="AA226" i="28"/>
  <c r="AA225" i="28"/>
  <c r="AA224" i="28"/>
  <c r="AA223" i="28"/>
  <c r="AA222" i="28"/>
  <c r="AA221" i="28"/>
  <c r="AA220" i="28"/>
  <c r="AA219" i="28"/>
  <c r="AA218" i="28"/>
  <c r="AA217" i="28"/>
  <c r="AA216" i="28"/>
  <c r="AA215" i="28"/>
  <c r="AA214" i="28"/>
  <c r="AA213" i="28"/>
  <c r="AA212" i="28"/>
  <c r="AA211" i="28"/>
  <c r="AA210" i="28"/>
  <c r="AA209" i="28"/>
  <c r="AA208" i="28"/>
  <c r="AA207" i="28"/>
  <c r="AA206" i="28"/>
  <c r="AA303" i="28" s="1"/>
  <c r="B18" i="2" l="1"/>
  <c r="B19" i="2" s="1"/>
  <c r="B20" i="2" s="1"/>
  <c r="AA203" i="30"/>
  <c r="AA211" i="30"/>
  <c r="AA235" i="30"/>
  <c r="AA243" i="30"/>
  <c r="AA267" i="30"/>
  <c r="AA275" i="30"/>
  <c r="AA204" i="30"/>
  <c r="AA236" i="30"/>
  <c r="AA268" i="30"/>
  <c r="AA205" i="30"/>
  <c r="AA277" i="30"/>
  <c r="B21" i="2" l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AA200" i="28"/>
  <c r="AA199" i="28"/>
  <c r="AA198" i="28"/>
  <c r="AA197" i="28"/>
  <c r="AA196" i="28"/>
  <c r="AA195" i="28"/>
  <c r="AA194" i="28"/>
  <c r="AA193" i="28"/>
  <c r="AA192" i="28"/>
  <c r="AA191" i="28"/>
  <c r="AA190" i="28"/>
  <c r="AA189" i="28"/>
  <c r="AA188" i="28"/>
  <c r="AA187" i="28"/>
  <c r="AA186" i="28"/>
  <c r="AA185" i="28"/>
  <c r="AA184" i="28"/>
  <c r="AA183" i="28"/>
  <c r="AA182" i="28"/>
  <c r="AA181" i="28"/>
  <c r="AA180" i="28"/>
  <c r="AA179" i="28"/>
  <c r="AA178" i="28"/>
  <c r="AA177" i="28"/>
  <c r="AA176" i="28"/>
  <c r="AA175" i="28"/>
  <c r="AA174" i="28"/>
  <c r="AA173" i="28"/>
  <c r="AA172" i="28"/>
  <c r="AA171" i="28"/>
  <c r="AA170" i="28"/>
  <c r="AA169" i="28"/>
  <c r="AA168" i="28"/>
  <c r="AA167" i="28"/>
  <c r="AA166" i="28"/>
  <c r="AA165" i="28"/>
  <c r="AA164" i="28"/>
  <c r="AA163" i="28"/>
  <c r="AA162" i="28"/>
  <c r="AA161" i="28"/>
  <c r="AA160" i="28"/>
  <c r="AA159" i="28"/>
  <c r="AA158" i="28"/>
  <c r="AA157" i="28"/>
  <c r="AA156" i="28"/>
  <c r="AA155" i="28"/>
  <c r="AA154" i="28"/>
  <c r="AA153" i="28"/>
  <c r="AA152" i="28"/>
  <c r="AA151" i="28"/>
  <c r="AA150" i="28"/>
  <c r="AA149" i="28"/>
  <c r="AA148" i="28"/>
  <c r="AA147" i="28"/>
  <c r="AA146" i="28"/>
  <c r="AA145" i="28"/>
  <c r="AA144" i="28"/>
  <c r="AA143" i="28"/>
  <c r="AA142" i="28"/>
  <c r="AA141" i="28"/>
  <c r="AA140" i="28"/>
  <c r="AA139" i="28"/>
  <c r="AA138" i="28"/>
  <c r="AA137" i="28"/>
  <c r="AA136" i="28"/>
  <c r="AA135" i="28"/>
  <c r="AA134" i="28"/>
  <c r="AA133" i="28"/>
  <c r="AA132" i="28"/>
  <c r="AA131" i="28"/>
  <c r="AA130" i="28"/>
  <c r="AA129" i="28"/>
  <c r="AA128" i="28"/>
  <c r="AA127" i="28"/>
  <c r="AA126" i="28"/>
  <c r="AA125" i="28"/>
  <c r="AA124" i="28"/>
  <c r="AA123" i="28"/>
  <c r="AA122" i="28"/>
  <c r="AA121" i="28"/>
  <c r="AA120" i="28"/>
  <c r="AA119" i="28"/>
  <c r="AA118" i="28"/>
  <c r="AA117" i="28"/>
  <c r="AA116" i="28"/>
  <c r="AA115" i="28"/>
  <c r="AA114" i="28"/>
  <c r="AA113" i="28"/>
  <c r="AA112" i="28"/>
  <c r="AA111" i="28"/>
  <c r="AA110" i="28"/>
  <c r="AA109" i="28"/>
  <c r="AA108" i="28"/>
  <c r="AA107" i="28"/>
  <c r="AA106" i="28"/>
  <c r="AA105" i="28"/>
  <c r="EB6" i="33"/>
  <c r="EB7" i="33"/>
  <c r="EB8" i="33"/>
  <c r="EB9" i="33"/>
  <c r="EB10" i="33"/>
  <c r="EB11" i="33"/>
  <c r="EB12" i="33"/>
  <c r="EB13" i="33"/>
  <c r="EB14" i="33"/>
  <c r="EB15" i="33"/>
  <c r="EB16" i="33"/>
  <c r="EB17" i="33"/>
  <c r="EB18" i="33"/>
  <c r="EB19" i="33"/>
  <c r="EB20" i="33"/>
  <c r="EB21" i="33"/>
  <c r="EB22" i="33"/>
  <c r="EB23" i="33"/>
  <c r="EB24" i="33"/>
  <c r="EB25" i="33"/>
  <c r="EB26" i="33"/>
  <c r="EB27" i="33"/>
  <c r="EB28" i="33"/>
  <c r="EB29" i="33"/>
  <c r="EB30" i="33"/>
  <c r="EB31" i="33"/>
  <c r="EB32" i="33"/>
  <c r="EB33" i="33"/>
  <c r="EB34" i="33"/>
  <c r="EB35" i="33"/>
  <c r="EB36" i="33"/>
  <c r="EB37" i="33"/>
  <c r="EB38" i="33"/>
  <c r="EB39" i="33"/>
  <c r="EB40" i="33"/>
  <c r="EB41" i="33"/>
  <c r="EB42" i="33"/>
  <c r="EB43" i="33"/>
  <c r="EB44" i="33"/>
  <c r="EB45" i="33"/>
  <c r="EB46" i="33"/>
  <c r="EB47" i="33"/>
  <c r="EB48" i="33"/>
  <c r="EB49" i="33"/>
  <c r="EB50" i="33"/>
  <c r="EB51" i="33"/>
  <c r="EB52" i="33"/>
  <c r="EB53" i="33"/>
  <c r="EB54" i="33"/>
  <c r="EB55" i="33"/>
  <c r="EB56" i="33"/>
  <c r="EB57" i="33"/>
  <c r="EB58" i="33"/>
  <c r="EB59" i="33"/>
  <c r="EB60" i="33"/>
  <c r="EB61" i="33"/>
  <c r="EB62" i="33"/>
  <c r="EB63" i="33"/>
  <c r="EB64" i="33"/>
  <c r="EB65" i="33"/>
  <c r="EB66" i="33"/>
  <c r="EB67" i="33"/>
  <c r="EB68" i="33"/>
  <c r="EB69" i="33"/>
  <c r="EB70" i="33"/>
  <c r="EB71" i="33"/>
  <c r="EB72" i="33"/>
  <c r="EB73" i="33"/>
  <c r="EB74" i="33"/>
  <c r="EB75" i="33"/>
  <c r="EB76" i="33"/>
  <c r="EB77" i="33"/>
  <c r="EB78" i="33"/>
  <c r="EB79" i="33"/>
  <c r="EB80" i="33"/>
  <c r="EB81" i="33"/>
  <c r="EB82" i="33"/>
  <c r="EB83" i="33"/>
  <c r="EB84" i="33"/>
  <c r="EB85" i="33"/>
  <c r="EB86" i="33"/>
  <c r="EB87" i="33"/>
  <c r="EB88" i="33"/>
  <c r="EB89" i="33"/>
  <c r="EB90" i="33"/>
  <c r="EB91" i="33"/>
  <c r="EB92" i="33"/>
  <c r="EB93" i="33"/>
  <c r="EB94" i="33"/>
  <c r="EB95" i="33"/>
  <c r="EB96" i="33"/>
  <c r="EB97" i="33"/>
  <c r="EB98" i="33"/>
  <c r="EB99" i="33"/>
  <c r="EB100" i="33"/>
  <c r="ED6" i="33"/>
  <c r="ED7" i="33"/>
  <c r="ED8" i="33"/>
  <c r="ED9" i="33"/>
  <c r="ED10" i="33"/>
  <c r="ED11" i="33"/>
  <c r="ED12" i="33"/>
  <c r="ED13" i="33"/>
  <c r="ED14" i="33"/>
  <c r="ED15" i="33"/>
  <c r="ED16" i="33"/>
  <c r="ED17" i="33"/>
  <c r="ED18" i="33"/>
  <c r="ED19" i="33"/>
  <c r="ED20" i="33"/>
  <c r="ED21" i="33"/>
  <c r="ED22" i="33"/>
  <c r="ED23" i="33"/>
  <c r="ED24" i="33"/>
  <c r="ED25" i="33"/>
  <c r="ED26" i="33"/>
  <c r="ED27" i="33"/>
  <c r="ED28" i="33"/>
  <c r="ED29" i="33"/>
  <c r="ED30" i="33"/>
  <c r="ED31" i="33"/>
  <c r="ED32" i="33"/>
  <c r="ED33" i="33"/>
  <c r="ED34" i="33"/>
  <c r="ED35" i="33"/>
  <c r="ED36" i="33"/>
  <c r="ED37" i="33"/>
  <c r="ED38" i="33"/>
  <c r="ED39" i="33"/>
  <c r="ED40" i="33"/>
  <c r="ED41" i="33"/>
  <c r="ED42" i="33"/>
  <c r="ED43" i="33"/>
  <c r="ED44" i="33"/>
  <c r="ED45" i="33"/>
  <c r="ED46" i="33"/>
  <c r="ED47" i="33"/>
  <c r="ED48" i="33"/>
  <c r="ED49" i="33"/>
  <c r="ED50" i="33"/>
  <c r="ED51" i="33"/>
  <c r="ED52" i="33"/>
  <c r="ED53" i="33"/>
  <c r="ED54" i="33"/>
  <c r="ED55" i="33"/>
  <c r="ED56" i="33"/>
  <c r="ED57" i="33"/>
  <c r="ED58" i="33"/>
  <c r="ED59" i="33"/>
  <c r="ED60" i="33"/>
  <c r="ED61" i="33"/>
  <c r="ED62" i="33"/>
  <c r="ED63" i="33"/>
  <c r="ED64" i="33"/>
  <c r="ED65" i="33"/>
  <c r="ED66" i="33"/>
  <c r="ED67" i="33"/>
  <c r="ED68" i="33"/>
  <c r="ED69" i="33"/>
  <c r="ED70" i="33"/>
  <c r="ED71" i="33"/>
  <c r="ED72" i="33"/>
  <c r="ED73" i="33"/>
  <c r="ED74" i="33"/>
  <c r="ED75" i="33"/>
  <c r="ED76" i="33"/>
  <c r="ED77" i="33"/>
  <c r="ED78" i="33"/>
  <c r="ED79" i="33"/>
  <c r="ED80" i="33"/>
  <c r="ED81" i="33"/>
  <c r="ED82" i="33"/>
  <c r="ED83" i="33"/>
  <c r="ED84" i="33"/>
  <c r="ED85" i="33"/>
  <c r="ED86" i="33"/>
  <c r="ED87" i="33"/>
  <c r="ED88" i="33"/>
  <c r="ED89" i="33"/>
  <c r="ED90" i="33"/>
  <c r="ED91" i="33"/>
  <c r="ED92" i="33"/>
  <c r="ED93" i="33"/>
  <c r="ED94" i="33"/>
  <c r="ED95" i="33"/>
  <c r="ED96" i="33"/>
  <c r="ED97" i="33"/>
  <c r="ED98" i="33"/>
  <c r="ED99" i="33"/>
  <c r="ED100" i="33"/>
  <c r="EF6" i="33"/>
  <c r="EF7" i="33"/>
  <c r="EF8" i="33"/>
  <c r="EF9" i="33"/>
  <c r="EF10" i="33"/>
  <c r="EF11" i="33"/>
  <c r="EF12" i="33"/>
  <c r="EF13" i="33"/>
  <c r="EF14" i="33"/>
  <c r="EF15" i="33"/>
  <c r="EF16" i="33"/>
  <c r="EF17" i="33"/>
  <c r="EF18" i="33"/>
  <c r="EF19" i="33"/>
  <c r="EF20" i="33"/>
  <c r="EF21" i="33"/>
  <c r="EF22" i="33"/>
  <c r="EF23" i="33"/>
  <c r="EF24" i="33"/>
  <c r="EF25" i="33"/>
  <c r="EF26" i="33"/>
  <c r="EF27" i="33"/>
  <c r="EF28" i="33"/>
  <c r="EF29" i="33"/>
  <c r="EF30" i="33"/>
  <c r="EF31" i="33"/>
  <c r="EF32" i="33"/>
  <c r="EF33" i="33"/>
  <c r="EF34" i="33"/>
  <c r="EF35" i="33"/>
  <c r="EF36" i="33"/>
  <c r="EF37" i="33"/>
  <c r="EF38" i="33"/>
  <c r="EF39" i="33"/>
  <c r="EF40" i="33"/>
  <c r="EF41" i="33"/>
  <c r="EF42" i="33"/>
  <c r="EF43" i="33"/>
  <c r="EF44" i="33"/>
  <c r="EF45" i="33"/>
  <c r="EF46" i="33"/>
  <c r="EF47" i="33"/>
  <c r="EF48" i="33"/>
  <c r="EF49" i="33"/>
  <c r="EF50" i="33"/>
  <c r="EF51" i="33"/>
  <c r="EF52" i="33"/>
  <c r="EF53" i="33"/>
  <c r="EF54" i="33"/>
  <c r="EF55" i="33"/>
  <c r="EF56" i="33"/>
  <c r="EF57" i="33"/>
  <c r="EF58" i="33"/>
  <c r="EF59" i="33"/>
  <c r="EF60" i="33"/>
  <c r="EF61" i="33"/>
  <c r="EF62" i="33"/>
  <c r="EF63" i="33"/>
  <c r="EF64" i="33"/>
  <c r="EF65" i="33"/>
  <c r="EF66" i="33"/>
  <c r="EF67" i="33"/>
  <c r="EF68" i="33"/>
  <c r="EF69" i="33"/>
  <c r="EF70" i="33"/>
  <c r="EF71" i="33"/>
  <c r="EF72" i="33"/>
  <c r="EF73" i="33"/>
  <c r="EF74" i="33"/>
  <c r="EF75" i="33"/>
  <c r="EF76" i="33"/>
  <c r="EF77" i="33"/>
  <c r="EF78" i="33"/>
  <c r="EF79" i="33"/>
  <c r="EF80" i="33"/>
  <c r="EF81" i="33"/>
  <c r="EF82" i="33"/>
  <c r="EF83" i="33"/>
  <c r="EF84" i="33"/>
  <c r="EF85" i="33"/>
  <c r="EF86" i="33"/>
  <c r="EF87" i="33"/>
  <c r="EF88" i="33"/>
  <c r="EF89" i="33"/>
  <c r="EF90" i="33"/>
  <c r="EF91" i="33"/>
  <c r="EF92" i="33"/>
  <c r="EF93" i="33"/>
  <c r="EF94" i="33"/>
  <c r="EF95" i="33"/>
  <c r="EF96" i="33"/>
  <c r="EF97" i="33"/>
  <c r="EF98" i="33"/>
  <c r="EF99" i="33"/>
  <c r="EF100" i="33"/>
  <c r="AA198" i="30"/>
  <c r="AA197" i="30"/>
  <c r="AA196" i="30"/>
  <c r="AA195" i="30"/>
  <c r="AA194" i="30"/>
  <c r="AA193" i="30"/>
  <c r="AA192" i="30"/>
  <c r="AA191" i="30"/>
  <c r="AA190" i="30"/>
  <c r="AA189" i="30"/>
  <c r="AA188" i="30"/>
  <c r="AA187" i="30"/>
  <c r="AA186" i="30"/>
  <c r="AA185" i="30"/>
  <c r="AA184" i="30"/>
  <c r="AA183" i="30"/>
  <c r="AA182" i="30"/>
  <c r="AA181" i="30"/>
  <c r="AA180" i="30"/>
  <c r="AA179" i="30"/>
  <c r="AA178" i="30"/>
  <c r="AA177" i="30"/>
  <c r="AA176" i="30"/>
  <c r="AA175" i="30"/>
  <c r="AA174" i="30"/>
  <c r="AA173" i="30"/>
  <c r="AA172" i="30"/>
  <c r="AA171" i="30"/>
  <c r="AA170" i="30"/>
  <c r="AA169" i="30"/>
  <c r="AA168" i="30"/>
  <c r="AA167" i="30"/>
  <c r="AA166" i="30"/>
  <c r="AA165" i="30"/>
  <c r="AA164" i="30"/>
  <c r="AA163" i="30"/>
  <c r="AA162" i="30"/>
  <c r="AA161" i="30"/>
  <c r="AA160" i="30"/>
  <c r="AA159" i="30"/>
  <c r="AA158" i="30"/>
  <c r="AA157" i="30"/>
  <c r="AA156" i="30"/>
  <c r="AA155" i="30"/>
  <c r="AA154" i="30"/>
  <c r="AA153" i="30"/>
  <c r="AA152" i="30"/>
  <c r="AA151" i="30"/>
  <c r="AA150" i="30"/>
  <c r="AA149" i="30"/>
  <c r="AA148" i="30"/>
  <c r="AA147" i="30"/>
  <c r="AA146" i="30"/>
  <c r="AA145" i="30"/>
  <c r="AA144" i="30"/>
  <c r="AA143" i="30"/>
  <c r="AA142" i="30"/>
  <c r="AA141" i="30"/>
  <c r="AA140" i="30"/>
  <c r="AA139" i="30"/>
  <c r="AA138" i="30"/>
  <c r="AA137" i="30"/>
  <c r="AA136" i="30"/>
  <c r="AA135" i="30"/>
  <c r="AA134" i="30"/>
  <c r="AA133" i="30"/>
  <c r="AA132" i="30"/>
  <c r="AA131" i="30"/>
  <c r="AA130" i="30"/>
  <c r="AA129" i="30"/>
  <c r="AA128" i="30"/>
  <c r="AA127" i="30"/>
  <c r="AA126" i="30"/>
  <c r="AA125" i="30"/>
  <c r="AA124" i="30"/>
  <c r="AA123" i="30"/>
  <c r="AA122" i="30"/>
  <c r="AA121" i="30"/>
  <c r="AA120" i="30"/>
  <c r="AA119" i="30"/>
  <c r="AA118" i="30"/>
  <c r="AA117" i="30"/>
  <c r="AA116" i="30"/>
  <c r="AA115" i="30"/>
  <c r="AA114" i="30"/>
  <c r="AA113" i="30"/>
  <c r="AA112" i="30"/>
  <c r="AA111" i="30"/>
  <c r="AA110" i="30"/>
  <c r="AA109" i="30"/>
  <c r="AA108" i="30"/>
  <c r="AA107" i="30"/>
  <c r="AA106" i="30"/>
  <c r="AA105" i="30"/>
  <c r="AA104" i="30"/>
  <c r="AA103" i="30"/>
  <c r="B104" i="2" l="1"/>
  <c r="O107" i="34"/>
  <c r="N107" i="34"/>
  <c r="M107" i="34"/>
  <c r="L107" i="34"/>
  <c r="K107" i="34"/>
  <c r="J107" i="34"/>
  <c r="I107" i="34"/>
  <c r="H107" i="34"/>
  <c r="G107" i="34"/>
  <c r="EM102" i="34"/>
  <c r="EK102" i="34"/>
  <c r="EI102" i="34"/>
  <c r="DY102" i="34"/>
  <c r="DW102" i="34"/>
  <c r="DU102" i="34"/>
  <c r="DR102" i="34"/>
  <c r="DP102" i="34"/>
  <c r="DN102" i="34"/>
  <c r="DK102" i="34"/>
  <c r="DI102" i="34"/>
  <c r="DG102" i="34"/>
  <c r="DD102" i="34"/>
  <c r="DB102" i="34"/>
  <c r="CZ102" i="34"/>
  <c r="CQ102" i="34"/>
  <c r="CO102" i="34"/>
  <c r="CM102" i="34"/>
  <c r="CJ102" i="34"/>
  <c r="CH102" i="34"/>
  <c r="CF102" i="34"/>
  <c r="CC102" i="34"/>
  <c r="CA102" i="34"/>
  <c r="BY102" i="34"/>
  <c r="BV102" i="34"/>
  <c r="BT102" i="34"/>
  <c r="BR102" i="34"/>
  <c r="BO102" i="34"/>
  <c r="BM102" i="34"/>
  <c r="BK102" i="34"/>
  <c r="BH102" i="34"/>
  <c r="BF102" i="34"/>
  <c r="BD102" i="34"/>
  <c r="AU102" i="34"/>
  <c r="AS102" i="34"/>
  <c r="AQ102" i="34"/>
  <c r="AN102" i="34"/>
  <c r="AL102" i="34"/>
  <c r="AJ102" i="34"/>
  <c r="AG102" i="34"/>
  <c r="AE102" i="34"/>
  <c r="AC102" i="34"/>
  <c r="Z102" i="34"/>
  <c r="X102" i="34"/>
  <c r="V102" i="34"/>
  <c r="S102" i="34"/>
  <c r="Q102" i="34"/>
  <c r="O102" i="34"/>
  <c r="L102" i="34"/>
  <c r="J102" i="34"/>
  <c r="H102" i="34"/>
  <c r="D3" i="34"/>
  <c r="B3" i="34"/>
  <c r="O107" i="33"/>
  <c r="N107" i="33"/>
  <c r="M107" i="33"/>
  <c r="L107" i="33"/>
  <c r="K107" i="33"/>
  <c r="J107" i="33"/>
  <c r="I107" i="33"/>
  <c r="H107" i="33"/>
  <c r="G107" i="33"/>
  <c r="D3" i="33"/>
  <c r="B3" i="33"/>
  <c r="B105" i="2" l="1"/>
  <c r="E8" i="34"/>
  <c r="E29" i="34"/>
  <c r="E48" i="34"/>
  <c r="E56" i="34"/>
  <c r="E64" i="34"/>
  <c r="E72" i="34"/>
  <c r="E80" i="34"/>
  <c r="E89" i="34"/>
  <c r="E100" i="34"/>
  <c r="E78" i="34"/>
  <c r="E99" i="34"/>
  <c r="E9" i="34"/>
  <c r="E33" i="34"/>
  <c r="E49" i="34"/>
  <c r="E57" i="34"/>
  <c r="E65" i="34"/>
  <c r="E73" i="34"/>
  <c r="E81" i="34"/>
  <c r="E91" i="34"/>
  <c r="E101" i="34"/>
  <c r="E21" i="34"/>
  <c r="E87" i="34"/>
  <c r="E63" i="34"/>
  <c r="E12" i="34"/>
  <c r="E37" i="34"/>
  <c r="E50" i="34"/>
  <c r="E58" i="34"/>
  <c r="E66" i="34"/>
  <c r="E74" i="34"/>
  <c r="E82" i="34"/>
  <c r="E92" i="34"/>
  <c r="D6" i="34"/>
  <c r="E62" i="34"/>
  <c r="E70" i="34"/>
  <c r="E13" i="34"/>
  <c r="E40" i="34"/>
  <c r="E51" i="34"/>
  <c r="E59" i="34"/>
  <c r="E67" i="34"/>
  <c r="E75" i="34"/>
  <c r="E83" i="34"/>
  <c r="E93" i="34"/>
  <c r="E55" i="34"/>
  <c r="E79" i="34"/>
  <c r="E16" i="34"/>
  <c r="E41" i="34"/>
  <c r="E52" i="34"/>
  <c r="E60" i="34"/>
  <c r="E68" i="34"/>
  <c r="E76" i="34"/>
  <c r="E84" i="34"/>
  <c r="E95" i="34"/>
  <c r="E45" i="34"/>
  <c r="E97" i="34"/>
  <c r="E25" i="34"/>
  <c r="E71" i="34"/>
  <c r="E17" i="34"/>
  <c r="E44" i="34"/>
  <c r="E53" i="34"/>
  <c r="E61" i="34"/>
  <c r="E69" i="34"/>
  <c r="E77" i="34"/>
  <c r="E85" i="34"/>
  <c r="E96" i="34"/>
  <c r="E54" i="34"/>
  <c r="E47" i="34"/>
  <c r="E88" i="34"/>
  <c r="E86" i="34"/>
  <c r="E46" i="34"/>
  <c r="E42" i="34"/>
  <c r="E14" i="34"/>
  <c r="E28" i="34"/>
  <c r="E35" i="34"/>
  <c r="E24" i="34"/>
  <c r="E36" i="34"/>
  <c r="E11" i="34"/>
  <c r="E34" i="34"/>
  <c r="E31" i="34"/>
  <c r="E26" i="34"/>
  <c r="E32" i="34"/>
  <c r="E38" i="34"/>
  <c r="E90" i="34"/>
  <c r="E43" i="34"/>
  <c r="E94" i="34"/>
  <c r="E39" i="34"/>
  <c r="E22" i="34"/>
  <c r="E23" i="34"/>
  <c r="E27" i="34"/>
  <c r="E30" i="34"/>
  <c r="E20" i="34"/>
  <c r="E18" i="34"/>
  <c r="E98" i="34"/>
  <c r="E10" i="34"/>
  <c r="E7" i="34"/>
  <c r="E19" i="34"/>
  <c r="E15" i="34"/>
  <c r="E6" i="34"/>
  <c r="E116" i="34"/>
  <c r="D108" i="34"/>
  <c r="D116" i="34"/>
  <c r="D114" i="34"/>
  <c r="D114" i="33"/>
  <c r="E116" i="33"/>
  <c r="D116" i="33"/>
  <c r="E9" i="33"/>
  <c r="E97" i="33"/>
  <c r="E89" i="33"/>
  <c r="E81" i="33"/>
  <c r="E73" i="33"/>
  <c r="E65" i="33"/>
  <c r="E57" i="33"/>
  <c r="E49" i="33"/>
  <c r="E41" i="33"/>
  <c r="E33" i="33"/>
  <c r="E25" i="33"/>
  <c r="E17" i="33"/>
  <c r="E64" i="33"/>
  <c r="E100" i="33"/>
  <c r="E52" i="33"/>
  <c r="E20" i="33"/>
  <c r="E96" i="33"/>
  <c r="E88" i="33"/>
  <c r="E80" i="33"/>
  <c r="E48" i="33"/>
  <c r="E40" i="33"/>
  <c r="E32" i="33"/>
  <c r="E24" i="33"/>
  <c r="E16" i="33"/>
  <c r="E8" i="33"/>
  <c r="E68" i="33"/>
  <c r="E95" i="33"/>
  <c r="E87" i="33"/>
  <c r="E79" i="33"/>
  <c r="E71" i="33"/>
  <c r="E63" i="33"/>
  <c r="E55" i="33"/>
  <c r="E47" i="33"/>
  <c r="E39" i="33"/>
  <c r="E31" i="33"/>
  <c r="E23" i="33"/>
  <c r="E15" i="33"/>
  <c r="E7" i="33"/>
  <c r="E93" i="33"/>
  <c r="E85" i="33"/>
  <c r="E69" i="33"/>
  <c r="E53" i="33"/>
  <c r="E37" i="33"/>
  <c r="E21" i="33"/>
  <c r="E94" i="33"/>
  <c r="E86" i="33"/>
  <c r="E78" i="33"/>
  <c r="E70" i="33"/>
  <c r="E62" i="33"/>
  <c r="E54" i="33"/>
  <c r="E46" i="33"/>
  <c r="E38" i="33"/>
  <c r="E30" i="33"/>
  <c r="E22" i="33"/>
  <c r="E14" i="33"/>
  <c r="E6" i="33"/>
  <c r="E101" i="33"/>
  <c r="E77" i="33"/>
  <c r="E61" i="33"/>
  <c r="E45" i="33"/>
  <c r="E29" i="33"/>
  <c r="E13" i="33"/>
  <c r="E84" i="33"/>
  <c r="E36" i="33"/>
  <c r="E12" i="33"/>
  <c r="E99" i="33"/>
  <c r="E91" i="33"/>
  <c r="E83" i="33"/>
  <c r="E75" i="33"/>
  <c r="E67" i="33"/>
  <c r="E59" i="33"/>
  <c r="E51" i="33"/>
  <c r="E43" i="33"/>
  <c r="E35" i="33"/>
  <c r="E27" i="33"/>
  <c r="E19" i="33"/>
  <c r="E11" i="33"/>
  <c r="E56" i="33"/>
  <c r="E92" i="33"/>
  <c r="E60" i="33"/>
  <c r="E28" i="33"/>
  <c r="E98" i="33"/>
  <c r="E90" i="33"/>
  <c r="E82" i="33"/>
  <c r="E74" i="33"/>
  <c r="E66" i="33"/>
  <c r="E58" i="33"/>
  <c r="E50" i="33"/>
  <c r="E42" i="33"/>
  <c r="E34" i="33"/>
  <c r="E26" i="33"/>
  <c r="E18" i="33"/>
  <c r="E10" i="33"/>
  <c r="E72" i="33"/>
  <c r="E76" i="33"/>
  <c r="E44" i="33"/>
  <c r="D108" i="33"/>
  <c r="B99" i="34"/>
  <c r="C10" i="34"/>
  <c r="C26" i="34"/>
  <c r="C42" i="34"/>
  <c r="C58" i="34"/>
  <c r="C74" i="34"/>
  <c r="C90" i="34"/>
  <c r="B11" i="34"/>
  <c r="B27" i="34"/>
  <c r="B43" i="34"/>
  <c r="B59" i="34"/>
  <c r="B75" i="34"/>
  <c r="B91" i="34"/>
  <c r="C17" i="34"/>
  <c r="C33" i="34"/>
  <c r="C49" i="34"/>
  <c r="C65" i="34"/>
  <c r="C81" i="34"/>
  <c r="C97" i="34"/>
  <c r="B18" i="34"/>
  <c r="B34" i="34"/>
  <c r="B50" i="34"/>
  <c r="B66" i="34"/>
  <c r="B82" i="34"/>
  <c r="B98" i="34"/>
  <c r="C18" i="34"/>
  <c r="C66" i="34"/>
  <c r="C98" i="34"/>
  <c r="C34" i="34"/>
  <c r="C50" i="34"/>
  <c r="C82" i="34"/>
  <c r="B19" i="34"/>
  <c r="B35" i="34"/>
  <c r="B51" i="34"/>
  <c r="B67" i="34"/>
  <c r="B83" i="34"/>
  <c r="C9" i="34"/>
  <c r="C25" i="34"/>
  <c r="C41" i="34"/>
  <c r="C57" i="34"/>
  <c r="C73" i="34"/>
  <c r="C89" i="34"/>
  <c r="B10" i="34"/>
  <c r="B26" i="34"/>
  <c r="B42" i="34"/>
  <c r="B58" i="34"/>
  <c r="B74" i="34"/>
  <c r="B90" i="34"/>
  <c r="C7" i="34"/>
  <c r="B8" i="34"/>
  <c r="C15" i="34"/>
  <c r="B16" i="34"/>
  <c r="C23" i="34"/>
  <c r="B24" i="34"/>
  <c r="C31" i="34"/>
  <c r="B32" i="34"/>
  <c r="C39" i="34"/>
  <c r="B40" i="34"/>
  <c r="C47" i="34"/>
  <c r="B48" i="34"/>
  <c r="C55" i="34"/>
  <c r="B56" i="34"/>
  <c r="C63" i="34"/>
  <c r="B64" i="34"/>
  <c r="C71" i="34"/>
  <c r="B72" i="34"/>
  <c r="C79" i="34"/>
  <c r="B80" i="34"/>
  <c r="C87" i="34"/>
  <c r="B88" i="34"/>
  <c r="C95" i="34"/>
  <c r="B96" i="34"/>
  <c r="C8" i="34"/>
  <c r="B9" i="34"/>
  <c r="C16" i="34"/>
  <c r="B17" i="34"/>
  <c r="C24" i="34"/>
  <c r="B25" i="34"/>
  <c r="C32" i="34"/>
  <c r="B33" i="34"/>
  <c r="C40" i="34"/>
  <c r="B41" i="34"/>
  <c r="C48" i="34"/>
  <c r="B49" i="34"/>
  <c r="C56" i="34"/>
  <c r="B57" i="34"/>
  <c r="C64" i="34"/>
  <c r="B65" i="34"/>
  <c r="C72" i="34"/>
  <c r="B73" i="34"/>
  <c r="C80" i="34"/>
  <c r="B81" i="34"/>
  <c r="C88" i="34"/>
  <c r="B89" i="34"/>
  <c r="C96" i="34"/>
  <c r="B97" i="34"/>
  <c r="C11" i="34"/>
  <c r="B12" i="34"/>
  <c r="C19" i="34"/>
  <c r="B20" i="34"/>
  <c r="C27" i="34"/>
  <c r="B28" i="34"/>
  <c r="C35" i="34"/>
  <c r="B36" i="34"/>
  <c r="C43" i="34"/>
  <c r="B44" i="34"/>
  <c r="C51" i="34"/>
  <c r="B52" i="34"/>
  <c r="C59" i="34"/>
  <c r="B60" i="34"/>
  <c r="C67" i="34"/>
  <c r="B68" i="34"/>
  <c r="C75" i="34"/>
  <c r="B76" i="34"/>
  <c r="C83" i="34"/>
  <c r="B84" i="34"/>
  <c r="C91" i="34"/>
  <c r="B92" i="34"/>
  <c r="C99" i="34"/>
  <c r="B100" i="34"/>
  <c r="B108" i="34"/>
  <c r="C12" i="34"/>
  <c r="B13" i="34"/>
  <c r="C20" i="34"/>
  <c r="B21" i="34"/>
  <c r="C28" i="34"/>
  <c r="B29" i="34"/>
  <c r="C36" i="34"/>
  <c r="B37" i="34"/>
  <c r="C44" i="34"/>
  <c r="B45" i="34"/>
  <c r="C52" i="34"/>
  <c r="B53" i="34"/>
  <c r="C60" i="34"/>
  <c r="B61" i="34"/>
  <c r="C68" i="34"/>
  <c r="B69" i="34"/>
  <c r="C76" i="34"/>
  <c r="B77" i="34"/>
  <c r="C84" i="34"/>
  <c r="B85" i="34"/>
  <c r="C92" i="34"/>
  <c r="B93" i="34"/>
  <c r="C100" i="34"/>
  <c r="B101" i="34"/>
  <c r="C108" i="34"/>
  <c r="B6" i="34"/>
  <c r="C13" i="34"/>
  <c r="B14" i="34"/>
  <c r="C21" i="34"/>
  <c r="B22" i="34"/>
  <c r="C29" i="34"/>
  <c r="B30" i="34"/>
  <c r="C37" i="34"/>
  <c r="B38" i="34"/>
  <c r="C45" i="34"/>
  <c r="B46" i="34"/>
  <c r="C53" i="34"/>
  <c r="B54" i="34"/>
  <c r="C61" i="34"/>
  <c r="B62" i="34"/>
  <c r="C69" i="34"/>
  <c r="B70" i="34"/>
  <c r="C77" i="34"/>
  <c r="B78" i="34"/>
  <c r="C85" i="34"/>
  <c r="B86" i="34"/>
  <c r="C93" i="34"/>
  <c r="B94" i="34"/>
  <c r="C101" i="34"/>
  <c r="C6" i="34"/>
  <c r="B7" i="34"/>
  <c r="C14" i="34"/>
  <c r="B15" i="34"/>
  <c r="C22" i="34"/>
  <c r="B23" i="34"/>
  <c r="C30" i="34"/>
  <c r="B31" i="34"/>
  <c r="C38" i="34"/>
  <c r="B39" i="34"/>
  <c r="C46" i="34"/>
  <c r="B47" i="34"/>
  <c r="C54" i="34"/>
  <c r="B55" i="34"/>
  <c r="C62" i="34"/>
  <c r="B63" i="34"/>
  <c r="C70" i="34"/>
  <c r="B71" i="34"/>
  <c r="C78" i="34"/>
  <c r="B79" i="34"/>
  <c r="C86" i="34"/>
  <c r="B87" i="34"/>
  <c r="C94" i="34"/>
  <c r="B95" i="34"/>
  <c r="B108" i="33"/>
  <c r="C108" i="33"/>
  <c r="B106" i="2" l="1"/>
  <c r="E105" i="34"/>
  <c r="E105" i="33"/>
  <c r="C105" i="34"/>
  <c r="B105" i="34"/>
  <c r="B107" i="2" l="1"/>
  <c r="B108" i="2" s="1"/>
  <c r="B109" i="2" s="1"/>
  <c r="B110" i="2" s="1"/>
  <c r="B111" i="2" s="1"/>
  <c r="B112" i="2" s="1"/>
  <c r="B113" i="2" s="1"/>
  <c r="B114" i="2" s="1"/>
  <c r="H68" i="1"/>
  <c r="H69" i="1"/>
  <c r="F70" i="1"/>
  <c r="F71" i="1"/>
  <c r="F72" i="1"/>
  <c r="F73" i="1"/>
  <c r="F74" i="1"/>
  <c r="B115" i="2" l="1"/>
  <c r="B116" i="2" s="1"/>
  <c r="B117" i="2" s="1"/>
  <c r="G68" i="1"/>
  <c r="G69" i="1"/>
  <c r="G70" i="1"/>
  <c r="G71" i="1"/>
  <c r="F108" i="1"/>
  <c r="F109" i="1"/>
  <c r="F110" i="1"/>
  <c r="F111" i="1"/>
  <c r="F112" i="1"/>
  <c r="F113" i="1"/>
  <c r="F58" i="1"/>
  <c r="F68" i="1"/>
  <c r="F69" i="1"/>
  <c r="J107" i="31"/>
  <c r="Q7" i="2"/>
  <c r="M107" i="31"/>
  <c r="N107" i="31"/>
  <c r="B118" i="2" l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637" i="2" s="1"/>
  <c r="B638" i="2" s="1"/>
  <c r="B639" i="2" s="1"/>
  <c r="B640" i="2" s="1"/>
  <c r="B641" i="2" s="1"/>
  <c r="B642" i="2" s="1"/>
  <c r="B643" i="2" s="1"/>
  <c r="B644" i="2" s="1"/>
  <c r="B645" i="2" s="1"/>
  <c r="B646" i="2" s="1"/>
  <c r="B647" i="2" s="1"/>
  <c r="B648" i="2" s="1"/>
  <c r="B649" i="2" s="1"/>
  <c r="B650" i="2" s="1"/>
  <c r="B651" i="2" s="1"/>
  <c r="B652" i="2" s="1"/>
  <c r="B653" i="2" s="1"/>
  <c r="B654" i="2" s="1"/>
  <c r="B655" i="2" s="1"/>
  <c r="B656" i="2" s="1"/>
  <c r="B657" i="2" s="1"/>
  <c r="B658" i="2" s="1"/>
  <c r="B659" i="2" s="1"/>
  <c r="B660" i="2" s="1"/>
  <c r="B661" i="2" s="1"/>
  <c r="B662" i="2" s="1"/>
  <c r="B663" i="2" s="1"/>
  <c r="B664" i="2" s="1"/>
  <c r="B665" i="2" s="1"/>
  <c r="B666" i="2" s="1"/>
  <c r="B667" i="2" s="1"/>
  <c r="B668" i="2" s="1"/>
  <c r="B669" i="2" s="1"/>
  <c r="B670" i="2" s="1"/>
  <c r="B671" i="2" s="1"/>
  <c r="B672" i="2" s="1"/>
  <c r="B673" i="2" s="1"/>
  <c r="B674" i="2" s="1"/>
  <c r="B675" i="2" s="1"/>
  <c r="B676" i="2" s="1"/>
  <c r="B677" i="2" s="1"/>
  <c r="B678" i="2" s="1"/>
  <c r="O107" i="31"/>
  <c r="G107" i="31"/>
  <c r="K107" i="31"/>
  <c r="H107" i="31"/>
  <c r="L107" i="31"/>
  <c r="I107" i="31"/>
  <c r="F55" i="1" l="1"/>
  <c r="Q8" i="1" l="1"/>
  <c r="F61" i="1"/>
  <c r="P8" i="2" l="1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7" i="2"/>
  <c r="EH7" i="2" s="1"/>
  <c r="H85" i="1"/>
  <c r="H51" i="1"/>
  <c r="V4" i="2"/>
  <c r="B41" i="4"/>
  <c r="B40" i="4" s="1"/>
  <c r="F51" i="1"/>
  <c r="D3" i="31"/>
  <c r="B3" i="31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7" i="2"/>
  <c r="AK87" i="30"/>
  <c r="AK75" i="30"/>
  <c r="AK71" i="30"/>
  <c r="AK55" i="30"/>
  <c r="AK43" i="30"/>
  <c r="AK39" i="30"/>
  <c r="AK23" i="30"/>
  <c r="AK11" i="30"/>
  <c r="AK7" i="30"/>
  <c r="AK51" i="30"/>
  <c r="AK19" i="30"/>
  <c r="AK98" i="30"/>
  <c r="AK67" i="30"/>
  <c r="AK35" i="30"/>
  <c r="L101" i="27"/>
  <c r="AG101" i="27"/>
  <c r="AP99" i="30"/>
  <c r="AF99" i="30"/>
  <c r="AA99" i="30"/>
  <c r="V99" i="30"/>
  <c r="Q99" i="30"/>
  <c r="L99" i="30"/>
  <c r="G99" i="30"/>
  <c r="AP98" i="30"/>
  <c r="AF98" i="30"/>
  <c r="AA98" i="30"/>
  <c r="V98" i="30"/>
  <c r="Q98" i="30"/>
  <c r="L98" i="30"/>
  <c r="G98" i="30"/>
  <c r="AP97" i="30"/>
  <c r="AF97" i="30"/>
  <c r="AA97" i="30"/>
  <c r="V97" i="30"/>
  <c r="Q97" i="30"/>
  <c r="L97" i="30"/>
  <c r="G97" i="30"/>
  <c r="AP96" i="30"/>
  <c r="AF96" i="30"/>
  <c r="AA96" i="30"/>
  <c r="V96" i="30"/>
  <c r="Q96" i="30"/>
  <c r="L96" i="30"/>
  <c r="G96" i="30"/>
  <c r="AP95" i="30"/>
  <c r="AK95" i="30"/>
  <c r="AF95" i="30"/>
  <c r="AA95" i="30"/>
  <c r="V95" i="30"/>
  <c r="Q95" i="30"/>
  <c r="L95" i="30"/>
  <c r="G95" i="30"/>
  <c r="AP94" i="30"/>
  <c r="AK94" i="30"/>
  <c r="AF94" i="30"/>
  <c r="AA94" i="30"/>
  <c r="V94" i="30"/>
  <c r="Q94" i="30"/>
  <c r="L94" i="30"/>
  <c r="G94" i="30"/>
  <c r="AP93" i="30"/>
  <c r="AK93" i="30"/>
  <c r="AF93" i="30"/>
  <c r="AA93" i="30"/>
  <c r="V93" i="30"/>
  <c r="Q93" i="30"/>
  <c r="L93" i="30"/>
  <c r="G93" i="30"/>
  <c r="AP92" i="30"/>
  <c r="AK92" i="30"/>
  <c r="AF92" i="30"/>
  <c r="AA92" i="30"/>
  <c r="V92" i="30"/>
  <c r="Q92" i="30"/>
  <c r="L92" i="30"/>
  <c r="G92" i="30"/>
  <c r="AP91" i="30"/>
  <c r="AK91" i="30"/>
  <c r="AF91" i="30"/>
  <c r="AA91" i="30"/>
  <c r="V91" i="30"/>
  <c r="Q91" i="30"/>
  <c r="L91" i="30"/>
  <c r="G91" i="30"/>
  <c r="AP90" i="30"/>
  <c r="AK90" i="30"/>
  <c r="AF90" i="30"/>
  <c r="AA90" i="30"/>
  <c r="V90" i="30"/>
  <c r="Q90" i="30"/>
  <c r="L90" i="30"/>
  <c r="G90" i="30"/>
  <c r="AP89" i="30"/>
  <c r="AK89" i="30"/>
  <c r="AF89" i="30"/>
  <c r="AA89" i="30"/>
  <c r="V89" i="30"/>
  <c r="Q89" i="30"/>
  <c r="L89" i="30"/>
  <c r="G89" i="30"/>
  <c r="AP88" i="30"/>
  <c r="AK88" i="30"/>
  <c r="AF88" i="30"/>
  <c r="AA88" i="30"/>
  <c r="V88" i="30"/>
  <c r="Q88" i="30"/>
  <c r="L88" i="30"/>
  <c r="G88" i="30"/>
  <c r="AP87" i="30"/>
  <c r="AF87" i="30"/>
  <c r="AA87" i="30"/>
  <c r="V87" i="30"/>
  <c r="Q87" i="30"/>
  <c r="L87" i="30"/>
  <c r="G87" i="30"/>
  <c r="AP86" i="30"/>
  <c r="AF86" i="30"/>
  <c r="AA86" i="30"/>
  <c r="V86" i="30"/>
  <c r="Q86" i="30"/>
  <c r="L86" i="30"/>
  <c r="G86" i="30"/>
  <c r="AP85" i="30"/>
  <c r="AF85" i="30"/>
  <c r="AA85" i="30"/>
  <c r="V85" i="30"/>
  <c r="Q85" i="30"/>
  <c r="L85" i="30"/>
  <c r="G85" i="30"/>
  <c r="AP84" i="30"/>
  <c r="AF84" i="30"/>
  <c r="AA84" i="30"/>
  <c r="V84" i="30"/>
  <c r="Q84" i="30"/>
  <c r="L84" i="30"/>
  <c r="G84" i="30"/>
  <c r="AP83" i="30"/>
  <c r="AK83" i="30"/>
  <c r="AF83" i="30"/>
  <c r="AA83" i="30"/>
  <c r="V83" i="30"/>
  <c r="Q83" i="30"/>
  <c r="L83" i="30"/>
  <c r="G83" i="30"/>
  <c r="AP82" i="30"/>
  <c r="AK82" i="30"/>
  <c r="AF82" i="30"/>
  <c r="AA82" i="30"/>
  <c r="V82" i="30"/>
  <c r="Q82" i="30"/>
  <c r="L82" i="30"/>
  <c r="G82" i="30"/>
  <c r="AP81" i="30"/>
  <c r="AK81" i="30"/>
  <c r="AF81" i="30"/>
  <c r="AA81" i="30"/>
  <c r="V81" i="30"/>
  <c r="Q81" i="30"/>
  <c r="L81" i="30"/>
  <c r="G81" i="30"/>
  <c r="AP80" i="30"/>
  <c r="AK80" i="30"/>
  <c r="AF80" i="30"/>
  <c r="AA80" i="30"/>
  <c r="V80" i="30"/>
  <c r="Q80" i="30"/>
  <c r="L80" i="30"/>
  <c r="G80" i="30"/>
  <c r="AP79" i="30"/>
  <c r="AK79" i="30"/>
  <c r="AF79" i="30"/>
  <c r="AA79" i="30"/>
  <c r="V79" i="30"/>
  <c r="Q79" i="30"/>
  <c r="L79" i="30"/>
  <c r="G79" i="30"/>
  <c r="AP78" i="30"/>
  <c r="AK78" i="30"/>
  <c r="AF78" i="30"/>
  <c r="AA78" i="30"/>
  <c r="V78" i="30"/>
  <c r="Q78" i="30"/>
  <c r="L78" i="30"/>
  <c r="G78" i="30"/>
  <c r="AP77" i="30"/>
  <c r="AK77" i="30"/>
  <c r="AF77" i="30"/>
  <c r="AA77" i="30"/>
  <c r="V77" i="30"/>
  <c r="Q77" i="30"/>
  <c r="L77" i="30"/>
  <c r="G77" i="30"/>
  <c r="AP76" i="30"/>
  <c r="AK76" i="30"/>
  <c r="AF76" i="30"/>
  <c r="AA76" i="30"/>
  <c r="V76" i="30"/>
  <c r="Q76" i="30"/>
  <c r="L76" i="30"/>
  <c r="G76" i="30"/>
  <c r="AP75" i="30"/>
  <c r="AF75" i="30"/>
  <c r="AA75" i="30"/>
  <c r="V75" i="30"/>
  <c r="Q75" i="30"/>
  <c r="L75" i="30"/>
  <c r="G75" i="30"/>
  <c r="AP74" i="30"/>
  <c r="AF74" i="30"/>
  <c r="AA74" i="30"/>
  <c r="V74" i="30"/>
  <c r="Q74" i="30"/>
  <c r="L74" i="30"/>
  <c r="G74" i="30"/>
  <c r="AP73" i="30"/>
  <c r="AF73" i="30"/>
  <c r="AA73" i="30"/>
  <c r="V73" i="30"/>
  <c r="Q73" i="30"/>
  <c r="L73" i="30"/>
  <c r="G73" i="30"/>
  <c r="AP72" i="30"/>
  <c r="AF72" i="30"/>
  <c r="AA72" i="30"/>
  <c r="V72" i="30"/>
  <c r="Q72" i="30"/>
  <c r="L72" i="30"/>
  <c r="G72" i="30"/>
  <c r="AP71" i="30"/>
  <c r="AF71" i="30"/>
  <c r="AA71" i="30"/>
  <c r="V71" i="30"/>
  <c r="Q71" i="30"/>
  <c r="L71" i="30"/>
  <c r="G71" i="30"/>
  <c r="AP70" i="30"/>
  <c r="AF70" i="30"/>
  <c r="AA70" i="30"/>
  <c r="V70" i="30"/>
  <c r="Q70" i="30"/>
  <c r="L70" i="30"/>
  <c r="G70" i="30"/>
  <c r="AP69" i="30"/>
  <c r="AF69" i="30"/>
  <c r="AA69" i="30"/>
  <c r="V69" i="30"/>
  <c r="Q69" i="30"/>
  <c r="L69" i="30"/>
  <c r="G69" i="30"/>
  <c r="AP68" i="30"/>
  <c r="AF68" i="30"/>
  <c r="AA68" i="30"/>
  <c r="V68" i="30"/>
  <c r="Q68" i="30"/>
  <c r="L68" i="30"/>
  <c r="G68" i="30"/>
  <c r="AP67" i="30"/>
  <c r="AF67" i="30"/>
  <c r="AA67" i="30"/>
  <c r="V67" i="30"/>
  <c r="Q67" i="30"/>
  <c r="L67" i="30"/>
  <c r="G67" i="30"/>
  <c r="AP66" i="30"/>
  <c r="AF66" i="30"/>
  <c r="AA66" i="30"/>
  <c r="V66" i="30"/>
  <c r="Q66" i="30"/>
  <c r="L66" i="30"/>
  <c r="G66" i="30"/>
  <c r="AP65" i="30"/>
  <c r="AF65" i="30"/>
  <c r="AA65" i="30"/>
  <c r="V65" i="30"/>
  <c r="Q65" i="30"/>
  <c r="L65" i="30"/>
  <c r="G65" i="30"/>
  <c r="AP64" i="30"/>
  <c r="AF64" i="30"/>
  <c r="AA64" i="30"/>
  <c r="V64" i="30"/>
  <c r="Q64" i="30"/>
  <c r="L64" i="30"/>
  <c r="G64" i="30"/>
  <c r="AP63" i="30"/>
  <c r="AK63" i="30"/>
  <c r="AF63" i="30"/>
  <c r="AA63" i="30"/>
  <c r="V63" i="30"/>
  <c r="Q63" i="30"/>
  <c r="L63" i="30"/>
  <c r="G63" i="30"/>
  <c r="AP62" i="30"/>
  <c r="AK62" i="30"/>
  <c r="AF62" i="30"/>
  <c r="AA62" i="30"/>
  <c r="V62" i="30"/>
  <c r="Q62" i="30"/>
  <c r="L62" i="30"/>
  <c r="G62" i="30"/>
  <c r="AP61" i="30"/>
  <c r="AK61" i="30"/>
  <c r="AF61" i="30"/>
  <c r="AA61" i="30"/>
  <c r="V61" i="30"/>
  <c r="Q61" i="30"/>
  <c r="L61" i="30"/>
  <c r="G61" i="30"/>
  <c r="AP60" i="30"/>
  <c r="AK60" i="30"/>
  <c r="AF60" i="30"/>
  <c r="AA60" i="30"/>
  <c r="V60" i="30"/>
  <c r="Q60" i="30"/>
  <c r="L60" i="30"/>
  <c r="G60" i="30"/>
  <c r="AP59" i="30"/>
  <c r="AK59" i="30"/>
  <c r="AF59" i="30"/>
  <c r="AA59" i="30"/>
  <c r="V59" i="30"/>
  <c r="Q59" i="30"/>
  <c r="L59" i="30"/>
  <c r="G59" i="30"/>
  <c r="AP58" i="30"/>
  <c r="AK58" i="30"/>
  <c r="AF58" i="30"/>
  <c r="AA58" i="30"/>
  <c r="V58" i="30"/>
  <c r="Q58" i="30"/>
  <c r="L58" i="30"/>
  <c r="G58" i="30"/>
  <c r="AP57" i="30"/>
  <c r="AK57" i="30"/>
  <c r="AF57" i="30"/>
  <c r="AA57" i="30"/>
  <c r="V57" i="30"/>
  <c r="Q57" i="30"/>
  <c r="L57" i="30"/>
  <c r="G57" i="30"/>
  <c r="AP56" i="30"/>
  <c r="AK56" i="30"/>
  <c r="AF56" i="30"/>
  <c r="AA56" i="30"/>
  <c r="V56" i="30"/>
  <c r="Q56" i="30"/>
  <c r="L56" i="30"/>
  <c r="G56" i="30"/>
  <c r="AP55" i="30"/>
  <c r="AF55" i="30"/>
  <c r="AA55" i="30"/>
  <c r="V55" i="30"/>
  <c r="Q55" i="30"/>
  <c r="L55" i="30"/>
  <c r="G55" i="30"/>
  <c r="AP54" i="30"/>
  <c r="AF54" i="30"/>
  <c r="AA54" i="30"/>
  <c r="V54" i="30"/>
  <c r="Q54" i="30"/>
  <c r="L54" i="30"/>
  <c r="G54" i="30"/>
  <c r="AP53" i="30"/>
  <c r="AF53" i="30"/>
  <c r="AA53" i="30"/>
  <c r="V53" i="30"/>
  <c r="Q53" i="30"/>
  <c r="L53" i="30"/>
  <c r="G53" i="30"/>
  <c r="AP52" i="30"/>
  <c r="AF52" i="30"/>
  <c r="AA52" i="30"/>
  <c r="V52" i="30"/>
  <c r="Q52" i="30"/>
  <c r="L52" i="30"/>
  <c r="G52" i="30"/>
  <c r="AP51" i="30"/>
  <c r="AF51" i="30"/>
  <c r="AA51" i="30"/>
  <c r="V51" i="30"/>
  <c r="Q51" i="30"/>
  <c r="L51" i="30"/>
  <c r="G51" i="30"/>
  <c r="AP50" i="30"/>
  <c r="AF50" i="30"/>
  <c r="AA50" i="30"/>
  <c r="V50" i="30"/>
  <c r="Q50" i="30"/>
  <c r="L50" i="30"/>
  <c r="G50" i="30"/>
  <c r="AP49" i="30"/>
  <c r="AF49" i="30"/>
  <c r="AA49" i="30"/>
  <c r="V49" i="30"/>
  <c r="Q49" i="30"/>
  <c r="L49" i="30"/>
  <c r="G49" i="30"/>
  <c r="AP48" i="30"/>
  <c r="AF48" i="30"/>
  <c r="AA48" i="30"/>
  <c r="V48" i="30"/>
  <c r="Q48" i="30"/>
  <c r="L48" i="30"/>
  <c r="G48" i="30"/>
  <c r="AP47" i="30"/>
  <c r="AK47" i="30"/>
  <c r="AF47" i="30"/>
  <c r="AA47" i="30"/>
  <c r="V47" i="30"/>
  <c r="Q47" i="30"/>
  <c r="L47" i="30"/>
  <c r="G47" i="30"/>
  <c r="AP46" i="30"/>
  <c r="AK46" i="30"/>
  <c r="AF46" i="30"/>
  <c r="AA46" i="30"/>
  <c r="V46" i="30"/>
  <c r="Q46" i="30"/>
  <c r="L46" i="30"/>
  <c r="G46" i="30"/>
  <c r="AP45" i="30"/>
  <c r="AK45" i="30"/>
  <c r="AF45" i="30"/>
  <c r="AA45" i="30"/>
  <c r="V45" i="30"/>
  <c r="Q45" i="30"/>
  <c r="L45" i="30"/>
  <c r="G45" i="30"/>
  <c r="AP44" i="30"/>
  <c r="AK44" i="30"/>
  <c r="AF44" i="30"/>
  <c r="AA44" i="30"/>
  <c r="V44" i="30"/>
  <c r="Q44" i="30"/>
  <c r="L44" i="30"/>
  <c r="G44" i="30"/>
  <c r="AP43" i="30"/>
  <c r="AF43" i="30"/>
  <c r="AA43" i="30"/>
  <c r="V43" i="30"/>
  <c r="Q43" i="30"/>
  <c r="L43" i="30"/>
  <c r="G43" i="30"/>
  <c r="AP42" i="30"/>
  <c r="AF42" i="30"/>
  <c r="AA42" i="30"/>
  <c r="V42" i="30"/>
  <c r="Q42" i="30"/>
  <c r="L42" i="30"/>
  <c r="G42" i="30"/>
  <c r="AP41" i="30"/>
  <c r="AF41" i="30"/>
  <c r="AA41" i="30"/>
  <c r="V41" i="30"/>
  <c r="Q41" i="30"/>
  <c r="L41" i="30"/>
  <c r="G41" i="30"/>
  <c r="AP40" i="30"/>
  <c r="AF40" i="30"/>
  <c r="AA40" i="30"/>
  <c r="V40" i="30"/>
  <c r="Q40" i="30"/>
  <c r="L40" i="30"/>
  <c r="G40" i="30"/>
  <c r="AP39" i="30"/>
  <c r="AF39" i="30"/>
  <c r="AA39" i="30"/>
  <c r="V39" i="30"/>
  <c r="Q39" i="30"/>
  <c r="L39" i="30"/>
  <c r="G39" i="30"/>
  <c r="AP38" i="30"/>
  <c r="AF38" i="30"/>
  <c r="AA38" i="30"/>
  <c r="V38" i="30"/>
  <c r="Q38" i="30"/>
  <c r="L38" i="30"/>
  <c r="G38" i="30"/>
  <c r="AP37" i="30"/>
  <c r="AF37" i="30"/>
  <c r="AA37" i="30"/>
  <c r="V37" i="30"/>
  <c r="Q37" i="30"/>
  <c r="L37" i="30"/>
  <c r="G37" i="30"/>
  <c r="AP36" i="30"/>
  <c r="AF36" i="30"/>
  <c r="AA36" i="30"/>
  <c r="V36" i="30"/>
  <c r="Q36" i="30"/>
  <c r="L36" i="30"/>
  <c r="G36" i="30"/>
  <c r="AP35" i="30"/>
  <c r="AF35" i="30"/>
  <c r="AA35" i="30"/>
  <c r="V35" i="30"/>
  <c r="Q35" i="30"/>
  <c r="L35" i="30"/>
  <c r="G35" i="30"/>
  <c r="AP34" i="30"/>
  <c r="AF34" i="30"/>
  <c r="AA34" i="30"/>
  <c r="V34" i="30"/>
  <c r="Q34" i="30"/>
  <c r="L34" i="30"/>
  <c r="G34" i="30"/>
  <c r="AP33" i="30"/>
  <c r="AF33" i="30"/>
  <c r="AA33" i="30"/>
  <c r="V33" i="30"/>
  <c r="Q33" i="30"/>
  <c r="L33" i="30"/>
  <c r="G33" i="30"/>
  <c r="AP32" i="30"/>
  <c r="AF32" i="30"/>
  <c r="AA32" i="30"/>
  <c r="V32" i="30"/>
  <c r="Q32" i="30"/>
  <c r="L32" i="30"/>
  <c r="G32" i="30"/>
  <c r="AP31" i="30"/>
  <c r="AK31" i="30"/>
  <c r="AF31" i="30"/>
  <c r="AA31" i="30"/>
  <c r="V31" i="30"/>
  <c r="Q31" i="30"/>
  <c r="L31" i="30"/>
  <c r="G31" i="30"/>
  <c r="AP30" i="30"/>
  <c r="AK30" i="30"/>
  <c r="AF30" i="30"/>
  <c r="AA30" i="30"/>
  <c r="V30" i="30"/>
  <c r="Q30" i="30"/>
  <c r="L30" i="30"/>
  <c r="G30" i="30"/>
  <c r="AP29" i="30"/>
  <c r="AK29" i="30"/>
  <c r="AF29" i="30"/>
  <c r="AA29" i="30"/>
  <c r="V29" i="30"/>
  <c r="Q29" i="30"/>
  <c r="L29" i="30"/>
  <c r="G29" i="30"/>
  <c r="AP28" i="30"/>
  <c r="AK28" i="30"/>
  <c r="AF28" i="30"/>
  <c r="AA28" i="30"/>
  <c r="V28" i="30"/>
  <c r="Q28" i="30"/>
  <c r="L28" i="30"/>
  <c r="G28" i="30"/>
  <c r="AP27" i="30"/>
  <c r="AK27" i="30"/>
  <c r="AF27" i="30"/>
  <c r="AA27" i="30"/>
  <c r="V27" i="30"/>
  <c r="Q27" i="30"/>
  <c r="L27" i="30"/>
  <c r="G27" i="30"/>
  <c r="AP26" i="30"/>
  <c r="AK26" i="30"/>
  <c r="AF26" i="30"/>
  <c r="AA26" i="30"/>
  <c r="V26" i="30"/>
  <c r="Q26" i="30"/>
  <c r="L26" i="30"/>
  <c r="G26" i="30"/>
  <c r="AP25" i="30"/>
  <c r="AK25" i="30"/>
  <c r="AF25" i="30"/>
  <c r="AA25" i="30"/>
  <c r="V25" i="30"/>
  <c r="Q25" i="30"/>
  <c r="L25" i="30"/>
  <c r="G25" i="30"/>
  <c r="AP24" i="30"/>
  <c r="AK24" i="30"/>
  <c r="AF24" i="30"/>
  <c r="AA24" i="30"/>
  <c r="V24" i="30"/>
  <c r="Q24" i="30"/>
  <c r="L24" i="30"/>
  <c r="G24" i="30"/>
  <c r="AP23" i="30"/>
  <c r="AF23" i="30"/>
  <c r="AA23" i="30"/>
  <c r="V23" i="30"/>
  <c r="Q23" i="30"/>
  <c r="L23" i="30"/>
  <c r="G23" i="30"/>
  <c r="AP22" i="30"/>
  <c r="AF22" i="30"/>
  <c r="AA22" i="30"/>
  <c r="V22" i="30"/>
  <c r="Q22" i="30"/>
  <c r="L22" i="30"/>
  <c r="G22" i="30"/>
  <c r="AP21" i="30"/>
  <c r="AF21" i="30"/>
  <c r="AA21" i="30"/>
  <c r="V21" i="30"/>
  <c r="Q21" i="30"/>
  <c r="L21" i="30"/>
  <c r="G21" i="30"/>
  <c r="AP20" i="30"/>
  <c r="AF20" i="30"/>
  <c r="AA20" i="30"/>
  <c r="V20" i="30"/>
  <c r="Q20" i="30"/>
  <c r="L20" i="30"/>
  <c r="G20" i="30"/>
  <c r="AP19" i="30"/>
  <c r="AF19" i="30"/>
  <c r="AA19" i="30"/>
  <c r="V19" i="30"/>
  <c r="Q19" i="30"/>
  <c r="L19" i="30"/>
  <c r="G19" i="30"/>
  <c r="AP18" i="30"/>
  <c r="AF18" i="30"/>
  <c r="AA18" i="30"/>
  <c r="V18" i="30"/>
  <c r="Q18" i="30"/>
  <c r="L18" i="30"/>
  <c r="G18" i="30"/>
  <c r="AP17" i="30"/>
  <c r="AF17" i="30"/>
  <c r="AA17" i="30"/>
  <c r="V17" i="30"/>
  <c r="Q17" i="30"/>
  <c r="L17" i="30"/>
  <c r="G17" i="30"/>
  <c r="AP16" i="30"/>
  <c r="AF16" i="30"/>
  <c r="AA16" i="30"/>
  <c r="V16" i="30"/>
  <c r="Q16" i="30"/>
  <c r="L16" i="30"/>
  <c r="G16" i="30"/>
  <c r="AP15" i="30"/>
  <c r="AK15" i="30"/>
  <c r="AF15" i="30"/>
  <c r="AA15" i="30"/>
  <c r="V15" i="30"/>
  <c r="Q15" i="30"/>
  <c r="L15" i="30"/>
  <c r="G15" i="30"/>
  <c r="AP14" i="30"/>
  <c r="AK14" i="30"/>
  <c r="AF14" i="30"/>
  <c r="AA14" i="30"/>
  <c r="V14" i="30"/>
  <c r="Q14" i="30"/>
  <c r="L14" i="30"/>
  <c r="G14" i="30"/>
  <c r="AP13" i="30"/>
  <c r="AK13" i="30"/>
  <c r="AF13" i="30"/>
  <c r="AA13" i="30"/>
  <c r="V13" i="30"/>
  <c r="Q13" i="30"/>
  <c r="L13" i="30"/>
  <c r="G13" i="30"/>
  <c r="AP12" i="30"/>
  <c r="AK12" i="30"/>
  <c r="AF12" i="30"/>
  <c r="AA12" i="30"/>
  <c r="V12" i="30"/>
  <c r="Q12" i="30"/>
  <c r="L12" i="30"/>
  <c r="G12" i="30"/>
  <c r="AP11" i="30"/>
  <c r="AF11" i="30"/>
  <c r="AA11" i="30"/>
  <c r="V11" i="30"/>
  <c r="Q11" i="30"/>
  <c r="L11" i="30"/>
  <c r="G11" i="30"/>
  <c r="AP10" i="30"/>
  <c r="AF10" i="30"/>
  <c r="AA10" i="30"/>
  <c r="V10" i="30"/>
  <c r="Q10" i="30"/>
  <c r="L10" i="30"/>
  <c r="G10" i="30"/>
  <c r="AP9" i="30"/>
  <c r="AF9" i="30"/>
  <c r="AA9" i="30"/>
  <c r="V9" i="30"/>
  <c r="Q9" i="30"/>
  <c r="L9" i="30"/>
  <c r="G9" i="30"/>
  <c r="AP8" i="30"/>
  <c r="AF8" i="30"/>
  <c r="AA8" i="30"/>
  <c r="V8" i="30"/>
  <c r="Q8" i="30"/>
  <c r="L8" i="30"/>
  <c r="G8" i="30"/>
  <c r="AP7" i="30"/>
  <c r="AF7" i="30"/>
  <c r="AA7" i="30"/>
  <c r="V7" i="30"/>
  <c r="Q7" i="30"/>
  <c r="L7" i="30"/>
  <c r="G7" i="30"/>
  <c r="AP6" i="30"/>
  <c r="AF6" i="30"/>
  <c r="AA6" i="30"/>
  <c r="V6" i="30"/>
  <c r="Q6" i="30"/>
  <c r="L6" i="30"/>
  <c r="G6" i="30"/>
  <c r="AP5" i="30"/>
  <c r="AF5" i="30"/>
  <c r="AA5" i="30"/>
  <c r="V5" i="30"/>
  <c r="Q5" i="30"/>
  <c r="L5" i="30"/>
  <c r="G5" i="30"/>
  <c r="AP4" i="30"/>
  <c r="AF4" i="30"/>
  <c r="AA4" i="30"/>
  <c r="V4" i="30"/>
  <c r="Q4" i="30"/>
  <c r="L4" i="30"/>
  <c r="G4" i="30"/>
  <c r="B9" i="27"/>
  <c r="B3" i="30"/>
  <c r="B7" i="30" s="1"/>
  <c r="AR101" i="27"/>
  <c r="AP101" i="27"/>
  <c r="N101" i="27"/>
  <c r="P101" i="27"/>
  <c r="U101" i="27"/>
  <c r="W101" i="27"/>
  <c r="AB101" i="27"/>
  <c r="AD101" i="27"/>
  <c r="AI101" i="27"/>
  <c r="AK101" i="27"/>
  <c r="G101" i="27"/>
  <c r="I101" i="27"/>
  <c r="Q51" i="28"/>
  <c r="B6" i="28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AN101" i="27"/>
  <c r="AX101" i="27"/>
  <c r="AU101" i="27"/>
  <c r="Z101" i="27"/>
  <c r="S101" i="27"/>
  <c r="Q101" i="28"/>
  <c r="AK6" i="28"/>
  <c r="AK5" i="28"/>
  <c r="AK4" i="28"/>
  <c r="AP99" i="28"/>
  <c r="AP98" i="28"/>
  <c r="AP97" i="28"/>
  <c r="AP96" i="28"/>
  <c r="AP95" i="28"/>
  <c r="AP94" i="28"/>
  <c r="AP93" i="28"/>
  <c r="AP92" i="28"/>
  <c r="AP91" i="28"/>
  <c r="AP90" i="28"/>
  <c r="AP89" i="28"/>
  <c r="AP88" i="28"/>
  <c r="AP87" i="28"/>
  <c r="AP86" i="28"/>
  <c r="AP85" i="28"/>
  <c r="AP84" i="28"/>
  <c r="AP83" i="28"/>
  <c r="AP82" i="28"/>
  <c r="AP81" i="28"/>
  <c r="AP80" i="28"/>
  <c r="AP79" i="28"/>
  <c r="AP78" i="28"/>
  <c r="AP77" i="28"/>
  <c r="AP76" i="28"/>
  <c r="AP75" i="28"/>
  <c r="AP74" i="28"/>
  <c r="AP73" i="28"/>
  <c r="AP72" i="28"/>
  <c r="AP71" i="28"/>
  <c r="AP70" i="28"/>
  <c r="AP69" i="28"/>
  <c r="AP68" i="28"/>
  <c r="AP67" i="28"/>
  <c r="AP66" i="28"/>
  <c r="AP65" i="28"/>
  <c r="AP64" i="28"/>
  <c r="AP63" i="28"/>
  <c r="AP62" i="28"/>
  <c r="AP61" i="28"/>
  <c r="AP60" i="28"/>
  <c r="AP59" i="28"/>
  <c r="AP58" i="28"/>
  <c r="AP57" i="28"/>
  <c r="AP56" i="28"/>
  <c r="AP55" i="28"/>
  <c r="AP54" i="28"/>
  <c r="AP53" i="28"/>
  <c r="AP52" i="28"/>
  <c r="AP51" i="28"/>
  <c r="AP50" i="28"/>
  <c r="AP49" i="28"/>
  <c r="AP48" i="28"/>
  <c r="AP47" i="28"/>
  <c r="AP46" i="28"/>
  <c r="AP45" i="28"/>
  <c r="AP44" i="28"/>
  <c r="AP43" i="28"/>
  <c r="AP42" i="28"/>
  <c r="AP41" i="28"/>
  <c r="AP40" i="28"/>
  <c r="AP39" i="28"/>
  <c r="AP38" i="28"/>
  <c r="AP37" i="28"/>
  <c r="AP36" i="28"/>
  <c r="AP35" i="28"/>
  <c r="AP34" i="28"/>
  <c r="AP33" i="28"/>
  <c r="AP32" i="28"/>
  <c r="AP31" i="28"/>
  <c r="AP30" i="28"/>
  <c r="AP29" i="28"/>
  <c r="AP28" i="28"/>
  <c r="AP27" i="28"/>
  <c r="AP26" i="28"/>
  <c r="AP25" i="28"/>
  <c r="AP24" i="28"/>
  <c r="AP23" i="28"/>
  <c r="AP22" i="28"/>
  <c r="AP21" i="28"/>
  <c r="AP20" i="28"/>
  <c r="AP19" i="28"/>
  <c r="AP18" i="28"/>
  <c r="AP17" i="28"/>
  <c r="AP16" i="28"/>
  <c r="AP15" i="28"/>
  <c r="AP14" i="28"/>
  <c r="AP13" i="28"/>
  <c r="AP12" i="28"/>
  <c r="AP11" i="28"/>
  <c r="AP10" i="28"/>
  <c r="AP9" i="28"/>
  <c r="AP8" i="28"/>
  <c r="AP7" i="28"/>
  <c r="AP6" i="28"/>
  <c r="AP5" i="28"/>
  <c r="AP4" i="28"/>
  <c r="AK99" i="28"/>
  <c r="AK98" i="28"/>
  <c r="AK97" i="28"/>
  <c r="AK96" i="28"/>
  <c r="AK95" i="28"/>
  <c r="AK94" i="28"/>
  <c r="AK93" i="28"/>
  <c r="AK92" i="28"/>
  <c r="AK91" i="28"/>
  <c r="AK90" i="28"/>
  <c r="AK89" i="28"/>
  <c r="AK88" i="28"/>
  <c r="AK87" i="28"/>
  <c r="AK86" i="28"/>
  <c r="AK85" i="28"/>
  <c r="AK84" i="28"/>
  <c r="AK83" i="28"/>
  <c r="AK82" i="28"/>
  <c r="AK81" i="28"/>
  <c r="AK80" i="28"/>
  <c r="AK79" i="28"/>
  <c r="AK78" i="28"/>
  <c r="AK77" i="28"/>
  <c r="AK76" i="28"/>
  <c r="AK75" i="28"/>
  <c r="AK74" i="28"/>
  <c r="AK73" i="28"/>
  <c r="AK72" i="28"/>
  <c r="AK71" i="28"/>
  <c r="AK70" i="28"/>
  <c r="AK69" i="28"/>
  <c r="AK68" i="28"/>
  <c r="AK67" i="28"/>
  <c r="AK66" i="28"/>
  <c r="AK65" i="28"/>
  <c r="AK64" i="28"/>
  <c r="AK63" i="28"/>
  <c r="AK62" i="28"/>
  <c r="AK61" i="28"/>
  <c r="AK60" i="28"/>
  <c r="AK59" i="28"/>
  <c r="AK58" i="28"/>
  <c r="AK57" i="28"/>
  <c r="AK56" i="28"/>
  <c r="AK55" i="28"/>
  <c r="AK54" i="28"/>
  <c r="AK53" i="28"/>
  <c r="AK52" i="28"/>
  <c r="AK51" i="28"/>
  <c r="AK50" i="28"/>
  <c r="AK49" i="28"/>
  <c r="AK48" i="28"/>
  <c r="AK47" i="28"/>
  <c r="AK46" i="28"/>
  <c r="AK45" i="28"/>
  <c r="AK44" i="28"/>
  <c r="AK43" i="28"/>
  <c r="AK42" i="28"/>
  <c r="AK41" i="28"/>
  <c r="AK40" i="28"/>
  <c r="AK39" i="28"/>
  <c r="AK38" i="28"/>
  <c r="AK37" i="28"/>
  <c r="AK36" i="28"/>
  <c r="AK35" i="28"/>
  <c r="AK34" i="28"/>
  <c r="AK33" i="28"/>
  <c r="AK32" i="28"/>
  <c r="AK31" i="28"/>
  <c r="AK30" i="28"/>
  <c r="AK29" i="28"/>
  <c r="AK28" i="28"/>
  <c r="AK27" i="28"/>
  <c r="AK26" i="28"/>
  <c r="AK25" i="28"/>
  <c r="AK24" i="28"/>
  <c r="AK23" i="28"/>
  <c r="AK22" i="28"/>
  <c r="AK21" i="28"/>
  <c r="AK20" i="28"/>
  <c r="AK19" i="28"/>
  <c r="AK18" i="28"/>
  <c r="AK17" i="28"/>
  <c r="AK16" i="28"/>
  <c r="AK15" i="28"/>
  <c r="AK14" i="28"/>
  <c r="AK13" i="28"/>
  <c r="AK12" i="28"/>
  <c r="AK11" i="28"/>
  <c r="AK10" i="28"/>
  <c r="AK9" i="28"/>
  <c r="AK8" i="28"/>
  <c r="AK7" i="28"/>
  <c r="AF99" i="28"/>
  <c r="AF98" i="28"/>
  <c r="AF97" i="28"/>
  <c r="AF96" i="28"/>
  <c r="AF95" i="28"/>
  <c r="AF94" i="28"/>
  <c r="AF93" i="28"/>
  <c r="AF92" i="28"/>
  <c r="AF91" i="28"/>
  <c r="AF90" i="28"/>
  <c r="AF89" i="28"/>
  <c r="AF88" i="28"/>
  <c r="AF87" i="28"/>
  <c r="AF86" i="28"/>
  <c r="AF85" i="28"/>
  <c r="AF84" i="28"/>
  <c r="AF83" i="28"/>
  <c r="AF82" i="28"/>
  <c r="AF81" i="28"/>
  <c r="AF80" i="28"/>
  <c r="AF79" i="28"/>
  <c r="AF78" i="28"/>
  <c r="AF77" i="28"/>
  <c r="AF76" i="28"/>
  <c r="AF75" i="28"/>
  <c r="AF74" i="28"/>
  <c r="AF73" i="28"/>
  <c r="AF72" i="28"/>
  <c r="AF71" i="28"/>
  <c r="AF70" i="28"/>
  <c r="AF69" i="28"/>
  <c r="AF68" i="28"/>
  <c r="AF67" i="28"/>
  <c r="AF66" i="28"/>
  <c r="AF65" i="28"/>
  <c r="AF64" i="28"/>
  <c r="AF63" i="28"/>
  <c r="AF62" i="28"/>
  <c r="AF61" i="28"/>
  <c r="AF60" i="28"/>
  <c r="AF59" i="28"/>
  <c r="AF58" i="28"/>
  <c r="AF57" i="28"/>
  <c r="AF56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F9" i="28"/>
  <c r="AF8" i="28"/>
  <c r="AF7" i="28"/>
  <c r="AF6" i="28"/>
  <c r="AF5" i="28"/>
  <c r="AF4" i="28"/>
  <c r="AA99" i="28"/>
  <c r="AA98" i="28"/>
  <c r="AA97" i="28"/>
  <c r="AA96" i="28"/>
  <c r="AA95" i="28"/>
  <c r="AA94" i="28"/>
  <c r="AA93" i="28"/>
  <c r="AA92" i="28"/>
  <c r="AA91" i="28"/>
  <c r="AA90" i="28"/>
  <c r="AA89" i="28"/>
  <c r="AA88" i="28"/>
  <c r="AA87" i="28"/>
  <c r="AA86" i="28"/>
  <c r="AA85" i="28"/>
  <c r="AA84" i="28"/>
  <c r="AA83" i="28"/>
  <c r="AA82" i="28"/>
  <c r="AA81" i="28"/>
  <c r="AA80" i="28"/>
  <c r="AA79" i="28"/>
  <c r="AA78" i="28"/>
  <c r="AA77" i="28"/>
  <c r="AA76" i="28"/>
  <c r="AA75" i="28"/>
  <c r="AA74" i="28"/>
  <c r="AA73" i="28"/>
  <c r="AA72" i="28"/>
  <c r="AA71" i="28"/>
  <c r="AA70" i="28"/>
  <c r="AA69" i="28"/>
  <c r="AA68" i="28"/>
  <c r="AA67" i="28"/>
  <c r="AA66" i="28"/>
  <c r="AA65" i="28"/>
  <c r="AA64" i="28"/>
  <c r="AA63" i="28"/>
  <c r="AA62" i="28"/>
  <c r="AA61" i="28"/>
  <c r="AA60" i="28"/>
  <c r="AA59" i="28"/>
  <c r="AA58" i="28"/>
  <c r="AA57" i="28"/>
  <c r="AA56" i="28"/>
  <c r="AA55" i="28"/>
  <c r="AA54" i="28"/>
  <c r="AA53" i="28"/>
  <c r="AA52" i="28"/>
  <c r="AA51" i="28"/>
  <c r="AA50" i="28"/>
  <c r="AA49" i="28"/>
  <c r="AA48" i="28"/>
  <c r="AA47" i="28"/>
  <c r="AA46" i="28"/>
  <c r="AA45" i="28"/>
  <c r="AA44" i="28"/>
  <c r="AA43" i="28"/>
  <c r="AA42" i="28"/>
  <c r="AA41" i="28"/>
  <c r="AA40" i="28"/>
  <c r="AA39" i="28"/>
  <c r="AA38" i="28"/>
  <c r="AA37" i="28"/>
  <c r="AA36" i="28"/>
  <c r="AA35" i="28"/>
  <c r="AA34" i="28"/>
  <c r="AA33" i="28"/>
  <c r="AA32" i="28"/>
  <c r="AA31" i="28"/>
  <c r="AA30" i="28"/>
  <c r="AA29" i="28"/>
  <c r="AA28" i="28"/>
  <c r="AA27" i="28"/>
  <c r="AA26" i="28"/>
  <c r="AA25" i="28"/>
  <c r="AA24" i="28"/>
  <c r="AA23" i="28"/>
  <c r="AA22" i="28"/>
  <c r="AA21" i="28"/>
  <c r="AA20" i="28"/>
  <c r="AA19" i="28"/>
  <c r="AA18" i="28"/>
  <c r="AA17" i="28"/>
  <c r="AA16" i="28"/>
  <c r="AA15" i="28"/>
  <c r="AA14" i="28"/>
  <c r="AA13" i="28"/>
  <c r="AA12" i="28"/>
  <c r="AA11" i="28"/>
  <c r="AA10" i="28"/>
  <c r="AA9" i="28"/>
  <c r="AA8" i="28"/>
  <c r="AA7" i="28"/>
  <c r="AA6" i="28"/>
  <c r="AA5" i="28"/>
  <c r="AA4" i="28"/>
  <c r="V99" i="28"/>
  <c r="V98" i="28"/>
  <c r="V97" i="28"/>
  <c r="V96" i="28"/>
  <c r="V95" i="28"/>
  <c r="V94" i="28"/>
  <c r="V93" i="28"/>
  <c r="V92" i="28"/>
  <c r="V91" i="28"/>
  <c r="V90" i="28"/>
  <c r="V89" i="28"/>
  <c r="V88" i="28"/>
  <c r="V87" i="28"/>
  <c r="V86" i="28"/>
  <c r="V85" i="28"/>
  <c r="V84" i="28"/>
  <c r="V83" i="28"/>
  <c r="V82" i="28"/>
  <c r="V81" i="28"/>
  <c r="V80" i="28"/>
  <c r="V79" i="28"/>
  <c r="V78" i="28"/>
  <c r="V77" i="28"/>
  <c r="V76" i="28"/>
  <c r="V75" i="28"/>
  <c r="V74" i="28"/>
  <c r="V73" i="28"/>
  <c r="V72" i="28"/>
  <c r="V71" i="28"/>
  <c r="V70" i="28"/>
  <c r="V69" i="28"/>
  <c r="V68" i="28"/>
  <c r="V67" i="28"/>
  <c r="V66" i="28"/>
  <c r="V65" i="28"/>
  <c r="V64" i="28"/>
  <c r="V63" i="28"/>
  <c r="V62" i="28"/>
  <c r="V61" i="28"/>
  <c r="V60" i="28"/>
  <c r="V59" i="28"/>
  <c r="V58" i="28"/>
  <c r="V57" i="28"/>
  <c r="V56" i="28"/>
  <c r="V55" i="28"/>
  <c r="V54" i="28"/>
  <c r="V53" i="28"/>
  <c r="V52" i="28"/>
  <c r="V51" i="28"/>
  <c r="V50" i="28"/>
  <c r="V49" i="28"/>
  <c r="V48" i="28"/>
  <c r="V47" i="28"/>
  <c r="V46" i="28"/>
  <c r="V45" i="28"/>
  <c r="V44" i="28"/>
  <c r="V43" i="28"/>
  <c r="V42" i="28"/>
  <c r="V41" i="28"/>
  <c r="V40" i="28"/>
  <c r="V39" i="28"/>
  <c r="V38" i="28"/>
  <c r="V37" i="28"/>
  <c r="V36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V22" i="28"/>
  <c r="V21" i="28"/>
  <c r="V20" i="28"/>
  <c r="V19" i="28"/>
  <c r="V18" i="28"/>
  <c r="V17" i="28"/>
  <c r="V16" i="28"/>
  <c r="V15" i="28"/>
  <c r="V14" i="28"/>
  <c r="V13" i="28"/>
  <c r="V12" i="28"/>
  <c r="V11" i="28"/>
  <c r="V10" i="28"/>
  <c r="V9" i="28"/>
  <c r="V8" i="28"/>
  <c r="V7" i="28"/>
  <c r="V6" i="28"/>
  <c r="V5" i="28"/>
  <c r="V4" i="28"/>
  <c r="Q99" i="28"/>
  <c r="Q98" i="28"/>
  <c r="Q97" i="28"/>
  <c r="Q96" i="28"/>
  <c r="Q95" i="28"/>
  <c r="Q94" i="28"/>
  <c r="Q93" i="28"/>
  <c r="Q92" i="28"/>
  <c r="Q91" i="28"/>
  <c r="Q90" i="28"/>
  <c r="Q89" i="28"/>
  <c r="Q88" i="28"/>
  <c r="Q87" i="28"/>
  <c r="Q86" i="28"/>
  <c r="Q85" i="28"/>
  <c r="Q84" i="28"/>
  <c r="Q83" i="28"/>
  <c r="Q82" i="28"/>
  <c r="Q81" i="28"/>
  <c r="Q80" i="28"/>
  <c r="Q79" i="28"/>
  <c r="Q78" i="28"/>
  <c r="Q77" i="28"/>
  <c r="Q76" i="28"/>
  <c r="Q75" i="28"/>
  <c r="Q74" i="28"/>
  <c r="Q73" i="28"/>
  <c r="Q72" i="28"/>
  <c r="Q71" i="28"/>
  <c r="Q70" i="28"/>
  <c r="Q69" i="28"/>
  <c r="Q68" i="28"/>
  <c r="Q67" i="28"/>
  <c r="Q66" i="28"/>
  <c r="Q65" i="28"/>
  <c r="Q64" i="28"/>
  <c r="Q63" i="28"/>
  <c r="Q62" i="28"/>
  <c r="Q61" i="28"/>
  <c r="Q60" i="28"/>
  <c r="Q59" i="28"/>
  <c r="Q58" i="28"/>
  <c r="Q57" i="28"/>
  <c r="Q56" i="28"/>
  <c r="Q55" i="28"/>
  <c r="Q54" i="28"/>
  <c r="Q53" i="28"/>
  <c r="Q52" i="28"/>
  <c r="Q50" i="28"/>
  <c r="Q49" i="28"/>
  <c r="Q48" i="28"/>
  <c r="Q47" i="28"/>
  <c r="Q46" i="28"/>
  <c r="Q45" i="28"/>
  <c r="Q44" i="28"/>
  <c r="Q43" i="28"/>
  <c r="Q42" i="28"/>
  <c r="Q41" i="28"/>
  <c r="Q40" i="28"/>
  <c r="Q39" i="28"/>
  <c r="Q38" i="28"/>
  <c r="Q37" i="28"/>
  <c r="Q36" i="28"/>
  <c r="Q35" i="28"/>
  <c r="Q34" i="28"/>
  <c r="Q33" i="28"/>
  <c r="Q32" i="28"/>
  <c r="Q31" i="28"/>
  <c r="Q30" i="28"/>
  <c r="Q29" i="28"/>
  <c r="Q28" i="28"/>
  <c r="Q27" i="28"/>
  <c r="Q26" i="28"/>
  <c r="Q25" i="28"/>
  <c r="Q24" i="28"/>
  <c r="Q23" i="28"/>
  <c r="Q22" i="28"/>
  <c r="Q21" i="28"/>
  <c r="Q20" i="28"/>
  <c r="Q19" i="28"/>
  <c r="Q18" i="28"/>
  <c r="Q17" i="28"/>
  <c r="Q16" i="28"/>
  <c r="Q15" i="28"/>
  <c r="Q14" i="28"/>
  <c r="Q13" i="28"/>
  <c r="Q12" i="28"/>
  <c r="Q11" i="28"/>
  <c r="Q10" i="28"/>
  <c r="Q9" i="28"/>
  <c r="Q8" i="28"/>
  <c r="Q7" i="28"/>
  <c r="Q6" i="28"/>
  <c r="Q5" i="28"/>
  <c r="Q4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G99" i="28"/>
  <c r="G98" i="28"/>
  <c r="G97" i="28"/>
  <c r="G96" i="28"/>
  <c r="G95" i="28"/>
  <c r="G94" i="28"/>
  <c r="G93" i="28"/>
  <c r="G92" i="28"/>
  <c r="G91" i="28"/>
  <c r="G90" i="28"/>
  <c r="G89" i="28"/>
  <c r="G88" i="28"/>
  <c r="G87" i="28"/>
  <c r="G86" i="28"/>
  <c r="G85" i="28"/>
  <c r="G84" i="28"/>
  <c r="G83" i="28"/>
  <c r="G82" i="28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37" i="28"/>
  <c r="G6" i="28"/>
  <c r="G5" i="28"/>
  <c r="G4" i="28"/>
  <c r="T4" i="2"/>
  <c r="U4" i="2"/>
  <c r="W4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7" i="2"/>
  <c r="F7" i="2"/>
  <c r="AP101" i="28" l="1"/>
  <c r="E108" i="31"/>
  <c r="D108" i="31"/>
  <c r="C113" i="27" s="1"/>
  <c r="B108" i="31"/>
  <c r="ED66" i="34"/>
  <c r="ED49" i="34"/>
  <c r="ED61" i="34"/>
  <c r="ED73" i="34"/>
  <c r="ED91" i="34"/>
  <c r="ED8" i="34"/>
  <c r="ED20" i="34"/>
  <c r="ED36" i="34"/>
  <c r="ED44" i="34"/>
  <c r="ED56" i="34"/>
  <c r="ED72" i="34"/>
  <c r="ED88" i="34"/>
  <c r="ED10" i="34"/>
  <c r="ED22" i="34"/>
  <c r="ED47" i="34"/>
  <c r="ED62" i="34"/>
  <c r="ED93" i="34"/>
  <c r="ED7" i="34"/>
  <c r="ED19" i="34"/>
  <c r="ED35" i="34"/>
  <c r="ED43" i="34"/>
  <c r="ED55" i="34"/>
  <c r="ED71" i="34"/>
  <c r="ED87" i="34"/>
  <c r="ED38" i="34"/>
  <c r="ED50" i="34"/>
  <c r="ED98" i="34"/>
  <c r="ED21" i="34"/>
  <c r="ED48" i="34"/>
  <c r="ED59" i="34"/>
  <c r="ED64" i="34"/>
  <c r="ED95" i="34"/>
  <c r="ED6" i="34"/>
  <c r="ED18" i="34"/>
  <c r="ED34" i="34"/>
  <c r="ED42" i="34"/>
  <c r="ED54" i="34"/>
  <c r="ED70" i="34"/>
  <c r="ED86" i="34"/>
  <c r="ED45" i="34"/>
  <c r="ED57" i="34"/>
  <c r="ED60" i="34"/>
  <c r="ED65" i="34"/>
  <c r="ED90" i="34"/>
  <c r="ED94" i="34"/>
  <c r="ED97" i="34"/>
  <c r="ED13" i="34"/>
  <c r="ED14" i="34"/>
  <c r="ED15" i="34"/>
  <c r="ED16" i="34"/>
  <c r="ED17" i="34"/>
  <c r="ED25" i="34"/>
  <c r="ED26" i="34"/>
  <c r="ED27" i="34"/>
  <c r="ED28" i="34"/>
  <c r="ED29" i="34"/>
  <c r="ED30" i="34"/>
  <c r="ED31" i="34"/>
  <c r="ED32" i="34"/>
  <c r="ED33" i="34"/>
  <c r="ED41" i="34"/>
  <c r="ED53" i="34"/>
  <c r="ED69" i="34"/>
  <c r="ED77" i="34"/>
  <c r="ED78" i="34"/>
  <c r="ED79" i="34"/>
  <c r="ED80" i="34"/>
  <c r="ED81" i="34"/>
  <c r="ED82" i="34"/>
  <c r="ED83" i="34"/>
  <c r="ED84" i="34"/>
  <c r="ED85" i="34"/>
  <c r="ED12" i="34"/>
  <c r="ED24" i="34"/>
  <c r="ED40" i="34"/>
  <c r="ED52" i="34"/>
  <c r="ED68" i="34"/>
  <c r="ED76" i="34"/>
  <c r="ED100" i="34"/>
  <c r="ED74" i="34"/>
  <c r="ED9" i="34"/>
  <c r="ED37" i="34"/>
  <c r="ED46" i="34"/>
  <c r="ED58" i="34"/>
  <c r="ED63" i="34"/>
  <c r="ED89" i="34"/>
  <c r="ED92" i="34"/>
  <c r="ED96" i="34"/>
  <c r="ED11" i="34"/>
  <c r="ED23" i="34"/>
  <c r="ED39" i="34"/>
  <c r="ED51" i="34"/>
  <c r="ED67" i="34"/>
  <c r="ED75" i="34"/>
  <c r="ED99" i="34"/>
  <c r="X8" i="33"/>
  <c r="X8" i="31" s="1"/>
  <c r="DR8" i="33"/>
  <c r="DR8" i="31" s="1"/>
  <c r="Z8" i="33"/>
  <c r="Z8" i="31" s="1"/>
  <c r="BV8" i="33"/>
  <c r="BV8" i="31" s="1"/>
  <c r="BR8" i="33"/>
  <c r="BR8" i="31" s="1"/>
  <c r="DP8" i="33"/>
  <c r="DP8" i="31" s="1"/>
  <c r="V8" i="33"/>
  <c r="V8" i="31" s="1"/>
  <c r="DN8" i="33"/>
  <c r="DN8" i="31" s="1"/>
  <c r="BT8" i="33"/>
  <c r="BT8" i="31" s="1"/>
  <c r="DD18" i="33"/>
  <c r="DD18" i="31" s="1"/>
  <c r="DB18" i="33"/>
  <c r="DB18" i="31" s="1"/>
  <c r="BH18" i="33"/>
  <c r="BH18" i="31" s="1"/>
  <c r="CZ18" i="33"/>
  <c r="CZ18" i="31" s="1"/>
  <c r="BF18" i="33"/>
  <c r="BF18" i="31" s="1"/>
  <c r="H18" i="33"/>
  <c r="H18" i="31" s="1"/>
  <c r="L18" i="33"/>
  <c r="L18" i="31" s="1"/>
  <c r="BD18" i="33"/>
  <c r="BD18" i="31" s="1"/>
  <c r="J18" i="33"/>
  <c r="J18" i="31" s="1"/>
  <c r="BY21" i="33"/>
  <c r="BY21" i="31" s="1"/>
  <c r="AG21" i="33"/>
  <c r="AG21" i="31" s="1"/>
  <c r="AE21" i="33"/>
  <c r="AE21" i="31" s="1"/>
  <c r="AC21" i="33"/>
  <c r="AC21" i="31" s="1"/>
  <c r="DY21" i="33"/>
  <c r="DY21" i="31" s="1"/>
  <c r="DW21" i="33"/>
  <c r="DW21" i="31" s="1"/>
  <c r="CA21" i="33"/>
  <c r="CA21" i="31" s="1"/>
  <c r="CC21" i="33"/>
  <c r="CC21" i="31" s="1"/>
  <c r="DU21" i="33"/>
  <c r="DU21" i="31" s="1"/>
  <c r="DD34" i="33"/>
  <c r="DD34" i="31" s="1"/>
  <c r="DB34" i="33"/>
  <c r="DB34" i="31" s="1"/>
  <c r="CZ34" i="33"/>
  <c r="CZ34" i="31" s="1"/>
  <c r="BH34" i="33"/>
  <c r="BH34" i="31" s="1"/>
  <c r="BF34" i="33"/>
  <c r="BF34" i="31" s="1"/>
  <c r="BD34" i="33"/>
  <c r="BD34" i="31" s="1"/>
  <c r="L34" i="33"/>
  <c r="L34" i="31" s="1"/>
  <c r="J34" i="33"/>
  <c r="J34" i="31" s="1"/>
  <c r="H34" i="33"/>
  <c r="H34" i="31" s="1"/>
  <c r="D39" i="33"/>
  <c r="EB38" i="31"/>
  <c r="EF38" i="31"/>
  <c r="CJ38" i="33"/>
  <c r="CJ38" i="31" s="1"/>
  <c r="CH38" i="33"/>
  <c r="CF38" i="33"/>
  <c r="CF38" i="31" s="1"/>
  <c r="AN38" i="33"/>
  <c r="AN38" i="31" s="1"/>
  <c r="AL38" i="33"/>
  <c r="AJ38" i="33"/>
  <c r="AJ38" i="31" s="1"/>
  <c r="DR44" i="33"/>
  <c r="DR44" i="31" s="1"/>
  <c r="DP44" i="33"/>
  <c r="DP44" i="31" s="1"/>
  <c r="DN44" i="33"/>
  <c r="DN44" i="31" s="1"/>
  <c r="BV44" i="33"/>
  <c r="BV44" i="31" s="1"/>
  <c r="X44" i="33"/>
  <c r="X44" i="31" s="1"/>
  <c r="V44" i="33"/>
  <c r="V44" i="31" s="1"/>
  <c r="BT44" i="33"/>
  <c r="BT44" i="31" s="1"/>
  <c r="BR44" i="33"/>
  <c r="BR44" i="31" s="1"/>
  <c r="Z44" i="33"/>
  <c r="Z44" i="31" s="1"/>
  <c r="CQ51" i="33"/>
  <c r="CQ51" i="31" s="1"/>
  <c r="EM51" i="33"/>
  <c r="EM51" i="31" s="1"/>
  <c r="CO51" i="33"/>
  <c r="CO51" i="31" s="1"/>
  <c r="AQ51" i="33"/>
  <c r="AQ51" i="31" s="1"/>
  <c r="CM51" i="33"/>
  <c r="CM51" i="31" s="1"/>
  <c r="EI51" i="33"/>
  <c r="EI51" i="31" s="1"/>
  <c r="AU51" i="33"/>
  <c r="AU51" i="31" s="1"/>
  <c r="AS51" i="33"/>
  <c r="AS51" i="31" s="1"/>
  <c r="EK51" i="33"/>
  <c r="EK51" i="31" s="1"/>
  <c r="DW59" i="33"/>
  <c r="DW59" i="31" s="1"/>
  <c r="DU59" i="33"/>
  <c r="DU59" i="31" s="1"/>
  <c r="CC59" i="33"/>
  <c r="CC59" i="31" s="1"/>
  <c r="CA59" i="33"/>
  <c r="CA59" i="31" s="1"/>
  <c r="BY59" i="33"/>
  <c r="BY59" i="31" s="1"/>
  <c r="AG59" i="33"/>
  <c r="AG59" i="31" s="1"/>
  <c r="AE59" i="33"/>
  <c r="AE59" i="31" s="1"/>
  <c r="AC59" i="33"/>
  <c r="AC59" i="31" s="1"/>
  <c r="DY59" i="33"/>
  <c r="DY59" i="31" s="1"/>
  <c r="BK71" i="33"/>
  <c r="BK71" i="31" s="1"/>
  <c r="S71" i="33"/>
  <c r="S71" i="31" s="1"/>
  <c r="Q71" i="33"/>
  <c r="Q71" i="31" s="1"/>
  <c r="O71" i="33"/>
  <c r="O71" i="31" s="1"/>
  <c r="BO71" i="33"/>
  <c r="BO71" i="31" s="1"/>
  <c r="DI71" i="33"/>
  <c r="DI71" i="31" s="1"/>
  <c r="DG71" i="33"/>
  <c r="DG71" i="31" s="1"/>
  <c r="BM71" i="33"/>
  <c r="BM71" i="31" s="1"/>
  <c r="DK71" i="33"/>
  <c r="DK71" i="31" s="1"/>
  <c r="D10" i="33"/>
  <c r="EB9" i="31"/>
  <c r="EF9" i="31"/>
  <c r="AJ9" i="33"/>
  <c r="AJ9" i="31" s="1"/>
  <c r="CJ9" i="33"/>
  <c r="CJ9" i="31" s="1"/>
  <c r="CH9" i="33"/>
  <c r="AN9" i="33"/>
  <c r="AN9" i="31" s="1"/>
  <c r="AL9" i="33"/>
  <c r="CF9" i="33"/>
  <c r="CF9" i="31" s="1"/>
  <c r="H13" i="33"/>
  <c r="H13" i="31" s="1"/>
  <c r="DD13" i="33"/>
  <c r="DD13" i="31" s="1"/>
  <c r="DB13" i="33"/>
  <c r="DB13" i="31" s="1"/>
  <c r="CZ13" i="33"/>
  <c r="CZ13" i="31" s="1"/>
  <c r="L13" i="33"/>
  <c r="L13" i="31" s="1"/>
  <c r="J13" i="33"/>
  <c r="J13" i="31" s="1"/>
  <c r="BH13" i="33"/>
  <c r="BH13" i="31" s="1"/>
  <c r="BF13" i="33"/>
  <c r="BF13" i="31" s="1"/>
  <c r="BD13" i="33"/>
  <c r="BD13" i="31" s="1"/>
  <c r="CZ16" i="33"/>
  <c r="CZ16" i="31" s="1"/>
  <c r="BH16" i="33"/>
  <c r="BH16" i="31" s="1"/>
  <c r="BF16" i="33"/>
  <c r="BF16" i="31" s="1"/>
  <c r="BD16" i="33"/>
  <c r="BD16" i="31" s="1"/>
  <c r="L16" i="33"/>
  <c r="L16" i="31" s="1"/>
  <c r="J16" i="33"/>
  <c r="J16" i="31" s="1"/>
  <c r="H16" i="33"/>
  <c r="H16" i="31" s="1"/>
  <c r="DD16" i="33"/>
  <c r="DD16" i="31" s="1"/>
  <c r="DB16" i="33"/>
  <c r="DB16" i="31" s="1"/>
  <c r="DW20" i="33"/>
  <c r="DW20" i="31" s="1"/>
  <c r="DU20" i="33"/>
  <c r="DU20" i="31" s="1"/>
  <c r="CC20" i="33"/>
  <c r="CC20" i="31" s="1"/>
  <c r="CA20" i="33"/>
  <c r="CA20" i="31" s="1"/>
  <c r="BY20" i="33"/>
  <c r="BY20" i="31" s="1"/>
  <c r="AG20" i="33"/>
  <c r="AG20" i="31" s="1"/>
  <c r="AE20" i="33"/>
  <c r="AE20" i="31" s="1"/>
  <c r="AC20" i="33"/>
  <c r="AC20" i="31" s="1"/>
  <c r="DY20" i="33"/>
  <c r="DY20" i="31" s="1"/>
  <c r="DD27" i="33"/>
  <c r="DD27" i="31" s="1"/>
  <c r="DB27" i="33"/>
  <c r="DB27" i="31" s="1"/>
  <c r="CZ27" i="33"/>
  <c r="CZ27" i="31" s="1"/>
  <c r="BH27" i="33"/>
  <c r="BH27" i="31" s="1"/>
  <c r="BF27" i="33"/>
  <c r="BF27" i="31" s="1"/>
  <c r="H27" i="33"/>
  <c r="H27" i="31" s="1"/>
  <c r="L27" i="33"/>
  <c r="L27" i="31" s="1"/>
  <c r="J27" i="33"/>
  <c r="J27" i="31" s="1"/>
  <c r="BD27" i="33"/>
  <c r="BD27" i="31" s="1"/>
  <c r="CZ30" i="33"/>
  <c r="CZ30" i="31" s="1"/>
  <c r="BH30" i="33"/>
  <c r="BH30" i="31" s="1"/>
  <c r="BF30" i="33"/>
  <c r="BF30" i="31" s="1"/>
  <c r="BD30" i="33"/>
  <c r="BD30" i="31" s="1"/>
  <c r="L30" i="33"/>
  <c r="L30" i="31" s="1"/>
  <c r="J30" i="33"/>
  <c r="J30" i="31" s="1"/>
  <c r="DD30" i="33"/>
  <c r="DD30" i="31" s="1"/>
  <c r="DB30" i="33"/>
  <c r="DB30" i="31" s="1"/>
  <c r="H30" i="33"/>
  <c r="H30" i="31" s="1"/>
  <c r="J33" i="33"/>
  <c r="J33" i="31" s="1"/>
  <c r="H33" i="33"/>
  <c r="H33" i="31" s="1"/>
  <c r="DD33" i="33"/>
  <c r="DD33" i="31" s="1"/>
  <c r="DB33" i="33"/>
  <c r="DB33" i="31" s="1"/>
  <c r="CZ33" i="33"/>
  <c r="CZ33" i="31" s="1"/>
  <c r="BH33" i="33"/>
  <c r="BH33" i="31" s="1"/>
  <c r="BD33" i="33"/>
  <c r="BD33" i="31" s="1"/>
  <c r="BF33" i="33"/>
  <c r="BF33" i="31" s="1"/>
  <c r="L33" i="33"/>
  <c r="L33" i="31" s="1"/>
  <c r="DY36" i="33"/>
  <c r="DY36" i="31" s="1"/>
  <c r="DW36" i="33"/>
  <c r="DW36" i="31" s="1"/>
  <c r="DU36" i="33"/>
  <c r="DU36" i="31" s="1"/>
  <c r="CC36" i="33"/>
  <c r="CC36" i="31" s="1"/>
  <c r="CA36" i="33"/>
  <c r="CA36" i="31" s="1"/>
  <c r="BY36" i="33"/>
  <c r="BY36" i="31" s="1"/>
  <c r="AG36" i="33"/>
  <c r="AG36" i="31" s="1"/>
  <c r="AC36" i="33"/>
  <c r="AC36" i="31" s="1"/>
  <c r="AE36" i="33"/>
  <c r="AE36" i="31" s="1"/>
  <c r="O42" i="33"/>
  <c r="O42" i="31" s="1"/>
  <c r="DK42" i="33"/>
  <c r="DK42" i="31" s="1"/>
  <c r="DI42" i="33"/>
  <c r="DI42" i="31" s="1"/>
  <c r="DG42" i="33"/>
  <c r="DG42" i="31" s="1"/>
  <c r="BO42" i="33"/>
  <c r="BO42" i="31" s="1"/>
  <c r="BM42" i="33"/>
  <c r="BM42" i="31" s="1"/>
  <c r="Q42" i="33"/>
  <c r="Q42" i="31" s="1"/>
  <c r="S42" i="33"/>
  <c r="S42" i="31" s="1"/>
  <c r="BK42" i="33"/>
  <c r="BK42" i="31" s="1"/>
  <c r="D46" i="33"/>
  <c r="EF45" i="31"/>
  <c r="EB45" i="31"/>
  <c r="CJ45" i="33"/>
  <c r="CJ45" i="31" s="1"/>
  <c r="CH45" i="33"/>
  <c r="CF45" i="33"/>
  <c r="CF45" i="31" s="1"/>
  <c r="AN45" i="33"/>
  <c r="AN45" i="31" s="1"/>
  <c r="AL45" i="33"/>
  <c r="AJ45" i="33"/>
  <c r="AJ45" i="31" s="1"/>
  <c r="D48" i="33"/>
  <c r="EB47" i="31"/>
  <c r="EF47" i="31"/>
  <c r="CJ47" i="33"/>
  <c r="CJ47" i="31" s="1"/>
  <c r="CH47" i="33"/>
  <c r="AJ47" i="33"/>
  <c r="AJ47" i="31" s="1"/>
  <c r="AN47" i="33"/>
  <c r="AN47" i="31" s="1"/>
  <c r="CF47" i="33"/>
  <c r="CF47" i="31" s="1"/>
  <c r="AL47" i="33"/>
  <c r="D50" i="33"/>
  <c r="EF49" i="31"/>
  <c r="EB49" i="31"/>
  <c r="CJ49" i="33"/>
  <c r="CJ49" i="31" s="1"/>
  <c r="CH49" i="33"/>
  <c r="CF49" i="33"/>
  <c r="CF49" i="31" s="1"/>
  <c r="AN49" i="33"/>
  <c r="AN49" i="31" s="1"/>
  <c r="AL49" i="33"/>
  <c r="AJ49" i="33"/>
  <c r="AJ49" i="31" s="1"/>
  <c r="BD53" i="33"/>
  <c r="BD53" i="31" s="1"/>
  <c r="DB53" i="33"/>
  <c r="DB53" i="31" s="1"/>
  <c r="J53" i="33"/>
  <c r="J53" i="31" s="1"/>
  <c r="DD53" i="33"/>
  <c r="DD53" i="31" s="1"/>
  <c r="BH53" i="33"/>
  <c r="BH53" i="31" s="1"/>
  <c r="L53" i="33"/>
  <c r="L53" i="31" s="1"/>
  <c r="BF53" i="33"/>
  <c r="BF53" i="31" s="1"/>
  <c r="H53" i="33"/>
  <c r="H53" i="31" s="1"/>
  <c r="CZ53" i="33"/>
  <c r="CZ53" i="31" s="1"/>
  <c r="DY56" i="33"/>
  <c r="DY56" i="31" s="1"/>
  <c r="DW56" i="33"/>
  <c r="DW56" i="31" s="1"/>
  <c r="AE56" i="33"/>
  <c r="AE56" i="31" s="1"/>
  <c r="CC56" i="33"/>
  <c r="CC56" i="31" s="1"/>
  <c r="AC56" i="33"/>
  <c r="AC56" i="31" s="1"/>
  <c r="CA56" i="33"/>
  <c r="CA56" i="31" s="1"/>
  <c r="BY56" i="33"/>
  <c r="BY56" i="31" s="1"/>
  <c r="AG56" i="33"/>
  <c r="AG56" i="31" s="1"/>
  <c r="DU56" i="33"/>
  <c r="DU56" i="31" s="1"/>
  <c r="D60" i="33"/>
  <c r="EB59" i="31"/>
  <c r="CF59" i="33"/>
  <c r="CF59" i="31" s="1"/>
  <c r="AN59" i="33"/>
  <c r="AN59" i="31" s="1"/>
  <c r="AL59" i="33"/>
  <c r="AJ59" i="33"/>
  <c r="AJ59" i="31" s="1"/>
  <c r="EF59" i="31"/>
  <c r="CJ59" i="33"/>
  <c r="CJ59" i="31" s="1"/>
  <c r="CH59" i="33"/>
  <c r="D63" i="33"/>
  <c r="EB62" i="31"/>
  <c r="EF62" i="31"/>
  <c r="AJ62" i="33"/>
  <c r="AJ62" i="31" s="1"/>
  <c r="AN62" i="33"/>
  <c r="AN62" i="31" s="1"/>
  <c r="AL62" i="33"/>
  <c r="CH62" i="33"/>
  <c r="CJ62" i="33"/>
  <c r="CJ62" i="31" s="1"/>
  <c r="CF62" i="33"/>
  <c r="CF62" i="31" s="1"/>
  <c r="D66" i="33"/>
  <c r="EB65" i="31"/>
  <c r="EF65" i="31"/>
  <c r="CJ65" i="33"/>
  <c r="CJ65" i="31" s="1"/>
  <c r="CH65" i="33"/>
  <c r="AL65" i="33"/>
  <c r="AJ65" i="33"/>
  <c r="AJ65" i="31" s="1"/>
  <c r="AN65" i="33"/>
  <c r="AN65" i="31" s="1"/>
  <c r="CF65" i="33"/>
  <c r="CF65" i="31" s="1"/>
  <c r="DK70" i="33"/>
  <c r="DK70" i="31" s="1"/>
  <c r="DI70" i="33"/>
  <c r="DI70" i="31" s="1"/>
  <c r="DG70" i="33"/>
  <c r="DG70" i="31" s="1"/>
  <c r="BO70" i="33"/>
  <c r="BO70" i="31" s="1"/>
  <c r="BM70" i="33"/>
  <c r="BM70" i="31" s="1"/>
  <c r="Q70" i="33"/>
  <c r="Q70" i="31" s="1"/>
  <c r="O70" i="33"/>
  <c r="O70" i="31" s="1"/>
  <c r="BK70" i="33"/>
  <c r="BK70" i="31" s="1"/>
  <c r="S70" i="33"/>
  <c r="S70" i="31" s="1"/>
  <c r="D74" i="33"/>
  <c r="EF73" i="31"/>
  <c r="CJ73" i="33"/>
  <c r="CJ73" i="31" s="1"/>
  <c r="EB73" i="31"/>
  <c r="CF73" i="33"/>
  <c r="CF73" i="31" s="1"/>
  <c r="AN73" i="33"/>
  <c r="AN73" i="31" s="1"/>
  <c r="AL73" i="33"/>
  <c r="AJ73" i="33"/>
  <c r="AJ73" i="31" s="1"/>
  <c r="CH73" i="33"/>
  <c r="H78" i="33"/>
  <c r="H78" i="31" s="1"/>
  <c r="DD78" i="33"/>
  <c r="DD78" i="31" s="1"/>
  <c r="DB78" i="33"/>
  <c r="DB78" i="31" s="1"/>
  <c r="CZ78" i="33"/>
  <c r="CZ78" i="31" s="1"/>
  <c r="BH78" i="33"/>
  <c r="BH78" i="31" s="1"/>
  <c r="J78" i="33"/>
  <c r="J78" i="31" s="1"/>
  <c r="L78" i="33"/>
  <c r="L78" i="31" s="1"/>
  <c r="BF78" i="33"/>
  <c r="BF78" i="31" s="1"/>
  <c r="BD78" i="33"/>
  <c r="BD78" i="31" s="1"/>
  <c r="J85" i="33"/>
  <c r="J85" i="31" s="1"/>
  <c r="H85" i="33"/>
  <c r="H85" i="31" s="1"/>
  <c r="DD85" i="33"/>
  <c r="DD85" i="31" s="1"/>
  <c r="DB85" i="33"/>
  <c r="DB85" i="31" s="1"/>
  <c r="BH85" i="33"/>
  <c r="BH85" i="31" s="1"/>
  <c r="L85" i="33"/>
  <c r="L85" i="31" s="1"/>
  <c r="CZ85" i="33"/>
  <c r="CZ85" i="31" s="1"/>
  <c r="BD85" i="33"/>
  <c r="BD85" i="31" s="1"/>
  <c r="BF85" i="33"/>
  <c r="BF85" i="31" s="1"/>
  <c r="D95" i="33"/>
  <c r="EF94" i="31"/>
  <c r="EB94" i="31"/>
  <c r="AL94" i="33"/>
  <c r="AJ94" i="33"/>
  <c r="AJ94" i="31" s="1"/>
  <c r="CF94" i="33"/>
  <c r="CF94" i="31" s="1"/>
  <c r="AN94" i="33"/>
  <c r="AN94" i="31" s="1"/>
  <c r="CJ94" i="33"/>
  <c r="CJ94" i="31" s="1"/>
  <c r="CH94" i="33"/>
  <c r="BK5" i="33"/>
  <c r="S5" i="33"/>
  <c r="O5" i="33"/>
  <c r="BO5" i="33"/>
  <c r="BM5" i="33"/>
  <c r="DK5" i="33"/>
  <c r="Q5" i="33"/>
  <c r="DG5" i="33"/>
  <c r="DI5" i="33"/>
  <c r="X6" i="33"/>
  <c r="X6" i="31" s="1"/>
  <c r="DR6" i="33"/>
  <c r="DR6" i="31" s="1"/>
  <c r="Z6" i="33"/>
  <c r="Z6" i="31" s="1"/>
  <c r="DN6" i="33"/>
  <c r="DN6" i="31" s="1"/>
  <c r="DP6" i="33"/>
  <c r="DP6" i="31" s="1"/>
  <c r="V6" i="33"/>
  <c r="V6" i="31" s="1"/>
  <c r="BV6" i="33"/>
  <c r="BV6" i="31" s="1"/>
  <c r="BT6" i="33"/>
  <c r="BT6" i="31" s="1"/>
  <c r="BR6" i="33"/>
  <c r="BR6" i="31" s="1"/>
  <c r="BY7" i="33"/>
  <c r="BY7" i="31" s="1"/>
  <c r="AG7" i="33"/>
  <c r="AG7" i="31" s="1"/>
  <c r="AC7" i="33"/>
  <c r="AC7" i="31" s="1"/>
  <c r="DW7" i="33"/>
  <c r="DW7" i="31" s="1"/>
  <c r="CC7" i="33"/>
  <c r="CC7" i="31" s="1"/>
  <c r="CA7" i="33"/>
  <c r="CA7" i="31" s="1"/>
  <c r="DU7" i="33"/>
  <c r="DU7" i="31" s="1"/>
  <c r="DY7" i="33"/>
  <c r="DY7" i="31" s="1"/>
  <c r="AE7" i="33"/>
  <c r="AE7" i="31" s="1"/>
  <c r="D9" i="33"/>
  <c r="EB8" i="31"/>
  <c r="EF8" i="31"/>
  <c r="CH8" i="33"/>
  <c r="AL8" i="33"/>
  <c r="AJ8" i="33"/>
  <c r="AJ8" i="31" s="1"/>
  <c r="CJ8" i="33"/>
  <c r="CJ8" i="31" s="1"/>
  <c r="CF8" i="33"/>
  <c r="CF8" i="31" s="1"/>
  <c r="AN8" i="33"/>
  <c r="AN8" i="31" s="1"/>
  <c r="EM9" i="33"/>
  <c r="EM9" i="31" s="1"/>
  <c r="CO9" i="33"/>
  <c r="CO9" i="31" s="1"/>
  <c r="EK9" i="33"/>
  <c r="EK9" i="31" s="1"/>
  <c r="CM9" i="33"/>
  <c r="CM9" i="31" s="1"/>
  <c r="AU9" i="33"/>
  <c r="AU9" i="31" s="1"/>
  <c r="AQ9" i="33"/>
  <c r="AQ9" i="31" s="1"/>
  <c r="AS9" i="33"/>
  <c r="AS9" i="31" s="1"/>
  <c r="CQ9" i="33"/>
  <c r="CQ9" i="31" s="1"/>
  <c r="EI9" i="33"/>
  <c r="EI9" i="31" s="1"/>
  <c r="BF12" i="33"/>
  <c r="BF12" i="31" s="1"/>
  <c r="BD12" i="33"/>
  <c r="BD12" i="31" s="1"/>
  <c r="L12" i="33"/>
  <c r="L12" i="31" s="1"/>
  <c r="J12" i="33"/>
  <c r="J12" i="31" s="1"/>
  <c r="H12" i="33"/>
  <c r="H12" i="31" s="1"/>
  <c r="DB12" i="33"/>
  <c r="DB12" i="31" s="1"/>
  <c r="DD12" i="33"/>
  <c r="DD12" i="31" s="1"/>
  <c r="CZ12" i="33"/>
  <c r="CZ12" i="31" s="1"/>
  <c r="BH12" i="33"/>
  <c r="BH12" i="31" s="1"/>
  <c r="DI13" i="33"/>
  <c r="DI13" i="31" s="1"/>
  <c r="DG13" i="33"/>
  <c r="DG13" i="31" s="1"/>
  <c r="BO13" i="33"/>
  <c r="BO13" i="31" s="1"/>
  <c r="BM13" i="33"/>
  <c r="BM13" i="31" s="1"/>
  <c r="BK13" i="33"/>
  <c r="BK13" i="31" s="1"/>
  <c r="S13" i="33"/>
  <c r="S13" i="31" s="1"/>
  <c r="Q13" i="33"/>
  <c r="Q13" i="31" s="1"/>
  <c r="O13" i="33"/>
  <c r="O13" i="31" s="1"/>
  <c r="DK13" i="33"/>
  <c r="DK13" i="31" s="1"/>
  <c r="Q14" i="33"/>
  <c r="Q14" i="31" s="1"/>
  <c r="O14" i="33"/>
  <c r="O14" i="31" s="1"/>
  <c r="DK14" i="33"/>
  <c r="DK14" i="31" s="1"/>
  <c r="DG14" i="33"/>
  <c r="DG14" i="31" s="1"/>
  <c r="BO14" i="33"/>
  <c r="BO14" i="31" s="1"/>
  <c r="DI14" i="33"/>
  <c r="DI14" i="31" s="1"/>
  <c r="BM14" i="33"/>
  <c r="BM14" i="31" s="1"/>
  <c r="BK14" i="33"/>
  <c r="BK14" i="31" s="1"/>
  <c r="S14" i="33"/>
  <c r="S14" i="31" s="1"/>
  <c r="DI15" i="33"/>
  <c r="DI15" i="31" s="1"/>
  <c r="DG15" i="33"/>
  <c r="DG15" i="31" s="1"/>
  <c r="BO15" i="33"/>
  <c r="BO15" i="31" s="1"/>
  <c r="BM15" i="33"/>
  <c r="BM15" i="31" s="1"/>
  <c r="BK15" i="33"/>
  <c r="BK15" i="31" s="1"/>
  <c r="S15" i="33"/>
  <c r="S15" i="31" s="1"/>
  <c r="O15" i="33"/>
  <c r="O15" i="31" s="1"/>
  <c r="DK15" i="33"/>
  <c r="DK15" i="31" s="1"/>
  <c r="Q15" i="33"/>
  <c r="Q15" i="31" s="1"/>
  <c r="Q16" i="33"/>
  <c r="Q16" i="31" s="1"/>
  <c r="O16" i="33"/>
  <c r="O16" i="31" s="1"/>
  <c r="DK16" i="33"/>
  <c r="DK16" i="31" s="1"/>
  <c r="BK16" i="33"/>
  <c r="BK16" i="31" s="1"/>
  <c r="BO16" i="33"/>
  <c r="BO16" i="31" s="1"/>
  <c r="DI16" i="33"/>
  <c r="DI16" i="31" s="1"/>
  <c r="DG16" i="33"/>
  <c r="DG16" i="31" s="1"/>
  <c r="S16" i="33"/>
  <c r="S16" i="31" s="1"/>
  <c r="BM16" i="33"/>
  <c r="BM16" i="31" s="1"/>
  <c r="DK17" i="33"/>
  <c r="DK17" i="31" s="1"/>
  <c r="DI17" i="33"/>
  <c r="DI17" i="31" s="1"/>
  <c r="DG17" i="33"/>
  <c r="DG17" i="31" s="1"/>
  <c r="BO17" i="33"/>
  <c r="BO17" i="31" s="1"/>
  <c r="BM17" i="33"/>
  <c r="BM17" i="31" s="1"/>
  <c r="O17" i="33"/>
  <c r="O17" i="31" s="1"/>
  <c r="BK17" i="33"/>
  <c r="BK17" i="31" s="1"/>
  <c r="Q17" i="33"/>
  <c r="Q17" i="31" s="1"/>
  <c r="S17" i="33"/>
  <c r="S17" i="31" s="1"/>
  <c r="DN18" i="33"/>
  <c r="DN18" i="31" s="1"/>
  <c r="V18" i="33"/>
  <c r="V18" i="31" s="1"/>
  <c r="DR18" i="33"/>
  <c r="DR18" i="31" s="1"/>
  <c r="BT18" i="33"/>
  <c r="BT18" i="31" s="1"/>
  <c r="DP18" i="33"/>
  <c r="DP18" i="31" s="1"/>
  <c r="BR18" i="33"/>
  <c r="BR18" i="31" s="1"/>
  <c r="Z18" i="33"/>
  <c r="Z18" i="31" s="1"/>
  <c r="BV18" i="33"/>
  <c r="BV18" i="31" s="1"/>
  <c r="X18" i="33"/>
  <c r="X18" i="31" s="1"/>
  <c r="DY19" i="33"/>
  <c r="DY19" i="31" s="1"/>
  <c r="DW19" i="33"/>
  <c r="DW19" i="31" s="1"/>
  <c r="AG19" i="33"/>
  <c r="AG19" i="31" s="1"/>
  <c r="AE19" i="33"/>
  <c r="AE19" i="31" s="1"/>
  <c r="DU19" i="33"/>
  <c r="DU19" i="31" s="1"/>
  <c r="AC19" i="33"/>
  <c r="AC19" i="31" s="1"/>
  <c r="CC19" i="33"/>
  <c r="CC19" i="31" s="1"/>
  <c r="CA19" i="33"/>
  <c r="CA19" i="31" s="1"/>
  <c r="BY19" i="33"/>
  <c r="BY19" i="31" s="1"/>
  <c r="D21" i="33"/>
  <c r="EF20" i="31"/>
  <c r="EB20" i="31"/>
  <c r="CF20" i="33"/>
  <c r="CF20" i="31" s="1"/>
  <c r="AL20" i="33"/>
  <c r="AJ20" i="33"/>
  <c r="AJ20" i="31" s="1"/>
  <c r="CH20" i="33"/>
  <c r="AN20" i="33"/>
  <c r="AN20" i="31" s="1"/>
  <c r="CJ20" i="33"/>
  <c r="CJ20" i="31" s="1"/>
  <c r="CQ21" i="33"/>
  <c r="CQ21" i="31" s="1"/>
  <c r="EM21" i="33"/>
  <c r="EM21" i="31" s="1"/>
  <c r="CO21" i="33"/>
  <c r="CO21" i="31" s="1"/>
  <c r="EK21" i="33"/>
  <c r="EK21" i="31" s="1"/>
  <c r="CM21" i="33"/>
  <c r="CM21" i="31" s="1"/>
  <c r="AU21" i="33"/>
  <c r="AU21" i="31" s="1"/>
  <c r="EI21" i="33"/>
  <c r="EI21" i="31" s="1"/>
  <c r="AS21" i="33"/>
  <c r="AS21" i="31" s="1"/>
  <c r="AQ21" i="33"/>
  <c r="AQ21" i="31" s="1"/>
  <c r="DD24" i="33"/>
  <c r="DD24" i="31" s="1"/>
  <c r="DB24" i="33"/>
  <c r="DB24" i="31" s="1"/>
  <c r="CZ24" i="33"/>
  <c r="CZ24" i="31" s="1"/>
  <c r="BH24" i="33"/>
  <c r="BH24" i="31" s="1"/>
  <c r="BF24" i="33"/>
  <c r="BF24" i="31" s="1"/>
  <c r="BD24" i="33"/>
  <c r="BD24" i="31" s="1"/>
  <c r="L24" i="33"/>
  <c r="L24" i="31" s="1"/>
  <c r="H24" i="33"/>
  <c r="H24" i="31" s="1"/>
  <c r="J24" i="33"/>
  <c r="J24" i="31" s="1"/>
  <c r="Q25" i="33"/>
  <c r="Q25" i="31" s="1"/>
  <c r="O25" i="33"/>
  <c r="O25" i="31" s="1"/>
  <c r="DK25" i="33"/>
  <c r="DK25" i="31" s="1"/>
  <c r="BM25" i="33"/>
  <c r="BM25" i="31" s="1"/>
  <c r="BK25" i="33"/>
  <c r="BK25" i="31" s="1"/>
  <c r="S25" i="33"/>
  <c r="S25" i="31" s="1"/>
  <c r="BO25" i="33"/>
  <c r="BO25" i="31" s="1"/>
  <c r="DI25" i="33"/>
  <c r="DI25" i="31" s="1"/>
  <c r="DG25" i="33"/>
  <c r="DG25" i="31" s="1"/>
  <c r="DK26" i="33"/>
  <c r="DK26" i="31" s="1"/>
  <c r="DI26" i="33"/>
  <c r="DI26" i="31" s="1"/>
  <c r="DG26" i="33"/>
  <c r="DG26" i="31" s="1"/>
  <c r="BO26" i="33"/>
  <c r="BO26" i="31" s="1"/>
  <c r="BM26" i="33"/>
  <c r="BM26" i="31" s="1"/>
  <c r="O26" i="33"/>
  <c r="O26" i="31" s="1"/>
  <c r="BK26" i="33"/>
  <c r="BK26" i="31" s="1"/>
  <c r="Q26" i="33"/>
  <c r="Q26" i="31" s="1"/>
  <c r="S26" i="33"/>
  <c r="S26" i="31" s="1"/>
  <c r="BM27" i="33"/>
  <c r="BM27" i="31" s="1"/>
  <c r="BK27" i="33"/>
  <c r="BK27" i="31" s="1"/>
  <c r="S27" i="33"/>
  <c r="S27" i="31" s="1"/>
  <c r="Q27" i="33"/>
  <c r="Q27" i="31" s="1"/>
  <c r="O27" i="33"/>
  <c r="O27" i="31" s="1"/>
  <c r="DK27" i="33"/>
  <c r="DK27" i="31" s="1"/>
  <c r="DG27" i="33"/>
  <c r="DG27" i="31" s="1"/>
  <c r="BO27" i="33"/>
  <c r="BO27" i="31" s="1"/>
  <c r="DI27" i="33"/>
  <c r="DI27" i="31" s="1"/>
  <c r="O28" i="33"/>
  <c r="O28" i="31" s="1"/>
  <c r="DK28" i="33"/>
  <c r="DK28" i="31" s="1"/>
  <c r="DI28" i="33"/>
  <c r="DI28" i="31" s="1"/>
  <c r="DG28" i="33"/>
  <c r="DG28" i="31" s="1"/>
  <c r="BO28" i="33"/>
  <c r="BO28" i="31" s="1"/>
  <c r="BM28" i="33"/>
  <c r="BM28" i="31" s="1"/>
  <c r="Q28" i="33"/>
  <c r="Q28" i="31" s="1"/>
  <c r="S28" i="33"/>
  <c r="S28" i="31" s="1"/>
  <c r="BK28" i="33"/>
  <c r="BK28" i="31" s="1"/>
  <c r="DI29" i="33"/>
  <c r="DI29" i="31" s="1"/>
  <c r="DG29" i="33"/>
  <c r="DG29" i="31" s="1"/>
  <c r="BO29" i="33"/>
  <c r="BO29" i="31" s="1"/>
  <c r="BM29" i="33"/>
  <c r="BM29" i="31" s="1"/>
  <c r="BK29" i="33"/>
  <c r="BK29" i="31" s="1"/>
  <c r="S29" i="33"/>
  <c r="S29" i="31" s="1"/>
  <c r="DK29" i="33"/>
  <c r="DK29" i="31" s="1"/>
  <c r="Q29" i="33"/>
  <c r="Q29" i="31" s="1"/>
  <c r="O29" i="33"/>
  <c r="O29" i="31" s="1"/>
  <c r="Q30" i="33"/>
  <c r="Q30" i="31" s="1"/>
  <c r="O30" i="33"/>
  <c r="O30" i="31" s="1"/>
  <c r="DK30" i="33"/>
  <c r="DK30" i="31" s="1"/>
  <c r="BM30" i="33"/>
  <c r="BM30" i="31" s="1"/>
  <c r="BK30" i="33"/>
  <c r="BK30" i="31" s="1"/>
  <c r="S30" i="33"/>
  <c r="S30" i="31" s="1"/>
  <c r="DI30" i="33"/>
  <c r="DI30" i="31" s="1"/>
  <c r="DG30" i="33"/>
  <c r="DG30" i="31" s="1"/>
  <c r="BO30" i="33"/>
  <c r="BO30" i="31" s="1"/>
  <c r="DI31" i="33"/>
  <c r="DI31" i="31" s="1"/>
  <c r="DG31" i="33"/>
  <c r="DG31" i="31" s="1"/>
  <c r="BO31" i="33"/>
  <c r="BO31" i="31" s="1"/>
  <c r="BM31" i="33"/>
  <c r="BM31" i="31" s="1"/>
  <c r="BK31" i="33"/>
  <c r="BK31" i="31" s="1"/>
  <c r="S31" i="33"/>
  <c r="S31" i="31" s="1"/>
  <c r="Q31" i="33"/>
  <c r="Q31" i="31" s="1"/>
  <c r="DK31" i="33"/>
  <c r="DK31" i="31" s="1"/>
  <c r="O31" i="33"/>
  <c r="O31" i="31" s="1"/>
  <c r="Q32" i="33"/>
  <c r="Q32" i="31" s="1"/>
  <c r="O32" i="33"/>
  <c r="O32" i="31" s="1"/>
  <c r="DK32" i="33"/>
  <c r="DK32" i="31" s="1"/>
  <c r="DI32" i="33"/>
  <c r="DI32" i="31" s="1"/>
  <c r="DG32" i="33"/>
  <c r="DG32" i="31" s="1"/>
  <c r="BO32" i="33"/>
  <c r="BO32" i="31" s="1"/>
  <c r="S32" i="33"/>
  <c r="S32" i="31" s="1"/>
  <c r="BK32" i="33"/>
  <c r="BK32" i="31" s="1"/>
  <c r="BM32" i="33"/>
  <c r="BM32" i="31" s="1"/>
  <c r="DK33" i="33"/>
  <c r="DK33" i="31" s="1"/>
  <c r="DI33" i="33"/>
  <c r="DI33" i="31" s="1"/>
  <c r="DG33" i="33"/>
  <c r="DG33" i="31" s="1"/>
  <c r="BO33" i="33"/>
  <c r="BO33" i="31" s="1"/>
  <c r="BM33" i="33"/>
  <c r="BM33" i="31" s="1"/>
  <c r="BK33" i="33"/>
  <c r="BK33" i="31" s="1"/>
  <c r="S33" i="33"/>
  <c r="S33" i="31" s="1"/>
  <c r="Q33" i="33"/>
  <c r="Q33" i="31" s="1"/>
  <c r="O33" i="33"/>
  <c r="O33" i="31" s="1"/>
  <c r="V34" i="33"/>
  <c r="V34" i="31" s="1"/>
  <c r="DR34" i="33"/>
  <c r="DR34" i="31" s="1"/>
  <c r="DP34" i="33"/>
  <c r="DP34" i="31" s="1"/>
  <c r="BR34" i="33"/>
  <c r="BR34" i="31" s="1"/>
  <c r="Z34" i="33"/>
  <c r="Z34" i="31" s="1"/>
  <c r="X34" i="33"/>
  <c r="X34" i="31" s="1"/>
  <c r="BV34" i="33"/>
  <c r="BV34" i="31" s="1"/>
  <c r="DN34" i="33"/>
  <c r="DN34" i="31" s="1"/>
  <c r="BT34" i="33"/>
  <c r="BT34" i="31" s="1"/>
  <c r="BY35" i="33"/>
  <c r="BY35" i="31" s="1"/>
  <c r="AG35" i="33"/>
  <c r="AG35" i="31" s="1"/>
  <c r="AE35" i="33"/>
  <c r="AE35" i="31" s="1"/>
  <c r="AC35" i="33"/>
  <c r="AC35" i="31" s="1"/>
  <c r="DY35" i="33"/>
  <c r="DY35" i="31" s="1"/>
  <c r="DW35" i="33"/>
  <c r="DW35" i="31" s="1"/>
  <c r="DU35" i="33"/>
  <c r="DU35" i="31" s="1"/>
  <c r="CC35" i="33"/>
  <c r="CC35" i="31" s="1"/>
  <c r="CA35" i="33"/>
  <c r="CA35" i="31" s="1"/>
  <c r="D37" i="33"/>
  <c r="EF36" i="31"/>
  <c r="CJ36" i="33"/>
  <c r="CJ36" i="31" s="1"/>
  <c r="CH36" i="33"/>
  <c r="CF36" i="33"/>
  <c r="CF36" i="31" s="1"/>
  <c r="AN36" i="33"/>
  <c r="AN36" i="31" s="1"/>
  <c r="AL36" i="33"/>
  <c r="AJ36" i="33"/>
  <c r="AJ36" i="31" s="1"/>
  <c r="EB36" i="31"/>
  <c r="EM37" i="33"/>
  <c r="EM37" i="31" s="1"/>
  <c r="CQ37" i="33"/>
  <c r="CQ37" i="31" s="1"/>
  <c r="EK37" i="33"/>
  <c r="EK37" i="31" s="1"/>
  <c r="CO37" i="33"/>
  <c r="CO37" i="31" s="1"/>
  <c r="AQ37" i="33"/>
  <c r="AQ37" i="31" s="1"/>
  <c r="CM37" i="33"/>
  <c r="CM37" i="31" s="1"/>
  <c r="EI37" i="33"/>
  <c r="EI37" i="31" s="1"/>
  <c r="AU37" i="33"/>
  <c r="AU37" i="31" s="1"/>
  <c r="AS37" i="33"/>
  <c r="AS37" i="31" s="1"/>
  <c r="J40" i="33"/>
  <c r="J40" i="31" s="1"/>
  <c r="H40" i="33"/>
  <c r="H40" i="31" s="1"/>
  <c r="DD40" i="33"/>
  <c r="DD40" i="31" s="1"/>
  <c r="BF40" i="33"/>
  <c r="BF40" i="31" s="1"/>
  <c r="BD40" i="33"/>
  <c r="BD40" i="31" s="1"/>
  <c r="L40" i="33"/>
  <c r="L40" i="31" s="1"/>
  <c r="DB40" i="33"/>
  <c r="DB40" i="31" s="1"/>
  <c r="CZ40" i="33"/>
  <c r="CZ40" i="31" s="1"/>
  <c r="BH40" i="33"/>
  <c r="BH40" i="31" s="1"/>
  <c r="BM41" i="33"/>
  <c r="BM41" i="31" s="1"/>
  <c r="BK41" i="33"/>
  <c r="BK41" i="31" s="1"/>
  <c r="S41" i="33"/>
  <c r="S41" i="31" s="1"/>
  <c r="Q41" i="33"/>
  <c r="Q41" i="31" s="1"/>
  <c r="O41" i="33"/>
  <c r="O41" i="31" s="1"/>
  <c r="DK41" i="33"/>
  <c r="DK41" i="31" s="1"/>
  <c r="BO41" i="33"/>
  <c r="BO41" i="31" s="1"/>
  <c r="DI41" i="33"/>
  <c r="DI41" i="31" s="1"/>
  <c r="DG41" i="33"/>
  <c r="DG41" i="31" s="1"/>
  <c r="DP42" i="33"/>
  <c r="DP42" i="31" s="1"/>
  <c r="DN42" i="33"/>
  <c r="DN42" i="31" s="1"/>
  <c r="BV42" i="33"/>
  <c r="BV42" i="31" s="1"/>
  <c r="BT42" i="33"/>
  <c r="BT42" i="31" s="1"/>
  <c r="BR42" i="33"/>
  <c r="BR42" i="31" s="1"/>
  <c r="Z42" i="33"/>
  <c r="Z42" i="31" s="1"/>
  <c r="DR42" i="33"/>
  <c r="DR42" i="31" s="1"/>
  <c r="X42" i="33"/>
  <c r="X42" i="31" s="1"/>
  <c r="V42" i="33"/>
  <c r="V42" i="31" s="1"/>
  <c r="DY43" i="33"/>
  <c r="DY43" i="31" s="1"/>
  <c r="DW43" i="33"/>
  <c r="DW43" i="31" s="1"/>
  <c r="DU43" i="33"/>
  <c r="DU43" i="31" s="1"/>
  <c r="CC43" i="33"/>
  <c r="CC43" i="31" s="1"/>
  <c r="AE43" i="33"/>
  <c r="AE43" i="31" s="1"/>
  <c r="AC43" i="33"/>
  <c r="AC43" i="31" s="1"/>
  <c r="BY43" i="33"/>
  <c r="BY43" i="31" s="1"/>
  <c r="AG43" i="33"/>
  <c r="AG43" i="31" s="1"/>
  <c r="CA43" i="33"/>
  <c r="CA43" i="31" s="1"/>
  <c r="D45" i="33"/>
  <c r="EB44" i="31"/>
  <c r="EF44" i="31"/>
  <c r="AL44" i="33"/>
  <c r="AJ44" i="33"/>
  <c r="AJ44" i="31" s="1"/>
  <c r="CJ44" i="33"/>
  <c r="CJ44" i="31" s="1"/>
  <c r="CF44" i="33"/>
  <c r="CF44" i="31" s="1"/>
  <c r="AN44" i="33"/>
  <c r="AN44" i="31" s="1"/>
  <c r="CH44" i="33"/>
  <c r="EK45" i="33"/>
  <c r="EK45" i="31" s="1"/>
  <c r="CO45" i="33"/>
  <c r="CO45" i="31" s="1"/>
  <c r="EI45" i="33"/>
  <c r="EI45" i="31" s="1"/>
  <c r="CM45" i="33"/>
  <c r="CM45" i="31" s="1"/>
  <c r="AU45" i="33"/>
  <c r="AU45" i="31" s="1"/>
  <c r="AS45" i="33"/>
  <c r="AS45" i="31" s="1"/>
  <c r="AQ45" i="33"/>
  <c r="AQ45" i="31" s="1"/>
  <c r="EM45" i="33"/>
  <c r="EM45" i="31" s="1"/>
  <c r="CQ45" i="33"/>
  <c r="CQ45" i="31" s="1"/>
  <c r="CQ46" i="33"/>
  <c r="CQ46" i="31" s="1"/>
  <c r="EI46" i="33"/>
  <c r="EI46" i="31" s="1"/>
  <c r="AS46" i="33"/>
  <c r="AS46" i="31" s="1"/>
  <c r="AQ46" i="33"/>
  <c r="AQ46" i="31" s="1"/>
  <c r="CO46" i="33"/>
  <c r="CO46" i="31" s="1"/>
  <c r="AU46" i="33"/>
  <c r="AU46" i="31" s="1"/>
  <c r="CM46" i="33"/>
  <c r="CM46" i="31" s="1"/>
  <c r="EK46" i="33"/>
  <c r="EK46" i="31" s="1"/>
  <c r="EM46" i="33"/>
  <c r="EM46" i="31" s="1"/>
  <c r="EM47" i="33"/>
  <c r="EM47" i="31" s="1"/>
  <c r="CO47" i="33"/>
  <c r="CO47" i="31" s="1"/>
  <c r="EK47" i="33"/>
  <c r="EK47" i="31" s="1"/>
  <c r="CM47" i="33"/>
  <c r="CM47" i="31" s="1"/>
  <c r="AU47" i="33"/>
  <c r="AU47" i="31" s="1"/>
  <c r="EI47" i="33"/>
  <c r="EI47" i="31" s="1"/>
  <c r="AS47" i="33"/>
  <c r="AS47" i="31" s="1"/>
  <c r="AQ47" i="33"/>
  <c r="AQ47" i="31" s="1"/>
  <c r="CQ47" i="33"/>
  <c r="CQ47" i="31" s="1"/>
  <c r="CQ48" i="33"/>
  <c r="CQ48" i="31" s="1"/>
  <c r="EM48" i="33"/>
  <c r="EM48" i="31" s="1"/>
  <c r="CO48" i="33"/>
  <c r="CO48" i="31" s="1"/>
  <c r="EI48" i="33"/>
  <c r="EI48" i="31" s="1"/>
  <c r="AS48" i="33"/>
  <c r="AS48" i="31" s="1"/>
  <c r="EK48" i="33"/>
  <c r="EK48" i="31" s="1"/>
  <c r="CM48" i="33"/>
  <c r="CM48" i="31" s="1"/>
  <c r="AU48" i="33"/>
  <c r="AU48" i="31" s="1"/>
  <c r="AQ48" i="33"/>
  <c r="AQ48" i="31" s="1"/>
  <c r="CQ49" i="33"/>
  <c r="CQ49" i="31" s="1"/>
  <c r="EM49" i="33"/>
  <c r="EM49" i="31" s="1"/>
  <c r="CO49" i="33"/>
  <c r="CO49" i="31" s="1"/>
  <c r="EK49" i="33"/>
  <c r="EK49" i="31" s="1"/>
  <c r="CM49" i="33"/>
  <c r="CM49" i="31" s="1"/>
  <c r="AU49" i="33"/>
  <c r="AU49" i="31" s="1"/>
  <c r="EI49" i="33"/>
  <c r="EI49" i="31" s="1"/>
  <c r="AS49" i="33"/>
  <c r="AS49" i="31" s="1"/>
  <c r="AQ49" i="33"/>
  <c r="AQ49" i="31" s="1"/>
  <c r="BD52" i="33"/>
  <c r="BD52" i="31" s="1"/>
  <c r="L52" i="33"/>
  <c r="L52" i="31" s="1"/>
  <c r="J52" i="33"/>
  <c r="J52" i="31" s="1"/>
  <c r="H52" i="33"/>
  <c r="H52" i="31" s="1"/>
  <c r="DD52" i="33"/>
  <c r="DD52" i="31" s="1"/>
  <c r="BH52" i="33"/>
  <c r="BH52" i="31" s="1"/>
  <c r="DB52" i="33"/>
  <c r="DB52" i="31" s="1"/>
  <c r="CZ52" i="33"/>
  <c r="CZ52" i="31" s="1"/>
  <c r="BF52" i="33"/>
  <c r="BF52" i="31" s="1"/>
  <c r="DK53" i="33"/>
  <c r="DK53" i="31" s="1"/>
  <c r="BO53" i="33"/>
  <c r="BO53" i="31" s="1"/>
  <c r="S53" i="33"/>
  <c r="S53" i="31" s="1"/>
  <c r="DI53" i="33"/>
  <c r="DI53" i="31" s="1"/>
  <c r="BM53" i="33"/>
  <c r="BM53" i="31" s="1"/>
  <c r="Q53" i="33"/>
  <c r="Q53" i="31" s="1"/>
  <c r="DG53" i="33"/>
  <c r="DG53" i="31" s="1"/>
  <c r="BK53" i="33"/>
  <c r="BK53" i="31" s="1"/>
  <c r="O53" i="33"/>
  <c r="O53" i="31" s="1"/>
  <c r="V54" i="33"/>
  <c r="V54" i="31" s="1"/>
  <c r="BV54" i="33"/>
  <c r="BV54" i="31" s="1"/>
  <c r="Z54" i="33"/>
  <c r="Z54" i="31" s="1"/>
  <c r="BT54" i="33"/>
  <c r="BT54" i="31" s="1"/>
  <c r="X54" i="33"/>
  <c r="X54" i="31" s="1"/>
  <c r="DR54" i="33"/>
  <c r="DR54" i="31" s="1"/>
  <c r="BR54" i="33"/>
  <c r="BR54" i="31" s="1"/>
  <c r="DP54" i="33"/>
  <c r="DP54" i="31" s="1"/>
  <c r="DN54" i="33"/>
  <c r="DN54" i="31" s="1"/>
  <c r="BY55" i="33"/>
  <c r="BY55" i="31" s="1"/>
  <c r="AG55" i="33"/>
  <c r="AG55" i="31" s="1"/>
  <c r="AE55" i="33"/>
  <c r="AE55" i="31" s="1"/>
  <c r="CC55" i="33"/>
  <c r="CC55" i="31" s="1"/>
  <c r="CA55" i="33"/>
  <c r="CA55" i="31" s="1"/>
  <c r="DY55" i="33"/>
  <c r="DY55" i="31" s="1"/>
  <c r="AC55" i="33"/>
  <c r="AC55" i="31" s="1"/>
  <c r="DW55" i="33"/>
  <c r="DW55" i="31" s="1"/>
  <c r="DU55" i="33"/>
  <c r="DU55" i="31" s="1"/>
  <c r="D57" i="33"/>
  <c r="EF56" i="31"/>
  <c r="CH56" i="33"/>
  <c r="CF56" i="33"/>
  <c r="CF56" i="31" s="1"/>
  <c r="AN56" i="33"/>
  <c r="AN56" i="31" s="1"/>
  <c r="CJ56" i="33"/>
  <c r="CJ56" i="31" s="1"/>
  <c r="EB56" i="31"/>
  <c r="AJ56" i="33"/>
  <c r="AJ56" i="31" s="1"/>
  <c r="AL56" i="33"/>
  <c r="CQ57" i="33"/>
  <c r="CQ57" i="31" s="1"/>
  <c r="CM57" i="33"/>
  <c r="CM57" i="31" s="1"/>
  <c r="EM57" i="33"/>
  <c r="EM57" i="31" s="1"/>
  <c r="AU57" i="33"/>
  <c r="AU57" i="31" s="1"/>
  <c r="AS57" i="33"/>
  <c r="AS57" i="31" s="1"/>
  <c r="AQ57" i="33"/>
  <c r="AQ57" i="31" s="1"/>
  <c r="CO57" i="33"/>
  <c r="CO57" i="31" s="1"/>
  <c r="EK57" i="33"/>
  <c r="EK57" i="31" s="1"/>
  <c r="EI57" i="33"/>
  <c r="EI57" i="31" s="1"/>
  <c r="EK58" i="33"/>
  <c r="EK58" i="31" s="1"/>
  <c r="CM58" i="33"/>
  <c r="CM58" i="31" s="1"/>
  <c r="AU58" i="33"/>
  <c r="AU58" i="31" s="1"/>
  <c r="EI58" i="33"/>
  <c r="EI58" i="31" s="1"/>
  <c r="AS58" i="33"/>
  <c r="AS58" i="31" s="1"/>
  <c r="AQ58" i="33"/>
  <c r="AQ58" i="31" s="1"/>
  <c r="EM58" i="33"/>
  <c r="EM58" i="31" s="1"/>
  <c r="CQ58" i="33"/>
  <c r="CQ58" i="31" s="1"/>
  <c r="CO58" i="33"/>
  <c r="CO58" i="31" s="1"/>
  <c r="AS59" i="33"/>
  <c r="AS59" i="31" s="1"/>
  <c r="AQ59" i="33"/>
  <c r="AQ59" i="31" s="1"/>
  <c r="EM59" i="33"/>
  <c r="EM59" i="31" s="1"/>
  <c r="EK59" i="33"/>
  <c r="EK59" i="31" s="1"/>
  <c r="CQ59" i="33"/>
  <c r="CQ59" i="31" s="1"/>
  <c r="AU59" i="33"/>
  <c r="AU59" i="31" s="1"/>
  <c r="CO59" i="33"/>
  <c r="CO59" i="31" s="1"/>
  <c r="CM59" i="33"/>
  <c r="CM59" i="31" s="1"/>
  <c r="EI59" i="33"/>
  <c r="EI59" i="31" s="1"/>
  <c r="CQ60" i="33"/>
  <c r="CQ60" i="31" s="1"/>
  <c r="EM60" i="33"/>
  <c r="EM60" i="31" s="1"/>
  <c r="CO60" i="33"/>
  <c r="CO60" i="31" s="1"/>
  <c r="EK60" i="33"/>
  <c r="EK60" i="31" s="1"/>
  <c r="CM60" i="33"/>
  <c r="CM60" i="31" s="1"/>
  <c r="AU60" i="33"/>
  <c r="AU60" i="31" s="1"/>
  <c r="AQ60" i="33"/>
  <c r="AQ60" i="31" s="1"/>
  <c r="EI60" i="33"/>
  <c r="EI60" i="31" s="1"/>
  <c r="AS60" i="33"/>
  <c r="AS60" i="31" s="1"/>
  <c r="AS61" i="33"/>
  <c r="AS61" i="31" s="1"/>
  <c r="AQ61" i="33"/>
  <c r="AQ61" i="31" s="1"/>
  <c r="AU61" i="33"/>
  <c r="AU61" i="31" s="1"/>
  <c r="EM61" i="33"/>
  <c r="EM61" i="31" s="1"/>
  <c r="EK61" i="33"/>
  <c r="EK61" i="31" s="1"/>
  <c r="CQ61" i="33"/>
  <c r="CQ61" i="31" s="1"/>
  <c r="CM61" i="33"/>
  <c r="CM61" i="31" s="1"/>
  <c r="CO61" i="33"/>
  <c r="CO61" i="31" s="1"/>
  <c r="EI61" i="33"/>
  <c r="EI61" i="31" s="1"/>
  <c r="CQ62" i="33"/>
  <c r="CQ62" i="31" s="1"/>
  <c r="EM62" i="33"/>
  <c r="EM62" i="31" s="1"/>
  <c r="CO62" i="33"/>
  <c r="CO62" i="31" s="1"/>
  <c r="AQ62" i="33"/>
  <c r="AQ62" i="31" s="1"/>
  <c r="EK62" i="33"/>
  <c r="EK62" i="31" s="1"/>
  <c r="EI62" i="33"/>
  <c r="EI62" i="31" s="1"/>
  <c r="AU62" i="33"/>
  <c r="AU62" i="31" s="1"/>
  <c r="AS62" i="33"/>
  <c r="AS62" i="31" s="1"/>
  <c r="CM62" i="33"/>
  <c r="CM62" i="31" s="1"/>
  <c r="EI63" i="33"/>
  <c r="EI63" i="31" s="1"/>
  <c r="AS63" i="33"/>
  <c r="AS63" i="31" s="1"/>
  <c r="AQ63" i="33"/>
  <c r="AQ63" i="31" s="1"/>
  <c r="EM63" i="33"/>
  <c r="EM63" i="31" s="1"/>
  <c r="EK63" i="33"/>
  <c r="EK63" i="31" s="1"/>
  <c r="CQ63" i="33"/>
  <c r="CQ63" i="31" s="1"/>
  <c r="AU63" i="33"/>
  <c r="AU63" i="31" s="1"/>
  <c r="CO63" i="33"/>
  <c r="CO63" i="31" s="1"/>
  <c r="CM63" i="33"/>
  <c r="CM63" i="31" s="1"/>
  <c r="CQ64" i="33"/>
  <c r="CQ64" i="31" s="1"/>
  <c r="EM64" i="33"/>
  <c r="EM64" i="31" s="1"/>
  <c r="CO64" i="33"/>
  <c r="CO64" i="31" s="1"/>
  <c r="EK64" i="33"/>
  <c r="EK64" i="31" s="1"/>
  <c r="EI64" i="33"/>
  <c r="EI64" i="31" s="1"/>
  <c r="CM64" i="33"/>
  <c r="CM64" i="31" s="1"/>
  <c r="AS64" i="33"/>
  <c r="AS64" i="31" s="1"/>
  <c r="AQ64" i="33"/>
  <c r="AQ64" i="31" s="1"/>
  <c r="AU64" i="33"/>
  <c r="AU64" i="31" s="1"/>
  <c r="EK65" i="33"/>
  <c r="EK65" i="31" s="1"/>
  <c r="CM65" i="33"/>
  <c r="CM65" i="31" s="1"/>
  <c r="AU65" i="33"/>
  <c r="AU65" i="31" s="1"/>
  <c r="EI65" i="33"/>
  <c r="EI65" i="31" s="1"/>
  <c r="AS65" i="33"/>
  <c r="AS65" i="31" s="1"/>
  <c r="AQ65" i="33"/>
  <c r="AQ65" i="31" s="1"/>
  <c r="EM65" i="33"/>
  <c r="EM65" i="31" s="1"/>
  <c r="CQ65" i="33"/>
  <c r="CQ65" i="31" s="1"/>
  <c r="CO65" i="33"/>
  <c r="CO65" i="31" s="1"/>
  <c r="H68" i="33"/>
  <c r="H68" i="31" s="1"/>
  <c r="DD68" i="33"/>
  <c r="DD68" i="31" s="1"/>
  <c r="L68" i="33"/>
  <c r="L68" i="31" s="1"/>
  <c r="DB68" i="33"/>
  <c r="DB68" i="31" s="1"/>
  <c r="J68" i="33"/>
  <c r="J68" i="31" s="1"/>
  <c r="CZ68" i="33"/>
  <c r="CZ68" i="31" s="1"/>
  <c r="BD68" i="33"/>
  <c r="BD68" i="31" s="1"/>
  <c r="BF68" i="33"/>
  <c r="BF68" i="31" s="1"/>
  <c r="BH68" i="33"/>
  <c r="BH68" i="31" s="1"/>
  <c r="BK69" i="33"/>
  <c r="BK69" i="31" s="1"/>
  <c r="S69" i="33"/>
  <c r="S69" i="31" s="1"/>
  <c r="Q69" i="33"/>
  <c r="Q69" i="31" s="1"/>
  <c r="O69" i="33"/>
  <c r="O69" i="31" s="1"/>
  <c r="DK69" i="33"/>
  <c r="DK69" i="31" s="1"/>
  <c r="DI69" i="33"/>
  <c r="DI69" i="31" s="1"/>
  <c r="DG69" i="33"/>
  <c r="DG69" i="31" s="1"/>
  <c r="BO69" i="33"/>
  <c r="BO69" i="31" s="1"/>
  <c r="BM69" i="33"/>
  <c r="BM69" i="31" s="1"/>
  <c r="BT70" i="33"/>
  <c r="BT70" i="31" s="1"/>
  <c r="BR70" i="33"/>
  <c r="BR70" i="31" s="1"/>
  <c r="Z70" i="33"/>
  <c r="Z70" i="31" s="1"/>
  <c r="X70" i="33"/>
  <c r="X70" i="31" s="1"/>
  <c r="DR70" i="33"/>
  <c r="DR70" i="31" s="1"/>
  <c r="DP70" i="33"/>
  <c r="DP70" i="31" s="1"/>
  <c r="DN70" i="33"/>
  <c r="DN70" i="31" s="1"/>
  <c r="V70" i="33"/>
  <c r="V70" i="31" s="1"/>
  <c r="BV70" i="33"/>
  <c r="BV70" i="31" s="1"/>
  <c r="DU71" i="33"/>
  <c r="DU71" i="31" s="1"/>
  <c r="CC71" i="33"/>
  <c r="CC71" i="31" s="1"/>
  <c r="CA71" i="33"/>
  <c r="CA71" i="31" s="1"/>
  <c r="BY71" i="33"/>
  <c r="BY71" i="31" s="1"/>
  <c r="AG71" i="33"/>
  <c r="AG71" i="31" s="1"/>
  <c r="AC71" i="33"/>
  <c r="AC71" i="31" s="1"/>
  <c r="AE71" i="33"/>
  <c r="AE71" i="31" s="1"/>
  <c r="DY71" i="33"/>
  <c r="DY71" i="31" s="1"/>
  <c r="DW71" i="33"/>
  <c r="DW71" i="31" s="1"/>
  <c r="D73" i="33"/>
  <c r="EB72" i="31"/>
  <c r="CJ72" i="33"/>
  <c r="CJ72" i="31" s="1"/>
  <c r="EF72" i="31"/>
  <c r="CH72" i="33"/>
  <c r="CF72" i="33"/>
  <c r="CF72" i="31" s="1"/>
  <c r="AN72" i="33"/>
  <c r="AN72" i="31" s="1"/>
  <c r="AL72" i="33"/>
  <c r="AJ72" i="33"/>
  <c r="AJ72" i="31" s="1"/>
  <c r="EI73" i="33"/>
  <c r="EI73" i="31" s="1"/>
  <c r="AS73" i="33"/>
  <c r="AS73" i="31" s="1"/>
  <c r="EK73" i="33"/>
  <c r="EK73" i="31" s="1"/>
  <c r="CM73" i="33"/>
  <c r="CM73" i="31" s="1"/>
  <c r="AU73" i="33"/>
  <c r="AU73" i="31" s="1"/>
  <c r="EM73" i="33"/>
  <c r="EM73" i="31" s="1"/>
  <c r="CO73" i="33"/>
  <c r="CO73" i="31" s="1"/>
  <c r="AQ73" i="33"/>
  <c r="AQ73" i="31" s="1"/>
  <c r="CQ73" i="33"/>
  <c r="CQ73" i="31" s="1"/>
  <c r="DB76" i="33"/>
  <c r="DB76" i="31" s="1"/>
  <c r="CZ76" i="33"/>
  <c r="CZ76" i="31" s="1"/>
  <c r="BH76" i="33"/>
  <c r="BH76" i="31" s="1"/>
  <c r="BF76" i="33"/>
  <c r="BF76" i="31" s="1"/>
  <c r="DD76" i="33"/>
  <c r="DD76" i="31" s="1"/>
  <c r="J76" i="33"/>
  <c r="J76" i="31" s="1"/>
  <c r="H76" i="33"/>
  <c r="H76" i="31" s="1"/>
  <c r="L76" i="33"/>
  <c r="L76" i="31" s="1"/>
  <c r="BD76" i="33"/>
  <c r="BD76" i="31" s="1"/>
  <c r="Q77" i="33"/>
  <c r="Q77" i="31" s="1"/>
  <c r="DK77" i="33"/>
  <c r="DK77" i="31" s="1"/>
  <c r="DI77" i="33"/>
  <c r="DI77" i="31" s="1"/>
  <c r="BK77" i="33"/>
  <c r="BK77" i="31" s="1"/>
  <c r="S77" i="33"/>
  <c r="S77" i="31" s="1"/>
  <c r="O77" i="33"/>
  <c r="O77" i="31" s="1"/>
  <c r="BM77" i="33"/>
  <c r="BM77" i="31" s="1"/>
  <c r="DG77" i="33"/>
  <c r="DG77" i="31" s="1"/>
  <c r="BO77" i="33"/>
  <c r="BO77" i="31" s="1"/>
  <c r="DI78" i="33"/>
  <c r="DI78" i="31" s="1"/>
  <c r="BM78" i="33"/>
  <c r="BM78" i="31" s="1"/>
  <c r="BK78" i="33"/>
  <c r="BK78" i="31" s="1"/>
  <c r="S78" i="33"/>
  <c r="S78" i="31" s="1"/>
  <c r="Q78" i="33"/>
  <c r="Q78" i="31" s="1"/>
  <c r="DK78" i="33"/>
  <c r="DK78" i="31" s="1"/>
  <c r="BO78" i="33"/>
  <c r="BO78" i="31" s="1"/>
  <c r="O78" i="33"/>
  <c r="O78" i="31" s="1"/>
  <c r="DG78" i="33"/>
  <c r="DG78" i="31" s="1"/>
  <c r="Q79" i="33"/>
  <c r="Q79" i="31" s="1"/>
  <c r="DK79" i="33"/>
  <c r="DK79" i="31" s="1"/>
  <c r="DI79" i="33"/>
  <c r="DI79" i="31" s="1"/>
  <c r="BO79" i="33"/>
  <c r="BO79" i="31" s="1"/>
  <c r="BM79" i="33"/>
  <c r="BM79" i="31" s="1"/>
  <c r="S79" i="33"/>
  <c r="S79" i="31" s="1"/>
  <c r="DG79" i="33"/>
  <c r="DG79" i="31" s="1"/>
  <c r="O79" i="33"/>
  <c r="O79" i="31" s="1"/>
  <c r="BK79" i="33"/>
  <c r="BK79" i="31" s="1"/>
  <c r="DI80" i="33"/>
  <c r="DI80" i="31" s="1"/>
  <c r="DG80" i="33"/>
  <c r="DG80" i="31" s="1"/>
  <c r="BO80" i="33"/>
  <c r="BO80" i="31" s="1"/>
  <c r="BM80" i="33"/>
  <c r="BM80" i="31" s="1"/>
  <c r="BK80" i="33"/>
  <c r="BK80" i="31" s="1"/>
  <c r="S80" i="33"/>
  <c r="S80" i="31" s="1"/>
  <c r="Q80" i="33"/>
  <c r="Q80" i="31" s="1"/>
  <c r="O80" i="33"/>
  <c r="O80" i="31" s="1"/>
  <c r="DK80" i="33"/>
  <c r="DK80" i="31" s="1"/>
  <c r="BK81" i="33"/>
  <c r="BK81" i="31" s="1"/>
  <c r="S81" i="33"/>
  <c r="S81" i="31" s="1"/>
  <c r="Q81" i="33"/>
  <c r="Q81" i="31" s="1"/>
  <c r="O81" i="33"/>
  <c r="O81" i="31" s="1"/>
  <c r="DK81" i="33"/>
  <c r="DK81" i="31" s="1"/>
  <c r="DG81" i="33"/>
  <c r="DG81" i="31" s="1"/>
  <c r="BO81" i="33"/>
  <c r="BO81" i="31" s="1"/>
  <c r="BM81" i="33"/>
  <c r="BM81" i="31" s="1"/>
  <c r="DI81" i="33"/>
  <c r="DI81" i="31" s="1"/>
  <c r="DK82" i="33"/>
  <c r="DK82" i="31" s="1"/>
  <c r="DI82" i="33"/>
  <c r="DI82" i="31" s="1"/>
  <c r="DG82" i="33"/>
  <c r="DG82" i="31" s="1"/>
  <c r="BO82" i="33"/>
  <c r="BO82" i="31" s="1"/>
  <c r="BM82" i="33"/>
  <c r="BM82" i="31" s="1"/>
  <c r="S82" i="33"/>
  <c r="S82" i="31" s="1"/>
  <c r="Q82" i="33"/>
  <c r="Q82" i="31" s="1"/>
  <c r="BK82" i="33"/>
  <c r="BK82" i="31" s="1"/>
  <c r="O82" i="33"/>
  <c r="O82" i="31" s="1"/>
  <c r="DG83" i="33"/>
  <c r="DG83" i="31" s="1"/>
  <c r="BO83" i="33"/>
  <c r="BO83" i="31" s="1"/>
  <c r="BM83" i="33"/>
  <c r="BM83" i="31" s="1"/>
  <c r="BK83" i="33"/>
  <c r="BK83" i="31" s="1"/>
  <c r="S83" i="33"/>
  <c r="S83" i="31" s="1"/>
  <c r="Q83" i="33"/>
  <c r="Q83" i="31" s="1"/>
  <c r="O83" i="33"/>
  <c r="O83" i="31" s="1"/>
  <c r="DK83" i="33"/>
  <c r="DK83" i="31" s="1"/>
  <c r="DI83" i="33"/>
  <c r="DI83" i="31" s="1"/>
  <c r="Q84" i="33"/>
  <c r="Q84" i="31" s="1"/>
  <c r="O84" i="33"/>
  <c r="O84" i="31" s="1"/>
  <c r="DK84" i="33"/>
  <c r="DK84" i="31" s="1"/>
  <c r="DI84" i="33"/>
  <c r="DI84" i="31" s="1"/>
  <c r="BO84" i="33"/>
  <c r="BO84" i="31" s="1"/>
  <c r="S84" i="33"/>
  <c r="S84" i="31" s="1"/>
  <c r="BM84" i="33"/>
  <c r="BM84" i="31" s="1"/>
  <c r="DG84" i="33"/>
  <c r="DG84" i="31" s="1"/>
  <c r="BK84" i="33"/>
  <c r="BK84" i="31" s="1"/>
  <c r="DK85" i="33"/>
  <c r="DK85" i="31" s="1"/>
  <c r="DI85" i="33"/>
  <c r="DI85" i="31" s="1"/>
  <c r="DG85" i="33"/>
  <c r="DG85" i="31" s="1"/>
  <c r="BO85" i="33"/>
  <c r="BO85" i="31" s="1"/>
  <c r="BM85" i="33"/>
  <c r="BM85" i="31" s="1"/>
  <c r="BK85" i="33"/>
  <c r="BK85" i="31" s="1"/>
  <c r="S85" i="33"/>
  <c r="S85" i="31" s="1"/>
  <c r="O85" i="33"/>
  <c r="O85" i="31" s="1"/>
  <c r="Q85" i="33"/>
  <c r="Q85" i="31" s="1"/>
  <c r="DR86" i="33"/>
  <c r="DR86" i="31" s="1"/>
  <c r="DP86" i="33"/>
  <c r="DP86" i="31" s="1"/>
  <c r="DN86" i="33"/>
  <c r="DN86" i="31" s="1"/>
  <c r="BV86" i="33"/>
  <c r="BV86" i="31" s="1"/>
  <c r="BT86" i="33"/>
  <c r="BT86" i="31" s="1"/>
  <c r="X86" i="33"/>
  <c r="X86" i="31" s="1"/>
  <c r="BR86" i="33"/>
  <c r="BR86" i="31" s="1"/>
  <c r="V86" i="33"/>
  <c r="V86" i="31" s="1"/>
  <c r="Z86" i="33"/>
  <c r="Z86" i="31" s="1"/>
  <c r="AC87" i="33"/>
  <c r="AC87" i="31" s="1"/>
  <c r="DY87" i="33"/>
  <c r="DY87" i="31" s="1"/>
  <c r="DW87" i="33"/>
  <c r="DW87" i="31" s="1"/>
  <c r="DU87" i="33"/>
  <c r="DU87" i="31" s="1"/>
  <c r="CC87" i="33"/>
  <c r="CC87" i="31" s="1"/>
  <c r="CA87" i="33"/>
  <c r="CA87" i="31" s="1"/>
  <c r="AE87" i="33"/>
  <c r="AE87" i="31" s="1"/>
  <c r="BY87" i="33"/>
  <c r="BY87" i="31" s="1"/>
  <c r="AG87" i="33"/>
  <c r="AG87" i="31" s="1"/>
  <c r="D89" i="33"/>
  <c r="EF88" i="31"/>
  <c r="AL88" i="33"/>
  <c r="AJ88" i="33"/>
  <c r="AJ88" i="31" s="1"/>
  <c r="EB88" i="31"/>
  <c r="CH88" i="33"/>
  <c r="CF88" i="33"/>
  <c r="CF88" i="31" s="1"/>
  <c r="AN88" i="33"/>
  <c r="AN88" i="31" s="1"/>
  <c r="CJ88" i="33"/>
  <c r="CJ88" i="31" s="1"/>
  <c r="EM89" i="33"/>
  <c r="EM89" i="31" s="1"/>
  <c r="CO89" i="33"/>
  <c r="CO89" i="31" s="1"/>
  <c r="EK89" i="33"/>
  <c r="EK89" i="31" s="1"/>
  <c r="CM89" i="33"/>
  <c r="CM89" i="31" s="1"/>
  <c r="AU89" i="33"/>
  <c r="AU89" i="31" s="1"/>
  <c r="EI89" i="33"/>
  <c r="EI89" i="31" s="1"/>
  <c r="AS89" i="33"/>
  <c r="AS89" i="31" s="1"/>
  <c r="AQ89" i="33"/>
  <c r="AQ89" i="31" s="1"/>
  <c r="CQ89" i="33"/>
  <c r="CQ89" i="31" s="1"/>
  <c r="AQ90" i="33"/>
  <c r="AQ90" i="31" s="1"/>
  <c r="CQ90" i="33"/>
  <c r="CQ90" i="31" s="1"/>
  <c r="EI90" i="33"/>
  <c r="EI90" i="31" s="1"/>
  <c r="CO90" i="33"/>
  <c r="CO90" i="31" s="1"/>
  <c r="AS90" i="33"/>
  <c r="AS90" i="31" s="1"/>
  <c r="CM90" i="33"/>
  <c r="CM90" i="31" s="1"/>
  <c r="AU90" i="33"/>
  <c r="AU90" i="31" s="1"/>
  <c r="EM90" i="33"/>
  <c r="EM90" i="31" s="1"/>
  <c r="EK90" i="33"/>
  <c r="EK90" i="31" s="1"/>
  <c r="CQ91" i="33"/>
  <c r="CQ91" i="31" s="1"/>
  <c r="EM91" i="33"/>
  <c r="EM91" i="31" s="1"/>
  <c r="CO91" i="33"/>
  <c r="CO91" i="31" s="1"/>
  <c r="EK91" i="33"/>
  <c r="EK91" i="31" s="1"/>
  <c r="CM91" i="33"/>
  <c r="CM91" i="31" s="1"/>
  <c r="AU91" i="33"/>
  <c r="AU91" i="31" s="1"/>
  <c r="EI91" i="33"/>
  <c r="EI91" i="31" s="1"/>
  <c r="AS91" i="33"/>
  <c r="AS91" i="31" s="1"/>
  <c r="AQ91" i="33"/>
  <c r="AQ91" i="31" s="1"/>
  <c r="EK92" i="33"/>
  <c r="EK92" i="31" s="1"/>
  <c r="CM92" i="33"/>
  <c r="CM92" i="31" s="1"/>
  <c r="AU92" i="33"/>
  <c r="AU92" i="31" s="1"/>
  <c r="EI92" i="33"/>
  <c r="EI92" i="31" s="1"/>
  <c r="AS92" i="33"/>
  <c r="AS92" i="31" s="1"/>
  <c r="AQ92" i="33"/>
  <c r="AQ92" i="31" s="1"/>
  <c r="EM92" i="33"/>
  <c r="EM92" i="31" s="1"/>
  <c r="CO92" i="33"/>
  <c r="CO92" i="31" s="1"/>
  <c r="CQ92" i="33"/>
  <c r="CQ92" i="31" s="1"/>
  <c r="EI93" i="33"/>
  <c r="EI93" i="31" s="1"/>
  <c r="EM93" i="33"/>
  <c r="EM93" i="31" s="1"/>
  <c r="EK93" i="33"/>
  <c r="EK93" i="31" s="1"/>
  <c r="AU93" i="33"/>
  <c r="AU93" i="31" s="1"/>
  <c r="AS93" i="33"/>
  <c r="AS93" i="31" s="1"/>
  <c r="CO93" i="33"/>
  <c r="CO93" i="31" s="1"/>
  <c r="CM93" i="33"/>
  <c r="CM93" i="31" s="1"/>
  <c r="CQ93" i="33"/>
  <c r="CQ93" i="31" s="1"/>
  <c r="AQ93" i="33"/>
  <c r="AQ93" i="31" s="1"/>
  <c r="EM94" i="33"/>
  <c r="EM94" i="31" s="1"/>
  <c r="EK94" i="33"/>
  <c r="EK94" i="31" s="1"/>
  <c r="AU94" i="33"/>
  <c r="AU94" i="31" s="1"/>
  <c r="EI94" i="33"/>
  <c r="EI94" i="31" s="1"/>
  <c r="AS94" i="33"/>
  <c r="AS94" i="31" s="1"/>
  <c r="CQ94" i="33"/>
  <c r="CQ94" i="31" s="1"/>
  <c r="AQ94" i="33"/>
  <c r="AQ94" i="31" s="1"/>
  <c r="CO94" i="33"/>
  <c r="CO94" i="31" s="1"/>
  <c r="CM94" i="33"/>
  <c r="CM94" i="31" s="1"/>
  <c r="EK95" i="33"/>
  <c r="EK95" i="31" s="1"/>
  <c r="CM95" i="33"/>
  <c r="CM95" i="31" s="1"/>
  <c r="AU95" i="33"/>
  <c r="AU95" i="31" s="1"/>
  <c r="EI95" i="33"/>
  <c r="EI95" i="31" s="1"/>
  <c r="AS95" i="33"/>
  <c r="AS95" i="31" s="1"/>
  <c r="EM95" i="33"/>
  <c r="EM95" i="31" s="1"/>
  <c r="CQ95" i="33"/>
  <c r="CQ95" i="31" s="1"/>
  <c r="CO95" i="33"/>
  <c r="CO95" i="31" s="1"/>
  <c r="AQ95" i="33"/>
  <c r="AQ95" i="31" s="1"/>
  <c r="EI96" i="33"/>
  <c r="EI96" i="31" s="1"/>
  <c r="AS96" i="33"/>
  <c r="AS96" i="31" s="1"/>
  <c r="AQ96" i="33"/>
  <c r="AQ96" i="31" s="1"/>
  <c r="AU96" i="33"/>
  <c r="AU96" i="31" s="1"/>
  <c r="EM96" i="33"/>
  <c r="EM96" i="31" s="1"/>
  <c r="CQ96" i="33"/>
  <c r="CQ96" i="31" s="1"/>
  <c r="CO96" i="33"/>
  <c r="CO96" i="31" s="1"/>
  <c r="EK96" i="33"/>
  <c r="EK96" i="31" s="1"/>
  <c r="CM96" i="33"/>
  <c r="CM96" i="31" s="1"/>
  <c r="EM97" i="33"/>
  <c r="EM97" i="31" s="1"/>
  <c r="CO97" i="33"/>
  <c r="CO97" i="31" s="1"/>
  <c r="EK97" i="33"/>
  <c r="EK97" i="31" s="1"/>
  <c r="CM97" i="33"/>
  <c r="CM97" i="31" s="1"/>
  <c r="AU97" i="33"/>
  <c r="AU97" i="31" s="1"/>
  <c r="CQ97" i="33"/>
  <c r="CQ97" i="31" s="1"/>
  <c r="EI97" i="33"/>
  <c r="EI97" i="31" s="1"/>
  <c r="AQ97" i="33"/>
  <c r="AQ97" i="31" s="1"/>
  <c r="AS97" i="33"/>
  <c r="AS97" i="31" s="1"/>
  <c r="CZ100" i="33"/>
  <c r="CZ100" i="31" s="1"/>
  <c r="BH100" i="33"/>
  <c r="BH100" i="31" s="1"/>
  <c r="BF100" i="33"/>
  <c r="BF100" i="31" s="1"/>
  <c r="J100" i="33"/>
  <c r="J100" i="31" s="1"/>
  <c r="H100" i="33"/>
  <c r="H100" i="31" s="1"/>
  <c r="BD100" i="33"/>
  <c r="BD100" i="31" s="1"/>
  <c r="L100" i="33"/>
  <c r="L100" i="31" s="1"/>
  <c r="DD100" i="33"/>
  <c r="DD100" i="31" s="1"/>
  <c r="DB100" i="33"/>
  <c r="DB100" i="31" s="1"/>
  <c r="CA9" i="33"/>
  <c r="CA9" i="31" s="1"/>
  <c r="AE9" i="33"/>
  <c r="AE9" i="31" s="1"/>
  <c r="AC9" i="33"/>
  <c r="AC9" i="31" s="1"/>
  <c r="DW9" i="33"/>
  <c r="DW9" i="31" s="1"/>
  <c r="CC9" i="33"/>
  <c r="CC9" i="31" s="1"/>
  <c r="BY9" i="33"/>
  <c r="BY9" i="31" s="1"/>
  <c r="DU9" i="33"/>
  <c r="DU9" i="31" s="1"/>
  <c r="AG9" i="33"/>
  <c r="AG9" i="31" s="1"/>
  <c r="DY9" i="33"/>
  <c r="DY9" i="31" s="1"/>
  <c r="CQ23" i="33"/>
  <c r="CQ23" i="31" s="1"/>
  <c r="EM23" i="33"/>
  <c r="EM23" i="31" s="1"/>
  <c r="CO23" i="33"/>
  <c r="CO23" i="31" s="1"/>
  <c r="EK23" i="33"/>
  <c r="EK23" i="31" s="1"/>
  <c r="CM23" i="33"/>
  <c r="CM23" i="31" s="1"/>
  <c r="AU23" i="33"/>
  <c r="AU23" i="31" s="1"/>
  <c r="EI23" i="33"/>
  <c r="EI23" i="31" s="1"/>
  <c r="AS23" i="33"/>
  <c r="AS23" i="31" s="1"/>
  <c r="AQ23" i="33"/>
  <c r="AQ23" i="31" s="1"/>
  <c r="DD54" i="33"/>
  <c r="DD54" i="31" s="1"/>
  <c r="BF54" i="33"/>
  <c r="BF54" i="31" s="1"/>
  <c r="J54" i="33"/>
  <c r="J54" i="31" s="1"/>
  <c r="DB54" i="33"/>
  <c r="DB54" i="31" s="1"/>
  <c r="BD54" i="33"/>
  <c r="BD54" i="31" s="1"/>
  <c r="H54" i="33"/>
  <c r="H54" i="31" s="1"/>
  <c r="CZ54" i="33"/>
  <c r="CZ54" i="31" s="1"/>
  <c r="BH54" i="33"/>
  <c r="BH54" i="31" s="1"/>
  <c r="L54" i="33"/>
  <c r="L54" i="31" s="1"/>
  <c r="DG6" i="33"/>
  <c r="DG6" i="31" s="1"/>
  <c r="BO6" i="33"/>
  <c r="BO6" i="31" s="1"/>
  <c r="BK6" i="33"/>
  <c r="BK6" i="31" s="1"/>
  <c r="S6" i="33"/>
  <c r="S6" i="31" s="1"/>
  <c r="Q6" i="33"/>
  <c r="Q6" i="31" s="1"/>
  <c r="BM6" i="33"/>
  <c r="BM6" i="31" s="1"/>
  <c r="DI6" i="33"/>
  <c r="DI6" i="31" s="1"/>
  <c r="O6" i="33"/>
  <c r="O6" i="31" s="1"/>
  <c r="DK6" i="33"/>
  <c r="DK6" i="31" s="1"/>
  <c r="DY8" i="33"/>
  <c r="DY8" i="31" s="1"/>
  <c r="DU8" i="33"/>
  <c r="DU8" i="31" s="1"/>
  <c r="CC8" i="33"/>
  <c r="CC8" i="31" s="1"/>
  <c r="CA8" i="33"/>
  <c r="CA8" i="31" s="1"/>
  <c r="DW8" i="33"/>
  <c r="DW8" i="31" s="1"/>
  <c r="AG8" i="33"/>
  <c r="AG8" i="31" s="1"/>
  <c r="BY8" i="33"/>
  <c r="BY8" i="31" s="1"/>
  <c r="AE8" i="33"/>
  <c r="AE8" i="31" s="1"/>
  <c r="AC8" i="33"/>
  <c r="AC8" i="31" s="1"/>
  <c r="CZ14" i="33"/>
  <c r="CZ14" i="31" s="1"/>
  <c r="BH14" i="33"/>
  <c r="BH14" i="31" s="1"/>
  <c r="BF14" i="33"/>
  <c r="BF14" i="31" s="1"/>
  <c r="BD14" i="33"/>
  <c r="BD14" i="31" s="1"/>
  <c r="L14" i="33"/>
  <c r="L14" i="31" s="1"/>
  <c r="J14" i="33"/>
  <c r="J14" i="31" s="1"/>
  <c r="DD14" i="33"/>
  <c r="DD14" i="31" s="1"/>
  <c r="H14" i="33"/>
  <c r="H14" i="31" s="1"/>
  <c r="DB14" i="33"/>
  <c r="DB14" i="31" s="1"/>
  <c r="DK18" i="33"/>
  <c r="DK18" i="31" s="1"/>
  <c r="DG18" i="33"/>
  <c r="DG18" i="31" s="1"/>
  <c r="BM18" i="33"/>
  <c r="BM18" i="31" s="1"/>
  <c r="BK18" i="33"/>
  <c r="BK18" i="31" s="1"/>
  <c r="S18" i="33"/>
  <c r="S18" i="31" s="1"/>
  <c r="Q18" i="33"/>
  <c r="Q18" i="31" s="1"/>
  <c r="O18" i="33"/>
  <c r="O18" i="31" s="1"/>
  <c r="DI18" i="33"/>
  <c r="DI18" i="31" s="1"/>
  <c r="BO18" i="33"/>
  <c r="BO18" i="31" s="1"/>
  <c r="D22" i="33"/>
  <c r="EF21" i="31"/>
  <c r="EB21" i="31"/>
  <c r="CJ21" i="33"/>
  <c r="CJ21" i="31" s="1"/>
  <c r="CH21" i="33"/>
  <c r="CF21" i="33"/>
  <c r="CF21" i="31" s="1"/>
  <c r="AN21" i="33"/>
  <c r="AN21" i="31" s="1"/>
  <c r="AJ21" i="33"/>
  <c r="AJ21" i="31" s="1"/>
  <c r="AL21" i="33"/>
  <c r="CZ25" i="33"/>
  <c r="CZ25" i="31" s="1"/>
  <c r="BH25" i="33"/>
  <c r="BH25" i="31" s="1"/>
  <c r="BF25" i="33"/>
  <c r="BF25" i="31" s="1"/>
  <c r="BD25" i="33"/>
  <c r="BD25" i="31" s="1"/>
  <c r="L25" i="33"/>
  <c r="L25" i="31" s="1"/>
  <c r="J25" i="33"/>
  <c r="J25" i="31" s="1"/>
  <c r="DD25" i="33"/>
  <c r="DD25" i="31" s="1"/>
  <c r="DB25" i="33"/>
  <c r="DB25" i="31" s="1"/>
  <c r="H25" i="33"/>
  <c r="H25" i="31" s="1"/>
  <c r="BF28" i="33"/>
  <c r="BF28" i="31" s="1"/>
  <c r="BD28" i="33"/>
  <c r="BD28" i="31" s="1"/>
  <c r="L28" i="33"/>
  <c r="L28" i="31" s="1"/>
  <c r="J28" i="33"/>
  <c r="J28" i="31" s="1"/>
  <c r="H28" i="33"/>
  <c r="H28" i="31" s="1"/>
  <c r="DD28" i="33"/>
  <c r="DD28" i="31" s="1"/>
  <c r="BH28" i="33"/>
  <c r="BH28" i="31" s="1"/>
  <c r="CZ28" i="33"/>
  <c r="CZ28" i="31" s="1"/>
  <c r="DB28" i="33"/>
  <c r="DB28" i="31" s="1"/>
  <c r="CZ32" i="33"/>
  <c r="CZ32" i="31" s="1"/>
  <c r="BH32" i="33"/>
  <c r="BH32" i="31" s="1"/>
  <c r="BF32" i="33"/>
  <c r="BF32" i="31" s="1"/>
  <c r="BD32" i="33"/>
  <c r="BD32" i="31" s="1"/>
  <c r="L32" i="33"/>
  <c r="L32" i="31" s="1"/>
  <c r="J32" i="33"/>
  <c r="J32" i="31" s="1"/>
  <c r="DB32" i="33"/>
  <c r="DB32" i="31" s="1"/>
  <c r="H32" i="33"/>
  <c r="H32" i="31" s="1"/>
  <c r="DD32" i="33"/>
  <c r="DD32" i="31" s="1"/>
  <c r="DP35" i="33"/>
  <c r="DP35" i="31" s="1"/>
  <c r="DN35" i="33"/>
  <c r="DN35" i="31" s="1"/>
  <c r="BV35" i="33"/>
  <c r="BV35" i="31" s="1"/>
  <c r="BT35" i="33"/>
  <c r="BT35" i="31" s="1"/>
  <c r="BR35" i="33"/>
  <c r="BR35" i="31" s="1"/>
  <c r="Z35" i="33"/>
  <c r="Z35" i="31" s="1"/>
  <c r="DR35" i="33"/>
  <c r="DR35" i="31" s="1"/>
  <c r="X35" i="33"/>
  <c r="X35" i="31" s="1"/>
  <c r="V35" i="33"/>
  <c r="V35" i="31" s="1"/>
  <c r="EK38" i="33"/>
  <c r="EK38" i="31" s="1"/>
  <c r="CM38" i="33"/>
  <c r="CM38" i="31" s="1"/>
  <c r="AU38" i="33"/>
  <c r="AU38" i="31" s="1"/>
  <c r="EI38" i="33"/>
  <c r="EI38" i="31" s="1"/>
  <c r="AS38" i="33"/>
  <c r="AS38" i="31" s="1"/>
  <c r="AQ38" i="33"/>
  <c r="AQ38" i="31" s="1"/>
  <c r="EM38" i="33"/>
  <c r="EM38" i="31" s="1"/>
  <c r="CO38" i="33"/>
  <c r="CO38" i="31" s="1"/>
  <c r="CQ38" i="33"/>
  <c r="CQ38" i="31" s="1"/>
  <c r="DU44" i="33"/>
  <c r="DU44" i="31" s="1"/>
  <c r="CC44" i="33"/>
  <c r="CC44" i="31" s="1"/>
  <c r="CA44" i="33"/>
  <c r="CA44" i="31" s="1"/>
  <c r="BY44" i="33"/>
  <c r="BY44" i="31" s="1"/>
  <c r="AG44" i="33"/>
  <c r="AG44" i="31" s="1"/>
  <c r="AE44" i="33"/>
  <c r="AE44" i="31" s="1"/>
  <c r="DW44" i="33"/>
  <c r="DW44" i="31" s="1"/>
  <c r="DY44" i="33"/>
  <c r="DY44" i="31" s="1"/>
  <c r="AC44" i="33"/>
  <c r="AC44" i="31" s="1"/>
  <c r="DB69" i="33"/>
  <c r="DB69" i="31" s="1"/>
  <c r="CZ69" i="33"/>
  <c r="CZ69" i="31" s="1"/>
  <c r="BH69" i="33"/>
  <c r="BH69" i="31" s="1"/>
  <c r="BF69" i="33"/>
  <c r="BF69" i="31" s="1"/>
  <c r="DD69" i="33"/>
  <c r="DD69" i="31" s="1"/>
  <c r="J69" i="33"/>
  <c r="J69" i="31" s="1"/>
  <c r="H69" i="33"/>
  <c r="H69" i="31" s="1"/>
  <c r="BD69" i="33"/>
  <c r="BD69" i="31" s="1"/>
  <c r="L69" i="33"/>
  <c r="L69" i="31" s="1"/>
  <c r="DP5" i="33"/>
  <c r="DN5" i="33"/>
  <c r="BV5" i="33"/>
  <c r="BR5" i="33"/>
  <c r="V5" i="33"/>
  <c r="X5" i="33"/>
  <c r="BT5" i="33"/>
  <c r="Z5" i="33"/>
  <c r="DR5" i="33"/>
  <c r="DY6" i="33"/>
  <c r="DY6" i="31" s="1"/>
  <c r="DU6" i="33"/>
  <c r="DU6" i="31" s="1"/>
  <c r="CC6" i="33"/>
  <c r="CC6" i="31" s="1"/>
  <c r="CA6" i="33"/>
  <c r="CA6" i="31" s="1"/>
  <c r="AC6" i="33"/>
  <c r="AC6" i="31" s="1"/>
  <c r="DW6" i="33"/>
  <c r="DW6" i="31" s="1"/>
  <c r="AG6" i="33"/>
  <c r="AG6" i="31" s="1"/>
  <c r="AE6" i="33"/>
  <c r="AE6" i="31" s="1"/>
  <c r="BY6" i="33"/>
  <c r="BY6" i="31" s="1"/>
  <c r="D8" i="33"/>
  <c r="EF7" i="31"/>
  <c r="EB7" i="31"/>
  <c r="CJ7" i="33"/>
  <c r="CJ7" i="31" s="1"/>
  <c r="CH7" i="33"/>
  <c r="AJ7" i="33"/>
  <c r="AJ7" i="31" s="1"/>
  <c r="AL7" i="33"/>
  <c r="CF7" i="33"/>
  <c r="CF7" i="31" s="1"/>
  <c r="AN7" i="33"/>
  <c r="AN7" i="31" s="1"/>
  <c r="AQ8" i="33"/>
  <c r="AQ8" i="31" s="1"/>
  <c r="CM8" i="33"/>
  <c r="CM8" i="31" s="1"/>
  <c r="AS8" i="33"/>
  <c r="AS8" i="31" s="1"/>
  <c r="CO8" i="33"/>
  <c r="CO8" i="31" s="1"/>
  <c r="EK8" i="33"/>
  <c r="EK8" i="31" s="1"/>
  <c r="AU8" i="33"/>
  <c r="AU8" i="31" s="1"/>
  <c r="EM8" i="33"/>
  <c r="EM8" i="31" s="1"/>
  <c r="CQ8" i="33"/>
  <c r="CQ8" i="31" s="1"/>
  <c r="EI8" i="33"/>
  <c r="EI8" i="31" s="1"/>
  <c r="DD11" i="33"/>
  <c r="DD11" i="31" s="1"/>
  <c r="DB11" i="33"/>
  <c r="DB11" i="31" s="1"/>
  <c r="CZ11" i="33"/>
  <c r="CZ11" i="31" s="1"/>
  <c r="BH11" i="33"/>
  <c r="BH11" i="31" s="1"/>
  <c r="BF11" i="33"/>
  <c r="BF11" i="31" s="1"/>
  <c r="BD11" i="33"/>
  <c r="BD11" i="31" s="1"/>
  <c r="H11" i="33"/>
  <c r="H11" i="31" s="1"/>
  <c r="L11" i="33"/>
  <c r="L11" i="31" s="1"/>
  <c r="J11" i="33"/>
  <c r="J11" i="31" s="1"/>
  <c r="O12" i="33"/>
  <c r="O12" i="31" s="1"/>
  <c r="DK12" i="33"/>
  <c r="DK12" i="31" s="1"/>
  <c r="DI12" i="33"/>
  <c r="DI12" i="31" s="1"/>
  <c r="Q12" i="33"/>
  <c r="Q12" i="31" s="1"/>
  <c r="BO12" i="33"/>
  <c r="BO12" i="31" s="1"/>
  <c r="BM12" i="33"/>
  <c r="BM12" i="31" s="1"/>
  <c r="S12" i="33"/>
  <c r="S12" i="31" s="1"/>
  <c r="DG12" i="33"/>
  <c r="DG12" i="31" s="1"/>
  <c r="BK12" i="33"/>
  <c r="BK12" i="31" s="1"/>
  <c r="BR13" i="33"/>
  <c r="BR13" i="31" s="1"/>
  <c r="Z13" i="33"/>
  <c r="Z13" i="31" s="1"/>
  <c r="X13" i="33"/>
  <c r="X13" i="31" s="1"/>
  <c r="V13" i="33"/>
  <c r="V13" i="31" s="1"/>
  <c r="DP13" i="33"/>
  <c r="DP13" i="31" s="1"/>
  <c r="DN13" i="33"/>
  <c r="DN13" i="31" s="1"/>
  <c r="BV13" i="33"/>
  <c r="BV13" i="31" s="1"/>
  <c r="BT13" i="33"/>
  <c r="BT13" i="31" s="1"/>
  <c r="DR13" i="33"/>
  <c r="DR13" i="31" s="1"/>
  <c r="DR14" i="33"/>
  <c r="DR14" i="31" s="1"/>
  <c r="DP14" i="33"/>
  <c r="DP14" i="31" s="1"/>
  <c r="DN14" i="33"/>
  <c r="DN14" i="31" s="1"/>
  <c r="BV14" i="33"/>
  <c r="BV14" i="31" s="1"/>
  <c r="BT14" i="33"/>
  <c r="BT14" i="31" s="1"/>
  <c r="X14" i="33"/>
  <c r="X14" i="31" s="1"/>
  <c r="V14" i="33"/>
  <c r="V14" i="31" s="1"/>
  <c r="BR14" i="33"/>
  <c r="BR14" i="31" s="1"/>
  <c r="Z14" i="33"/>
  <c r="Z14" i="31" s="1"/>
  <c r="BR15" i="33"/>
  <c r="BR15" i="31" s="1"/>
  <c r="Z15" i="33"/>
  <c r="Z15" i="31" s="1"/>
  <c r="X15" i="33"/>
  <c r="X15" i="31" s="1"/>
  <c r="V15" i="33"/>
  <c r="V15" i="31" s="1"/>
  <c r="DR15" i="33"/>
  <c r="DR15" i="31" s="1"/>
  <c r="DN15" i="33"/>
  <c r="DN15" i="31" s="1"/>
  <c r="DP15" i="33"/>
  <c r="DP15" i="31" s="1"/>
  <c r="BV15" i="33"/>
  <c r="BV15" i="31" s="1"/>
  <c r="BT15" i="33"/>
  <c r="BT15" i="31" s="1"/>
  <c r="DR16" i="33"/>
  <c r="DR16" i="31" s="1"/>
  <c r="DP16" i="33"/>
  <c r="DP16" i="31" s="1"/>
  <c r="DN16" i="33"/>
  <c r="DN16" i="31" s="1"/>
  <c r="BV16" i="33"/>
  <c r="BV16" i="31" s="1"/>
  <c r="BT16" i="33"/>
  <c r="BT16" i="31" s="1"/>
  <c r="X16" i="33"/>
  <c r="X16" i="31" s="1"/>
  <c r="Z16" i="33"/>
  <c r="Z16" i="31" s="1"/>
  <c r="BR16" i="33"/>
  <c r="BR16" i="31" s="1"/>
  <c r="V16" i="33"/>
  <c r="V16" i="31" s="1"/>
  <c r="BT17" i="33"/>
  <c r="BT17" i="31" s="1"/>
  <c r="BR17" i="33"/>
  <c r="BR17" i="31" s="1"/>
  <c r="Z17" i="33"/>
  <c r="Z17" i="31" s="1"/>
  <c r="X17" i="33"/>
  <c r="X17" i="31" s="1"/>
  <c r="V17" i="33"/>
  <c r="V17" i="31" s="1"/>
  <c r="DR17" i="33"/>
  <c r="DR17" i="31" s="1"/>
  <c r="DP17" i="33"/>
  <c r="DP17" i="31" s="1"/>
  <c r="DN17" i="33"/>
  <c r="DN17" i="31" s="1"/>
  <c r="BV17" i="33"/>
  <c r="BV17" i="31" s="1"/>
  <c r="CC18" i="33"/>
  <c r="CC18" i="31" s="1"/>
  <c r="DY18" i="33"/>
  <c r="DY18" i="31" s="1"/>
  <c r="CA18" i="33"/>
  <c r="CA18" i="31" s="1"/>
  <c r="DW18" i="33"/>
  <c r="DW18" i="31" s="1"/>
  <c r="BY18" i="33"/>
  <c r="BY18" i="31" s="1"/>
  <c r="AG18" i="33"/>
  <c r="AG18" i="31" s="1"/>
  <c r="AC18" i="33"/>
  <c r="AC18" i="31" s="1"/>
  <c r="AE18" i="33"/>
  <c r="AE18" i="31" s="1"/>
  <c r="DU18" i="33"/>
  <c r="DU18" i="31" s="1"/>
  <c r="D20" i="33"/>
  <c r="EF19" i="31"/>
  <c r="EB19" i="31"/>
  <c r="CJ19" i="33"/>
  <c r="CJ19" i="31" s="1"/>
  <c r="CH19" i="33"/>
  <c r="CF19" i="33"/>
  <c r="CF19" i="31" s="1"/>
  <c r="AN19" i="33"/>
  <c r="AN19" i="31" s="1"/>
  <c r="AL19" i="33"/>
  <c r="AJ19" i="33"/>
  <c r="AJ19" i="31" s="1"/>
  <c r="CQ20" i="33"/>
  <c r="CQ20" i="31" s="1"/>
  <c r="EM20" i="33"/>
  <c r="EM20" i="31" s="1"/>
  <c r="CO20" i="33"/>
  <c r="CO20" i="31" s="1"/>
  <c r="EK20" i="33"/>
  <c r="EK20" i="31" s="1"/>
  <c r="CM20" i="33"/>
  <c r="CM20" i="31" s="1"/>
  <c r="AS20" i="33"/>
  <c r="AS20" i="31" s="1"/>
  <c r="AQ20" i="33"/>
  <c r="AQ20" i="31" s="1"/>
  <c r="AU20" i="33"/>
  <c r="AU20" i="31" s="1"/>
  <c r="EI20" i="33"/>
  <c r="EI20" i="31" s="1"/>
  <c r="BF23" i="33"/>
  <c r="BF23" i="31" s="1"/>
  <c r="BD23" i="33"/>
  <c r="BD23" i="31" s="1"/>
  <c r="L23" i="33"/>
  <c r="L23" i="31" s="1"/>
  <c r="J23" i="33"/>
  <c r="J23" i="31" s="1"/>
  <c r="H23" i="33"/>
  <c r="H23" i="31" s="1"/>
  <c r="DD23" i="33"/>
  <c r="DD23" i="31" s="1"/>
  <c r="BH23" i="33"/>
  <c r="BH23" i="31" s="1"/>
  <c r="CZ23" i="33"/>
  <c r="CZ23" i="31" s="1"/>
  <c r="DB23" i="33"/>
  <c r="DB23" i="31" s="1"/>
  <c r="DG24" i="33"/>
  <c r="DG24" i="31" s="1"/>
  <c r="BO24" i="33"/>
  <c r="BO24" i="31" s="1"/>
  <c r="BM24" i="33"/>
  <c r="BM24" i="31" s="1"/>
  <c r="BK24" i="33"/>
  <c r="BK24" i="31" s="1"/>
  <c r="S24" i="33"/>
  <c r="S24" i="31" s="1"/>
  <c r="Q24" i="33"/>
  <c r="Q24" i="31" s="1"/>
  <c r="DK24" i="33"/>
  <c r="DK24" i="31" s="1"/>
  <c r="DI24" i="33"/>
  <c r="DI24" i="31" s="1"/>
  <c r="O24" i="33"/>
  <c r="O24" i="31" s="1"/>
  <c r="DR25" i="33"/>
  <c r="DR25" i="31" s="1"/>
  <c r="DP25" i="33"/>
  <c r="DP25" i="31" s="1"/>
  <c r="DN25" i="33"/>
  <c r="DN25" i="31" s="1"/>
  <c r="BV25" i="33"/>
  <c r="BV25" i="31" s="1"/>
  <c r="BT25" i="33"/>
  <c r="BT25" i="31" s="1"/>
  <c r="V25" i="33"/>
  <c r="V25" i="31" s="1"/>
  <c r="Z25" i="33"/>
  <c r="Z25" i="31" s="1"/>
  <c r="BR25" i="33"/>
  <c r="BR25" i="31" s="1"/>
  <c r="X25" i="33"/>
  <c r="X25" i="31" s="1"/>
  <c r="BT26" i="33"/>
  <c r="BT26" i="31" s="1"/>
  <c r="BR26" i="33"/>
  <c r="BR26" i="31" s="1"/>
  <c r="Z26" i="33"/>
  <c r="Z26" i="31" s="1"/>
  <c r="X26" i="33"/>
  <c r="X26" i="31" s="1"/>
  <c r="V26" i="33"/>
  <c r="V26" i="31" s="1"/>
  <c r="DR26" i="33"/>
  <c r="DR26" i="31" s="1"/>
  <c r="BV26" i="33"/>
  <c r="BV26" i="31" s="1"/>
  <c r="DP26" i="33"/>
  <c r="DP26" i="31" s="1"/>
  <c r="DN26" i="33"/>
  <c r="DN26" i="31" s="1"/>
  <c r="V27" i="33"/>
  <c r="V27" i="31" s="1"/>
  <c r="DR27" i="33"/>
  <c r="DR27" i="31" s="1"/>
  <c r="DP27" i="33"/>
  <c r="DP27" i="31" s="1"/>
  <c r="DN27" i="33"/>
  <c r="DN27" i="31" s="1"/>
  <c r="BV27" i="33"/>
  <c r="BV27" i="31" s="1"/>
  <c r="BT27" i="33"/>
  <c r="BT27" i="31" s="1"/>
  <c r="X27" i="33"/>
  <c r="X27" i="31" s="1"/>
  <c r="BR27" i="33"/>
  <c r="BR27" i="31" s="1"/>
  <c r="Z27" i="33"/>
  <c r="Z27" i="31" s="1"/>
  <c r="DP28" i="33"/>
  <c r="DP28" i="31" s="1"/>
  <c r="DN28" i="33"/>
  <c r="DN28" i="31" s="1"/>
  <c r="BV28" i="33"/>
  <c r="BV28" i="31" s="1"/>
  <c r="BT28" i="33"/>
  <c r="BT28" i="31" s="1"/>
  <c r="BR28" i="33"/>
  <c r="BR28" i="31" s="1"/>
  <c r="Z28" i="33"/>
  <c r="Z28" i="31" s="1"/>
  <c r="DR28" i="33"/>
  <c r="DR28" i="31" s="1"/>
  <c r="X28" i="33"/>
  <c r="X28" i="31" s="1"/>
  <c r="V28" i="33"/>
  <c r="V28" i="31" s="1"/>
  <c r="BR29" i="33"/>
  <c r="BR29" i="31" s="1"/>
  <c r="Z29" i="33"/>
  <c r="Z29" i="31" s="1"/>
  <c r="X29" i="33"/>
  <c r="X29" i="31" s="1"/>
  <c r="V29" i="33"/>
  <c r="V29" i="31" s="1"/>
  <c r="DN29" i="33"/>
  <c r="DN29" i="31" s="1"/>
  <c r="BV29" i="33"/>
  <c r="BV29" i="31" s="1"/>
  <c r="BT29" i="33"/>
  <c r="BT29" i="31" s="1"/>
  <c r="DP29" i="33"/>
  <c r="DP29" i="31" s="1"/>
  <c r="DR29" i="33"/>
  <c r="DR29" i="31" s="1"/>
  <c r="DR30" i="33"/>
  <c r="DR30" i="31" s="1"/>
  <c r="DP30" i="33"/>
  <c r="DP30" i="31" s="1"/>
  <c r="DN30" i="33"/>
  <c r="DN30" i="31" s="1"/>
  <c r="BV30" i="33"/>
  <c r="BV30" i="31" s="1"/>
  <c r="BT30" i="33"/>
  <c r="BT30" i="31" s="1"/>
  <c r="V30" i="33"/>
  <c r="V30" i="31" s="1"/>
  <c r="Z30" i="33"/>
  <c r="Z30" i="31" s="1"/>
  <c r="BR30" i="33"/>
  <c r="BR30" i="31" s="1"/>
  <c r="X30" i="33"/>
  <c r="X30" i="31" s="1"/>
  <c r="BR31" i="33"/>
  <c r="BR31" i="31" s="1"/>
  <c r="Z31" i="33"/>
  <c r="Z31" i="31" s="1"/>
  <c r="X31" i="33"/>
  <c r="X31" i="31" s="1"/>
  <c r="V31" i="33"/>
  <c r="V31" i="31" s="1"/>
  <c r="DR31" i="33"/>
  <c r="DR31" i="31" s="1"/>
  <c r="DP31" i="33"/>
  <c r="DP31" i="31" s="1"/>
  <c r="BT31" i="33"/>
  <c r="BT31" i="31" s="1"/>
  <c r="BV31" i="33"/>
  <c r="BV31" i="31" s="1"/>
  <c r="DN31" i="33"/>
  <c r="DN31" i="31" s="1"/>
  <c r="DR32" i="33"/>
  <c r="DR32" i="31" s="1"/>
  <c r="DP32" i="33"/>
  <c r="DP32" i="31" s="1"/>
  <c r="DN32" i="33"/>
  <c r="DN32" i="31" s="1"/>
  <c r="BV32" i="33"/>
  <c r="BV32" i="31" s="1"/>
  <c r="BT32" i="33"/>
  <c r="BT32" i="31" s="1"/>
  <c r="BR32" i="33"/>
  <c r="BR32" i="31" s="1"/>
  <c r="Z32" i="33"/>
  <c r="Z32" i="31" s="1"/>
  <c r="X32" i="33"/>
  <c r="X32" i="31" s="1"/>
  <c r="V32" i="33"/>
  <c r="V32" i="31" s="1"/>
  <c r="BT33" i="33"/>
  <c r="BT33" i="31" s="1"/>
  <c r="BR33" i="33"/>
  <c r="BR33" i="31" s="1"/>
  <c r="Z33" i="33"/>
  <c r="Z33" i="31" s="1"/>
  <c r="X33" i="33"/>
  <c r="X33" i="31" s="1"/>
  <c r="V33" i="33"/>
  <c r="V33" i="31" s="1"/>
  <c r="DP33" i="33"/>
  <c r="DP33" i="31" s="1"/>
  <c r="DN33" i="33"/>
  <c r="DN33" i="31" s="1"/>
  <c r="BV33" i="33"/>
  <c r="BV33" i="31" s="1"/>
  <c r="DR33" i="33"/>
  <c r="DR33" i="31" s="1"/>
  <c r="DW34" i="33"/>
  <c r="DW34" i="31" s="1"/>
  <c r="DU34" i="33"/>
  <c r="DU34" i="31" s="1"/>
  <c r="CC34" i="33"/>
  <c r="CC34" i="31" s="1"/>
  <c r="CA34" i="33"/>
  <c r="CA34" i="31" s="1"/>
  <c r="BY34" i="33"/>
  <c r="BY34" i="31" s="1"/>
  <c r="AG34" i="33"/>
  <c r="AG34" i="31" s="1"/>
  <c r="DY34" i="33"/>
  <c r="DY34" i="31" s="1"/>
  <c r="AE34" i="33"/>
  <c r="AE34" i="31" s="1"/>
  <c r="AC34" i="33"/>
  <c r="AC34" i="31" s="1"/>
  <c r="D36" i="33"/>
  <c r="EB35" i="31"/>
  <c r="EF35" i="31"/>
  <c r="CJ35" i="33"/>
  <c r="CJ35" i="31" s="1"/>
  <c r="CH35" i="33"/>
  <c r="CF35" i="33"/>
  <c r="CF35" i="31" s="1"/>
  <c r="AN35" i="33"/>
  <c r="AN35" i="31" s="1"/>
  <c r="AJ35" i="33"/>
  <c r="AJ35" i="31" s="1"/>
  <c r="AL35" i="33"/>
  <c r="EI36" i="33"/>
  <c r="EI36" i="31" s="1"/>
  <c r="AS36" i="33"/>
  <c r="AS36" i="31" s="1"/>
  <c r="AQ36" i="33"/>
  <c r="AQ36" i="31" s="1"/>
  <c r="EM36" i="33"/>
  <c r="EM36" i="31" s="1"/>
  <c r="CO36" i="33"/>
  <c r="CO36" i="31" s="1"/>
  <c r="EK36" i="33"/>
  <c r="EK36" i="31" s="1"/>
  <c r="CM36" i="33"/>
  <c r="CM36" i="31" s="1"/>
  <c r="AU36" i="33"/>
  <c r="AU36" i="31" s="1"/>
  <c r="CQ36" i="33"/>
  <c r="CQ36" i="31" s="1"/>
  <c r="DB39" i="33"/>
  <c r="DB39" i="31" s="1"/>
  <c r="CZ39" i="33"/>
  <c r="CZ39" i="31" s="1"/>
  <c r="BH39" i="33"/>
  <c r="BH39" i="31" s="1"/>
  <c r="BF39" i="33"/>
  <c r="BF39" i="31" s="1"/>
  <c r="BD39" i="33"/>
  <c r="BD39" i="31" s="1"/>
  <c r="L39" i="33"/>
  <c r="L39" i="31" s="1"/>
  <c r="DD39" i="33"/>
  <c r="DD39" i="31" s="1"/>
  <c r="J39" i="33"/>
  <c r="J39" i="31" s="1"/>
  <c r="H39" i="33"/>
  <c r="H39" i="31" s="1"/>
  <c r="DK40" i="33"/>
  <c r="DK40" i="31" s="1"/>
  <c r="DI40" i="33"/>
  <c r="DI40" i="31" s="1"/>
  <c r="DG40" i="33"/>
  <c r="DG40" i="31" s="1"/>
  <c r="BO40" i="33"/>
  <c r="BO40" i="31" s="1"/>
  <c r="BM40" i="33"/>
  <c r="BM40" i="31" s="1"/>
  <c r="O40" i="33"/>
  <c r="O40" i="31" s="1"/>
  <c r="S40" i="33"/>
  <c r="S40" i="31" s="1"/>
  <c r="Q40" i="33"/>
  <c r="Q40" i="31" s="1"/>
  <c r="BK40" i="33"/>
  <c r="BK40" i="31" s="1"/>
  <c r="V41" i="33"/>
  <c r="V41" i="31" s="1"/>
  <c r="DR41" i="33"/>
  <c r="DR41" i="31" s="1"/>
  <c r="DP41" i="33"/>
  <c r="DP41" i="31" s="1"/>
  <c r="DN41" i="33"/>
  <c r="DN41" i="31" s="1"/>
  <c r="BV41" i="33"/>
  <c r="BV41" i="31" s="1"/>
  <c r="BT41" i="33"/>
  <c r="BT41" i="31" s="1"/>
  <c r="X41" i="33"/>
  <c r="X41" i="31" s="1"/>
  <c r="Z41" i="33"/>
  <c r="Z41" i="31" s="1"/>
  <c r="BR41" i="33"/>
  <c r="BR41" i="31" s="1"/>
  <c r="BY42" i="33"/>
  <c r="BY42" i="31" s="1"/>
  <c r="AG42" i="33"/>
  <c r="AG42" i="31" s="1"/>
  <c r="AE42" i="33"/>
  <c r="AE42" i="31" s="1"/>
  <c r="AC42" i="33"/>
  <c r="AC42" i="31" s="1"/>
  <c r="DU42" i="33"/>
  <c r="DU42" i="31" s="1"/>
  <c r="CC42" i="33"/>
  <c r="CC42" i="31" s="1"/>
  <c r="CA42" i="33"/>
  <c r="CA42" i="31" s="1"/>
  <c r="DW42" i="33"/>
  <c r="DW42" i="31" s="1"/>
  <c r="DY42" i="33"/>
  <c r="DY42" i="31" s="1"/>
  <c r="D44" i="33"/>
  <c r="EB43" i="31"/>
  <c r="EF43" i="31"/>
  <c r="CJ43" i="33"/>
  <c r="CJ43" i="31" s="1"/>
  <c r="CH43" i="33"/>
  <c r="CF43" i="33"/>
  <c r="CF43" i="31" s="1"/>
  <c r="AN43" i="33"/>
  <c r="AN43" i="31" s="1"/>
  <c r="AL43" i="33"/>
  <c r="AJ43" i="33"/>
  <c r="AJ43" i="31" s="1"/>
  <c r="CQ44" i="33"/>
  <c r="CQ44" i="31" s="1"/>
  <c r="EM44" i="33"/>
  <c r="EM44" i="31" s="1"/>
  <c r="CO44" i="33"/>
  <c r="CO44" i="31" s="1"/>
  <c r="EK44" i="33"/>
  <c r="EK44" i="31" s="1"/>
  <c r="CM44" i="33"/>
  <c r="CM44" i="31" s="1"/>
  <c r="AU44" i="33"/>
  <c r="AU44" i="31" s="1"/>
  <c r="EI44" i="33"/>
  <c r="EI44" i="31" s="1"/>
  <c r="AS44" i="33"/>
  <c r="AS44" i="31" s="1"/>
  <c r="AQ44" i="33"/>
  <c r="AQ44" i="31" s="1"/>
  <c r="DB51" i="33"/>
  <c r="DB51" i="31" s="1"/>
  <c r="CZ51" i="33"/>
  <c r="CZ51" i="31" s="1"/>
  <c r="BH51" i="33"/>
  <c r="BH51" i="31" s="1"/>
  <c r="BF51" i="33"/>
  <c r="BF51" i="31" s="1"/>
  <c r="BD51" i="33"/>
  <c r="BD51" i="31" s="1"/>
  <c r="L51" i="33"/>
  <c r="L51" i="31" s="1"/>
  <c r="H51" i="33"/>
  <c r="H51" i="31" s="1"/>
  <c r="DD51" i="33"/>
  <c r="DD51" i="31" s="1"/>
  <c r="J51" i="33"/>
  <c r="J51" i="31" s="1"/>
  <c r="DK52" i="33"/>
  <c r="DK52" i="31" s="1"/>
  <c r="DI52" i="33"/>
  <c r="DI52" i="31" s="1"/>
  <c r="DG52" i="33"/>
  <c r="DG52" i="31" s="1"/>
  <c r="BO52" i="33"/>
  <c r="BO52" i="31" s="1"/>
  <c r="BM52" i="33"/>
  <c r="BM52" i="31" s="1"/>
  <c r="Q52" i="33"/>
  <c r="Q52" i="31" s="1"/>
  <c r="BK52" i="33"/>
  <c r="BK52" i="31" s="1"/>
  <c r="S52" i="33"/>
  <c r="S52" i="31" s="1"/>
  <c r="O52" i="33"/>
  <c r="O52" i="31" s="1"/>
  <c r="DN53" i="33"/>
  <c r="DN53" i="31" s="1"/>
  <c r="BV53" i="33"/>
  <c r="BV53" i="31" s="1"/>
  <c r="DR53" i="33"/>
  <c r="DR53" i="31" s="1"/>
  <c r="BT53" i="33"/>
  <c r="BT53" i="31" s="1"/>
  <c r="X53" i="33"/>
  <c r="X53" i="31" s="1"/>
  <c r="DP53" i="33"/>
  <c r="DP53" i="31" s="1"/>
  <c r="BR53" i="33"/>
  <c r="BR53" i="31" s="1"/>
  <c r="V53" i="33"/>
  <c r="V53" i="31" s="1"/>
  <c r="Z53" i="33"/>
  <c r="Z53" i="31" s="1"/>
  <c r="DY54" i="33"/>
  <c r="DY54" i="31" s="1"/>
  <c r="DW54" i="33"/>
  <c r="DW54" i="31" s="1"/>
  <c r="CA54" i="33"/>
  <c r="CA54" i="31" s="1"/>
  <c r="AE54" i="33"/>
  <c r="AE54" i="31" s="1"/>
  <c r="BY54" i="33"/>
  <c r="BY54" i="31" s="1"/>
  <c r="AC54" i="33"/>
  <c r="AC54" i="31" s="1"/>
  <c r="DU54" i="33"/>
  <c r="DU54" i="31" s="1"/>
  <c r="CC54" i="33"/>
  <c r="CC54" i="31" s="1"/>
  <c r="AG54" i="33"/>
  <c r="AG54" i="31" s="1"/>
  <c r="D56" i="33"/>
  <c r="EF55" i="31"/>
  <c r="EB55" i="31"/>
  <c r="CF55" i="33"/>
  <c r="CF55" i="31" s="1"/>
  <c r="AN55" i="33"/>
  <c r="AN55" i="31" s="1"/>
  <c r="CJ55" i="33"/>
  <c r="CJ55" i="31" s="1"/>
  <c r="AJ55" i="33"/>
  <c r="AJ55" i="31" s="1"/>
  <c r="AL55" i="33"/>
  <c r="CH55" i="33"/>
  <c r="AQ56" i="33"/>
  <c r="AQ56" i="31" s="1"/>
  <c r="EM56" i="33"/>
  <c r="EM56" i="31" s="1"/>
  <c r="EK56" i="33"/>
  <c r="EK56" i="31" s="1"/>
  <c r="AU56" i="33"/>
  <c r="AU56" i="31" s="1"/>
  <c r="CO56" i="33"/>
  <c r="CO56" i="31" s="1"/>
  <c r="CM56" i="33"/>
  <c r="CM56" i="31" s="1"/>
  <c r="EI56" i="33"/>
  <c r="EI56" i="31" s="1"/>
  <c r="AS56" i="33"/>
  <c r="AS56" i="31" s="1"/>
  <c r="CQ56" i="33"/>
  <c r="CQ56" i="31" s="1"/>
  <c r="BF67" i="33"/>
  <c r="BF67" i="31" s="1"/>
  <c r="BD67" i="33"/>
  <c r="BD67" i="31" s="1"/>
  <c r="L67" i="33"/>
  <c r="L67" i="31" s="1"/>
  <c r="J67" i="33"/>
  <c r="J67" i="31" s="1"/>
  <c r="H67" i="33"/>
  <c r="H67" i="31" s="1"/>
  <c r="DD67" i="33"/>
  <c r="DD67" i="31" s="1"/>
  <c r="DB67" i="33"/>
  <c r="DB67" i="31" s="1"/>
  <c r="CZ67" i="33"/>
  <c r="CZ67" i="31" s="1"/>
  <c r="BH67" i="33"/>
  <c r="BH67" i="31" s="1"/>
  <c r="DI68" i="33"/>
  <c r="DI68" i="31" s="1"/>
  <c r="DG68" i="33"/>
  <c r="DG68" i="31" s="1"/>
  <c r="BO68" i="33"/>
  <c r="BO68" i="31" s="1"/>
  <c r="BM68" i="33"/>
  <c r="BM68" i="31" s="1"/>
  <c r="DK68" i="33"/>
  <c r="DK68" i="31" s="1"/>
  <c r="BK68" i="33"/>
  <c r="BK68" i="31" s="1"/>
  <c r="Q68" i="33"/>
  <c r="Q68" i="31" s="1"/>
  <c r="S68" i="33"/>
  <c r="S68" i="31" s="1"/>
  <c r="O68" i="33"/>
  <c r="O68" i="31" s="1"/>
  <c r="DR69" i="33"/>
  <c r="DR69" i="31" s="1"/>
  <c r="DP69" i="33"/>
  <c r="DP69" i="31" s="1"/>
  <c r="BV69" i="33"/>
  <c r="BV69" i="31" s="1"/>
  <c r="BT69" i="33"/>
  <c r="BT69" i="31" s="1"/>
  <c r="BR69" i="33"/>
  <c r="BR69" i="31" s="1"/>
  <c r="DN69" i="33"/>
  <c r="DN69" i="31" s="1"/>
  <c r="Z69" i="33"/>
  <c r="Z69" i="31" s="1"/>
  <c r="V69" i="33"/>
  <c r="V69" i="31" s="1"/>
  <c r="X69" i="33"/>
  <c r="X69" i="31" s="1"/>
  <c r="AC70" i="33"/>
  <c r="AC70" i="31" s="1"/>
  <c r="DY70" i="33"/>
  <c r="DY70" i="31" s="1"/>
  <c r="AG70" i="33"/>
  <c r="AG70" i="31" s="1"/>
  <c r="DW70" i="33"/>
  <c r="DW70" i="31" s="1"/>
  <c r="DU70" i="33"/>
  <c r="DU70" i="31" s="1"/>
  <c r="CC70" i="33"/>
  <c r="CC70" i="31" s="1"/>
  <c r="CA70" i="33"/>
  <c r="CA70" i="31" s="1"/>
  <c r="AE70" i="33"/>
  <c r="AE70" i="31" s="1"/>
  <c r="BY70" i="33"/>
  <c r="BY70" i="31" s="1"/>
  <c r="D72" i="33"/>
  <c r="EB71" i="31"/>
  <c r="AL71" i="33"/>
  <c r="AJ71" i="33"/>
  <c r="AJ71" i="31" s="1"/>
  <c r="EF71" i="31"/>
  <c r="CF71" i="33"/>
  <c r="CF71" i="31" s="1"/>
  <c r="AN71" i="33"/>
  <c r="AN71" i="31" s="1"/>
  <c r="CJ71" i="33"/>
  <c r="CJ71" i="31" s="1"/>
  <c r="CH71" i="33"/>
  <c r="CQ72" i="33"/>
  <c r="CQ72" i="31" s="1"/>
  <c r="EK72" i="33"/>
  <c r="EK72" i="31" s="1"/>
  <c r="CM72" i="33"/>
  <c r="CM72" i="31" s="1"/>
  <c r="AU72" i="33"/>
  <c r="AU72" i="31" s="1"/>
  <c r="EI72" i="33"/>
  <c r="EI72" i="31" s="1"/>
  <c r="AS72" i="33"/>
  <c r="AS72" i="31" s="1"/>
  <c r="AQ72" i="33"/>
  <c r="AQ72" i="31" s="1"/>
  <c r="EM72" i="33"/>
  <c r="EM72" i="31" s="1"/>
  <c r="CO72" i="33"/>
  <c r="CO72" i="31" s="1"/>
  <c r="BD75" i="33"/>
  <c r="BD75" i="31" s="1"/>
  <c r="L75" i="33"/>
  <c r="L75" i="31" s="1"/>
  <c r="H75" i="33"/>
  <c r="H75" i="31" s="1"/>
  <c r="DD75" i="33"/>
  <c r="DD75" i="31" s="1"/>
  <c r="CZ75" i="33"/>
  <c r="CZ75" i="31" s="1"/>
  <c r="BH75" i="33"/>
  <c r="BH75" i="31" s="1"/>
  <c r="BF75" i="33"/>
  <c r="BF75" i="31" s="1"/>
  <c r="J75" i="33"/>
  <c r="J75" i="31" s="1"/>
  <c r="DB75" i="33"/>
  <c r="DB75" i="31" s="1"/>
  <c r="DG76" i="33"/>
  <c r="DG76" i="31" s="1"/>
  <c r="BO76" i="33"/>
  <c r="BO76" i="31" s="1"/>
  <c r="BK76" i="33"/>
  <c r="BK76" i="31" s="1"/>
  <c r="S76" i="33"/>
  <c r="S76" i="31" s="1"/>
  <c r="Q76" i="33"/>
  <c r="Q76" i="31" s="1"/>
  <c r="O76" i="33"/>
  <c r="O76" i="31" s="1"/>
  <c r="DI76" i="33"/>
  <c r="DI76" i="31" s="1"/>
  <c r="BM76" i="33"/>
  <c r="BM76" i="31" s="1"/>
  <c r="DK76" i="33"/>
  <c r="DK76" i="31" s="1"/>
  <c r="DR77" i="33"/>
  <c r="DR77" i="31" s="1"/>
  <c r="DN77" i="33"/>
  <c r="DN77" i="31" s="1"/>
  <c r="BV77" i="33"/>
  <c r="BV77" i="31" s="1"/>
  <c r="BT77" i="33"/>
  <c r="BT77" i="31" s="1"/>
  <c r="BR77" i="33"/>
  <c r="BR77" i="31" s="1"/>
  <c r="Z77" i="33"/>
  <c r="Z77" i="31" s="1"/>
  <c r="DP77" i="33"/>
  <c r="DP77" i="31" s="1"/>
  <c r="X77" i="33"/>
  <c r="X77" i="31" s="1"/>
  <c r="V77" i="33"/>
  <c r="V77" i="31" s="1"/>
  <c r="BR78" i="33"/>
  <c r="BR78" i="31" s="1"/>
  <c r="Z78" i="33"/>
  <c r="Z78" i="31" s="1"/>
  <c r="V78" i="33"/>
  <c r="V78" i="31" s="1"/>
  <c r="DR78" i="33"/>
  <c r="DR78" i="31" s="1"/>
  <c r="DN78" i="33"/>
  <c r="DN78" i="31" s="1"/>
  <c r="BV78" i="33"/>
  <c r="BV78" i="31" s="1"/>
  <c r="BT78" i="33"/>
  <c r="BT78" i="31" s="1"/>
  <c r="X78" i="33"/>
  <c r="X78" i="31" s="1"/>
  <c r="DP78" i="33"/>
  <c r="DP78" i="31" s="1"/>
  <c r="DR79" i="33"/>
  <c r="DR79" i="31" s="1"/>
  <c r="DP79" i="33"/>
  <c r="DP79" i="31" s="1"/>
  <c r="DN79" i="33"/>
  <c r="DN79" i="31" s="1"/>
  <c r="BV79" i="33"/>
  <c r="BV79" i="31" s="1"/>
  <c r="BT79" i="33"/>
  <c r="BT79" i="31" s="1"/>
  <c r="BR79" i="33"/>
  <c r="BR79" i="31" s="1"/>
  <c r="Z79" i="33"/>
  <c r="Z79" i="31" s="1"/>
  <c r="V79" i="33"/>
  <c r="V79" i="31" s="1"/>
  <c r="X79" i="33"/>
  <c r="X79" i="31" s="1"/>
  <c r="BR80" i="33"/>
  <c r="BR80" i="31" s="1"/>
  <c r="Z80" i="33"/>
  <c r="Z80" i="31" s="1"/>
  <c r="X80" i="33"/>
  <c r="X80" i="31" s="1"/>
  <c r="V80" i="33"/>
  <c r="V80" i="31" s="1"/>
  <c r="DR80" i="33"/>
  <c r="DR80" i="31" s="1"/>
  <c r="DP80" i="33"/>
  <c r="DP80" i="31" s="1"/>
  <c r="BT80" i="33"/>
  <c r="BT80" i="31" s="1"/>
  <c r="DN80" i="33"/>
  <c r="DN80" i="31" s="1"/>
  <c r="BV80" i="33"/>
  <c r="BV80" i="31" s="1"/>
  <c r="DR81" i="33"/>
  <c r="DR81" i="31" s="1"/>
  <c r="DP81" i="33"/>
  <c r="DP81" i="31" s="1"/>
  <c r="DN81" i="33"/>
  <c r="DN81" i="31" s="1"/>
  <c r="BV81" i="33"/>
  <c r="BV81" i="31" s="1"/>
  <c r="BT81" i="33"/>
  <c r="BT81" i="31" s="1"/>
  <c r="X81" i="33"/>
  <c r="X81" i="31" s="1"/>
  <c r="BR81" i="33"/>
  <c r="BR81" i="31" s="1"/>
  <c r="V81" i="33"/>
  <c r="V81" i="31" s="1"/>
  <c r="Z81" i="33"/>
  <c r="Z81" i="31" s="1"/>
  <c r="DN82" i="33"/>
  <c r="DN82" i="31" s="1"/>
  <c r="BV82" i="33"/>
  <c r="BV82" i="31" s="1"/>
  <c r="BT82" i="33"/>
  <c r="BT82" i="31" s="1"/>
  <c r="BR82" i="33"/>
  <c r="BR82" i="31" s="1"/>
  <c r="Z82" i="33"/>
  <c r="Z82" i="31" s="1"/>
  <c r="X82" i="33"/>
  <c r="X82" i="31" s="1"/>
  <c r="V82" i="33"/>
  <c r="V82" i="31" s="1"/>
  <c r="DP82" i="33"/>
  <c r="DP82" i="31" s="1"/>
  <c r="DR82" i="33"/>
  <c r="DR82" i="31" s="1"/>
  <c r="X83" i="33"/>
  <c r="X83" i="31" s="1"/>
  <c r="V83" i="33"/>
  <c r="V83" i="31" s="1"/>
  <c r="DR83" i="33"/>
  <c r="DR83" i="31" s="1"/>
  <c r="DP83" i="33"/>
  <c r="DP83" i="31" s="1"/>
  <c r="BR83" i="33"/>
  <c r="BR83" i="31" s="1"/>
  <c r="Z83" i="33"/>
  <c r="Z83" i="31" s="1"/>
  <c r="DN83" i="33"/>
  <c r="DN83" i="31" s="1"/>
  <c r="BV83" i="33"/>
  <c r="BV83" i="31" s="1"/>
  <c r="BT83" i="33"/>
  <c r="BT83" i="31" s="1"/>
  <c r="DR84" i="33"/>
  <c r="DR84" i="31" s="1"/>
  <c r="DP84" i="33"/>
  <c r="DP84" i="31" s="1"/>
  <c r="DN84" i="33"/>
  <c r="DN84" i="31" s="1"/>
  <c r="BV84" i="33"/>
  <c r="BV84" i="31" s="1"/>
  <c r="BT84" i="33"/>
  <c r="BT84" i="31" s="1"/>
  <c r="BR84" i="33"/>
  <c r="BR84" i="31" s="1"/>
  <c r="Z84" i="33"/>
  <c r="Z84" i="31" s="1"/>
  <c r="X84" i="33"/>
  <c r="X84" i="31" s="1"/>
  <c r="V84" i="33"/>
  <c r="V84" i="31" s="1"/>
  <c r="BT85" i="33"/>
  <c r="BT85" i="31" s="1"/>
  <c r="BR85" i="33"/>
  <c r="BR85" i="31" s="1"/>
  <c r="Z85" i="33"/>
  <c r="Z85" i="31" s="1"/>
  <c r="X85" i="33"/>
  <c r="X85" i="31" s="1"/>
  <c r="V85" i="33"/>
  <c r="V85" i="31" s="1"/>
  <c r="DR85" i="33"/>
  <c r="DR85" i="31" s="1"/>
  <c r="BV85" i="33"/>
  <c r="BV85" i="31" s="1"/>
  <c r="DP85" i="33"/>
  <c r="DP85" i="31" s="1"/>
  <c r="DN85" i="33"/>
  <c r="DN85" i="31" s="1"/>
  <c r="DU86" i="33"/>
  <c r="DU86" i="31" s="1"/>
  <c r="CC86" i="33"/>
  <c r="CC86" i="31" s="1"/>
  <c r="CA86" i="33"/>
  <c r="CA86" i="31" s="1"/>
  <c r="BY86" i="33"/>
  <c r="BY86" i="31" s="1"/>
  <c r="AG86" i="33"/>
  <c r="AG86" i="31" s="1"/>
  <c r="AE86" i="33"/>
  <c r="AE86" i="31" s="1"/>
  <c r="AC86" i="33"/>
  <c r="AC86" i="31" s="1"/>
  <c r="DY86" i="33"/>
  <c r="DY86" i="31" s="1"/>
  <c r="DW86" i="33"/>
  <c r="DW86" i="31" s="1"/>
  <c r="D88" i="33"/>
  <c r="EF87" i="31"/>
  <c r="CJ87" i="33"/>
  <c r="CJ87" i="31" s="1"/>
  <c r="CH87" i="33"/>
  <c r="CF87" i="33"/>
  <c r="CF87" i="31" s="1"/>
  <c r="AN87" i="33"/>
  <c r="AN87" i="31" s="1"/>
  <c r="AL87" i="33"/>
  <c r="EB87" i="31"/>
  <c r="AJ87" i="33"/>
  <c r="AJ87" i="31" s="1"/>
  <c r="CQ88" i="33"/>
  <c r="CQ88" i="31" s="1"/>
  <c r="EM88" i="33"/>
  <c r="EM88" i="31" s="1"/>
  <c r="CO88" i="33"/>
  <c r="CO88" i="31" s="1"/>
  <c r="EK88" i="33"/>
  <c r="EK88" i="31" s="1"/>
  <c r="CM88" i="33"/>
  <c r="CM88" i="31" s="1"/>
  <c r="AU88" i="33"/>
  <c r="AU88" i="31" s="1"/>
  <c r="AS88" i="33"/>
  <c r="AS88" i="31" s="1"/>
  <c r="AQ88" i="33"/>
  <c r="AQ88" i="31" s="1"/>
  <c r="EI88" i="33"/>
  <c r="EI88" i="31" s="1"/>
  <c r="DD99" i="33"/>
  <c r="DD99" i="31" s="1"/>
  <c r="CZ99" i="33"/>
  <c r="CZ99" i="31" s="1"/>
  <c r="BH99" i="33"/>
  <c r="BH99" i="31" s="1"/>
  <c r="BF99" i="33"/>
  <c r="BF99" i="31" s="1"/>
  <c r="DB99" i="33"/>
  <c r="DB99" i="31" s="1"/>
  <c r="BD99" i="33"/>
  <c r="BD99" i="31" s="1"/>
  <c r="L99" i="33"/>
  <c r="L99" i="31" s="1"/>
  <c r="J99" i="33"/>
  <c r="J99" i="31" s="1"/>
  <c r="H99" i="33"/>
  <c r="H99" i="31" s="1"/>
  <c r="Q100" i="33"/>
  <c r="Q100" i="31" s="1"/>
  <c r="O100" i="33"/>
  <c r="O100" i="31" s="1"/>
  <c r="DK100" i="33"/>
  <c r="DK100" i="31" s="1"/>
  <c r="DI100" i="33"/>
  <c r="DI100" i="31" s="1"/>
  <c r="BO100" i="33"/>
  <c r="BO100" i="31" s="1"/>
  <c r="BM100" i="33"/>
  <c r="BM100" i="31" s="1"/>
  <c r="BK100" i="33"/>
  <c r="BK100" i="31" s="1"/>
  <c r="DG100" i="33"/>
  <c r="DG100" i="31" s="1"/>
  <c r="S100" i="33"/>
  <c r="S100" i="31" s="1"/>
  <c r="DB6" i="33"/>
  <c r="DB6" i="31" s="1"/>
  <c r="CZ6" i="33"/>
  <c r="CZ6" i="31" s="1"/>
  <c r="BH6" i="33"/>
  <c r="BH6" i="31" s="1"/>
  <c r="BF6" i="33"/>
  <c r="BF6" i="31" s="1"/>
  <c r="L6" i="33"/>
  <c r="L6" i="31" s="1"/>
  <c r="H6" i="33"/>
  <c r="H6" i="31" s="1"/>
  <c r="BD6" i="33"/>
  <c r="BD6" i="31" s="1"/>
  <c r="J6" i="33"/>
  <c r="J6" i="31" s="1"/>
  <c r="DD6" i="33"/>
  <c r="DD6" i="31" s="1"/>
  <c r="CQ11" i="33"/>
  <c r="CQ11" i="31" s="1"/>
  <c r="EK11" i="33"/>
  <c r="EK11" i="31" s="1"/>
  <c r="CM11" i="33"/>
  <c r="CM11" i="31" s="1"/>
  <c r="EI11" i="33"/>
  <c r="EI11" i="31" s="1"/>
  <c r="AS11" i="33"/>
  <c r="AS11" i="31" s="1"/>
  <c r="AQ11" i="33"/>
  <c r="AQ11" i="31" s="1"/>
  <c r="AU11" i="33"/>
  <c r="AU11" i="31" s="1"/>
  <c r="CO11" i="33"/>
  <c r="CO11" i="31" s="1"/>
  <c r="EM11" i="33"/>
  <c r="EM11" i="31" s="1"/>
  <c r="D23" i="33"/>
  <c r="EB22" i="31"/>
  <c r="EF22" i="31"/>
  <c r="CH22" i="33"/>
  <c r="CF22" i="33"/>
  <c r="CF22" i="31" s="1"/>
  <c r="AN22" i="33"/>
  <c r="AN22" i="31" s="1"/>
  <c r="AL22" i="33"/>
  <c r="AJ22" i="33"/>
  <c r="AJ22" i="31" s="1"/>
  <c r="CJ22" i="33"/>
  <c r="CJ22" i="31" s="1"/>
  <c r="BR36" i="33"/>
  <c r="BR36" i="31" s="1"/>
  <c r="Z36" i="33"/>
  <c r="Z36" i="31" s="1"/>
  <c r="X36" i="33"/>
  <c r="X36" i="31" s="1"/>
  <c r="V36" i="33"/>
  <c r="V36" i="31" s="1"/>
  <c r="DR36" i="33"/>
  <c r="DR36" i="31" s="1"/>
  <c r="DP36" i="33"/>
  <c r="DP36" i="31" s="1"/>
  <c r="BT36" i="33"/>
  <c r="BT36" i="31" s="1"/>
  <c r="DN36" i="33"/>
  <c r="DN36" i="31" s="1"/>
  <c r="BV36" i="33"/>
  <c r="BV36" i="31" s="1"/>
  <c r="CQ39" i="33"/>
  <c r="CQ39" i="31" s="1"/>
  <c r="EM39" i="33"/>
  <c r="EM39" i="31" s="1"/>
  <c r="CO39" i="33"/>
  <c r="CO39" i="31" s="1"/>
  <c r="EK39" i="33"/>
  <c r="EK39" i="31" s="1"/>
  <c r="CM39" i="33"/>
  <c r="CM39" i="31" s="1"/>
  <c r="AU39" i="33"/>
  <c r="AU39" i="31" s="1"/>
  <c r="EI39" i="33"/>
  <c r="EI39" i="31" s="1"/>
  <c r="AS39" i="33"/>
  <c r="AS39" i="31" s="1"/>
  <c r="AQ39" i="33"/>
  <c r="AQ39" i="31" s="1"/>
  <c r="DI43" i="33"/>
  <c r="DI43" i="31" s="1"/>
  <c r="DG43" i="33"/>
  <c r="DG43" i="31" s="1"/>
  <c r="BO43" i="33"/>
  <c r="BO43" i="31" s="1"/>
  <c r="BM43" i="33"/>
  <c r="BM43" i="31" s="1"/>
  <c r="BK43" i="33"/>
  <c r="BK43" i="31" s="1"/>
  <c r="S43" i="33"/>
  <c r="S43" i="31" s="1"/>
  <c r="DK43" i="33"/>
  <c r="DK43" i="31" s="1"/>
  <c r="Q43" i="33"/>
  <c r="Q43" i="31" s="1"/>
  <c r="O43" i="33"/>
  <c r="O43" i="31" s="1"/>
  <c r="AE47" i="33"/>
  <c r="AE47" i="31" s="1"/>
  <c r="AC47" i="33"/>
  <c r="AC47" i="31" s="1"/>
  <c r="DY47" i="33"/>
  <c r="DY47" i="31" s="1"/>
  <c r="CA47" i="33"/>
  <c r="CA47" i="31" s="1"/>
  <c r="BY47" i="33"/>
  <c r="BY47" i="31" s="1"/>
  <c r="AG47" i="33"/>
  <c r="AG47" i="31" s="1"/>
  <c r="CC47" i="33"/>
  <c r="CC47" i="31" s="1"/>
  <c r="DU47" i="33"/>
  <c r="DU47" i="31" s="1"/>
  <c r="DW47" i="33"/>
  <c r="DW47" i="31" s="1"/>
  <c r="D51" i="33"/>
  <c r="EB50" i="31"/>
  <c r="EF50" i="31"/>
  <c r="CJ50" i="33"/>
  <c r="CJ50" i="31" s="1"/>
  <c r="CH50" i="33"/>
  <c r="CF50" i="33"/>
  <c r="CF50" i="31" s="1"/>
  <c r="AN50" i="33"/>
  <c r="AN50" i="31" s="1"/>
  <c r="AL50" i="33"/>
  <c r="AJ50" i="33"/>
  <c r="AJ50" i="31" s="1"/>
  <c r="O55" i="33"/>
  <c r="O55" i="31" s="1"/>
  <c r="DI55" i="33"/>
  <c r="DI55" i="31" s="1"/>
  <c r="DG55" i="33"/>
  <c r="DG55" i="31" s="1"/>
  <c r="S55" i="33"/>
  <c r="S55" i="31" s="1"/>
  <c r="BM55" i="33"/>
  <c r="BM55" i="31" s="1"/>
  <c r="DK55" i="33"/>
  <c r="DK55" i="31" s="1"/>
  <c r="BK55" i="33"/>
  <c r="BK55" i="31" s="1"/>
  <c r="BO55" i="33"/>
  <c r="BO55" i="31" s="1"/>
  <c r="Q55" i="33"/>
  <c r="Q55" i="31" s="1"/>
  <c r="AC58" i="33"/>
  <c r="AC58" i="31" s="1"/>
  <c r="DY58" i="33"/>
  <c r="DY58" i="31" s="1"/>
  <c r="CA58" i="33"/>
  <c r="CA58" i="31" s="1"/>
  <c r="BY58" i="33"/>
  <c r="BY58" i="31" s="1"/>
  <c r="AG58" i="33"/>
  <c r="AG58" i="31" s="1"/>
  <c r="AE58" i="33"/>
  <c r="AE58" i="31" s="1"/>
  <c r="DU58" i="33"/>
  <c r="DU58" i="31" s="1"/>
  <c r="CC58" i="33"/>
  <c r="CC58" i="31" s="1"/>
  <c r="DW58" i="33"/>
  <c r="DW58" i="31" s="1"/>
  <c r="CA62" i="33"/>
  <c r="CA62" i="31" s="1"/>
  <c r="BY62" i="33"/>
  <c r="BY62" i="31" s="1"/>
  <c r="AG62" i="33"/>
  <c r="AG62" i="31" s="1"/>
  <c r="AE62" i="33"/>
  <c r="AE62" i="31" s="1"/>
  <c r="CC62" i="33"/>
  <c r="CC62" i="31" s="1"/>
  <c r="AC62" i="33"/>
  <c r="AC62" i="31" s="1"/>
  <c r="DU62" i="33"/>
  <c r="DU62" i="31" s="1"/>
  <c r="DW62" i="33"/>
  <c r="DW62" i="31" s="1"/>
  <c r="DY62" i="33"/>
  <c r="DY62" i="31" s="1"/>
  <c r="AC65" i="33"/>
  <c r="AC65" i="31" s="1"/>
  <c r="DY65" i="33"/>
  <c r="DY65" i="31" s="1"/>
  <c r="BY65" i="33"/>
  <c r="BY65" i="31" s="1"/>
  <c r="AG65" i="33"/>
  <c r="AG65" i="31" s="1"/>
  <c r="DW65" i="33"/>
  <c r="DW65" i="31" s="1"/>
  <c r="AE65" i="33"/>
  <c r="AE65" i="31" s="1"/>
  <c r="CC65" i="33"/>
  <c r="CC65" i="31" s="1"/>
  <c r="DU65" i="33"/>
  <c r="DU65" i="31" s="1"/>
  <c r="CA65" i="33"/>
  <c r="CA65" i="31" s="1"/>
  <c r="J70" i="33"/>
  <c r="J70" i="31" s="1"/>
  <c r="H70" i="33"/>
  <c r="H70" i="31" s="1"/>
  <c r="CZ70" i="33"/>
  <c r="CZ70" i="31" s="1"/>
  <c r="BF70" i="33"/>
  <c r="BF70" i="31" s="1"/>
  <c r="BD70" i="33"/>
  <c r="BD70" i="31" s="1"/>
  <c r="L70" i="33"/>
  <c r="L70" i="31" s="1"/>
  <c r="BH70" i="33"/>
  <c r="BH70" i="31" s="1"/>
  <c r="DD70" i="33"/>
  <c r="DD70" i="31" s="1"/>
  <c r="DB70" i="33"/>
  <c r="DB70" i="31" s="1"/>
  <c r="D75" i="33"/>
  <c r="EB74" i="31"/>
  <c r="AL74" i="33"/>
  <c r="EF74" i="31"/>
  <c r="CF74" i="33"/>
  <c r="CF74" i="31" s="1"/>
  <c r="AN74" i="33"/>
  <c r="AN74" i="31" s="1"/>
  <c r="CJ74" i="33"/>
  <c r="CJ74" i="31" s="1"/>
  <c r="CH74" i="33"/>
  <c r="AJ74" i="33"/>
  <c r="AJ74" i="31" s="1"/>
  <c r="DK87" i="33"/>
  <c r="DK87" i="31" s="1"/>
  <c r="DI87" i="33"/>
  <c r="DI87" i="31" s="1"/>
  <c r="DG87" i="33"/>
  <c r="DG87" i="31" s="1"/>
  <c r="BO87" i="33"/>
  <c r="BO87" i="31" s="1"/>
  <c r="BM87" i="33"/>
  <c r="BM87" i="31" s="1"/>
  <c r="BK87" i="33"/>
  <c r="BK87" i="31" s="1"/>
  <c r="S87" i="33"/>
  <c r="S87" i="31" s="1"/>
  <c r="Q87" i="33"/>
  <c r="Q87" i="31" s="1"/>
  <c r="O87" i="33"/>
  <c r="O87" i="31" s="1"/>
  <c r="DR88" i="33"/>
  <c r="DR88" i="31" s="1"/>
  <c r="DP88" i="33"/>
  <c r="DP88" i="31" s="1"/>
  <c r="DN88" i="33"/>
  <c r="DN88" i="31" s="1"/>
  <c r="BV88" i="33"/>
  <c r="BV88" i="31" s="1"/>
  <c r="BT88" i="33"/>
  <c r="BT88" i="31" s="1"/>
  <c r="Z88" i="33"/>
  <c r="Z88" i="31" s="1"/>
  <c r="X88" i="33"/>
  <c r="X88" i="31" s="1"/>
  <c r="V88" i="33"/>
  <c r="V88" i="31" s="1"/>
  <c r="BR88" i="33"/>
  <c r="BR88" i="31" s="1"/>
  <c r="CA91" i="33"/>
  <c r="CA91" i="31" s="1"/>
  <c r="BY91" i="33"/>
  <c r="BY91" i="31" s="1"/>
  <c r="AG91" i="33"/>
  <c r="AG91" i="31" s="1"/>
  <c r="AE91" i="33"/>
  <c r="AE91" i="31" s="1"/>
  <c r="AC91" i="33"/>
  <c r="AC91" i="31" s="1"/>
  <c r="DY91" i="33"/>
  <c r="DY91" i="31" s="1"/>
  <c r="CC91" i="33"/>
  <c r="CC91" i="31" s="1"/>
  <c r="DW91" i="33"/>
  <c r="DW91" i="31" s="1"/>
  <c r="DU91" i="33"/>
  <c r="DU91" i="31" s="1"/>
  <c r="DY93" i="33"/>
  <c r="DY93" i="31" s="1"/>
  <c r="CC93" i="33"/>
  <c r="CC93" i="31" s="1"/>
  <c r="DW93" i="33"/>
  <c r="DW93" i="31" s="1"/>
  <c r="CA93" i="33"/>
  <c r="CA93" i="31" s="1"/>
  <c r="AG93" i="33"/>
  <c r="AG93" i="31" s="1"/>
  <c r="DU93" i="33"/>
  <c r="DU93" i="31" s="1"/>
  <c r="BY93" i="33"/>
  <c r="BY93" i="31" s="1"/>
  <c r="AE93" i="33"/>
  <c r="AE93" i="31" s="1"/>
  <c r="AC93" i="33"/>
  <c r="AC93" i="31" s="1"/>
  <c r="CA95" i="33"/>
  <c r="CA95" i="31" s="1"/>
  <c r="AC95" i="33"/>
  <c r="AC95" i="31" s="1"/>
  <c r="AG95" i="33"/>
  <c r="AG95" i="31" s="1"/>
  <c r="DY95" i="33"/>
  <c r="DY95" i="31" s="1"/>
  <c r="AE95" i="33"/>
  <c r="AE95" i="31" s="1"/>
  <c r="DW95" i="33"/>
  <c r="DW95" i="31" s="1"/>
  <c r="DU95" i="33"/>
  <c r="DU95" i="31" s="1"/>
  <c r="CC95" i="33"/>
  <c r="CC95" i="31" s="1"/>
  <c r="BY95" i="33"/>
  <c r="BY95" i="31" s="1"/>
  <c r="AQ99" i="33"/>
  <c r="AQ99" i="31" s="1"/>
  <c r="CQ99" i="33"/>
  <c r="CQ99" i="31" s="1"/>
  <c r="EM99" i="33"/>
  <c r="EM99" i="31" s="1"/>
  <c r="CO99" i="33"/>
  <c r="CO99" i="31" s="1"/>
  <c r="EK99" i="33"/>
  <c r="EK99" i="31" s="1"/>
  <c r="CM99" i="33"/>
  <c r="CM99" i="31" s="1"/>
  <c r="AU99" i="33"/>
  <c r="AU99" i="31" s="1"/>
  <c r="EI99" i="33"/>
  <c r="EI99" i="31" s="1"/>
  <c r="AS99" i="33"/>
  <c r="AS99" i="31" s="1"/>
  <c r="DP7" i="33"/>
  <c r="DP7" i="31" s="1"/>
  <c r="BT7" i="33"/>
  <c r="BT7" i="31" s="1"/>
  <c r="BR7" i="33"/>
  <c r="BR7" i="31" s="1"/>
  <c r="Z7" i="33"/>
  <c r="Z7" i="31" s="1"/>
  <c r="X7" i="33"/>
  <c r="X7" i="31" s="1"/>
  <c r="V7" i="33"/>
  <c r="V7" i="31" s="1"/>
  <c r="DR7" i="33"/>
  <c r="DR7" i="31" s="1"/>
  <c r="DN7" i="33"/>
  <c r="DN7" i="31" s="1"/>
  <c r="BV7" i="33"/>
  <c r="BV7" i="31" s="1"/>
  <c r="EK10" i="33"/>
  <c r="EK10" i="31" s="1"/>
  <c r="CM10" i="33"/>
  <c r="CM10" i="31" s="1"/>
  <c r="AU10" i="33"/>
  <c r="AU10" i="31" s="1"/>
  <c r="AQ10" i="33"/>
  <c r="AQ10" i="31" s="1"/>
  <c r="CO10" i="33"/>
  <c r="CO10" i="31" s="1"/>
  <c r="AS10" i="33"/>
  <c r="AS10" i="31" s="1"/>
  <c r="EM10" i="33"/>
  <c r="EM10" i="31" s="1"/>
  <c r="CQ10" i="33"/>
  <c r="CQ10" i="31" s="1"/>
  <c r="EI10" i="33"/>
  <c r="EI10" i="31" s="1"/>
  <c r="H15" i="33"/>
  <c r="H15" i="31" s="1"/>
  <c r="DD15" i="33"/>
  <c r="DD15" i="31" s="1"/>
  <c r="DB15" i="33"/>
  <c r="DB15" i="31" s="1"/>
  <c r="BF15" i="33"/>
  <c r="BF15" i="31" s="1"/>
  <c r="BD15" i="33"/>
  <c r="BD15" i="31" s="1"/>
  <c r="L15" i="33"/>
  <c r="L15" i="31" s="1"/>
  <c r="CZ15" i="33"/>
  <c r="CZ15" i="31" s="1"/>
  <c r="J15" i="33"/>
  <c r="J15" i="31" s="1"/>
  <c r="BH15" i="33"/>
  <c r="BH15" i="31" s="1"/>
  <c r="BR19" i="33"/>
  <c r="BR19" i="31" s="1"/>
  <c r="Z19" i="33"/>
  <c r="Z19" i="31" s="1"/>
  <c r="X19" i="33"/>
  <c r="X19" i="31" s="1"/>
  <c r="V19" i="33"/>
  <c r="V19" i="31" s="1"/>
  <c r="BT19" i="33"/>
  <c r="BT19" i="31" s="1"/>
  <c r="DR19" i="33"/>
  <c r="DR19" i="31" s="1"/>
  <c r="DN19" i="33"/>
  <c r="DN19" i="31" s="1"/>
  <c r="BV19" i="33"/>
  <c r="BV19" i="31" s="1"/>
  <c r="DP19" i="33"/>
  <c r="DP19" i="31" s="1"/>
  <c r="AQ22" i="33"/>
  <c r="AQ22" i="31" s="1"/>
  <c r="EK22" i="33"/>
  <c r="EK22" i="31" s="1"/>
  <c r="CM22" i="33"/>
  <c r="CM22" i="31" s="1"/>
  <c r="AU22" i="33"/>
  <c r="AU22" i="31" s="1"/>
  <c r="EI22" i="33"/>
  <c r="EI22" i="31" s="1"/>
  <c r="AS22" i="33"/>
  <c r="AS22" i="31" s="1"/>
  <c r="EM22" i="33"/>
  <c r="EM22" i="31" s="1"/>
  <c r="CQ22" i="33"/>
  <c r="CQ22" i="31" s="1"/>
  <c r="CO22" i="33"/>
  <c r="CO22" i="31" s="1"/>
  <c r="J26" i="33"/>
  <c r="J26" i="31" s="1"/>
  <c r="H26" i="33"/>
  <c r="H26" i="31" s="1"/>
  <c r="DD26" i="33"/>
  <c r="DD26" i="31" s="1"/>
  <c r="BF26" i="33"/>
  <c r="BF26" i="31" s="1"/>
  <c r="BD26" i="33"/>
  <c r="BD26" i="31" s="1"/>
  <c r="L26" i="33"/>
  <c r="L26" i="31" s="1"/>
  <c r="DB26" i="33"/>
  <c r="DB26" i="31" s="1"/>
  <c r="BH26" i="33"/>
  <c r="BH26" i="31" s="1"/>
  <c r="CZ26" i="33"/>
  <c r="CZ26" i="31" s="1"/>
  <c r="H29" i="33"/>
  <c r="H29" i="31" s="1"/>
  <c r="DD29" i="33"/>
  <c r="DD29" i="31" s="1"/>
  <c r="DB29" i="33"/>
  <c r="DB29" i="31" s="1"/>
  <c r="CZ29" i="33"/>
  <c r="CZ29" i="31" s="1"/>
  <c r="BH29" i="33"/>
  <c r="BH29" i="31" s="1"/>
  <c r="BF29" i="33"/>
  <c r="BF29" i="31" s="1"/>
  <c r="J29" i="33"/>
  <c r="J29" i="31" s="1"/>
  <c r="L29" i="33"/>
  <c r="L29" i="31" s="1"/>
  <c r="BD29" i="33"/>
  <c r="BD29" i="31" s="1"/>
  <c r="H31" i="33"/>
  <c r="H31" i="31" s="1"/>
  <c r="DD31" i="33"/>
  <c r="DD31" i="31" s="1"/>
  <c r="DB31" i="33"/>
  <c r="DB31" i="31" s="1"/>
  <c r="BD31" i="33"/>
  <c r="BD31" i="31" s="1"/>
  <c r="L31" i="33"/>
  <c r="L31" i="31" s="1"/>
  <c r="J31" i="33"/>
  <c r="J31" i="31" s="1"/>
  <c r="BH31" i="33"/>
  <c r="BH31" i="31" s="1"/>
  <c r="BF31" i="33"/>
  <c r="BF31" i="31" s="1"/>
  <c r="CZ31" i="33"/>
  <c r="CZ31" i="31" s="1"/>
  <c r="BM34" i="33"/>
  <c r="BM34" i="31" s="1"/>
  <c r="BK34" i="33"/>
  <c r="BK34" i="31" s="1"/>
  <c r="S34" i="33"/>
  <c r="S34" i="31" s="1"/>
  <c r="Q34" i="33"/>
  <c r="Q34" i="31" s="1"/>
  <c r="O34" i="33"/>
  <c r="O34" i="31" s="1"/>
  <c r="DI34" i="33"/>
  <c r="DI34" i="31" s="1"/>
  <c r="DG34" i="33"/>
  <c r="DG34" i="31" s="1"/>
  <c r="BO34" i="33"/>
  <c r="BO34" i="31" s="1"/>
  <c r="DK34" i="33"/>
  <c r="DK34" i="31" s="1"/>
  <c r="D38" i="33"/>
  <c r="EF37" i="31"/>
  <c r="EB37" i="31"/>
  <c r="AL37" i="33"/>
  <c r="AJ37" i="33"/>
  <c r="AJ37" i="31" s="1"/>
  <c r="CH37" i="33"/>
  <c r="CF37" i="33"/>
  <c r="CF37" i="31" s="1"/>
  <c r="AN37" i="33"/>
  <c r="AN37" i="31" s="1"/>
  <c r="CJ37" i="33"/>
  <c r="CJ37" i="31" s="1"/>
  <c r="DD41" i="33"/>
  <c r="DD41" i="31" s="1"/>
  <c r="DB41" i="33"/>
  <c r="DB41" i="31" s="1"/>
  <c r="CZ41" i="33"/>
  <c r="CZ41" i="31" s="1"/>
  <c r="BH41" i="33"/>
  <c r="BH41" i="31" s="1"/>
  <c r="BF41" i="33"/>
  <c r="BF41" i="31" s="1"/>
  <c r="H41" i="33"/>
  <c r="H41" i="31" s="1"/>
  <c r="J41" i="33"/>
  <c r="J41" i="31" s="1"/>
  <c r="BD41" i="33"/>
  <c r="BD41" i="31" s="1"/>
  <c r="L41" i="33"/>
  <c r="L41" i="31" s="1"/>
  <c r="BR43" i="33"/>
  <c r="BR43" i="31" s="1"/>
  <c r="Z43" i="33"/>
  <c r="Z43" i="31" s="1"/>
  <c r="X43" i="33"/>
  <c r="X43" i="31" s="1"/>
  <c r="V43" i="33"/>
  <c r="V43" i="31" s="1"/>
  <c r="DN43" i="33"/>
  <c r="DN43" i="31" s="1"/>
  <c r="BV43" i="33"/>
  <c r="BV43" i="31" s="1"/>
  <c r="BT43" i="33"/>
  <c r="BT43" i="31" s="1"/>
  <c r="DR43" i="33"/>
  <c r="DR43" i="31" s="1"/>
  <c r="DP43" i="33"/>
  <c r="DP43" i="31" s="1"/>
  <c r="D47" i="33"/>
  <c r="EF46" i="31"/>
  <c r="EB46" i="31"/>
  <c r="CF46" i="33"/>
  <c r="CF46" i="31" s="1"/>
  <c r="AN46" i="33"/>
  <c r="AN46" i="31" s="1"/>
  <c r="AL46" i="33"/>
  <c r="AJ46" i="33"/>
  <c r="AJ46" i="31" s="1"/>
  <c r="CJ46" i="33"/>
  <c r="CJ46" i="31" s="1"/>
  <c r="CH46" i="33"/>
  <c r="D49" i="33"/>
  <c r="EB48" i="31"/>
  <c r="CF48" i="33"/>
  <c r="CF48" i="31" s="1"/>
  <c r="AN48" i="33"/>
  <c r="AN48" i="31" s="1"/>
  <c r="AL48" i="33"/>
  <c r="AJ48" i="33"/>
  <c r="AJ48" i="31" s="1"/>
  <c r="CJ48" i="33"/>
  <c r="CJ48" i="31" s="1"/>
  <c r="EF48" i="31"/>
  <c r="CH48" i="33"/>
  <c r="EI50" i="33"/>
  <c r="EI50" i="31" s="1"/>
  <c r="AS50" i="33"/>
  <c r="AS50" i="31" s="1"/>
  <c r="AQ50" i="33"/>
  <c r="AQ50" i="31" s="1"/>
  <c r="EM50" i="33"/>
  <c r="EM50" i="31" s="1"/>
  <c r="CO50" i="33"/>
  <c r="CO50" i="31" s="1"/>
  <c r="EK50" i="33"/>
  <c r="EK50" i="31" s="1"/>
  <c r="CM50" i="33"/>
  <c r="CM50" i="31" s="1"/>
  <c r="AU50" i="33"/>
  <c r="AU50" i="31" s="1"/>
  <c r="CQ50" i="33"/>
  <c r="CQ50" i="31" s="1"/>
  <c r="DG54" i="33"/>
  <c r="DG54" i="31" s="1"/>
  <c r="BM54" i="33"/>
  <c r="BM54" i="31" s="1"/>
  <c r="DI54" i="33"/>
  <c r="DI54" i="31" s="1"/>
  <c r="S54" i="33"/>
  <c r="S54" i="31" s="1"/>
  <c r="BK54" i="33"/>
  <c r="BK54" i="31" s="1"/>
  <c r="BO54" i="33"/>
  <c r="BO54" i="31" s="1"/>
  <c r="Q54" i="33"/>
  <c r="Q54" i="31" s="1"/>
  <c r="O54" i="33"/>
  <c r="O54" i="31" s="1"/>
  <c r="DK54" i="33"/>
  <c r="DK54" i="31" s="1"/>
  <c r="D59" i="33"/>
  <c r="EB58" i="31"/>
  <c r="CJ58" i="33"/>
  <c r="CJ58" i="31" s="1"/>
  <c r="CH58" i="33"/>
  <c r="EF58" i="31"/>
  <c r="AN58" i="33"/>
  <c r="AN58" i="31" s="1"/>
  <c r="AL58" i="33"/>
  <c r="AJ58" i="33"/>
  <c r="AJ58" i="31" s="1"/>
  <c r="CF58" i="33"/>
  <c r="CF58" i="31" s="1"/>
  <c r="D61" i="33"/>
  <c r="EF60" i="31"/>
  <c r="EB60" i="31"/>
  <c r="AN60" i="33"/>
  <c r="AN60" i="31" s="1"/>
  <c r="AL60" i="33"/>
  <c r="AJ60" i="33"/>
  <c r="AJ60" i="31" s="1"/>
  <c r="CH60" i="33"/>
  <c r="CJ60" i="33"/>
  <c r="CJ60" i="31" s="1"/>
  <c r="CF60" i="33"/>
  <c r="CF60" i="31" s="1"/>
  <c r="D64" i="33"/>
  <c r="EF63" i="31"/>
  <c r="CJ63" i="33"/>
  <c r="CJ63" i="31" s="1"/>
  <c r="CH63" i="33"/>
  <c r="CF63" i="33"/>
  <c r="CF63" i="31" s="1"/>
  <c r="AN63" i="33"/>
  <c r="AN63" i="31" s="1"/>
  <c r="AL63" i="33"/>
  <c r="AJ63" i="33"/>
  <c r="AJ63" i="31" s="1"/>
  <c r="EB63" i="31"/>
  <c r="AQ66" i="33"/>
  <c r="AQ66" i="31" s="1"/>
  <c r="EM66" i="33"/>
  <c r="EM66" i="31" s="1"/>
  <c r="EK66" i="33"/>
  <c r="EK66" i="31" s="1"/>
  <c r="CQ66" i="33"/>
  <c r="CQ66" i="31" s="1"/>
  <c r="EI66" i="33"/>
  <c r="EI66" i="31" s="1"/>
  <c r="CO66" i="33"/>
  <c r="CO66" i="31" s="1"/>
  <c r="AU66" i="33"/>
  <c r="AU66" i="31" s="1"/>
  <c r="AS66" i="33"/>
  <c r="AS66" i="31" s="1"/>
  <c r="CM66" i="33"/>
  <c r="CM66" i="31" s="1"/>
  <c r="DR71" i="33"/>
  <c r="DR71" i="31" s="1"/>
  <c r="DP71" i="33"/>
  <c r="DP71" i="31" s="1"/>
  <c r="BT71" i="33"/>
  <c r="BT71" i="31" s="1"/>
  <c r="BR71" i="33"/>
  <c r="BR71" i="31" s="1"/>
  <c r="Z71" i="33"/>
  <c r="Z71" i="31" s="1"/>
  <c r="X71" i="33"/>
  <c r="X71" i="31" s="1"/>
  <c r="V71" i="33"/>
  <c r="V71" i="31" s="1"/>
  <c r="BV71" i="33"/>
  <c r="BV71" i="31" s="1"/>
  <c r="DN71" i="33"/>
  <c r="DN71" i="31" s="1"/>
  <c r="CQ74" i="33"/>
  <c r="CQ74" i="31" s="1"/>
  <c r="EM74" i="33"/>
  <c r="EM74" i="31" s="1"/>
  <c r="CO74" i="33"/>
  <c r="CO74" i="31" s="1"/>
  <c r="EK74" i="33"/>
  <c r="EK74" i="31" s="1"/>
  <c r="CM74" i="33"/>
  <c r="CM74" i="31" s="1"/>
  <c r="AU74" i="33"/>
  <c r="AU74" i="31" s="1"/>
  <c r="EI74" i="33"/>
  <c r="EI74" i="31" s="1"/>
  <c r="AS74" i="33"/>
  <c r="AS74" i="31" s="1"/>
  <c r="AQ74" i="33"/>
  <c r="AQ74" i="31" s="1"/>
  <c r="CZ77" i="33"/>
  <c r="CZ77" i="31" s="1"/>
  <c r="BH77" i="33"/>
  <c r="BH77" i="31" s="1"/>
  <c r="BD77" i="33"/>
  <c r="BD77" i="31" s="1"/>
  <c r="L77" i="33"/>
  <c r="L77" i="31" s="1"/>
  <c r="J77" i="33"/>
  <c r="J77" i="31" s="1"/>
  <c r="H77" i="33"/>
  <c r="H77" i="31" s="1"/>
  <c r="DB77" i="33"/>
  <c r="DB77" i="31" s="1"/>
  <c r="BF77" i="33"/>
  <c r="BF77" i="31" s="1"/>
  <c r="DD77" i="33"/>
  <c r="DD77" i="31" s="1"/>
  <c r="CZ79" i="33"/>
  <c r="CZ79" i="31" s="1"/>
  <c r="BH79" i="33"/>
  <c r="BH79" i="31" s="1"/>
  <c r="BF79" i="33"/>
  <c r="BF79" i="31" s="1"/>
  <c r="BD79" i="33"/>
  <c r="BD79" i="31" s="1"/>
  <c r="L79" i="33"/>
  <c r="L79" i="31" s="1"/>
  <c r="J79" i="33"/>
  <c r="J79" i="31" s="1"/>
  <c r="H79" i="33"/>
  <c r="H79" i="31" s="1"/>
  <c r="DD79" i="33"/>
  <c r="DD79" i="31" s="1"/>
  <c r="DB79" i="33"/>
  <c r="DB79" i="31" s="1"/>
  <c r="DB81" i="33"/>
  <c r="DB81" i="31" s="1"/>
  <c r="CZ81" i="33"/>
  <c r="CZ81" i="31" s="1"/>
  <c r="BH81" i="33"/>
  <c r="BH81" i="31" s="1"/>
  <c r="BF81" i="33"/>
  <c r="BF81" i="31" s="1"/>
  <c r="BD81" i="33"/>
  <c r="BD81" i="31" s="1"/>
  <c r="L81" i="33"/>
  <c r="L81" i="31" s="1"/>
  <c r="J81" i="33"/>
  <c r="J81" i="31" s="1"/>
  <c r="DD81" i="33"/>
  <c r="DD81" i="31" s="1"/>
  <c r="H81" i="33"/>
  <c r="H81" i="31" s="1"/>
  <c r="CZ84" i="33"/>
  <c r="CZ84" i="31" s="1"/>
  <c r="BH84" i="33"/>
  <c r="BH84" i="31" s="1"/>
  <c r="BF84" i="33"/>
  <c r="BF84" i="31" s="1"/>
  <c r="BD84" i="33"/>
  <c r="BD84" i="31" s="1"/>
  <c r="L84" i="33"/>
  <c r="L84" i="31" s="1"/>
  <c r="J84" i="33"/>
  <c r="J84" i="31" s="1"/>
  <c r="H84" i="33"/>
  <c r="H84" i="31" s="1"/>
  <c r="DD84" i="33"/>
  <c r="DD84" i="31" s="1"/>
  <c r="DB84" i="33"/>
  <c r="DB84" i="31" s="1"/>
  <c r="BT87" i="33"/>
  <c r="BT87" i="31" s="1"/>
  <c r="BR87" i="33"/>
  <c r="BR87" i="31" s="1"/>
  <c r="Z87" i="33"/>
  <c r="Z87" i="31" s="1"/>
  <c r="X87" i="33"/>
  <c r="X87" i="31" s="1"/>
  <c r="V87" i="33"/>
  <c r="V87" i="31" s="1"/>
  <c r="DR87" i="33"/>
  <c r="DR87" i="31" s="1"/>
  <c r="BV87" i="33"/>
  <c r="BV87" i="31" s="1"/>
  <c r="DN87" i="33"/>
  <c r="DN87" i="31" s="1"/>
  <c r="DP87" i="33"/>
  <c r="DP87" i="31" s="1"/>
  <c r="D90" i="33"/>
  <c r="EF89" i="31"/>
  <c r="EB89" i="31"/>
  <c r="CJ89" i="33"/>
  <c r="CJ89" i="31" s="1"/>
  <c r="CH89" i="33"/>
  <c r="CF89" i="33"/>
  <c r="CF89" i="31" s="1"/>
  <c r="AN89" i="33"/>
  <c r="AN89" i="31" s="1"/>
  <c r="AJ89" i="33"/>
  <c r="AJ89" i="31" s="1"/>
  <c r="AL89" i="33"/>
  <c r="D92" i="33"/>
  <c r="EB91" i="31"/>
  <c r="AJ91" i="33"/>
  <c r="AJ91" i="31" s="1"/>
  <c r="EF91" i="31"/>
  <c r="CJ91" i="33"/>
  <c r="CJ91" i="31" s="1"/>
  <c r="AN91" i="33"/>
  <c r="AN91" i="31" s="1"/>
  <c r="CH91" i="33"/>
  <c r="AL91" i="33"/>
  <c r="CF91" i="33"/>
  <c r="CF91" i="31" s="1"/>
  <c r="D94" i="33"/>
  <c r="EF93" i="31"/>
  <c r="CJ93" i="33"/>
  <c r="CJ93" i="31" s="1"/>
  <c r="EB93" i="31"/>
  <c r="CH93" i="33"/>
  <c r="AN93" i="33"/>
  <c r="AN93" i="31" s="1"/>
  <c r="CF93" i="33"/>
  <c r="CF93" i="31" s="1"/>
  <c r="AL93" i="33"/>
  <c r="AJ93" i="33"/>
  <c r="AJ93" i="31" s="1"/>
  <c r="D97" i="33"/>
  <c r="CJ96" i="33"/>
  <c r="CJ96" i="31" s="1"/>
  <c r="CH96" i="33"/>
  <c r="AL96" i="33"/>
  <c r="EB96" i="31"/>
  <c r="AJ96" i="33"/>
  <c r="AJ96" i="31" s="1"/>
  <c r="CF96" i="33"/>
  <c r="CF96" i="31" s="1"/>
  <c r="AN96" i="33"/>
  <c r="AN96" i="31" s="1"/>
  <c r="EF96" i="31"/>
  <c r="EM98" i="33"/>
  <c r="EM98" i="31" s="1"/>
  <c r="CO98" i="33"/>
  <c r="CO98" i="31" s="1"/>
  <c r="EK98" i="33"/>
  <c r="EK98" i="31" s="1"/>
  <c r="CM98" i="33"/>
  <c r="CM98" i="31" s="1"/>
  <c r="AU98" i="33"/>
  <c r="AU98" i="31" s="1"/>
  <c r="AQ98" i="33"/>
  <c r="AQ98" i="31" s="1"/>
  <c r="CQ98" i="33"/>
  <c r="CQ98" i="31" s="1"/>
  <c r="EI98" i="33"/>
  <c r="EI98" i="31" s="1"/>
  <c r="AS98" i="33"/>
  <c r="AS98" i="31" s="1"/>
  <c r="DU5" i="33"/>
  <c r="CC5" i="33"/>
  <c r="BY5" i="33"/>
  <c r="AG5" i="33"/>
  <c r="AE5" i="33"/>
  <c r="AC5" i="33"/>
  <c r="DW5" i="33"/>
  <c r="DY5" i="33"/>
  <c r="CA5" i="33"/>
  <c r="D7" i="33"/>
  <c r="EB6" i="31"/>
  <c r="EF6" i="31"/>
  <c r="CH6" i="33"/>
  <c r="AL6" i="33"/>
  <c r="AJ6" i="33"/>
  <c r="AJ6" i="31" s="1"/>
  <c r="AN6" i="33"/>
  <c r="AN6" i="31" s="1"/>
  <c r="CJ6" i="33"/>
  <c r="CJ6" i="31" s="1"/>
  <c r="CF6" i="33"/>
  <c r="CF6" i="31" s="1"/>
  <c r="CQ7" i="33"/>
  <c r="CQ7" i="31" s="1"/>
  <c r="EK7" i="33"/>
  <c r="EK7" i="31" s="1"/>
  <c r="CM7" i="33"/>
  <c r="CM7" i="31" s="1"/>
  <c r="AU7" i="33"/>
  <c r="AU7" i="31" s="1"/>
  <c r="EI7" i="33"/>
  <c r="EI7" i="31" s="1"/>
  <c r="AS7" i="33"/>
  <c r="AS7" i="31" s="1"/>
  <c r="CO7" i="33"/>
  <c r="CO7" i="31" s="1"/>
  <c r="EM7" i="33"/>
  <c r="EM7" i="31" s="1"/>
  <c r="AQ7" i="33"/>
  <c r="AQ7" i="31" s="1"/>
  <c r="J10" i="33"/>
  <c r="J10" i="31" s="1"/>
  <c r="DD10" i="33"/>
  <c r="DD10" i="31" s="1"/>
  <c r="BH10" i="33"/>
  <c r="BH10" i="31" s="1"/>
  <c r="DB10" i="33"/>
  <c r="DB10" i="31" s="1"/>
  <c r="BF10" i="33"/>
  <c r="BF10" i="31" s="1"/>
  <c r="BD10" i="33"/>
  <c r="BD10" i="31" s="1"/>
  <c r="H10" i="33"/>
  <c r="H10" i="31" s="1"/>
  <c r="L10" i="33"/>
  <c r="L10" i="31" s="1"/>
  <c r="CZ10" i="33"/>
  <c r="CZ10" i="31" s="1"/>
  <c r="BM11" i="33"/>
  <c r="BM11" i="31" s="1"/>
  <c r="Q11" i="33"/>
  <c r="Q11" i="31" s="1"/>
  <c r="O11" i="33"/>
  <c r="O11" i="31" s="1"/>
  <c r="BK11" i="33"/>
  <c r="BK11" i="31" s="1"/>
  <c r="DK11" i="33"/>
  <c r="DK11" i="31" s="1"/>
  <c r="BO11" i="33"/>
  <c r="BO11" i="31" s="1"/>
  <c r="DG11" i="33"/>
  <c r="DG11" i="31" s="1"/>
  <c r="S11" i="33"/>
  <c r="S11" i="31" s="1"/>
  <c r="DI11" i="33"/>
  <c r="DI11" i="31" s="1"/>
  <c r="DP12" i="33"/>
  <c r="DP12" i="31" s="1"/>
  <c r="DN12" i="33"/>
  <c r="DN12" i="31" s="1"/>
  <c r="BV12" i="33"/>
  <c r="BV12" i="31" s="1"/>
  <c r="BT12" i="33"/>
  <c r="BT12" i="31" s="1"/>
  <c r="BR12" i="33"/>
  <c r="BR12" i="31" s="1"/>
  <c r="Z12" i="33"/>
  <c r="Z12" i="31" s="1"/>
  <c r="X12" i="33"/>
  <c r="X12" i="31" s="1"/>
  <c r="DR12" i="33"/>
  <c r="DR12" i="31" s="1"/>
  <c r="V12" i="33"/>
  <c r="V12" i="31" s="1"/>
  <c r="DY13" i="33"/>
  <c r="DY13" i="31" s="1"/>
  <c r="DW13" i="33"/>
  <c r="DW13" i="31" s="1"/>
  <c r="DU13" i="33"/>
  <c r="DU13" i="31" s="1"/>
  <c r="CC13" i="33"/>
  <c r="CC13" i="31" s="1"/>
  <c r="BY13" i="33"/>
  <c r="BY13" i="31" s="1"/>
  <c r="AG13" i="33"/>
  <c r="AG13" i="31" s="1"/>
  <c r="CA13" i="33"/>
  <c r="CA13" i="31" s="1"/>
  <c r="AE13" i="33"/>
  <c r="AE13" i="31" s="1"/>
  <c r="AC13" i="33"/>
  <c r="AC13" i="31" s="1"/>
  <c r="CA14" i="33"/>
  <c r="CA14" i="31" s="1"/>
  <c r="BY14" i="33"/>
  <c r="BY14" i="31" s="1"/>
  <c r="AG14" i="33"/>
  <c r="AG14" i="31" s="1"/>
  <c r="AE14" i="33"/>
  <c r="AE14" i="31" s="1"/>
  <c r="AC14" i="33"/>
  <c r="AC14" i="31" s="1"/>
  <c r="DU14" i="33"/>
  <c r="DU14" i="31" s="1"/>
  <c r="DY14" i="33"/>
  <c r="DY14" i="31" s="1"/>
  <c r="DW14" i="33"/>
  <c r="DW14" i="31" s="1"/>
  <c r="CC14" i="33"/>
  <c r="CC14" i="31" s="1"/>
  <c r="DY15" i="33"/>
  <c r="DY15" i="31" s="1"/>
  <c r="DW15" i="33"/>
  <c r="DW15" i="31" s="1"/>
  <c r="DU15" i="33"/>
  <c r="DU15" i="31" s="1"/>
  <c r="CC15" i="33"/>
  <c r="CC15" i="31" s="1"/>
  <c r="AE15" i="33"/>
  <c r="AE15" i="31" s="1"/>
  <c r="CA15" i="33"/>
  <c r="CA15" i="31" s="1"/>
  <c r="AG15" i="33"/>
  <c r="AG15" i="31" s="1"/>
  <c r="AC15" i="33"/>
  <c r="AC15" i="31" s="1"/>
  <c r="BY15" i="33"/>
  <c r="BY15" i="31" s="1"/>
  <c r="CA16" i="33"/>
  <c r="CA16" i="31" s="1"/>
  <c r="BY16" i="33"/>
  <c r="BY16" i="31" s="1"/>
  <c r="AG16" i="33"/>
  <c r="AG16" i="31" s="1"/>
  <c r="AE16" i="33"/>
  <c r="AE16" i="31" s="1"/>
  <c r="AC16" i="33"/>
  <c r="AC16" i="31" s="1"/>
  <c r="DY16" i="33"/>
  <c r="DY16" i="31" s="1"/>
  <c r="DW16" i="33"/>
  <c r="DW16" i="31" s="1"/>
  <c r="DU16" i="33"/>
  <c r="DU16" i="31" s="1"/>
  <c r="CC16" i="33"/>
  <c r="CC16" i="31" s="1"/>
  <c r="AC17" i="33"/>
  <c r="AC17" i="31" s="1"/>
  <c r="DY17" i="33"/>
  <c r="DY17" i="31" s="1"/>
  <c r="DW17" i="33"/>
  <c r="DW17" i="31" s="1"/>
  <c r="CA17" i="33"/>
  <c r="CA17" i="31" s="1"/>
  <c r="CC17" i="33"/>
  <c r="CC17" i="31" s="1"/>
  <c r="BY17" i="33"/>
  <c r="BY17" i="31" s="1"/>
  <c r="AG17" i="33"/>
  <c r="AG17" i="31" s="1"/>
  <c r="AE17" i="33"/>
  <c r="AE17" i="31" s="1"/>
  <c r="DU17" i="33"/>
  <c r="DU17" i="31" s="1"/>
  <c r="D19" i="33"/>
  <c r="EB18" i="31"/>
  <c r="EF18" i="31"/>
  <c r="CF18" i="33"/>
  <c r="CF18" i="31" s="1"/>
  <c r="AN18" i="33"/>
  <c r="AN18" i="31" s="1"/>
  <c r="AL18" i="33"/>
  <c r="AJ18" i="33"/>
  <c r="AJ18" i="31" s="1"/>
  <c r="CJ18" i="33"/>
  <c r="CJ18" i="31" s="1"/>
  <c r="CH18" i="33"/>
  <c r="EI19" i="33"/>
  <c r="EI19" i="31" s="1"/>
  <c r="AS19" i="33"/>
  <c r="AS19" i="31" s="1"/>
  <c r="AQ19" i="33"/>
  <c r="AQ19" i="31" s="1"/>
  <c r="EM19" i="33"/>
  <c r="EM19" i="31" s="1"/>
  <c r="EK19" i="33"/>
  <c r="EK19" i="31" s="1"/>
  <c r="CQ19" i="33"/>
  <c r="CQ19" i="31" s="1"/>
  <c r="CO19" i="33"/>
  <c r="CO19" i="31" s="1"/>
  <c r="CM19" i="33"/>
  <c r="CM19" i="31" s="1"/>
  <c r="AU19" i="33"/>
  <c r="AU19" i="31" s="1"/>
  <c r="DD22" i="33"/>
  <c r="DD22" i="31" s="1"/>
  <c r="DB22" i="33"/>
  <c r="DB22" i="31" s="1"/>
  <c r="CZ22" i="33"/>
  <c r="CZ22" i="31" s="1"/>
  <c r="BH22" i="33"/>
  <c r="BH22" i="31" s="1"/>
  <c r="J22" i="33"/>
  <c r="J22" i="31" s="1"/>
  <c r="H22" i="33"/>
  <c r="H22" i="31" s="1"/>
  <c r="BF22" i="33"/>
  <c r="BF22" i="31" s="1"/>
  <c r="L22" i="33"/>
  <c r="L22" i="31" s="1"/>
  <c r="BD22" i="33"/>
  <c r="BD22" i="31" s="1"/>
  <c r="O23" i="33"/>
  <c r="O23" i="31" s="1"/>
  <c r="DK23" i="33"/>
  <c r="DK23" i="31" s="1"/>
  <c r="DI23" i="33"/>
  <c r="DI23" i="31" s="1"/>
  <c r="DG23" i="33"/>
  <c r="DG23" i="31" s="1"/>
  <c r="BO23" i="33"/>
  <c r="BO23" i="31" s="1"/>
  <c r="BM23" i="33"/>
  <c r="BM23" i="31" s="1"/>
  <c r="S23" i="33"/>
  <c r="S23" i="31" s="1"/>
  <c r="Q23" i="33"/>
  <c r="Q23" i="31" s="1"/>
  <c r="BK23" i="33"/>
  <c r="BK23" i="31" s="1"/>
  <c r="X24" i="33"/>
  <c r="X24" i="31" s="1"/>
  <c r="V24" i="33"/>
  <c r="V24" i="31" s="1"/>
  <c r="DR24" i="33"/>
  <c r="DR24" i="31" s="1"/>
  <c r="BT24" i="33"/>
  <c r="BT24" i="31" s="1"/>
  <c r="BR24" i="33"/>
  <c r="BR24" i="31" s="1"/>
  <c r="Z24" i="33"/>
  <c r="Z24" i="31" s="1"/>
  <c r="BV24" i="33"/>
  <c r="BV24" i="31" s="1"/>
  <c r="DP24" i="33"/>
  <c r="DP24" i="31" s="1"/>
  <c r="DN24" i="33"/>
  <c r="DN24" i="31" s="1"/>
  <c r="CA25" i="33"/>
  <c r="CA25" i="31" s="1"/>
  <c r="BY25" i="33"/>
  <c r="BY25" i="31" s="1"/>
  <c r="AG25" i="33"/>
  <c r="AG25" i="31" s="1"/>
  <c r="AE25" i="33"/>
  <c r="AE25" i="31" s="1"/>
  <c r="AC25" i="33"/>
  <c r="AC25" i="31" s="1"/>
  <c r="DY25" i="33"/>
  <c r="DY25" i="31" s="1"/>
  <c r="DU25" i="33"/>
  <c r="DU25" i="31" s="1"/>
  <c r="CC25" i="33"/>
  <c r="CC25" i="31" s="1"/>
  <c r="DW25" i="33"/>
  <c r="DW25" i="31" s="1"/>
  <c r="AC26" i="33"/>
  <c r="AC26" i="31" s="1"/>
  <c r="DY26" i="33"/>
  <c r="DY26" i="31" s="1"/>
  <c r="DW26" i="33"/>
  <c r="DW26" i="31" s="1"/>
  <c r="DU26" i="33"/>
  <c r="DU26" i="31" s="1"/>
  <c r="CC26" i="33"/>
  <c r="CC26" i="31" s="1"/>
  <c r="CA26" i="33"/>
  <c r="CA26" i="31" s="1"/>
  <c r="BY26" i="33"/>
  <c r="BY26" i="31" s="1"/>
  <c r="AE26" i="33"/>
  <c r="AE26" i="31" s="1"/>
  <c r="AG26" i="33"/>
  <c r="AG26" i="31" s="1"/>
  <c r="DW27" i="33"/>
  <c r="DW27" i="31" s="1"/>
  <c r="DU27" i="33"/>
  <c r="DU27" i="31" s="1"/>
  <c r="CC27" i="33"/>
  <c r="CC27" i="31" s="1"/>
  <c r="CA27" i="33"/>
  <c r="CA27" i="31" s="1"/>
  <c r="BY27" i="33"/>
  <c r="BY27" i="31" s="1"/>
  <c r="AG27" i="33"/>
  <c r="AG27" i="31" s="1"/>
  <c r="DY27" i="33"/>
  <c r="DY27" i="31" s="1"/>
  <c r="AE27" i="33"/>
  <c r="AE27" i="31" s="1"/>
  <c r="AC27" i="33"/>
  <c r="AC27" i="31" s="1"/>
  <c r="BY28" i="33"/>
  <c r="BY28" i="31" s="1"/>
  <c r="AG28" i="33"/>
  <c r="AG28" i="31" s="1"/>
  <c r="AE28" i="33"/>
  <c r="AE28" i="31" s="1"/>
  <c r="AC28" i="33"/>
  <c r="AC28" i="31" s="1"/>
  <c r="DU28" i="33"/>
  <c r="DU28" i="31" s="1"/>
  <c r="CC28" i="33"/>
  <c r="CC28" i="31" s="1"/>
  <c r="CA28" i="33"/>
  <c r="CA28" i="31" s="1"/>
  <c r="DY28" i="33"/>
  <c r="DY28" i="31" s="1"/>
  <c r="DW28" i="33"/>
  <c r="DW28" i="31" s="1"/>
  <c r="DY29" i="33"/>
  <c r="DY29" i="31" s="1"/>
  <c r="DW29" i="33"/>
  <c r="DW29" i="31" s="1"/>
  <c r="DU29" i="33"/>
  <c r="DU29" i="31" s="1"/>
  <c r="CC29" i="33"/>
  <c r="CC29" i="31" s="1"/>
  <c r="AE29" i="33"/>
  <c r="AE29" i="31" s="1"/>
  <c r="AC29" i="33"/>
  <c r="AC29" i="31" s="1"/>
  <c r="CA29" i="33"/>
  <c r="CA29" i="31" s="1"/>
  <c r="BY29" i="33"/>
  <c r="BY29" i="31" s="1"/>
  <c r="AG29" i="33"/>
  <c r="AG29" i="31" s="1"/>
  <c r="CA30" i="33"/>
  <c r="CA30" i="31" s="1"/>
  <c r="BY30" i="33"/>
  <c r="BY30" i="31" s="1"/>
  <c r="AG30" i="33"/>
  <c r="AG30" i="31" s="1"/>
  <c r="AE30" i="33"/>
  <c r="AE30" i="31" s="1"/>
  <c r="AC30" i="33"/>
  <c r="AC30" i="31" s="1"/>
  <c r="DY30" i="33"/>
  <c r="DY30" i="31" s="1"/>
  <c r="DU30" i="33"/>
  <c r="DU30" i="31" s="1"/>
  <c r="DW30" i="33"/>
  <c r="DW30" i="31" s="1"/>
  <c r="CC30" i="33"/>
  <c r="CC30" i="31" s="1"/>
  <c r="DY31" i="33"/>
  <c r="DY31" i="31" s="1"/>
  <c r="DW31" i="33"/>
  <c r="DW31" i="31" s="1"/>
  <c r="DU31" i="33"/>
  <c r="DU31" i="31" s="1"/>
  <c r="CC31" i="33"/>
  <c r="CC31" i="31" s="1"/>
  <c r="CA31" i="33"/>
  <c r="CA31" i="31" s="1"/>
  <c r="BY31" i="33"/>
  <c r="BY31" i="31" s="1"/>
  <c r="AG31" i="33"/>
  <c r="AG31" i="31" s="1"/>
  <c r="AC31" i="33"/>
  <c r="AC31" i="31" s="1"/>
  <c r="AE31" i="33"/>
  <c r="AE31" i="31" s="1"/>
  <c r="CA32" i="33"/>
  <c r="CA32" i="31" s="1"/>
  <c r="BY32" i="33"/>
  <c r="BY32" i="31" s="1"/>
  <c r="AG32" i="33"/>
  <c r="AG32" i="31" s="1"/>
  <c r="AE32" i="33"/>
  <c r="AE32" i="31" s="1"/>
  <c r="AC32" i="33"/>
  <c r="AC32" i="31" s="1"/>
  <c r="DW32" i="33"/>
  <c r="DW32" i="31" s="1"/>
  <c r="DU32" i="33"/>
  <c r="DU32" i="31" s="1"/>
  <c r="CC32" i="33"/>
  <c r="CC32" i="31" s="1"/>
  <c r="DY32" i="33"/>
  <c r="DY32" i="31" s="1"/>
  <c r="AC33" i="33"/>
  <c r="AC33" i="31" s="1"/>
  <c r="DY33" i="33"/>
  <c r="DY33" i="31" s="1"/>
  <c r="DW33" i="33"/>
  <c r="DW33" i="31" s="1"/>
  <c r="BY33" i="33"/>
  <c r="BY33" i="31" s="1"/>
  <c r="AG33" i="33"/>
  <c r="AG33" i="31" s="1"/>
  <c r="AE33" i="33"/>
  <c r="AE33" i="31" s="1"/>
  <c r="CC33" i="33"/>
  <c r="CC33" i="31" s="1"/>
  <c r="CA33" i="33"/>
  <c r="CA33" i="31" s="1"/>
  <c r="DU33" i="33"/>
  <c r="DU33" i="31" s="1"/>
  <c r="D35" i="33"/>
  <c r="EB34" i="31"/>
  <c r="EF34" i="31"/>
  <c r="CF34" i="33"/>
  <c r="CF34" i="31" s="1"/>
  <c r="AN34" i="33"/>
  <c r="AN34" i="31" s="1"/>
  <c r="AL34" i="33"/>
  <c r="AJ34" i="33"/>
  <c r="AJ34" i="31" s="1"/>
  <c r="CH34" i="33"/>
  <c r="CJ34" i="33"/>
  <c r="CJ34" i="31" s="1"/>
  <c r="CQ35" i="33"/>
  <c r="CQ35" i="31" s="1"/>
  <c r="EM35" i="33"/>
  <c r="EM35" i="31" s="1"/>
  <c r="CO35" i="33"/>
  <c r="CO35" i="31" s="1"/>
  <c r="EK35" i="33"/>
  <c r="EK35" i="31" s="1"/>
  <c r="CM35" i="33"/>
  <c r="CM35" i="31" s="1"/>
  <c r="AU35" i="33"/>
  <c r="AU35" i="31" s="1"/>
  <c r="EI35" i="33"/>
  <c r="EI35" i="31" s="1"/>
  <c r="AS35" i="33"/>
  <c r="AS35" i="31" s="1"/>
  <c r="AQ35" i="33"/>
  <c r="AQ35" i="31" s="1"/>
  <c r="J38" i="33"/>
  <c r="J38" i="31" s="1"/>
  <c r="H38" i="33"/>
  <c r="H38" i="31" s="1"/>
  <c r="DD38" i="33"/>
  <c r="DD38" i="31" s="1"/>
  <c r="DB38" i="33"/>
  <c r="DB38" i="31" s="1"/>
  <c r="CZ38" i="33"/>
  <c r="CZ38" i="31" s="1"/>
  <c r="BH38" i="33"/>
  <c r="BH38" i="31" s="1"/>
  <c r="BD38" i="33"/>
  <c r="BD38" i="31" s="1"/>
  <c r="L38" i="33"/>
  <c r="L38" i="31" s="1"/>
  <c r="BF38" i="33"/>
  <c r="BF38" i="31" s="1"/>
  <c r="BK39" i="33"/>
  <c r="BK39" i="31" s="1"/>
  <c r="S39" i="33"/>
  <c r="S39" i="31" s="1"/>
  <c r="Q39" i="33"/>
  <c r="Q39" i="31" s="1"/>
  <c r="O39" i="33"/>
  <c r="O39" i="31" s="1"/>
  <c r="DG39" i="33"/>
  <c r="DG39" i="31" s="1"/>
  <c r="BO39" i="33"/>
  <c r="BO39" i="31" s="1"/>
  <c r="BM39" i="33"/>
  <c r="BM39" i="31" s="1"/>
  <c r="DK39" i="33"/>
  <c r="DK39" i="31" s="1"/>
  <c r="DI39" i="33"/>
  <c r="DI39" i="31" s="1"/>
  <c r="BT40" i="33"/>
  <c r="BT40" i="31" s="1"/>
  <c r="BR40" i="33"/>
  <c r="BR40" i="31" s="1"/>
  <c r="Z40" i="33"/>
  <c r="Z40" i="31" s="1"/>
  <c r="X40" i="33"/>
  <c r="X40" i="31" s="1"/>
  <c r="V40" i="33"/>
  <c r="V40" i="31" s="1"/>
  <c r="DR40" i="33"/>
  <c r="DR40" i="31" s="1"/>
  <c r="DN40" i="33"/>
  <c r="DN40" i="31" s="1"/>
  <c r="DP40" i="33"/>
  <c r="DP40" i="31" s="1"/>
  <c r="BV40" i="33"/>
  <c r="BV40" i="31" s="1"/>
  <c r="DW41" i="33"/>
  <c r="DW41" i="31" s="1"/>
  <c r="DU41" i="33"/>
  <c r="DU41" i="31" s="1"/>
  <c r="CC41" i="33"/>
  <c r="CC41" i="31" s="1"/>
  <c r="CA41" i="33"/>
  <c r="CA41" i="31" s="1"/>
  <c r="BY41" i="33"/>
  <c r="BY41" i="31" s="1"/>
  <c r="AG41" i="33"/>
  <c r="AG41" i="31" s="1"/>
  <c r="DY41" i="33"/>
  <c r="DY41" i="31" s="1"/>
  <c r="AE41" i="33"/>
  <c r="AE41" i="31" s="1"/>
  <c r="AC41" i="33"/>
  <c r="AC41" i="31" s="1"/>
  <c r="D43" i="33"/>
  <c r="EB42" i="31"/>
  <c r="EF42" i="31"/>
  <c r="CJ42" i="33"/>
  <c r="CJ42" i="31" s="1"/>
  <c r="AL42" i="33"/>
  <c r="AJ42" i="33"/>
  <c r="AJ42" i="31" s="1"/>
  <c r="CH42" i="33"/>
  <c r="CF42" i="33"/>
  <c r="CF42" i="31" s="1"/>
  <c r="AN42" i="33"/>
  <c r="AN42" i="31" s="1"/>
  <c r="EI43" i="33"/>
  <c r="EI43" i="31" s="1"/>
  <c r="AS43" i="33"/>
  <c r="AS43" i="31" s="1"/>
  <c r="AQ43" i="33"/>
  <c r="AQ43" i="31" s="1"/>
  <c r="CQ43" i="33"/>
  <c r="CQ43" i="31" s="1"/>
  <c r="EK43" i="33"/>
  <c r="EK43" i="31" s="1"/>
  <c r="AU43" i="33"/>
  <c r="AU43" i="31" s="1"/>
  <c r="EM43" i="33"/>
  <c r="EM43" i="31" s="1"/>
  <c r="CO43" i="33"/>
  <c r="CO43" i="31" s="1"/>
  <c r="CM43" i="33"/>
  <c r="CM43" i="31" s="1"/>
  <c r="H50" i="33"/>
  <c r="H50" i="31" s="1"/>
  <c r="DD50" i="33"/>
  <c r="DD50" i="31" s="1"/>
  <c r="DB50" i="33"/>
  <c r="DB50" i="31" s="1"/>
  <c r="BD50" i="33"/>
  <c r="BD50" i="31" s="1"/>
  <c r="L50" i="33"/>
  <c r="L50" i="31" s="1"/>
  <c r="J50" i="33"/>
  <c r="J50" i="31" s="1"/>
  <c r="CZ50" i="33"/>
  <c r="CZ50" i="31" s="1"/>
  <c r="BH50" i="33"/>
  <c r="BH50" i="31" s="1"/>
  <c r="BF50" i="33"/>
  <c r="BF50" i="31" s="1"/>
  <c r="BK51" i="33"/>
  <c r="BK51" i="31" s="1"/>
  <c r="S51" i="33"/>
  <c r="S51" i="31" s="1"/>
  <c r="Q51" i="33"/>
  <c r="Q51" i="31" s="1"/>
  <c r="O51" i="33"/>
  <c r="O51" i="31" s="1"/>
  <c r="DK51" i="33"/>
  <c r="DK51" i="31" s="1"/>
  <c r="BO51" i="33"/>
  <c r="BO51" i="31" s="1"/>
  <c r="DI51" i="33"/>
  <c r="DI51" i="31" s="1"/>
  <c r="DG51" i="33"/>
  <c r="DG51" i="31" s="1"/>
  <c r="BM51" i="33"/>
  <c r="BM51" i="31" s="1"/>
  <c r="DN52" i="33"/>
  <c r="DN52" i="31" s="1"/>
  <c r="BV52" i="33"/>
  <c r="BV52" i="31" s="1"/>
  <c r="BT52" i="33"/>
  <c r="BT52" i="31" s="1"/>
  <c r="BR52" i="33"/>
  <c r="BR52" i="31" s="1"/>
  <c r="Z52" i="33"/>
  <c r="Z52" i="31" s="1"/>
  <c r="X52" i="33"/>
  <c r="X52" i="31" s="1"/>
  <c r="DR52" i="33"/>
  <c r="DR52" i="31" s="1"/>
  <c r="DP52" i="33"/>
  <c r="DP52" i="31" s="1"/>
  <c r="V52" i="33"/>
  <c r="V52" i="31" s="1"/>
  <c r="AE53" i="33"/>
  <c r="AE53" i="31" s="1"/>
  <c r="DW53" i="33"/>
  <c r="DW53" i="31" s="1"/>
  <c r="CA53" i="33"/>
  <c r="CA53" i="31" s="1"/>
  <c r="AC53" i="33"/>
  <c r="AC53" i="31" s="1"/>
  <c r="DU53" i="33"/>
  <c r="DU53" i="31" s="1"/>
  <c r="BY53" i="33"/>
  <c r="BY53" i="31" s="1"/>
  <c r="DY53" i="33"/>
  <c r="DY53" i="31" s="1"/>
  <c r="CC53" i="33"/>
  <c r="CC53" i="31" s="1"/>
  <c r="AG53" i="33"/>
  <c r="AG53" i="31" s="1"/>
  <c r="D55" i="33"/>
  <c r="EF54" i="31"/>
  <c r="EB54" i="31"/>
  <c r="CH54" i="33"/>
  <c r="CF54" i="33"/>
  <c r="CF54" i="31" s="1"/>
  <c r="AN54" i="33"/>
  <c r="AN54" i="31" s="1"/>
  <c r="CJ54" i="33"/>
  <c r="CJ54" i="31" s="1"/>
  <c r="AJ54" i="33"/>
  <c r="AJ54" i="31" s="1"/>
  <c r="AL54" i="33"/>
  <c r="CQ55" i="33"/>
  <c r="CQ55" i="31" s="1"/>
  <c r="EM55" i="33"/>
  <c r="EM55" i="31" s="1"/>
  <c r="CO55" i="33"/>
  <c r="CO55" i="31" s="1"/>
  <c r="EK55" i="33"/>
  <c r="EK55" i="31" s="1"/>
  <c r="AU55" i="33"/>
  <c r="AU55" i="31" s="1"/>
  <c r="EI55" i="33"/>
  <c r="EI55" i="31" s="1"/>
  <c r="AS55" i="33"/>
  <c r="AS55" i="31" s="1"/>
  <c r="AQ55" i="33"/>
  <c r="AQ55" i="31" s="1"/>
  <c r="CM55" i="33"/>
  <c r="CM55" i="31" s="1"/>
  <c r="DD66" i="33"/>
  <c r="DD66" i="31" s="1"/>
  <c r="DB66" i="33"/>
  <c r="DB66" i="31" s="1"/>
  <c r="CZ66" i="33"/>
  <c r="CZ66" i="31" s="1"/>
  <c r="BH66" i="33"/>
  <c r="BH66" i="31" s="1"/>
  <c r="J66" i="33"/>
  <c r="J66" i="31" s="1"/>
  <c r="H66" i="33"/>
  <c r="H66" i="31" s="1"/>
  <c r="L66" i="33"/>
  <c r="L66" i="31" s="1"/>
  <c r="BF66" i="33"/>
  <c r="BF66" i="31" s="1"/>
  <c r="BD66" i="33"/>
  <c r="BD66" i="31" s="1"/>
  <c r="O67" i="33"/>
  <c r="O67" i="31" s="1"/>
  <c r="DK67" i="33"/>
  <c r="DK67" i="31" s="1"/>
  <c r="DG67" i="33"/>
  <c r="DG67" i="31" s="1"/>
  <c r="BO67" i="33"/>
  <c r="BO67" i="31" s="1"/>
  <c r="BM67" i="33"/>
  <c r="BM67" i="31" s="1"/>
  <c r="DI67" i="33"/>
  <c r="DI67" i="31" s="1"/>
  <c r="S67" i="33"/>
  <c r="S67" i="31" s="1"/>
  <c r="Q67" i="33"/>
  <c r="Q67" i="31" s="1"/>
  <c r="BK67" i="33"/>
  <c r="BK67" i="31" s="1"/>
  <c r="BR68" i="33"/>
  <c r="BR68" i="31" s="1"/>
  <c r="Z68" i="33"/>
  <c r="Z68" i="31" s="1"/>
  <c r="X68" i="33"/>
  <c r="X68" i="31" s="1"/>
  <c r="V68" i="33"/>
  <c r="V68" i="31" s="1"/>
  <c r="BV68" i="33"/>
  <c r="BV68" i="31" s="1"/>
  <c r="BT68" i="33"/>
  <c r="BT68" i="31" s="1"/>
  <c r="DP68" i="33"/>
  <c r="DP68" i="31" s="1"/>
  <c r="DN68" i="33"/>
  <c r="DN68" i="31" s="1"/>
  <c r="DR68" i="33"/>
  <c r="DR68" i="31" s="1"/>
  <c r="DU69" i="33"/>
  <c r="DU69" i="31" s="1"/>
  <c r="CC69" i="33"/>
  <c r="CC69" i="31" s="1"/>
  <c r="CA69" i="33"/>
  <c r="CA69" i="31" s="1"/>
  <c r="BY69" i="33"/>
  <c r="BY69" i="31" s="1"/>
  <c r="AG69" i="33"/>
  <c r="AG69" i="31" s="1"/>
  <c r="AE69" i="33"/>
  <c r="AE69" i="31" s="1"/>
  <c r="AC69" i="33"/>
  <c r="AC69" i="31" s="1"/>
  <c r="DW69" i="33"/>
  <c r="DW69" i="31" s="1"/>
  <c r="DY69" i="33"/>
  <c r="DY69" i="31" s="1"/>
  <c r="D71" i="33"/>
  <c r="EF70" i="31"/>
  <c r="EB70" i="31"/>
  <c r="CJ70" i="33"/>
  <c r="CJ70" i="31" s="1"/>
  <c r="CH70" i="33"/>
  <c r="CF70" i="33"/>
  <c r="CF70" i="31" s="1"/>
  <c r="AN70" i="33"/>
  <c r="AN70" i="31" s="1"/>
  <c r="AL70" i="33"/>
  <c r="AJ70" i="33"/>
  <c r="AJ70" i="31" s="1"/>
  <c r="CQ71" i="33"/>
  <c r="CQ71" i="31" s="1"/>
  <c r="EI71" i="33"/>
  <c r="EI71" i="31" s="1"/>
  <c r="CO71" i="33"/>
  <c r="CO71" i="31" s="1"/>
  <c r="EM71" i="33"/>
  <c r="EM71" i="31" s="1"/>
  <c r="EK71" i="33"/>
  <c r="EK71" i="31" s="1"/>
  <c r="CM71" i="33"/>
  <c r="CM71" i="31" s="1"/>
  <c r="AU71" i="33"/>
  <c r="AU71" i="31" s="1"/>
  <c r="AQ71" i="33"/>
  <c r="AQ71" i="31" s="1"/>
  <c r="AS71" i="33"/>
  <c r="AS71" i="31" s="1"/>
  <c r="DB74" i="33"/>
  <c r="DB74" i="31" s="1"/>
  <c r="BF74" i="33"/>
  <c r="BF74" i="31" s="1"/>
  <c r="BD74" i="33"/>
  <c r="BD74" i="31" s="1"/>
  <c r="L74" i="33"/>
  <c r="L74" i="31" s="1"/>
  <c r="J74" i="33"/>
  <c r="J74" i="31" s="1"/>
  <c r="DD74" i="33"/>
  <c r="DD74" i="31" s="1"/>
  <c r="H74" i="33"/>
  <c r="H74" i="31" s="1"/>
  <c r="BH74" i="33"/>
  <c r="BH74" i="31" s="1"/>
  <c r="CZ74" i="33"/>
  <c r="CZ74" i="31" s="1"/>
  <c r="DI75" i="33"/>
  <c r="DI75" i="31" s="1"/>
  <c r="DG75" i="33"/>
  <c r="DG75" i="31" s="1"/>
  <c r="BO75" i="33"/>
  <c r="BO75" i="31" s="1"/>
  <c r="BM75" i="33"/>
  <c r="BM75" i="31" s="1"/>
  <c r="DK75" i="33"/>
  <c r="DK75" i="31" s="1"/>
  <c r="Q75" i="33"/>
  <c r="Q75" i="31" s="1"/>
  <c r="O75" i="33"/>
  <c r="O75" i="31" s="1"/>
  <c r="BK75" i="33"/>
  <c r="BK75" i="31" s="1"/>
  <c r="S75" i="33"/>
  <c r="S75" i="31" s="1"/>
  <c r="X76" i="33"/>
  <c r="X76" i="31" s="1"/>
  <c r="DR76" i="33"/>
  <c r="DR76" i="31" s="1"/>
  <c r="DP76" i="33"/>
  <c r="DP76" i="31" s="1"/>
  <c r="BR76" i="33"/>
  <c r="BR76" i="31" s="1"/>
  <c r="Z76" i="33"/>
  <c r="Z76" i="31" s="1"/>
  <c r="V76" i="33"/>
  <c r="V76" i="31" s="1"/>
  <c r="BV76" i="33"/>
  <c r="BV76" i="31" s="1"/>
  <c r="DN76" i="33"/>
  <c r="DN76" i="31" s="1"/>
  <c r="BT76" i="33"/>
  <c r="BT76" i="31" s="1"/>
  <c r="CA77" i="33"/>
  <c r="CA77" i="31" s="1"/>
  <c r="AE77" i="33"/>
  <c r="AE77" i="31" s="1"/>
  <c r="AC77" i="33"/>
  <c r="AC77" i="31" s="1"/>
  <c r="DW77" i="33"/>
  <c r="DW77" i="31" s="1"/>
  <c r="DU77" i="33"/>
  <c r="DU77" i="31" s="1"/>
  <c r="CC77" i="33"/>
  <c r="CC77" i="31" s="1"/>
  <c r="DY77" i="33"/>
  <c r="DY77" i="31" s="1"/>
  <c r="AG77" i="33"/>
  <c r="AG77" i="31" s="1"/>
  <c r="BY77" i="33"/>
  <c r="BY77" i="31" s="1"/>
  <c r="DW78" i="33"/>
  <c r="DW78" i="31" s="1"/>
  <c r="DU78" i="33"/>
  <c r="DU78" i="31" s="1"/>
  <c r="CC78" i="33"/>
  <c r="CC78" i="31" s="1"/>
  <c r="CA78" i="33"/>
  <c r="CA78" i="31" s="1"/>
  <c r="DY78" i="33"/>
  <c r="DY78" i="31" s="1"/>
  <c r="AE78" i="33"/>
  <c r="AE78" i="31" s="1"/>
  <c r="AC78" i="33"/>
  <c r="AC78" i="31" s="1"/>
  <c r="BY78" i="33"/>
  <c r="BY78" i="31" s="1"/>
  <c r="AG78" i="33"/>
  <c r="AG78" i="31" s="1"/>
  <c r="CA79" i="33"/>
  <c r="CA79" i="31" s="1"/>
  <c r="BY79" i="33"/>
  <c r="BY79" i="31" s="1"/>
  <c r="AE79" i="33"/>
  <c r="AE79" i="31" s="1"/>
  <c r="AC79" i="33"/>
  <c r="AC79" i="31" s="1"/>
  <c r="AG79" i="33"/>
  <c r="AG79" i="31" s="1"/>
  <c r="DW79" i="33"/>
  <c r="DW79" i="31" s="1"/>
  <c r="DU79" i="33"/>
  <c r="DU79" i="31" s="1"/>
  <c r="DY79" i="33"/>
  <c r="DY79" i="31" s="1"/>
  <c r="CC79" i="33"/>
  <c r="CC79" i="31" s="1"/>
  <c r="DY80" i="33"/>
  <c r="DY80" i="31" s="1"/>
  <c r="DW80" i="33"/>
  <c r="DW80" i="31" s="1"/>
  <c r="DU80" i="33"/>
  <c r="DU80" i="31" s="1"/>
  <c r="CC80" i="33"/>
  <c r="CC80" i="31" s="1"/>
  <c r="CA80" i="33"/>
  <c r="CA80" i="31" s="1"/>
  <c r="AG80" i="33"/>
  <c r="AG80" i="31" s="1"/>
  <c r="BY80" i="33"/>
  <c r="BY80" i="31" s="1"/>
  <c r="AE80" i="33"/>
  <c r="AE80" i="31" s="1"/>
  <c r="AC80" i="33"/>
  <c r="AC80" i="31" s="1"/>
  <c r="DU81" i="33"/>
  <c r="DU81" i="31" s="1"/>
  <c r="CC81" i="33"/>
  <c r="CC81" i="31" s="1"/>
  <c r="CA81" i="33"/>
  <c r="CA81" i="31" s="1"/>
  <c r="BY81" i="33"/>
  <c r="BY81" i="31" s="1"/>
  <c r="AG81" i="33"/>
  <c r="AG81" i="31" s="1"/>
  <c r="AE81" i="33"/>
  <c r="AE81" i="31" s="1"/>
  <c r="AC81" i="33"/>
  <c r="AC81" i="31" s="1"/>
  <c r="DY81" i="33"/>
  <c r="DY81" i="31" s="1"/>
  <c r="DW81" i="33"/>
  <c r="DW81" i="31" s="1"/>
  <c r="AE82" i="33"/>
  <c r="AE82" i="31" s="1"/>
  <c r="AC82" i="33"/>
  <c r="AC82" i="31" s="1"/>
  <c r="DY82" i="33"/>
  <c r="DY82" i="31" s="1"/>
  <c r="DW82" i="33"/>
  <c r="DW82" i="31" s="1"/>
  <c r="CA82" i="33"/>
  <c r="CA82" i="31" s="1"/>
  <c r="DU82" i="33"/>
  <c r="DU82" i="31" s="1"/>
  <c r="BY82" i="33"/>
  <c r="BY82" i="31" s="1"/>
  <c r="CC82" i="33"/>
  <c r="CC82" i="31" s="1"/>
  <c r="AG82" i="33"/>
  <c r="AG82" i="31" s="1"/>
  <c r="DY83" i="33"/>
  <c r="DY83" i="31" s="1"/>
  <c r="DW83" i="33"/>
  <c r="DW83" i="31" s="1"/>
  <c r="DU83" i="33"/>
  <c r="DU83" i="31" s="1"/>
  <c r="CC83" i="33"/>
  <c r="CC83" i="31" s="1"/>
  <c r="CA83" i="33"/>
  <c r="CA83" i="31" s="1"/>
  <c r="BY83" i="33"/>
  <c r="BY83" i="31" s="1"/>
  <c r="AG83" i="33"/>
  <c r="AG83" i="31" s="1"/>
  <c r="AE83" i="33"/>
  <c r="AE83" i="31" s="1"/>
  <c r="AC83" i="33"/>
  <c r="AC83" i="31" s="1"/>
  <c r="CA84" i="33"/>
  <c r="CA84" i="31" s="1"/>
  <c r="BY84" i="33"/>
  <c r="BY84" i="31" s="1"/>
  <c r="AG84" i="33"/>
  <c r="AG84" i="31" s="1"/>
  <c r="AE84" i="33"/>
  <c r="AE84" i="31" s="1"/>
  <c r="AC84" i="33"/>
  <c r="AC84" i="31" s="1"/>
  <c r="DW84" i="33"/>
  <c r="DW84" i="31" s="1"/>
  <c r="DU84" i="33"/>
  <c r="DU84" i="31" s="1"/>
  <c r="DY84" i="33"/>
  <c r="DY84" i="31" s="1"/>
  <c r="CC84" i="33"/>
  <c r="CC84" i="31" s="1"/>
  <c r="AC85" i="33"/>
  <c r="AC85" i="31" s="1"/>
  <c r="DY85" i="33"/>
  <c r="DY85" i="31" s="1"/>
  <c r="DW85" i="33"/>
  <c r="DW85" i="31" s="1"/>
  <c r="DU85" i="33"/>
  <c r="DU85" i="31" s="1"/>
  <c r="CC85" i="33"/>
  <c r="CC85" i="31" s="1"/>
  <c r="CA85" i="33"/>
  <c r="CA85" i="31" s="1"/>
  <c r="BY85" i="33"/>
  <c r="BY85" i="31" s="1"/>
  <c r="AG85" i="33"/>
  <c r="AG85" i="31" s="1"/>
  <c r="AE85" i="33"/>
  <c r="AE85" i="31" s="1"/>
  <c r="D87" i="33"/>
  <c r="EB86" i="31"/>
  <c r="AL86" i="33"/>
  <c r="AJ86" i="33"/>
  <c r="AJ86" i="31" s="1"/>
  <c r="EF86" i="31"/>
  <c r="CJ86" i="33"/>
  <c r="CJ86" i="31" s="1"/>
  <c r="AN86" i="33"/>
  <c r="AN86" i="31" s="1"/>
  <c r="CF86" i="33"/>
  <c r="CF86" i="31" s="1"/>
  <c r="CH86" i="33"/>
  <c r="EK87" i="33"/>
  <c r="EK87" i="31" s="1"/>
  <c r="CM87" i="33"/>
  <c r="CM87" i="31" s="1"/>
  <c r="AU87" i="33"/>
  <c r="AU87" i="31" s="1"/>
  <c r="EI87" i="33"/>
  <c r="EI87" i="31" s="1"/>
  <c r="AS87" i="33"/>
  <c r="AS87" i="31" s="1"/>
  <c r="AQ87" i="33"/>
  <c r="AQ87" i="31" s="1"/>
  <c r="EM87" i="33"/>
  <c r="EM87" i="31" s="1"/>
  <c r="CQ87" i="33"/>
  <c r="CQ87" i="31" s="1"/>
  <c r="CO87" i="33"/>
  <c r="CO87" i="31" s="1"/>
  <c r="BD98" i="33"/>
  <c r="BD98" i="31" s="1"/>
  <c r="L98" i="33"/>
  <c r="L98" i="31" s="1"/>
  <c r="J98" i="33"/>
  <c r="J98" i="31" s="1"/>
  <c r="DD98" i="33"/>
  <c r="DD98" i="31" s="1"/>
  <c r="DB98" i="33"/>
  <c r="DB98" i="31" s="1"/>
  <c r="CZ98" i="33"/>
  <c r="CZ98" i="31" s="1"/>
  <c r="BH98" i="33"/>
  <c r="BH98" i="31" s="1"/>
  <c r="BF98" i="33"/>
  <c r="BF98" i="31" s="1"/>
  <c r="H98" i="33"/>
  <c r="H98" i="31" s="1"/>
  <c r="DG99" i="33"/>
  <c r="DG99" i="31" s="1"/>
  <c r="BO99" i="33"/>
  <c r="BO99" i="31" s="1"/>
  <c r="BM99" i="33"/>
  <c r="BM99" i="31" s="1"/>
  <c r="Q99" i="33"/>
  <c r="Q99" i="31" s="1"/>
  <c r="O99" i="33"/>
  <c r="O99" i="31" s="1"/>
  <c r="BK99" i="33"/>
  <c r="BK99" i="31" s="1"/>
  <c r="S99" i="33"/>
  <c r="S99" i="31" s="1"/>
  <c r="DI99" i="33"/>
  <c r="DI99" i="31" s="1"/>
  <c r="DK99" i="33"/>
  <c r="DK99" i="31" s="1"/>
  <c r="DR100" i="33"/>
  <c r="DR100" i="31" s="1"/>
  <c r="DP100" i="33"/>
  <c r="DP100" i="31" s="1"/>
  <c r="BT100" i="33"/>
  <c r="BT100" i="31" s="1"/>
  <c r="BR100" i="33"/>
  <c r="BR100" i="31" s="1"/>
  <c r="Z100" i="33"/>
  <c r="Z100" i="31" s="1"/>
  <c r="DN100" i="33"/>
  <c r="DN100" i="31" s="1"/>
  <c r="BV100" i="33"/>
  <c r="BV100" i="31" s="1"/>
  <c r="V100" i="33"/>
  <c r="V100" i="31" s="1"/>
  <c r="X100" i="33"/>
  <c r="X100" i="31" s="1"/>
  <c r="D11" i="33"/>
  <c r="EF10" i="31"/>
  <c r="EB10" i="31"/>
  <c r="CH10" i="33"/>
  <c r="CF10" i="33"/>
  <c r="CF10" i="31" s="1"/>
  <c r="AN10" i="33"/>
  <c r="AN10" i="31" s="1"/>
  <c r="CJ10" i="33"/>
  <c r="CJ10" i="31" s="1"/>
  <c r="AL10" i="33"/>
  <c r="AJ10" i="33"/>
  <c r="AJ10" i="31" s="1"/>
  <c r="DR20" i="33"/>
  <c r="DR20" i="31" s="1"/>
  <c r="DP20" i="33"/>
  <c r="DP20" i="31" s="1"/>
  <c r="BR20" i="33"/>
  <c r="BR20" i="31" s="1"/>
  <c r="Z20" i="33"/>
  <c r="Z20" i="31" s="1"/>
  <c r="X20" i="33"/>
  <c r="X20" i="31" s="1"/>
  <c r="BV20" i="33"/>
  <c r="BV20" i="31" s="1"/>
  <c r="DN20" i="33"/>
  <c r="DN20" i="31" s="1"/>
  <c r="V20" i="33"/>
  <c r="V20" i="31" s="1"/>
  <c r="BT20" i="33"/>
  <c r="BT20" i="31" s="1"/>
  <c r="DU37" i="33"/>
  <c r="DU37" i="31" s="1"/>
  <c r="CC37" i="33"/>
  <c r="CC37" i="31" s="1"/>
  <c r="CA37" i="33"/>
  <c r="CA37" i="31" s="1"/>
  <c r="BY37" i="33"/>
  <c r="BY37" i="31" s="1"/>
  <c r="AG37" i="33"/>
  <c r="AG37" i="31" s="1"/>
  <c r="AE37" i="33"/>
  <c r="AE37" i="31" s="1"/>
  <c r="DY37" i="33"/>
  <c r="DY37" i="31" s="1"/>
  <c r="DW37" i="33"/>
  <c r="DW37" i="31" s="1"/>
  <c r="AC37" i="33"/>
  <c r="AC37" i="31" s="1"/>
  <c r="BF42" i="33"/>
  <c r="BF42" i="31" s="1"/>
  <c r="BD42" i="33"/>
  <c r="BD42" i="31" s="1"/>
  <c r="L42" i="33"/>
  <c r="L42" i="31" s="1"/>
  <c r="J42" i="33"/>
  <c r="J42" i="31" s="1"/>
  <c r="H42" i="33"/>
  <c r="H42" i="31" s="1"/>
  <c r="DD42" i="33"/>
  <c r="DD42" i="31" s="1"/>
  <c r="CZ42" i="33"/>
  <c r="CZ42" i="31" s="1"/>
  <c r="BH42" i="33"/>
  <c r="BH42" i="31" s="1"/>
  <c r="DB42" i="33"/>
  <c r="DB42" i="31" s="1"/>
  <c r="DW46" i="33"/>
  <c r="DW46" i="31" s="1"/>
  <c r="DU46" i="33"/>
  <c r="DU46" i="31" s="1"/>
  <c r="CC46" i="33"/>
  <c r="CC46" i="31" s="1"/>
  <c r="CA46" i="33"/>
  <c r="CA46" i="31" s="1"/>
  <c r="BY46" i="33"/>
  <c r="BY46" i="31" s="1"/>
  <c r="AG46" i="33"/>
  <c r="AG46" i="31" s="1"/>
  <c r="DY46" i="33"/>
  <c r="DY46" i="31" s="1"/>
  <c r="AE46" i="33"/>
  <c r="AE46" i="31" s="1"/>
  <c r="AC46" i="33"/>
  <c r="AC46" i="31" s="1"/>
  <c r="BY49" i="33"/>
  <c r="BY49" i="31" s="1"/>
  <c r="AG49" i="33"/>
  <c r="AG49" i="31" s="1"/>
  <c r="AE49" i="33"/>
  <c r="AE49" i="31" s="1"/>
  <c r="AC49" i="33"/>
  <c r="AC49" i="31" s="1"/>
  <c r="DY49" i="33"/>
  <c r="DY49" i="31" s="1"/>
  <c r="CC49" i="33"/>
  <c r="CC49" i="31" s="1"/>
  <c r="DW49" i="33"/>
  <c r="DW49" i="31" s="1"/>
  <c r="DU49" i="33"/>
  <c r="DU49" i="31" s="1"/>
  <c r="CA49" i="33"/>
  <c r="CA49" i="31" s="1"/>
  <c r="X56" i="33"/>
  <c r="X56" i="31" s="1"/>
  <c r="V56" i="33"/>
  <c r="V56" i="31" s="1"/>
  <c r="DN56" i="33"/>
  <c r="DN56" i="31" s="1"/>
  <c r="Z56" i="33"/>
  <c r="Z56" i="31" s="1"/>
  <c r="BV56" i="33"/>
  <c r="BV56" i="31" s="1"/>
  <c r="DR56" i="33"/>
  <c r="DR56" i="31" s="1"/>
  <c r="BT56" i="33"/>
  <c r="BT56" i="31" s="1"/>
  <c r="BR56" i="33"/>
  <c r="BR56" i="31" s="1"/>
  <c r="DP56" i="33"/>
  <c r="DP56" i="31" s="1"/>
  <c r="BY60" i="33"/>
  <c r="BY60" i="31" s="1"/>
  <c r="AG60" i="33"/>
  <c r="AG60" i="31" s="1"/>
  <c r="AE60" i="33"/>
  <c r="AE60" i="31" s="1"/>
  <c r="AC60" i="33"/>
  <c r="AC60" i="31" s="1"/>
  <c r="CC60" i="33"/>
  <c r="CC60" i="31" s="1"/>
  <c r="CA60" i="33"/>
  <c r="CA60" i="31" s="1"/>
  <c r="DU60" i="33"/>
  <c r="DU60" i="31" s="1"/>
  <c r="DW60" i="33"/>
  <c r="DW60" i="31" s="1"/>
  <c r="DY60" i="33"/>
  <c r="DY60" i="31" s="1"/>
  <c r="DY63" i="33"/>
  <c r="DY63" i="31" s="1"/>
  <c r="DW63" i="33"/>
  <c r="DW63" i="31" s="1"/>
  <c r="BY63" i="33"/>
  <c r="BY63" i="31" s="1"/>
  <c r="AG63" i="33"/>
  <c r="AG63" i="31" s="1"/>
  <c r="AE63" i="33"/>
  <c r="AE63" i="31" s="1"/>
  <c r="AC63" i="33"/>
  <c r="AC63" i="31" s="1"/>
  <c r="CC63" i="33"/>
  <c r="CC63" i="31" s="1"/>
  <c r="DU63" i="33"/>
  <c r="DU63" i="31" s="1"/>
  <c r="CA63" i="33"/>
  <c r="CA63" i="31" s="1"/>
  <c r="D67" i="33"/>
  <c r="CF66" i="33"/>
  <c r="CF66" i="31" s="1"/>
  <c r="AN66" i="33"/>
  <c r="AN66" i="31" s="1"/>
  <c r="AL66" i="33"/>
  <c r="AJ66" i="33"/>
  <c r="AJ66" i="31" s="1"/>
  <c r="EB66" i="31"/>
  <c r="CH66" i="33"/>
  <c r="CJ66" i="33"/>
  <c r="CJ66" i="31" s="1"/>
  <c r="EF66" i="31"/>
  <c r="DP72" i="33"/>
  <c r="DP72" i="31" s="1"/>
  <c r="BT72" i="33"/>
  <c r="BT72" i="31" s="1"/>
  <c r="BR72" i="33"/>
  <c r="BR72" i="31" s="1"/>
  <c r="Z72" i="33"/>
  <c r="Z72" i="31" s="1"/>
  <c r="X72" i="33"/>
  <c r="X72" i="31" s="1"/>
  <c r="DR72" i="33"/>
  <c r="DR72" i="31" s="1"/>
  <c r="BV72" i="33"/>
  <c r="BV72" i="31" s="1"/>
  <c r="V72" i="33"/>
  <c r="V72" i="31" s="1"/>
  <c r="DN72" i="33"/>
  <c r="DN72" i="31" s="1"/>
  <c r="EM75" i="33"/>
  <c r="EM75" i="31" s="1"/>
  <c r="CO75" i="33"/>
  <c r="CO75" i="31" s="1"/>
  <c r="EI75" i="33"/>
  <c r="EI75" i="31" s="1"/>
  <c r="AS75" i="33"/>
  <c r="AS75" i="31" s="1"/>
  <c r="AQ75" i="33"/>
  <c r="AQ75" i="31" s="1"/>
  <c r="CQ75" i="33"/>
  <c r="CQ75" i="31" s="1"/>
  <c r="EK75" i="33"/>
  <c r="EK75" i="31" s="1"/>
  <c r="AU75" i="33"/>
  <c r="AU75" i="31" s="1"/>
  <c r="CM75" i="33"/>
  <c r="CM75" i="31" s="1"/>
  <c r="AE89" i="33"/>
  <c r="AE89" i="31" s="1"/>
  <c r="AC89" i="33"/>
  <c r="AC89" i="31" s="1"/>
  <c r="DY89" i="33"/>
  <c r="DY89" i="31" s="1"/>
  <c r="DW89" i="33"/>
  <c r="DW89" i="31" s="1"/>
  <c r="CC89" i="33"/>
  <c r="CC89" i="31" s="1"/>
  <c r="AG89" i="33"/>
  <c r="AG89" i="31" s="1"/>
  <c r="CA89" i="33"/>
  <c r="CA89" i="31" s="1"/>
  <c r="DU89" i="33"/>
  <c r="DU89" i="31" s="1"/>
  <c r="BY89" i="33"/>
  <c r="BY89" i="31" s="1"/>
  <c r="AC92" i="33"/>
  <c r="AC92" i="31" s="1"/>
  <c r="DY92" i="33"/>
  <c r="DY92" i="31" s="1"/>
  <c r="DW92" i="33"/>
  <c r="DW92" i="31" s="1"/>
  <c r="DU92" i="33"/>
  <c r="DU92" i="31" s="1"/>
  <c r="CC92" i="33"/>
  <c r="CC92" i="31" s="1"/>
  <c r="CA92" i="33"/>
  <c r="CA92" i="31" s="1"/>
  <c r="AE92" i="33"/>
  <c r="AE92" i="31" s="1"/>
  <c r="BY92" i="33"/>
  <c r="BY92" i="31" s="1"/>
  <c r="AG92" i="33"/>
  <c r="AG92" i="31" s="1"/>
  <c r="DY96" i="33"/>
  <c r="DY96" i="31" s="1"/>
  <c r="DU96" i="33"/>
  <c r="DU96" i="31" s="1"/>
  <c r="CC96" i="33"/>
  <c r="CC96" i="31" s="1"/>
  <c r="CA96" i="33"/>
  <c r="CA96" i="31" s="1"/>
  <c r="DW96" i="33"/>
  <c r="DW96" i="31" s="1"/>
  <c r="BY96" i="33"/>
  <c r="BY96" i="31" s="1"/>
  <c r="AG96" i="33"/>
  <c r="AG96" i="31" s="1"/>
  <c r="AE96" i="33"/>
  <c r="AE96" i="31" s="1"/>
  <c r="AC96" i="33"/>
  <c r="AC96" i="31" s="1"/>
  <c r="D99" i="33"/>
  <c r="EF98" i="31"/>
  <c r="CH98" i="33"/>
  <c r="CF98" i="33"/>
  <c r="CF98" i="31" s="1"/>
  <c r="AN98" i="33"/>
  <c r="AN98" i="31" s="1"/>
  <c r="EB98" i="31"/>
  <c r="CJ98" i="33"/>
  <c r="CJ98" i="31" s="1"/>
  <c r="AL98" i="33"/>
  <c r="AJ98" i="33"/>
  <c r="AJ98" i="31" s="1"/>
  <c r="DB5" i="33"/>
  <c r="BF5" i="33"/>
  <c r="BD5" i="33"/>
  <c r="L5" i="33"/>
  <c r="DD5" i="33"/>
  <c r="CZ5" i="33"/>
  <c r="J5" i="33"/>
  <c r="BH5" i="33"/>
  <c r="H5" i="33"/>
  <c r="J17" i="33"/>
  <c r="J17" i="31" s="1"/>
  <c r="H17" i="33"/>
  <c r="H17" i="31" s="1"/>
  <c r="DD17" i="33"/>
  <c r="DD17" i="31" s="1"/>
  <c r="DB17" i="33"/>
  <c r="DB17" i="31" s="1"/>
  <c r="CZ17" i="33"/>
  <c r="CZ17" i="31" s="1"/>
  <c r="BD17" i="33"/>
  <c r="BD17" i="31" s="1"/>
  <c r="BH17" i="33"/>
  <c r="BH17" i="31" s="1"/>
  <c r="BF17" i="33"/>
  <c r="BF17" i="31" s="1"/>
  <c r="L17" i="33"/>
  <c r="L17" i="31" s="1"/>
  <c r="DP55" i="33"/>
  <c r="DP55" i="31" s="1"/>
  <c r="DN55" i="33"/>
  <c r="DN55" i="31" s="1"/>
  <c r="BV55" i="33"/>
  <c r="BV55" i="31" s="1"/>
  <c r="Z55" i="33"/>
  <c r="Z55" i="31" s="1"/>
  <c r="X55" i="33"/>
  <c r="X55" i="31" s="1"/>
  <c r="V55" i="33"/>
  <c r="V55" i="31" s="1"/>
  <c r="BT55" i="33"/>
  <c r="BT55" i="31" s="1"/>
  <c r="DR55" i="33"/>
  <c r="DR55" i="31" s="1"/>
  <c r="BR55" i="33"/>
  <c r="BR55" i="31" s="1"/>
  <c r="D58" i="33"/>
  <c r="EF57" i="31"/>
  <c r="EB57" i="31"/>
  <c r="AJ57" i="33"/>
  <c r="AJ57" i="31" s="1"/>
  <c r="AL57" i="33"/>
  <c r="CJ57" i="33"/>
  <c r="CJ57" i="31" s="1"/>
  <c r="CH57" i="33"/>
  <c r="CF57" i="33"/>
  <c r="CF57" i="31" s="1"/>
  <c r="AN57" i="33"/>
  <c r="AN57" i="31" s="1"/>
  <c r="D62" i="33"/>
  <c r="EF61" i="31"/>
  <c r="EB61" i="31"/>
  <c r="CJ61" i="33"/>
  <c r="CJ61" i="31" s="1"/>
  <c r="CH61" i="33"/>
  <c r="CF61" i="33"/>
  <c r="CF61" i="31" s="1"/>
  <c r="AN61" i="33"/>
  <c r="AN61" i="31" s="1"/>
  <c r="AL61" i="33"/>
  <c r="AJ61" i="33"/>
  <c r="AJ61" i="31" s="1"/>
  <c r="D65" i="33"/>
  <c r="EB64" i="31"/>
  <c r="AJ64" i="33"/>
  <c r="AJ64" i="31" s="1"/>
  <c r="EF64" i="31"/>
  <c r="AN64" i="33"/>
  <c r="AN64" i="31" s="1"/>
  <c r="AL64" i="33"/>
  <c r="CJ64" i="33"/>
  <c r="CJ64" i="31" s="1"/>
  <c r="CF64" i="33"/>
  <c r="CF64" i="31" s="1"/>
  <c r="CH64" i="33"/>
  <c r="AC72" i="33"/>
  <c r="AC72" i="31" s="1"/>
  <c r="DY72" i="33"/>
  <c r="DY72" i="31" s="1"/>
  <c r="AE72" i="33"/>
  <c r="AE72" i="31" s="1"/>
  <c r="DU72" i="33"/>
  <c r="DU72" i="31" s="1"/>
  <c r="CC72" i="33"/>
  <c r="CC72" i="31" s="1"/>
  <c r="DW72" i="33"/>
  <c r="DW72" i="31" s="1"/>
  <c r="CA72" i="33"/>
  <c r="CA72" i="31" s="1"/>
  <c r="BY72" i="33"/>
  <c r="BY72" i="31" s="1"/>
  <c r="AG72" i="33"/>
  <c r="AG72" i="31" s="1"/>
  <c r="H80" i="33"/>
  <c r="H80" i="31" s="1"/>
  <c r="DD80" i="33"/>
  <c r="DD80" i="31" s="1"/>
  <c r="DB80" i="33"/>
  <c r="DB80" i="31" s="1"/>
  <c r="CZ80" i="33"/>
  <c r="CZ80" i="31" s="1"/>
  <c r="BH80" i="33"/>
  <c r="BH80" i="31" s="1"/>
  <c r="L80" i="33"/>
  <c r="L80" i="31" s="1"/>
  <c r="BF80" i="33"/>
  <c r="BF80" i="31" s="1"/>
  <c r="J80" i="33"/>
  <c r="J80" i="31" s="1"/>
  <c r="BD80" i="33"/>
  <c r="BD80" i="31" s="1"/>
  <c r="BD82" i="33"/>
  <c r="BD82" i="31" s="1"/>
  <c r="L82" i="33"/>
  <c r="L82" i="31" s="1"/>
  <c r="J82" i="33"/>
  <c r="J82" i="31" s="1"/>
  <c r="H82" i="33"/>
  <c r="H82" i="31" s="1"/>
  <c r="DD82" i="33"/>
  <c r="DD82" i="31" s="1"/>
  <c r="BH82" i="33"/>
  <c r="BH82" i="31" s="1"/>
  <c r="DB82" i="33"/>
  <c r="DB82" i="31" s="1"/>
  <c r="BF82" i="33"/>
  <c r="BF82" i="31" s="1"/>
  <c r="CZ82" i="33"/>
  <c r="CZ82" i="31" s="1"/>
  <c r="DD83" i="33"/>
  <c r="DD83" i="31" s="1"/>
  <c r="DB83" i="33"/>
  <c r="DB83" i="31" s="1"/>
  <c r="CZ83" i="33"/>
  <c r="CZ83" i="31" s="1"/>
  <c r="BH83" i="33"/>
  <c r="BH83" i="31" s="1"/>
  <c r="BF83" i="33"/>
  <c r="BF83" i="31" s="1"/>
  <c r="BD83" i="33"/>
  <c r="BD83" i="31" s="1"/>
  <c r="H83" i="33"/>
  <c r="H83" i="31" s="1"/>
  <c r="L83" i="33"/>
  <c r="L83" i="31" s="1"/>
  <c r="J83" i="33"/>
  <c r="J83" i="31" s="1"/>
  <c r="BK86" i="33"/>
  <c r="BK86" i="31" s="1"/>
  <c r="S86" i="33"/>
  <c r="S86" i="31" s="1"/>
  <c r="Q86" i="33"/>
  <c r="Q86" i="31" s="1"/>
  <c r="O86" i="33"/>
  <c r="O86" i="31" s="1"/>
  <c r="DK86" i="33"/>
  <c r="DK86" i="31" s="1"/>
  <c r="DG86" i="33"/>
  <c r="DG86" i="31" s="1"/>
  <c r="DI86" i="33"/>
  <c r="DI86" i="31" s="1"/>
  <c r="BO86" i="33"/>
  <c r="BO86" i="31" s="1"/>
  <c r="BM86" i="33"/>
  <c r="BM86" i="31" s="1"/>
  <c r="DU88" i="33"/>
  <c r="DU88" i="31" s="1"/>
  <c r="CC88" i="33"/>
  <c r="CC88" i="31" s="1"/>
  <c r="CA88" i="33"/>
  <c r="CA88" i="31" s="1"/>
  <c r="BY88" i="33"/>
  <c r="BY88" i="31" s="1"/>
  <c r="AG88" i="33"/>
  <c r="AG88" i="31" s="1"/>
  <c r="AE88" i="33"/>
  <c r="AE88" i="31" s="1"/>
  <c r="AC88" i="33"/>
  <c r="AC88" i="31" s="1"/>
  <c r="DY88" i="33"/>
  <c r="DY88" i="31" s="1"/>
  <c r="DW88" i="33"/>
  <c r="DW88" i="31" s="1"/>
  <c r="D91" i="33"/>
  <c r="CH90" i="33"/>
  <c r="CF90" i="33"/>
  <c r="CF90" i="31" s="1"/>
  <c r="AN90" i="33"/>
  <c r="AN90" i="31" s="1"/>
  <c r="AL90" i="33"/>
  <c r="EF90" i="31"/>
  <c r="AJ90" i="33"/>
  <c r="AJ90" i="31" s="1"/>
  <c r="EB90" i="31"/>
  <c r="CJ90" i="33"/>
  <c r="CJ90" i="31" s="1"/>
  <c r="D93" i="33"/>
  <c r="EB92" i="31"/>
  <c r="EF92" i="31"/>
  <c r="CJ92" i="33"/>
  <c r="CJ92" i="31" s="1"/>
  <c r="CH92" i="33"/>
  <c r="CF92" i="33"/>
  <c r="CF92" i="31" s="1"/>
  <c r="AN92" i="33"/>
  <c r="AN92" i="31" s="1"/>
  <c r="AL92" i="33"/>
  <c r="AJ92" i="33"/>
  <c r="AJ92" i="31" s="1"/>
  <c r="D96" i="33"/>
  <c r="EB95" i="31"/>
  <c r="AJ95" i="33"/>
  <c r="AJ95" i="31" s="1"/>
  <c r="CJ95" i="33"/>
  <c r="CJ95" i="31" s="1"/>
  <c r="CH95" i="33"/>
  <c r="EF95" i="31"/>
  <c r="CF95" i="33"/>
  <c r="CF95" i="31" s="1"/>
  <c r="AN95" i="33"/>
  <c r="AN95" i="31" s="1"/>
  <c r="AL95" i="33"/>
  <c r="D98" i="33"/>
  <c r="AL97" i="33"/>
  <c r="AJ97" i="33"/>
  <c r="AJ97" i="31" s="1"/>
  <c r="EB97" i="31"/>
  <c r="AN97" i="33"/>
  <c r="AN97" i="31" s="1"/>
  <c r="EF97" i="31"/>
  <c r="CH97" i="33"/>
  <c r="CF97" i="33"/>
  <c r="CF97" i="31" s="1"/>
  <c r="CJ97" i="33"/>
  <c r="CJ97" i="31" s="1"/>
  <c r="EF205" i="34"/>
  <c r="EB205" i="34"/>
  <c r="AL5" i="33"/>
  <c r="AJ5" i="33"/>
  <c r="CJ5" i="33"/>
  <c r="CF5" i="33"/>
  <c r="CH5" i="33"/>
  <c r="AN5" i="33"/>
  <c r="AQ6" i="33"/>
  <c r="AQ6" i="31" s="1"/>
  <c r="EI6" i="33"/>
  <c r="EI6" i="31" s="1"/>
  <c r="CO6" i="33"/>
  <c r="CO6" i="31" s="1"/>
  <c r="AU6" i="33"/>
  <c r="AU6" i="31" s="1"/>
  <c r="AS6" i="33"/>
  <c r="AS6" i="31" s="1"/>
  <c r="CM6" i="33"/>
  <c r="CM6" i="31" s="1"/>
  <c r="EM6" i="33"/>
  <c r="EM6" i="31" s="1"/>
  <c r="CQ6" i="33"/>
  <c r="CQ6" i="31" s="1"/>
  <c r="EK6" i="33"/>
  <c r="EK6" i="31" s="1"/>
  <c r="CZ9" i="33"/>
  <c r="CZ9" i="31" s="1"/>
  <c r="BH9" i="33"/>
  <c r="BH9" i="31" s="1"/>
  <c r="BD9" i="33"/>
  <c r="BD9" i="31" s="1"/>
  <c r="L9" i="33"/>
  <c r="L9" i="31" s="1"/>
  <c r="J9" i="33"/>
  <c r="J9" i="31" s="1"/>
  <c r="DD9" i="33"/>
  <c r="DD9" i="31" s="1"/>
  <c r="BF9" i="33"/>
  <c r="BF9" i="31" s="1"/>
  <c r="DB9" i="33"/>
  <c r="DB9" i="31" s="1"/>
  <c r="H9" i="33"/>
  <c r="H9" i="31" s="1"/>
  <c r="DK10" i="33"/>
  <c r="DK10" i="31" s="1"/>
  <c r="DG10" i="33"/>
  <c r="DG10" i="31" s="1"/>
  <c r="BO10" i="33"/>
  <c r="BO10" i="31" s="1"/>
  <c r="BM10" i="33"/>
  <c r="BM10" i="31" s="1"/>
  <c r="O10" i="33"/>
  <c r="O10" i="31" s="1"/>
  <c r="DI10" i="33"/>
  <c r="DI10" i="31" s="1"/>
  <c r="S10" i="33"/>
  <c r="S10" i="31" s="1"/>
  <c r="BK10" i="33"/>
  <c r="BK10" i="31" s="1"/>
  <c r="Q10" i="33"/>
  <c r="Q10" i="31" s="1"/>
  <c r="V11" i="33"/>
  <c r="V11" i="31" s="1"/>
  <c r="DR11" i="33"/>
  <c r="DR11" i="31" s="1"/>
  <c r="DP11" i="33"/>
  <c r="DP11" i="31" s="1"/>
  <c r="Z11" i="33"/>
  <c r="Z11" i="31" s="1"/>
  <c r="BT11" i="33"/>
  <c r="BT11" i="31" s="1"/>
  <c r="X11" i="33"/>
  <c r="X11" i="31" s="1"/>
  <c r="DN11" i="33"/>
  <c r="DN11" i="31" s="1"/>
  <c r="BV11" i="33"/>
  <c r="BV11" i="31" s="1"/>
  <c r="BR11" i="33"/>
  <c r="BR11" i="31" s="1"/>
  <c r="BY12" i="33"/>
  <c r="BY12" i="31" s="1"/>
  <c r="AG12" i="33"/>
  <c r="AG12" i="31" s="1"/>
  <c r="AE12" i="33"/>
  <c r="AE12" i="31" s="1"/>
  <c r="AC12" i="33"/>
  <c r="AC12" i="31" s="1"/>
  <c r="DW12" i="33"/>
  <c r="DW12" i="31" s="1"/>
  <c r="DU12" i="33"/>
  <c r="DU12" i="31" s="1"/>
  <c r="CC12" i="33"/>
  <c r="CC12" i="31" s="1"/>
  <c r="CA12" i="33"/>
  <c r="CA12" i="31" s="1"/>
  <c r="DY12" i="33"/>
  <c r="DY12" i="31" s="1"/>
  <c r="D14" i="33"/>
  <c r="EF13" i="31"/>
  <c r="CJ13" i="33"/>
  <c r="CJ13" i="31" s="1"/>
  <c r="CH13" i="33"/>
  <c r="EB13" i="31"/>
  <c r="CF13" i="33"/>
  <c r="CF13" i="31" s="1"/>
  <c r="AN13" i="33"/>
  <c r="AN13" i="31" s="1"/>
  <c r="AL13" i="33"/>
  <c r="AJ13" i="33"/>
  <c r="AJ13" i="31" s="1"/>
  <c r="D15" i="33"/>
  <c r="EF14" i="31"/>
  <c r="AJ14" i="33"/>
  <c r="AJ14" i="31" s="1"/>
  <c r="EB14" i="31"/>
  <c r="CH14" i="33"/>
  <c r="AN14" i="33"/>
  <c r="AN14" i="31" s="1"/>
  <c r="CF14" i="33"/>
  <c r="CF14" i="31" s="1"/>
  <c r="AL14" i="33"/>
  <c r="CJ14" i="33"/>
  <c r="CJ14" i="31" s="1"/>
  <c r="D16" i="33"/>
  <c r="EF15" i="31"/>
  <c r="EB15" i="31"/>
  <c r="CJ15" i="33"/>
  <c r="CJ15" i="31" s="1"/>
  <c r="CH15" i="33"/>
  <c r="CF15" i="33"/>
  <c r="CF15" i="31" s="1"/>
  <c r="AN15" i="33"/>
  <c r="AN15" i="31" s="1"/>
  <c r="AL15" i="33"/>
  <c r="AJ15" i="33"/>
  <c r="AJ15" i="31" s="1"/>
  <c r="D17" i="33"/>
  <c r="EF16" i="31"/>
  <c r="EB16" i="31"/>
  <c r="AJ16" i="33"/>
  <c r="AJ16" i="31" s="1"/>
  <c r="CH16" i="33"/>
  <c r="CF16" i="33"/>
  <c r="CF16" i="31" s="1"/>
  <c r="AN16" i="33"/>
  <c r="AN16" i="31" s="1"/>
  <c r="AL16" i="33"/>
  <c r="CJ16" i="33"/>
  <c r="CJ16" i="31" s="1"/>
  <c r="D18" i="33"/>
  <c r="EF17" i="31"/>
  <c r="CJ17" i="33"/>
  <c r="CJ17" i="31" s="1"/>
  <c r="CH17" i="33"/>
  <c r="AN17" i="33"/>
  <c r="AN17" i="31" s="1"/>
  <c r="CF17" i="33"/>
  <c r="CF17" i="31" s="1"/>
  <c r="AJ17" i="33"/>
  <c r="AJ17" i="31" s="1"/>
  <c r="AL17" i="33"/>
  <c r="EB17" i="31"/>
  <c r="EM18" i="33"/>
  <c r="EM18" i="31" s="1"/>
  <c r="CO18" i="33"/>
  <c r="CO18" i="31" s="1"/>
  <c r="EK18" i="33"/>
  <c r="EK18" i="31" s="1"/>
  <c r="EI18" i="33"/>
  <c r="EI18" i="31" s="1"/>
  <c r="CQ18" i="33"/>
  <c r="CQ18" i="31" s="1"/>
  <c r="AU18" i="33"/>
  <c r="AU18" i="31" s="1"/>
  <c r="AQ18" i="33"/>
  <c r="AQ18" i="31" s="1"/>
  <c r="CM18" i="33"/>
  <c r="CM18" i="31" s="1"/>
  <c r="AS18" i="33"/>
  <c r="AS18" i="31" s="1"/>
  <c r="BF21" i="33"/>
  <c r="BF21" i="31" s="1"/>
  <c r="BD21" i="33"/>
  <c r="BD21" i="31" s="1"/>
  <c r="L21" i="33"/>
  <c r="L21" i="31" s="1"/>
  <c r="J21" i="33"/>
  <c r="J21" i="31" s="1"/>
  <c r="H21" i="33"/>
  <c r="H21" i="31" s="1"/>
  <c r="DB21" i="33"/>
  <c r="DB21" i="31" s="1"/>
  <c r="CZ21" i="33"/>
  <c r="CZ21" i="31" s="1"/>
  <c r="BH21" i="33"/>
  <c r="BH21" i="31" s="1"/>
  <c r="DD21" i="33"/>
  <c r="DD21" i="31" s="1"/>
  <c r="DG22" i="33"/>
  <c r="DG22" i="31" s="1"/>
  <c r="BO22" i="33"/>
  <c r="BO22" i="31" s="1"/>
  <c r="BM22" i="33"/>
  <c r="BM22" i="31" s="1"/>
  <c r="BK22" i="33"/>
  <c r="BK22" i="31" s="1"/>
  <c r="S22" i="33"/>
  <c r="S22" i="31" s="1"/>
  <c r="Q22" i="33"/>
  <c r="Q22" i="31" s="1"/>
  <c r="DI22" i="33"/>
  <c r="DI22" i="31" s="1"/>
  <c r="O22" i="33"/>
  <c r="O22" i="31" s="1"/>
  <c r="DK22" i="33"/>
  <c r="DK22" i="31" s="1"/>
  <c r="DP23" i="33"/>
  <c r="DP23" i="31" s="1"/>
  <c r="DN23" i="33"/>
  <c r="DN23" i="31" s="1"/>
  <c r="BV23" i="33"/>
  <c r="BV23" i="31" s="1"/>
  <c r="BT23" i="33"/>
  <c r="BT23" i="31" s="1"/>
  <c r="BR23" i="33"/>
  <c r="BR23" i="31" s="1"/>
  <c r="Z23" i="33"/>
  <c r="Z23" i="31" s="1"/>
  <c r="DR23" i="33"/>
  <c r="DR23" i="31" s="1"/>
  <c r="X23" i="33"/>
  <c r="X23" i="31" s="1"/>
  <c r="V23" i="33"/>
  <c r="V23" i="31" s="1"/>
  <c r="DY24" i="33"/>
  <c r="DY24" i="31" s="1"/>
  <c r="DW24" i="33"/>
  <c r="DW24" i="31" s="1"/>
  <c r="DU24" i="33"/>
  <c r="DU24" i="31" s="1"/>
  <c r="CC24" i="33"/>
  <c r="CC24" i="31" s="1"/>
  <c r="CA24" i="33"/>
  <c r="CA24" i="31" s="1"/>
  <c r="AC24" i="33"/>
  <c r="AC24" i="31" s="1"/>
  <c r="AG24" i="33"/>
  <c r="AG24" i="31" s="1"/>
  <c r="BY24" i="33"/>
  <c r="BY24" i="31" s="1"/>
  <c r="AE24" i="33"/>
  <c r="AE24" i="31" s="1"/>
  <c r="D26" i="33"/>
  <c r="EB25" i="31"/>
  <c r="EF25" i="31"/>
  <c r="AJ25" i="33"/>
  <c r="AJ25" i="31" s="1"/>
  <c r="CJ25" i="33"/>
  <c r="CJ25" i="31" s="1"/>
  <c r="CH25" i="33"/>
  <c r="AL25" i="33"/>
  <c r="AN25" i="33"/>
  <c r="AN25" i="31" s="1"/>
  <c r="CF25" i="33"/>
  <c r="CF25" i="31" s="1"/>
  <c r="D27" i="33"/>
  <c r="EF26" i="31"/>
  <c r="EB26" i="31"/>
  <c r="CJ26" i="33"/>
  <c r="CJ26" i="31" s="1"/>
  <c r="CH26" i="33"/>
  <c r="CF26" i="33"/>
  <c r="CF26" i="31" s="1"/>
  <c r="AN26" i="33"/>
  <c r="AN26" i="31" s="1"/>
  <c r="AL26" i="33"/>
  <c r="AJ26" i="33"/>
  <c r="AJ26" i="31" s="1"/>
  <c r="D28" i="33"/>
  <c r="EB27" i="31"/>
  <c r="EF27" i="31"/>
  <c r="CF27" i="33"/>
  <c r="CF27" i="31" s="1"/>
  <c r="AN27" i="33"/>
  <c r="AN27" i="31" s="1"/>
  <c r="AL27" i="33"/>
  <c r="AJ27" i="33"/>
  <c r="AJ27" i="31" s="1"/>
  <c r="CJ27" i="33"/>
  <c r="CJ27" i="31" s="1"/>
  <c r="CH27" i="33"/>
  <c r="D29" i="33"/>
  <c r="EB28" i="31"/>
  <c r="EF28" i="31"/>
  <c r="CJ28" i="33"/>
  <c r="CJ28" i="31" s="1"/>
  <c r="AL28" i="33"/>
  <c r="AJ28" i="33"/>
  <c r="AJ28" i="31" s="1"/>
  <c r="AN28" i="33"/>
  <c r="AN28" i="31" s="1"/>
  <c r="CH28" i="33"/>
  <c r="CF28" i="33"/>
  <c r="CF28" i="31" s="1"/>
  <c r="D30" i="33"/>
  <c r="EB29" i="31"/>
  <c r="EF29" i="31"/>
  <c r="CJ29" i="33"/>
  <c r="CJ29" i="31" s="1"/>
  <c r="CH29" i="33"/>
  <c r="CF29" i="33"/>
  <c r="CF29" i="31" s="1"/>
  <c r="AN29" i="33"/>
  <c r="AN29" i="31" s="1"/>
  <c r="AL29" i="33"/>
  <c r="AJ29" i="33"/>
  <c r="AJ29" i="31" s="1"/>
  <c r="D31" i="33"/>
  <c r="EF30" i="31"/>
  <c r="EB30" i="31"/>
  <c r="AJ30" i="33"/>
  <c r="AJ30" i="31" s="1"/>
  <c r="CJ30" i="33"/>
  <c r="CJ30" i="31" s="1"/>
  <c r="CH30" i="33"/>
  <c r="AL30" i="33"/>
  <c r="CF30" i="33"/>
  <c r="CF30" i="31" s="1"/>
  <c r="AN30" i="33"/>
  <c r="AN30" i="31" s="1"/>
  <c r="D32" i="33"/>
  <c r="EF31" i="31"/>
  <c r="EB31" i="31"/>
  <c r="CJ31" i="33"/>
  <c r="CJ31" i="31" s="1"/>
  <c r="CH31" i="33"/>
  <c r="CF31" i="33"/>
  <c r="CF31" i="31" s="1"/>
  <c r="AN31" i="33"/>
  <c r="AN31" i="31" s="1"/>
  <c r="AL31" i="33"/>
  <c r="AJ31" i="33"/>
  <c r="AJ31" i="31" s="1"/>
  <c r="D33" i="33"/>
  <c r="EB32" i="31"/>
  <c r="EF32" i="31"/>
  <c r="AJ32" i="33"/>
  <c r="AJ32" i="31" s="1"/>
  <c r="CF32" i="33"/>
  <c r="CF32" i="31" s="1"/>
  <c r="AN32" i="33"/>
  <c r="AN32" i="31" s="1"/>
  <c r="AL32" i="33"/>
  <c r="CJ32" i="33"/>
  <c r="CJ32" i="31" s="1"/>
  <c r="CH32" i="33"/>
  <c r="D34" i="33"/>
  <c r="EF33" i="31"/>
  <c r="EB33" i="31"/>
  <c r="CJ33" i="33"/>
  <c r="CJ33" i="31" s="1"/>
  <c r="CH33" i="33"/>
  <c r="CF33" i="33"/>
  <c r="CF33" i="31" s="1"/>
  <c r="AN33" i="33"/>
  <c r="AN33" i="31" s="1"/>
  <c r="AL33" i="33"/>
  <c r="AJ33" i="33"/>
  <c r="AJ33" i="31" s="1"/>
  <c r="CQ34" i="33"/>
  <c r="CQ34" i="31" s="1"/>
  <c r="EM34" i="33"/>
  <c r="EM34" i="31" s="1"/>
  <c r="CO34" i="33"/>
  <c r="CO34" i="31" s="1"/>
  <c r="EK34" i="33"/>
  <c r="EK34" i="31" s="1"/>
  <c r="CM34" i="33"/>
  <c r="CM34" i="31" s="1"/>
  <c r="AU34" i="33"/>
  <c r="AU34" i="31" s="1"/>
  <c r="AQ34" i="33"/>
  <c r="AQ34" i="31" s="1"/>
  <c r="EI34" i="33"/>
  <c r="EI34" i="31" s="1"/>
  <c r="AS34" i="33"/>
  <c r="AS34" i="31" s="1"/>
  <c r="DB37" i="33"/>
  <c r="DB37" i="31" s="1"/>
  <c r="CZ37" i="33"/>
  <c r="CZ37" i="31" s="1"/>
  <c r="BH37" i="33"/>
  <c r="BH37" i="31" s="1"/>
  <c r="BF37" i="33"/>
  <c r="BF37" i="31" s="1"/>
  <c r="BD37" i="33"/>
  <c r="BD37" i="31" s="1"/>
  <c r="L37" i="33"/>
  <c r="L37" i="31" s="1"/>
  <c r="DD37" i="33"/>
  <c r="DD37" i="31" s="1"/>
  <c r="J37" i="33"/>
  <c r="J37" i="31" s="1"/>
  <c r="H37" i="33"/>
  <c r="H37" i="31" s="1"/>
  <c r="DK38" i="33"/>
  <c r="DK38" i="31" s="1"/>
  <c r="DI38" i="33"/>
  <c r="DI38" i="31" s="1"/>
  <c r="DG38" i="33"/>
  <c r="DG38" i="31" s="1"/>
  <c r="BO38" i="33"/>
  <c r="BO38" i="31" s="1"/>
  <c r="BM38" i="33"/>
  <c r="BM38" i="31" s="1"/>
  <c r="BK38" i="33"/>
  <c r="BK38" i="31" s="1"/>
  <c r="S38" i="33"/>
  <c r="S38" i="31" s="1"/>
  <c r="Q38" i="33"/>
  <c r="Q38" i="31" s="1"/>
  <c r="O38" i="33"/>
  <c r="O38" i="31" s="1"/>
  <c r="DR39" i="33"/>
  <c r="DR39" i="31" s="1"/>
  <c r="DP39" i="33"/>
  <c r="DP39" i="31" s="1"/>
  <c r="DN39" i="33"/>
  <c r="DN39" i="31" s="1"/>
  <c r="BV39" i="33"/>
  <c r="BV39" i="31" s="1"/>
  <c r="X39" i="33"/>
  <c r="X39" i="31" s="1"/>
  <c r="V39" i="33"/>
  <c r="V39" i="31" s="1"/>
  <c r="BT39" i="33"/>
  <c r="BT39" i="31" s="1"/>
  <c r="BR39" i="33"/>
  <c r="BR39" i="31" s="1"/>
  <c r="Z39" i="33"/>
  <c r="Z39" i="31" s="1"/>
  <c r="AC40" i="33"/>
  <c r="AC40" i="31" s="1"/>
  <c r="DY40" i="33"/>
  <c r="DY40" i="31" s="1"/>
  <c r="DW40" i="33"/>
  <c r="DW40" i="31" s="1"/>
  <c r="DU40" i="33"/>
  <c r="DU40" i="31" s="1"/>
  <c r="CC40" i="33"/>
  <c r="CC40" i="31" s="1"/>
  <c r="CA40" i="33"/>
  <c r="CA40" i="31" s="1"/>
  <c r="AE40" i="33"/>
  <c r="AE40" i="31" s="1"/>
  <c r="AG40" i="33"/>
  <c r="AG40" i="31" s="1"/>
  <c r="BY40" i="33"/>
  <c r="BY40" i="31" s="1"/>
  <c r="D42" i="33"/>
  <c r="EF41" i="31"/>
  <c r="EB41" i="31"/>
  <c r="CF41" i="33"/>
  <c r="CF41" i="31" s="1"/>
  <c r="AN41" i="33"/>
  <c r="AN41" i="31" s="1"/>
  <c r="AL41" i="33"/>
  <c r="AJ41" i="33"/>
  <c r="AJ41" i="31" s="1"/>
  <c r="CJ41" i="33"/>
  <c r="CJ41" i="31" s="1"/>
  <c r="CH41" i="33"/>
  <c r="CQ42" i="33"/>
  <c r="CQ42" i="31" s="1"/>
  <c r="EM42" i="33"/>
  <c r="EM42" i="31" s="1"/>
  <c r="CO42" i="33"/>
  <c r="CO42" i="31" s="1"/>
  <c r="EK42" i="33"/>
  <c r="EK42" i="31" s="1"/>
  <c r="CM42" i="33"/>
  <c r="CM42" i="31" s="1"/>
  <c r="AU42" i="33"/>
  <c r="AU42" i="31" s="1"/>
  <c r="EI42" i="33"/>
  <c r="EI42" i="31" s="1"/>
  <c r="AS42" i="33"/>
  <c r="AS42" i="31" s="1"/>
  <c r="AQ42" i="33"/>
  <c r="AQ42" i="31" s="1"/>
  <c r="BD45" i="33"/>
  <c r="BD45" i="31" s="1"/>
  <c r="L45" i="33"/>
  <c r="L45" i="31" s="1"/>
  <c r="J45" i="33"/>
  <c r="J45" i="31" s="1"/>
  <c r="H45" i="33"/>
  <c r="H45" i="31" s="1"/>
  <c r="CZ45" i="33"/>
  <c r="CZ45" i="31" s="1"/>
  <c r="BH45" i="33"/>
  <c r="BH45" i="31" s="1"/>
  <c r="BF45" i="33"/>
  <c r="BF45" i="31" s="1"/>
  <c r="DD45" i="33"/>
  <c r="DD45" i="31" s="1"/>
  <c r="DB45" i="33"/>
  <c r="DB45" i="31" s="1"/>
  <c r="DD46" i="33"/>
  <c r="DD46" i="31" s="1"/>
  <c r="DB46" i="33"/>
  <c r="DB46" i="31" s="1"/>
  <c r="CZ46" i="33"/>
  <c r="CZ46" i="31" s="1"/>
  <c r="BH46" i="33"/>
  <c r="BH46" i="31" s="1"/>
  <c r="BF46" i="33"/>
  <c r="BF46" i="31" s="1"/>
  <c r="H46" i="33"/>
  <c r="H46" i="31" s="1"/>
  <c r="L46" i="33"/>
  <c r="L46" i="31" s="1"/>
  <c r="BD46" i="33"/>
  <c r="BD46" i="31" s="1"/>
  <c r="J46" i="33"/>
  <c r="J46" i="31" s="1"/>
  <c r="BD47" i="33"/>
  <c r="BD47" i="31" s="1"/>
  <c r="L47" i="33"/>
  <c r="L47" i="31" s="1"/>
  <c r="J47" i="33"/>
  <c r="J47" i="31" s="1"/>
  <c r="H47" i="33"/>
  <c r="H47" i="31" s="1"/>
  <c r="DD47" i="33"/>
  <c r="DD47" i="31" s="1"/>
  <c r="CZ47" i="33"/>
  <c r="CZ47" i="31" s="1"/>
  <c r="BH47" i="33"/>
  <c r="BH47" i="31" s="1"/>
  <c r="DB47" i="33"/>
  <c r="DB47" i="31" s="1"/>
  <c r="BF47" i="33"/>
  <c r="BF47" i="31" s="1"/>
  <c r="DD48" i="33"/>
  <c r="DD48" i="31" s="1"/>
  <c r="DB48" i="33"/>
  <c r="DB48" i="31" s="1"/>
  <c r="CZ48" i="33"/>
  <c r="CZ48" i="31" s="1"/>
  <c r="BH48" i="33"/>
  <c r="BH48" i="31" s="1"/>
  <c r="BF48" i="33"/>
  <c r="BF48" i="31" s="1"/>
  <c r="BD48" i="33"/>
  <c r="BD48" i="31" s="1"/>
  <c r="L48" i="33"/>
  <c r="L48" i="31" s="1"/>
  <c r="J48" i="33"/>
  <c r="J48" i="31" s="1"/>
  <c r="H48" i="33"/>
  <c r="H48" i="31" s="1"/>
  <c r="BF49" i="33"/>
  <c r="BF49" i="31" s="1"/>
  <c r="BD49" i="33"/>
  <c r="BD49" i="31" s="1"/>
  <c r="L49" i="33"/>
  <c r="L49" i="31" s="1"/>
  <c r="J49" i="33"/>
  <c r="J49" i="31" s="1"/>
  <c r="H49" i="33"/>
  <c r="H49" i="31" s="1"/>
  <c r="DB49" i="33"/>
  <c r="DB49" i="31" s="1"/>
  <c r="CZ49" i="33"/>
  <c r="CZ49" i="31" s="1"/>
  <c r="BH49" i="33"/>
  <c r="BH49" i="31" s="1"/>
  <c r="DD49" i="33"/>
  <c r="DD49" i="31" s="1"/>
  <c r="DI50" i="33"/>
  <c r="DI50" i="31" s="1"/>
  <c r="DG50" i="33"/>
  <c r="DG50" i="31" s="1"/>
  <c r="BO50" i="33"/>
  <c r="BO50" i="31" s="1"/>
  <c r="BM50" i="33"/>
  <c r="BM50" i="31" s="1"/>
  <c r="BK50" i="33"/>
  <c r="BK50" i="31" s="1"/>
  <c r="S50" i="33"/>
  <c r="S50" i="31" s="1"/>
  <c r="DK50" i="33"/>
  <c r="DK50" i="31" s="1"/>
  <c r="O50" i="33"/>
  <c r="O50" i="31" s="1"/>
  <c r="Q50" i="33"/>
  <c r="Q50" i="31" s="1"/>
  <c r="DR51" i="33"/>
  <c r="DR51" i="31" s="1"/>
  <c r="DP51" i="33"/>
  <c r="DP51" i="31" s="1"/>
  <c r="DN51" i="33"/>
  <c r="DN51" i="31" s="1"/>
  <c r="BV51" i="33"/>
  <c r="BV51" i="31" s="1"/>
  <c r="BT51" i="33"/>
  <c r="BT51" i="31" s="1"/>
  <c r="BR51" i="33"/>
  <c r="BR51" i="31" s="1"/>
  <c r="Z51" i="33"/>
  <c r="Z51" i="31" s="1"/>
  <c r="X51" i="33"/>
  <c r="X51" i="31" s="1"/>
  <c r="V51" i="33"/>
  <c r="V51" i="31" s="1"/>
  <c r="AE52" i="33"/>
  <c r="AE52" i="31" s="1"/>
  <c r="AC52" i="33"/>
  <c r="AC52" i="31" s="1"/>
  <c r="DY52" i="33"/>
  <c r="DY52" i="31" s="1"/>
  <c r="CA52" i="33"/>
  <c r="CA52" i="31" s="1"/>
  <c r="BY52" i="33"/>
  <c r="BY52" i="31" s="1"/>
  <c r="AG52" i="33"/>
  <c r="AG52" i="31" s="1"/>
  <c r="CC52" i="33"/>
  <c r="CC52" i="31" s="1"/>
  <c r="DW52" i="33"/>
  <c r="DW52" i="31" s="1"/>
  <c r="DU52" i="33"/>
  <c r="DU52" i="31" s="1"/>
  <c r="D54" i="33"/>
  <c r="EB53" i="31"/>
  <c r="EF53" i="31"/>
  <c r="CJ53" i="33"/>
  <c r="CJ53" i="31" s="1"/>
  <c r="AN53" i="33"/>
  <c r="AN53" i="31" s="1"/>
  <c r="CH53" i="33"/>
  <c r="AL53" i="33"/>
  <c r="AJ53" i="33"/>
  <c r="AJ53" i="31" s="1"/>
  <c r="CF53" i="33"/>
  <c r="CF53" i="31" s="1"/>
  <c r="EM54" i="33"/>
  <c r="EM54" i="31" s="1"/>
  <c r="EK54" i="33"/>
  <c r="EK54" i="31" s="1"/>
  <c r="EI54" i="33"/>
  <c r="EI54" i="31" s="1"/>
  <c r="AU54" i="33"/>
  <c r="AU54" i="31" s="1"/>
  <c r="CQ54" i="33"/>
  <c r="CQ54" i="31" s="1"/>
  <c r="AS54" i="33"/>
  <c r="AS54" i="31" s="1"/>
  <c r="AQ54" i="33"/>
  <c r="AQ54" i="31" s="1"/>
  <c r="CM54" i="33"/>
  <c r="CM54" i="31" s="1"/>
  <c r="CO54" i="33"/>
  <c r="CO54" i="31" s="1"/>
  <c r="CZ57" i="33"/>
  <c r="CZ57" i="31" s="1"/>
  <c r="BH57" i="33"/>
  <c r="BH57" i="31" s="1"/>
  <c r="BF57" i="33"/>
  <c r="BF57" i="31" s="1"/>
  <c r="J57" i="33"/>
  <c r="J57" i="31" s="1"/>
  <c r="H57" i="33"/>
  <c r="H57" i="31" s="1"/>
  <c r="BD57" i="33"/>
  <c r="BD57" i="31" s="1"/>
  <c r="L57" i="33"/>
  <c r="L57" i="31" s="1"/>
  <c r="DB57" i="33"/>
  <c r="DB57" i="31" s="1"/>
  <c r="DD57" i="33"/>
  <c r="DD57" i="31" s="1"/>
  <c r="J58" i="33"/>
  <c r="J58" i="31" s="1"/>
  <c r="H58" i="33"/>
  <c r="H58" i="31" s="1"/>
  <c r="DD58" i="33"/>
  <c r="DD58" i="31" s="1"/>
  <c r="DB58" i="33"/>
  <c r="DB58" i="31" s="1"/>
  <c r="L58" i="33"/>
  <c r="L58" i="31" s="1"/>
  <c r="CZ58" i="33"/>
  <c r="CZ58" i="31" s="1"/>
  <c r="BF58" i="33"/>
  <c r="BF58" i="31" s="1"/>
  <c r="BD58" i="33"/>
  <c r="BD58" i="31" s="1"/>
  <c r="BH58" i="33"/>
  <c r="BH58" i="31" s="1"/>
  <c r="DD59" i="33"/>
  <c r="DD59" i="31" s="1"/>
  <c r="DB59" i="33"/>
  <c r="DB59" i="31" s="1"/>
  <c r="CZ59" i="33"/>
  <c r="CZ59" i="31" s="1"/>
  <c r="BH59" i="33"/>
  <c r="BH59" i="31" s="1"/>
  <c r="L59" i="33"/>
  <c r="L59" i="31" s="1"/>
  <c r="J59" i="33"/>
  <c r="J59" i="31" s="1"/>
  <c r="H59" i="33"/>
  <c r="H59" i="31" s="1"/>
  <c r="BD59" i="33"/>
  <c r="BD59" i="31" s="1"/>
  <c r="BF59" i="33"/>
  <c r="BF59" i="31" s="1"/>
  <c r="BF60" i="33"/>
  <c r="BF60" i="31" s="1"/>
  <c r="BD60" i="33"/>
  <c r="BD60" i="31" s="1"/>
  <c r="L60" i="33"/>
  <c r="L60" i="31" s="1"/>
  <c r="J60" i="33"/>
  <c r="J60" i="31" s="1"/>
  <c r="H60" i="33"/>
  <c r="H60" i="31" s="1"/>
  <c r="DD60" i="33"/>
  <c r="DD60" i="31" s="1"/>
  <c r="DB60" i="33"/>
  <c r="DB60" i="31" s="1"/>
  <c r="BH60" i="33"/>
  <c r="BH60" i="31" s="1"/>
  <c r="CZ60" i="33"/>
  <c r="CZ60" i="31" s="1"/>
  <c r="H61" i="33"/>
  <c r="H61" i="31" s="1"/>
  <c r="DD61" i="33"/>
  <c r="DD61" i="31" s="1"/>
  <c r="L61" i="33"/>
  <c r="L61" i="31" s="1"/>
  <c r="DB61" i="33"/>
  <c r="DB61" i="31" s="1"/>
  <c r="J61" i="33"/>
  <c r="J61" i="31" s="1"/>
  <c r="CZ61" i="33"/>
  <c r="CZ61" i="31" s="1"/>
  <c r="BF61" i="33"/>
  <c r="BF61" i="31" s="1"/>
  <c r="BD61" i="33"/>
  <c r="BD61" i="31" s="1"/>
  <c r="BH61" i="33"/>
  <c r="BH61" i="31" s="1"/>
  <c r="CZ62" i="33"/>
  <c r="CZ62" i="31" s="1"/>
  <c r="BH62" i="33"/>
  <c r="BH62" i="31" s="1"/>
  <c r="BF62" i="33"/>
  <c r="BF62" i="31" s="1"/>
  <c r="BD62" i="33"/>
  <c r="BD62" i="31" s="1"/>
  <c r="L62" i="33"/>
  <c r="L62" i="31" s="1"/>
  <c r="J62" i="33"/>
  <c r="J62" i="31" s="1"/>
  <c r="H62" i="33"/>
  <c r="H62" i="31" s="1"/>
  <c r="DD62" i="33"/>
  <c r="DD62" i="31" s="1"/>
  <c r="DB62" i="33"/>
  <c r="DB62" i="31" s="1"/>
  <c r="H63" i="33"/>
  <c r="H63" i="31" s="1"/>
  <c r="DD63" i="33"/>
  <c r="DD63" i="31" s="1"/>
  <c r="L63" i="33"/>
  <c r="L63" i="31" s="1"/>
  <c r="DB63" i="33"/>
  <c r="DB63" i="31" s="1"/>
  <c r="J63" i="33"/>
  <c r="J63" i="31" s="1"/>
  <c r="CZ63" i="33"/>
  <c r="CZ63" i="31" s="1"/>
  <c r="BD63" i="33"/>
  <c r="BD63" i="31" s="1"/>
  <c r="BH63" i="33"/>
  <c r="BH63" i="31" s="1"/>
  <c r="BF63" i="33"/>
  <c r="BF63" i="31" s="1"/>
  <c r="CZ64" i="33"/>
  <c r="CZ64" i="31" s="1"/>
  <c r="BH64" i="33"/>
  <c r="BH64" i="31" s="1"/>
  <c r="BF64" i="33"/>
  <c r="BF64" i="31" s="1"/>
  <c r="BD64" i="33"/>
  <c r="BD64" i="31" s="1"/>
  <c r="L64" i="33"/>
  <c r="L64" i="31" s="1"/>
  <c r="H64" i="33"/>
  <c r="H64" i="31" s="1"/>
  <c r="DD64" i="33"/>
  <c r="DD64" i="31" s="1"/>
  <c r="DB64" i="33"/>
  <c r="DB64" i="31" s="1"/>
  <c r="J64" i="33"/>
  <c r="J64" i="31" s="1"/>
  <c r="J65" i="33"/>
  <c r="J65" i="31" s="1"/>
  <c r="H65" i="33"/>
  <c r="H65" i="31" s="1"/>
  <c r="DD65" i="33"/>
  <c r="DD65" i="31" s="1"/>
  <c r="L65" i="33"/>
  <c r="L65" i="31" s="1"/>
  <c r="DB65" i="33"/>
  <c r="DB65" i="31" s="1"/>
  <c r="CZ65" i="33"/>
  <c r="CZ65" i="31" s="1"/>
  <c r="BD65" i="33"/>
  <c r="BD65" i="31" s="1"/>
  <c r="BH65" i="33"/>
  <c r="BH65" i="31" s="1"/>
  <c r="BF65" i="33"/>
  <c r="BF65" i="31" s="1"/>
  <c r="BM66" i="33"/>
  <c r="BM66" i="31" s="1"/>
  <c r="BK66" i="33"/>
  <c r="BK66" i="31" s="1"/>
  <c r="S66" i="33"/>
  <c r="S66" i="31" s="1"/>
  <c r="Q66" i="33"/>
  <c r="Q66" i="31" s="1"/>
  <c r="DI66" i="33"/>
  <c r="DI66" i="31" s="1"/>
  <c r="DG66" i="33"/>
  <c r="DG66" i="31" s="1"/>
  <c r="BO66" i="33"/>
  <c r="BO66" i="31" s="1"/>
  <c r="DK66" i="33"/>
  <c r="DK66" i="31" s="1"/>
  <c r="O66" i="33"/>
  <c r="O66" i="31" s="1"/>
  <c r="DP67" i="33"/>
  <c r="DP67" i="31" s="1"/>
  <c r="DN67" i="33"/>
  <c r="DN67" i="31" s="1"/>
  <c r="BV67" i="33"/>
  <c r="BV67" i="31" s="1"/>
  <c r="BT67" i="33"/>
  <c r="BT67" i="31" s="1"/>
  <c r="BR67" i="33"/>
  <c r="BR67" i="31" s="1"/>
  <c r="Z67" i="33"/>
  <c r="Z67" i="31" s="1"/>
  <c r="DR67" i="33"/>
  <c r="DR67" i="31" s="1"/>
  <c r="X67" i="33"/>
  <c r="X67" i="31" s="1"/>
  <c r="V67" i="33"/>
  <c r="V67" i="31" s="1"/>
  <c r="DY68" i="33"/>
  <c r="DY68" i="31" s="1"/>
  <c r="DW68" i="33"/>
  <c r="DW68" i="31" s="1"/>
  <c r="BY68" i="33"/>
  <c r="BY68" i="31" s="1"/>
  <c r="AG68" i="33"/>
  <c r="AG68" i="31" s="1"/>
  <c r="AE68" i="33"/>
  <c r="AE68" i="31" s="1"/>
  <c r="AC68" i="33"/>
  <c r="AC68" i="31" s="1"/>
  <c r="CC68" i="33"/>
  <c r="CC68" i="31" s="1"/>
  <c r="DU68" i="33"/>
  <c r="DU68" i="31" s="1"/>
  <c r="CA68" i="33"/>
  <c r="CA68" i="31" s="1"/>
  <c r="D70" i="33"/>
  <c r="EF69" i="31"/>
  <c r="EB69" i="31"/>
  <c r="AL69" i="33"/>
  <c r="AJ69" i="33"/>
  <c r="AJ69" i="31" s="1"/>
  <c r="AN69" i="33"/>
  <c r="AN69" i="31" s="1"/>
  <c r="CJ69" i="33"/>
  <c r="CJ69" i="31" s="1"/>
  <c r="CH69" i="33"/>
  <c r="CF69" i="33"/>
  <c r="CF69" i="31" s="1"/>
  <c r="EK70" i="33"/>
  <c r="EK70" i="31" s="1"/>
  <c r="CM70" i="33"/>
  <c r="CM70" i="31" s="1"/>
  <c r="AU70" i="33"/>
  <c r="AU70" i="31" s="1"/>
  <c r="EI70" i="33"/>
  <c r="EI70" i="31" s="1"/>
  <c r="AS70" i="33"/>
  <c r="AS70" i="31" s="1"/>
  <c r="AQ70" i="33"/>
  <c r="AQ70" i="31" s="1"/>
  <c r="EM70" i="33"/>
  <c r="EM70" i="31" s="1"/>
  <c r="CO70" i="33"/>
  <c r="CO70" i="31" s="1"/>
  <c r="CQ70" i="33"/>
  <c r="CQ70" i="31" s="1"/>
  <c r="H73" i="33"/>
  <c r="H73" i="31" s="1"/>
  <c r="DD73" i="33"/>
  <c r="DD73" i="31" s="1"/>
  <c r="DB73" i="33"/>
  <c r="DB73" i="31" s="1"/>
  <c r="CZ73" i="33"/>
  <c r="CZ73" i="31" s="1"/>
  <c r="BH73" i="33"/>
  <c r="BH73" i="31" s="1"/>
  <c r="J73" i="33"/>
  <c r="J73" i="31" s="1"/>
  <c r="L73" i="33"/>
  <c r="L73" i="31" s="1"/>
  <c r="BF73" i="33"/>
  <c r="BF73" i="31" s="1"/>
  <c r="BD73" i="33"/>
  <c r="BD73" i="31" s="1"/>
  <c r="BK74" i="33"/>
  <c r="BK74" i="31" s="1"/>
  <c r="S74" i="33"/>
  <c r="S74" i="31" s="1"/>
  <c r="O74" i="33"/>
  <c r="O74" i="31" s="1"/>
  <c r="DK74" i="33"/>
  <c r="DK74" i="31" s="1"/>
  <c r="DG74" i="33"/>
  <c r="DG74" i="31" s="1"/>
  <c r="BO74" i="33"/>
  <c r="BO74" i="31" s="1"/>
  <c r="BM74" i="33"/>
  <c r="BM74" i="31" s="1"/>
  <c r="DI74" i="33"/>
  <c r="DI74" i="31" s="1"/>
  <c r="Q74" i="33"/>
  <c r="Q74" i="31" s="1"/>
  <c r="DN75" i="33"/>
  <c r="DN75" i="31" s="1"/>
  <c r="BV75" i="33"/>
  <c r="BV75" i="31" s="1"/>
  <c r="BR75" i="33"/>
  <c r="BR75" i="31" s="1"/>
  <c r="Z75" i="33"/>
  <c r="Z75" i="31" s="1"/>
  <c r="X75" i="33"/>
  <c r="X75" i="31" s="1"/>
  <c r="V75" i="33"/>
  <c r="V75" i="31" s="1"/>
  <c r="DP75" i="33"/>
  <c r="DP75" i="31" s="1"/>
  <c r="BT75" i="33"/>
  <c r="BT75" i="31" s="1"/>
  <c r="DR75" i="33"/>
  <c r="DR75" i="31" s="1"/>
  <c r="DY76" i="33"/>
  <c r="DY76" i="31" s="1"/>
  <c r="DU76" i="33"/>
  <c r="DU76" i="31" s="1"/>
  <c r="CC76" i="33"/>
  <c r="CC76" i="31" s="1"/>
  <c r="CA76" i="33"/>
  <c r="CA76" i="31" s="1"/>
  <c r="BY76" i="33"/>
  <c r="BY76" i="31" s="1"/>
  <c r="AG76" i="33"/>
  <c r="AG76" i="31" s="1"/>
  <c r="AC76" i="33"/>
  <c r="AC76" i="31" s="1"/>
  <c r="DW76" i="33"/>
  <c r="DW76" i="31" s="1"/>
  <c r="AE76" i="33"/>
  <c r="AE76" i="31" s="1"/>
  <c r="D78" i="33"/>
  <c r="EB77" i="31"/>
  <c r="AJ77" i="33"/>
  <c r="AJ77" i="31" s="1"/>
  <c r="CJ77" i="33"/>
  <c r="CJ77" i="31" s="1"/>
  <c r="CF77" i="33"/>
  <c r="CF77" i="31" s="1"/>
  <c r="AN77" i="33"/>
  <c r="AN77" i="31" s="1"/>
  <c r="AL77" i="33"/>
  <c r="EF77" i="31"/>
  <c r="CH77" i="33"/>
  <c r="D79" i="33"/>
  <c r="EF78" i="31"/>
  <c r="CJ78" i="33"/>
  <c r="CJ78" i="31" s="1"/>
  <c r="CF78" i="33"/>
  <c r="CF78" i="31" s="1"/>
  <c r="AN78" i="33"/>
  <c r="AN78" i="31" s="1"/>
  <c r="AL78" i="33"/>
  <c r="AJ78" i="33"/>
  <c r="AJ78" i="31" s="1"/>
  <c r="CH78" i="33"/>
  <c r="EB78" i="31"/>
  <c r="D80" i="33"/>
  <c r="EF79" i="31"/>
  <c r="AJ79" i="33"/>
  <c r="AJ79" i="31" s="1"/>
  <c r="CJ79" i="33"/>
  <c r="CJ79" i="31" s="1"/>
  <c r="CH79" i="33"/>
  <c r="AL79" i="33"/>
  <c r="CF79" i="33"/>
  <c r="CF79" i="31" s="1"/>
  <c r="EB79" i="31"/>
  <c r="AN79" i="33"/>
  <c r="AN79" i="31" s="1"/>
  <c r="D81" i="33"/>
  <c r="EF80" i="31"/>
  <c r="CJ80" i="33"/>
  <c r="CJ80" i="31" s="1"/>
  <c r="CH80" i="33"/>
  <c r="CF80" i="33"/>
  <c r="CF80" i="31" s="1"/>
  <c r="AN80" i="33"/>
  <c r="AN80" i="31" s="1"/>
  <c r="EB80" i="31"/>
  <c r="AL80" i="33"/>
  <c r="AJ80" i="33"/>
  <c r="AJ80" i="31" s="1"/>
  <c r="D82" i="33"/>
  <c r="EF81" i="31"/>
  <c r="EB81" i="31"/>
  <c r="AL81" i="33"/>
  <c r="AJ81" i="33"/>
  <c r="AJ81" i="31" s="1"/>
  <c r="CJ81" i="33"/>
  <c r="CJ81" i="31" s="1"/>
  <c r="AN81" i="33"/>
  <c r="AN81" i="31" s="1"/>
  <c r="CF81" i="33"/>
  <c r="CF81" i="31" s="1"/>
  <c r="CH81" i="33"/>
  <c r="D83" i="33"/>
  <c r="EB82" i="31"/>
  <c r="CJ82" i="33"/>
  <c r="CJ82" i="31" s="1"/>
  <c r="CH82" i="33"/>
  <c r="EF82" i="31"/>
  <c r="CF82" i="33"/>
  <c r="CF82" i="31" s="1"/>
  <c r="AN82" i="33"/>
  <c r="AN82" i="31" s="1"/>
  <c r="AL82" i="33"/>
  <c r="AJ82" i="33"/>
  <c r="AJ82" i="31" s="1"/>
  <c r="D84" i="33"/>
  <c r="EB83" i="31"/>
  <c r="CH83" i="33"/>
  <c r="CF83" i="33"/>
  <c r="CF83" i="31" s="1"/>
  <c r="AN83" i="33"/>
  <c r="AN83" i="31" s="1"/>
  <c r="AL83" i="33"/>
  <c r="EF83" i="31"/>
  <c r="AJ83" i="33"/>
  <c r="AJ83" i="31" s="1"/>
  <c r="CJ83" i="33"/>
  <c r="CJ83" i="31" s="1"/>
  <c r="D85" i="33"/>
  <c r="EF84" i="31"/>
  <c r="AJ84" i="33"/>
  <c r="AJ84" i="31" s="1"/>
  <c r="EB84" i="31"/>
  <c r="CJ84" i="33"/>
  <c r="CJ84" i="31" s="1"/>
  <c r="CH84" i="33"/>
  <c r="AL84" i="33"/>
  <c r="CF84" i="33"/>
  <c r="CF84" i="31" s="1"/>
  <c r="AN84" i="33"/>
  <c r="AN84" i="31" s="1"/>
  <c r="D86" i="33"/>
  <c r="EB85" i="31"/>
  <c r="EF85" i="31"/>
  <c r="CJ85" i="33"/>
  <c r="CJ85" i="31" s="1"/>
  <c r="CH85" i="33"/>
  <c r="CF85" i="33"/>
  <c r="CF85" i="31" s="1"/>
  <c r="AN85" i="33"/>
  <c r="AN85" i="31" s="1"/>
  <c r="AL85" i="33"/>
  <c r="AJ85" i="33"/>
  <c r="AJ85" i="31" s="1"/>
  <c r="CQ86" i="33"/>
  <c r="CQ86" i="31" s="1"/>
  <c r="EM86" i="33"/>
  <c r="EM86" i="31" s="1"/>
  <c r="CO86" i="33"/>
  <c r="CO86" i="31" s="1"/>
  <c r="EK86" i="33"/>
  <c r="EK86" i="31" s="1"/>
  <c r="CM86" i="33"/>
  <c r="CM86" i="31" s="1"/>
  <c r="AU86" i="33"/>
  <c r="AU86" i="31" s="1"/>
  <c r="AS86" i="33"/>
  <c r="AS86" i="31" s="1"/>
  <c r="AQ86" i="33"/>
  <c r="AQ86" i="31" s="1"/>
  <c r="EI86" i="33"/>
  <c r="EI86" i="31" s="1"/>
  <c r="BD89" i="33"/>
  <c r="BD89" i="31" s="1"/>
  <c r="L89" i="33"/>
  <c r="L89" i="31" s="1"/>
  <c r="J89" i="33"/>
  <c r="J89" i="31" s="1"/>
  <c r="H89" i="33"/>
  <c r="H89" i="31" s="1"/>
  <c r="DD89" i="33"/>
  <c r="DD89" i="31" s="1"/>
  <c r="BH89" i="33"/>
  <c r="BH89" i="31" s="1"/>
  <c r="DB89" i="33"/>
  <c r="DB89" i="31" s="1"/>
  <c r="CZ89" i="33"/>
  <c r="CZ89" i="31" s="1"/>
  <c r="BF89" i="33"/>
  <c r="BF89" i="31" s="1"/>
  <c r="DD90" i="33"/>
  <c r="DD90" i="31" s="1"/>
  <c r="DB90" i="33"/>
  <c r="DB90" i="31" s="1"/>
  <c r="CZ90" i="33"/>
  <c r="CZ90" i="31" s="1"/>
  <c r="BH90" i="33"/>
  <c r="BH90" i="31" s="1"/>
  <c r="BF90" i="33"/>
  <c r="BF90" i="31" s="1"/>
  <c r="L90" i="33"/>
  <c r="L90" i="31" s="1"/>
  <c r="J90" i="33"/>
  <c r="J90" i="31" s="1"/>
  <c r="BD90" i="33"/>
  <c r="BD90" i="31" s="1"/>
  <c r="H90" i="33"/>
  <c r="H90" i="31" s="1"/>
  <c r="CZ91" i="33"/>
  <c r="CZ91" i="31" s="1"/>
  <c r="BH91" i="33"/>
  <c r="BH91" i="31" s="1"/>
  <c r="BF91" i="33"/>
  <c r="BF91" i="31" s="1"/>
  <c r="BD91" i="33"/>
  <c r="BD91" i="31" s="1"/>
  <c r="L91" i="33"/>
  <c r="L91" i="31" s="1"/>
  <c r="J91" i="33"/>
  <c r="J91" i="31" s="1"/>
  <c r="H91" i="33"/>
  <c r="H91" i="31" s="1"/>
  <c r="DD91" i="33"/>
  <c r="DD91" i="31" s="1"/>
  <c r="DB91" i="33"/>
  <c r="DB91" i="31" s="1"/>
  <c r="J92" i="33"/>
  <c r="J92" i="31" s="1"/>
  <c r="H92" i="33"/>
  <c r="H92" i="31" s="1"/>
  <c r="DD92" i="33"/>
  <c r="DD92" i="31" s="1"/>
  <c r="DB92" i="33"/>
  <c r="DB92" i="31" s="1"/>
  <c r="BF92" i="33"/>
  <c r="BF92" i="31" s="1"/>
  <c r="CZ92" i="33"/>
  <c r="CZ92" i="31" s="1"/>
  <c r="BD92" i="33"/>
  <c r="BD92" i="31" s="1"/>
  <c r="BH92" i="33"/>
  <c r="BH92" i="31" s="1"/>
  <c r="L92" i="33"/>
  <c r="L92" i="31" s="1"/>
  <c r="DD93" i="33"/>
  <c r="DD93" i="31" s="1"/>
  <c r="BH93" i="33"/>
  <c r="BH93" i="31" s="1"/>
  <c r="DB93" i="33"/>
  <c r="DB93" i="31" s="1"/>
  <c r="BF93" i="33"/>
  <c r="BF93" i="31" s="1"/>
  <c r="CZ93" i="33"/>
  <c r="CZ93" i="31" s="1"/>
  <c r="BD93" i="33"/>
  <c r="BD93" i="31" s="1"/>
  <c r="L93" i="33"/>
  <c r="L93" i="31" s="1"/>
  <c r="H93" i="33"/>
  <c r="H93" i="31" s="1"/>
  <c r="J93" i="33"/>
  <c r="J93" i="31" s="1"/>
  <c r="DB94" i="33"/>
  <c r="DB94" i="31" s="1"/>
  <c r="CZ94" i="33"/>
  <c r="CZ94" i="31" s="1"/>
  <c r="BH94" i="33"/>
  <c r="BH94" i="31" s="1"/>
  <c r="BD94" i="33"/>
  <c r="BD94" i="31" s="1"/>
  <c r="DD94" i="33"/>
  <c r="DD94" i="31" s="1"/>
  <c r="L94" i="33"/>
  <c r="L94" i="31" s="1"/>
  <c r="BF94" i="33"/>
  <c r="BF94" i="31" s="1"/>
  <c r="J94" i="33"/>
  <c r="J94" i="31" s="1"/>
  <c r="H94" i="33"/>
  <c r="H94" i="31" s="1"/>
  <c r="CZ95" i="33"/>
  <c r="CZ95" i="31" s="1"/>
  <c r="BH95" i="33"/>
  <c r="BH95" i="31" s="1"/>
  <c r="J95" i="33"/>
  <c r="J95" i="31" s="1"/>
  <c r="H95" i="33"/>
  <c r="H95" i="31" s="1"/>
  <c r="DB95" i="33"/>
  <c r="DB95" i="31" s="1"/>
  <c r="BF95" i="33"/>
  <c r="BF95" i="31" s="1"/>
  <c r="BD95" i="33"/>
  <c r="BD95" i="31" s="1"/>
  <c r="L95" i="33"/>
  <c r="L95" i="31" s="1"/>
  <c r="DD95" i="33"/>
  <c r="DD95" i="31" s="1"/>
  <c r="H96" i="33"/>
  <c r="H96" i="31" s="1"/>
  <c r="DB96" i="33"/>
  <c r="DB96" i="31" s="1"/>
  <c r="CZ96" i="33"/>
  <c r="CZ96" i="31" s="1"/>
  <c r="BH96" i="33"/>
  <c r="BH96" i="31" s="1"/>
  <c r="DD96" i="33"/>
  <c r="DD96" i="31" s="1"/>
  <c r="BD96" i="33"/>
  <c r="BD96" i="31" s="1"/>
  <c r="J96" i="33"/>
  <c r="J96" i="31" s="1"/>
  <c r="BF96" i="33"/>
  <c r="BF96" i="31" s="1"/>
  <c r="L96" i="33"/>
  <c r="L96" i="31" s="1"/>
  <c r="DB97" i="33"/>
  <c r="DB97" i="31" s="1"/>
  <c r="CZ97" i="33"/>
  <c r="CZ97" i="31" s="1"/>
  <c r="BH97" i="33"/>
  <c r="BH97" i="31" s="1"/>
  <c r="BD97" i="33"/>
  <c r="BD97" i="31" s="1"/>
  <c r="L97" i="33"/>
  <c r="L97" i="31" s="1"/>
  <c r="J97" i="33"/>
  <c r="J97" i="31" s="1"/>
  <c r="DD97" i="33"/>
  <c r="DD97" i="31" s="1"/>
  <c r="BF97" i="33"/>
  <c r="BF97" i="31" s="1"/>
  <c r="H97" i="33"/>
  <c r="H97" i="31" s="1"/>
  <c r="DK98" i="33"/>
  <c r="DK98" i="31" s="1"/>
  <c r="DG98" i="33"/>
  <c r="DG98" i="31" s="1"/>
  <c r="BO98" i="33"/>
  <c r="BO98" i="31" s="1"/>
  <c r="BM98" i="33"/>
  <c r="BM98" i="31" s="1"/>
  <c r="DI98" i="33"/>
  <c r="DI98" i="31" s="1"/>
  <c r="BK98" i="33"/>
  <c r="BK98" i="31" s="1"/>
  <c r="S98" i="33"/>
  <c r="S98" i="31" s="1"/>
  <c r="Q98" i="33"/>
  <c r="Q98" i="31" s="1"/>
  <c r="O98" i="33"/>
  <c r="O98" i="31" s="1"/>
  <c r="X99" i="33"/>
  <c r="X99" i="31" s="1"/>
  <c r="V99" i="33"/>
  <c r="V99" i="31" s="1"/>
  <c r="DR99" i="33"/>
  <c r="DR99" i="31" s="1"/>
  <c r="DP99" i="33"/>
  <c r="DP99" i="31" s="1"/>
  <c r="BV99" i="33"/>
  <c r="BV99" i="31" s="1"/>
  <c r="BT99" i="33"/>
  <c r="BT99" i="31" s="1"/>
  <c r="BR99" i="33"/>
  <c r="BR99" i="31" s="1"/>
  <c r="Z99" i="33"/>
  <c r="Z99" i="31" s="1"/>
  <c r="DN99" i="33"/>
  <c r="DN99" i="31" s="1"/>
  <c r="CA100" i="33"/>
  <c r="CA100" i="31" s="1"/>
  <c r="BY100" i="33"/>
  <c r="BY100" i="31" s="1"/>
  <c r="AG100" i="33"/>
  <c r="AG100" i="31" s="1"/>
  <c r="AC100" i="33"/>
  <c r="AC100" i="31" s="1"/>
  <c r="DY100" i="33"/>
  <c r="DY100" i="31" s="1"/>
  <c r="DW100" i="33"/>
  <c r="DW100" i="31" s="1"/>
  <c r="DU100" i="33"/>
  <c r="DU100" i="31" s="1"/>
  <c r="CC100" i="33"/>
  <c r="CC100" i="31" s="1"/>
  <c r="AE100" i="33"/>
  <c r="AE100" i="31" s="1"/>
  <c r="BT38" i="33"/>
  <c r="BT38" i="31" s="1"/>
  <c r="BR38" i="33"/>
  <c r="BR38" i="31" s="1"/>
  <c r="Z38" i="33"/>
  <c r="Z38" i="31" s="1"/>
  <c r="X38" i="33"/>
  <c r="X38" i="31" s="1"/>
  <c r="V38" i="33"/>
  <c r="V38" i="31" s="1"/>
  <c r="DP38" i="33"/>
  <c r="DP38" i="31" s="1"/>
  <c r="DN38" i="33"/>
  <c r="DN38" i="31" s="1"/>
  <c r="BV38" i="33"/>
  <c r="BV38" i="31" s="1"/>
  <c r="DR38" i="33"/>
  <c r="DR38" i="31" s="1"/>
  <c r="DU39" i="33"/>
  <c r="DU39" i="31" s="1"/>
  <c r="CC39" i="33"/>
  <c r="CC39" i="31" s="1"/>
  <c r="CA39" i="33"/>
  <c r="CA39" i="31" s="1"/>
  <c r="BY39" i="33"/>
  <c r="BY39" i="31" s="1"/>
  <c r="AG39" i="33"/>
  <c r="AG39" i="31" s="1"/>
  <c r="AE39" i="33"/>
  <c r="AE39" i="31" s="1"/>
  <c r="AC39" i="33"/>
  <c r="AC39" i="31" s="1"/>
  <c r="DW39" i="33"/>
  <c r="DW39" i="31" s="1"/>
  <c r="DY39" i="33"/>
  <c r="DY39" i="31" s="1"/>
  <c r="D41" i="33"/>
  <c r="EB40" i="31"/>
  <c r="EF40" i="31"/>
  <c r="CJ40" i="33"/>
  <c r="CJ40" i="31" s="1"/>
  <c r="CH40" i="33"/>
  <c r="CF40" i="33"/>
  <c r="CF40" i="31" s="1"/>
  <c r="AN40" i="33"/>
  <c r="AN40" i="31" s="1"/>
  <c r="AL40" i="33"/>
  <c r="AJ40" i="33"/>
  <c r="AJ40" i="31" s="1"/>
  <c r="CQ41" i="33"/>
  <c r="CQ41" i="31" s="1"/>
  <c r="EI41" i="33"/>
  <c r="EI41" i="31" s="1"/>
  <c r="AS41" i="33"/>
  <c r="AS41" i="31" s="1"/>
  <c r="AQ41" i="33"/>
  <c r="AQ41" i="31" s="1"/>
  <c r="EM41" i="33"/>
  <c r="EM41" i="31" s="1"/>
  <c r="EK41" i="33"/>
  <c r="EK41" i="31" s="1"/>
  <c r="AU41" i="33"/>
  <c r="AU41" i="31" s="1"/>
  <c r="CO41" i="33"/>
  <c r="CO41" i="31" s="1"/>
  <c r="CM41" i="33"/>
  <c r="CM41" i="31" s="1"/>
  <c r="DB44" i="33"/>
  <c r="DB44" i="31" s="1"/>
  <c r="CZ44" i="33"/>
  <c r="CZ44" i="31" s="1"/>
  <c r="BH44" i="33"/>
  <c r="BH44" i="31" s="1"/>
  <c r="BF44" i="33"/>
  <c r="BF44" i="31" s="1"/>
  <c r="BD44" i="33"/>
  <c r="BD44" i="31" s="1"/>
  <c r="L44" i="33"/>
  <c r="L44" i="31" s="1"/>
  <c r="DD44" i="33"/>
  <c r="DD44" i="31" s="1"/>
  <c r="J44" i="33"/>
  <c r="J44" i="31" s="1"/>
  <c r="H44" i="33"/>
  <c r="H44" i="31" s="1"/>
  <c r="DK45" i="33"/>
  <c r="DK45" i="31" s="1"/>
  <c r="DI45" i="33"/>
  <c r="DI45" i="31" s="1"/>
  <c r="DG45" i="33"/>
  <c r="DG45" i="31" s="1"/>
  <c r="BO45" i="33"/>
  <c r="BO45" i="31" s="1"/>
  <c r="Q45" i="33"/>
  <c r="Q45" i="31" s="1"/>
  <c r="O45" i="33"/>
  <c r="O45" i="31" s="1"/>
  <c r="S45" i="33"/>
  <c r="S45" i="31" s="1"/>
  <c r="BK45" i="33"/>
  <c r="BK45" i="31" s="1"/>
  <c r="BM45" i="33"/>
  <c r="BM45" i="31" s="1"/>
  <c r="BM46" i="33"/>
  <c r="BM46" i="31" s="1"/>
  <c r="BK46" i="33"/>
  <c r="BK46" i="31" s="1"/>
  <c r="S46" i="33"/>
  <c r="S46" i="31" s="1"/>
  <c r="Q46" i="33"/>
  <c r="Q46" i="31" s="1"/>
  <c r="O46" i="33"/>
  <c r="O46" i="31" s="1"/>
  <c r="DI46" i="33"/>
  <c r="DI46" i="31" s="1"/>
  <c r="DK46" i="33"/>
  <c r="DK46" i="31" s="1"/>
  <c r="DG46" i="33"/>
  <c r="DG46" i="31" s="1"/>
  <c r="BO46" i="33"/>
  <c r="BO46" i="31" s="1"/>
  <c r="DK47" i="33"/>
  <c r="DK47" i="31" s="1"/>
  <c r="DI47" i="33"/>
  <c r="DI47" i="31" s="1"/>
  <c r="DG47" i="33"/>
  <c r="DG47" i="31" s="1"/>
  <c r="BO47" i="33"/>
  <c r="BO47" i="31" s="1"/>
  <c r="BM47" i="33"/>
  <c r="BM47" i="31" s="1"/>
  <c r="BK47" i="33"/>
  <c r="BK47" i="31" s="1"/>
  <c r="S47" i="33"/>
  <c r="S47" i="31" s="1"/>
  <c r="Q47" i="33"/>
  <c r="Q47" i="31" s="1"/>
  <c r="O47" i="33"/>
  <c r="O47" i="31" s="1"/>
  <c r="BM48" i="33"/>
  <c r="BM48" i="31" s="1"/>
  <c r="BK48" i="33"/>
  <c r="BK48" i="31" s="1"/>
  <c r="S48" i="33"/>
  <c r="S48" i="31" s="1"/>
  <c r="Q48" i="33"/>
  <c r="Q48" i="31" s="1"/>
  <c r="O48" i="33"/>
  <c r="O48" i="31" s="1"/>
  <c r="DI48" i="33"/>
  <c r="DI48" i="31" s="1"/>
  <c r="DG48" i="33"/>
  <c r="DG48" i="31" s="1"/>
  <c r="BO48" i="33"/>
  <c r="BO48" i="31" s="1"/>
  <c r="DK48" i="33"/>
  <c r="DK48" i="31" s="1"/>
  <c r="O49" i="33"/>
  <c r="O49" i="31" s="1"/>
  <c r="DK49" i="33"/>
  <c r="DK49" i="31" s="1"/>
  <c r="DI49" i="33"/>
  <c r="DI49" i="31" s="1"/>
  <c r="BK49" i="33"/>
  <c r="BK49" i="31" s="1"/>
  <c r="S49" i="33"/>
  <c r="S49" i="31" s="1"/>
  <c r="Q49" i="33"/>
  <c r="Q49" i="31" s="1"/>
  <c r="BO49" i="33"/>
  <c r="BO49" i="31" s="1"/>
  <c r="DG49" i="33"/>
  <c r="DG49" i="31" s="1"/>
  <c r="BM49" i="33"/>
  <c r="BM49" i="31" s="1"/>
  <c r="BR50" i="33"/>
  <c r="BR50" i="31" s="1"/>
  <c r="Z50" i="33"/>
  <c r="Z50" i="31" s="1"/>
  <c r="X50" i="33"/>
  <c r="X50" i="31" s="1"/>
  <c r="V50" i="33"/>
  <c r="V50" i="31" s="1"/>
  <c r="DR50" i="33"/>
  <c r="DR50" i="31" s="1"/>
  <c r="DN50" i="33"/>
  <c r="DN50" i="31" s="1"/>
  <c r="DP50" i="33"/>
  <c r="DP50" i="31" s="1"/>
  <c r="BV50" i="33"/>
  <c r="BV50" i="31" s="1"/>
  <c r="BT50" i="33"/>
  <c r="BT50" i="31" s="1"/>
  <c r="DU51" i="33"/>
  <c r="DU51" i="31" s="1"/>
  <c r="CC51" i="33"/>
  <c r="CC51" i="31" s="1"/>
  <c r="CA51" i="33"/>
  <c r="CA51" i="31" s="1"/>
  <c r="BY51" i="33"/>
  <c r="BY51" i="31" s="1"/>
  <c r="AG51" i="33"/>
  <c r="AG51" i="31" s="1"/>
  <c r="AE51" i="33"/>
  <c r="AE51" i="31" s="1"/>
  <c r="DY51" i="33"/>
  <c r="DY51" i="31" s="1"/>
  <c r="DW51" i="33"/>
  <c r="DW51" i="31" s="1"/>
  <c r="AC51" i="33"/>
  <c r="AC51" i="31" s="1"/>
  <c r="D53" i="33"/>
  <c r="EF52" i="31"/>
  <c r="EB52" i="31"/>
  <c r="CJ52" i="33"/>
  <c r="CJ52" i="31" s="1"/>
  <c r="CH52" i="33"/>
  <c r="AJ52" i="33"/>
  <c r="AJ52" i="31" s="1"/>
  <c r="AN52" i="33"/>
  <c r="AN52" i="31" s="1"/>
  <c r="AL52" i="33"/>
  <c r="CF52" i="33"/>
  <c r="CF52" i="31" s="1"/>
  <c r="EK53" i="33"/>
  <c r="EK53" i="31" s="1"/>
  <c r="CO53" i="33"/>
  <c r="CO53" i="31" s="1"/>
  <c r="CQ53" i="33"/>
  <c r="CQ53" i="31" s="1"/>
  <c r="AS53" i="33"/>
  <c r="AS53" i="31" s="1"/>
  <c r="CM53" i="33"/>
  <c r="CM53" i="31" s="1"/>
  <c r="AQ53" i="33"/>
  <c r="AQ53" i="31" s="1"/>
  <c r="EM53" i="33"/>
  <c r="EM53" i="31" s="1"/>
  <c r="EI53" i="33"/>
  <c r="EI53" i="31" s="1"/>
  <c r="AU53" i="33"/>
  <c r="AU53" i="31" s="1"/>
  <c r="DD56" i="33"/>
  <c r="DD56" i="31" s="1"/>
  <c r="BH56" i="33"/>
  <c r="BH56" i="31" s="1"/>
  <c r="H56" i="33"/>
  <c r="H56" i="31" s="1"/>
  <c r="BF56" i="33"/>
  <c r="BF56" i="31" s="1"/>
  <c r="BD56" i="33"/>
  <c r="BD56" i="31" s="1"/>
  <c r="DB56" i="33"/>
  <c r="DB56" i="31" s="1"/>
  <c r="L56" i="33"/>
  <c r="L56" i="31" s="1"/>
  <c r="J56" i="33"/>
  <c r="J56" i="31" s="1"/>
  <c r="CZ56" i="33"/>
  <c r="CZ56" i="31" s="1"/>
  <c r="Q57" i="33"/>
  <c r="Q57" i="31" s="1"/>
  <c r="O57" i="33"/>
  <c r="O57" i="31" s="1"/>
  <c r="BO57" i="33"/>
  <c r="BO57" i="31" s="1"/>
  <c r="BM57" i="33"/>
  <c r="BM57" i="31" s="1"/>
  <c r="DK57" i="33"/>
  <c r="DK57" i="31" s="1"/>
  <c r="BK57" i="33"/>
  <c r="BK57" i="31" s="1"/>
  <c r="DI57" i="33"/>
  <c r="DI57" i="31" s="1"/>
  <c r="S57" i="33"/>
  <c r="S57" i="31" s="1"/>
  <c r="DG57" i="33"/>
  <c r="DG57" i="31" s="1"/>
  <c r="DK58" i="33"/>
  <c r="DK58" i="31" s="1"/>
  <c r="DI58" i="33"/>
  <c r="DI58" i="31" s="1"/>
  <c r="DG58" i="33"/>
  <c r="DG58" i="31" s="1"/>
  <c r="BO58" i="33"/>
  <c r="BO58" i="31" s="1"/>
  <c r="Q58" i="33"/>
  <c r="Q58" i="31" s="1"/>
  <c r="O58" i="33"/>
  <c r="O58" i="31" s="1"/>
  <c r="BM58" i="33"/>
  <c r="BM58" i="31" s="1"/>
  <c r="BK58" i="33"/>
  <c r="BK58" i="31" s="1"/>
  <c r="S58" i="33"/>
  <c r="S58" i="31" s="1"/>
  <c r="BM59" i="33"/>
  <c r="BM59" i="31" s="1"/>
  <c r="BK59" i="33"/>
  <c r="BK59" i="31" s="1"/>
  <c r="S59" i="33"/>
  <c r="S59" i="31" s="1"/>
  <c r="Q59" i="33"/>
  <c r="Q59" i="31" s="1"/>
  <c r="DK59" i="33"/>
  <c r="DK59" i="31" s="1"/>
  <c r="DI59" i="33"/>
  <c r="DI59" i="31" s="1"/>
  <c r="DG59" i="33"/>
  <c r="DG59" i="31" s="1"/>
  <c r="O59" i="33"/>
  <c r="O59" i="31" s="1"/>
  <c r="BO59" i="33"/>
  <c r="BO59" i="31" s="1"/>
  <c r="O60" i="33"/>
  <c r="O60" i="31" s="1"/>
  <c r="DK60" i="33"/>
  <c r="DK60" i="31" s="1"/>
  <c r="DI60" i="33"/>
  <c r="DI60" i="31" s="1"/>
  <c r="Q60" i="33"/>
  <c r="Q60" i="31" s="1"/>
  <c r="DG60" i="33"/>
  <c r="DG60" i="31" s="1"/>
  <c r="BO60" i="33"/>
  <c r="BO60" i="31" s="1"/>
  <c r="S60" i="33"/>
  <c r="S60" i="31" s="1"/>
  <c r="BM60" i="33"/>
  <c r="BM60" i="31" s="1"/>
  <c r="BK60" i="33"/>
  <c r="BK60" i="31" s="1"/>
  <c r="DI61" i="33"/>
  <c r="DI61" i="31" s="1"/>
  <c r="DG61" i="33"/>
  <c r="DG61" i="31" s="1"/>
  <c r="BO61" i="33"/>
  <c r="BO61" i="31" s="1"/>
  <c r="BM61" i="33"/>
  <c r="BM61" i="31" s="1"/>
  <c r="O61" i="33"/>
  <c r="O61" i="31" s="1"/>
  <c r="DK61" i="33"/>
  <c r="DK61" i="31" s="1"/>
  <c r="S61" i="33"/>
  <c r="S61" i="31" s="1"/>
  <c r="BK61" i="33"/>
  <c r="BK61" i="31" s="1"/>
  <c r="Q61" i="33"/>
  <c r="Q61" i="31" s="1"/>
  <c r="Q62" i="33"/>
  <c r="Q62" i="31" s="1"/>
  <c r="O62" i="33"/>
  <c r="O62" i="31" s="1"/>
  <c r="DI62" i="33"/>
  <c r="DI62" i="31" s="1"/>
  <c r="DG62" i="33"/>
  <c r="DG62" i="31" s="1"/>
  <c r="BO62" i="33"/>
  <c r="BO62" i="31" s="1"/>
  <c r="DK62" i="33"/>
  <c r="DK62" i="31" s="1"/>
  <c r="BM62" i="33"/>
  <c r="BM62" i="31" s="1"/>
  <c r="BK62" i="33"/>
  <c r="BK62" i="31" s="1"/>
  <c r="S62" i="33"/>
  <c r="S62" i="31" s="1"/>
  <c r="DI63" i="33"/>
  <c r="DI63" i="31" s="1"/>
  <c r="DG63" i="33"/>
  <c r="DG63" i="31" s="1"/>
  <c r="BO63" i="33"/>
  <c r="BO63" i="31" s="1"/>
  <c r="BM63" i="33"/>
  <c r="BM63" i="31" s="1"/>
  <c r="DK63" i="33"/>
  <c r="DK63" i="31" s="1"/>
  <c r="BK63" i="33"/>
  <c r="BK63" i="31" s="1"/>
  <c r="S63" i="33"/>
  <c r="S63" i="31" s="1"/>
  <c r="Q63" i="33"/>
  <c r="Q63" i="31" s="1"/>
  <c r="O63" i="33"/>
  <c r="O63" i="31" s="1"/>
  <c r="Q64" i="33"/>
  <c r="Q64" i="31" s="1"/>
  <c r="O64" i="33"/>
  <c r="O64" i="31" s="1"/>
  <c r="DG64" i="33"/>
  <c r="DG64" i="31" s="1"/>
  <c r="BO64" i="33"/>
  <c r="BO64" i="31" s="1"/>
  <c r="BM64" i="33"/>
  <c r="BM64" i="31" s="1"/>
  <c r="DK64" i="33"/>
  <c r="DK64" i="31" s="1"/>
  <c r="DI64" i="33"/>
  <c r="DI64" i="31" s="1"/>
  <c r="S64" i="33"/>
  <c r="S64" i="31" s="1"/>
  <c r="BK64" i="33"/>
  <c r="BK64" i="31" s="1"/>
  <c r="DK65" i="33"/>
  <c r="DK65" i="31" s="1"/>
  <c r="DI65" i="33"/>
  <c r="DI65" i="31" s="1"/>
  <c r="DG65" i="33"/>
  <c r="DG65" i="31" s="1"/>
  <c r="BO65" i="33"/>
  <c r="BO65" i="31" s="1"/>
  <c r="BM65" i="33"/>
  <c r="BM65" i="31" s="1"/>
  <c r="BK65" i="33"/>
  <c r="BK65" i="31" s="1"/>
  <c r="S65" i="33"/>
  <c r="S65" i="31" s="1"/>
  <c r="Q65" i="33"/>
  <c r="Q65" i="31" s="1"/>
  <c r="O65" i="33"/>
  <c r="O65" i="31" s="1"/>
  <c r="V66" i="33"/>
  <c r="V66" i="31" s="1"/>
  <c r="DR66" i="33"/>
  <c r="DR66" i="31" s="1"/>
  <c r="BV66" i="33"/>
  <c r="BV66" i="31" s="1"/>
  <c r="BT66" i="33"/>
  <c r="BT66" i="31" s="1"/>
  <c r="BR66" i="33"/>
  <c r="BR66" i="31" s="1"/>
  <c r="DN66" i="33"/>
  <c r="DN66" i="31" s="1"/>
  <c r="Z66" i="33"/>
  <c r="Z66" i="31" s="1"/>
  <c r="X66" i="33"/>
  <c r="X66" i="31" s="1"/>
  <c r="DP66" i="33"/>
  <c r="DP66" i="31" s="1"/>
  <c r="BY67" i="33"/>
  <c r="BY67" i="31" s="1"/>
  <c r="AG67" i="33"/>
  <c r="AG67" i="31" s="1"/>
  <c r="AE67" i="33"/>
  <c r="AE67" i="31" s="1"/>
  <c r="AC67" i="33"/>
  <c r="AC67" i="31" s="1"/>
  <c r="CA67" i="33"/>
  <c r="CA67" i="31" s="1"/>
  <c r="DY67" i="33"/>
  <c r="DY67" i="31" s="1"/>
  <c r="DW67" i="33"/>
  <c r="DW67" i="31" s="1"/>
  <c r="DU67" i="33"/>
  <c r="DU67" i="31" s="1"/>
  <c r="CC67" i="33"/>
  <c r="CC67" i="31" s="1"/>
  <c r="D69" i="33"/>
  <c r="EB68" i="31"/>
  <c r="CJ68" i="33"/>
  <c r="CJ68" i="31" s="1"/>
  <c r="EF68" i="31"/>
  <c r="CH68" i="33"/>
  <c r="CF68" i="33"/>
  <c r="CF68" i="31" s="1"/>
  <c r="AN68" i="33"/>
  <c r="AN68" i="31" s="1"/>
  <c r="AL68" i="33"/>
  <c r="AJ68" i="33"/>
  <c r="AJ68" i="31" s="1"/>
  <c r="EM69" i="33"/>
  <c r="EM69" i="31" s="1"/>
  <c r="CQ69" i="33"/>
  <c r="CQ69" i="31" s="1"/>
  <c r="EI69" i="33"/>
  <c r="EI69" i="31" s="1"/>
  <c r="AQ69" i="33"/>
  <c r="AQ69" i="31" s="1"/>
  <c r="EK69" i="33"/>
  <c r="EK69" i="31" s="1"/>
  <c r="CO69" i="33"/>
  <c r="CO69" i="31" s="1"/>
  <c r="AU69" i="33"/>
  <c r="AU69" i="31" s="1"/>
  <c r="AS69" i="33"/>
  <c r="AS69" i="31" s="1"/>
  <c r="CM69" i="33"/>
  <c r="CM69" i="31" s="1"/>
  <c r="J72" i="33"/>
  <c r="J72" i="31" s="1"/>
  <c r="H72" i="33"/>
  <c r="H72" i="31" s="1"/>
  <c r="CZ72" i="33"/>
  <c r="CZ72" i="31" s="1"/>
  <c r="BD72" i="33"/>
  <c r="BD72" i="31" s="1"/>
  <c r="L72" i="33"/>
  <c r="L72" i="31" s="1"/>
  <c r="DB72" i="33"/>
  <c r="DB72" i="31" s="1"/>
  <c r="BH72" i="33"/>
  <c r="BH72" i="31" s="1"/>
  <c r="BF72" i="33"/>
  <c r="BF72" i="31" s="1"/>
  <c r="DD72" i="33"/>
  <c r="DD72" i="31" s="1"/>
  <c r="DI73" i="33"/>
  <c r="DI73" i="31" s="1"/>
  <c r="BM73" i="33"/>
  <c r="BM73" i="31" s="1"/>
  <c r="BK73" i="33"/>
  <c r="BK73" i="31" s="1"/>
  <c r="S73" i="33"/>
  <c r="S73" i="31" s="1"/>
  <c r="Q73" i="33"/>
  <c r="Q73" i="31" s="1"/>
  <c r="DK73" i="33"/>
  <c r="DK73" i="31" s="1"/>
  <c r="BO73" i="33"/>
  <c r="BO73" i="31" s="1"/>
  <c r="DG73" i="33"/>
  <c r="DG73" i="31" s="1"/>
  <c r="O73" i="33"/>
  <c r="O73" i="31" s="1"/>
  <c r="DP74" i="33"/>
  <c r="DP74" i="31" s="1"/>
  <c r="DN74" i="33"/>
  <c r="DN74" i="31" s="1"/>
  <c r="BV74" i="33"/>
  <c r="BV74" i="31" s="1"/>
  <c r="BT74" i="33"/>
  <c r="BT74" i="31" s="1"/>
  <c r="X74" i="33"/>
  <c r="X74" i="31" s="1"/>
  <c r="V74" i="33"/>
  <c r="V74" i="31" s="1"/>
  <c r="BR74" i="33"/>
  <c r="BR74" i="31" s="1"/>
  <c r="DR74" i="33"/>
  <c r="DR74" i="31" s="1"/>
  <c r="Z74" i="33"/>
  <c r="Z74" i="31" s="1"/>
  <c r="AE75" i="33"/>
  <c r="AE75" i="31" s="1"/>
  <c r="DY75" i="33"/>
  <c r="DY75" i="31" s="1"/>
  <c r="DW75" i="33"/>
  <c r="DW75" i="31" s="1"/>
  <c r="BY75" i="33"/>
  <c r="BY75" i="31" s="1"/>
  <c r="AG75" i="33"/>
  <c r="AG75" i="31" s="1"/>
  <c r="CA75" i="33"/>
  <c r="CA75" i="31" s="1"/>
  <c r="DU75" i="33"/>
  <c r="DU75" i="31" s="1"/>
  <c r="CC75" i="33"/>
  <c r="CC75" i="31" s="1"/>
  <c r="AC75" i="33"/>
  <c r="AC75" i="31" s="1"/>
  <c r="D77" i="33"/>
  <c r="EF76" i="31"/>
  <c r="EB76" i="31"/>
  <c r="CH76" i="33"/>
  <c r="AL76" i="33"/>
  <c r="AJ76" i="33"/>
  <c r="AJ76" i="31" s="1"/>
  <c r="CJ76" i="33"/>
  <c r="CJ76" i="31" s="1"/>
  <c r="CF76" i="33"/>
  <c r="CF76" i="31" s="1"/>
  <c r="AN76" i="33"/>
  <c r="AN76" i="31" s="1"/>
  <c r="EM77" i="33"/>
  <c r="EM77" i="31" s="1"/>
  <c r="CO77" i="33"/>
  <c r="CO77" i="31" s="1"/>
  <c r="EK77" i="33"/>
  <c r="EK77" i="31" s="1"/>
  <c r="CM77" i="33"/>
  <c r="CM77" i="31" s="1"/>
  <c r="AU77" i="33"/>
  <c r="AU77" i="31" s="1"/>
  <c r="EI77" i="33"/>
  <c r="EI77" i="31" s="1"/>
  <c r="AS77" i="33"/>
  <c r="AS77" i="31" s="1"/>
  <c r="CQ77" i="33"/>
  <c r="CQ77" i="31" s="1"/>
  <c r="AQ77" i="33"/>
  <c r="AQ77" i="31" s="1"/>
  <c r="EI78" i="33"/>
  <c r="EI78" i="31" s="1"/>
  <c r="AS78" i="33"/>
  <c r="AS78" i="31" s="1"/>
  <c r="EK78" i="33"/>
  <c r="EK78" i="31" s="1"/>
  <c r="CM78" i="33"/>
  <c r="CM78" i="31" s="1"/>
  <c r="AU78" i="33"/>
  <c r="AU78" i="31" s="1"/>
  <c r="AQ78" i="33"/>
  <c r="AQ78" i="31" s="1"/>
  <c r="CO78" i="33"/>
  <c r="CO78" i="31" s="1"/>
  <c r="EM78" i="33"/>
  <c r="EM78" i="31" s="1"/>
  <c r="CQ78" i="33"/>
  <c r="CQ78" i="31" s="1"/>
  <c r="CQ79" i="33"/>
  <c r="CQ79" i="31" s="1"/>
  <c r="EM79" i="33"/>
  <c r="EM79" i="31" s="1"/>
  <c r="CO79" i="33"/>
  <c r="CO79" i="31" s="1"/>
  <c r="EK79" i="33"/>
  <c r="EK79" i="31" s="1"/>
  <c r="CM79" i="33"/>
  <c r="CM79" i="31" s="1"/>
  <c r="AU79" i="33"/>
  <c r="AU79" i="31" s="1"/>
  <c r="EI79" i="33"/>
  <c r="EI79" i="31" s="1"/>
  <c r="AS79" i="33"/>
  <c r="AS79" i="31" s="1"/>
  <c r="AQ79" i="33"/>
  <c r="AQ79" i="31" s="1"/>
  <c r="EI80" i="33"/>
  <c r="EI80" i="31" s="1"/>
  <c r="AS80" i="33"/>
  <c r="AS80" i="31" s="1"/>
  <c r="AQ80" i="33"/>
  <c r="AQ80" i="31" s="1"/>
  <c r="CQ80" i="33"/>
  <c r="CQ80" i="31" s="1"/>
  <c r="AU80" i="33"/>
  <c r="AU80" i="31" s="1"/>
  <c r="CO80" i="33"/>
  <c r="CO80" i="31" s="1"/>
  <c r="EK80" i="33"/>
  <c r="EK80" i="31" s="1"/>
  <c r="CM80" i="33"/>
  <c r="CM80" i="31" s="1"/>
  <c r="EM80" i="33"/>
  <c r="EM80" i="31" s="1"/>
  <c r="CQ81" i="33"/>
  <c r="CQ81" i="31" s="1"/>
  <c r="EM81" i="33"/>
  <c r="EM81" i="31" s="1"/>
  <c r="CO81" i="33"/>
  <c r="CO81" i="31" s="1"/>
  <c r="EK81" i="33"/>
  <c r="EK81" i="31" s="1"/>
  <c r="CM81" i="33"/>
  <c r="CM81" i="31" s="1"/>
  <c r="AU81" i="33"/>
  <c r="AU81" i="31" s="1"/>
  <c r="AQ81" i="33"/>
  <c r="AQ81" i="31" s="1"/>
  <c r="EI81" i="33"/>
  <c r="EI81" i="31" s="1"/>
  <c r="AS81" i="33"/>
  <c r="AS81" i="31" s="1"/>
  <c r="EM82" i="33"/>
  <c r="EM82" i="31" s="1"/>
  <c r="CO82" i="33"/>
  <c r="CO82" i="31" s="1"/>
  <c r="EK82" i="33"/>
  <c r="EK82" i="31" s="1"/>
  <c r="CM82" i="33"/>
  <c r="CM82" i="31" s="1"/>
  <c r="AU82" i="33"/>
  <c r="AU82" i="31" s="1"/>
  <c r="EI82" i="33"/>
  <c r="EI82" i="31" s="1"/>
  <c r="AS82" i="33"/>
  <c r="AS82" i="31" s="1"/>
  <c r="AQ82" i="33"/>
  <c r="AQ82" i="31" s="1"/>
  <c r="CQ82" i="33"/>
  <c r="CQ82" i="31" s="1"/>
  <c r="AQ83" i="33"/>
  <c r="AQ83" i="31" s="1"/>
  <c r="CQ83" i="33"/>
  <c r="CQ83" i="31" s="1"/>
  <c r="AU83" i="33"/>
  <c r="AU83" i="31" s="1"/>
  <c r="CM83" i="33"/>
  <c r="CM83" i="31" s="1"/>
  <c r="EM83" i="33"/>
  <c r="EM83" i="31" s="1"/>
  <c r="AS83" i="33"/>
  <c r="AS83" i="31" s="1"/>
  <c r="EK83" i="33"/>
  <c r="EK83" i="31" s="1"/>
  <c r="EI83" i="33"/>
  <c r="EI83" i="31" s="1"/>
  <c r="CO83" i="33"/>
  <c r="CO83" i="31" s="1"/>
  <c r="CQ84" i="33"/>
  <c r="CQ84" i="31" s="1"/>
  <c r="EM84" i="33"/>
  <c r="EM84" i="31" s="1"/>
  <c r="CO84" i="33"/>
  <c r="CO84" i="31" s="1"/>
  <c r="EK84" i="33"/>
  <c r="EK84" i="31" s="1"/>
  <c r="CM84" i="33"/>
  <c r="CM84" i="31" s="1"/>
  <c r="AU84" i="33"/>
  <c r="AU84" i="31" s="1"/>
  <c r="EI84" i="33"/>
  <c r="EI84" i="31" s="1"/>
  <c r="AS84" i="33"/>
  <c r="AS84" i="31" s="1"/>
  <c r="AQ84" i="33"/>
  <c r="AQ84" i="31" s="1"/>
  <c r="EI85" i="33"/>
  <c r="EI85" i="31" s="1"/>
  <c r="CM85" i="33"/>
  <c r="CM85" i="31" s="1"/>
  <c r="AU85" i="33"/>
  <c r="AU85" i="31" s="1"/>
  <c r="AS85" i="33"/>
  <c r="AS85" i="31" s="1"/>
  <c r="AQ85" i="33"/>
  <c r="AQ85" i="31" s="1"/>
  <c r="EK85" i="33"/>
  <c r="EK85" i="31" s="1"/>
  <c r="CQ85" i="33"/>
  <c r="CQ85" i="31" s="1"/>
  <c r="EM85" i="33"/>
  <c r="EM85" i="31" s="1"/>
  <c r="CO85" i="33"/>
  <c r="CO85" i="31" s="1"/>
  <c r="DB88" i="33"/>
  <c r="DB88" i="31" s="1"/>
  <c r="CZ88" i="33"/>
  <c r="CZ88" i="31" s="1"/>
  <c r="BH88" i="33"/>
  <c r="BH88" i="31" s="1"/>
  <c r="BF88" i="33"/>
  <c r="BF88" i="31" s="1"/>
  <c r="BD88" i="33"/>
  <c r="BD88" i="31" s="1"/>
  <c r="L88" i="33"/>
  <c r="L88" i="31" s="1"/>
  <c r="J88" i="33"/>
  <c r="J88" i="31" s="1"/>
  <c r="DD88" i="33"/>
  <c r="DD88" i="31" s="1"/>
  <c r="H88" i="33"/>
  <c r="H88" i="31" s="1"/>
  <c r="DK89" i="33"/>
  <c r="DK89" i="31" s="1"/>
  <c r="DI89" i="33"/>
  <c r="DI89" i="31" s="1"/>
  <c r="DG89" i="33"/>
  <c r="DG89" i="31" s="1"/>
  <c r="BO89" i="33"/>
  <c r="BO89" i="31" s="1"/>
  <c r="BM89" i="33"/>
  <c r="BM89" i="31" s="1"/>
  <c r="S89" i="33"/>
  <c r="S89" i="31" s="1"/>
  <c r="BK89" i="33"/>
  <c r="BK89" i="31" s="1"/>
  <c r="O89" i="33"/>
  <c r="O89" i="31" s="1"/>
  <c r="Q89" i="33"/>
  <c r="Q89" i="31" s="1"/>
  <c r="DG90" i="33"/>
  <c r="DG90" i="31" s="1"/>
  <c r="BO90" i="33"/>
  <c r="BO90" i="31" s="1"/>
  <c r="BM90" i="33"/>
  <c r="BM90" i="31" s="1"/>
  <c r="BK90" i="33"/>
  <c r="BK90" i="31" s="1"/>
  <c r="S90" i="33"/>
  <c r="S90" i="31" s="1"/>
  <c r="Q90" i="33"/>
  <c r="Q90" i="31" s="1"/>
  <c r="O90" i="33"/>
  <c r="O90" i="31" s="1"/>
  <c r="DK90" i="33"/>
  <c r="DK90" i="31" s="1"/>
  <c r="DI90" i="33"/>
  <c r="DI90" i="31" s="1"/>
  <c r="Q91" i="33"/>
  <c r="Q91" i="31" s="1"/>
  <c r="O91" i="33"/>
  <c r="O91" i="31" s="1"/>
  <c r="DK91" i="33"/>
  <c r="DK91" i="31" s="1"/>
  <c r="DI91" i="33"/>
  <c r="DI91" i="31" s="1"/>
  <c r="BO91" i="33"/>
  <c r="BO91" i="31" s="1"/>
  <c r="S91" i="33"/>
  <c r="S91" i="31" s="1"/>
  <c r="BM91" i="33"/>
  <c r="BM91" i="31" s="1"/>
  <c r="BK91" i="33"/>
  <c r="BK91" i="31" s="1"/>
  <c r="DG91" i="33"/>
  <c r="DG91" i="31" s="1"/>
  <c r="DK92" i="33"/>
  <c r="DK92" i="31" s="1"/>
  <c r="DI92" i="33"/>
  <c r="DI92" i="31" s="1"/>
  <c r="DG92" i="33"/>
  <c r="DG92" i="31" s="1"/>
  <c r="BO92" i="33"/>
  <c r="BO92" i="31" s="1"/>
  <c r="BM92" i="33"/>
  <c r="BM92" i="31" s="1"/>
  <c r="BK92" i="33"/>
  <c r="BK92" i="31" s="1"/>
  <c r="S92" i="33"/>
  <c r="S92" i="31" s="1"/>
  <c r="Q92" i="33"/>
  <c r="Q92" i="31" s="1"/>
  <c r="O92" i="33"/>
  <c r="O92" i="31" s="1"/>
  <c r="DI93" i="33"/>
  <c r="DI93" i="31" s="1"/>
  <c r="DK93" i="33"/>
  <c r="DK93" i="31" s="1"/>
  <c r="BM93" i="33"/>
  <c r="BM93" i="31" s="1"/>
  <c r="DG93" i="33"/>
  <c r="DG93" i="31" s="1"/>
  <c r="BK93" i="33"/>
  <c r="BK93" i="31" s="1"/>
  <c r="S93" i="33"/>
  <c r="S93" i="31" s="1"/>
  <c r="Q93" i="33"/>
  <c r="Q93" i="31" s="1"/>
  <c r="O93" i="33"/>
  <c r="O93" i="31" s="1"/>
  <c r="BO93" i="33"/>
  <c r="BO93" i="31" s="1"/>
  <c r="BK94" i="33"/>
  <c r="BK94" i="31" s="1"/>
  <c r="S94" i="33"/>
  <c r="S94" i="31" s="1"/>
  <c r="Q94" i="33"/>
  <c r="Q94" i="31" s="1"/>
  <c r="DI94" i="33"/>
  <c r="DI94" i="31" s="1"/>
  <c r="DG94" i="33"/>
  <c r="DG94" i="31" s="1"/>
  <c r="O94" i="33"/>
  <c r="O94" i="31" s="1"/>
  <c r="BM94" i="33"/>
  <c r="BM94" i="31" s="1"/>
  <c r="DK94" i="33"/>
  <c r="DK94" i="31" s="1"/>
  <c r="BO94" i="33"/>
  <c r="BO94" i="31" s="1"/>
  <c r="Q95" i="33"/>
  <c r="Q95" i="31" s="1"/>
  <c r="DK95" i="33"/>
  <c r="DK95" i="31" s="1"/>
  <c r="DI95" i="33"/>
  <c r="DI95" i="31" s="1"/>
  <c r="BO95" i="33"/>
  <c r="BO95" i="31" s="1"/>
  <c r="BM95" i="33"/>
  <c r="BM95" i="31" s="1"/>
  <c r="BK95" i="33"/>
  <c r="BK95" i="31" s="1"/>
  <c r="S95" i="33"/>
  <c r="S95" i="31" s="1"/>
  <c r="O95" i="33"/>
  <c r="O95" i="31" s="1"/>
  <c r="DG95" i="33"/>
  <c r="DG95" i="31" s="1"/>
  <c r="DI96" i="33"/>
  <c r="DI96" i="31" s="1"/>
  <c r="DG96" i="33"/>
  <c r="DG96" i="31" s="1"/>
  <c r="BO96" i="33"/>
  <c r="BO96" i="31" s="1"/>
  <c r="BK96" i="33"/>
  <c r="BK96" i="31" s="1"/>
  <c r="S96" i="33"/>
  <c r="S96" i="31" s="1"/>
  <c r="Q96" i="33"/>
  <c r="Q96" i="31" s="1"/>
  <c r="DK96" i="33"/>
  <c r="DK96" i="31" s="1"/>
  <c r="BM96" i="33"/>
  <c r="BM96" i="31" s="1"/>
  <c r="O96" i="33"/>
  <c r="O96" i="31" s="1"/>
  <c r="BK97" i="33"/>
  <c r="BK97" i="31" s="1"/>
  <c r="S97" i="33"/>
  <c r="S97" i="31" s="1"/>
  <c r="Q97" i="33"/>
  <c r="Q97" i="31" s="1"/>
  <c r="DK97" i="33"/>
  <c r="DK97" i="31" s="1"/>
  <c r="DI97" i="33"/>
  <c r="DI97" i="31" s="1"/>
  <c r="DG97" i="33"/>
  <c r="DG97" i="31" s="1"/>
  <c r="BO97" i="33"/>
  <c r="BO97" i="31" s="1"/>
  <c r="BM97" i="33"/>
  <c r="BM97" i="31" s="1"/>
  <c r="O97" i="33"/>
  <c r="O97" i="31" s="1"/>
  <c r="DN98" i="33"/>
  <c r="DN98" i="31" s="1"/>
  <c r="BV98" i="33"/>
  <c r="BV98" i="31" s="1"/>
  <c r="BT98" i="33"/>
  <c r="BT98" i="31" s="1"/>
  <c r="X98" i="33"/>
  <c r="X98" i="31" s="1"/>
  <c r="V98" i="33"/>
  <c r="V98" i="31" s="1"/>
  <c r="BR98" i="33"/>
  <c r="BR98" i="31" s="1"/>
  <c r="Z98" i="33"/>
  <c r="Z98" i="31" s="1"/>
  <c r="DR98" i="33"/>
  <c r="DR98" i="31" s="1"/>
  <c r="DP98" i="33"/>
  <c r="DP98" i="31" s="1"/>
  <c r="DY99" i="33"/>
  <c r="DY99" i="31" s="1"/>
  <c r="DW99" i="33"/>
  <c r="DW99" i="31" s="1"/>
  <c r="CA99" i="33"/>
  <c r="CA99" i="31" s="1"/>
  <c r="BY99" i="33"/>
  <c r="BY99" i="31" s="1"/>
  <c r="AG99" i="33"/>
  <c r="AG99" i="31" s="1"/>
  <c r="DU99" i="33"/>
  <c r="DU99" i="31" s="1"/>
  <c r="CC99" i="33"/>
  <c r="CC99" i="31" s="1"/>
  <c r="AE99" i="33"/>
  <c r="AE99" i="31" s="1"/>
  <c r="AC99" i="33"/>
  <c r="AC99" i="31" s="1"/>
  <c r="D101" i="33"/>
  <c r="AJ100" i="33"/>
  <c r="AJ100" i="31" s="1"/>
  <c r="EF100" i="31"/>
  <c r="CJ100" i="33"/>
  <c r="CJ100" i="31" s="1"/>
  <c r="EB100" i="31"/>
  <c r="CH100" i="33"/>
  <c r="CF100" i="33"/>
  <c r="CF100" i="31" s="1"/>
  <c r="AN100" i="33"/>
  <c r="AN100" i="31" s="1"/>
  <c r="AL100" i="33"/>
  <c r="O7" i="33"/>
  <c r="O7" i="31" s="1"/>
  <c r="DK7" i="33"/>
  <c r="DK7" i="31" s="1"/>
  <c r="DI7" i="33"/>
  <c r="DI7" i="31" s="1"/>
  <c r="BK7" i="33"/>
  <c r="BK7" i="31" s="1"/>
  <c r="Q7" i="33"/>
  <c r="Q7" i="31" s="1"/>
  <c r="BM7" i="33"/>
  <c r="BM7" i="31" s="1"/>
  <c r="S7" i="33"/>
  <c r="S7" i="31" s="1"/>
  <c r="DG7" i="33"/>
  <c r="DG7" i="31" s="1"/>
  <c r="BO7" i="33"/>
  <c r="BO7" i="31" s="1"/>
  <c r="DI19" i="33"/>
  <c r="DI19" i="31" s="1"/>
  <c r="DG19" i="33"/>
  <c r="DG19" i="31" s="1"/>
  <c r="BO19" i="33"/>
  <c r="BO19" i="31" s="1"/>
  <c r="BM19" i="33"/>
  <c r="BM19" i="31" s="1"/>
  <c r="BK19" i="33"/>
  <c r="BK19" i="31" s="1"/>
  <c r="S19" i="33"/>
  <c r="S19" i="31" s="1"/>
  <c r="DK19" i="33"/>
  <c r="DK19" i="31" s="1"/>
  <c r="Q19" i="33"/>
  <c r="Q19" i="31" s="1"/>
  <c r="O19" i="33"/>
  <c r="O19" i="31" s="1"/>
  <c r="O35" i="33"/>
  <c r="O35" i="31" s="1"/>
  <c r="DK35" i="33"/>
  <c r="DK35" i="31" s="1"/>
  <c r="DI35" i="33"/>
  <c r="DI35" i="31" s="1"/>
  <c r="BK35" i="33"/>
  <c r="BK35" i="31" s="1"/>
  <c r="S35" i="33"/>
  <c r="S35" i="31" s="1"/>
  <c r="Q35" i="33"/>
  <c r="Q35" i="31" s="1"/>
  <c r="DG35" i="33"/>
  <c r="DG35" i="31" s="1"/>
  <c r="BM35" i="33"/>
  <c r="BM35" i="31" s="1"/>
  <c r="BO35" i="33"/>
  <c r="BO35" i="31" s="1"/>
  <c r="AE45" i="33"/>
  <c r="AE45" i="31" s="1"/>
  <c r="AC45" i="33"/>
  <c r="AC45" i="31" s="1"/>
  <c r="DY45" i="33"/>
  <c r="DY45" i="31" s="1"/>
  <c r="DW45" i="33"/>
  <c r="DW45" i="31" s="1"/>
  <c r="DU45" i="33"/>
  <c r="DU45" i="31" s="1"/>
  <c r="CC45" i="33"/>
  <c r="CC45" i="31" s="1"/>
  <c r="AG45" i="33"/>
  <c r="AG45" i="31" s="1"/>
  <c r="CA45" i="33"/>
  <c r="CA45" i="31" s="1"/>
  <c r="BY45" i="33"/>
  <c r="BY45" i="31" s="1"/>
  <c r="DW48" i="33"/>
  <c r="DW48" i="31" s="1"/>
  <c r="DU48" i="33"/>
  <c r="DU48" i="31" s="1"/>
  <c r="CC48" i="33"/>
  <c r="CC48" i="31" s="1"/>
  <c r="CA48" i="33"/>
  <c r="CA48" i="31" s="1"/>
  <c r="BY48" i="33"/>
  <c r="BY48" i="31" s="1"/>
  <c r="AG48" i="33"/>
  <c r="AG48" i="31" s="1"/>
  <c r="AE48" i="33"/>
  <c r="AE48" i="31" s="1"/>
  <c r="DY48" i="33"/>
  <c r="DY48" i="31" s="1"/>
  <c r="AC48" i="33"/>
  <c r="AC48" i="31" s="1"/>
  <c r="CA57" i="33"/>
  <c r="CA57" i="31" s="1"/>
  <c r="BY57" i="33"/>
  <c r="BY57" i="31" s="1"/>
  <c r="AG57" i="33"/>
  <c r="AG57" i="31" s="1"/>
  <c r="DU57" i="33"/>
  <c r="DU57" i="31" s="1"/>
  <c r="AE57" i="33"/>
  <c r="AE57" i="31" s="1"/>
  <c r="AC57" i="33"/>
  <c r="AC57" i="31" s="1"/>
  <c r="DY57" i="33"/>
  <c r="DY57" i="31" s="1"/>
  <c r="DW57" i="33"/>
  <c r="DW57" i="31" s="1"/>
  <c r="CC57" i="33"/>
  <c r="CC57" i="31" s="1"/>
  <c r="DY61" i="33"/>
  <c r="DY61" i="31" s="1"/>
  <c r="DW61" i="33"/>
  <c r="DW61" i="31" s="1"/>
  <c r="CA61" i="33"/>
  <c r="CA61" i="31" s="1"/>
  <c r="BY61" i="33"/>
  <c r="BY61" i="31" s="1"/>
  <c r="AG61" i="33"/>
  <c r="AG61" i="31" s="1"/>
  <c r="AE61" i="33"/>
  <c r="AE61" i="31" s="1"/>
  <c r="AC61" i="33"/>
  <c r="AC61" i="31" s="1"/>
  <c r="DU61" i="33"/>
  <c r="DU61" i="31" s="1"/>
  <c r="CC61" i="33"/>
  <c r="CC61" i="31" s="1"/>
  <c r="CA64" i="33"/>
  <c r="CA64" i="31" s="1"/>
  <c r="BY64" i="33"/>
  <c r="BY64" i="31" s="1"/>
  <c r="AG64" i="33"/>
  <c r="AG64" i="31" s="1"/>
  <c r="AE64" i="33"/>
  <c r="AE64" i="31" s="1"/>
  <c r="AC64" i="33"/>
  <c r="AC64" i="31" s="1"/>
  <c r="DY64" i="33"/>
  <c r="DY64" i="31" s="1"/>
  <c r="DW64" i="33"/>
  <c r="DW64" i="31" s="1"/>
  <c r="DU64" i="33"/>
  <c r="DU64" i="31" s="1"/>
  <c r="CC64" i="33"/>
  <c r="CC64" i="31" s="1"/>
  <c r="CQ67" i="33"/>
  <c r="CQ67" i="31" s="1"/>
  <c r="EM67" i="33"/>
  <c r="EM67" i="31" s="1"/>
  <c r="CO67" i="33"/>
  <c r="CO67" i="31" s="1"/>
  <c r="EK67" i="33"/>
  <c r="EK67" i="31" s="1"/>
  <c r="CM67" i="33"/>
  <c r="CM67" i="31" s="1"/>
  <c r="AU67" i="33"/>
  <c r="AU67" i="31" s="1"/>
  <c r="EI67" i="33"/>
  <c r="EI67" i="31" s="1"/>
  <c r="AS67" i="33"/>
  <c r="AS67" i="31" s="1"/>
  <c r="AQ67" i="33"/>
  <c r="AQ67" i="31" s="1"/>
  <c r="DW73" i="33"/>
  <c r="DW73" i="31" s="1"/>
  <c r="DU73" i="33"/>
  <c r="DU73" i="31" s="1"/>
  <c r="CC73" i="33"/>
  <c r="CC73" i="31" s="1"/>
  <c r="CA73" i="33"/>
  <c r="CA73" i="31" s="1"/>
  <c r="AE73" i="33"/>
  <c r="AE73" i="31" s="1"/>
  <c r="AC73" i="33"/>
  <c r="AC73" i="31" s="1"/>
  <c r="BY73" i="33"/>
  <c r="BY73" i="31" s="1"/>
  <c r="DY73" i="33"/>
  <c r="DY73" i="31" s="1"/>
  <c r="AG73" i="33"/>
  <c r="AG73" i="31" s="1"/>
  <c r="DB86" i="33"/>
  <c r="DB86" i="31" s="1"/>
  <c r="CZ86" i="33"/>
  <c r="CZ86" i="31" s="1"/>
  <c r="BH86" i="33"/>
  <c r="BH86" i="31" s="1"/>
  <c r="BF86" i="33"/>
  <c r="BF86" i="31" s="1"/>
  <c r="BD86" i="33"/>
  <c r="BD86" i="31" s="1"/>
  <c r="L86" i="33"/>
  <c r="L86" i="31" s="1"/>
  <c r="J86" i="33"/>
  <c r="J86" i="31" s="1"/>
  <c r="DD86" i="33"/>
  <c r="DD86" i="31" s="1"/>
  <c r="H86" i="33"/>
  <c r="H86" i="31" s="1"/>
  <c r="DY90" i="33"/>
  <c r="DY90" i="31" s="1"/>
  <c r="DW90" i="33"/>
  <c r="DW90" i="31" s="1"/>
  <c r="DU90" i="33"/>
  <c r="DU90" i="31" s="1"/>
  <c r="CC90" i="33"/>
  <c r="CC90" i="31" s="1"/>
  <c r="CA90" i="33"/>
  <c r="CA90" i="31" s="1"/>
  <c r="BY90" i="33"/>
  <c r="BY90" i="31" s="1"/>
  <c r="AG90" i="33"/>
  <c r="AG90" i="31" s="1"/>
  <c r="AE90" i="33"/>
  <c r="AE90" i="31" s="1"/>
  <c r="AC90" i="33"/>
  <c r="AC90" i="31" s="1"/>
  <c r="DU94" i="33"/>
  <c r="DU94" i="31" s="1"/>
  <c r="CC94" i="33"/>
  <c r="CC94" i="31" s="1"/>
  <c r="CA94" i="33"/>
  <c r="CA94" i="31" s="1"/>
  <c r="BY94" i="33"/>
  <c r="BY94" i="31" s="1"/>
  <c r="DY94" i="33"/>
  <c r="DY94" i="31" s="1"/>
  <c r="DW94" i="33"/>
  <c r="DW94" i="31" s="1"/>
  <c r="AG94" i="33"/>
  <c r="AG94" i="31" s="1"/>
  <c r="AC94" i="33"/>
  <c r="AC94" i="31" s="1"/>
  <c r="AE94" i="33"/>
  <c r="AE94" i="31" s="1"/>
  <c r="DU97" i="33"/>
  <c r="DU97" i="31" s="1"/>
  <c r="CC97" i="33"/>
  <c r="CC97" i="31" s="1"/>
  <c r="CA97" i="33"/>
  <c r="CA97" i="31" s="1"/>
  <c r="AE97" i="33"/>
  <c r="AE97" i="31" s="1"/>
  <c r="AC97" i="33"/>
  <c r="AC97" i="31" s="1"/>
  <c r="BY97" i="33"/>
  <c r="BY97" i="31" s="1"/>
  <c r="AG97" i="33"/>
  <c r="AG97" i="31" s="1"/>
  <c r="DY97" i="33"/>
  <c r="DY97" i="31" s="1"/>
  <c r="DW97" i="33"/>
  <c r="DW97" i="31" s="1"/>
  <c r="EM5" i="33"/>
  <c r="EI5" i="33"/>
  <c r="CQ5" i="33"/>
  <c r="CO5" i="33"/>
  <c r="AQ5" i="33"/>
  <c r="AU5" i="33"/>
  <c r="AS5" i="33"/>
  <c r="CM5" i="33"/>
  <c r="EK5" i="33"/>
  <c r="DB8" i="33"/>
  <c r="DB8" i="31" s="1"/>
  <c r="CZ8" i="33"/>
  <c r="CZ8" i="31" s="1"/>
  <c r="BH8" i="33"/>
  <c r="BH8" i="31" s="1"/>
  <c r="BF8" i="33"/>
  <c r="BF8" i="31" s="1"/>
  <c r="DD8" i="33"/>
  <c r="DD8" i="31" s="1"/>
  <c r="BD8" i="33"/>
  <c r="BD8" i="31" s="1"/>
  <c r="L8" i="33"/>
  <c r="L8" i="31" s="1"/>
  <c r="J8" i="33"/>
  <c r="J8" i="31" s="1"/>
  <c r="H8" i="33"/>
  <c r="H8" i="31" s="1"/>
  <c r="Q9" i="33"/>
  <c r="Q9" i="31" s="1"/>
  <c r="DK9" i="33"/>
  <c r="DK9" i="31" s="1"/>
  <c r="BK9" i="33"/>
  <c r="BK9" i="31" s="1"/>
  <c r="BO9" i="33"/>
  <c r="BO9" i="31" s="1"/>
  <c r="S9" i="33"/>
  <c r="S9" i="31" s="1"/>
  <c r="DI9" i="33"/>
  <c r="DI9" i="31" s="1"/>
  <c r="O9" i="33"/>
  <c r="O9" i="31" s="1"/>
  <c r="DG9" i="33"/>
  <c r="DG9" i="31" s="1"/>
  <c r="BM9" i="33"/>
  <c r="BM9" i="31" s="1"/>
  <c r="BT10" i="33"/>
  <c r="BT10" i="31" s="1"/>
  <c r="X10" i="33"/>
  <c r="X10" i="31" s="1"/>
  <c r="V10" i="33"/>
  <c r="V10" i="31" s="1"/>
  <c r="Z10" i="33"/>
  <c r="Z10" i="31" s="1"/>
  <c r="DN10" i="33"/>
  <c r="DN10" i="31" s="1"/>
  <c r="BR10" i="33"/>
  <c r="BR10" i="31" s="1"/>
  <c r="DR10" i="33"/>
  <c r="DR10" i="31" s="1"/>
  <c r="DP10" i="33"/>
  <c r="DP10" i="31" s="1"/>
  <c r="BV10" i="33"/>
  <c r="BV10" i="31" s="1"/>
  <c r="DW11" i="33"/>
  <c r="DW11" i="31" s="1"/>
  <c r="DU11" i="33"/>
  <c r="DU11" i="31" s="1"/>
  <c r="CA11" i="33"/>
  <c r="CA11" i="31" s="1"/>
  <c r="BY11" i="33"/>
  <c r="BY11" i="31" s="1"/>
  <c r="AG11" i="33"/>
  <c r="AG11" i="31" s="1"/>
  <c r="CC11" i="33"/>
  <c r="CC11" i="31" s="1"/>
  <c r="DY11" i="33"/>
  <c r="DY11" i="31" s="1"/>
  <c r="AC11" i="33"/>
  <c r="AC11" i="31" s="1"/>
  <c r="AE11" i="33"/>
  <c r="AE11" i="31" s="1"/>
  <c r="D13" i="33"/>
  <c r="EB12" i="31"/>
  <c r="EF12" i="31"/>
  <c r="CJ12" i="33"/>
  <c r="CJ12" i="31" s="1"/>
  <c r="CF12" i="33"/>
  <c r="CF12" i="31" s="1"/>
  <c r="AN12" i="33"/>
  <c r="AN12" i="31" s="1"/>
  <c r="AL12" i="33"/>
  <c r="AJ12" i="33"/>
  <c r="AJ12" i="31" s="1"/>
  <c r="CH12" i="33"/>
  <c r="AS13" i="33"/>
  <c r="AS13" i="31" s="1"/>
  <c r="AQ13" i="33"/>
  <c r="AQ13" i="31" s="1"/>
  <c r="AU13" i="33"/>
  <c r="AU13" i="31" s="1"/>
  <c r="CQ13" i="33"/>
  <c r="CQ13" i="31" s="1"/>
  <c r="EK13" i="33"/>
  <c r="EK13" i="31" s="1"/>
  <c r="EM13" i="33"/>
  <c r="EM13" i="31" s="1"/>
  <c r="CO13" i="33"/>
  <c r="CO13" i="31" s="1"/>
  <c r="CM13" i="33"/>
  <c r="CM13" i="31" s="1"/>
  <c r="EI13" i="33"/>
  <c r="EI13" i="31" s="1"/>
  <c r="CQ14" i="33"/>
  <c r="CQ14" i="31" s="1"/>
  <c r="EM14" i="33"/>
  <c r="EM14" i="31" s="1"/>
  <c r="CO14" i="33"/>
  <c r="CO14" i="31" s="1"/>
  <c r="EK14" i="33"/>
  <c r="EK14" i="31" s="1"/>
  <c r="CM14" i="33"/>
  <c r="CM14" i="31" s="1"/>
  <c r="AU14" i="33"/>
  <c r="AU14" i="31" s="1"/>
  <c r="EI14" i="33"/>
  <c r="EI14" i="31" s="1"/>
  <c r="AS14" i="33"/>
  <c r="AS14" i="31" s="1"/>
  <c r="AQ14" i="33"/>
  <c r="AQ14" i="31" s="1"/>
  <c r="EI15" i="33"/>
  <c r="EI15" i="31" s="1"/>
  <c r="AS15" i="33"/>
  <c r="AS15" i="31" s="1"/>
  <c r="AQ15" i="33"/>
  <c r="AQ15" i="31" s="1"/>
  <c r="CQ15" i="33"/>
  <c r="CQ15" i="31" s="1"/>
  <c r="EM15" i="33"/>
  <c r="EM15" i="31" s="1"/>
  <c r="CO15" i="33"/>
  <c r="CO15" i="31" s="1"/>
  <c r="EK15" i="33"/>
  <c r="EK15" i="31" s="1"/>
  <c r="CM15" i="33"/>
  <c r="CM15" i="31" s="1"/>
  <c r="AU15" i="33"/>
  <c r="AU15" i="31" s="1"/>
  <c r="CQ16" i="33"/>
  <c r="CQ16" i="31" s="1"/>
  <c r="EM16" i="33"/>
  <c r="EM16" i="31" s="1"/>
  <c r="CO16" i="33"/>
  <c r="CO16" i="31" s="1"/>
  <c r="EK16" i="33"/>
  <c r="EK16" i="31" s="1"/>
  <c r="CM16" i="33"/>
  <c r="CM16" i="31" s="1"/>
  <c r="AU16" i="33"/>
  <c r="AU16" i="31" s="1"/>
  <c r="AQ16" i="33"/>
  <c r="AQ16" i="31" s="1"/>
  <c r="EI16" i="33"/>
  <c r="EI16" i="31" s="1"/>
  <c r="AS16" i="33"/>
  <c r="AS16" i="31" s="1"/>
  <c r="EK17" i="33"/>
  <c r="EK17" i="31" s="1"/>
  <c r="CM17" i="33"/>
  <c r="CM17" i="31" s="1"/>
  <c r="AU17" i="33"/>
  <c r="AU17" i="31" s="1"/>
  <c r="EI17" i="33"/>
  <c r="EI17" i="31" s="1"/>
  <c r="AS17" i="33"/>
  <c r="AS17" i="31" s="1"/>
  <c r="AQ17" i="33"/>
  <c r="AQ17" i="31" s="1"/>
  <c r="CO17" i="33"/>
  <c r="CO17" i="31" s="1"/>
  <c r="CQ17" i="33"/>
  <c r="CQ17" i="31" s="1"/>
  <c r="EM17" i="33"/>
  <c r="EM17" i="31" s="1"/>
  <c r="DD20" i="33"/>
  <c r="DD20" i="31" s="1"/>
  <c r="DB20" i="33"/>
  <c r="DB20" i="31" s="1"/>
  <c r="CZ20" i="33"/>
  <c r="CZ20" i="31" s="1"/>
  <c r="BH20" i="33"/>
  <c r="BH20" i="31" s="1"/>
  <c r="BF20" i="33"/>
  <c r="BF20" i="31" s="1"/>
  <c r="BD20" i="33"/>
  <c r="BD20" i="31" s="1"/>
  <c r="L20" i="33"/>
  <c r="L20" i="31" s="1"/>
  <c r="H20" i="33"/>
  <c r="H20" i="31" s="1"/>
  <c r="J20" i="33"/>
  <c r="J20" i="31" s="1"/>
  <c r="O21" i="33"/>
  <c r="O21" i="31" s="1"/>
  <c r="DK21" i="33"/>
  <c r="DK21" i="31" s="1"/>
  <c r="DI21" i="33"/>
  <c r="DI21" i="31" s="1"/>
  <c r="BK21" i="33"/>
  <c r="BK21" i="31" s="1"/>
  <c r="S21" i="33"/>
  <c r="S21" i="31" s="1"/>
  <c r="Q21" i="33"/>
  <c r="Q21" i="31" s="1"/>
  <c r="BO21" i="33"/>
  <c r="BO21" i="31" s="1"/>
  <c r="BM21" i="33"/>
  <c r="BM21" i="31" s="1"/>
  <c r="DG21" i="33"/>
  <c r="DG21" i="31" s="1"/>
  <c r="X22" i="33"/>
  <c r="X22" i="31" s="1"/>
  <c r="V22" i="33"/>
  <c r="V22" i="31" s="1"/>
  <c r="DR22" i="33"/>
  <c r="DR22" i="31" s="1"/>
  <c r="DP22" i="33"/>
  <c r="DP22" i="31" s="1"/>
  <c r="DN22" i="33"/>
  <c r="DN22" i="31" s="1"/>
  <c r="BV22" i="33"/>
  <c r="BV22" i="31" s="1"/>
  <c r="Z22" i="33"/>
  <c r="Z22" i="31" s="1"/>
  <c r="BR22" i="33"/>
  <c r="BR22" i="31" s="1"/>
  <c r="BT22" i="33"/>
  <c r="BT22" i="31" s="1"/>
  <c r="BY23" i="33"/>
  <c r="BY23" i="31" s="1"/>
  <c r="AG23" i="33"/>
  <c r="AG23" i="31" s="1"/>
  <c r="AE23" i="33"/>
  <c r="AE23" i="31" s="1"/>
  <c r="AC23" i="33"/>
  <c r="AC23" i="31" s="1"/>
  <c r="DU23" i="33"/>
  <c r="DU23" i="31" s="1"/>
  <c r="CC23" i="33"/>
  <c r="CC23" i="31" s="1"/>
  <c r="CA23" i="33"/>
  <c r="CA23" i="31" s="1"/>
  <c r="DY23" i="33"/>
  <c r="DY23" i="31" s="1"/>
  <c r="DW23" i="33"/>
  <c r="DW23" i="31" s="1"/>
  <c r="D25" i="33"/>
  <c r="EF24" i="31"/>
  <c r="EB24" i="31"/>
  <c r="CH24" i="33"/>
  <c r="CF24" i="33"/>
  <c r="CF24" i="31" s="1"/>
  <c r="AN24" i="33"/>
  <c r="AN24" i="31" s="1"/>
  <c r="AL24" i="33"/>
  <c r="AJ24" i="33"/>
  <c r="AJ24" i="31" s="1"/>
  <c r="CJ24" i="33"/>
  <c r="CJ24" i="31" s="1"/>
  <c r="CQ25" i="33"/>
  <c r="CQ25" i="31" s="1"/>
  <c r="EM25" i="33"/>
  <c r="EM25" i="31" s="1"/>
  <c r="CO25" i="33"/>
  <c r="CO25" i="31" s="1"/>
  <c r="EK25" i="33"/>
  <c r="EK25" i="31" s="1"/>
  <c r="CM25" i="33"/>
  <c r="CM25" i="31" s="1"/>
  <c r="AU25" i="33"/>
  <c r="AU25" i="31" s="1"/>
  <c r="EI25" i="33"/>
  <c r="EI25" i="31" s="1"/>
  <c r="AS25" i="33"/>
  <c r="AS25" i="31" s="1"/>
  <c r="AQ25" i="33"/>
  <c r="AQ25" i="31" s="1"/>
  <c r="EK26" i="33"/>
  <c r="EK26" i="31" s="1"/>
  <c r="CM26" i="33"/>
  <c r="CM26" i="31" s="1"/>
  <c r="AU26" i="33"/>
  <c r="AU26" i="31" s="1"/>
  <c r="EI26" i="33"/>
  <c r="EI26" i="31" s="1"/>
  <c r="AS26" i="33"/>
  <c r="AS26" i="31" s="1"/>
  <c r="AQ26" i="33"/>
  <c r="AQ26" i="31" s="1"/>
  <c r="CQ26" i="33"/>
  <c r="CQ26" i="31" s="1"/>
  <c r="EM26" i="33"/>
  <c r="EM26" i="31" s="1"/>
  <c r="CO26" i="33"/>
  <c r="CO26" i="31" s="1"/>
  <c r="CQ27" i="33"/>
  <c r="CQ27" i="31" s="1"/>
  <c r="EI27" i="33"/>
  <c r="EI27" i="31" s="1"/>
  <c r="AS27" i="33"/>
  <c r="AS27" i="31" s="1"/>
  <c r="AQ27" i="33"/>
  <c r="AQ27" i="31" s="1"/>
  <c r="EM27" i="33"/>
  <c r="EM27" i="31" s="1"/>
  <c r="EK27" i="33"/>
  <c r="EK27" i="31" s="1"/>
  <c r="CO27" i="33"/>
  <c r="CO27" i="31" s="1"/>
  <c r="CM27" i="33"/>
  <c r="CM27" i="31" s="1"/>
  <c r="AU27" i="33"/>
  <c r="AU27" i="31" s="1"/>
  <c r="CQ28" i="33"/>
  <c r="CQ28" i="31" s="1"/>
  <c r="EM28" i="33"/>
  <c r="EM28" i="31" s="1"/>
  <c r="CO28" i="33"/>
  <c r="CO28" i="31" s="1"/>
  <c r="EK28" i="33"/>
  <c r="EK28" i="31" s="1"/>
  <c r="CM28" i="33"/>
  <c r="CM28" i="31" s="1"/>
  <c r="AU28" i="33"/>
  <c r="AU28" i="31" s="1"/>
  <c r="EI28" i="33"/>
  <c r="EI28" i="31" s="1"/>
  <c r="AS28" i="33"/>
  <c r="AS28" i="31" s="1"/>
  <c r="AQ28" i="33"/>
  <c r="AQ28" i="31" s="1"/>
  <c r="AS29" i="33"/>
  <c r="AS29" i="31" s="1"/>
  <c r="AQ29" i="33"/>
  <c r="AQ29" i="31" s="1"/>
  <c r="EM29" i="33"/>
  <c r="EM29" i="31" s="1"/>
  <c r="CQ29" i="33"/>
  <c r="CQ29" i="31" s="1"/>
  <c r="CM29" i="33"/>
  <c r="CM29" i="31" s="1"/>
  <c r="EK29" i="33"/>
  <c r="EK29" i="31" s="1"/>
  <c r="EI29" i="33"/>
  <c r="EI29" i="31" s="1"/>
  <c r="CO29" i="33"/>
  <c r="CO29" i="31" s="1"/>
  <c r="AU29" i="33"/>
  <c r="AU29" i="31" s="1"/>
  <c r="CQ30" i="33"/>
  <c r="CQ30" i="31" s="1"/>
  <c r="EM30" i="33"/>
  <c r="EM30" i="31" s="1"/>
  <c r="CO30" i="33"/>
  <c r="CO30" i="31" s="1"/>
  <c r="EK30" i="33"/>
  <c r="EK30" i="31" s="1"/>
  <c r="CM30" i="33"/>
  <c r="CM30" i="31" s="1"/>
  <c r="AU30" i="33"/>
  <c r="AU30" i="31" s="1"/>
  <c r="EI30" i="33"/>
  <c r="EI30" i="31" s="1"/>
  <c r="AS30" i="33"/>
  <c r="AS30" i="31" s="1"/>
  <c r="AQ30" i="33"/>
  <c r="AQ30" i="31" s="1"/>
  <c r="EI31" i="33"/>
  <c r="EI31" i="31" s="1"/>
  <c r="AS31" i="33"/>
  <c r="AS31" i="31" s="1"/>
  <c r="AQ31" i="33"/>
  <c r="AQ31" i="31" s="1"/>
  <c r="EM31" i="33"/>
  <c r="EM31" i="31" s="1"/>
  <c r="CO31" i="33"/>
  <c r="CO31" i="31" s="1"/>
  <c r="EK31" i="33"/>
  <c r="EK31" i="31" s="1"/>
  <c r="CM31" i="33"/>
  <c r="CM31" i="31" s="1"/>
  <c r="AU31" i="33"/>
  <c r="AU31" i="31" s="1"/>
  <c r="CQ31" i="33"/>
  <c r="CQ31" i="31" s="1"/>
  <c r="CQ32" i="33"/>
  <c r="CQ32" i="31" s="1"/>
  <c r="EM32" i="33"/>
  <c r="EM32" i="31" s="1"/>
  <c r="CO32" i="33"/>
  <c r="CO32" i="31" s="1"/>
  <c r="EK32" i="33"/>
  <c r="EK32" i="31" s="1"/>
  <c r="CM32" i="33"/>
  <c r="CM32" i="31" s="1"/>
  <c r="AU32" i="33"/>
  <c r="AU32" i="31" s="1"/>
  <c r="EI32" i="33"/>
  <c r="EI32" i="31" s="1"/>
  <c r="AS32" i="33"/>
  <c r="AS32" i="31" s="1"/>
  <c r="AQ32" i="33"/>
  <c r="AQ32" i="31" s="1"/>
  <c r="EK33" i="33"/>
  <c r="EK33" i="31" s="1"/>
  <c r="CM33" i="33"/>
  <c r="CM33" i="31" s="1"/>
  <c r="AU33" i="33"/>
  <c r="AU33" i="31" s="1"/>
  <c r="EI33" i="33"/>
  <c r="EI33" i="31" s="1"/>
  <c r="AS33" i="33"/>
  <c r="AS33" i="31" s="1"/>
  <c r="AQ33" i="33"/>
  <c r="AQ33" i="31" s="1"/>
  <c r="EM33" i="33"/>
  <c r="EM33" i="31" s="1"/>
  <c r="CQ33" i="33"/>
  <c r="CQ33" i="31" s="1"/>
  <c r="CO33" i="33"/>
  <c r="CO33" i="31" s="1"/>
  <c r="H36" i="33"/>
  <c r="H36" i="31" s="1"/>
  <c r="DD36" i="33"/>
  <c r="DD36" i="31" s="1"/>
  <c r="DB36" i="33"/>
  <c r="DB36" i="31" s="1"/>
  <c r="BD36" i="33"/>
  <c r="BD36" i="31" s="1"/>
  <c r="L36" i="33"/>
  <c r="L36" i="31" s="1"/>
  <c r="J36" i="33"/>
  <c r="J36" i="31" s="1"/>
  <c r="CZ36" i="33"/>
  <c r="CZ36" i="31" s="1"/>
  <c r="BH36" i="33"/>
  <c r="BH36" i="31" s="1"/>
  <c r="BF36" i="33"/>
  <c r="BF36" i="31" s="1"/>
  <c r="BK37" i="33"/>
  <c r="BK37" i="31" s="1"/>
  <c r="S37" i="33"/>
  <c r="S37" i="31" s="1"/>
  <c r="Q37" i="33"/>
  <c r="Q37" i="31" s="1"/>
  <c r="O37" i="33"/>
  <c r="O37" i="31" s="1"/>
  <c r="DK37" i="33"/>
  <c r="DK37" i="31" s="1"/>
  <c r="DI37" i="33"/>
  <c r="DI37" i="31" s="1"/>
  <c r="DG37" i="33"/>
  <c r="DG37" i="31" s="1"/>
  <c r="BM37" i="33"/>
  <c r="BM37" i="31" s="1"/>
  <c r="BO37" i="33"/>
  <c r="BO37" i="31" s="1"/>
  <c r="BF7" i="33"/>
  <c r="BF7" i="31" s="1"/>
  <c r="J7" i="33"/>
  <c r="J7" i="31" s="1"/>
  <c r="H7" i="33"/>
  <c r="H7" i="31" s="1"/>
  <c r="DD7" i="33"/>
  <c r="DD7" i="31" s="1"/>
  <c r="BH7" i="33"/>
  <c r="BH7" i="31" s="1"/>
  <c r="L7" i="33"/>
  <c r="L7" i="31" s="1"/>
  <c r="BD7" i="33"/>
  <c r="BD7" i="31" s="1"/>
  <c r="DB7" i="33"/>
  <c r="DB7" i="31" s="1"/>
  <c r="CZ7" i="33"/>
  <c r="CZ7" i="31" s="1"/>
  <c r="DG8" i="33"/>
  <c r="DG8" i="31" s="1"/>
  <c r="BO8" i="33"/>
  <c r="BO8" i="31" s="1"/>
  <c r="BK8" i="33"/>
  <c r="BK8" i="31" s="1"/>
  <c r="S8" i="33"/>
  <c r="S8" i="31" s="1"/>
  <c r="Q8" i="33"/>
  <c r="Q8" i="31" s="1"/>
  <c r="DK8" i="33"/>
  <c r="DK8" i="31" s="1"/>
  <c r="O8" i="33"/>
  <c r="O8" i="31" s="1"/>
  <c r="DI8" i="33"/>
  <c r="DI8" i="31" s="1"/>
  <c r="BM8" i="33"/>
  <c r="BM8" i="31" s="1"/>
  <c r="DR9" i="33"/>
  <c r="DR9" i="31" s="1"/>
  <c r="DN9" i="33"/>
  <c r="DN9" i="31" s="1"/>
  <c r="BV9" i="33"/>
  <c r="BV9" i="31" s="1"/>
  <c r="BT9" i="33"/>
  <c r="BT9" i="31" s="1"/>
  <c r="X9" i="33"/>
  <c r="X9" i="31" s="1"/>
  <c r="V9" i="33"/>
  <c r="V9" i="31" s="1"/>
  <c r="Z9" i="33"/>
  <c r="Z9" i="31" s="1"/>
  <c r="DP9" i="33"/>
  <c r="DP9" i="31" s="1"/>
  <c r="BR9" i="33"/>
  <c r="BR9" i="31" s="1"/>
  <c r="AC10" i="33"/>
  <c r="AC10" i="31" s="1"/>
  <c r="DY10" i="33"/>
  <c r="DY10" i="31" s="1"/>
  <c r="DW10" i="33"/>
  <c r="DW10" i="31" s="1"/>
  <c r="DU10" i="33"/>
  <c r="DU10" i="31" s="1"/>
  <c r="AE10" i="33"/>
  <c r="AE10" i="31" s="1"/>
  <c r="CC10" i="33"/>
  <c r="CC10" i="31" s="1"/>
  <c r="CA10" i="33"/>
  <c r="CA10" i="31" s="1"/>
  <c r="BY10" i="33"/>
  <c r="BY10" i="31" s="1"/>
  <c r="AG10" i="33"/>
  <c r="AG10" i="31" s="1"/>
  <c r="D12" i="33"/>
  <c r="EF11" i="31"/>
  <c r="EB11" i="31"/>
  <c r="CF11" i="33"/>
  <c r="CF11" i="31" s="1"/>
  <c r="AN11" i="33"/>
  <c r="AN11" i="31" s="1"/>
  <c r="AJ11" i="33"/>
  <c r="AJ11" i="31" s="1"/>
  <c r="CJ11" i="33"/>
  <c r="CJ11" i="31" s="1"/>
  <c r="CH11" i="33"/>
  <c r="AL11" i="33"/>
  <c r="CQ12" i="33"/>
  <c r="CQ12" i="31" s="1"/>
  <c r="EM12" i="33"/>
  <c r="EM12" i="31" s="1"/>
  <c r="CO12" i="33"/>
  <c r="CO12" i="31" s="1"/>
  <c r="EK12" i="33"/>
  <c r="EK12" i="31" s="1"/>
  <c r="CM12" i="33"/>
  <c r="CM12" i="31" s="1"/>
  <c r="AU12" i="33"/>
  <c r="AU12" i="31" s="1"/>
  <c r="EI12" i="33"/>
  <c r="EI12" i="31" s="1"/>
  <c r="AS12" i="33"/>
  <c r="AS12" i="31" s="1"/>
  <c r="AQ12" i="33"/>
  <c r="AQ12" i="31" s="1"/>
  <c r="DD19" i="33"/>
  <c r="DD19" i="31" s="1"/>
  <c r="CZ19" i="33"/>
  <c r="CZ19" i="31" s="1"/>
  <c r="H19" i="33"/>
  <c r="H19" i="31" s="1"/>
  <c r="BH19" i="33"/>
  <c r="BH19" i="31" s="1"/>
  <c r="BF19" i="33"/>
  <c r="BF19" i="31" s="1"/>
  <c r="L19" i="33"/>
  <c r="L19" i="31" s="1"/>
  <c r="BD19" i="33"/>
  <c r="BD19" i="31" s="1"/>
  <c r="DB19" i="33"/>
  <c r="DB19" i="31" s="1"/>
  <c r="J19" i="33"/>
  <c r="J19" i="31" s="1"/>
  <c r="BK20" i="33"/>
  <c r="BK20" i="31" s="1"/>
  <c r="S20" i="33"/>
  <c r="S20" i="31" s="1"/>
  <c r="Q20" i="33"/>
  <c r="Q20" i="31" s="1"/>
  <c r="O20" i="33"/>
  <c r="O20" i="31" s="1"/>
  <c r="DI20" i="33"/>
  <c r="DI20" i="31" s="1"/>
  <c r="DG20" i="33"/>
  <c r="DG20" i="31" s="1"/>
  <c r="BO20" i="33"/>
  <c r="BO20" i="31" s="1"/>
  <c r="BM20" i="33"/>
  <c r="BM20" i="31" s="1"/>
  <c r="DK20" i="33"/>
  <c r="DK20" i="31" s="1"/>
  <c r="DP21" i="33"/>
  <c r="DP21" i="31" s="1"/>
  <c r="DN21" i="33"/>
  <c r="DN21" i="31" s="1"/>
  <c r="BV21" i="33"/>
  <c r="BV21" i="31" s="1"/>
  <c r="BT21" i="33"/>
  <c r="BT21" i="31" s="1"/>
  <c r="BR21" i="33"/>
  <c r="BR21" i="31" s="1"/>
  <c r="Z21" i="33"/>
  <c r="Z21" i="31" s="1"/>
  <c r="V21" i="33"/>
  <c r="V21" i="31" s="1"/>
  <c r="DR21" i="33"/>
  <c r="DR21" i="31" s="1"/>
  <c r="X21" i="33"/>
  <c r="X21" i="31" s="1"/>
  <c r="DY22" i="33"/>
  <c r="DY22" i="31" s="1"/>
  <c r="DW22" i="33"/>
  <c r="DW22" i="31" s="1"/>
  <c r="DU22" i="33"/>
  <c r="DU22" i="31" s="1"/>
  <c r="CC22" i="33"/>
  <c r="CC22" i="31" s="1"/>
  <c r="CA22" i="33"/>
  <c r="CA22" i="31" s="1"/>
  <c r="BY22" i="33"/>
  <c r="BY22" i="31" s="1"/>
  <c r="AG22" i="33"/>
  <c r="AG22" i="31" s="1"/>
  <c r="AE22" i="33"/>
  <c r="AE22" i="31" s="1"/>
  <c r="AC22" i="33"/>
  <c r="AC22" i="31" s="1"/>
  <c r="D24" i="33"/>
  <c r="EB23" i="31"/>
  <c r="EF23" i="31"/>
  <c r="CJ23" i="33"/>
  <c r="CJ23" i="31" s="1"/>
  <c r="AL23" i="33"/>
  <c r="AJ23" i="33"/>
  <c r="AJ23" i="31" s="1"/>
  <c r="CF23" i="33"/>
  <c r="CF23" i="31" s="1"/>
  <c r="AN23" i="33"/>
  <c r="AN23" i="31" s="1"/>
  <c r="CH23" i="33"/>
  <c r="AQ24" i="33"/>
  <c r="AQ24" i="31" s="1"/>
  <c r="CQ24" i="33"/>
  <c r="CQ24" i="31" s="1"/>
  <c r="EM24" i="33"/>
  <c r="EM24" i="31" s="1"/>
  <c r="CO24" i="33"/>
  <c r="CO24" i="31" s="1"/>
  <c r="AU24" i="33"/>
  <c r="AU24" i="31" s="1"/>
  <c r="EI24" i="33"/>
  <c r="EI24" i="31" s="1"/>
  <c r="EK24" i="33"/>
  <c r="EK24" i="31" s="1"/>
  <c r="AS24" i="33"/>
  <c r="AS24" i="31" s="1"/>
  <c r="CM24" i="33"/>
  <c r="CM24" i="31" s="1"/>
  <c r="BF35" i="33"/>
  <c r="BF35" i="31" s="1"/>
  <c r="BD35" i="33"/>
  <c r="BD35" i="31" s="1"/>
  <c r="L35" i="33"/>
  <c r="L35" i="31" s="1"/>
  <c r="J35" i="33"/>
  <c r="J35" i="31" s="1"/>
  <c r="H35" i="33"/>
  <c r="H35" i="31" s="1"/>
  <c r="DB35" i="33"/>
  <c r="DB35" i="31" s="1"/>
  <c r="CZ35" i="33"/>
  <c r="CZ35" i="31" s="1"/>
  <c r="BH35" i="33"/>
  <c r="BH35" i="31" s="1"/>
  <c r="DD35" i="33"/>
  <c r="DD35" i="31" s="1"/>
  <c r="DI36" i="33"/>
  <c r="DI36" i="31" s="1"/>
  <c r="DG36" i="33"/>
  <c r="DG36" i="31" s="1"/>
  <c r="BO36" i="33"/>
  <c r="BO36" i="31" s="1"/>
  <c r="BM36" i="33"/>
  <c r="BM36" i="31" s="1"/>
  <c r="BK36" i="33"/>
  <c r="BK36" i="31" s="1"/>
  <c r="S36" i="33"/>
  <c r="S36" i="31" s="1"/>
  <c r="O36" i="33"/>
  <c r="O36" i="31" s="1"/>
  <c r="DK36" i="33"/>
  <c r="DK36" i="31" s="1"/>
  <c r="Q36" i="33"/>
  <c r="Q36" i="31" s="1"/>
  <c r="DR37" i="33"/>
  <c r="DR37" i="31" s="1"/>
  <c r="DP37" i="33"/>
  <c r="DP37" i="31" s="1"/>
  <c r="DN37" i="33"/>
  <c r="DN37" i="31" s="1"/>
  <c r="BV37" i="33"/>
  <c r="BV37" i="31" s="1"/>
  <c r="BT37" i="33"/>
  <c r="BT37" i="31" s="1"/>
  <c r="BR37" i="33"/>
  <c r="BR37" i="31" s="1"/>
  <c r="Z37" i="33"/>
  <c r="Z37" i="31" s="1"/>
  <c r="V37" i="33"/>
  <c r="V37" i="31" s="1"/>
  <c r="X37" i="33"/>
  <c r="X37" i="31" s="1"/>
  <c r="AC38" i="33"/>
  <c r="AC38" i="31" s="1"/>
  <c r="DY38" i="33"/>
  <c r="DY38" i="31" s="1"/>
  <c r="DW38" i="33"/>
  <c r="DW38" i="31" s="1"/>
  <c r="BY38" i="33"/>
  <c r="BY38" i="31" s="1"/>
  <c r="AG38" i="33"/>
  <c r="AG38" i="31" s="1"/>
  <c r="AE38" i="33"/>
  <c r="AE38" i="31" s="1"/>
  <c r="CA38" i="33"/>
  <c r="CA38" i="31" s="1"/>
  <c r="DU38" i="33"/>
  <c r="DU38" i="31" s="1"/>
  <c r="CC38" i="33"/>
  <c r="CC38" i="31" s="1"/>
  <c r="D40" i="33"/>
  <c r="EF39" i="31"/>
  <c r="EB39" i="31"/>
  <c r="AL39" i="33"/>
  <c r="AJ39" i="33"/>
  <c r="AJ39" i="31" s="1"/>
  <c r="CJ39" i="33"/>
  <c r="CJ39" i="31" s="1"/>
  <c r="CF39" i="33"/>
  <c r="CF39" i="31" s="1"/>
  <c r="CH39" i="33"/>
  <c r="AN39" i="33"/>
  <c r="AN39" i="31" s="1"/>
  <c r="EK40" i="33"/>
  <c r="EK40" i="31" s="1"/>
  <c r="CM40" i="33"/>
  <c r="CM40" i="31" s="1"/>
  <c r="AU40" i="33"/>
  <c r="AU40" i="31" s="1"/>
  <c r="EI40" i="33"/>
  <c r="EI40" i="31" s="1"/>
  <c r="AS40" i="33"/>
  <c r="AS40" i="31" s="1"/>
  <c r="AQ40" i="33"/>
  <c r="AQ40" i="31" s="1"/>
  <c r="CQ40" i="33"/>
  <c r="CQ40" i="31" s="1"/>
  <c r="EM40" i="33"/>
  <c r="EM40" i="31" s="1"/>
  <c r="CO40" i="33"/>
  <c r="CO40" i="31" s="1"/>
  <c r="H43" i="33"/>
  <c r="H43" i="31" s="1"/>
  <c r="DD43" i="33"/>
  <c r="DD43" i="31" s="1"/>
  <c r="DB43" i="33"/>
  <c r="DB43" i="31" s="1"/>
  <c r="CZ43" i="33"/>
  <c r="CZ43" i="31" s="1"/>
  <c r="BH43" i="33"/>
  <c r="BH43" i="31" s="1"/>
  <c r="BF43" i="33"/>
  <c r="BF43" i="31" s="1"/>
  <c r="J43" i="33"/>
  <c r="J43" i="31" s="1"/>
  <c r="BD43" i="33"/>
  <c r="BD43" i="31" s="1"/>
  <c r="L43" i="33"/>
  <c r="L43" i="31" s="1"/>
  <c r="BK44" i="33"/>
  <c r="BK44" i="31" s="1"/>
  <c r="S44" i="33"/>
  <c r="S44" i="31" s="1"/>
  <c r="Q44" i="33"/>
  <c r="Q44" i="31" s="1"/>
  <c r="O44" i="33"/>
  <c r="O44" i="31" s="1"/>
  <c r="DG44" i="33"/>
  <c r="DG44" i="31" s="1"/>
  <c r="BO44" i="33"/>
  <c r="BO44" i="31" s="1"/>
  <c r="BM44" i="33"/>
  <c r="BM44" i="31" s="1"/>
  <c r="DK44" i="33"/>
  <c r="DK44" i="31" s="1"/>
  <c r="DI44" i="33"/>
  <c r="DI44" i="31" s="1"/>
  <c r="DN45" i="33"/>
  <c r="DN45" i="31" s="1"/>
  <c r="BV45" i="33"/>
  <c r="BV45" i="31" s="1"/>
  <c r="BT45" i="33"/>
  <c r="BT45" i="31" s="1"/>
  <c r="BR45" i="33"/>
  <c r="BR45" i="31" s="1"/>
  <c r="Z45" i="33"/>
  <c r="Z45" i="31" s="1"/>
  <c r="X45" i="33"/>
  <c r="X45" i="31" s="1"/>
  <c r="DR45" i="33"/>
  <c r="DR45" i="31" s="1"/>
  <c r="DP45" i="33"/>
  <c r="DP45" i="31" s="1"/>
  <c r="V45" i="33"/>
  <c r="V45" i="31" s="1"/>
  <c r="V46" i="33"/>
  <c r="V46" i="31" s="1"/>
  <c r="DR46" i="33"/>
  <c r="DR46" i="31" s="1"/>
  <c r="DP46" i="33"/>
  <c r="DP46" i="31" s="1"/>
  <c r="DN46" i="33"/>
  <c r="DN46" i="31" s="1"/>
  <c r="BV46" i="33"/>
  <c r="BV46" i="31" s="1"/>
  <c r="Z46" i="33"/>
  <c r="Z46" i="31" s="1"/>
  <c r="BT46" i="33"/>
  <c r="BT46" i="31" s="1"/>
  <c r="BR46" i="33"/>
  <c r="BR46" i="31" s="1"/>
  <c r="X46" i="33"/>
  <c r="X46" i="31" s="1"/>
  <c r="DN47" i="33"/>
  <c r="DN47" i="31" s="1"/>
  <c r="BV47" i="33"/>
  <c r="BV47" i="31" s="1"/>
  <c r="BT47" i="33"/>
  <c r="BT47" i="31" s="1"/>
  <c r="BR47" i="33"/>
  <c r="BR47" i="31" s="1"/>
  <c r="Z47" i="33"/>
  <c r="Z47" i="31" s="1"/>
  <c r="X47" i="33"/>
  <c r="X47" i="31" s="1"/>
  <c r="DR47" i="33"/>
  <c r="DR47" i="31" s="1"/>
  <c r="DP47" i="33"/>
  <c r="DP47" i="31" s="1"/>
  <c r="V47" i="33"/>
  <c r="V47" i="31" s="1"/>
  <c r="V48" i="33"/>
  <c r="V48" i="31" s="1"/>
  <c r="DR48" i="33"/>
  <c r="DR48" i="31" s="1"/>
  <c r="DP48" i="33"/>
  <c r="DP48" i="31" s="1"/>
  <c r="BR48" i="33"/>
  <c r="BR48" i="31" s="1"/>
  <c r="Z48" i="33"/>
  <c r="Z48" i="31" s="1"/>
  <c r="X48" i="33"/>
  <c r="X48" i="31" s="1"/>
  <c r="BT48" i="33"/>
  <c r="BT48" i="31" s="1"/>
  <c r="DN48" i="33"/>
  <c r="DN48" i="31" s="1"/>
  <c r="BV48" i="33"/>
  <c r="BV48" i="31" s="1"/>
  <c r="DP49" i="33"/>
  <c r="DP49" i="31" s="1"/>
  <c r="DN49" i="33"/>
  <c r="DN49" i="31" s="1"/>
  <c r="BV49" i="33"/>
  <c r="BV49" i="31" s="1"/>
  <c r="BT49" i="33"/>
  <c r="BT49" i="31" s="1"/>
  <c r="BR49" i="33"/>
  <c r="BR49" i="31" s="1"/>
  <c r="Z49" i="33"/>
  <c r="Z49" i="31" s="1"/>
  <c r="X49" i="33"/>
  <c r="X49" i="31" s="1"/>
  <c r="DR49" i="33"/>
  <c r="DR49" i="31" s="1"/>
  <c r="V49" i="33"/>
  <c r="V49" i="31" s="1"/>
  <c r="DY50" i="33"/>
  <c r="DY50" i="31" s="1"/>
  <c r="DW50" i="33"/>
  <c r="DW50" i="31" s="1"/>
  <c r="DU50" i="33"/>
  <c r="DU50" i="31" s="1"/>
  <c r="CC50" i="33"/>
  <c r="CC50" i="31" s="1"/>
  <c r="CA50" i="33"/>
  <c r="CA50" i="31" s="1"/>
  <c r="AE50" i="33"/>
  <c r="AE50" i="31" s="1"/>
  <c r="BY50" i="33"/>
  <c r="BY50" i="31" s="1"/>
  <c r="AG50" i="33"/>
  <c r="AG50" i="31" s="1"/>
  <c r="AC50" i="33"/>
  <c r="AC50" i="31" s="1"/>
  <c r="D52" i="33"/>
  <c r="EF51" i="31"/>
  <c r="EB51" i="31"/>
  <c r="AL51" i="33"/>
  <c r="AJ51" i="33"/>
  <c r="AJ51" i="31" s="1"/>
  <c r="CH51" i="33"/>
  <c r="CF51" i="33"/>
  <c r="CF51" i="31" s="1"/>
  <c r="AN51" i="33"/>
  <c r="AN51" i="31" s="1"/>
  <c r="CJ51" i="33"/>
  <c r="CJ51" i="31" s="1"/>
  <c r="EM52" i="33"/>
  <c r="EM52" i="31" s="1"/>
  <c r="CO52" i="33"/>
  <c r="CO52" i="31" s="1"/>
  <c r="EK52" i="33"/>
  <c r="EK52" i="31" s="1"/>
  <c r="CM52" i="33"/>
  <c r="CM52" i="31" s="1"/>
  <c r="AU52" i="33"/>
  <c r="AU52" i="31" s="1"/>
  <c r="EI52" i="33"/>
  <c r="EI52" i="31" s="1"/>
  <c r="AS52" i="33"/>
  <c r="AS52" i="31" s="1"/>
  <c r="AQ52" i="33"/>
  <c r="AQ52" i="31" s="1"/>
  <c r="CQ52" i="33"/>
  <c r="CQ52" i="31" s="1"/>
  <c r="BF55" i="33"/>
  <c r="BF55" i="31" s="1"/>
  <c r="BD55" i="33"/>
  <c r="BD55" i="31" s="1"/>
  <c r="L55" i="33"/>
  <c r="L55" i="31" s="1"/>
  <c r="BH55" i="33"/>
  <c r="BH55" i="31" s="1"/>
  <c r="DD55" i="33"/>
  <c r="DD55" i="31" s="1"/>
  <c r="DB55" i="33"/>
  <c r="DB55" i="31" s="1"/>
  <c r="H55" i="33"/>
  <c r="H55" i="31" s="1"/>
  <c r="CZ55" i="33"/>
  <c r="CZ55" i="31" s="1"/>
  <c r="J55" i="33"/>
  <c r="J55" i="31" s="1"/>
  <c r="DG56" i="33"/>
  <c r="DG56" i="31" s="1"/>
  <c r="BO56" i="33"/>
  <c r="BO56" i="31" s="1"/>
  <c r="BM56" i="33"/>
  <c r="BM56" i="31" s="1"/>
  <c r="DK56" i="33"/>
  <c r="DK56" i="31" s="1"/>
  <c r="DI56" i="33"/>
  <c r="DI56" i="31" s="1"/>
  <c r="S56" i="33"/>
  <c r="S56" i="31" s="1"/>
  <c r="Q56" i="33"/>
  <c r="Q56" i="31" s="1"/>
  <c r="O56" i="33"/>
  <c r="O56" i="31" s="1"/>
  <c r="BK56" i="33"/>
  <c r="BK56" i="31" s="1"/>
  <c r="DR57" i="33"/>
  <c r="DR57" i="31" s="1"/>
  <c r="DP57" i="33"/>
  <c r="DP57" i="31" s="1"/>
  <c r="DN57" i="33"/>
  <c r="DN57" i="31" s="1"/>
  <c r="Z57" i="33"/>
  <c r="Z57" i="31" s="1"/>
  <c r="BT57" i="33"/>
  <c r="BT57" i="31" s="1"/>
  <c r="BR57" i="33"/>
  <c r="BR57" i="31" s="1"/>
  <c r="BV57" i="33"/>
  <c r="BV57" i="31" s="1"/>
  <c r="V57" i="33"/>
  <c r="V57" i="31" s="1"/>
  <c r="X57" i="33"/>
  <c r="X57" i="31" s="1"/>
  <c r="BT58" i="33"/>
  <c r="BT58" i="31" s="1"/>
  <c r="BR58" i="33"/>
  <c r="BR58" i="31" s="1"/>
  <c r="Z58" i="33"/>
  <c r="Z58" i="31" s="1"/>
  <c r="DN58" i="33"/>
  <c r="DN58" i="31" s="1"/>
  <c r="BV58" i="33"/>
  <c r="BV58" i="31" s="1"/>
  <c r="DR58" i="33"/>
  <c r="DR58" i="31" s="1"/>
  <c r="DP58" i="33"/>
  <c r="DP58" i="31" s="1"/>
  <c r="X58" i="33"/>
  <c r="X58" i="31" s="1"/>
  <c r="V58" i="33"/>
  <c r="V58" i="31" s="1"/>
  <c r="V59" i="33"/>
  <c r="V59" i="31" s="1"/>
  <c r="DR59" i="33"/>
  <c r="DR59" i="31" s="1"/>
  <c r="BV59" i="33"/>
  <c r="BV59" i="31" s="1"/>
  <c r="BT59" i="33"/>
  <c r="BT59" i="31" s="1"/>
  <c r="BR59" i="33"/>
  <c r="BR59" i="31" s="1"/>
  <c r="DP59" i="33"/>
  <c r="DP59" i="31" s="1"/>
  <c r="DN59" i="33"/>
  <c r="DN59" i="31" s="1"/>
  <c r="Z59" i="33"/>
  <c r="Z59" i="31" s="1"/>
  <c r="X59" i="33"/>
  <c r="X59" i="31" s="1"/>
  <c r="DP60" i="33"/>
  <c r="DP60" i="31" s="1"/>
  <c r="DN60" i="33"/>
  <c r="DN60" i="31" s="1"/>
  <c r="BV60" i="33"/>
  <c r="BV60" i="31" s="1"/>
  <c r="BT60" i="33"/>
  <c r="BT60" i="31" s="1"/>
  <c r="BR60" i="33"/>
  <c r="BR60" i="31" s="1"/>
  <c r="DR60" i="33"/>
  <c r="DR60" i="31" s="1"/>
  <c r="Z60" i="33"/>
  <c r="Z60" i="31" s="1"/>
  <c r="X60" i="33"/>
  <c r="X60" i="31" s="1"/>
  <c r="V60" i="33"/>
  <c r="V60" i="31" s="1"/>
  <c r="BR61" i="33"/>
  <c r="BR61" i="31" s="1"/>
  <c r="Z61" i="33"/>
  <c r="Z61" i="31" s="1"/>
  <c r="X61" i="33"/>
  <c r="X61" i="31" s="1"/>
  <c r="V61" i="33"/>
  <c r="V61" i="31" s="1"/>
  <c r="DN61" i="33"/>
  <c r="DN61" i="31" s="1"/>
  <c r="BV61" i="33"/>
  <c r="BV61" i="31" s="1"/>
  <c r="BT61" i="33"/>
  <c r="BT61" i="31" s="1"/>
  <c r="DR61" i="33"/>
  <c r="DR61" i="31" s="1"/>
  <c r="DP61" i="33"/>
  <c r="DP61" i="31" s="1"/>
  <c r="DR62" i="33"/>
  <c r="DR62" i="31" s="1"/>
  <c r="DP62" i="33"/>
  <c r="DP62" i="31" s="1"/>
  <c r="DN62" i="33"/>
  <c r="DN62" i="31" s="1"/>
  <c r="BV62" i="33"/>
  <c r="BV62" i="31" s="1"/>
  <c r="BT62" i="33"/>
  <c r="BT62" i="31" s="1"/>
  <c r="BR62" i="33"/>
  <c r="BR62" i="31" s="1"/>
  <c r="Z62" i="33"/>
  <c r="Z62" i="31" s="1"/>
  <c r="X62" i="33"/>
  <c r="X62" i="31" s="1"/>
  <c r="V62" i="33"/>
  <c r="V62" i="31" s="1"/>
  <c r="BR63" i="33"/>
  <c r="BR63" i="31" s="1"/>
  <c r="Z63" i="33"/>
  <c r="Z63" i="31" s="1"/>
  <c r="X63" i="33"/>
  <c r="X63" i="31" s="1"/>
  <c r="V63" i="33"/>
  <c r="V63" i="31" s="1"/>
  <c r="BV63" i="33"/>
  <c r="BV63" i="31" s="1"/>
  <c r="BT63" i="33"/>
  <c r="BT63" i="31" s="1"/>
  <c r="DP63" i="33"/>
  <c r="DP63" i="31" s="1"/>
  <c r="DN63" i="33"/>
  <c r="DN63" i="31" s="1"/>
  <c r="DR63" i="33"/>
  <c r="DR63" i="31" s="1"/>
  <c r="DR64" i="33"/>
  <c r="DR64" i="31" s="1"/>
  <c r="DP64" i="33"/>
  <c r="DP64" i="31" s="1"/>
  <c r="DN64" i="33"/>
  <c r="DN64" i="31" s="1"/>
  <c r="BV64" i="33"/>
  <c r="BV64" i="31" s="1"/>
  <c r="BT64" i="33"/>
  <c r="BT64" i="31" s="1"/>
  <c r="BR64" i="33"/>
  <c r="BR64" i="31" s="1"/>
  <c r="Z64" i="33"/>
  <c r="Z64" i="31" s="1"/>
  <c r="X64" i="33"/>
  <c r="X64" i="31" s="1"/>
  <c r="V64" i="33"/>
  <c r="V64" i="31" s="1"/>
  <c r="BT65" i="33"/>
  <c r="BT65" i="31" s="1"/>
  <c r="BR65" i="33"/>
  <c r="BR65" i="31" s="1"/>
  <c r="Z65" i="33"/>
  <c r="Z65" i="31" s="1"/>
  <c r="X65" i="33"/>
  <c r="X65" i="31" s="1"/>
  <c r="BV65" i="33"/>
  <c r="BV65" i="31" s="1"/>
  <c r="DP65" i="33"/>
  <c r="DP65" i="31" s="1"/>
  <c r="DN65" i="33"/>
  <c r="DN65" i="31" s="1"/>
  <c r="V65" i="33"/>
  <c r="V65" i="31" s="1"/>
  <c r="DR65" i="33"/>
  <c r="DR65" i="31" s="1"/>
  <c r="DW66" i="33"/>
  <c r="DW66" i="31" s="1"/>
  <c r="DU66" i="33"/>
  <c r="DU66" i="31" s="1"/>
  <c r="CC66" i="33"/>
  <c r="CC66" i="31" s="1"/>
  <c r="CA66" i="33"/>
  <c r="CA66" i="31" s="1"/>
  <c r="AG66" i="33"/>
  <c r="AG66" i="31" s="1"/>
  <c r="AE66" i="33"/>
  <c r="AE66" i="31" s="1"/>
  <c r="AC66" i="33"/>
  <c r="AC66" i="31" s="1"/>
  <c r="BY66" i="33"/>
  <c r="BY66" i="31" s="1"/>
  <c r="DY66" i="33"/>
  <c r="DY66" i="31" s="1"/>
  <c r="D68" i="33"/>
  <c r="EB67" i="31"/>
  <c r="EF67" i="31"/>
  <c r="AN67" i="33"/>
  <c r="AN67" i="31" s="1"/>
  <c r="AL67" i="33"/>
  <c r="AJ67" i="33"/>
  <c r="AJ67" i="31" s="1"/>
  <c r="CJ67" i="33"/>
  <c r="CJ67" i="31" s="1"/>
  <c r="CH67" i="33"/>
  <c r="CF67" i="33"/>
  <c r="CF67" i="31" s="1"/>
  <c r="EI68" i="33"/>
  <c r="EI68" i="31" s="1"/>
  <c r="AS68" i="33"/>
  <c r="AS68" i="31" s="1"/>
  <c r="AQ68" i="33"/>
  <c r="AQ68" i="31" s="1"/>
  <c r="EM68" i="33"/>
  <c r="EM68" i="31" s="1"/>
  <c r="EK68" i="33"/>
  <c r="EK68" i="31" s="1"/>
  <c r="CQ68" i="33"/>
  <c r="CQ68" i="31" s="1"/>
  <c r="AU68" i="33"/>
  <c r="AU68" i="31" s="1"/>
  <c r="CO68" i="33"/>
  <c r="CO68" i="31" s="1"/>
  <c r="CM68" i="33"/>
  <c r="CM68" i="31" s="1"/>
  <c r="DB71" i="33"/>
  <c r="DB71" i="31" s="1"/>
  <c r="CZ71" i="33"/>
  <c r="CZ71" i="31" s="1"/>
  <c r="BH71" i="33"/>
  <c r="BH71" i="31" s="1"/>
  <c r="BF71" i="33"/>
  <c r="BF71" i="31" s="1"/>
  <c r="DD71" i="33"/>
  <c r="DD71" i="31" s="1"/>
  <c r="BD71" i="33"/>
  <c r="BD71" i="31" s="1"/>
  <c r="H71" i="33"/>
  <c r="H71" i="31" s="1"/>
  <c r="J71" i="33"/>
  <c r="J71" i="31" s="1"/>
  <c r="L71" i="33"/>
  <c r="L71" i="31" s="1"/>
  <c r="DK72" i="33"/>
  <c r="DK72" i="31" s="1"/>
  <c r="DI72" i="33"/>
  <c r="DI72" i="31" s="1"/>
  <c r="DG72" i="33"/>
  <c r="DG72" i="31" s="1"/>
  <c r="BO72" i="33"/>
  <c r="BO72" i="31" s="1"/>
  <c r="BK72" i="33"/>
  <c r="BK72" i="31" s="1"/>
  <c r="O72" i="33"/>
  <c r="O72" i="31" s="1"/>
  <c r="S72" i="33"/>
  <c r="S72" i="31" s="1"/>
  <c r="Q72" i="33"/>
  <c r="Q72" i="31" s="1"/>
  <c r="BM72" i="33"/>
  <c r="BM72" i="31" s="1"/>
  <c r="BR73" i="33"/>
  <c r="BR73" i="31" s="1"/>
  <c r="Z73" i="33"/>
  <c r="Z73" i="31" s="1"/>
  <c r="V73" i="33"/>
  <c r="V73" i="31" s="1"/>
  <c r="DR73" i="33"/>
  <c r="DR73" i="31" s="1"/>
  <c r="DN73" i="33"/>
  <c r="DN73" i="31" s="1"/>
  <c r="BV73" i="33"/>
  <c r="BV73" i="31" s="1"/>
  <c r="BT73" i="33"/>
  <c r="BT73" i="31" s="1"/>
  <c r="DP73" i="33"/>
  <c r="DP73" i="31" s="1"/>
  <c r="X73" i="33"/>
  <c r="X73" i="31" s="1"/>
  <c r="DU74" i="33"/>
  <c r="DU74" i="31" s="1"/>
  <c r="CC74" i="33"/>
  <c r="CC74" i="31" s="1"/>
  <c r="BY74" i="33"/>
  <c r="BY74" i="31" s="1"/>
  <c r="AG74" i="33"/>
  <c r="AG74" i="31" s="1"/>
  <c r="AE74" i="33"/>
  <c r="AE74" i="31" s="1"/>
  <c r="AC74" i="33"/>
  <c r="AC74" i="31" s="1"/>
  <c r="DW74" i="33"/>
  <c r="DW74" i="31" s="1"/>
  <c r="CA74" i="33"/>
  <c r="CA74" i="31" s="1"/>
  <c r="DY74" i="33"/>
  <c r="DY74" i="31" s="1"/>
  <c r="D76" i="33"/>
  <c r="EF75" i="31"/>
  <c r="CJ75" i="33"/>
  <c r="CJ75" i="31" s="1"/>
  <c r="EB75" i="31"/>
  <c r="CH75" i="33"/>
  <c r="CF75" i="33"/>
  <c r="CF75" i="31" s="1"/>
  <c r="AN75" i="33"/>
  <c r="AN75" i="31" s="1"/>
  <c r="AL75" i="33"/>
  <c r="AJ75" i="33"/>
  <c r="AJ75" i="31" s="1"/>
  <c r="AQ76" i="33"/>
  <c r="AQ76" i="31" s="1"/>
  <c r="CQ76" i="33"/>
  <c r="CQ76" i="31" s="1"/>
  <c r="EK76" i="33"/>
  <c r="EK76" i="31" s="1"/>
  <c r="CM76" i="33"/>
  <c r="CM76" i="31" s="1"/>
  <c r="AU76" i="33"/>
  <c r="AU76" i="31" s="1"/>
  <c r="EI76" i="33"/>
  <c r="EI76" i="31" s="1"/>
  <c r="AS76" i="33"/>
  <c r="AS76" i="31" s="1"/>
  <c r="CO76" i="33"/>
  <c r="CO76" i="31" s="1"/>
  <c r="EM76" i="33"/>
  <c r="EM76" i="31" s="1"/>
  <c r="J87" i="33"/>
  <c r="J87" i="31" s="1"/>
  <c r="H87" i="33"/>
  <c r="H87" i="31" s="1"/>
  <c r="DD87" i="33"/>
  <c r="DD87" i="31" s="1"/>
  <c r="DB87" i="33"/>
  <c r="DB87" i="31" s="1"/>
  <c r="BF87" i="33"/>
  <c r="BF87" i="31" s="1"/>
  <c r="CZ87" i="33"/>
  <c r="CZ87" i="31" s="1"/>
  <c r="BD87" i="33"/>
  <c r="BD87" i="31" s="1"/>
  <c r="L87" i="33"/>
  <c r="L87" i="31" s="1"/>
  <c r="BH87" i="33"/>
  <c r="BH87" i="31" s="1"/>
  <c r="BK88" i="33"/>
  <c r="BK88" i="31" s="1"/>
  <c r="S88" i="33"/>
  <c r="S88" i="31" s="1"/>
  <c r="Q88" i="33"/>
  <c r="Q88" i="31" s="1"/>
  <c r="O88" i="33"/>
  <c r="O88" i="31" s="1"/>
  <c r="DK88" i="33"/>
  <c r="DK88" i="31" s="1"/>
  <c r="DI88" i="33"/>
  <c r="DI88" i="31" s="1"/>
  <c r="BM88" i="33"/>
  <c r="BM88" i="31" s="1"/>
  <c r="DG88" i="33"/>
  <c r="DG88" i="31" s="1"/>
  <c r="BO88" i="33"/>
  <c r="BO88" i="31" s="1"/>
  <c r="DN89" i="33"/>
  <c r="DN89" i="31" s="1"/>
  <c r="BV89" i="33"/>
  <c r="BV89" i="31" s="1"/>
  <c r="BT89" i="33"/>
  <c r="BT89" i="31" s="1"/>
  <c r="BR89" i="33"/>
  <c r="BR89" i="31" s="1"/>
  <c r="Z89" i="33"/>
  <c r="Z89" i="31" s="1"/>
  <c r="X89" i="33"/>
  <c r="X89" i="31" s="1"/>
  <c r="V89" i="33"/>
  <c r="V89" i="31" s="1"/>
  <c r="DR89" i="33"/>
  <c r="DR89" i="31" s="1"/>
  <c r="DP89" i="33"/>
  <c r="DP89" i="31" s="1"/>
  <c r="X90" i="33"/>
  <c r="X90" i="31" s="1"/>
  <c r="V90" i="33"/>
  <c r="V90" i="31" s="1"/>
  <c r="DR90" i="33"/>
  <c r="DR90" i="31" s="1"/>
  <c r="DP90" i="33"/>
  <c r="DP90" i="31" s="1"/>
  <c r="BT90" i="33"/>
  <c r="BT90" i="31" s="1"/>
  <c r="DN90" i="33"/>
  <c r="DN90" i="31" s="1"/>
  <c r="BR90" i="33"/>
  <c r="BR90" i="31" s="1"/>
  <c r="Z90" i="33"/>
  <c r="Z90" i="31" s="1"/>
  <c r="BV90" i="33"/>
  <c r="BV90" i="31" s="1"/>
  <c r="DR91" i="33"/>
  <c r="DR91" i="31" s="1"/>
  <c r="DP91" i="33"/>
  <c r="DP91" i="31" s="1"/>
  <c r="DN91" i="33"/>
  <c r="DN91" i="31" s="1"/>
  <c r="BV91" i="33"/>
  <c r="BV91" i="31" s="1"/>
  <c r="BT91" i="33"/>
  <c r="BT91" i="31" s="1"/>
  <c r="BR91" i="33"/>
  <c r="BR91" i="31" s="1"/>
  <c r="Z91" i="33"/>
  <c r="Z91" i="31" s="1"/>
  <c r="V91" i="33"/>
  <c r="V91" i="31" s="1"/>
  <c r="X91" i="33"/>
  <c r="X91" i="31" s="1"/>
  <c r="BT92" i="33"/>
  <c r="BT92" i="31" s="1"/>
  <c r="BR92" i="33"/>
  <c r="BR92" i="31" s="1"/>
  <c r="Z92" i="33"/>
  <c r="Z92" i="31" s="1"/>
  <c r="X92" i="33"/>
  <c r="X92" i="31" s="1"/>
  <c r="V92" i="33"/>
  <c r="V92" i="31" s="1"/>
  <c r="DR92" i="33"/>
  <c r="DR92" i="31" s="1"/>
  <c r="BV92" i="33"/>
  <c r="BV92" i="31" s="1"/>
  <c r="DN92" i="33"/>
  <c r="DN92" i="31" s="1"/>
  <c r="DP92" i="33"/>
  <c r="DP92" i="31" s="1"/>
  <c r="BR93" i="33"/>
  <c r="BR93" i="31" s="1"/>
  <c r="V93" i="33"/>
  <c r="V93" i="31" s="1"/>
  <c r="DR93" i="33"/>
  <c r="DR93" i="31" s="1"/>
  <c r="DP93" i="33"/>
  <c r="DP93" i="31" s="1"/>
  <c r="DN93" i="33"/>
  <c r="DN93" i="31" s="1"/>
  <c r="Z93" i="33"/>
  <c r="Z93" i="31" s="1"/>
  <c r="BV93" i="33"/>
  <c r="BV93" i="31" s="1"/>
  <c r="BT93" i="33"/>
  <c r="BT93" i="31" s="1"/>
  <c r="X93" i="33"/>
  <c r="X93" i="31" s="1"/>
  <c r="DR94" i="33"/>
  <c r="DR94" i="31" s="1"/>
  <c r="Z94" i="33"/>
  <c r="Z94" i="31" s="1"/>
  <c r="X94" i="33"/>
  <c r="X94" i="31" s="1"/>
  <c r="BV94" i="33"/>
  <c r="BV94" i="31" s="1"/>
  <c r="V94" i="33"/>
  <c r="V94" i="31" s="1"/>
  <c r="BT94" i="33"/>
  <c r="BT94" i="31" s="1"/>
  <c r="BR94" i="33"/>
  <c r="BR94" i="31" s="1"/>
  <c r="DP94" i="33"/>
  <c r="DP94" i="31" s="1"/>
  <c r="DN94" i="33"/>
  <c r="DN94" i="31" s="1"/>
  <c r="DR95" i="33"/>
  <c r="DR95" i="31" s="1"/>
  <c r="BT95" i="33"/>
  <c r="BT95" i="31" s="1"/>
  <c r="BR95" i="33"/>
  <c r="BR95" i="31" s="1"/>
  <c r="Z95" i="33"/>
  <c r="Z95" i="31" s="1"/>
  <c r="X95" i="33"/>
  <c r="X95" i="31" s="1"/>
  <c r="V95" i="33"/>
  <c r="V95" i="31" s="1"/>
  <c r="DP95" i="33"/>
  <c r="DP95" i="31" s="1"/>
  <c r="BV95" i="33"/>
  <c r="BV95" i="31" s="1"/>
  <c r="DN95" i="33"/>
  <c r="DN95" i="31" s="1"/>
  <c r="BR96" i="33"/>
  <c r="BR96" i="31" s="1"/>
  <c r="Z96" i="33"/>
  <c r="Z96" i="31" s="1"/>
  <c r="X96" i="33"/>
  <c r="X96" i="31" s="1"/>
  <c r="DR96" i="33"/>
  <c r="DR96" i="31" s="1"/>
  <c r="DP96" i="33"/>
  <c r="DP96" i="31" s="1"/>
  <c r="DN96" i="33"/>
  <c r="DN96" i="31" s="1"/>
  <c r="BV96" i="33"/>
  <c r="BV96" i="31" s="1"/>
  <c r="BT96" i="33"/>
  <c r="BT96" i="31" s="1"/>
  <c r="V96" i="33"/>
  <c r="V96" i="31" s="1"/>
  <c r="DR97" i="33"/>
  <c r="DR97" i="31" s="1"/>
  <c r="DN97" i="33"/>
  <c r="DN97" i="31" s="1"/>
  <c r="BV97" i="33"/>
  <c r="BV97" i="31" s="1"/>
  <c r="BT97" i="33"/>
  <c r="BT97" i="31" s="1"/>
  <c r="DP97" i="33"/>
  <c r="DP97" i="31" s="1"/>
  <c r="BR97" i="33"/>
  <c r="BR97" i="31" s="1"/>
  <c r="Z97" i="33"/>
  <c r="Z97" i="31" s="1"/>
  <c r="X97" i="33"/>
  <c r="X97" i="31" s="1"/>
  <c r="V97" i="33"/>
  <c r="V97" i="31" s="1"/>
  <c r="AE98" i="33"/>
  <c r="AE98" i="31" s="1"/>
  <c r="AC98" i="33"/>
  <c r="AC98" i="31" s="1"/>
  <c r="DY98" i="33"/>
  <c r="DY98" i="31" s="1"/>
  <c r="DW98" i="33"/>
  <c r="DW98" i="31" s="1"/>
  <c r="CC98" i="33"/>
  <c r="CC98" i="31" s="1"/>
  <c r="BY98" i="33"/>
  <c r="BY98" i="31" s="1"/>
  <c r="DU98" i="33"/>
  <c r="DU98" i="31" s="1"/>
  <c r="CA98" i="33"/>
  <c r="CA98" i="31" s="1"/>
  <c r="AG98" i="33"/>
  <c r="AG98" i="31" s="1"/>
  <c r="D100" i="33"/>
  <c r="EB99" i="31"/>
  <c r="CH99" i="33"/>
  <c r="CF99" i="33"/>
  <c r="CF99" i="31" s="1"/>
  <c r="AN99" i="33"/>
  <c r="AN99" i="31" s="1"/>
  <c r="AJ99" i="33"/>
  <c r="AJ99" i="31" s="1"/>
  <c r="EF99" i="31"/>
  <c r="CJ99" i="33"/>
  <c r="CJ99" i="31" s="1"/>
  <c r="AL99" i="33"/>
  <c r="CQ100" i="33"/>
  <c r="CQ100" i="31" s="1"/>
  <c r="EK100" i="33"/>
  <c r="EK100" i="31" s="1"/>
  <c r="CM100" i="33"/>
  <c r="CM100" i="31" s="1"/>
  <c r="AU100" i="33"/>
  <c r="AU100" i="31" s="1"/>
  <c r="EI100" i="33"/>
  <c r="EI100" i="31" s="1"/>
  <c r="AS100" i="33"/>
  <c r="AS100" i="31" s="1"/>
  <c r="EM100" i="33"/>
  <c r="EM100" i="31" s="1"/>
  <c r="CO100" i="33"/>
  <c r="CO100" i="31" s="1"/>
  <c r="AQ100" i="33"/>
  <c r="AQ100" i="31" s="1"/>
  <c r="C108" i="31"/>
  <c r="S4" i="2"/>
  <c r="V101" i="28"/>
  <c r="L101" i="28"/>
  <c r="G101" i="28"/>
  <c r="AK101" i="28"/>
  <c r="AK20" i="30"/>
  <c r="AK21" i="30"/>
  <c r="AK22" i="30"/>
  <c r="AK40" i="30"/>
  <c r="AK41" i="30"/>
  <c r="AK42" i="30"/>
  <c r="AK72" i="30"/>
  <c r="AK73" i="30"/>
  <c r="AK74" i="30"/>
  <c r="AK84" i="30"/>
  <c r="AK85" i="30"/>
  <c r="AK86" i="30"/>
  <c r="AK8" i="30"/>
  <c r="AK9" i="30"/>
  <c r="AK10" i="30"/>
  <c r="AK52" i="30"/>
  <c r="AK53" i="30"/>
  <c r="AK54" i="30"/>
  <c r="AK4" i="30"/>
  <c r="AK5" i="30"/>
  <c r="AK6" i="30"/>
  <c r="AK36" i="30"/>
  <c r="AK37" i="30"/>
  <c r="AK38" i="30"/>
  <c r="AK68" i="30"/>
  <c r="AK69" i="30"/>
  <c r="AK70" i="30"/>
  <c r="AK99" i="30"/>
  <c r="AK16" i="30"/>
  <c r="AK17" i="30"/>
  <c r="AK18" i="30"/>
  <c r="AK32" i="30"/>
  <c r="AK33" i="30"/>
  <c r="AK34" i="30"/>
  <c r="AK48" i="30"/>
  <c r="AK49" i="30"/>
  <c r="AK50" i="30"/>
  <c r="AK64" i="30"/>
  <c r="AK65" i="30"/>
  <c r="AK66" i="30"/>
  <c r="AK96" i="30"/>
  <c r="AK97" i="30"/>
  <c r="AF101" i="28"/>
  <c r="AA101" i="28"/>
  <c r="B85" i="30"/>
  <c r="B44" i="30"/>
  <c r="B61" i="30"/>
  <c r="B93" i="30"/>
  <c r="B73" i="30"/>
  <c r="B52" i="30"/>
  <c r="B29" i="30"/>
  <c r="B92" i="30"/>
  <c r="B69" i="30"/>
  <c r="B49" i="30"/>
  <c r="B89" i="30"/>
  <c r="B68" i="30"/>
  <c r="B45" i="30"/>
  <c r="B25" i="30"/>
  <c r="B21" i="30"/>
  <c r="B20" i="30"/>
  <c r="B17" i="30"/>
  <c r="B13" i="30"/>
  <c r="B65" i="30"/>
  <c r="B84" i="30"/>
  <c r="B41" i="30"/>
  <c r="B101" i="30"/>
  <c r="B81" i="30"/>
  <c r="B60" i="30"/>
  <c r="B37" i="30"/>
  <c r="B100" i="30"/>
  <c r="B77" i="30"/>
  <c r="B57" i="30"/>
  <c r="B36" i="30"/>
  <c r="B97" i="30"/>
  <c r="B76" i="30"/>
  <c r="B53" i="30"/>
  <c r="B33" i="30"/>
  <c r="B12" i="30"/>
  <c r="B9" i="30"/>
  <c r="B28" i="30"/>
  <c r="B6" i="30"/>
  <c r="B94" i="30"/>
  <c r="B86" i="30"/>
  <c r="B78" i="30"/>
  <c r="B70" i="30"/>
  <c r="B62" i="30"/>
  <c r="B54" i="30"/>
  <c r="B46" i="30"/>
  <c r="B38" i="30"/>
  <c r="B30" i="30"/>
  <c r="B22" i="30"/>
  <c r="B14" i="30"/>
  <c r="B99" i="30"/>
  <c r="B91" i="30"/>
  <c r="B83" i="30"/>
  <c r="B75" i="30"/>
  <c r="B67" i="30"/>
  <c r="B59" i="30"/>
  <c r="B51" i="30"/>
  <c r="B43" i="30"/>
  <c r="B35" i="30"/>
  <c r="B27" i="30"/>
  <c r="B19" i="30"/>
  <c r="B11" i="30"/>
  <c r="B98" i="30"/>
  <c r="B90" i="30"/>
  <c r="B82" i="30"/>
  <c r="B74" i="30"/>
  <c r="B66" i="30"/>
  <c r="B58" i="30"/>
  <c r="B50" i="30"/>
  <c r="B42" i="30"/>
  <c r="B34" i="30"/>
  <c r="B26" i="30"/>
  <c r="B18" i="30"/>
  <c r="B10" i="30"/>
  <c r="B96" i="30"/>
  <c r="B88" i="30"/>
  <c r="B80" i="30"/>
  <c r="B72" i="30"/>
  <c r="B64" i="30"/>
  <c r="B56" i="30"/>
  <c r="B48" i="30"/>
  <c r="B40" i="30"/>
  <c r="B32" i="30"/>
  <c r="B24" i="30"/>
  <c r="B16" i="30"/>
  <c r="B8" i="30"/>
  <c r="B95" i="30"/>
  <c r="B87" i="30"/>
  <c r="B79" i="30"/>
  <c r="B71" i="30"/>
  <c r="B63" i="30"/>
  <c r="B55" i="30"/>
  <c r="B47" i="30"/>
  <c r="B39" i="30"/>
  <c r="B31" i="30"/>
  <c r="B23" i="30"/>
  <c r="B15" i="30"/>
  <c r="E101" i="27"/>
  <c r="E3" i="2"/>
  <c r="J76" i="4" l="1"/>
  <c r="I76" i="4"/>
  <c r="H91" i="1" s="1"/>
  <c r="CH67" i="31"/>
  <c r="C68" i="31" s="1"/>
  <c r="C68" i="33"/>
  <c r="AL78" i="31"/>
  <c r="B79" i="31" s="1"/>
  <c r="B79" i="33"/>
  <c r="CH30" i="31"/>
  <c r="C31" i="31" s="1"/>
  <c r="C31" i="33"/>
  <c r="ED89" i="31"/>
  <c r="D90" i="31" s="1"/>
  <c r="E90" i="31" s="1"/>
  <c r="D90" i="34"/>
  <c r="CH37" i="31"/>
  <c r="C38" i="31" s="1"/>
  <c r="C38" i="33"/>
  <c r="AL19" i="31"/>
  <c r="B20" i="31" s="1"/>
  <c r="B20" i="33"/>
  <c r="CH7" i="31"/>
  <c r="C8" i="31" s="1"/>
  <c r="C8" i="33"/>
  <c r="AL36" i="31"/>
  <c r="B37" i="31" s="1"/>
  <c r="B37" i="33"/>
  <c r="AL8" i="31"/>
  <c r="B9" i="31" s="1"/>
  <c r="B9" i="33"/>
  <c r="O102" i="33"/>
  <c r="O5" i="31"/>
  <c r="O102" i="31" s="1"/>
  <c r="CH49" i="31"/>
  <c r="C50" i="31" s="1"/>
  <c r="C50" i="33"/>
  <c r="AL47" i="31"/>
  <c r="B48" i="31" s="1"/>
  <c r="B48" i="33"/>
  <c r="CH45" i="31"/>
  <c r="C46" i="31" s="1"/>
  <c r="C46" i="33"/>
  <c r="ED9" i="31"/>
  <c r="D10" i="31" s="1"/>
  <c r="E10" i="31" s="1"/>
  <c r="D10" i="34"/>
  <c r="D25" i="34"/>
  <c r="ED24" i="31"/>
  <c r="D25" i="31" s="1"/>
  <c r="E25" i="31" s="1"/>
  <c r="AL12" i="31"/>
  <c r="B13" i="31" s="1"/>
  <c r="B13" i="33"/>
  <c r="AS102" i="33"/>
  <c r="AS5" i="31"/>
  <c r="AS102" i="31" s="1"/>
  <c r="CH100" i="31"/>
  <c r="C101" i="31" s="1"/>
  <c r="C101" i="33"/>
  <c r="AL68" i="31"/>
  <c r="B69" i="31" s="1"/>
  <c r="B69" i="33"/>
  <c r="ED102" i="34"/>
  <c r="ED85" i="31"/>
  <c r="D86" i="31" s="1"/>
  <c r="E86" i="31" s="1"/>
  <c r="D86" i="34"/>
  <c r="ED83" i="31"/>
  <c r="D84" i="31" s="1"/>
  <c r="E84" i="31" s="1"/>
  <c r="D84" i="34"/>
  <c r="ED81" i="31"/>
  <c r="D82" i="31" s="1"/>
  <c r="E82" i="31" s="1"/>
  <c r="D82" i="34"/>
  <c r="CH77" i="31"/>
  <c r="C78" i="31" s="1"/>
  <c r="C78" i="33"/>
  <c r="ED69" i="31"/>
  <c r="D70" i="31" s="1"/>
  <c r="E70" i="31" s="1"/>
  <c r="D70" i="34"/>
  <c r="ED53" i="31"/>
  <c r="D54" i="31" s="1"/>
  <c r="E54" i="31" s="1"/>
  <c r="D54" i="34"/>
  <c r="CH41" i="31"/>
  <c r="C42" i="31" s="1"/>
  <c r="C42" i="33"/>
  <c r="ED29" i="31"/>
  <c r="D30" i="31" s="1"/>
  <c r="E30" i="31" s="1"/>
  <c r="D30" i="34"/>
  <c r="AL28" i="31"/>
  <c r="B29" i="31" s="1"/>
  <c r="B29" i="33"/>
  <c r="CH27" i="31"/>
  <c r="C28" i="31" s="1"/>
  <c r="C28" i="33"/>
  <c r="CH26" i="31"/>
  <c r="C27" i="31" s="1"/>
  <c r="C27" i="33"/>
  <c r="ED17" i="31"/>
  <c r="D18" i="31" s="1"/>
  <c r="E18" i="31" s="1"/>
  <c r="D18" i="34"/>
  <c r="ED15" i="31"/>
  <c r="D16" i="31" s="1"/>
  <c r="E16" i="31" s="1"/>
  <c r="D16" i="34"/>
  <c r="ED13" i="31"/>
  <c r="D14" i="31" s="1"/>
  <c r="E14" i="31" s="1"/>
  <c r="D14" i="34"/>
  <c r="AJ102" i="33"/>
  <c r="AJ5" i="31"/>
  <c r="EB102" i="33"/>
  <c r="ED90" i="31"/>
  <c r="D91" i="31" s="1"/>
  <c r="E91" i="31" s="1"/>
  <c r="D91" i="34"/>
  <c r="CH64" i="31"/>
  <c r="C65" i="31" s="1"/>
  <c r="C65" i="33"/>
  <c r="ED64" i="31"/>
  <c r="D65" i="31" s="1"/>
  <c r="E65" i="31" s="1"/>
  <c r="D65" i="34"/>
  <c r="CH61" i="31"/>
  <c r="C62" i="31" s="1"/>
  <c r="C62" i="33"/>
  <c r="ED57" i="31"/>
  <c r="D58" i="31" s="1"/>
  <c r="E58" i="31" s="1"/>
  <c r="D58" i="34"/>
  <c r="J102" i="33"/>
  <c r="J5" i="31"/>
  <c r="J102" i="31" s="1"/>
  <c r="ED66" i="31"/>
  <c r="D67" i="31" s="1"/>
  <c r="E67" i="31" s="1"/>
  <c r="D67" i="34"/>
  <c r="ED34" i="31"/>
  <c r="D35" i="31" s="1"/>
  <c r="E35" i="31" s="1"/>
  <c r="D35" i="34"/>
  <c r="ED6" i="31"/>
  <c r="D7" i="31" s="1"/>
  <c r="E7" i="31" s="1"/>
  <c r="D7" i="34"/>
  <c r="BY102" i="33"/>
  <c r="BY5" i="31"/>
  <c r="BY102" i="31" s="1"/>
  <c r="ED93" i="31"/>
  <c r="D94" i="31" s="1"/>
  <c r="E94" i="31" s="1"/>
  <c r="D94" i="34"/>
  <c r="AL89" i="31"/>
  <c r="B90" i="31" s="1"/>
  <c r="B90" i="33"/>
  <c r="CH74" i="31"/>
  <c r="C75" i="31" s="1"/>
  <c r="C75" i="33"/>
  <c r="ED50" i="31"/>
  <c r="D51" i="31" s="1"/>
  <c r="E51" i="31" s="1"/>
  <c r="D51" i="34"/>
  <c r="ED22" i="31"/>
  <c r="D23" i="31" s="1"/>
  <c r="E23" i="31" s="1"/>
  <c r="D23" i="34"/>
  <c r="CH43" i="31"/>
  <c r="C44" i="31" s="1"/>
  <c r="C44" i="33"/>
  <c r="DR102" i="33"/>
  <c r="DR5" i="31"/>
  <c r="DR102" i="31" s="1"/>
  <c r="DP102" i="33"/>
  <c r="DP5" i="31"/>
  <c r="DP102" i="31" s="1"/>
  <c r="AL21" i="31"/>
  <c r="B22" i="31" s="1"/>
  <c r="B22" i="33"/>
  <c r="CH88" i="31"/>
  <c r="C89" i="31" s="1"/>
  <c r="C89" i="33"/>
  <c r="CH20" i="31"/>
  <c r="C21" i="31" s="1"/>
  <c r="C21" i="33"/>
  <c r="CH8" i="31"/>
  <c r="C9" i="31" s="1"/>
  <c r="C9" i="33"/>
  <c r="S102" i="33"/>
  <c r="S5" i="31"/>
  <c r="S102" i="31" s="1"/>
  <c r="AL94" i="31"/>
  <c r="B95" i="31" s="1"/>
  <c r="B95" i="33"/>
  <c r="CH73" i="31"/>
  <c r="C74" i="31" s="1"/>
  <c r="C74" i="33"/>
  <c r="AL65" i="31"/>
  <c r="B66" i="31" s="1"/>
  <c r="B66" i="33"/>
  <c r="AL9" i="31"/>
  <c r="B10" i="31" s="1"/>
  <c r="B10" i="33"/>
  <c r="AL38" i="31"/>
  <c r="B39" i="31" s="1"/>
  <c r="B39" i="33"/>
  <c r="CH84" i="31"/>
  <c r="C85" i="31" s="1"/>
  <c r="C85" i="33"/>
  <c r="ED41" i="31"/>
  <c r="D42" i="31" s="1"/>
  <c r="E42" i="31" s="1"/>
  <c r="D42" i="34"/>
  <c r="D6" i="33"/>
  <c r="D105" i="33" s="1"/>
  <c r="ED102" i="33"/>
  <c r="AL95" i="31"/>
  <c r="B96" i="31" s="1"/>
  <c r="B96" i="33"/>
  <c r="BH102" i="33"/>
  <c r="BH5" i="31"/>
  <c r="BH102" i="31" s="1"/>
  <c r="ED74" i="31"/>
  <c r="D75" i="31" s="1"/>
  <c r="E75" i="31" s="1"/>
  <c r="D75" i="34"/>
  <c r="ED21" i="31"/>
  <c r="D22" i="31" s="1"/>
  <c r="E22" i="31" s="1"/>
  <c r="D22" i="34"/>
  <c r="CH40" i="31"/>
  <c r="C41" i="31" s="1"/>
  <c r="C41" i="33"/>
  <c r="CH81" i="31"/>
  <c r="C82" i="31" s="1"/>
  <c r="C82" i="33"/>
  <c r="AL33" i="31"/>
  <c r="B34" i="31" s="1"/>
  <c r="B34" i="33"/>
  <c r="AL31" i="31"/>
  <c r="B32" i="31" s="1"/>
  <c r="B32" i="33"/>
  <c r="EF102" i="33"/>
  <c r="CH42" i="31"/>
  <c r="C43" i="31" s="1"/>
  <c r="C43" i="33"/>
  <c r="CH18" i="31"/>
  <c r="C19" i="31" s="1"/>
  <c r="C19" i="33"/>
  <c r="AL44" i="31"/>
  <c r="B45" i="31" s="1"/>
  <c r="B45" i="33"/>
  <c r="DI102" i="33"/>
  <c r="DI5" i="31"/>
  <c r="DI102" i="31" s="1"/>
  <c r="BK102" i="33"/>
  <c r="BK5" i="31"/>
  <c r="BK102" i="31" s="1"/>
  <c r="CH65" i="31"/>
  <c r="C66" i="31" s="1"/>
  <c r="C66" i="33"/>
  <c r="AL59" i="31"/>
  <c r="B60" i="31" s="1"/>
  <c r="B60" i="33"/>
  <c r="AL67" i="31"/>
  <c r="B68" i="31" s="1"/>
  <c r="B68" i="33"/>
  <c r="CH51" i="31"/>
  <c r="C52" i="31" s="1"/>
  <c r="C52" i="33"/>
  <c r="AQ102" i="33"/>
  <c r="AQ5" i="31"/>
  <c r="AQ102" i="31" s="1"/>
  <c r="AL76" i="31"/>
  <c r="B77" i="31" s="1"/>
  <c r="B77" i="33"/>
  <c r="AL85" i="31"/>
  <c r="B86" i="31" s="1"/>
  <c r="B86" i="33"/>
  <c r="ED84" i="31"/>
  <c r="D85" i="31" s="1"/>
  <c r="E85" i="31" s="1"/>
  <c r="D85" i="34"/>
  <c r="CH80" i="31"/>
  <c r="C81" i="31" s="1"/>
  <c r="C81" i="33"/>
  <c r="AL77" i="31"/>
  <c r="B78" i="31" s="1"/>
  <c r="B78" i="33"/>
  <c r="CH69" i="31"/>
  <c r="C70" i="31" s="1"/>
  <c r="C70" i="33"/>
  <c r="ED32" i="31"/>
  <c r="D33" i="31" s="1"/>
  <c r="E33" i="31" s="1"/>
  <c r="D33" i="34"/>
  <c r="AL25" i="31"/>
  <c r="B26" i="31" s="1"/>
  <c r="B26" i="33"/>
  <c r="AL17" i="31"/>
  <c r="B18" i="31" s="1"/>
  <c r="B18" i="33"/>
  <c r="AL15" i="31"/>
  <c r="B16" i="31" s="1"/>
  <c r="B16" i="33"/>
  <c r="AL13" i="31"/>
  <c r="B14" i="31" s="1"/>
  <c r="B14" i="33"/>
  <c r="EB102" i="34"/>
  <c r="EB5" i="31"/>
  <c r="EB102" i="31" s="1"/>
  <c r="ED97" i="31"/>
  <c r="D98" i="31" s="1"/>
  <c r="E98" i="31" s="1"/>
  <c r="D98" i="34"/>
  <c r="AL97" i="31"/>
  <c r="B98" i="31" s="1"/>
  <c r="B98" i="33"/>
  <c r="ED92" i="31"/>
  <c r="D93" i="31" s="1"/>
  <c r="E93" i="31" s="1"/>
  <c r="D93" i="34"/>
  <c r="ED61" i="31"/>
  <c r="D62" i="31" s="1"/>
  <c r="E62" i="31" s="1"/>
  <c r="D62" i="34"/>
  <c r="DD102" i="33"/>
  <c r="DD5" i="31"/>
  <c r="DD102" i="31" s="1"/>
  <c r="AL86" i="31"/>
  <c r="B87" i="31" s="1"/>
  <c r="B87" i="33"/>
  <c r="CA102" i="33"/>
  <c r="CA5" i="31"/>
  <c r="CA102" i="31" s="1"/>
  <c r="DU102" i="33"/>
  <c r="DU5" i="31"/>
  <c r="DU102" i="31" s="1"/>
  <c r="ED96" i="31"/>
  <c r="D97" i="31" s="1"/>
  <c r="E97" i="31" s="1"/>
  <c r="D97" i="34"/>
  <c r="AL93" i="31"/>
  <c r="B94" i="31" s="1"/>
  <c r="B94" i="33"/>
  <c r="CH60" i="31"/>
  <c r="C61" i="31" s="1"/>
  <c r="C61" i="33"/>
  <c r="CH48" i="31"/>
  <c r="C49" i="31" s="1"/>
  <c r="C49" i="33"/>
  <c r="D49" i="34"/>
  <c r="ED48" i="31"/>
  <c r="D49" i="31" s="1"/>
  <c r="E49" i="31" s="1"/>
  <c r="ED37" i="31"/>
  <c r="D38" i="31" s="1"/>
  <c r="E38" i="31" s="1"/>
  <c r="D38" i="34"/>
  <c r="AL22" i="31"/>
  <c r="B23" i="31" s="1"/>
  <c r="B23" i="33"/>
  <c r="CH71" i="31"/>
  <c r="C72" i="31" s="1"/>
  <c r="C72" i="33"/>
  <c r="ED55" i="31"/>
  <c r="D56" i="31" s="1"/>
  <c r="E56" i="31" s="1"/>
  <c r="D56" i="34"/>
  <c r="CH19" i="31"/>
  <c r="C20" i="31" s="1"/>
  <c r="C20" i="33"/>
  <c r="ED7" i="31"/>
  <c r="D8" i="31" s="1"/>
  <c r="E8" i="31" s="1"/>
  <c r="D8" i="34"/>
  <c r="BT102" i="33"/>
  <c r="BT5" i="31"/>
  <c r="BT102" i="31" s="1"/>
  <c r="CH72" i="31"/>
  <c r="C73" i="31" s="1"/>
  <c r="C73" i="33"/>
  <c r="CH36" i="31"/>
  <c r="C37" i="31" s="1"/>
  <c r="C37" i="33"/>
  <c r="AL20" i="31"/>
  <c r="B21" i="31" s="1"/>
  <c r="B21" i="33"/>
  <c r="DG102" i="33"/>
  <c r="DG5" i="31"/>
  <c r="DG102" i="31" s="1"/>
  <c r="ED94" i="31"/>
  <c r="D95" i="31" s="1"/>
  <c r="E95" i="31" s="1"/>
  <c r="D95" i="34"/>
  <c r="AL73" i="31"/>
  <c r="B74" i="31" s="1"/>
  <c r="B74" i="33"/>
  <c r="ED49" i="31"/>
  <c r="D50" i="31" s="1"/>
  <c r="E50" i="31" s="1"/>
  <c r="D50" i="34"/>
  <c r="ED45" i="31"/>
  <c r="D46" i="31" s="1"/>
  <c r="E46" i="31" s="1"/>
  <c r="D46" i="34"/>
  <c r="CH9" i="31"/>
  <c r="C10" i="31" s="1"/>
  <c r="C10" i="33"/>
  <c r="ED68" i="31"/>
  <c r="D69" i="31" s="1"/>
  <c r="E69" i="31" s="1"/>
  <c r="D69" i="34"/>
  <c r="AL56" i="31"/>
  <c r="B57" i="31" s="1"/>
  <c r="B57" i="33"/>
  <c r="AU102" i="33"/>
  <c r="AU5" i="31"/>
  <c r="AU102" i="31" s="1"/>
  <c r="AL52" i="31"/>
  <c r="B53" i="31" s="1"/>
  <c r="B53" i="33"/>
  <c r="ED80" i="31"/>
  <c r="D81" i="31" s="1"/>
  <c r="E81" i="31" s="1"/>
  <c r="D81" i="34"/>
  <c r="CH16" i="31"/>
  <c r="C17" i="31" s="1"/>
  <c r="C17" i="33"/>
  <c r="AL71" i="31"/>
  <c r="B72" i="31" s="1"/>
  <c r="B72" i="33"/>
  <c r="Z102" i="33"/>
  <c r="Z5" i="31"/>
  <c r="Z102" i="31" s="1"/>
  <c r="CH99" i="31"/>
  <c r="C100" i="31" s="1"/>
  <c r="C100" i="33"/>
  <c r="ED39" i="31"/>
  <c r="D40" i="31" s="1"/>
  <c r="E40" i="31" s="1"/>
  <c r="D40" i="34"/>
  <c r="AL24" i="31"/>
  <c r="B25" i="31" s="1"/>
  <c r="B25" i="33"/>
  <c r="CO102" i="33"/>
  <c r="CO5" i="31"/>
  <c r="CO102" i="31" s="1"/>
  <c r="ED100" i="31"/>
  <c r="D101" i="31" s="1"/>
  <c r="E101" i="31" s="1"/>
  <c r="D101" i="34"/>
  <c r="ED76" i="31"/>
  <c r="D77" i="31" s="1"/>
  <c r="E77" i="31" s="1"/>
  <c r="D77" i="34"/>
  <c r="CH68" i="31"/>
  <c r="C69" i="31" s="1"/>
  <c r="C69" i="33"/>
  <c r="AL83" i="31"/>
  <c r="B84" i="31" s="1"/>
  <c r="B84" i="33"/>
  <c r="AL79" i="31"/>
  <c r="B80" i="31" s="1"/>
  <c r="B80" i="33"/>
  <c r="ED78" i="31"/>
  <c r="D79" i="31" s="1"/>
  <c r="E79" i="31" s="1"/>
  <c r="D79" i="34"/>
  <c r="AL41" i="31"/>
  <c r="B42" i="31" s="1"/>
  <c r="B42" i="33"/>
  <c r="ED30" i="31"/>
  <c r="D31" i="31" s="1"/>
  <c r="E31" i="31" s="1"/>
  <c r="D31" i="34"/>
  <c r="AL27" i="31"/>
  <c r="B28" i="31" s="1"/>
  <c r="B28" i="33"/>
  <c r="ED26" i="31"/>
  <c r="D27" i="31" s="1"/>
  <c r="E27" i="31" s="1"/>
  <c r="D27" i="34"/>
  <c r="CH25" i="31"/>
  <c r="C26" i="31" s="1"/>
  <c r="C26" i="33"/>
  <c r="ED16" i="31"/>
  <c r="D17" i="31" s="1"/>
  <c r="E17" i="31" s="1"/>
  <c r="D17" i="34"/>
  <c r="ED5" i="31"/>
  <c r="D6" i="31" s="1"/>
  <c r="E6" i="31" s="1"/>
  <c r="CH95" i="31"/>
  <c r="C96" i="31" s="1"/>
  <c r="C96" i="33"/>
  <c r="AL92" i="31"/>
  <c r="B93" i="31" s="1"/>
  <c r="B93" i="33"/>
  <c r="AL90" i="31"/>
  <c r="B91" i="31" s="1"/>
  <c r="B91" i="33"/>
  <c r="AL64" i="31"/>
  <c r="B65" i="31" s="1"/>
  <c r="B65" i="33"/>
  <c r="CH57" i="31"/>
  <c r="C58" i="31" s="1"/>
  <c r="C58" i="33"/>
  <c r="L102" i="33"/>
  <c r="L5" i="31"/>
  <c r="L102" i="31" s="1"/>
  <c r="CH66" i="31"/>
  <c r="C67" i="31" s="1"/>
  <c r="C67" i="33"/>
  <c r="ED10" i="31"/>
  <c r="D11" i="31" s="1"/>
  <c r="E11" i="31" s="1"/>
  <c r="D11" i="34"/>
  <c r="ED70" i="31"/>
  <c r="D71" i="31" s="1"/>
  <c r="E71" i="31" s="1"/>
  <c r="D71" i="34"/>
  <c r="CH54" i="31"/>
  <c r="C55" i="31" s="1"/>
  <c r="C55" i="33"/>
  <c r="AL42" i="31"/>
  <c r="B43" i="31" s="1"/>
  <c r="B43" i="33"/>
  <c r="AL34" i="31"/>
  <c r="B35" i="31" s="1"/>
  <c r="B35" i="33"/>
  <c r="AL6" i="31"/>
  <c r="B7" i="31" s="1"/>
  <c r="B7" i="33"/>
  <c r="DY102" i="33"/>
  <c r="DY5" i="31"/>
  <c r="DY102" i="31" s="1"/>
  <c r="CH96" i="31"/>
  <c r="C97" i="31" s="1"/>
  <c r="C97" i="33"/>
  <c r="ED63" i="31"/>
  <c r="D64" i="31" s="1"/>
  <c r="E64" i="31" s="1"/>
  <c r="D64" i="34"/>
  <c r="ED87" i="31"/>
  <c r="D88" i="31" s="1"/>
  <c r="E88" i="31" s="1"/>
  <c r="D88" i="34"/>
  <c r="ED71" i="31"/>
  <c r="D72" i="31" s="1"/>
  <c r="E72" i="31" s="1"/>
  <c r="D72" i="34"/>
  <c r="CH55" i="31"/>
  <c r="C56" i="31" s="1"/>
  <c r="C56" i="33"/>
  <c r="X102" i="33"/>
  <c r="X5" i="31"/>
  <c r="X102" i="31" s="1"/>
  <c r="AL88" i="31"/>
  <c r="B89" i="31" s="1"/>
  <c r="B89" i="33"/>
  <c r="ED56" i="31"/>
  <c r="D57" i="31" s="1"/>
  <c r="E57" i="31" s="1"/>
  <c r="D57" i="34"/>
  <c r="ED8" i="31"/>
  <c r="D9" i="31" s="1"/>
  <c r="E9" i="31" s="1"/>
  <c r="D9" i="34"/>
  <c r="Q102" i="33"/>
  <c r="Q5" i="31"/>
  <c r="Q102" i="31" s="1"/>
  <c r="CH94" i="31"/>
  <c r="C95" i="31" s="1"/>
  <c r="C95" i="33"/>
  <c r="CH62" i="31"/>
  <c r="C63" i="31" s="1"/>
  <c r="C63" i="33"/>
  <c r="CH47" i="31"/>
  <c r="C48" i="31" s="1"/>
  <c r="C48" i="33"/>
  <c r="CH38" i="31"/>
  <c r="C39" i="31" s="1"/>
  <c r="C39" i="33"/>
  <c r="CM102" i="33"/>
  <c r="CM5" i="31"/>
  <c r="CM102" i="31" s="1"/>
  <c r="ED77" i="31"/>
  <c r="D78" i="31" s="1"/>
  <c r="E78" i="31" s="1"/>
  <c r="D78" i="34"/>
  <c r="CJ102" i="33"/>
  <c r="CJ5" i="31"/>
  <c r="CJ102" i="31" s="1"/>
  <c r="ED98" i="31"/>
  <c r="D99" i="31" s="1"/>
  <c r="E99" i="31" s="1"/>
  <c r="D99" i="34"/>
  <c r="ED42" i="31"/>
  <c r="D43" i="31" s="1"/>
  <c r="E43" i="31" s="1"/>
  <c r="D43" i="34"/>
  <c r="AG102" i="33"/>
  <c r="AG5" i="31"/>
  <c r="AG102" i="31" s="1"/>
  <c r="CH87" i="31"/>
  <c r="C88" i="31" s="1"/>
  <c r="C88" i="33"/>
  <c r="AL72" i="31"/>
  <c r="B73" i="31" s="1"/>
  <c r="B73" i="33"/>
  <c r="ED62" i="31"/>
  <c r="D63" i="31" s="1"/>
  <c r="E63" i="31" s="1"/>
  <c r="D63" i="34"/>
  <c r="AL39" i="31"/>
  <c r="B40" i="31" s="1"/>
  <c r="B40" i="33"/>
  <c r="CZ102" i="33"/>
  <c r="CZ5" i="31"/>
  <c r="CZ102" i="31" s="1"/>
  <c r="CH10" i="31"/>
  <c r="C11" i="31" s="1"/>
  <c r="C11" i="33"/>
  <c r="CC102" i="33"/>
  <c r="CC5" i="31"/>
  <c r="CC102" i="31" s="1"/>
  <c r="AL46" i="31"/>
  <c r="B47" i="31" s="1"/>
  <c r="B47" i="33"/>
  <c r="CH35" i="31"/>
  <c r="C36" i="31" s="1"/>
  <c r="C36" i="33"/>
  <c r="AL99" i="31"/>
  <c r="B100" i="31" s="1"/>
  <c r="B100" i="33"/>
  <c r="ED75" i="31"/>
  <c r="D76" i="31" s="1"/>
  <c r="E76" i="31" s="1"/>
  <c r="D76" i="34"/>
  <c r="AL51" i="31"/>
  <c r="B52" i="31" s="1"/>
  <c r="B52" i="33"/>
  <c r="ED11" i="31"/>
  <c r="D12" i="31" s="1"/>
  <c r="E12" i="31" s="1"/>
  <c r="D12" i="34"/>
  <c r="ED12" i="31"/>
  <c r="D13" i="31" s="1"/>
  <c r="E13" i="31" s="1"/>
  <c r="D13" i="34"/>
  <c r="CQ102" i="33"/>
  <c r="CQ5" i="31"/>
  <c r="CQ102" i="31" s="1"/>
  <c r="CH76" i="31"/>
  <c r="C77" i="31" s="1"/>
  <c r="C77" i="33"/>
  <c r="CH52" i="31"/>
  <c r="C53" i="31" s="1"/>
  <c r="C53" i="33"/>
  <c r="ED82" i="31"/>
  <c r="D83" i="31" s="1"/>
  <c r="E83" i="31" s="1"/>
  <c r="D83" i="34"/>
  <c r="CH79" i="31"/>
  <c r="C80" i="31" s="1"/>
  <c r="C80" i="33"/>
  <c r="AL53" i="31"/>
  <c r="B54" i="31" s="1"/>
  <c r="B54" i="33"/>
  <c r="CH33" i="31"/>
  <c r="C34" i="31" s="1"/>
  <c r="C34" i="33"/>
  <c r="CH32" i="31"/>
  <c r="C33" i="31" s="1"/>
  <c r="C33" i="33"/>
  <c r="CH31" i="31"/>
  <c r="C32" i="31" s="1"/>
  <c r="C32" i="33"/>
  <c r="CH29" i="31"/>
  <c r="C30" i="31" s="1"/>
  <c r="C30" i="33"/>
  <c r="ED28" i="31"/>
  <c r="D29" i="31" s="1"/>
  <c r="E29" i="31" s="1"/>
  <c r="D29" i="34"/>
  <c r="ED14" i="31"/>
  <c r="D15" i="31" s="1"/>
  <c r="E15" i="31" s="1"/>
  <c r="D15" i="34"/>
  <c r="AN102" i="33"/>
  <c r="AN5" i="31"/>
  <c r="AN102" i="31" s="1"/>
  <c r="EF102" i="34"/>
  <c r="EF5" i="31"/>
  <c r="EF102" i="31" s="1"/>
  <c r="BD102" i="33"/>
  <c r="BD5" i="31"/>
  <c r="BD102" i="31" s="1"/>
  <c r="CH86" i="31"/>
  <c r="C87" i="31" s="1"/>
  <c r="C87" i="33"/>
  <c r="ED86" i="31"/>
  <c r="D87" i="31" s="1"/>
  <c r="E87" i="31" s="1"/>
  <c r="D87" i="34"/>
  <c r="AL18" i="31"/>
  <c r="B19" i="31" s="1"/>
  <c r="B19" i="33"/>
  <c r="CH6" i="31"/>
  <c r="C7" i="31" s="1"/>
  <c r="C7" i="33"/>
  <c r="DW102" i="33"/>
  <c r="DW5" i="31"/>
  <c r="DW102" i="31" s="1"/>
  <c r="ED91" i="31"/>
  <c r="D92" i="31" s="1"/>
  <c r="E92" i="31" s="1"/>
  <c r="D92" i="34"/>
  <c r="CH89" i="31"/>
  <c r="C90" i="31" s="1"/>
  <c r="C90" i="33"/>
  <c r="AL60" i="31"/>
  <c r="B61" i="31" s="1"/>
  <c r="B61" i="33"/>
  <c r="ED58" i="31"/>
  <c r="D59" i="31" s="1"/>
  <c r="E59" i="31" s="1"/>
  <c r="D59" i="34"/>
  <c r="ED46" i="31"/>
  <c r="D47" i="31" s="1"/>
  <c r="E47" i="31" s="1"/>
  <c r="D47" i="34"/>
  <c r="CH50" i="31"/>
  <c r="C51" i="31" s="1"/>
  <c r="C51" i="33"/>
  <c r="AL87" i="31"/>
  <c r="B88" i="31" s="1"/>
  <c r="B88" i="33"/>
  <c r="AL55" i="31"/>
  <c r="B56" i="31" s="1"/>
  <c r="B56" i="33"/>
  <c r="ED43" i="31"/>
  <c r="D44" i="31" s="1"/>
  <c r="E44" i="31" s="1"/>
  <c r="D44" i="34"/>
  <c r="V102" i="33"/>
  <c r="V5" i="31"/>
  <c r="V102" i="31" s="1"/>
  <c r="CH21" i="31"/>
  <c r="C22" i="31" s="1"/>
  <c r="C22" i="33"/>
  <c r="D89" i="34"/>
  <c r="ED88" i="31"/>
  <c r="D89" i="31" s="1"/>
  <c r="E89" i="31" s="1"/>
  <c r="CH44" i="31"/>
  <c r="C45" i="31" s="1"/>
  <c r="C45" i="33"/>
  <c r="ED44" i="31"/>
  <c r="D45" i="31" s="1"/>
  <c r="E45" i="31" s="1"/>
  <c r="D45" i="34"/>
  <c r="ED36" i="31"/>
  <c r="D37" i="31" s="1"/>
  <c r="E37" i="31" s="1"/>
  <c r="D37" i="34"/>
  <c r="DK102" i="33"/>
  <c r="DK5" i="31"/>
  <c r="DK102" i="31" s="1"/>
  <c r="AL62" i="31"/>
  <c r="B63" i="31" s="1"/>
  <c r="B63" i="33"/>
  <c r="AL49" i="31"/>
  <c r="B50" i="31" s="1"/>
  <c r="B50" i="33"/>
  <c r="AL45" i="31"/>
  <c r="B46" i="31" s="1"/>
  <c r="B46" i="33"/>
  <c r="CH11" i="31"/>
  <c r="C12" i="31" s="1"/>
  <c r="C12" i="33"/>
  <c r="ED79" i="31"/>
  <c r="D80" i="31" s="1"/>
  <c r="E80" i="31" s="1"/>
  <c r="D80" i="34"/>
  <c r="ED18" i="31"/>
  <c r="D19" i="31" s="1"/>
  <c r="E19" i="31" s="1"/>
  <c r="D19" i="34"/>
  <c r="ED60" i="31"/>
  <c r="D61" i="31" s="1"/>
  <c r="E61" i="31" s="1"/>
  <c r="D61" i="34"/>
  <c r="AL23" i="31"/>
  <c r="B24" i="31" s="1"/>
  <c r="B24" i="33"/>
  <c r="AL29" i="31"/>
  <c r="B30" i="31" s="1"/>
  <c r="B30" i="33"/>
  <c r="CH14" i="31"/>
  <c r="C15" i="31" s="1"/>
  <c r="C15" i="33"/>
  <c r="AL102" i="33"/>
  <c r="AL5" i="31"/>
  <c r="B6" i="31" s="1"/>
  <c r="B6" i="33"/>
  <c r="CH70" i="31"/>
  <c r="C71" i="31" s="1"/>
  <c r="C71" i="33"/>
  <c r="AL96" i="31"/>
  <c r="B97" i="31" s="1"/>
  <c r="B97" i="33"/>
  <c r="CH63" i="31"/>
  <c r="C64" i="31" s="1"/>
  <c r="C64" i="33"/>
  <c r="CH58" i="31"/>
  <c r="C59" i="31" s="1"/>
  <c r="C59" i="33"/>
  <c r="AL37" i="31"/>
  <c r="B38" i="31" s="1"/>
  <c r="B38" i="33"/>
  <c r="AL50" i="31"/>
  <c r="B51" i="31" s="1"/>
  <c r="B51" i="33"/>
  <c r="CH39" i="31"/>
  <c r="C40" i="31" s="1"/>
  <c r="C40" i="33"/>
  <c r="CH23" i="31"/>
  <c r="C24" i="31" s="1"/>
  <c r="C24" i="33"/>
  <c r="ED23" i="31"/>
  <c r="D24" i="31" s="1"/>
  <c r="E24" i="31" s="1"/>
  <c r="D24" i="34"/>
  <c r="EI102" i="33"/>
  <c r="EI5" i="31"/>
  <c r="EI102" i="31" s="1"/>
  <c r="AL100" i="31"/>
  <c r="B101" i="31" s="1"/>
  <c r="B101" i="33"/>
  <c r="ED40" i="31"/>
  <c r="D41" i="31" s="1"/>
  <c r="E41" i="31" s="1"/>
  <c r="D41" i="34"/>
  <c r="CH85" i="31"/>
  <c r="C86" i="31" s="1"/>
  <c r="C86" i="33"/>
  <c r="AL82" i="31"/>
  <c r="B83" i="31" s="1"/>
  <c r="B83" i="33"/>
  <c r="AL80" i="31"/>
  <c r="B81" i="31" s="1"/>
  <c r="B81" i="33"/>
  <c r="CH78" i="31"/>
  <c r="C79" i="31" s="1"/>
  <c r="C79" i="33"/>
  <c r="CH53" i="31"/>
  <c r="C54" i="31" s="1"/>
  <c r="C54" i="33"/>
  <c r="CH28" i="31"/>
  <c r="C29" i="31" s="1"/>
  <c r="C29" i="33"/>
  <c r="AL26" i="31"/>
  <c r="B27" i="31" s="1"/>
  <c r="B27" i="33"/>
  <c r="CH15" i="31"/>
  <c r="C16" i="31" s="1"/>
  <c r="C16" i="33"/>
  <c r="CH102" i="33"/>
  <c r="CH5" i="31"/>
  <c r="C6" i="31" s="1"/>
  <c r="C6" i="33"/>
  <c r="CH97" i="31"/>
  <c r="C98" i="31" s="1"/>
  <c r="C98" i="33"/>
  <c r="AL61" i="31"/>
  <c r="B62" i="31" s="1"/>
  <c r="B62" i="33"/>
  <c r="AL57" i="31"/>
  <c r="B58" i="31" s="1"/>
  <c r="B58" i="33"/>
  <c r="BF102" i="33"/>
  <c r="BF5" i="31"/>
  <c r="BF102" i="31" s="1"/>
  <c r="AL10" i="31"/>
  <c r="B11" i="31" s="1"/>
  <c r="B11" i="33"/>
  <c r="ED54" i="31"/>
  <c r="D55" i="31" s="1"/>
  <c r="E55" i="31" s="1"/>
  <c r="D55" i="34"/>
  <c r="AC102" i="33"/>
  <c r="AC5" i="31"/>
  <c r="AC102" i="31" s="1"/>
  <c r="CH93" i="31"/>
  <c r="C94" i="31" s="1"/>
  <c r="C94" i="33"/>
  <c r="AL91" i="31"/>
  <c r="B92" i="31" s="1"/>
  <c r="B92" i="33"/>
  <c r="AL74" i="31"/>
  <c r="B75" i="31" s="1"/>
  <c r="B75" i="33"/>
  <c r="CH22" i="31"/>
  <c r="C23" i="31" s="1"/>
  <c r="C23" i="33"/>
  <c r="AL43" i="31"/>
  <c r="B44" i="31" s="1"/>
  <c r="B44" i="33"/>
  <c r="AL35" i="31"/>
  <c r="B36" i="31" s="1"/>
  <c r="B36" i="33"/>
  <c r="ED35" i="31"/>
  <c r="D36" i="31" s="1"/>
  <c r="E36" i="31" s="1"/>
  <c r="D36" i="34"/>
  <c r="ED19" i="31"/>
  <c r="D20" i="31" s="1"/>
  <c r="E20" i="31" s="1"/>
  <c r="D20" i="34"/>
  <c r="AL7" i="31"/>
  <c r="B8" i="31" s="1"/>
  <c r="B8" i="33"/>
  <c r="BR102" i="33"/>
  <c r="BR5" i="31"/>
  <c r="BR102" i="31" s="1"/>
  <c r="ED20" i="31"/>
  <c r="D21" i="31" s="1"/>
  <c r="E21" i="31" s="1"/>
  <c r="D21" i="34"/>
  <c r="BM102" i="33"/>
  <c r="BM5" i="31"/>
  <c r="BM102" i="31" s="1"/>
  <c r="ED65" i="31"/>
  <c r="D66" i="31" s="1"/>
  <c r="E66" i="31" s="1"/>
  <c r="D66" i="34"/>
  <c r="CH59" i="31"/>
  <c r="C60" i="31" s="1"/>
  <c r="C60" i="33"/>
  <c r="ED59" i="31"/>
  <c r="D60" i="31" s="1"/>
  <c r="E60" i="31" s="1"/>
  <c r="D60" i="34"/>
  <c r="ED47" i="31"/>
  <c r="D48" i="31" s="1"/>
  <c r="E48" i="31" s="1"/>
  <c r="D48" i="34"/>
  <c r="ED38" i="31"/>
  <c r="D39" i="31" s="1"/>
  <c r="E39" i="31" s="1"/>
  <c r="D39" i="34"/>
  <c r="ED33" i="31"/>
  <c r="D34" i="31" s="1"/>
  <c r="E34" i="31" s="1"/>
  <c r="D34" i="34"/>
  <c r="DN102" i="33"/>
  <c r="DN5" i="31"/>
  <c r="DN102" i="31" s="1"/>
  <c r="CH75" i="31"/>
  <c r="C76" i="31" s="1"/>
  <c r="C76" i="33"/>
  <c r="CH82" i="31"/>
  <c r="C83" i="31" s="1"/>
  <c r="C83" i="33"/>
  <c r="AL98" i="31"/>
  <c r="B99" i="31" s="1"/>
  <c r="B99" i="33"/>
  <c r="CH34" i="31"/>
  <c r="C35" i="31" s="1"/>
  <c r="C35" i="33"/>
  <c r="ED99" i="31"/>
  <c r="D100" i="31" s="1"/>
  <c r="E100" i="31" s="1"/>
  <c r="D100" i="34"/>
  <c r="AL75" i="31"/>
  <c r="B76" i="31" s="1"/>
  <c r="B76" i="33"/>
  <c r="ED67" i="31"/>
  <c r="D68" i="31" s="1"/>
  <c r="E68" i="31" s="1"/>
  <c r="D68" i="34"/>
  <c r="ED51" i="31"/>
  <c r="D52" i="31" s="1"/>
  <c r="E52" i="31" s="1"/>
  <c r="D52" i="34"/>
  <c r="AL11" i="31"/>
  <c r="B12" i="31" s="1"/>
  <c r="B12" i="33"/>
  <c r="CH24" i="31"/>
  <c r="C25" i="31" s="1"/>
  <c r="C25" i="33"/>
  <c r="CH12" i="31"/>
  <c r="C13" i="31" s="1"/>
  <c r="C13" i="33"/>
  <c r="EK102" i="33"/>
  <c r="EK5" i="31"/>
  <c r="EK102" i="31" s="1"/>
  <c r="EM102" i="33"/>
  <c r="EM5" i="31"/>
  <c r="EM102" i="31" s="1"/>
  <c r="ED52" i="31"/>
  <c r="D53" i="31" s="1"/>
  <c r="E53" i="31" s="1"/>
  <c r="D53" i="34"/>
  <c r="AL40" i="31"/>
  <c r="B41" i="31" s="1"/>
  <c r="B41" i="33"/>
  <c r="AL84" i="31"/>
  <c r="B85" i="31" s="1"/>
  <c r="B85" i="33"/>
  <c r="CH83" i="31"/>
  <c r="C84" i="31" s="1"/>
  <c r="C84" i="33"/>
  <c r="AL81" i="31"/>
  <c r="B82" i="31" s="1"/>
  <c r="B82" i="33"/>
  <c r="AL69" i="31"/>
  <c r="B70" i="31" s="1"/>
  <c r="B70" i="33"/>
  <c r="AL32" i="31"/>
  <c r="B33" i="31" s="1"/>
  <c r="B33" i="33"/>
  <c r="ED31" i="31"/>
  <c r="D32" i="31" s="1"/>
  <c r="E32" i="31" s="1"/>
  <c r="D32" i="34"/>
  <c r="AL30" i="31"/>
  <c r="B31" i="31" s="1"/>
  <c r="B31" i="33"/>
  <c r="ED27" i="31"/>
  <c r="D28" i="31" s="1"/>
  <c r="E28" i="31" s="1"/>
  <c r="D28" i="34"/>
  <c r="ED25" i="31"/>
  <c r="D26" i="31" s="1"/>
  <c r="E26" i="31" s="1"/>
  <c r="D26" i="34"/>
  <c r="CH17" i="31"/>
  <c r="C18" i="31" s="1"/>
  <c r="C18" i="33"/>
  <c r="AL16" i="31"/>
  <c r="B17" i="31" s="1"/>
  <c r="B17" i="33"/>
  <c r="AL14" i="31"/>
  <c r="B15" i="31" s="1"/>
  <c r="B15" i="33"/>
  <c r="CH13" i="31"/>
  <c r="C14" i="31" s="1"/>
  <c r="C14" i="33"/>
  <c r="CF102" i="33"/>
  <c r="CF5" i="31"/>
  <c r="CF102" i="31" s="1"/>
  <c r="ED95" i="31"/>
  <c r="D96" i="31" s="1"/>
  <c r="E96" i="31" s="1"/>
  <c r="D96" i="34"/>
  <c r="CH92" i="31"/>
  <c r="C93" i="31" s="1"/>
  <c r="C93" i="33"/>
  <c r="CH90" i="31"/>
  <c r="C91" i="31" s="1"/>
  <c r="C91" i="33"/>
  <c r="H102" i="33"/>
  <c r="H5" i="31"/>
  <c r="H102" i="31" s="1"/>
  <c r="DB102" i="33"/>
  <c r="DB5" i="31"/>
  <c r="DB102" i="31" s="1"/>
  <c r="CH98" i="31"/>
  <c r="C99" i="31" s="1"/>
  <c r="C99" i="33"/>
  <c r="AL66" i="31"/>
  <c r="B67" i="31" s="1"/>
  <c r="B67" i="33"/>
  <c r="AL70" i="31"/>
  <c r="B71" i="31" s="1"/>
  <c r="B71" i="33"/>
  <c r="AL54" i="31"/>
  <c r="B55" i="31" s="1"/>
  <c r="B55" i="33"/>
  <c r="AE102" i="33"/>
  <c r="AE5" i="31"/>
  <c r="AE102" i="31" s="1"/>
  <c r="CH91" i="31"/>
  <c r="C92" i="31" s="1"/>
  <c r="C92" i="33"/>
  <c r="AL63" i="31"/>
  <c r="B64" i="31" s="1"/>
  <c r="B64" i="33"/>
  <c r="AL58" i="31"/>
  <c r="B59" i="31" s="1"/>
  <c r="B59" i="33"/>
  <c r="AL48" i="31"/>
  <c r="B49" i="31" s="1"/>
  <c r="B49" i="33"/>
  <c r="CH46" i="31"/>
  <c r="C47" i="31" s="1"/>
  <c r="C47" i="33"/>
  <c r="BV102" i="33"/>
  <c r="BV5" i="31"/>
  <c r="BV102" i="31" s="1"/>
  <c r="D73" i="34"/>
  <c r="ED72" i="31"/>
  <c r="D73" i="31" s="1"/>
  <c r="E73" i="31" s="1"/>
  <c r="CH56" i="31"/>
  <c r="C57" i="31" s="1"/>
  <c r="C57" i="33"/>
  <c r="BO102" i="33"/>
  <c r="BO5" i="31"/>
  <c r="BO102" i="31" s="1"/>
  <c r="ED73" i="31"/>
  <c r="D74" i="31" s="1"/>
  <c r="E74" i="31" s="1"/>
  <c r="D74" i="34"/>
  <c r="AJ102" i="31"/>
  <c r="I78" i="4"/>
  <c r="J78" i="4"/>
  <c r="I80" i="4"/>
  <c r="J80" i="4"/>
  <c r="H94" i="1"/>
  <c r="G7" i="2"/>
  <c r="G8" i="2"/>
  <c r="EO8" i="2" s="1"/>
  <c r="G9" i="2"/>
  <c r="EL9" i="2" s="1"/>
  <c r="G10" i="2"/>
  <c r="EO10" i="2" s="1"/>
  <c r="G11" i="2"/>
  <c r="EO11" i="2" s="1"/>
  <c r="G12" i="2"/>
  <c r="EL12" i="2" s="1"/>
  <c r="G13" i="2"/>
  <c r="EO13" i="2" s="1"/>
  <c r="G14" i="2"/>
  <c r="EO14" i="2" s="1"/>
  <c r="G15" i="2"/>
  <c r="EO15" i="2" s="1"/>
  <c r="G16" i="2"/>
  <c r="EL16" i="2" s="1"/>
  <c r="EK7" i="2"/>
  <c r="F8" i="2"/>
  <c r="F9" i="2"/>
  <c r="EK9" i="2" s="1"/>
  <c r="F10" i="2"/>
  <c r="EK10" i="2" s="1"/>
  <c r="F11" i="2"/>
  <c r="EN11" i="2" s="1"/>
  <c r="F12" i="2"/>
  <c r="F13" i="2"/>
  <c r="EN13" i="2" s="1"/>
  <c r="F14" i="2"/>
  <c r="EN14" i="2" s="1"/>
  <c r="F15" i="2"/>
  <c r="EK15" i="2" s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G17" i="2"/>
  <c r="EL17" i="2" s="1"/>
  <c r="G18" i="2"/>
  <c r="EL18" i="2" s="1"/>
  <c r="G19" i="2"/>
  <c r="EO19" i="2" s="1"/>
  <c r="G20" i="2"/>
  <c r="EL20" i="2" s="1"/>
  <c r="G21" i="2"/>
  <c r="EO21" i="2" s="1"/>
  <c r="G22" i="2"/>
  <c r="EL22" i="2" s="1"/>
  <c r="G23" i="2"/>
  <c r="EO23" i="2" s="1"/>
  <c r="G24" i="2"/>
  <c r="EO24" i="2" s="1"/>
  <c r="G25" i="2"/>
  <c r="EL25" i="2" s="1"/>
  <c r="G26" i="2"/>
  <c r="EL26" i="2" s="1"/>
  <c r="G27" i="2"/>
  <c r="EO27" i="2" s="1"/>
  <c r="G28" i="2"/>
  <c r="EO28" i="2" s="1"/>
  <c r="G29" i="2"/>
  <c r="EO29" i="2" s="1"/>
  <c r="G30" i="2"/>
  <c r="EL30" i="2" s="1"/>
  <c r="G31" i="2"/>
  <c r="EO31" i="2" s="1"/>
  <c r="G32" i="2"/>
  <c r="EO32" i="2" s="1"/>
  <c r="G33" i="2"/>
  <c r="EL33" i="2" s="1"/>
  <c r="G34" i="2"/>
  <c r="EL34" i="2" s="1"/>
  <c r="G35" i="2"/>
  <c r="EO35" i="2" s="1"/>
  <c r="G36" i="2"/>
  <c r="EO36" i="2" s="1"/>
  <c r="G37" i="2"/>
  <c r="EO37" i="2" s="1"/>
  <c r="G38" i="2"/>
  <c r="EL38" i="2" s="1"/>
  <c r="G39" i="2"/>
  <c r="EO39" i="2" s="1"/>
  <c r="G40" i="2"/>
  <c r="EO40" i="2" s="1"/>
  <c r="G41" i="2"/>
  <c r="EL41" i="2" s="1"/>
  <c r="G42" i="2"/>
  <c r="EL42" i="2" s="1"/>
  <c r="G43" i="2"/>
  <c r="EL43" i="2" s="1"/>
  <c r="G44" i="2"/>
  <c r="EO44" i="2" s="1"/>
  <c r="G45" i="2"/>
  <c r="EO45" i="2" s="1"/>
  <c r="G46" i="2"/>
  <c r="EL46" i="2" s="1"/>
  <c r="G47" i="2"/>
  <c r="EO47" i="2" s="1"/>
  <c r="G48" i="2"/>
  <c r="EL48" i="2" s="1"/>
  <c r="G49" i="2"/>
  <c r="EL49" i="2" s="1"/>
  <c r="G50" i="2"/>
  <c r="EL50" i="2" s="1"/>
  <c r="G51" i="2"/>
  <c r="EO51" i="2" s="1"/>
  <c r="G52" i="2"/>
  <c r="EL52" i="2" s="1"/>
  <c r="G53" i="2"/>
  <c r="EO53" i="2" s="1"/>
  <c r="G54" i="2"/>
  <c r="EL54" i="2" s="1"/>
  <c r="G55" i="2"/>
  <c r="EL55" i="2" s="1"/>
  <c r="G56" i="2"/>
  <c r="EO56" i="2" s="1"/>
  <c r="G57" i="2"/>
  <c r="EL57" i="2" s="1"/>
  <c r="G58" i="2"/>
  <c r="EL58" i="2" s="1"/>
  <c r="G59" i="2"/>
  <c r="EL59" i="2" s="1"/>
  <c r="G60" i="2"/>
  <c r="EO60" i="2" s="1"/>
  <c r="G61" i="2"/>
  <c r="EO61" i="2" s="1"/>
  <c r="G62" i="2"/>
  <c r="EL62" i="2" s="1"/>
  <c r="G63" i="2"/>
  <c r="EO63" i="2" s="1"/>
  <c r="G64" i="2"/>
  <c r="EO64" i="2" s="1"/>
  <c r="G65" i="2"/>
  <c r="EL65" i="2" s="1"/>
  <c r="G66" i="2"/>
  <c r="EL66" i="2" s="1"/>
  <c r="G67" i="2"/>
  <c r="EO67" i="2" s="1"/>
  <c r="G68" i="2"/>
  <c r="EO68" i="2" s="1"/>
  <c r="G69" i="2"/>
  <c r="EO69" i="2" s="1"/>
  <c r="G70" i="2"/>
  <c r="EL70" i="2" s="1"/>
  <c r="G71" i="2"/>
  <c r="EL71" i="2" s="1"/>
  <c r="G72" i="2"/>
  <c r="EL72" i="2" s="1"/>
  <c r="G73" i="2"/>
  <c r="EL73" i="2" s="1"/>
  <c r="G74" i="2"/>
  <c r="EL74" i="2" s="1"/>
  <c r="G75" i="2"/>
  <c r="G76" i="2"/>
  <c r="EO76" i="2" s="1"/>
  <c r="G77" i="2"/>
  <c r="EO77" i="2" s="1"/>
  <c r="G78" i="2"/>
  <c r="EL78" i="2" s="1"/>
  <c r="G79" i="2"/>
  <c r="EO79" i="2" s="1"/>
  <c r="G80" i="2"/>
  <c r="EL80" i="2" s="1"/>
  <c r="G81" i="2"/>
  <c r="EL81" i="2" s="1"/>
  <c r="G82" i="2"/>
  <c r="EL82" i="2" s="1"/>
  <c r="G83" i="2"/>
  <c r="EO83" i="2" s="1"/>
  <c r="G84" i="2"/>
  <c r="EL84" i="2" s="1"/>
  <c r="G85" i="2"/>
  <c r="EO85" i="2" s="1"/>
  <c r="G86" i="2"/>
  <c r="EL86" i="2" s="1"/>
  <c r="G87" i="2"/>
  <c r="EO87" i="2" s="1"/>
  <c r="G88" i="2"/>
  <c r="EO88" i="2" s="1"/>
  <c r="G89" i="2"/>
  <c r="EL89" i="2" s="1"/>
  <c r="G90" i="2"/>
  <c r="EL90" i="2" s="1"/>
  <c r="G91" i="2"/>
  <c r="EO91" i="2" s="1"/>
  <c r="G92" i="2"/>
  <c r="EL92" i="2" s="1"/>
  <c r="G93" i="2"/>
  <c r="EO93" i="2" s="1"/>
  <c r="G94" i="2"/>
  <c r="EL94" i="2" s="1"/>
  <c r="G95" i="2"/>
  <c r="EO95" i="2" s="1"/>
  <c r="G96" i="2"/>
  <c r="EO96" i="2" s="1"/>
  <c r="G97" i="2"/>
  <c r="EL97" i="2" s="1"/>
  <c r="G98" i="2"/>
  <c r="EL98" i="2" s="1"/>
  <c r="G99" i="2"/>
  <c r="EO99" i="2" s="1"/>
  <c r="G100" i="2"/>
  <c r="EO100" i="2" s="1"/>
  <c r="G101" i="2"/>
  <c r="EO101" i="2" s="1"/>
  <c r="G102" i="2"/>
  <c r="EL102" i="2" s="1"/>
  <c r="F16" i="2"/>
  <c r="EN16" i="2" s="1"/>
  <c r="F17" i="2"/>
  <c r="EN17" i="2" s="1"/>
  <c r="F18" i="2"/>
  <c r="EN18" i="2" s="1"/>
  <c r="F19" i="2"/>
  <c r="EK19" i="2" s="1"/>
  <c r="F20" i="2"/>
  <c r="EK20" i="2" s="1"/>
  <c r="F21" i="2"/>
  <c r="EN21" i="2" s="1"/>
  <c r="F22" i="2"/>
  <c r="EN22" i="2" s="1"/>
  <c r="F23" i="2"/>
  <c r="EK23" i="2" s="1"/>
  <c r="F24" i="2"/>
  <c r="EN24" i="2" s="1"/>
  <c r="F25" i="2"/>
  <c r="EK25" i="2" s="1"/>
  <c r="F26" i="2"/>
  <c r="EN26" i="2" s="1"/>
  <c r="F27" i="2"/>
  <c r="EN27" i="2" s="1"/>
  <c r="F28" i="2"/>
  <c r="EK28" i="2" s="1"/>
  <c r="F29" i="2"/>
  <c r="EK29" i="2" s="1"/>
  <c r="F30" i="2"/>
  <c r="EN30" i="2" s="1"/>
  <c r="F31" i="2"/>
  <c r="EN31" i="2" s="1"/>
  <c r="F32" i="2"/>
  <c r="EN32" i="2" s="1"/>
  <c r="F33" i="2"/>
  <c r="EN33" i="2" s="1"/>
  <c r="F34" i="2"/>
  <c r="EN34" i="2" s="1"/>
  <c r="F35" i="2"/>
  <c r="EN35" i="2" s="1"/>
  <c r="F36" i="2"/>
  <c r="EK36" i="2" s="1"/>
  <c r="F37" i="2"/>
  <c r="EN37" i="2" s="1"/>
  <c r="F38" i="2"/>
  <c r="EN38" i="2" s="1"/>
  <c r="F39" i="2"/>
  <c r="EN39" i="2" s="1"/>
  <c r="F40" i="2"/>
  <c r="EN40" i="2" s="1"/>
  <c r="F41" i="2"/>
  <c r="EK41" i="2" s="1"/>
  <c r="F42" i="2"/>
  <c r="EN42" i="2" s="1"/>
  <c r="F43" i="2"/>
  <c r="EN43" i="2" s="1"/>
  <c r="F44" i="2"/>
  <c r="EK44" i="2" s="1"/>
  <c r="F45" i="2"/>
  <c r="EK45" i="2" s="1"/>
  <c r="F46" i="2"/>
  <c r="EN46" i="2" s="1"/>
  <c r="F47" i="2"/>
  <c r="EN47" i="2" s="1"/>
  <c r="F48" i="2"/>
  <c r="EN48" i="2" s="1"/>
  <c r="F49" i="2"/>
  <c r="EN49" i="2" s="1"/>
  <c r="F50" i="2"/>
  <c r="EN50" i="2" s="1"/>
  <c r="F51" i="2"/>
  <c r="EK51" i="2" s="1"/>
  <c r="F52" i="2"/>
  <c r="EK52" i="2" s="1"/>
  <c r="F53" i="2"/>
  <c r="EK53" i="2" s="1"/>
  <c r="F54" i="2"/>
  <c r="EN54" i="2" s="1"/>
  <c r="F55" i="2"/>
  <c r="EK55" i="2" s="1"/>
  <c r="F56" i="2"/>
  <c r="EN56" i="2" s="1"/>
  <c r="F57" i="2"/>
  <c r="EK57" i="2" s="1"/>
  <c r="F58" i="2"/>
  <c r="EN58" i="2" s="1"/>
  <c r="F59" i="2"/>
  <c r="EN59" i="2" s="1"/>
  <c r="F60" i="2"/>
  <c r="EK60" i="2" s="1"/>
  <c r="F61" i="2"/>
  <c r="EK61" i="2" s="1"/>
  <c r="F62" i="2"/>
  <c r="EN62" i="2" s="1"/>
  <c r="F63" i="2"/>
  <c r="EN63" i="2" s="1"/>
  <c r="F64" i="2"/>
  <c r="EN64" i="2" s="1"/>
  <c r="F65" i="2"/>
  <c r="EN65" i="2" s="1"/>
  <c r="F66" i="2"/>
  <c r="EN66" i="2" s="1"/>
  <c r="F67" i="2"/>
  <c r="EN67" i="2" s="1"/>
  <c r="F68" i="2"/>
  <c r="EK68" i="2" s="1"/>
  <c r="F69" i="2"/>
  <c r="EN69" i="2" s="1"/>
  <c r="F70" i="2"/>
  <c r="EN70" i="2" s="1"/>
  <c r="F71" i="2"/>
  <c r="EK71" i="2" s="1"/>
  <c r="F72" i="2"/>
  <c r="EN72" i="2" s="1"/>
  <c r="F73" i="2"/>
  <c r="EK73" i="2" s="1"/>
  <c r="F74" i="2"/>
  <c r="EN74" i="2" s="1"/>
  <c r="F75" i="2"/>
  <c r="EN75" i="2" s="1"/>
  <c r="F76" i="2"/>
  <c r="EK76" i="2" s="1"/>
  <c r="F77" i="2"/>
  <c r="EN77" i="2" s="1"/>
  <c r="F78" i="2"/>
  <c r="EN78" i="2" s="1"/>
  <c r="F79" i="2"/>
  <c r="EN79" i="2" s="1"/>
  <c r="F80" i="2"/>
  <c r="EN80" i="2" s="1"/>
  <c r="F81" i="2"/>
  <c r="EN81" i="2" s="1"/>
  <c r="F82" i="2"/>
  <c r="EN82" i="2" s="1"/>
  <c r="F83" i="2"/>
  <c r="EK83" i="2" s="1"/>
  <c r="F84" i="2"/>
  <c r="EK84" i="2" s="1"/>
  <c r="F85" i="2"/>
  <c r="EN85" i="2" s="1"/>
  <c r="F86" i="2"/>
  <c r="EN86" i="2" s="1"/>
  <c r="F87" i="2"/>
  <c r="EN87" i="2" s="1"/>
  <c r="F88" i="2"/>
  <c r="EN88" i="2" s="1"/>
  <c r="F89" i="2"/>
  <c r="EK89" i="2" s="1"/>
  <c r="F90" i="2"/>
  <c r="EN90" i="2" s="1"/>
  <c r="F91" i="2"/>
  <c r="EN91" i="2" s="1"/>
  <c r="F92" i="2"/>
  <c r="EK92" i="2" s="1"/>
  <c r="F93" i="2"/>
  <c r="EK93" i="2" s="1"/>
  <c r="F94" i="2"/>
  <c r="EN94" i="2" s="1"/>
  <c r="F95" i="2"/>
  <c r="EN95" i="2" s="1"/>
  <c r="F96" i="2"/>
  <c r="EN96" i="2" s="1"/>
  <c r="F97" i="2"/>
  <c r="EN97" i="2" s="1"/>
  <c r="F98" i="2"/>
  <c r="EN98" i="2" s="1"/>
  <c r="F99" i="2"/>
  <c r="EK99" i="2" s="1"/>
  <c r="F100" i="2"/>
  <c r="EK100" i="2" s="1"/>
  <c r="F101" i="2"/>
  <c r="EN101" i="2" s="1"/>
  <c r="F102" i="2"/>
  <c r="EN102" i="2" s="1"/>
  <c r="X4" i="2"/>
  <c r="Z4" i="2"/>
  <c r="AA4" i="2"/>
  <c r="AB4" i="2"/>
  <c r="AC4" i="2"/>
  <c r="AD4" i="2"/>
  <c r="AE4" i="2"/>
  <c r="AF4" i="2"/>
  <c r="AG4" i="2"/>
  <c r="B3" i="27"/>
  <c r="F91" i="1"/>
  <c r="H108" i="1"/>
  <c r="B3" i="28"/>
  <c r="B9" i="28" s="1"/>
  <c r="EF7" i="2" s="1"/>
  <c r="Y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H58" i="1"/>
  <c r="H59" i="1"/>
  <c r="H60" i="1"/>
  <c r="H61" i="1"/>
  <c r="H62" i="1"/>
  <c r="H63" i="1"/>
  <c r="H64" i="1"/>
  <c r="H65" i="1"/>
  <c r="H67" i="1"/>
  <c r="H70" i="1"/>
  <c r="H71" i="1"/>
  <c r="H72" i="1"/>
  <c r="H73" i="1"/>
  <c r="H74" i="1"/>
  <c r="H75" i="1"/>
  <c r="H77" i="1"/>
  <c r="H78" i="1"/>
  <c r="H79" i="1"/>
  <c r="H80" i="1"/>
  <c r="H81" i="1"/>
  <c r="H82" i="1"/>
  <c r="H84" i="1"/>
  <c r="H86" i="1"/>
  <c r="H87" i="1"/>
  <c r="H88" i="1"/>
  <c r="H89" i="1"/>
  <c r="H92" i="1"/>
  <c r="H95" i="1"/>
  <c r="H96" i="1"/>
  <c r="H97" i="1"/>
  <c r="H98" i="1"/>
  <c r="H99" i="1"/>
  <c r="H101" i="1"/>
  <c r="H102" i="1"/>
  <c r="H103" i="1"/>
  <c r="H104" i="1"/>
  <c r="H105" i="1"/>
  <c r="H107" i="1"/>
  <c r="H109" i="1"/>
  <c r="H110" i="1"/>
  <c r="H111" i="1"/>
  <c r="H112" i="1"/>
  <c r="H113" i="1"/>
  <c r="H114" i="1"/>
  <c r="H115" i="1"/>
  <c r="H52" i="1"/>
  <c r="H53" i="1"/>
  <c r="H54" i="1"/>
  <c r="H55" i="1"/>
  <c r="H56" i="1"/>
  <c r="G51" i="1"/>
  <c r="H8" i="2"/>
  <c r="G61" i="1"/>
  <c r="G85" i="1"/>
  <c r="G101" i="1"/>
  <c r="G110" i="1"/>
  <c r="G91" i="1"/>
  <c r="G92" i="1"/>
  <c r="G84" i="1"/>
  <c r="G67" i="1"/>
  <c r="G58" i="1"/>
  <c r="G59" i="1"/>
  <c r="G60" i="1"/>
  <c r="G94" i="1"/>
  <c r="G78" i="1"/>
  <c r="G52" i="1"/>
  <c r="G107" i="1"/>
  <c r="G102" i="1"/>
  <c r="G108" i="1"/>
  <c r="G53" i="1"/>
  <c r="G87" i="1"/>
  <c r="G79" i="1"/>
  <c r="G72" i="1"/>
  <c r="G109" i="1"/>
  <c r="G111" i="1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7" i="2"/>
  <c r="Q5" i="4"/>
  <c r="F42" i="1" s="1"/>
  <c r="G96" i="1"/>
  <c r="F60" i="1"/>
  <c r="F96" i="1"/>
  <c r="F59" i="1"/>
  <c r="F52" i="1"/>
  <c r="F107" i="1"/>
  <c r="F102" i="1"/>
  <c r="F53" i="1"/>
  <c r="F85" i="1"/>
  <c r="F87" i="1"/>
  <c r="F79" i="1"/>
  <c r="F101" i="1"/>
  <c r="F27" i="1"/>
  <c r="F54" i="1"/>
  <c r="G54" i="1"/>
  <c r="G55" i="1"/>
  <c r="F56" i="1"/>
  <c r="G56" i="1"/>
  <c r="F62" i="1"/>
  <c r="G62" i="1"/>
  <c r="F63" i="1"/>
  <c r="G63" i="1"/>
  <c r="F64" i="1"/>
  <c r="G64" i="1"/>
  <c r="F65" i="1"/>
  <c r="G65" i="1"/>
  <c r="F67" i="1"/>
  <c r="G73" i="1"/>
  <c r="G74" i="1"/>
  <c r="F75" i="1"/>
  <c r="G75" i="1"/>
  <c r="F77" i="1"/>
  <c r="F78" i="1"/>
  <c r="F80" i="1"/>
  <c r="G80" i="1"/>
  <c r="F81" i="1"/>
  <c r="G81" i="1"/>
  <c r="F82" i="1"/>
  <c r="G82" i="1"/>
  <c r="F84" i="1"/>
  <c r="F86" i="1"/>
  <c r="G86" i="1"/>
  <c r="F88" i="1"/>
  <c r="G88" i="1"/>
  <c r="F89" i="1"/>
  <c r="G89" i="1"/>
  <c r="F92" i="1"/>
  <c r="F94" i="1"/>
  <c r="F95" i="1"/>
  <c r="G95" i="1"/>
  <c r="F97" i="1"/>
  <c r="G97" i="1"/>
  <c r="F98" i="1"/>
  <c r="G98" i="1"/>
  <c r="F99" i="1"/>
  <c r="G99" i="1"/>
  <c r="F103" i="1"/>
  <c r="G103" i="1"/>
  <c r="F104" i="1"/>
  <c r="G104" i="1"/>
  <c r="F105" i="1"/>
  <c r="G105" i="1"/>
  <c r="G112" i="1"/>
  <c r="G113" i="1"/>
  <c r="F114" i="1"/>
  <c r="G114" i="1"/>
  <c r="F115" i="1"/>
  <c r="G115" i="1"/>
  <c r="Q6" i="4"/>
  <c r="Q4" i="4"/>
  <c r="G115" i="31" l="1"/>
  <c r="B14" i="27"/>
  <c r="B22" i="27"/>
  <c r="B30" i="27"/>
  <c r="B38" i="27"/>
  <c r="B46" i="27"/>
  <c r="B54" i="27"/>
  <c r="B62" i="27"/>
  <c r="B70" i="27"/>
  <c r="B78" i="27"/>
  <c r="B86" i="27"/>
  <c r="B94" i="27"/>
  <c r="B102" i="27"/>
  <c r="B28" i="27"/>
  <c r="B60" i="27"/>
  <c r="B100" i="27"/>
  <c r="B21" i="27"/>
  <c r="B45" i="27"/>
  <c r="B77" i="27"/>
  <c r="B101" i="27"/>
  <c r="B15" i="27"/>
  <c r="B23" i="27"/>
  <c r="B31" i="27"/>
  <c r="B39" i="27"/>
  <c r="B47" i="27"/>
  <c r="B55" i="27"/>
  <c r="B63" i="27"/>
  <c r="B71" i="27"/>
  <c r="B79" i="27"/>
  <c r="B87" i="27"/>
  <c r="B95" i="27"/>
  <c r="B103" i="27"/>
  <c r="B44" i="27"/>
  <c r="B68" i="27"/>
  <c r="B92" i="27"/>
  <c r="B16" i="27"/>
  <c r="B24" i="27"/>
  <c r="B32" i="27"/>
  <c r="B40" i="27"/>
  <c r="B48" i="27"/>
  <c r="B56" i="27"/>
  <c r="B64" i="27"/>
  <c r="B72" i="27"/>
  <c r="B80" i="27"/>
  <c r="B88" i="27"/>
  <c r="B96" i="27"/>
  <c r="B104" i="27"/>
  <c r="B84" i="27"/>
  <c r="B17" i="27"/>
  <c r="B25" i="27"/>
  <c r="B33" i="27"/>
  <c r="B41" i="27"/>
  <c r="B49" i="27"/>
  <c r="B57" i="27"/>
  <c r="B65" i="27"/>
  <c r="B73" i="27"/>
  <c r="B81" i="27"/>
  <c r="B89" i="27"/>
  <c r="B97" i="27"/>
  <c r="B105" i="27"/>
  <c r="B29" i="27"/>
  <c r="B69" i="27"/>
  <c r="B85" i="27"/>
  <c r="B18" i="27"/>
  <c r="B26" i="27"/>
  <c r="B34" i="27"/>
  <c r="B42" i="27"/>
  <c r="B50" i="27"/>
  <c r="B58" i="27"/>
  <c r="B66" i="27"/>
  <c r="B74" i="27"/>
  <c r="B82" i="27"/>
  <c r="B90" i="27"/>
  <c r="B98" i="27"/>
  <c r="B106" i="27"/>
  <c r="B20" i="27"/>
  <c r="B36" i="27"/>
  <c r="B52" i="27"/>
  <c r="B76" i="27"/>
  <c r="B12" i="27"/>
  <c r="B13" i="27"/>
  <c r="B37" i="27"/>
  <c r="B61" i="27"/>
  <c r="B93" i="27"/>
  <c r="B19" i="27"/>
  <c r="B27" i="27"/>
  <c r="B35" i="27"/>
  <c r="B43" i="27"/>
  <c r="B51" i="27"/>
  <c r="B59" i="27"/>
  <c r="B67" i="27"/>
  <c r="B75" i="27"/>
  <c r="B83" i="27"/>
  <c r="B91" i="27"/>
  <c r="B99" i="27"/>
  <c r="B107" i="27"/>
  <c r="B53" i="27"/>
  <c r="E105" i="31"/>
  <c r="D105" i="31"/>
  <c r="D105" i="34"/>
  <c r="I117" i="31"/>
  <c r="I115" i="31"/>
  <c r="G117" i="31"/>
  <c r="B105" i="31"/>
  <c r="C105" i="31"/>
  <c r="ED102" i="31"/>
  <c r="C105" i="33"/>
  <c r="B105" i="33"/>
  <c r="AL102" i="31"/>
  <c r="CH102" i="31"/>
  <c r="D3" i="2"/>
  <c r="Q7" i="1"/>
  <c r="Q9" i="1" s="1"/>
  <c r="EO75" i="2"/>
  <c r="F3" i="2"/>
  <c r="B54" i="28"/>
  <c r="EF52" i="2" s="1"/>
  <c r="B58" i="28"/>
  <c r="EF56" i="2" s="1"/>
  <c r="B56" i="28"/>
  <c r="EF54" i="2" s="1"/>
  <c r="B52" i="28"/>
  <c r="EF50" i="2" s="1"/>
  <c r="B99" i="28"/>
  <c r="EF97" i="2" s="1"/>
  <c r="B87" i="28"/>
  <c r="EF85" i="2" s="1"/>
  <c r="B77" i="28"/>
  <c r="EF75" i="2" s="1"/>
  <c r="B67" i="28"/>
  <c r="EF65" i="2" s="1"/>
  <c r="B55" i="28"/>
  <c r="EF53" i="2" s="1"/>
  <c r="B45" i="28"/>
  <c r="EF43" i="2" s="1"/>
  <c r="B32" i="28"/>
  <c r="EF30" i="2" s="1"/>
  <c r="B22" i="28"/>
  <c r="EF20" i="2" s="1"/>
  <c r="B12" i="28"/>
  <c r="EF10" i="2" s="1"/>
  <c r="B95" i="28"/>
  <c r="EF93" i="2" s="1"/>
  <c r="B75" i="28"/>
  <c r="EF73" i="2" s="1"/>
  <c r="B43" i="28"/>
  <c r="EF41" i="2" s="1"/>
  <c r="B20" i="28"/>
  <c r="EF18" i="2" s="1"/>
  <c r="B104" i="28"/>
  <c r="EF102" i="2" s="1"/>
  <c r="B40" i="28"/>
  <c r="EF38" i="2" s="1"/>
  <c r="B93" i="28"/>
  <c r="EF91" i="2" s="1"/>
  <c r="B96" i="28"/>
  <c r="EF94" i="2" s="1"/>
  <c r="B86" i="28"/>
  <c r="EF84" i="2" s="1"/>
  <c r="B76" i="28"/>
  <c r="EF74" i="2" s="1"/>
  <c r="B64" i="28"/>
  <c r="EF62" i="2" s="1"/>
  <c r="B44" i="28"/>
  <c r="EF42" i="2" s="1"/>
  <c r="B31" i="28"/>
  <c r="EF29" i="2" s="1"/>
  <c r="B21" i="28"/>
  <c r="EF19" i="2" s="1"/>
  <c r="B11" i="28"/>
  <c r="EF9" i="2" s="1"/>
  <c r="B85" i="28"/>
  <c r="EF83" i="2" s="1"/>
  <c r="B63" i="28"/>
  <c r="EF61" i="2" s="1"/>
  <c r="B30" i="28"/>
  <c r="EF28" i="2" s="1"/>
  <c r="B94" i="28"/>
  <c r="EF92" i="2" s="1"/>
  <c r="B72" i="28"/>
  <c r="EF70" i="2" s="1"/>
  <c r="B62" i="28"/>
  <c r="EF60" i="2" s="1"/>
  <c r="B19" i="28"/>
  <c r="EF17" i="2" s="1"/>
  <c r="B103" i="28"/>
  <c r="EF101" i="2" s="1"/>
  <c r="B39" i="28"/>
  <c r="EF37" i="2" s="1"/>
  <c r="B53" i="28"/>
  <c r="EF51" i="2" s="1"/>
  <c r="B84" i="28"/>
  <c r="EF82" i="2" s="1"/>
  <c r="B29" i="28"/>
  <c r="EF27" i="2" s="1"/>
  <c r="B83" i="28"/>
  <c r="EF81" i="2" s="1"/>
  <c r="B28" i="28"/>
  <c r="EF26" i="2" s="1"/>
  <c r="B71" i="28"/>
  <c r="EF69" i="2" s="1"/>
  <c r="B51" i="28"/>
  <c r="EF49" i="2" s="1"/>
  <c r="B102" i="28"/>
  <c r="EF100" i="2" s="1"/>
  <c r="B92" i="28"/>
  <c r="EF90" i="2" s="1"/>
  <c r="B80" i="28"/>
  <c r="EF78" i="2" s="1"/>
  <c r="B70" i="28"/>
  <c r="EF68" i="2" s="1"/>
  <c r="B60" i="28"/>
  <c r="EF58" i="2" s="1"/>
  <c r="B48" i="28"/>
  <c r="EF46" i="2" s="1"/>
  <c r="B37" i="28"/>
  <c r="EF35" i="2" s="1"/>
  <c r="B27" i="28"/>
  <c r="EF25" i="2" s="1"/>
  <c r="B15" i="28"/>
  <c r="EF13" i="2" s="1"/>
  <c r="B101" i="28"/>
  <c r="EF99" i="2" s="1"/>
  <c r="B79" i="28"/>
  <c r="EF77" i="2" s="1"/>
  <c r="B59" i="28"/>
  <c r="EF57" i="2" s="1"/>
  <c r="B36" i="28"/>
  <c r="EF34" i="2" s="1"/>
  <c r="B14" i="28"/>
  <c r="EF12" i="2" s="1"/>
  <c r="B100" i="28"/>
  <c r="EF98" i="2" s="1"/>
  <c r="B78" i="28"/>
  <c r="EF76" i="2" s="1"/>
  <c r="B35" i="28"/>
  <c r="EF33" i="2" s="1"/>
  <c r="B13" i="28"/>
  <c r="EF11" i="2" s="1"/>
  <c r="B91" i="28"/>
  <c r="EF89" i="2" s="1"/>
  <c r="B69" i="28"/>
  <c r="EF67" i="2" s="1"/>
  <c r="B47" i="28"/>
  <c r="EF45" i="2" s="1"/>
  <c r="B24" i="28"/>
  <c r="EF22" i="2" s="1"/>
  <c r="B88" i="28"/>
  <c r="EF86" i="2" s="1"/>
  <c r="B68" i="28"/>
  <c r="EF66" i="2" s="1"/>
  <c r="B46" i="28"/>
  <c r="EF44" i="2" s="1"/>
  <c r="B23" i="28"/>
  <c r="EF21" i="2" s="1"/>
  <c r="B61" i="28"/>
  <c r="EF59" i="2" s="1"/>
  <c r="B16" i="28"/>
  <c r="EF14" i="2" s="1"/>
  <c r="B17" i="28"/>
  <c r="EF15" i="2" s="1"/>
  <c r="B65" i="28"/>
  <c r="EF63" i="2" s="1"/>
  <c r="B42" i="28"/>
  <c r="EF40" i="2" s="1"/>
  <c r="B33" i="28"/>
  <c r="EF31" i="2" s="1"/>
  <c r="B50" i="28"/>
  <c r="EF48" i="2" s="1"/>
  <c r="B38" i="28"/>
  <c r="EF36" i="2" s="1"/>
  <c r="B57" i="28"/>
  <c r="EF55" i="2" s="1"/>
  <c r="B81" i="28"/>
  <c r="EF79" i="2" s="1"/>
  <c r="B89" i="28"/>
  <c r="EF87" i="2" s="1"/>
  <c r="B66" i="28"/>
  <c r="EF64" i="2" s="1"/>
  <c r="B10" i="28"/>
  <c r="EF8" i="2" s="1"/>
  <c r="B74" i="28"/>
  <c r="EF72" i="2" s="1"/>
  <c r="B82" i="28"/>
  <c r="EF80" i="2" s="1"/>
  <c r="B41" i="28"/>
  <c r="EF39" i="2" s="1"/>
  <c r="B90" i="28"/>
  <c r="EF88" i="2" s="1"/>
  <c r="B34" i="28"/>
  <c r="EF32" i="2" s="1"/>
  <c r="B73" i="28"/>
  <c r="EF71" i="2" s="1"/>
  <c r="B97" i="28"/>
  <c r="EF95" i="2" s="1"/>
  <c r="B25" i="28"/>
  <c r="EF23" i="2" s="1"/>
  <c r="B26" i="28"/>
  <c r="EF24" i="2" s="1"/>
  <c r="B49" i="28"/>
  <c r="EF47" i="2" s="1"/>
  <c r="B98" i="28"/>
  <c r="EF96" i="2" s="1"/>
  <c r="B18" i="28"/>
  <c r="EF16" i="2" s="1"/>
  <c r="I3" i="2"/>
  <c r="H3" i="2"/>
  <c r="G3" i="2"/>
  <c r="EK8" i="2"/>
  <c r="EM80" i="2"/>
  <c r="EM32" i="2"/>
  <c r="EM8" i="2"/>
  <c r="EM71" i="2"/>
  <c r="EJ39" i="2"/>
  <c r="EJ78" i="2"/>
  <c r="EJ54" i="2"/>
  <c r="EJ22" i="2"/>
  <c r="EM93" i="2"/>
  <c r="EJ100" i="2"/>
  <c r="EJ92" i="2"/>
  <c r="EJ84" i="2"/>
  <c r="EJ76" i="2"/>
  <c r="EJ68" i="2"/>
  <c r="EM60" i="2"/>
  <c r="EJ52" i="2"/>
  <c r="EM44" i="2"/>
  <c r="EJ36" i="2"/>
  <c r="EJ28" i="2"/>
  <c r="EJ20" i="2"/>
  <c r="EM12" i="2"/>
  <c r="EJ64" i="2"/>
  <c r="EM40" i="2"/>
  <c r="EM79" i="2"/>
  <c r="EM47" i="2"/>
  <c r="EM102" i="2"/>
  <c r="EM62" i="2"/>
  <c r="EM30" i="2"/>
  <c r="EJ77" i="2"/>
  <c r="EJ53" i="2"/>
  <c r="EM37" i="2"/>
  <c r="EJ21" i="2"/>
  <c r="EM99" i="2"/>
  <c r="EM91" i="2"/>
  <c r="EM83" i="2"/>
  <c r="EM75" i="2"/>
  <c r="EM67" i="2"/>
  <c r="EM59" i="2"/>
  <c r="EM51" i="2"/>
  <c r="EM43" i="2"/>
  <c r="EM35" i="2"/>
  <c r="EM27" i="2"/>
  <c r="EM19" i="2"/>
  <c r="EM11" i="2"/>
  <c r="EM96" i="2"/>
  <c r="EJ72" i="2"/>
  <c r="EJ56" i="2"/>
  <c r="EM24" i="2"/>
  <c r="EM16" i="2"/>
  <c r="EM87" i="2"/>
  <c r="EJ55" i="2"/>
  <c r="EM23" i="2"/>
  <c r="EM7" i="2"/>
  <c r="EM94" i="2"/>
  <c r="EM70" i="2"/>
  <c r="EM38" i="2"/>
  <c r="EM101" i="2"/>
  <c r="EJ85" i="2"/>
  <c r="EM61" i="2"/>
  <c r="EJ45" i="2"/>
  <c r="EJ29" i="2"/>
  <c r="EM98" i="2"/>
  <c r="EJ90" i="2"/>
  <c r="EJ82" i="2"/>
  <c r="EM74" i="2"/>
  <c r="EJ66" i="2"/>
  <c r="EJ58" i="2"/>
  <c r="EJ50" i="2"/>
  <c r="EM42" i="2"/>
  <c r="EM34" i="2"/>
  <c r="EJ26" i="2"/>
  <c r="EJ18" i="2"/>
  <c r="EJ10" i="2"/>
  <c r="EJ88" i="2"/>
  <c r="EJ48" i="2"/>
  <c r="EJ95" i="2"/>
  <c r="EJ63" i="2"/>
  <c r="EJ31" i="2"/>
  <c r="EJ15" i="2"/>
  <c r="EM86" i="2"/>
  <c r="EJ46" i="2"/>
  <c r="EM14" i="2"/>
  <c r="EM69" i="2"/>
  <c r="EJ13" i="2"/>
  <c r="EM97" i="2"/>
  <c r="EM89" i="2"/>
  <c r="EM81" i="2"/>
  <c r="EJ73" i="2"/>
  <c r="EM65" i="2"/>
  <c r="EJ57" i="2"/>
  <c r="EJ49" i="2"/>
  <c r="EM41" i="2"/>
  <c r="EM33" i="2"/>
  <c r="EM25" i="2"/>
  <c r="EM17" i="2"/>
  <c r="EM9" i="2"/>
  <c r="EM72" i="2"/>
  <c r="EN7" i="2"/>
  <c r="EN15" i="2"/>
  <c r="EJ62" i="2"/>
  <c r="EM15" i="2"/>
  <c r="EJ38" i="2"/>
  <c r="EJ14" i="2"/>
  <c r="EN8" i="2"/>
  <c r="EM78" i="2"/>
  <c r="EJ94" i="2"/>
  <c r="EJ70" i="2"/>
  <c r="EM54" i="2"/>
  <c r="EM46" i="2"/>
  <c r="EM22" i="2"/>
  <c r="EJ23" i="2"/>
  <c r="EL8" i="2"/>
  <c r="EJ47" i="2"/>
  <c r="EM95" i="2"/>
  <c r="EJ7" i="2"/>
  <c r="EJ87" i="2"/>
  <c r="EM31" i="2"/>
  <c r="EJ79" i="2"/>
  <c r="EJ71" i="2"/>
  <c r="EM55" i="2"/>
  <c r="EK14" i="2"/>
  <c r="EM77" i="2"/>
  <c r="EJ93" i="2"/>
  <c r="EJ37" i="2"/>
  <c r="EM21" i="2"/>
  <c r="EM29" i="2"/>
  <c r="EJ101" i="2"/>
  <c r="EM85" i="2"/>
  <c r="EJ69" i="2"/>
  <c r="EM53" i="2"/>
  <c r="EM13" i="2"/>
  <c r="EM45" i="2"/>
  <c r="EJ61" i="2"/>
  <c r="EJ24" i="2"/>
  <c r="EJ8" i="2"/>
  <c r="EL11" i="2"/>
  <c r="EJ86" i="2"/>
  <c r="EK21" i="2"/>
  <c r="EJ30" i="2"/>
  <c r="EJ102" i="2"/>
  <c r="EL40" i="2"/>
  <c r="EM88" i="2"/>
  <c r="EM73" i="2"/>
  <c r="EK90" i="2"/>
  <c r="EK75" i="2"/>
  <c r="EO16" i="2"/>
  <c r="EM56" i="2"/>
  <c r="EJ40" i="2"/>
  <c r="EK59" i="2"/>
  <c r="EK96" i="2"/>
  <c r="EK33" i="2"/>
  <c r="EM57" i="2"/>
  <c r="EN83" i="2"/>
  <c r="EL83" i="2"/>
  <c r="EL75" i="2"/>
  <c r="EK69" i="2"/>
  <c r="EK26" i="2"/>
  <c r="EN55" i="2"/>
  <c r="EK16" i="2"/>
  <c r="EK27" i="2"/>
  <c r="EK49" i="2"/>
  <c r="EK97" i="2"/>
  <c r="EK39" i="2"/>
  <c r="EK34" i="2"/>
  <c r="EK43" i="2"/>
  <c r="EN57" i="2"/>
  <c r="EN29" i="2"/>
  <c r="EN23" i="2"/>
  <c r="EN99" i="2"/>
  <c r="EM48" i="2"/>
  <c r="EN9" i="2"/>
  <c r="EK58" i="2"/>
  <c r="EN19" i="2"/>
  <c r="EN73" i="2"/>
  <c r="EN45" i="2"/>
  <c r="EK67" i="2"/>
  <c r="EK35" i="2"/>
  <c r="EK17" i="2"/>
  <c r="EM58" i="2"/>
  <c r="EN71" i="2"/>
  <c r="EN53" i="2"/>
  <c r="EN41" i="2"/>
  <c r="EK91" i="2"/>
  <c r="EJ74" i="2"/>
  <c r="EK87" i="2"/>
  <c r="EK32" i="2"/>
  <c r="EN93" i="2"/>
  <c r="EN51" i="2"/>
  <c r="EO72" i="2"/>
  <c r="EL27" i="2"/>
  <c r="EK85" i="2"/>
  <c r="EJ9" i="2"/>
  <c r="EK74" i="2"/>
  <c r="EK42" i="2"/>
  <c r="EL69" i="2"/>
  <c r="EL45" i="2"/>
  <c r="EL64" i="2"/>
  <c r="EJ81" i="2"/>
  <c r="EL63" i="2"/>
  <c r="EJ96" i="2"/>
  <c r="EJ80" i="2"/>
  <c r="EJ34" i="2"/>
  <c r="EL51" i="2"/>
  <c r="EK81" i="2"/>
  <c r="EK66" i="2"/>
  <c r="EK48" i="2"/>
  <c r="EM64" i="2"/>
  <c r="EN61" i="2"/>
  <c r="EO38" i="2"/>
  <c r="EK37" i="2"/>
  <c r="EJ98" i="2"/>
  <c r="EJ33" i="2"/>
  <c r="EJ17" i="2"/>
  <c r="EL95" i="2"/>
  <c r="EL47" i="2"/>
  <c r="EK98" i="2"/>
  <c r="EK80" i="2"/>
  <c r="EK65" i="2"/>
  <c r="EM50" i="2"/>
  <c r="EJ97" i="2"/>
  <c r="EK101" i="2"/>
  <c r="EJ32" i="2"/>
  <c r="EJ16" i="2"/>
  <c r="EL87" i="2"/>
  <c r="EK77" i="2"/>
  <c r="EK64" i="2"/>
  <c r="EM49" i="2"/>
  <c r="EN89" i="2"/>
  <c r="EN25" i="2"/>
  <c r="EN10" i="2"/>
  <c r="EO66" i="2"/>
  <c r="EO59" i="2"/>
  <c r="EL31" i="2"/>
  <c r="EO98" i="2"/>
  <c r="EO84" i="2"/>
  <c r="EO71" i="2"/>
  <c r="EO12" i="2"/>
  <c r="EL19" i="2"/>
  <c r="EO9" i="2"/>
  <c r="EL101" i="2"/>
  <c r="EO82" i="2"/>
  <c r="EO48" i="2"/>
  <c r="EO54" i="2"/>
  <c r="EO86" i="2"/>
  <c r="EJ42" i="2"/>
  <c r="EM82" i="2"/>
  <c r="EM18" i="2"/>
  <c r="EO70" i="2"/>
  <c r="EO20" i="2"/>
  <c r="EJ41" i="2"/>
  <c r="EL91" i="2"/>
  <c r="EL68" i="2"/>
  <c r="EL56" i="2"/>
  <c r="EL24" i="2"/>
  <c r="EL23" i="2"/>
  <c r="EJ89" i="2"/>
  <c r="EJ65" i="2"/>
  <c r="EJ25" i="2"/>
  <c r="EL88" i="2"/>
  <c r="EL37" i="2"/>
  <c r="EK95" i="2"/>
  <c r="EK63" i="2"/>
  <c r="EK31" i="2"/>
  <c r="EL79" i="2"/>
  <c r="EK79" i="2"/>
  <c r="EK47" i="2"/>
  <c r="EK88" i="2"/>
  <c r="EK56" i="2"/>
  <c r="EK24" i="2"/>
  <c r="EL36" i="2"/>
  <c r="EK82" i="2"/>
  <c r="EK72" i="2"/>
  <c r="EK50" i="2"/>
  <c r="EK40" i="2"/>
  <c r="EK18" i="2"/>
  <c r="EO62" i="2"/>
  <c r="EO43" i="2"/>
  <c r="EO30" i="2"/>
  <c r="EL61" i="2"/>
  <c r="EL39" i="2"/>
  <c r="EO80" i="2"/>
  <c r="EL77" i="2"/>
  <c r="EO102" i="2"/>
  <c r="EO52" i="2"/>
  <c r="EL100" i="2"/>
  <c r="EO18" i="2"/>
  <c r="EL28" i="2"/>
  <c r="EL10" i="2"/>
  <c r="EO94" i="2"/>
  <c r="EO50" i="2"/>
  <c r="EO34" i="2"/>
  <c r="EJ44" i="2"/>
  <c r="EM52" i="2"/>
  <c r="EL76" i="2"/>
  <c r="EJ60" i="2"/>
  <c r="EM68" i="2"/>
  <c r="EL99" i="2"/>
  <c r="EL85" i="2"/>
  <c r="EL60" i="2"/>
  <c r="EL35" i="2"/>
  <c r="EL21" i="2"/>
  <c r="EM76" i="2"/>
  <c r="EM66" i="2"/>
  <c r="EM39" i="2"/>
  <c r="EM10" i="2"/>
  <c r="EN100" i="2"/>
  <c r="EN92" i="2"/>
  <c r="EN84" i="2"/>
  <c r="EN76" i="2"/>
  <c r="EN68" i="2"/>
  <c r="EN60" i="2"/>
  <c r="EN52" i="2"/>
  <c r="EN44" i="2"/>
  <c r="EN36" i="2"/>
  <c r="EN28" i="2"/>
  <c r="EN20" i="2"/>
  <c r="EO92" i="2"/>
  <c r="EO74" i="2"/>
  <c r="EO42" i="2"/>
  <c r="EL96" i="2"/>
  <c r="EL32" i="2"/>
  <c r="EK102" i="2"/>
  <c r="EK94" i="2"/>
  <c r="EK86" i="2"/>
  <c r="EK78" i="2"/>
  <c r="EK70" i="2"/>
  <c r="EK62" i="2"/>
  <c r="EK54" i="2"/>
  <c r="EK46" i="2"/>
  <c r="EK38" i="2"/>
  <c r="EK30" i="2"/>
  <c r="EK22" i="2"/>
  <c r="EM84" i="2"/>
  <c r="EM20" i="2"/>
  <c r="EO78" i="2"/>
  <c r="EO55" i="2"/>
  <c r="EO46" i="2"/>
  <c r="EL44" i="2"/>
  <c r="EK12" i="2"/>
  <c r="EM92" i="2"/>
  <c r="EM28" i="2"/>
  <c r="EL93" i="2"/>
  <c r="EL29" i="2"/>
  <c r="EK11" i="2"/>
  <c r="EM100" i="2"/>
  <c r="EM90" i="2"/>
  <c r="EM63" i="2"/>
  <c r="EM36" i="2"/>
  <c r="EM26" i="2"/>
  <c r="EN12" i="2"/>
  <c r="EO22" i="2"/>
  <c r="EL7" i="2"/>
  <c r="EL67" i="2"/>
  <c r="EL53" i="2"/>
  <c r="EL13" i="2"/>
  <c r="EO90" i="2"/>
  <c r="EO58" i="2"/>
  <c r="EO26" i="2"/>
  <c r="EL14" i="2"/>
  <c r="EO97" i="2"/>
  <c r="EO89" i="2"/>
  <c r="EO81" i="2"/>
  <c r="EO73" i="2"/>
  <c r="EO65" i="2"/>
  <c r="EO57" i="2"/>
  <c r="EO49" i="2"/>
  <c r="EO41" i="2"/>
  <c r="EO33" i="2"/>
  <c r="EO25" i="2"/>
  <c r="EO17" i="2"/>
  <c r="EL15" i="2"/>
  <c r="EO7" i="2"/>
  <c r="EJ12" i="2"/>
  <c r="EJ99" i="2"/>
  <c r="EJ91" i="2"/>
  <c r="EJ83" i="2"/>
  <c r="EJ75" i="2"/>
  <c r="EJ67" i="2"/>
  <c r="EJ59" i="2"/>
  <c r="EJ51" i="2"/>
  <c r="EJ43" i="2"/>
  <c r="EJ35" i="2"/>
  <c r="EJ27" i="2"/>
  <c r="EJ19" i="2"/>
  <c r="EJ11" i="2"/>
  <c r="EK13" i="2"/>
  <c r="H117" i="31" l="1"/>
  <c r="H115" i="31"/>
  <c r="D114" i="31" s="1"/>
  <c r="EH62" i="2"/>
  <c r="B107" i="28"/>
  <c r="EH86" i="2"/>
  <c r="EH83" i="2"/>
  <c r="EH87" i="2"/>
  <c r="B110" i="27"/>
  <c r="L86" i="2"/>
  <c r="L37" i="2"/>
  <c r="L22" i="2"/>
  <c r="L72" i="2"/>
  <c r="L34" i="2"/>
  <c r="L48" i="2"/>
  <c r="L30" i="2"/>
  <c r="L12" i="2"/>
  <c r="L89" i="2"/>
  <c r="L80" i="2"/>
  <c r="L57" i="2"/>
  <c r="L78" i="2"/>
  <c r="L32" i="2"/>
  <c r="L44" i="2"/>
  <c r="L95" i="2"/>
  <c r="L52" i="2"/>
  <c r="L31" i="2"/>
  <c r="L81" i="2"/>
  <c r="L47" i="2"/>
  <c r="L61" i="2"/>
  <c r="L11" i="2"/>
  <c r="L25" i="2"/>
  <c r="L15" i="2"/>
  <c r="L55" i="2"/>
  <c r="L94" i="2"/>
  <c r="L69" i="2"/>
  <c r="L36" i="2"/>
  <c r="L41" i="2"/>
  <c r="L40" i="2"/>
  <c r="L17" i="2"/>
  <c r="L90" i="2"/>
  <c r="L59" i="2"/>
  <c r="L73" i="2"/>
  <c r="L51" i="2"/>
  <c r="L38" i="2"/>
  <c r="L27" i="2"/>
  <c r="L91" i="2"/>
  <c r="L33" i="2"/>
  <c r="L19" i="2"/>
  <c r="L68" i="2"/>
  <c r="L99" i="2"/>
  <c r="L71" i="2"/>
  <c r="L85" i="2"/>
  <c r="L88" i="2"/>
  <c r="L50" i="2"/>
  <c r="L39" i="2"/>
  <c r="L42" i="2"/>
  <c r="L82" i="2"/>
  <c r="L9" i="2"/>
  <c r="L66" i="2"/>
  <c r="L56" i="2"/>
  <c r="L60" i="2"/>
  <c r="L49" i="2"/>
  <c r="L26" i="2"/>
  <c r="L76" i="2"/>
  <c r="L58" i="2"/>
  <c r="L35" i="2"/>
  <c r="L83" i="2"/>
  <c r="L97" i="2"/>
  <c r="L29" i="2"/>
  <c r="L62" i="2"/>
  <c r="L64" i="2"/>
  <c r="L13" i="2"/>
  <c r="L46" i="2"/>
  <c r="L63" i="2"/>
  <c r="L23" i="2"/>
  <c r="L79" i="2"/>
  <c r="L20" i="2"/>
  <c r="L84" i="2"/>
  <c r="L67" i="2"/>
  <c r="L45" i="2"/>
  <c r="L96" i="2"/>
  <c r="L16" i="2"/>
  <c r="L65" i="2"/>
  <c r="L74" i="2"/>
  <c r="L75" i="2"/>
  <c r="L18" i="2"/>
  <c r="L21" i="2"/>
  <c r="L43" i="2"/>
  <c r="L100" i="2"/>
  <c r="L98" i="2"/>
  <c r="L28" i="2"/>
  <c r="L92" i="2"/>
  <c r="L77" i="2"/>
  <c r="L54" i="2"/>
  <c r="L10" i="2"/>
  <c r="L24" i="2"/>
  <c r="L53" i="2"/>
  <c r="L102" i="2"/>
  <c r="L87" i="2"/>
  <c r="L101" i="2"/>
  <c r="L70" i="2"/>
  <c r="L93" i="2"/>
  <c r="L7" i="2"/>
  <c r="E116" i="31" l="1"/>
  <c r="D116" i="31"/>
  <c r="EH78" i="2"/>
  <c r="EH22" i="2"/>
  <c r="EH61" i="2"/>
  <c r="EH72" i="2"/>
  <c r="EH81" i="2"/>
  <c r="EH14" i="2"/>
  <c r="EH23" i="2"/>
  <c r="EH56" i="2"/>
  <c r="EH43" i="2"/>
  <c r="EH91" i="2"/>
  <c r="EH16" i="2"/>
  <c r="EH79" i="2"/>
  <c r="EH77" i="2"/>
  <c r="EH17" i="2"/>
  <c r="EH18" i="2"/>
  <c r="EH39" i="2"/>
  <c r="EH88" i="2"/>
  <c r="EH12" i="2"/>
  <c r="EH93" i="2"/>
  <c r="EH42" i="2"/>
  <c r="EH76" i="2"/>
  <c r="EH85" i="2"/>
  <c r="EH92" i="2"/>
  <c r="EH71" i="2"/>
  <c r="EH24" i="2"/>
  <c r="EH74" i="2"/>
  <c r="EH40" i="2"/>
  <c r="EH63" i="2"/>
  <c r="EH28" i="2"/>
  <c r="EH10" i="2"/>
  <c r="EH34" i="2"/>
  <c r="EH37" i="2"/>
  <c r="EH9" i="2"/>
  <c r="EH96" i="2"/>
  <c r="EH101" i="2"/>
  <c r="EH48" i="2"/>
  <c r="EH84" i="2"/>
  <c r="EH55" i="2"/>
  <c r="EH11" i="2"/>
  <c r="EH75" i="2"/>
  <c r="EH46" i="2"/>
  <c r="EH89" i="2"/>
  <c r="EH20" i="2"/>
  <c r="EH41" i="2"/>
  <c r="EH69" i="2"/>
  <c r="EH97" i="2"/>
  <c r="EH26" i="2"/>
  <c r="EH8" i="2"/>
  <c r="EH98" i="2"/>
  <c r="EH49" i="2"/>
  <c r="EH82" i="2"/>
  <c r="EH52" i="2"/>
  <c r="EH95" i="2"/>
  <c r="EH66" i="2"/>
  <c r="EH58" i="2"/>
  <c r="EH67" i="2"/>
  <c r="EH70" i="2"/>
  <c r="N95" i="2"/>
  <c r="N62" i="2"/>
  <c r="N34" i="2"/>
  <c r="N67" i="2"/>
  <c r="N72" i="2"/>
  <c r="N10" i="2"/>
  <c r="N101" i="2"/>
  <c r="N87" i="2"/>
  <c r="N70" i="2"/>
  <c r="N28" i="2"/>
  <c r="N71" i="2"/>
  <c r="N76" i="2"/>
  <c r="N12" i="2"/>
  <c r="N86" i="2"/>
  <c r="N43" i="2"/>
  <c r="N52" i="2"/>
  <c r="N39" i="2"/>
  <c r="N17" i="2"/>
  <c r="N18" i="2"/>
  <c r="N84" i="2"/>
  <c r="N40" i="2"/>
  <c r="N11" i="2"/>
  <c r="N77" i="2"/>
  <c r="N75" i="2"/>
  <c r="N20" i="2"/>
  <c r="N41" i="2"/>
  <c r="N61" i="2"/>
  <c r="N79" i="2"/>
  <c r="N78" i="2"/>
  <c r="N83" i="2"/>
  <c r="N69" i="2"/>
  <c r="N92" i="2"/>
  <c r="N66" i="2"/>
  <c r="N81" i="2"/>
  <c r="N98" i="2"/>
  <c r="N63" i="2"/>
  <c r="N9" i="2"/>
  <c r="N22" i="2"/>
  <c r="N74" i="2"/>
  <c r="N96" i="2"/>
  <c r="N46" i="2"/>
  <c r="N58" i="2"/>
  <c r="N82" i="2"/>
  <c r="N89" i="2"/>
  <c r="N37" i="2"/>
  <c r="J3" i="2"/>
  <c r="L14" i="2"/>
  <c r="N14" i="2" s="1"/>
  <c r="N93" i="2"/>
  <c r="N88" i="2"/>
  <c r="N97" i="2"/>
  <c r="EH100" i="2"/>
  <c r="N100" i="2"/>
  <c r="EH54" i="2"/>
  <c r="N54" i="2"/>
  <c r="EH38" i="2"/>
  <c r="N38" i="2"/>
  <c r="EH15" i="2"/>
  <c r="N15" i="2"/>
  <c r="EH65" i="2"/>
  <c r="N65" i="2"/>
  <c r="EH99" i="2"/>
  <c r="N99" i="2"/>
  <c r="EH51" i="2"/>
  <c r="N51" i="2"/>
  <c r="EH30" i="2"/>
  <c r="N30" i="2"/>
  <c r="EH19" i="2"/>
  <c r="N19" i="2"/>
  <c r="EH25" i="2"/>
  <c r="N25" i="2"/>
  <c r="EH35" i="2"/>
  <c r="N35" i="2"/>
  <c r="EH31" i="2"/>
  <c r="N31" i="2"/>
  <c r="EH27" i="2"/>
  <c r="N27" i="2"/>
  <c r="EH90" i="2"/>
  <c r="N90" i="2"/>
  <c r="EH13" i="2"/>
  <c r="N13" i="2"/>
  <c r="EH44" i="2"/>
  <c r="N44" i="2"/>
  <c r="EH59" i="2"/>
  <c r="N59" i="2"/>
  <c r="EH64" i="2"/>
  <c r="N64" i="2"/>
  <c r="EH73" i="2"/>
  <c r="N73" i="2"/>
  <c r="EH36" i="2"/>
  <c r="N36" i="2"/>
  <c r="EH45" i="2"/>
  <c r="N45" i="2"/>
  <c r="EH57" i="2"/>
  <c r="N57" i="2"/>
  <c r="EH80" i="2"/>
  <c r="N80" i="2"/>
  <c r="EH47" i="2"/>
  <c r="N47" i="2"/>
  <c r="EH94" i="2"/>
  <c r="N94" i="2"/>
  <c r="EH33" i="2"/>
  <c r="N33" i="2"/>
  <c r="EH53" i="2"/>
  <c r="N53" i="2"/>
  <c r="EH32" i="2"/>
  <c r="N32" i="2"/>
  <c r="EH29" i="2"/>
  <c r="N29" i="2"/>
  <c r="EH68" i="2"/>
  <c r="N68" i="2"/>
  <c r="EH50" i="2"/>
  <c r="N50" i="2"/>
  <c r="EH21" i="2"/>
  <c r="N21" i="2"/>
  <c r="EH102" i="2"/>
  <c r="N102" i="2"/>
  <c r="EH60" i="2"/>
  <c r="N60" i="2"/>
  <c r="N23" i="2"/>
  <c r="N85" i="2"/>
  <c r="N56" i="2"/>
  <c r="N42" i="2"/>
  <c r="N91" i="2"/>
  <c r="N16" i="2"/>
  <c r="N26" i="2"/>
  <c r="N55" i="2"/>
  <c r="N48" i="2"/>
  <c r="N49" i="2"/>
  <c r="N24" i="2"/>
  <c r="L8" i="2"/>
  <c r="Q5" i="1" l="1"/>
  <c r="L3" i="2"/>
  <c r="N7" i="2"/>
  <c r="P3" i="2"/>
  <c r="N3" i="2" s="1"/>
  <c r="N8" i="2"/>
</calcChain>
</file>

<file path=xl/sharedStrings.xml><?xml version="1.0" encoding="utf-8"?>
<sst xmlns="http://schemas.openxmlformats.org/spreadsheetml/2006/main" count="1809" uniqueCount="321">
  <si>
    <t>Results</t>
  </si>
  <si>
    <t>Backup Sources</t>
  </si>
  <si>
    <t>Enter values for each source that may apply:</t>
  </si>
  <si>
    <t>Battery Electric Vehicle</t>
  </si>
  <si>
    <t>Plug-In Hybrid Electric Vehicle</t>
  </si>
  <si>
    <t>Portable Generator</t>
  </si>
  <si>
    <t>Gasoline</t>
  </si>
  <si>
    <t>Home Size</t>
  </si>
  <si>
    <t>Enter the quantity running simultaneously:</t>
  </si>
  <si>
    <t>Running Watts</t>
  </si>
  <si>
    <t>Starting Watts</t>
  </si>
  <si>
    <t>Communications</t>
  </si>
  <si>
    <t>Cell phone battery charger</t>
  </si>
  <si>
    <t>Home phone</t>
  </si>
  <si>
    <t>Radio</t>
  </si>
  <si>
    <t>Cooking</t>
  </si>
  <si>
    <t>Electric kettle</t>
  </si>
  <si>
    <t>Electric oven</t>
  </si>
  <si>
    <t>Electric stove - 8" element</t>
  </si>
  <si>
    <t>Microwave</t>
  </si>
  <si>
    <t>Discretionary Appliances</t>
  </si>
  <si>
    <t>Dishwasher - cool dry</t>
  </si>
  <si>
    <t>Electric dryer</t>
  </si>
  <si>
    <t>EV - level 1 charging 120 V (max)</t>
  </si>
  <si>
    <t>Satelite receiver</t>
  </si>
  <si>
    <t>Vacuum cleaner</t>
  </si>
  <si>
    <t>Washing machine</t>
  </si>
  <si>
    <t>Entertainment</t>
  </si>
  <si>
    <t>Computer (laptop)</t>
  </si>
  <si>
    <t>Home internet router</t>
  </si>
  <si>
    <t>Television - 49" LED</t>
  </si>
  <si>
    <t>Food Preservation</t>
  </si>
  <si>
    <t>Deep freezer</t>
  </si>
  <si>
    <t>Heating/ Cooling/ HVAC</t>
  </si>
  <si>
    <t>Ceiling fan</t>
  </si>
  <si>
    <t>Furnace fan blower - 1/3 HP</t>
  </si>
  <si>
    <t>Heat pump</t>
  </si>
  <si>
    <t>Space heater</t>
  </si>
  <si>
    <t>Lighting</t>
  </si>
  <si>
    <t>Light bulb (common)</t>
  </si>
  <si>
    <t>Light bulb (LED)</t>
  </si>
  <si>
    <t>Water/ Wastewater</t>
  </si>
  <si>
    <t>Hot water dispenser</t>
  </si>
  <si>
    <t>Pool pump - 1 1/2 HP</t>
  </si>
  <si>
    <t>Water filter and cooler</t>
  </si>
  <si>
    <t>Standby generator</t>
  </si>
  <si>
    <t>Appliances Running (Running Watts)</t>
  </si>
  <si>
    <t>Appliances Running (Starting Watts)</t>
  </si>
  <si>
    <t>Time Intervals</t>
  </si>
  <si>
    <t>Air compressor -  1 HP</t>
  </si>
  <si>
    <t>Air fryer</t>
  </si>
  <si>
    <t>Amazon echo</t>
  </si>
  <si>
    <t>Apple TV</t>
  </si>
  <si>
    <t>AV receiver</t>
  </si>
  <si>
    <t>Blender</t>
  </si>
  <si>
    <t>Central AC - 10,000 BTU</t>
  </si>
  <si>
    <t>Central AC - 24,000 BTU</t>
  </si>
  <si>
    <t>Central AC - 40,000 BTU</t>
  </si>
  <si>
    <t>Coffee machine</t>
  </si>
  <si>
    <t>Computer (desktop)</t>
  </si>
  <si>
    <t>Computer monitor (LCD)</t>
  </si>
  <si>
    <t>Curling iron</t>
  </si>
  <si>
    <t>Deep fryer</t>
  </si>
  <si>
    <t>Dehumidifier</t>
  </si>
  <si>
    <t>Dishwasher - hot dry</t>
  </si>
  <si>
    <t>Electric blanket</t>
  </si>
  <si>
    <t>Electric can opener</t>
  </si>
  <si>
    <t>Electric grill</t>
  </si>
  <si>
    <t>Electric shaver</t>
  </si>
  <si>
    <t>Espresso coffee machine</t>
  </si>
  <si>
    <t>EV - level 1 charging 120 V (min)</t>
  </si>
  <si>
    <t>EV - level 2 charging 240 V (max)</t>
  </si>
  <si>
    <t>EV - level 2 charging 240 V (min)</t>
  </si>
  <si>
    <t>Evaporative AC</t>
  </si>
  <si>
    <t>Food dehydrator</t>
  </si>
  <si>
    <t>Food processor</t>
  </si>
  <si>
    <t>Fryer</t>
  </si>
  <si>
    <t>Furnace fan blower - 1/2 HP</t>
  </si>
  <si>
    <t>Furnace fan blower - 1/4 HP</t>
  </si>
  <si>
    <t>Furnace fan blower - 1/6 HP</t>
  </si>
  <si>
    <t>Furnace fan blower - 1/8 HP</t>
  </si>
  <si>
    <t>Game console</t>
  </si>
  <si>
    <t>Garage door opener - 1/2 HP</t>
  </si>
  <si>
    <t>Garbage disposal</t>
  </si>
  <si>
    <t>Gas dryer</t>
  </si>
  <si>
    <t>Hair dryer</t>
  </si>
  <si>
    <t>Hot plate</t>
  </si>
  <si>
    <t>Humidifier - 13 GAL</t>
  </si>
  <si>
    <t>Inflator pump</t>
  </si>
  <si>
    <t>Iron</t>
  </si>
  <si>
    <t>Mini fridge</t>
  </si>
  <si>
    <t>Night light</t>
  </si>
  <si>
    <t>Pool pump - 1 HP</t>
  </si>
  <si>
    <t>Pool pump - 2 1/2 HP</t>
  </si>
  <si>
    <t>Pool pump - 2 HP</t>
  </si>
  <si>
    <t>Portable fan</t>
  </si>
  <si>
    <t>Pressure cooker</t>
  </si>
  <si>
    <t>Printer</t>
  </si>
  <si>
    <t>Refrigerator - 30.6 cu. ft.</t>
  </si>
  <si>
    <t>Refrigerator - 22.3 cu. ft.</t>
  </si>
  <si>
    <t>Refrigerator - 13.9 cu. ft.</t>
  </si>
  <si>
    <t>Rice cooker</t>
  </si>
  <si>
    <t>Security system</t>
  </si>
  <si>
    <t>Slow cooker</t>
  </si>
  <si>
    <t>Steam iron</t>
  </si>
  <si>
    <t>Straightening iron</t>
  </si>
  <si>
    <t>Sump Pump - 1/2 HP</t>
  </si>
  <si>
    <t>Sump Pump - 1/3 HP</t>
  </si>
  <si>
    <t>Television - 22" LED</t>
  </si>
  <si>
    <t>Television - 42" plasma</t>
  </si>
  <si>
    <t>Television - 82" LED</t>
  </si>
  <si>
    <t>Toaster</t>
  </si>
  <si>
    <t>Toaster oven</t>
  </si>
  <si>
    <t>Treadmill</t>
  </si>
  <si>
    <t>VCR/DVD player</t>
  </si>
  <si>
    <t>Video game system</t>
  </si>
  <si>
    <t>Waffle iron</t>
  </si>
  <si>
    <t>Water dispenser</t>
  </si>
  <si>
    <t>Water heater - electric tank 75 GAL</t>
  </si>
  <si>
    <t>Water heater - electric tank 55 GAL</t>
  </si>
  <si>
    <t>Water heater - electric tank 40 GAL</t>
  </si>
  <si>
    <t>Water heater - electric tankless 36 kW</t>
  </si>
  <si>
    <t>Water heater - electric tankless 27 kW</t>
  </si>
  <si>
    <t>Water heater - electric tankless 18 kW</t>
  </si>
  <si>
    <t>Water heater - NG tank 75 GAL</t>
  </si>
  <si>
    <t>Water heater - NG tank 55 GAL</t>
  </si>
  <si>
    <t>Water heater - NG tank 40 GAL</t>
  </si>
  <si>
    <t>Water heater - NG tankless 11 GPM</t>
  </si>
  <si>
    <t>Water heater - NG tankless 10 GPM</t>
  </si>
  <si>
    <t>Water heater - NG tankless 7 GPM</t>
  </si>
  <si>
    <t>Well pump - 1 1/2 HP</t>
  </si>
  <si>
    <t>Well pump - 1/3 HP</t>
  </si>
  <si>
    <t>Well pump - 2 HP</t>
  </si>
  <si>
    <t>Window AC - 10,000 BTU</t>
  </si>
  <si>
    <t>Window AC - 12,000 BTU</t>
  </si>
  <si>
    <t>Appliances by Categories</t>
  </si>
  <si>
    <t>Appliance</t>
  </si>
  <si>
    <t>Category</t>
  </si>
  <si>
    <t>Fuel Conversion (for 1 gallon)</t>
  </si>
  <si>
    <t>kWh</t>
  </si>
  <si>
    <t>Diesel</t>
  </si>
  <si>
    <t>Propane</t>
  </si>
  <si>
    <t>Portable Generator Fuel Types</t>
  </si>
  <si>
    <t>Natural Gas</t>
  </si>
  <si>
    <t>Portable generator</t>
  </si>
  <si>
    <t>Select appliances from drop-down lists:</t>
  </si>
  <si>
    <t>Select fuel type from drop-down list:</t>
  </si>
  <si>
    <t>Inputs</t>
  </si>
  <si>
    <t>Battery size in kWh:</t>
  </si>
  <si>
    <t>Appliance Categories</t>
  </si>
  <si>
    <t>Default Running Watts</t>
  </si>
  <si>
    <t>Default Starting Watts</t>
  </si>
  <si>
    <t>Winter</t>
  </si>
  <si>
    <t>Spring</t>
  </si>
  <si>
    <t>Summer</t>
  </si>
  <si>
    <t>Fall</t>
  </si>
  <si>
    <t>Extreme Winter</t>
  </si>
  <si>
    <t>Extreme Summer</t>
  </si>
  <si>
    <t>Standby Generator</t>
  </si>
  <si>
    <t>Standby Generator Fuel Types</t>
  </si>
  <si>
    <t>Enter quantity of fuel in liters:</t>
  </si>
  <si>
    <t>Energy storage that directly supplies the home; not connected to an electricity meter but usually not off-grid</t>
  </si>
  <si>
    <t>Definition</t>
  </si>
  <si>
    <t>Term</t>
  </si>
  <si>
    <t>Electricity generated from solar panels and must be stored (cannot be directly connected to home); BEV/PHEV can act as this storage</t>
  </si>
  <si>
    <t>Photovoltaic generation (PV) + BTM electricity storage</t>
  </si>
  <si>
    <t>Permanently installed, stationary generator; typically larger and serves whole house; typically fueled by gasoline/diesel/natural gas/propane/bi-fuel</t>
  </si>
  <si>
    <t>On-wheels; typically can only backup critical loads; typically fueled by gasoline/diesel/propane/bi-fuel</t>
  </si>
  <si>
    <t>Battery electric vehicle (BEV)</t>
  </si>
  <si>
    <t>Plug-in hybrid electric vehicle (PHEV)</t>
  </si>
  <si>
    <t>EV powered by battery energy</t>
  </si>
  <si>
    <t>EV powered by battery energy and a range extending gasoline engine</t>
  </si>
  <si>
    <t>Cell Fill Color</t>
  </si>
  <si>
    <t>Meaning</t>
  </si>
  <si>
    <t>Main titles</t>
  </si>
  <si>
    <t>Instructions for user inputs</t>
  </si>
  <si>
    <t>Comments/ explanations</t>
  </si>
  <si>
    <t>Calculated or default values</t>
  </si>
  <si>
    <t>User input (either entered or selected from drop-down list)</t>
  </si>
  <si>
    <t>Sub-titles and headings for calculated/ default values</t>
  </si>
  <si>
    <t>Total Running Watts [W]</t>
  </si>
  <si>
    <t>State-of-charge (SoC)</t>
  </si>
  <si>
    <t>Electric BBQ</t>
  </si>
  <si>
    <t>Sound System</t>
  </si>
  <si>
    <t>Margarita machine</t>
  </si>
  <si>
    <t>Beer refrigerator</t>
  </si>
  <si>
    <t>Minimum battery SoC in percent:</t>
  </si>
  <si>
    <t>Power Capacity minus Load [W]</t>
  </si>
  <si>
    <t>Power Output [W]</t>
  </si>
  <si>
    <t>Total Power Output [W]</t>
  </si>
  <si>
    <t>RUN SCENARIO</t>
  </si>
  <si>
    <t>Hours Running per Day</t>
  </si>
  <si>
    <t>Default Hours Running per Day</t>
  </si>
  <si>
    <t>Power Capacity Factor [%]</t>
  </si>
  <si>
    <t>SUM</t>
  </si>
  <si>
    <t>Target Wh</t>
  </si>
  <si>
    <t>Constraint</t>
  </si>
  <si>
    <t>Appliances Load Factor</t>
  </si>
  <si>
    <t>How many days would you like to run the simulation for?</t>
  </si>
  <si>
    <t>Enter the priority, with 1 being LEAST important:</t>
  </si>
  <si>
    <t>Maximum kWh generation from fuel supply:</t>
  </si>
  <si>
    <t>Storage capacity of BTM storage in kWh:</t>
  </si>
  <si>
    <t>Weather Conditions</t>
  </si>
  <si>
    <t>Home Load</t>
  </si>
  <si>
    <t>Maximum battery SoC in percent:</t>
  </si>
  <si>
    <t>Photovoltaic Generation &amp; Behind-the-Meter Storage</t>
  </si>
  <si>
    <t>Enter the priority of the backup sources dispatch order, with 1 being FIRST to be used:</t>
  </si>
  <si>
    <t>System Output [W]</t>
  </si>
  <si>
    <t>Behind-the-Meter Storage</t>
  </si>
  <si>
    <t>SoC [%]</t>
  </si>
  <si>
    <t>DC system size of PV in kW:</t>
  </si>
  <si>
    <t>Photovoltaic Generation</t>
  </si>
  <si>
    <t>Selected Profile Output [W]</t>
  </si>
  <si>
    <t>Weather Condition Selected</t>
  </si>
  <si>
    <t>Driving electric vehicle</t>
  </si>
  <si>
    <t>Initial battery SoC in percent:</t>
  </si>
  <si>
    <t>DC system size of PV in kW</t>
  </si>
  <si>
    <t>Time</t>
  </si>
  <si>
    <t>Custom 2</t>
  </si>
  <si>
    <t>Custom 1</t>
  </si>
  <si>
    <t>Additional Starting Watts</t>
  </si>
  <si>
    <t>Solved Wh</t>
  </si>
  <si>
    <t>Rated power capacity in kW:</t>
  </si>
  <si>
    <t>Surge power capacity in kW:</t>
  </si>
  <si>
    <t>Total Surge Power Capacity [W]</t>
  </si>
  <si>
    <t>Total Power Capacity [W]</t>
  </si>
  <si>
    <t>FOR PLOTTING:</t>
  </si>
  <si>
    <t>Peak Power [W]</t>
  </si>
  <si>
    <t>Additional Starting Watts [W]</t>
  </si>
  <si>
    <t>Peak Power [kW]</t>
  </si>
  <si>
    <t>Home Electricity Consumed [kWh/day]</t>
  </si>
  <si>
    <t>Desired Electricity Demand [kWh/day]</t>
  </si>
  <si>
    <t>Percentage of Home Electricity Supplied vs Desired [%]</t>
  </si>
  <si>
    <t>Positive values:</t>
  </si>
  <si>
    <t>Negative values:</t>
  </si>
  <si>
    <t>Usage [kW]</t>
  </si>
  <si>
    <t>kWh/day</t>
  </si>
  <si>
    <t>Required Energy [kWh/day]</t>
  </si>
  <si>
    <t>Energy Available [kWh/day]</t>
  </si>
  <si>
    <t>Selected Profile Usage [W]</t>
  </si>
  <si>
    <t>Battery Electric Vehicle - Charging</t>
  </si>
  <si>
    <t>Battery Electric Vehicle - Discharging</t>
  </si>
  <si>
    <t>Plug-In Hybrid Electric Vehicle - Discharging</t>
  </si>
  <si>
    <t>Plug-In Hybrid Electric Vehicle - Charging</t>
  </si>
  <si>
    <t>Behind-the-Meter Storage - Discharging</t>
  </si>
  <si>
    <t>Behind-the-Meter Storage - Charging</t>
  </si>
  <si>
    <t>Plug-In Hybrid Electric Vehicle - Engine</t>
  </si>
  <si>
    <t>Plug-In Hybrid Electric Vehicle (Battery)</t>
  </si>
  <si>
    <t>Plug-In Hybrid Electric Vehicle (Engine)</t>
  </si>
  <si>
    <t>Optimization model solve time [s]</t>
  </si>
  <si>
    <t>Time Steps for Plots</t>
  </si>
  <si>
    <t>Check this box to select an actual home load profile:</t>
  </si>
  <si>
    <t>Actual Home Load Profile Check</t>
  </si>
  <si>
    <t>Home Size Selected</t>
  </si>
  <si>
    <t>Weather Condition and Home Size</t>
  </si>
  <si>
    <t>Select home size from drop-down list:</t>
  </si>
  <si>
    <t>Selected Temperature Profile</t>
  </si>
  <si>
    <t>Backup duration [days]</t>
  </si>
  <si>
    <t>August 8 2016</t>
  </si>
  <si>
    <t xml:space="preserve"> - August 8 2016</t>
  </si>
  <si>
    <t>Central air conditioner (temperature dependent)</t>
  </si>
  <si>
    <t>Gas furnace (temperature dependent)</t>
  </si>
  <si>
    <t>Air source heat pump (temperature dependent)</t>
  </si>
  <si>
    <t>Varies with temperature</t>
  </si>
  <si>
    <t>Small - 93 sq m (1000 sq ft)</t>
  </si>
  <si>
    <t>Medium - 186 sq m (2000 sq ft)</t>
  </si>
  <si>
    <t>Large - 279 sq m (3000 sq ft)</t>
  </si>
  <si>
    <t>Enter 1 for the preferred time to be ON, and enter 10 for the preferred time to be OFF</t>
  </si>
  <si>
    <t>When would you like the simulation to start?</t>
  </si>
  <si>
    <t>Weather Condition</t>
  </si>
  <si>
    <t>Additional starting watts for actual home load profile [W]</t>
  </si>
  <si>
    <t xml:space="preserve"> - July 29 2016</t>
  </si>
  <si>
    <t>July 29 2016</t>
  </si>
  <si>
    <t xml:space="preserve">The level of charge relative to the maximum available capacity of a battery, where 0% is a fully depleted battery and 100% is fully charged. </t>
  </si>
  <si>
    <t>Behind-the-meter (BTM) electricity storage</t>
  </si>
  <si>
    <t>February 1 2016</t>
  </si>
  <si>
    <t>March 31 2016</t>
  </si>
  <si>
    <t>November 9 2016</t>
  </si>
  <si>
    <t xml:space="preserve"> - February 1 2016</t>
  </si>
  <si>
    <t xml:space="preserve"> - March 31 2016</t>
  </si>
  <si>
    <t xml:space="preserve"> - November 9 2016</t>
  </si>
  <si>
    <t>March 31 2016 - high PV day</t>
  </si>
  <si>
    <t>November 9 2016 - low PV day</t>
  </si>
  <si>
    <t>b</t>
  </si>
  <si>
    <t>c</t>
  </si>
  <si>
    <t>Temperature [C]</t>
  </si>
  <si>
    <t>Required Additional Starting Watts</t>
  </si>
  <si>
    <t>Light bulb (CFL)</t>
  </si>
  <si>
    <t>Enter 1 for the preferred time to be ON, and enter 0.1 for the preferred time to be OFF. For appliances that MUST be off at certain times, enter 0.</t>
  </si>
  <si>
    <t>Interface kW ac rating:</t>
  </si>
  <si>
    <t>BTM storage kW ac rating:</t>
  </si>
  <si>
    <t>Hours running per day</t>
  </si>
  <si>
    <t>Extreme Winter - only resistive heating</t>
  </si>
  <si>
    <t>December 17 2016 (Amarillo, TX)</t>
  </si>
  <si>
    <t xml:space="preserve"> - December 17 2016 (Amarillo TX)</t>
  </si>
  <si>
    <t>maximum resistive heating power</t>
  </si>
  <si>
    <t>maximum heat pump heating power</t>
  </si>
  <si>
    <t>January 10 2016 (Austin, TX)</t>
  </si>
  <si>
    <t>December 18 2016 (Amarillo, TX)</t>
  </si>
  <si>
    <t xml:space="preserve"> - December 18 2016 (Amarillo TX)</t>
  </si>
  <si>
    <t xml:space="preserve"> - January 10 2016 (Austin TX)</t>
  </si>
  <si>
    <t>Maximum Resistive Heating Power [W]</t>
  </si>
  <si>
    <t>Maximum Heat Pump Heating Power [W]</t>
  </si>
  <si>
    <t>For Heat Pump in Extreme Winter</t>
  </si>
  <si>
    <t>Maximum Running Power [W]</t>
  </si>
  <si>
    <t>Quantity</t>
  </si>
  <si>
    <t>For heat pump in extreme winter</t>
  </si>
  <si>
    <t>Space heater + heat pump (temperature dependent)</t>
  </si>
  <si>
    <t>1800 ( for the space heater)</t>
  </si>
  <si>
    <t>1800 (for the space heater)</t>
  </si>
  <si>
    <t>Extreme Winter - only resistive heating from the space heater</t>
  </si>
  <si>
    <t>For Extreme Winter</t>
  </si>
  <si>
    <t>Space heater acts as resistive heating of a heat pump</t>
  </si>
  <si>
    <t>spring</t>
  </si>
  <si>
    <t>fall</t>
  </si>
  <si>
    <t>Select weather condition from drop-down list:</t>
  </si>
  <si>
    <t>Battery one-way charge/discharge efficiency in percent:</t>
  </si>
  <si>
    <t>Option 1: smart management module (SMM) mode, user specifies appliances running in the home</t>
  </si>
  <si>
    <t>Option 2: no management module (NMM) mode, user selects an actual load profile for a home</t>
  </si>
  <si>
    <t>Heating/Cooling/HVAC</t>
  </si>
  <si>
    <t>Water/Wastewater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</si>
</sst>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0.0"/>
    <numFmt numFmtId="168" formatCode="0.000000000"/>
    <numFmt numFmtId="169" formatCode="0.0000000"/>
  </numFmts>
  <fonts count="8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14"/>
      <color rgb="FFFFFFFF"/>
      <name val="Calibri"/>
      <family val="2"/>
    </font>
    <font>
      <b/>
      <sz val="14"/>
      <color theme="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005F73"/>
        <bgColor rgb="FF005F73"/>
      </patternFill>
    </fill>
    <fill>
      <patternFill patternType="solid">
        <fgColor rgb="FF0A9396"/>
        <bgColor rgb="FF0A9396"/>
      </patternFill>
    </fill>
    <fill>
      <patternFill patternType="solid">
        <fgColor rgb="FFBB3E03"/>
        <bgColor rgb="FFBB3E03"/>
      </patternFill>
    </fill>
    <fill>
      <patternFill patternType="solid">
        <fgColor rgb="FFE9D8A6"/>
        <bgColor rgb="FFE9D8A6"/>
      </patternFill>
    </fill>
    <fill>
      <patternFill patternType="solid">
        <fgColor rgb="FFEE9B00"/>
        <bgColor rgb="FFEE9B00"/>
      </patternFill>
    </fill>
    <fill>
      <patternFill patternType="solid">
        <fgColor rgb="FFFFFFFF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4D2BD"/>
        <bgColor indexed="64"/>
      </patternFill>
    </fill>
    <fill>
      <patternFill patternType="solid">
        <fgColor rgb="FFBB3E03"/>
        <bgColor theme="0"/>
      </patternFill>
    </fill>
    <fill>
      <patternFill patternType="solid">
        <fgColor rgb="FFEE9B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9B0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64"/>
      </bottom>
      <diagonal/>
    </border>
  </borders>
  <cellStyleXfs count="86">
    <xf numFmtId="0" fontId="0" fillId="0" borderId="0"/>
    <xf numFmtId="0" fontId="51" fillId="0" borderId="23"/>
    <xf numFmtId="0" fontId="64" fillId="0" borderId="56" applyNumberFormat="0" applyFill="0" applyAlignment="0" applyProtection="0"/>
    <xf numFmtId="0" fontId="65" fillId="0" borderId="57" applyNumberFormat="0" applyFill="0" applyAlignment="0" applyProtection="0"/>
    <xf numFmtId="0" fontId="66" fillId="0" borderId="58" applyNumberFormat="0" applyFill="0" applyAlignment="0" applyProtection="0"/>
    <xf numFmtId="0" fontId="70" fillId="21" borderId="59" applyNumberFormat="0" applyAlignment="0" applyProtection="0"/>
    <xf numFmtId="0" fontId="71" fillId="22" borderId="60" applyNumberFormat="0" applyAlignment="0" applyProtection="0"/>
    <xf numFmtId="0" fontId="72" fillId="22" borderId="59" applyNumberFormat="0" applyAlignment="0" applyProtection="0"/>
    <xf numFmtId="0" fontId="73" fillId="0" borderId="61" applyNumberFormat="0" applyFill="0" applyAlignment="0" applyProtection="0"/>
    <xf numFmtId="0" fontId="74" fillId="23" borderId="62" applyNumberFormat="0" applyAlignment="0" applyProtection="0"/>
    <xf numFmtId="0" fontId="77" fillId="0" borderId="64" applyNumberFormat="0" applyFill="0" applyAlignment="0" applyProtection="0"/>
    <xf numFmtId="0" fontId="39" fillId="0" borderId="23"/>
    <xf numFmtId="0" fontId="63" fillId="0" borderId="23" applyNumberFormat="0" applyFill="0" applyBorder="0" applyAlignment="0" applyProtection="0"/>
    <xf numFmtId="0" fontId="66" fillId="0" borderId="23" applyNumberFormat="0" applyFill="0" applyBorder="0" applyAlignment="0" applyProtection="0"/>
    <xf numFmtId="0" fontId="67" fillId="18" borderId="23" applyNumberFormat="0" applyBorder="0" applyAlignment="0" applyProtection="0"/>
    <xf numFmtId="0" fontId="68" fillId="19" borderId="23" applyNumberFormat="0" applyBorder="0" applyAlignment="0" applyProtection="0"/>
    <xf numFmtId="0" fontId="69" fillId="20" borderId="23" applyNumberFormat="0" applyBorder="0" applyAlignment="0" applyProtection="0"/>
    <xf numFmtId="0" fontId="75" fillId="0" borderId="23" applyNumberFormat="0" applyFill="0" applyBorder="0" applyAlignment="0" applyProtection="0"/>
    <xf numFmtId="0" fontId="39" fillId="24" borderId="63" applyNumberFormat="0" applyFont="0" applyAlignment="0" applyProtection="0"/>
    <xf numFmtId="0" fontId="76" fillId="0" borderId="23" applyNumberFormat="0" applyFill="0" applyBorder="0" applyAlignment="0" applyProtection="0"/>
    <xf numFmtId="0" fontId="61" fillId="25" borderId="23" applyNumberFormat="0" applyBorder="0" applyAlignment="0" applyProtection="0"/>
    <xf numFmtId="0" fontId="39" fillId="26" borderId="23" applyNumberFormat="0" applyBorder="0" applyAlignment="0" applyProtection="0"/>
    <xf numFmtId="0" fontId="39" fillId="27" borderId="23" applyNumberFormat="0" applyBorder="0" applyAlignment="0" applyProtection="0"/>
    <xf numFmtId="0" fontId="39" fillId="28" borderId="23" applyNumberFormat="0" applyBorder="0" applyAlignment="0" applyProtection="0"/>
    <xf numFmtId="0" fontId="61" fillId="29" borderId="23" applyNumberFormat="0" applyBorder="0" applyAlignment="0" applyProtection="0"/>
    <xf numFmtId="0" fontId="39" fillId="30" borderId="23" applyNumberFormat="0" applyBorder="0" applyAlignment="0" applyProtection="0"/>
    <xf numFmtId="0" fontId="39" fillId="31" borderId="23" applyNumberFormat="0" applyBorder="0" applyAlignment="0" applyProtection="0"/>
    <xf numFmtId="0" fontId="39" fillId="32" borderId="23" applyNumberFormat="0" applyBorder="0" applyAlignment="0" applyProtection="0"/>
    <xf numFmtId="0" fontId="61" fillId="33" borderId="23" applyNumberFormat="0" applyBorder="0" applyAlignment="0" applyProtection="0"/>
    <xf numFmtId="0" fontId="39" fillId="34" borderId="23" applyNumberFormat="0" applyBorder="0" applyAlignment="0" applyProtection="0"/>
    <xf numFmtId="0" fontId="39" fillId="35" borderId="23" applyNumberFormat="0" applyBorder="0" applyAlignment="0" applyProtection="0"/>
    <xf numFmtId="0" fontId="39" fillId="36" borderId="23" applyNumberFormat="0" applyBorder="0" applyAlignment="0" applyProtection="0"/>
    <xf numFmtId="0" fontId="61" fillId="37" borderId="23" applyNumberFormat="0" applyBorder="0" applyAlignment="0" applyProtection="0"/>
    <xf numFmtId="0" fontId="39" fillId="38" borderId="23" applyNumberFormat="0" applyBorder="0" applyAlignment="0" applyProtection="0"/>
    <xf numFmtId="0" fontId="39" fillId="39" borderId="23" applyNumberFormat="0" applyBorder="0" applyAlignment="0" applyProtection="0"/>
    <xf numFmtId="0" fontId="39" fillId="40" borderId="23" applyNumberFormat="0" applyBorder="0" applyAlignment="0" applyProtection="0"/>
    <xf numFmtId="0" fontId="61" fillId="41" borderId="23" applyNumberFormat="0" applyBorder="0" applyAlignment="0" applyProtection="0"/>
    <xf numFmtId="0" fontId="39" fillId="42" borderId="23" applyNumberFormat="0" applyBorder="0" applyAlignment="0" applyProtection="0"/>
    <xf numFmtId="0" fontId="39" fillId="43" borderId="23" applyNumberFormat="0" applyBorder="0" applyAlignment="0" applyProtection="0"/>
    <xf numFmtId="0" fontId="39" fillId="44" borderId="23" applyNumberFormat="0" applyBorder="0" applyAlignment="0" applyProtection="0"/>
    <xf numFmtId="0" fontId="61" fillId="45" borderId="23" applyNumberFormat="0" applyBorder="0" applyAlignment="0" applyProtection="0"/>
    <xf numFmtId="0" fontId="39" fillId="46" borderId="23" applyNumberFormat="0" applyBorder="0" applyAlignment="0" applyProtection="0"/>
    <xf numFmtId="0" fontId="39" fillId="47" borderId="23" applyNumberFormat="0" applyBorder="0" applyAlignment="0" applyProtection="0"/>
    <xf numFmtId="0" fontId="39" fillId="48" borderId="23" applyNumberFormat="0" applyBorder="0" applyAlignment="0" applyProtection="0"/>
    <xf numFmtId="0" fontId="24" fillId="0" borderId="23"/>
    <xf numFmtId="0" fontId="24" fillId="24" borderId="63" applyNumberFormat="0" applyFont="0" applyAlignment="0" applyProtection="0"/>
    <xf numFmtId="0" fontId="24" fillId="26" borderId="23" applyNumberFormat="0" applyBorder="0" applyAlignment="0" applyProtection="0"/>
    <xf numFmtId="0" fontId="24" fillId="27" borderId="23" applyNumberFormat="0" applyBorder="0" applyAlignment="0" applyProtection="0"/>
    <xf numFmtId="0" fontId="24" fillId="28" borderId="23" applyNumberFormat="0" applyBorder="0" applyAlignment="0" applyProtection="0"/>
    <xf numFmtId="0" fontId="24" fillId="30" borderId="23" applyNumberFormat="0" applyBorder="0" applyAlignment="0" applyProtection="0"/>
    <xf numFmtId="0" fontId="24" fillId="31" borderId="23" applyNumberFormat="0" applyBorder="0" applyAlignment="0" applyProtection="0"/>
    <xf numFmtId="0" fontId="24" fillId="32" borderId="23" applyNumberFormat="0" applyBorder="0" applyAlignment="0" applyProtection="0"/>
    <xf numFmtId="0" fontId="24" fillId="34" borderId="23" applyNumberFormat="0" applyBorder="0" applyAlignment="0" applyProtection="0"/>
    <xf numFmtId="0" fontId="24" fillId="35" borderId="23" applyNumberFormat="0" applyBorder="0" applyAlignment="0" applyProtection="0"/>
    <xf numFmtId="0" fontId="24" fillId="36" borderId="23" applyNumberFormat="0" applyBorder="0" applyAlignment="0" applyProtection="0"/>
    <xf numFmtId="0" fontId="24" fillId="38" borderId="23" applyNumberFormat="0" applyBorder="0" applyAlignment="0" applyProtection="0"/>
    <xf numFmtId="0" fontId="24" fillId="39" borderId="23" applyNumberFormat="0" applyBorder="0" applyAlignment="0" applyProtection="0"/>
    <xf numFmtId="0" fontId="24" fillId="40" borderId="23" applyNumberFormat="0" applyBorder="0" applyAlignment="0" applyProtection="0"/>
    <xf numFmtId="0" fontId="24" fillId="42" borderId="23" applyNumberFormat="0" applyBorder="0" applyAlignment="0" applyProtection="0"/>
    <xf numFmtId="0" fontId="24" fillId="43" borderId="23" applyNumberFormat="0" applyBorder="0" applyAlignment="0" applyProtection="0"/>
    <xf numFmtId="0" fontId="24" fillId="44" borderId="23" applyNumberFormat="0" applyBorder="0" applyAlignment="0" applyProtection="0"/>
    <xf numFmtId="0" fontId="24" fillId="46" borderId="23" applyNumberFormat="0" applyBorder="0" applyAlignment="0" applyProtection="0"/>
    <xf numFmtId="0" fontId="24" fillId="47" borderId="23" applyNumberFormat="0" applyBorder="0" applyAlignment="0" applyProtection="0"/>
    <xf numFmtId="0" fontId="24" fillId="48" borderId="23" applyNumberFormat="0" applyBorder="0" applyAlignment="0" applyProtection="0"/>
    <xf numFmtId="0" fontId="79" fillId="0" borderId="23"/>
    <xf numFmtId="0" fontId="24" fillId="0" borderId="23"/>
    <xf numFmtId="0" fontId="24" fillId="24" borderId="63" applyNumberFormat="0" applyFont="0" applyAlignment="0" applyProtection="0"/>
    <xf numFmtId="0" fontId="24" fillId="26" borderId="23" applyNumberFormat="0" applyBorder="0" applyAlignment="0" applyProtection="0"/>
    <xf numFmtId="0" fontId="24" fillId="27" borderId="23" applyNumberFormat="0" applyBorder="0" applyAlignment="0" applyProtection="0"/>
    <xf numFmtId="0" fontId="24" fillId="28" borderId="23" applyNumberFormat="0" applyBorder="0" applyAlignment="0" applyProtection="0"/>
    <xf numFmtId="0" fontId="24" fillId="30" borderId="23" applyNumberFormat="0" applyBorder="0" applyAlignment="0" applyProtection="0"/>
    <xf numFmtId="0" fontId="24" fillId="31" borderId="23" applyNumberFormat="0" applyBorder="0" applyAlignment="0" applyProtection="0"/>
    <xf numFmtId="0" fontId="24" fillId="32" borderId="23" applyNumberFormat="0" applyBorder="0" applyAlignment="0" applyProtection="0"/>
    <xf numFmtId="0" fontId="24" fillId="34" borderId="23" applyNumberFormat="0" applyBorder="0" applyAlignment="0" applyProtection="0"/>
    <xf numFmtId="0" fontId="24" fillId="35" borderId="23" applyNumberFormat="0" applyBorder="0" applyAlignment="0" applyProtection="0"/>
    <xf numFmtId="0" fontId="24" fillId="36" borderId="23" applyNumberFormat="0" applyBorder="0" applyAlignment="0" applyProtection="0"/>
    <xf numFmtId="0" fontId="24" fillId="38" borderId="23" applyNumberFormat="0" applyBorder="0" applyAlignment="0" applyProtection="0"/>
    <xf numFmtId="0" fontId="24" fillId="39" borderId="23" applyNumberFormat="0" applyBorder="0" applyAlignment="0" applyProtection="0"/>
    <xf numFmtId="0" fontId="24" fillId="40" borderId="23" applyNumberFormat="0" applyBorder="0" applyAlignment="0" applyProtection="0"/>
    <xf numFmtId="0" fontId="24" fillId="42" borderId="23" applyNumberFormat="0" applyBorder="0" applyAlignment="0" applyProtection="0"/>
    <xf numFmtId="0" fontId="24" fillId="43" borderId="23" applyNumberFormat="0" applyBorder="0" applyAlignment="0" applyProtection="0"/>
    <xf numFmtId="0" fontId="24" fillId="44" borderId="23" applyNumberFormat="0" applyBorder="0" applyAlignment="0" applyProtection="0"/>
    <xf numFmtId="0" fontId="24" fillId="46" borderId="23" applyNumberFormat="0" applyBorder="0" applyAlignment="0" applyProtection="0"/>
    <xf numFmtId="0" fontId="24" fillId="47" borderId="23" applyNumberFormat="0" applyBorder="0" applyAlignment="0" applyProtection="0"/>
    <xf numFmtId="0" fontId="24" fillId="48" borderId="23" applyNumberFormat="0" applyBorder="0" applyAlignment="0" applyProtection="0"/>
    <xf numFmtId="0" fontId="24" fillId="0" borderId="23"/>
  </cellStyleXfs>
  <cellXfs count="401">
    <xf numFmtId="0" fontId="0" fillId="0" borderId="0" xfId="0"/>
    <xf numFmtId="1" fontId="57" fillId="0" borderId="0" xfId="0" applyNumberFormat="1" applyFont="1"/>
    <xf numFmtId="0" fontId="54" fillId="0" borderId="0" xfId="0" applyFont="1" applyAlignment="1">
      <alignment horizontal="left"/>
    </xf>
    <xf numFmtId="20" fontId="51" fillId="0" borderId="0" xfId="0" applyNumberFormat="1" applyFont="1"/>
    <xf numFmtId="0" fontId="57" fillId="0" borderId="0" xfId="0" applyFont="1"/>
    <xf numFmtId="0" fontId="0" fillId="0" borderId="0" xfId="0" applyAlignment="1">
      <alignment wrapText="1"/>
    </xf>
    <xf numFmtId="0" fontId="56" fillId="4" borderId="13" xfId="0" applyFont="1" applyFill="1" applyBorder="1" applyAlignment="1">
      <alignment vertical="center" wrapText="1"/>
    </xf>
    <xf numFmtId="0" fontId="55" fillId="4" borderId="13" xfId="0" applyFont="1" applyFill="1" applyBorder="1" applyAlignment="1">
      <alignment vertical="center" wrapText="1"/>
    </xf>
    <xf numFmtId="0" fontId="54" fillId="3" borderId="13" xfId="0" applyFont="1" applyFill="1" applyBorder="1" applyAlignment="1">
      <alignment wrapText="1"/>
    </xf>
    <xf numFmtId="0" fontId="56" fillId="5" borderId="13" xfId="0" applyFont="1" applyFill="1" applyBorder="1" applyAlignment="1">
      <alignment wrapText="1"/>
    </xf>
    <xf numFmtId="0" fontId="55" fillId="5" borderId="13" xfId="0" applyFont="1" applyFill="1" applyBorder="1" applyAlignment="1">
      <alignment wrapText="1"/>
    </xf>
    <xf numFmtId="0" fontId="52" fillId="3" borderId="13" xfId="0" applyFont="1" applyFill="1" applyBorder="1" applyAlignment="1">
      <alignment wrapText="1"/>
    </xf>
    <xf numFmtId="0" fontId="56" fillId="0" borderId="0" xfId="0" applyFont="1" applyAlignment="1">
      <alignment wrapText="1"/>
    </xf>
    <xf numFmtId="0" fontId="57" fillId="0" borderId="28" xfId="0" applyFont="1" applyBorder="1"/>
    <xf numFmtId="0" fontId="57" fillId="0" borderId="29" xfId="0" applyFont="1" applyBorder="1"/>
    <xf numFmtId="0" fontId="51" fillId="0" borderId="33" xfId="0" applyFont="1" applyBorder="1"/>
    <xf numFmtId="0" fontId="51" fillId="0" borderId="23" xfId="0" applyFont="1" applyBorder="1"/>
    <xf numFmtId="0" fontId="51" fillId="0" borderId="34" xfId="0" applyFont="1" applyBorder="1"/>
    <xf numFmtId="0" fontId="57" fillId="0" borderId="33" xfId="0" applyFont="1" applyBorder="1"/>
    <xf numFmtId="0" fontId="57" fillId="0" borderId="23" xfId="0" applyFont="1" applyBorder="1"/>
    <xf numFmtId="0" fontId="0" fillId="0" borderId="34" xfId="0" applyBorder="1"/>
    <xf numFmtId="0" fontId="0" fillId="0" borderId="23" xfId="0" applyBorder="1"/>
    <xf numFmtId="1" fontId="51" fillId="0" borderId="23" xfId="0" applyNumberFormat="1" applyFont="1" applyBorder="1"/>
    <xf numFmtId="0" fontId="57" fillId="0" borderId="34" xfId="0" applyFont="1" applyBorder="1"/>
    <xf numFmtId="0" fontId="57" fillId="0" borderId="35" xfId="0" applyFont="1" applyBorder="1"/>
    <xf numFmtId="0" fontId="57" fillId="0" borderId="36" xfId="0" applyFont="1" applyBorder="1"/>
    <xf numFmtId="0" fontId="0" fillId="0" borderId="37" xfId="0" applyBorder="1"/>
    <xf numFmtId="0" fontId="57" fillId="0" borderId="32" xfId="0" applyFont="1" applyBorder="1"/>
    <xf numFmtId="2" fontId="57" fillId="0" borderId="34" xfId="0" applyNumberFormat="1" applyFont="1" applyBorder="1"/>
    <xf numFmtId="2" fontId="57" fillId="0" borderId="37" xfId="0" applyNumberFormat="1" applyFont="1" applyBorder="1"/>
    <xf numFmtId="0" fontId="57" fillId="9" borderId="27" xfId="0" applyFont="1" applyFill="1" applyBorder="1"/>
    <xf numFmtId="0" fontId="57" fillId="9" borderId="30" xfId="0" applyFont="1" applyFill="1" applyBorder="1"/>
    <xf numFmtId="0" fontId="0" fillId="9" borderId="31" xfId="0" applyFill="1" applyBorder="1"/>
    <xf numFmtId="0" fontId="0" fillId="9" borderId="32" xfId="0" applyFill="1" applyBorder="1"/>
    <xf numFmtId="0" fontId="50" fillId="0" borderId="33" xfId="0" applyFont="1" applyBorder="1"/>
    <xf numFmtId="0" fontId="50" fillId="0" borderId="23" xfId="0" applyFont="1" applyBorder="1"/>
    <xf numFmtId="0" fontId="53" fillId="0" borderId="23" xfId="0" applyFont="1" applyBorder="1"/>
    <xf numFmtId="1" fontId="0" fillId="0" borderId="0" xfId="0" applyNumberFormat="1"/>
    <xf numFmtId="0" fontId="49" fillId="9" borderId="27" xfId="0" applyFont="1" applyFill="1" applyBorder="1"/>
    <xf numFmtId="0" fontId="57" fillId="9" borderId="31" xfId="0" applyFont="1" applyFill="1" applyBorder="1"/>
    <xf numFmtId="0" fontId="49" fillId="0" borderId="28" xfId="0" applyFont="1" applyBorder="1"/>
    <xf numFmtId="0" fontId="49" fillId="0" borderId="29" xfId="0" applyFont="1" applyBorder="1"/>
    <xf numFmtId="0" fontId="48" fillId="9" borderId="27" xfId="0" applyFont="1" applyFill="1" applyBorder="1"/>
    <xf numFmtId="0" fontId="47" fillId="0" borderId="0" xfId="0" applyFont="1"/>
    <xf numFmtId="0" fontId="4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9" fillId="3" borderId="45" xfId="0" applyFont="1" applyFill="1" applyBorder="1" applyAlignment="1">
      <alignment vertical="center" wrapText="1"/>
    </xf>
    <xf numFmtId="0" fontId="56" fillId="4" borderId="45" xfId="0" applyFont="1" applyFill="1" applyBorder="1" applyAlignment="1">
      <alignment vertical="center" wrapText="1"/>
    </xf>
    <xf numFmtId="0" fontId="0" fillId="11" borderId="45" xfId="0" applyFill="1" applyBorder="1"/>
    <xf numFmtId="1" fontId="51" fillId="6" borderId="45" xfId="0" applyNumberFormat="1" applyFont="1" applyFill="1" applyBorder="1" applyAlignment="1">
      <alignment wrapText="1"/>
    </xf>
    <xf numFmtId="0" fontId="51" fillId="7" borderId="45" xfId="0" applyFont="1" applyFill="1" applyBorder="1" applyAlignment="1">
      <alignment wrapText="1"/>
    </xf>
    <xf numFmtId="0" fontId="56" fillId="5" borderId="45" xfId="0" applyFont="1" applyFill="1" applyBorder="1" applyAlignment="1">
      <alignment wrapText="1"/>
    </xf>
    <xf numFmtId="0" fontId="57" fillId="9" borderId="45" xfId="0" applyFont="1" applyFill="1" applyBorder="1"/>
    <xf numFmtId="0" fontId="46" fillId="0" borderId="0" xfId="0" applyFont="1" applyAlignment="1">
      <alignment horizontal="left" vertical="center" wrapText="1"/>
    </xf>
    <xf numFmtId="0" fontId="46" fillId="0" borderId="33" xfId="0" applyFont="1" applyBorder="1"/>
    <xf numFmtId="0" fontId="0" fillId="0" borderId="0" xfId="0" applyAlignment="1">
      <alignment vertical="center" wrapText="1"/>
    </xf>
    <xf numFmtId="0" fontId="51" fillId="2" borderId="1" xfId="0" applyFont="1" applyFill="1" applyBorder="1" applyAlignment="1">
      <alignment vertical="center" wrapText="1"/>
    </xf>
    <xf numFmtId="0" fontId="51" fillId="2" borderId="2" xfId="0" applyFont="1" applyFill="1" applyBorder="1" applyAlignment="1">
      <alignment vertical="center" wrapText="1"/>
    </xf>
    <xf numFmtId="0" fontId="51" fillId="2" borderId="25" xfId="0" applyFont="1" applyFill="1" applyBorder="1" applyAlignment="1">
      <alignment vertical="center" wrapText="1"/>
    </xf>
    <xf numFmtId="0" fontId="51" fillId="2" borderId="3" xfId="0" applyFont="1" applyFill="1" applyBorder="1" applyAlignment="1">
      <alignment vertical="center" wrapText="1"/>
    </xf>
    <xf numFmtId="0" fontId="51" fillId="2" borderId="30" xfId="0" applyFont="1" applyFill="1" applyBorder="1" applyAlignment="1">
      <alignment vertical="center" wrapText="1"/>
    </xf>
    <xf numFmtId="0" fontId="51" fillId="2" borderId="31" xfId="0" applyFont="1" applyFill="1" applyBorder="1" applyAlignment="1">
      <alignment vertical="center" wrapText="1"/>
    </xf>
    <xf numFmtId="0" fontId="0" fillId="10" borderId="32" xfId="0" applyFill="1" applyBorder="1" applyAlignment="1">
      <alignment vertical="center" wrapText="1"/>
    </xf>
    <xf numFmtId="0" fontId="51" fillId="2" borderId="4" xfId="0" applyFont="1" applyFill="1" applyBorder="1" applyAlignment="1">
      <alignment vertical="center" wrapText="1"/>
    </xf>
    <xf numFmtId="0" fontId="51" fillId="2" borderId="6" xfId="0" applyFont="1" applyFill="1" applyBorder="1" applyAlignment="1">
      <alignment vertical="center" wrapText="1"/>
    </xf>
    <xf numFmtId="0" fontId="51" fillId="2" borderId="33" xfId="0" applyFont="1" applyFill="1" applyBorder="1" applyAlignment="1">
      <alignment vertical="center" wrapText="1"/>
    </xf>
    <xf numFmtId="0" fontId="0" fillId="10" borderId="34" xfId="0" applyFill="1" applyBorder="1" applyAlignment="1">
      <alignment vertical="center" wrapText="1"/>
    </xf>
    <xf numFmtId="0" fontId="51" fillId="2" borderId="22" xfId="0" applyFont="1" applyFill="1" applyBorder="1" applyAlignment="1">
      <alignment vertical="center" wrapText="1"/>
    </xf>
    <xf numFmtId="0" fontId="0" fillId="10" borderId="0" xfId="0" applyFill="1" applyAlignment="1">
      <alignment vertical="center" wrapText="1"/>
    </xf>
    <xf numFmtId="0" fontId="51" fillId="2" borderId="19" xfId="0" applyFont="1" applyFill="1" applyBorder="1" applyAlignment="1">
      <alignment vertical="center" wrapText="1"/>
    </xf>
    <xf numFmtId="0" fontId="0" fillId="10" borderId="23" xfId="0" applyFill="1" applyBorder="1" applyAlignment="1">
      <alignment vertical="center" wrapText="1"/>
    </xf>
    <xf numFmtId="0" fontId="56" fillId="4" borderId="41" xfId="0" applyFont="1" applyFill="1" applyBorder="1" applyAlignment="1">
      <alignment vertical="center" wrapText="1"/>
    </xf>
    <xf numFmtId="0" fontId="51" fillId="2" borderId="23" xfId="0" applyFont="1" applyFill="1" applyBorder="1" applyAlignment="1">
      <alignment vertical="center" wrapText="1"/>
    </xf>
    <xf numFmtId="0" fontId="51" fillId="2" borderId="10" xfId="0" applyFont="1" applyFill="1" applyBorder="1" applyAlignment="1">
      <alignment vertical="center" wrapText="1"/>
    </xf>
    <xf numFmtId="0" fontId="51" fillId="2" borderId="5" xfId="0" applyFont="1" applyFill="1" applyBorder="1" applyAlignment="1">
      <alignment vertical="center" wrapText="1"/>
    </xf>
    <xf numFmtId="0" fontId="56" fillId="5" borderId="12" xfId="0" applyFont="1" applyFill="1" applyBorder="1" applyAlignment="1">
      <alignment vertical="center" wrapText="1"/>
    </xf>
    <xf numFmtId="0" fontId="51" fillId="2" borderId="11" xfId="0" applyFont="1" applyFill="1" applyBorder="1" applyAlignment="1">
      <alignment vertical="center" wrapText="1"/>
    </xf>
    <xf numFmtId="0" fontId="56" fillId="4" borderId="12" xfId="0" applyFont="1" applyFill="1" applyBorder="1" applyAlignment="1">
      <alignment vertical="center" wrapText="1"/>
    </xf>
    <xf numFmtId="0" fontId="56" fillId="5" borderId="38" xfId="0" applyFont="1" applyFill="1" applyBorder="1" applyAlignment="1">
      <alignment vertical="center" wrapText="1"/>
    </xf>
    <xf numFmtId="0" fontId="56" fillId="5" borderId="40" xfId="0" applyFont="1" applyFill="1" applyBorder="1" applyAlignment="1">
      <alignment vertical="center" wrapText="1"/>
    </xf>
    <xf numFmtId="0" fontId="56" fillId="5" borderId="39" xfId="0" applyFont="1" applyFill="1" applyBorder="1" applyAlignment="1">
      <alignment vertical="center" wrapText="1"/>
    </xf>
    <xf numFmtId="1" fontId="51" fillId="6" borderId="18" xfId="0" applyNumberFormat="1" applyFont="1" applyFill="1" applyBorder="1" applyAlignment="1">
      <alignment vertical="center" wrapText="1"/>
    </xf>
    <xf numFmtId="0" fontId="51" fillId="8" borderId="15" xfId="0" applyFont="1" applyFill="1" applyBorder="1" applyAlignment="1">
      <alignment vertical="center" wrapText="1"/>
    </xf>
    <xf numFmtId="0" fontId="51" fillId="8" borderId="16" xfId="0" applyFont="1" applyFill="1" applyBorder="1" applyAlignment="1">
      <alignment vertical="center" wrapText="1"/>
    </xf>
    <xf numFmtId="0" fontId="51" fillId="8" borderId="24" xfId="0" applyFont="1" applyFill="1" applyBorder="1" applyAlignment="1">
      <alignment vertical="center" wrapText="1"/>
    </xf>
    <xf numFmtId="0" fontId="51" fillId="8" borderId="17" xfId="0" applyFont="1" applyFill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51" fillId="0" borderId="23" xfId="0" applyFont="1" applyBorder="1" applyAlignment="1">
      <alignment vertical="center" wrapText="1"/>
    </xf>
    <xf numFmtId="0" fontId="45" fillId="10" borderId="36" xfId="0" applyFont="1" applyFill="1" applyBorder="1" applyAlignment="1">
      <alignment vertical="center" wrapText="1"/>
    </xf>
    <xf numFmtId="0" fontId="0" fillId="14" borderId="0" xfId="0" applyFill="1" applyAlignment="1">
      <alignment vertical="center" wrapText="1"/>
    </xf>
    <xf numFmtId="0" fontId="46" fillId="0" borderId="23" xfId="0" applyFont="1" applyBorder="1"/>
    <xf numFmtId="0" fontId="51" fillId="13" borderId="23" xfId="0" applyFont="1" applyFill="1" applyBorder="1"/>
    <xf numFmtId="0" fontId="56" fillId="5" borderId="46" xfId="0" applyFont="1" applyFill="1" applyBorder="1" applyAlignment="1">
      <alignment vertical="center" wrapText="1"/>
    </xf>
    <xf numFmtId="0" fontId="44" fillId="0" borderId="0" xfId="0" applyFont="1"/>
    <xf numFmtId="1" fontId="44" fillId="16" borderId="0" xfId="0" applyNumberFormat="1" applyFont="1" applyFill="1"/>
    <xf numFmtId="1" fontId="62" fillId="17" borderId="0" xfId="0" applyNumberFormat="1" applyFont="1" applyFill="1"/>
    <xf numFmtId="1" fontId="0" fillId="16" borderId="0" xfId="0" applyNumberFormat="1" applyFill="1"/>
    <xf numFmtId="0" fontId="43" fillId="0" borderId="0" xfId="0" applyFont="1"/>
    <xf numFmtId="1" fontId="0" fillId="0" borderId="0" xfId="0" applyNumberFormat="1" applyAlignment="1">
      <alignment wrapText="1"/>
    </xf>
    <xf numFmtId="0" fontId="56" fillId="4" borderId="18" xfId="0" applyFont="1" applyFill="1" applyBorder="1" applyAlignment="1">
      <alignment vertical="center" wrapText="1"/>
    </xf>
    <xf numFmtId="2" fontId="51" fillId="6" borderId="9" xfId="0" applyNumberFormat="1" applyFont="1" applyFill="1" applyBorder="1" applyAlignment="1">
      <alignment vertical="center" wrapText="1"/>
    </xf>
    <xf numFmtId="0" fontId="42" fillId="9" borderId="27" xfId="0" applyFont="1" applyFill="1" applyBorder="1"/>
    <xf numFmtId="0" fontId="55" fillId="4" borderId="18" xfId="0" applyFont="1" applyFill="1" applyBorder="1" applyAlignment="1">
      <alignment vertical="center" wrapText="1"/>
    </xf>
    <xf numFmtId="0" fontId="56" fillId="4" borderId="50" xfId="0" applyFont="1" applyFill="1" applyBorder="1" applyAlignment="1">
      <alignment vertical="center" wrapText="1"/>
    </xf>
    <xf numFmtId="0" fontId="55" fillId="4" borderId="50" xfId="0" applyFont="1" applyFill="1" applyBorder="1" applyAlignment="1">
      <alignment vertical="center" wrapText="1"/>
    </xf>
    <xf numFmtId="0" fontId="56" fillId="4" borderId="55" xfId="0" applyFont="1" applyFill="1" applyBorder="1" applyAlignment="1">
      <alignment vertical="center" wrapText="1"/>
    </xf>
    <xf numFmtId="2" fontId="51" fillId="6" borderId="50" xfId="0" applyNumberFormat="1" applyFont="1" applyFill="1" applyBorder="1" applyAlignment="1">
      <alignment vertical="center" wrapText="1"/>
    </xf>
    <xf numFmtId="0" fontId="41" fillId="0" borderId="0" xfId="0" applyFont="1"/>
    <xf numFmtId="20" fontId="0" fillId="0" borderId="23" xfId="0" applyNumberFormat="1" applyBorder="1"/>
    <xf numFmtId="20" fontId="0" fillId="0" borderId="36" xfId="0" applyNumberFormat="1" applyBorder="1"/>
    <xf numFmtId="20" fontId="0" fillId="0" borderId="33" xfId="0" applyNumberFormat="1" applyBorder="1"/>
    <xf numFmtId="20" fontId="0" fillId="0" borderId="35" xfId="0" applyNumberFormat="1" applyBorder="1"/>
    <xf numFmtId="0" fontId="40" fillId="0" borderId="0" xfId="0" applyFont="1" applyAlignment="1">
      <alignment horizontal="left" vertical="center" wrapText="1"/>
    </xf>
    <xf numFmtId="164" fontId="0" fillId="0" borderId="0" xfId="0" applyNumberFormat="1"/>
    <xf numFmtId="0" fontId="39" fillId="0" borderId="34" xfId="0" applyFont="1" applyBorder="1"/>
    <xf numFmtId="0" fontId="39" fillId="0" borderId="23" xfId="11"/>
    <xf numFmtId="0" fontId="38" fillId="0" borderId="0" xfId="0" applyFont="1"/>
    <xf numFmtId="0" fontId="0" fillId="0" borderId="28" xfId="0" applyBorder="1"/>
    <xf numFmtId="0" fontId="0" fillId="0" borderId="29" xfId="0" applyBorder="1"/>
    <xf numFmtId="0" fontId="37" fillId="9" borderId="27" xfId="0" applyFont="1" applyFill="1" applyBorder="1"/>
    <xf numFmtId="0" fontId="36" fillId="0" borderId="0" xfId="0" applyFont="1"/>
    <xf numFmtId="0" fontId="51" fillId="2" borderId="35" xfId="0" applyFont="1" applyFill="1" applyBorder="1" applyAlignment="1">
      <alignment vertical="center" wrapText="1"/>
    </xf>
    <xf numFmtId="0" fontId="0" fillId="10" borderId="37" xfId="0" applyFill="1" applyBorder="1" applyAlignment="1">
      <alignment vertical="center" wrapText="1"/>
    </xf>
    <xf numFmtId="0" fontId="35" fillId="9" borderId="27" xfId="0" applyFont="1" applyFill="1" applyBorder="1"/>
    <xf numFmtId="0" fontId="35" fillId="0" borderId="33" xfId="0" applyFont="1" applyBorder="1"/>
    <xf numFmtId="0" fontId="35" fillId="0" borderId="23" xfId="0" applyFont="1" applyBorder="1"/>
    <xf numFmtId="0" fontId="39" fillId="0" borderId="23" xfId="0" applyFont="1" applyBorder="1"/>
    <xf numFmtId="0" fontId="39" fillId="13" borderId="23" xfId="0" applyFont="1" applyFill="1" applyBorder="1"/>
    <xf numFmtId="0" fontId="52" fillId="3" borderId="20" xfId="0" applyFont="1" applyFill="1" applyBorder="1"/>
    <xf numFmtId="0" fontId="52" fillId="3" borderId="24" xfId="0" applyFont="1" applyFill="1" applyBorder="1"/>
    <xf numFmtId="0" fontId="54" fillId="3" borderId="20" xfId="0" applyFont="1" applyFill="1" applyBorder="1"/>
    <xf numFmtId="0" fontId="54" fillId="3" borderId="24" xfId="0" applyFont="1" applyFill="1" applyBorder="1"/>
    <xf numFmtId="0" fontId="34" fillId="0" borderId="29" xfId="0" applyFont="1" applyBorder="1"/>
    <xf numFmtId="0" fontId="34" fillId="0" borderId="0" xfId="0" applyFont="1"/>
    <xf numFmtId="0" fontId="33" fillId="9" borderId="30" xfId="0" applyFont="1" applyFill="1" applyBorder="1"/>
    <xf numFmtId="0" fontId="41" fillId="9" borderId="32" xfId="0" applyFont="1" applyFill="1" applyBorder="1"/>
    <xf numFmtId="0" fontId="42" fillId="9" borderId="32" xfId="0" applyFont="1" applyFill="1" applyBorder="1"/>
    <xf numFmtId="0" fontId="39" fillId="9" borderId="31" xfId="0" applyFont="1" applyFill="1" applyBorder="1"/>
    <xf numFmtId="49" fontId="33" fillId="9" borderId="31" xfId="0" applyNumberFormat="1" applyFont="1" applyFill="1" applyBorder="1"/>
    <xf numFmtId="49" fontId="41" fillId="9" borderId="32" xfId="0" applyNumberFormat="1" applyFont="1" applyFill="1" applyBorder="1"/>
    <xf numFmtId="164" fontId="49" fillId="0" borderId="29" xfId="0" applyNumberFormat="1" applyFont="1" applyBorder="1"/>
    <xf numFmtId="1" fontId="51" fillId="2" borderId="23" xfId="0" applyNumberFormat="1" applyFont="1" applyFill="1" applyBorder="1" applyAlignment="1">
      <alignment vertical="center" wrapText="1"/>
    </xf>
    <xf numFmtId="0" fontId="32" fillId="0" borderId="0" xfId="0" applyFont="1"/>
    <xf numFmtId="1" fontId="32" fillId="0" borderId="0" xfId="0" applyNumberFormat="1" applyFont="1"/>
    <xf numFmtId="0" fontId="0" fillId="14" borderId="0" xfId="0" applyFill="1" applyAlignment="1">
      <alignment horizontal="left" vertical="center" wrapText="1"/>
    </xf>
    <xf numFmtId="0" fontId="31" fillId="0" borderId="0" xfId="0" applyFont="1"/>
    <xf numFmtId="165" fontId="0" fillId="0" borderId="34" xfId="0" applyNumberFormat="1" applyBorder="1"/>
    <xf numFmtId="165" fontId="0" fillId="0" borderId="37" xfId="0" applyNumberFormat="1" applyBorder="1"/>
    <xf numFmtId="1" fontId="0" fillId="10" borderId="0" xfId="0" applyNumberFormat="1" applyFill="1" applyAlignment="1">
      <alignment vertical="center" wrapText="1"/>
    </xf>
    <xf numFmtId="0" fontId="30" fillId="0" borderId="34" xfId="0" applyFont="1" applyBorder="1"/>
    <xf numFmtId="0" fontId="30" fillId="9" borderId="27" xfId="0" applyFont="1" applyFill="1" applyBorder="1"/>
    <xf numFmtId="164" fontId="0" fillId="0" borderId="29" xfId="0" applyNumberFormat="1" applyBorder="1"/>
    <xf numFmtId="0" fontId="30" fillId="13" borderId="34" xfId="0" applyFont="1" applyFill="1" applyBorder="1"/>
    <xf numFmtId="0" fontId="30" fillId="0" borderId="0" xfId="0" applyFont="1"/>
    <xf numFmtId="0" fontId="29" fillId="9" borderId="27" xfId="0" applyFont="1" applyFill="1" applyBorder="1"/>
    <xf numFmtId="0" fontId="28" fillId="0" borderId="0" xfId="0" applyFont="1"/>
    <xf numFmtId="0" fontId="28" fillId="9" borderId="27" xfId="0" applyFont="1" applyFill="1" applyBorder="1"/>
    <xf numFmtId="2" fontId="0" fillId="10" borderId="0" xfId="0" applyNumberFormat="1" applyFill="1" applyAlignment="1">
      <alignment vertical="center" wrapText="1"/>
    </xf>
    <xf numFmtId="2" fontId="51" fillId="2" borderId="5" xfId="0" applyNumberFormat="1" applyFont="1" applyFill="1" applyBorder="1" applyAlignment="1">
      <alignment vertical="center" wrapText="1"/>
    </xf>
    <xf numFmtId="164" fontId="0" fillId="10" borderId="0" xfId="0" applyNumberFormat="1" applyFill="1" applyAlignment="1">
      <alignment vertical="center" wrapText="1"/>
    </xf>
    <xf numFmtId="166" fontId="0" fillId="10" borderId="0" xfId="0" applyNumberFormat="1" applyFill="1" applyAlignment="1">
      <alignment vertical="center" wrapText="1"/>
    </xf>
    <xf numFmtId="0" fontId="61" fillId="0" borderId="0" xfId="0" applyFont="1" applyAlignment="1">
      <alignment vertical="center" wrapText="1"/>
    </xf>
    <xf numFmtId="0" fontId="27" fillId="10" borderId="0" xfId="0" applyFont="1" applyFill="1" applyAlignment="1">
      <alignment vertical="center" wrapText="1"/>
    </xf>
    <xf numFmtId="20" fontId="0" fillId="0" borderId="0" xfId="0" applyNumberFormat="1"/>
    <xf numFmtId="164" fontId="26" fillId="0" borderId="0" xfId="0" applyNumberFormat="1" applyFont="1"/>
    <xf numFmtId="0" fontId="25" fillId="9" borderId="27" xfId="0" applyFont="1" applyFill="1" applyBorder="1"/>
    <xf numFmtId="0" fontId="25" fillId="0" borderId="28" xfId="0" applyFont="1" applyBorder="1"/>
    <xf numFmtId="0" fontId="25" fillId="0" borderId="27" xfId="0" applyFont="1" applyBorder="1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0" fontId="0" fillId="0" borderId="23" xfId="0" applyBorder="1" applyAlignment="1">
      <alignment vertical="center"/>
    </xf>
    <xf numFmtId="0" fontId="51" fillId="0" borderId="23" xfId="0" applyFont="1" applyBorder="1" applyAlignment="1">
      <alignment vertical="center"/>
    </xf>
    <xf numFmtId="164" fontId="0" fillId="0" borderId="0" xfId="0" applyNumberFormat="1" applyAlignment="1">
      <alignment vertical="center"/>
    </xf>
    <xf numFmtId="49" fontId="24" fillId="9" borderId="31" xfId="0" applyNumberFormat="1" applyFont="1" applyFill="1" applyBorder="1"/>
    <xf numFmtId="164" fontId="0" fillId="0" borderId="28" xfId="0" applyNumberFormat="1" applyBorder="1"/>
    <xf numFmtId="0" fontId="24" fillId="0" borderId="37" xfId="44" applyBorder="1"/>
    <xf numFmtId="164" fontId="0" fillId="0" borderId="37" xfId="0" applyNumberFormat="1" applyBorder="1"/>
    <xf numFmtId="2" fontId="0" fillId="0" borderId="34" xfId="0" applyNumberFormat="1" applyBorder="1"/>
    <xf numFmtId="164" fontId="0" fillId="0" borderId="34" xfId="0" applyNumberFormat="1" applyBorder="1"/>
    <xf numFmtId="0" fontId="24" fillId="0" borderId="23" xfId="44"/>
    <xf numFmtId="0" fontId="0" fillId="0" borderId="73" xfId="0" applyBorder="1"/>
    <xf numFmtId="0" fontId="0" fillId="0" borderId="78" xfId="0" applyBorder="1"/>
    <xf numFmtId="2" fontId="24" fillId="0" borderId="34" xfId="0" quotePrefix="1" applyNumberFormat="1" applyFont="1" applyBorder="1"/>
    <xf numFmtId="165" fontId="24" fillId="0" borderId="23" xfId="44" applyNumberFormat="1"/>
    <xf numFmtId="0" fontId="0" fillId="0" borderId="76" xfId="0" applyBorder="1"/>
    <xf numFmtId="0" fontId="24" fillId="0" borderId="23" xfId="65"/>
    <xf numFmtId="0" fontId="38" fillId="0" borderId="23" xfId="0" applyFont="1" applyBorder="1"/>
    <xf numFmtId="0" fontId="0" fillId="0" borderId="77" xfId="0" applyBorder="1"/>
    <xf numFmtId="0" fontId="24" fillId="0" borderId="23" xfId="65" quotePrefix="1"/>
    <xf numFmtId="0" fontId="0" fillId="0" borderId="75" xfId="0" applyBorder="1"/>
    <xf numFmtId="2" fontId="0" fillId="0" borderId="77" xfId="0" applyNumberFormat="1" applyBorder="1"/>
    <xf numFmtId="0" fontId="24" fillId="0" borderId="37" xfId="65" applyBorder="1"/>
    <xf numFmtId="165" fontId="0" fillId="0" borderId="23" xfId="0" applyNumberFormat="1" applyBorder="1"/>
    <xf numFmtId="165" fontId="24" fillId="0" borderId="23" xfId="65" applyNumberFormat="1"/>
    <xf numFmtId="0" fontId="77" fillId="9" borderId="36" xfId="0" applyFont="1" applyFill="1" applyBorder="1"/>
    <xf numFmtId="0" fontId="77" fillId="9" borderId="37" xfId="0" applyFont="1" applyFill="1" applyBorder="1"/>
    <xf numFmtId="0" fontId="77" fillId="9" borderId="36" xfId="0" applyFont="1" applyFill="1" applyBorder="1" applyAlignment="1">
      <alignment horizontal="left"/>
    </xf>
    <xf numFmtId="0" fontId="23" fillId="9" borderId="30" xfId="0" applyFont="1" applyFill="1" applyBorder="1"/>
    <xf numFmtId="0" fontId="23" fillId="9" borderId="31" xfId="0" applyFont="1" applyFill="1" applyBorder="1"/>
    <xf numFmtId="49" fontId="23" fillId="9" borderId="31" xfId="0" applyNumberFormat="1" applyFont="1" applyFill="1" applyBorder="1"/>
    <xf numFmtId="49" fontId="23" fillId="9" borderId="32" xfId="0" applyNumberFormat="1" applyFont="1" applyFill="1" applyBorder="1"/>
    <xf numFmtId="0" fontId="23" fillId="9" borderId="32" xfId="0" applyFont="1" applyFill="1" applyBorder="1"/>
    <xf numFmtId="0" fontId="23" fillId="0" borderId="33" xfId="0" applyFont="1" applyBorder="1"/>
    <xf numFmtId="0" fontId="23" fillId="0" borderId="34" xfId="0" applyFont="1" applyBorder="1"/>
    <xf numFmtId="0" fontId="23" fillId="0" borderId="77" xfId="0" applyFont="1" applyBorder="1"/>
    <xf numFmtId="0" fontId="23" fillId="0" borderId="79" xfId="0" applyFont="1" applyBorder="1"/>
    <xf numFmtId="2" fontId="24" fillId="0" borderId="37" xfId="0" quotePrefix="1" applyNumberFormat="1" applyFont="1" applyBorder="1"/>
    <xf numFmtId="2" fontId="0" fillId="0" borderId="37" xfId="0" applyNumberFormat="1" applyBorder="1"/>
    <xf numFmtId="2" fontId="23" fillId="0" borderId="79" xfId="0" applyNumberFormat="1" applyFont="1" applyBorder="1"/>
    <xf numFmtId="2" fontId="23" fillId="0" borderId="80" xfId="0" applyNumberFormat="1" applyFont="1" applyBorder="1"/>
    <xf numFmtId="2" fontId="0" fillId="0" borderId="79" xfId="0" applyNumberFormat="1" applyBorder="1"/>
    <xf numFmtId="2" fontId="0" fillId="0" borderId="80" xfId="0" applyNumberFormat="1" applyBorder="1"/>
    <xf numFmtId="0" fontId="22" fillId="0" borderId="23" xfId="0" applyFont="1" applyBorder="1"/>
    <xf numFmtId="0" fontId="22" fillId="0" borderId="0" xfId="0" applyFont="1"/>
    <xf numFmtId="0" fontId="22" fillId="0" borderId="28" xfId="0" applyFont="1" applyBorder="1"/>
    <xf numFmtId="0" fontId="22" fillId="9" borderId="30" xfId="0" applyFont="1" applyFill="1" applyBorder="1"/>
    <xf numFmtId="165" fontId="0" fillId="0" borderId="0" xfId="0" applyNumberFormat="1"/>
    <xf numFmtId="167" fontId="51" fillId="2" borderId="5" xfId="0" applyNumberFormat="1" applyFont="1" applyFill="1" applyBorder="1" applyAlignment="1">
      <alignment vertical="center" wrapText="1"/>
    </xf>
    <xf numFmtId="0" fontId="21" fillId="0" borderId="33" xfId="0" applyFont="1" applyBorder="1"/>
    <xf numFmtId="0" fontId="25" fillId="9" borderId="45" xfId="0" applyFont="1" applyFill="1" applyBorder="1" applyAlignment="1">
      <alignment wrapText="1"/>
    </xf>
    <xf numFmtId="0" fontId="49" fillId="0" borderId="45" xfId="0" applyFont="1" applyBorder="1"/>
    <xf numFmtId="0" fontId="21" fillId="9" borderId="45" xfId="0" applyFont="1" applyFill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5" xfId="0" applyBorder="1"/>
    <xf numFmtId="0" fontId="0" fillId="0" borderId="36" xfId="0" applyBorder="1"/>
    <xf numFmtId="2" fontId="0" fillId="0" borderId="45" xfId="0" applyNumberFormat="1" applyBorder="1"/>
    <xf numFmtId="0" fontId="19" fillId="9" borderId="27" xfId="0" applyFont="1" applyFill="1" applyBorder="1" applyAlignment="1">
      <alignment wrapText="1"/>
    </xf>
    <xf numFmtId="2" fontId="57" fillId="0" borderId="23" xfId="0" applyNumberFormat="1" applyFont="1" applyBorder="1"/>
    <xf numFmtId="2" fontId="51" fillId="0" borderId="23" xfId="0" applyNumberFormat="1" applyFont="1" applyBorder="1"/>
    <xf numFmtId="49" fontId="18" fillId="9" borderId="31" xfId="0" applyNumberFormat="1" applyFont="1" applyFill="1" applyBorder="1"/>
    <xf numFmtId="2" fontId="0" fillId="0" borderId="0" xfId="0" applyNumberFormat="1"/>
    <xf numFmtId="0" fontId="17" fillId="0" borderId="0" xfId="0" applyFont="1" applyAlignment="1">
      <alignment horizontal="left" vertical="center" wrapText="1"/>
    </xf>
    <xf numFmtId="49" fontId="16" fillId="9" borderId="31" xfId="0" applyNumberFormat="1" applyFont="1" applyFill="1" applyBorder="1"/>
    <xf numFmtId="0" fontId="77" fillId="9" borderId="36" xfId="0" quotePrefix="1" applyFont="1" applyFill="1" applyBorder="1"/>
    <xf numFmtId="0" fontId="16" fillId="9" borderId="30" xfId="0" applyFont="1" applyFill="1" applyBorder="1"/>
    <xf numFmtId="0" fontId="51" fillId="7" borderId="18" xfId="0" applyFont="1" applyFill="1" applyBorder="1" applyAlignment="1" applyProtection="1">
      <alignment vertical="center" wrapText="1"/>
      <protection locked="0"/>
    </xf>
    <xf numFmtId="0" fontId="51" fillId="7" borderId="13" xfId="0" applyFont="1" applyFill="1" applyBorder="1" applyAlignment="1" applyProtection="1">
      <alignment vertical="center" wrapText="1"/>
      <protection locked="0"/>
    </xf>
    <xf numFmtId="9" fontId="51" fillId="7" borderId="18" xfId="0" applyNumberFormat="1" applyFont="1" applyFill="1" applyBorder="1" applyAlignment="1" applyProtection="1">
      <alignment vertical="center" wrapText="1"/>
      <protection locked="0"/>
    </xf>
    <xf numFmtId="9" fontId="51" fillId="7" borderId="50" xfId="0" applyNumberFormat="1" applyFont="1" applyFill="1" applyBorder="1" applyAlignment="1" applyProtection="1">
      <alignment vertical="center" wrapText="1"/>
      <protection locked="0"/>
    </xf>
    <xf numFmtId="0" fontId="51" fillId="7" borderId="50" xfId="0" applyFont="1" applyFill="1" applyBorder="1" applyAlignment="1" applyProtection="1">
      <alignment vertical="center" wrapText="1"/>
      <protection locked="0"/>
    </xf>
    <xf numFmtId="0" fontId="51" fillId="7" borderId="53" xfId="0" applyFont="1" applyFill="1" applyBorder="1" applyAlignment="1" applyProtection="1">
      <alignment vertical="center" wrapText="1"/>
      <protection locked="0"/>
    </xf>
    <xf numFmtId="0" fontId="51" fillId="7" borderId="21" xfId="0" applyFont="1" applyFill="1" applyBorder="1" applyAlignment="1" applyProtection="1">
      <alignment vertical="center" wrapText="1"/>
      <protection locked="0"/>
    </xf>
    <xf numFmtId="0" fontId="51" fillId="7" borderId="18" xfId="1" applyFill="1" applyBorder="1" applyAlignment="1" applyProtection="1">
      <alignment horizontal="center" vertical="center"/>
      <protection locked="0"/>
    </xf>
    <xf numFmtId="0" fontId="0" fillId="13" borderId="30" xfId="0" applyFill="1" applyBorder="1" applyAlignment="1" applyProtection="1">
      <alignment vertical="center" wrapText="1"/>
      <protection locked="0"/>
    </xf>
    <xf numFmtId="0" fontId="51" fillId="15" borderId="32" xfId="0" applyFont="1" applyFill="1" applyBorder="1" applyAlignment="1" applyProtection="1">
      <alignment vertical="center" wrapText="1"/>
      <protection locked="0"/>
    </xf>
    <xf numFmtId="0" fontId="0" fillId="13" borderId="33" xfId="0" applyFill="1" applyBorder="1" applyAlignment="1" applyProtection="1">
      <alignment vertical="center" wrapText="1"/>
      <protection locked="0"/>
    </xf>
    <xf numFmtId="0" fontId="51" fillId="15" borderId="34" xfId="0" applyFont="1" applyFill="1" applyBorder="1" applyAlignment="1" applyProtection="1">
      <alignment vertical="center" wrapText="1"/>
      <protection locked="0"/>
    </xf>
    <xf numFmtId="0" fontId="51" fillId="15" borderId="35" xfId="0" applyFont="1" applyFill="1" applyBorder="1" applyAlignment="1" applyProtection="1">
      <alignment vertical="center" wrapText="1"/>
      <protection locked="0"/>
    </xf>
    <xf numFmtId="0" fontId="51" fillId="15" borderId="37" xfId="0" applyFont="1" applyFill="1" applyBorder="1" applyAlignment="1" applyProtection="1">
      <alignment vertical="center" wrapText="1"/>
      <protection locked="0"/>
    </xf>
    <xf numFmtId="2" fontId="51" fillId="6" borderId="68" xfId="0" applyNumberFormat="1" applyFont="1" applyFill="1" applyBorder="1" applyAlignment="1" applyProtection="1">
      <alignment vertical="center" wrapText="1"/>
      <protection locked="0"/>
    </xf>
    <xf numFmtId="2" fontId="51" fillId="6" borderId="18" xfId="0" applyNumberFormat="1" applyFont="1" applyFill="1" applyBorder="1" applyAlignment="1" applyProtection="1">
      <alignment vertical="center" wrapText="1"/>
      <protection locked="0"/>
    </xf>
    <xf numFmtId="9" fontId="51" fillId="6" borderId="18" xfId="0" applyNumberFormat="1" applyFont="1" applyFill="1" applyBorder="1" applyAlignment="1" applyProtection="1">
      <alignment vertical="center" wrapText="1"/>
      <protection locked="0"/>
    </xf>
    <xf numFmtId="164" fontId="51" fillId="6" borderId="68" xfId="0" applyNumberFormat="1" applyFont="1" applyFill="1" applyBorder="1" applyAlignment="1" applyProtection="1">
      <alignment vertical="center" wrapText="1"/>
      <protection locked="0"/>
    </xf>
    <xf numFmtId="0" fontId="16" fillId="0" borderId="23" xfId="0" applyFont="1" applyBorder="1"/>
    <xf numFmtId="0" fontId="16" fillId="13" borderId="23" xfId="0" applyFont="1" applyFill="1" applyBorder="1"/>
    <xf numFmtId="0" fontId="16" fillId="0" borderId="0" xfId="0" applyFont="1"/>
    <xf numFmtId="20" fontId="0" fillId="0" borderId="75" xfId="0" applyNumberFormat="1" applyBorder="1"/>
    <xf numFmtId="20" fontId="0" fillId="0" borderId="72" xfId="0" applyNumberFormat="1" applyBorder="1"/>
    <xf numFmtId="0" fontId="16" fillId="0" borderId="34" xfId="0" applyFont="1" applyBorder="1"/>
    <xf numFmtId="2" fontId="0" fillId="0" borderId="23" xfId="0" applyNumberFormat="1" applyBorder="1"/>
    <xf numFmtId="2" fontId="0" fillId="0" borderId="73" xfId="0" applyNumberFormat="1" applyBorder="1"/>
    <xf numFmtId="2" fontId="0" fillId="0" borderId="81" xfId="0" applyNumberFormat="1" applyBorder="1"/>
    <xf numFmtId="0" fontId="15" fillId="9" borderId="30" xfId="0" applyFont="1" applyFill="1" applyBorder="1"/>
    <xf numFmtId="0" fontId="15" fillId="9" borderId="82" xfId="0" applyFont="1" applyFill="1" applyBorder="1"/>
    <xf numFmtId="0" fontId="15" fillId="9" borderId="45" xfId="0" applyFont="1" applyFill="1" applyBorder="1" applyAlignment="1">
      <alignment wrapText="1"/>
    </xf>
    <xf numFmtId="0" fontId="22" fillId="9" borderId="45" xfId="0" applyFont="1" applyFill="1" applyBorder="1" applyAlignment="1">
      <alignment wrapText="1"/>
    </xf>
    <xf numFmtId="0" fontId="16" fillId="9" borderId="45" xfId="0" applyFont="1" applyFill="1" applyBorder="1" applyAlignment="1">
      <alignment wrapText="1"/>
    </xf>
    <xf numFmtId="1" fontId="0" fillId="0" borderId="45" xfId="0" applyNumberFormat="1" applyBorder="1"/>
    <xf numFmtId="168" fontId="0" fillId="0" borderId="0" xfId="0" applyNumberFormat="1" applyAlignment="1">
      <alignment vertical="center"/>
    </xf>
    <xf numFmtId="2" fontId="0" fillId="0" borderId="36" xfId="0" applyNumberFormat="1" applyBorder="1"/>
    <xf numFmtId="0" fontId="13" fillId="0" borderId="33" xfId="0" applyFont="1" applyBorder="1"/>
    <xf numFmtId="0" fontId="12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10" fillId="0" borderId="0" xfId="0" applyFont="1"/>
    <xf numFmtId="0" fontId="0" fillId="16" borderId="0" xfId="0" applyFill="1"/>
    <xf numFmtId="0" fontId="51" fillId="6" borderId="18" xfId="0" applyFont="1" applyFill="1" applyBorder="1" applyAlignment="1">
      <alignment vertical="center" wrapText="1"/>
    </xf>
    <xf numFmtId="0" fontId="9" fillId="0" borderId="23" xfId="0" applyFont="1" applyBorder="1"/>
    <xf numFmtId="0" fontId="8" fillId="0" borderId="0" xfId="0" applyFont="1"/>
    <xf numFmtId="2" fontId="23" fillId="0" borderId="37" xfId="0" applyNumberFormat="1" applyFont="1" applyBorder="1"/>
    <xf numFmtId="169" fontId="0" fillId="0" borderId="0" xfId="0" applyNumberFormat="1"/>
    <xf numFmtId="0" fontId="23" fillId="0" borderId="23" xfId="0" applyFont="1" applyBorder="1"/>
    <xf numFmtId="49" fontId="7" fillId="9" borderId="31" xfId="0" applyNumberFormat="1" applyFont="1" applyFill="1" applyBorder="1"/>
    <xf numFmtId="164" fontId="24" fillId="0" borderId="23" xfId="44" applyNumberFormat="1"/>
    <xf numFmtId="0" fontId="77" fillId="9" borderId="40" xfId="0" applyFont="1" applyFill="1" applyBorder="1"/>
    <xf numFmtId="0" fontId="77" fillId="9" borderId="39" xfId="0" applyFont="1" applyFill="1" applyBorder="1"/>
    <xf numFmtId="167" fontId="0" fillId="0" borderId="0" xfId="0" applyNumberFormat="1"/>
    <xf numFmtId="0" fontId="0" fillId="0" borderId="45" xfId="0" applyBorder="1"/>
    <xf numFmtId="0" fontId="7" fillId="9" borderId="45" xfId="0" applyFont="1" applyFill="1" applyBorder="1" applyAlignment="1">
      <alignment wrapText="1"/>
    </xf>
    <xf numFmtId="49" fontId="6" fillId="9" borderId="31" xfId="0" applyNumberFormat="1" applyFont="1" applyFill="1" applyBorder="1"/>
    <xf numFmtId="2" fontId="6" fillId="0" borderId="37" xfId="0" applyNumberFormat="1" applyFont="1" applyBorder="1"/>
    <xf numFmtId="0" fontId="6" fillId="0" borderId="0" xfId="0" applyFont="1"/>
    <xf numFmtId="49" fontId="5" fillId="9" borderId="31" xfId="0" applyNumberFormat="1" applyFont="1" applyFill="1" applyBorder="1"/>
    <xf numFmtId="0" fontId="4" fillId="0" borderId="0" xfId="0" applyFont="1"/>
    <xf numFmtId="0" fontId="4" fillId="9" borderId="45" xfId="0" applyFont="1" applyFill="1" applyBorder="1" applyAlignment="1">
      <alignment wrapText="1"/>
    </xf>
    <xf numFmtId="0" fontId="4" fillId="0" borderId="33" xfId="0" applyFont="1" applyBorder="1"/>
    <xf numFmtId="0" fontId="4" fillId="0" borderId="23" xfId="0" applyFont="1" applyBorder="1"/>
    <xf numFmtId="0" fontId="77" fillId="0" borderId="23" xfId="0" applyFont="1" applyBorder="1"/>
    <xf numFmtId="0" fontId="15" fillId="9" borderId="83" xfId="0" applyFont="1" applyFill="1" applyBorder="1"/>
    <xf numFmtId="0" fontId="42" fillId="9" borderId="74" xfId="0" applyFont="1" applyFill="1" applyBorder="1"/>
    <xf numFmtId="0" fontId="23" fillId="0" borderId="75" xfId="0" applyFont="1" applyBorder="1"/>
    <xf numFmtId="0" fontId="23" fillId="0" borderId="73" xfId="0" applyFont="1" applyBorder="1"/>
    <xf numFmtId="2" fontId="0" fillId="0" borderId="78" xfId="0" applyNumberFormat="1" applyBorder="1"/>
    <xf numFmtId="0" fontId="25" fillId="9" borderId="27" xfId="0" applyFont="1" applyFill="1" applyBorder="1" applyAlignment="1">
      <alignment wrapText="1"/>
    </xf>
    <xf numFmtId="2" fontId="23" fillId="0" borderId="73" xfId="0" applyNumberFormat="1" applyFont="1" applyBorder="1"/>
    <xf numFmtId="2" fontId="23" fillId="0" borderId="81" xfId="0" applyNumberFormat="1" applyFont="1" applyBorder="1"/>
    <xf numFmtId="0" fontId="25" fillId="10" borderId="45" xfId="0" applyFont="1" applyFill="1" applyBorder="1" applyAlignment="1">
      <alignment wrapText="1"/>
    </xf>
    <xf numFmtId="0" fontId="25" fillId="10" borderId="27" xfId="0" applyFont="1" applyFill="1" applyBorder="1" applyAlignment="1">
      <alignment wrapText="1"/>
    </xf>
    <xf numFmtId="0" fontId="3" fillId="0" borderId="28" xfId="0" applyFont="1" applyBorder="1"/>
    <xf numFmtId="0" fontId="3" fillId="0" borderId="29" xfId="0" applyFont="1" applyBorder="1"/>
    <xf numFmtId="2" fontId="57" fillId="0" borderId="0" xfId="0" applyNumberFormat="1" applyFont="1"/>
    <xf numFmtId="0" fontId="2" fillId="9" borderId="31" xfId="0" applyFont="1" applyFill="1" applyBorder="1"/>
    <xf numFmtId="0" fontId="1" fillId="0" borderId="0" xfId="0" applyFont="1"/>
    <xf numFmtId="20" fontId="0" fillId="0" borderId="84" xfId="0" applyNumberFormat="1" applyBorder="1"/>
    <xf numFmtId="0" fontId="20" fillId="0" borderId="23" xfId="0" applyFont="1" applyBorder="1"/>
    <xf numFmtId="0" fontId="56" fillId="5" borderId="35" xfId="0" applyFont="1" applyFill="1" applyBorder="1" applyAlignment="1">
      <alignment horizontal="left" vertical="center" wrapText="1"/>
    </xf>
    <xf numFmtId="0" fontId="56" fillId="5" borderId="37" xfId="0" applyFont="1" applyFill="1" applyBorder="1" applyAlignment="1">
      <alignment horizontal="left" vertical="center" wrapText="1"/>
    </xf>
    <xf numFmtId="0" fontId="56" fillId="5" borderId="38" xfId="0" applyFont="1" applyFill="1" applyBorder="1" applyAlignment="1">
      <alignment horizontal="left" vertical="center" wrapText="1"/>
    </xf>
    <xf numFmtId="0" fontId="56" fillId="5" borderId="39" xfId="0" applyFont="1" applyFill="1" applyBorder="1" applyAlignment="1">
      <alignment horizontal="left" vertical="center" wrapText="1"/>
    </xf>
    <xf numFmtId="0" fontId="56" fillId="4" borderId="45" xfId="0" applyFont="1" applyFill="1" applyBorder="1" applyAlignment="1">
      <alignment horizontal="left" vertical="center" wrapText="1"/>
    </xf>
    <xf numFmtId="0" fontId="58" fillId="3" borderId="42" xfId="0" applyFont="1" applyFill="1" applyBorder="1" applyAlignment="1">
      <alignment horizontal="center" vertical="center" wrapText="1"/>
    </xf>
    <xf numFmtId="0" fontId="58" fillId="3" borderId="43" xfId="0" applyFont="1" applyFill="1" applyBorder="1" applyAlignment="1">
      <alignment horizontal="center" vertical="center" wrapText="1"/>
    </xf>
    <xf numFmtId="0" fontId="58" fillId="3" borderId="44" xfId="0" applyFont="1" applyFill="1" applyBorder="1" applyAlignment="1">
      <alignment horizontal="center" vertical="center" wrapText="1"/>
    </xf>
    <xf numFmtId="0" fontId="56" fillId="12" borderId="38" xfId="0" applyFont="1" applyFill="1" applyBorder="1" applyAlignment="1">
      <alignment horizontal="left" vertical="center" wrapText="1"/>
    </xf>
    <xf numFmtId="0" fontId="56" fillId="12" borderId="40" xfId="0" applyFont="1" applyFill="1" applyBorder="1" applyAlignment="1">
      <alignment horizontal="left" vertical="center" wrapText="1"/>
    </xf>
    <xf numFmtId="0" fontId="56" fillId="12" borderId="39" xfId="0" applyFont="1" applyFill="1" applyBorder="1" applyAlignment="1">
      <alignment horizontal="left" vertical="center" wrapText="1"/>
    </xf>
    <xf numFmtId="0" fontId="56" fillId="5" borderId="52" xfId="0" applyFont="1" applyFill="1" applyBorder="1" applyAlignment="1">
      <alignment horizontal="left" vertical="center" wrapText="1"/>
    </xf>
    <xf numFmtId="0" fontId="56" fillId="5" borderId="14" xfId="0" applyFont="1" applyFill="1" applyBorder="1" applyAlignment="1">
      <alignment horizontal="left" vertical="center" wrapText="1"/>
    </xf>
    <xf numFmtId="0" fontId="56" fillId="5" borderId="51" xfId="0" applyFont="1" applyFill="1" applyBorder="1" applyAlignment="1">
      <alignment horizontal="left" vertical="center" wrapText="1"/>
    </xf>
    <xf numFmtId="20" fontId="51" fillId="13" borderId="45" xfId="0" applyNumberFormat="1" applyFont="1" applyFill="1" applyBorder="1" applyAlignment="1" applyProtection="1">
      <alignment horizontal="right"/>
      <protection locked="0"/>
    </xf>
    <xf numFmtId="0" fontId="56" fillId="5" borderId="66" xfId="0" applyFont="1" applyFill="1" applyBorder="1" applyAlignment="1">
      <alignment horizontal="left" vertical="center" wrapText="1"/>
    </xf>
    <xf numFmtId="0" fontId="56" fillId="5" borderId="19" xfId="0" applyFont="1" applyFill="1" applyBorder="1" applyAlignment="1">
      <alignment horizontal="left" vertical="center" wrapText="1"/>
    </xf>
    <xf numFmtId="0" fontId="56" fillId="5" borderId="67" xfId="0" applyFont="1" applyFill="1" applyBorder="1" applyAlignment="1">
      <alignment horizontal="left" vertical="center" wrapText="1"/>
    </xf>
    <xf numFmtId="0" fontId="56" fillId="4" borderId="38" xfId="0" applyFont="1" applyFill="1" applyBorder="1" applyAlignment="1">
      <alignment horizontal="left" vertical="center" wrapText="1"/>
    </xf>
    <xf numFmtId="0" fontId="56" fillId="4" borderId="40" xfId="0" applyFont="1" applyFill="1" applyBorder="1" applyAlignment="1">
      <alignment horizontal="left" vertical="center" wrapText="1"/>
    </xf>
    <xf numFmtId="0" fontId="56" fillId="4" borderId="39" xfId="0" applyFont="1" applyFill="1" applyBorder="1" applyAlignment="1">
      <alignment horizontal="left" vertical="center" wrapText="1"/>
    </xf>
    <xf numFmtId="0" fontId="56" fillId="4" borderId="47" xfId="0" applyFont="1" applyFill="1" applyBorder="1" applyAlignment="1">
      <alignment horizontal="left" vertical="center" wrapText="1"/>
    </xf>
    <xf numFmtId="0" fontId="56" fillId="4" borderId="48" xfId="0" applyFont="1" applyFill="1" applyBorder="1" applyAlignment="1">
      <alignment horizontal="left" vertical="center" wrapText="1"/>
    </xf>
    <xf numFmtId="0" fontId="56" fillId="4" borderId="49" xfId="0" applyFont="1" applyFill="1" applyBorder="1" applyAlignment="1">
      <alignment horizontal="left" vertical="center" wrapText="1"/>
    </xf>
    <xf numFmtId="0" fontId="56" fillId="5" borderId="54" xfId="0" applyFont="1" applyFill="1" applyBorder="1" applyAlignment="1">
      <alignment horizontal="left" vertical="center" wrapText="1"/>
    </xf>
    <xf numFmtId="0" fontId="56" fillId="5" borderId="65" xfId="0" applyFont="1" applyFill="1" applyBorder="1" applyAlignment="1">
      <alignment horizontal="left" vertical="center" wrapText="1"/>
    </xf>
    <xf numFmtId="0" fontId="56" fillId="5" borderId="23" xfId="0" applyFont="1" applyFill="1" applyBorder="1" applyAlignment="1">
      <alignment horizontal="left" vertical="center" wrapText="1"/>
    </xf>
    <xf numFmtId="0" fontId="56" fillId="5" borderId="24" xfId="0" applyFont="1" applyFill="1" applyBorder="1" applyAlignment="1">
      <alignment horizontal="left" vertical="center" wrapText="1"/>
    </xf>
    <xf numFmtId="0" fontId="60" fillId="3" borderId="42" xfId="0" applyFont="1" applyFill="1" applyBorder="1" applyAlignment="1">
      <alignment horizontal="center" vertical="center" wrapText="1"/>
    </xf>
    <xf numFmtId="0" fontId="60" fillId="3" borderId="43" xfId="0" applyFont="1" applyFill="1" applyBorder="1" applyAlignment="1">
      <alignment horizontal="center" vertical="center" wrapText="1"/>
    </xf>
    <xf numFmtId="0" fontId="60" fillId="3" borderId="44" xfId="0" applyFont="1" applyFill="1" applyBorder="1" applyAlignment="1">
      <alignment horizontal="center" vertical="center" wrapText="1"/>
    </xf>
    <xf numFmtId="0" fontId="60" fillId="3" borderId="38" xfId="0" applyFont="1" applyFill="1" applyBorder="1" applyAlignment="1">
      <alignment horizontal="center" vertical="center" wrapText="1"/>
    </xf>
    <xf numFmtId="0" fontId="60" fillId="3" borderId="40" xfId="0" applyFont="1" applyFill="1" applyBorder="1" applyAlignment="1">
      <alignment horizontal="center" vertical="center" wrapText="1"/>
    </xf>
    <xf numFmtId="0" fontId="60" fillId="3" borderId="39" xfId="0" applyFont="1" applyFill="1" applyBorder="1" applyAlignment="1">
      <alignment horizontal="center" vertical="center" wrapText="1"/>
    </xf>
    <xf numFmtId="0" fontId="59" fillId="3" borderId="38" xfId="0" applyFont="1" applyFill="1" applyBorder="1" applyAlignment="1">
      <alignment horizontal="center" vertical="center" wrapText="1"/>
    </xf>
    <xf numFmtId="0" fontId="59" fillId="3" borderId="40" xfId="0" applyFont="1" applyFill="1" applyBorder="1" applyAlignment="1">
      <alignment horizontal="center" vertical="center" wrapText="1"/>
    </xf>
    <xf numFmtId="0" fontId="59" fillId="3" borderId="39" xfId="0" applyFont="1" applyFill="1" applyBorder="1" applyAlignment="1">
      <alignment horizontal="center" vertical="center" wrapText="1"/>
    </xf>
    <xf numFmtId="0" fontId="52" fillId="3" borderId="7" xfId="0" applyFont="1" applyFill="1" applyBorder="1" applyAlignment="1">
      <alignment horizontal="left"/>
    </xf>
    <xf numFmtId="0" fontId="52" fillId="3" borderId="26" xfId="0" applyFont="1" applyFill="1" applyBorder="1" applyAlignment="1">
      <alignment horizontal="left"/>
    </xf>
    <xf numFmtId="0" fontId="53" fillId="0" borderId="8" xfId="0" applyFont="1" applyBorder="1"/>
    <xf numFmtId="0" fontId="53" fillId="0" borderId="26" xfId="0" applyFont="1" applyBorder="1"/>
    <xf numFmtId="0" fontId="53" fillId="0" borderId="9" xfId="0" applyFont="1" applyBorder="1"/>
    <xf numFmtId="0" fontId="54" fillId="3" borderId="7" xfId="0" applyFont="1" applyFill="1" applyBorder="1" applyAlignment="1">
      <alignment horizontal="left" wrapText="1"/>
    </xf>
    <xf numFmtId="0" fontId="54" fillId="3" borderId="26" xfId="0" applyFont="1" applyFill="1" applyBorder="1" applyAlignment="1">
      <alignment horizontal="left" wrapText="1"/>
    </xf>
    <xf numFmtId="0" fontId="54" fillId="3" borderId="9" xfId="0" applyFont="1" applyFill="1" applyBorder="1" applyAlignment="1">
      <alignment horizontal="left" wrapText="1"/>
    </xf>
    <xf numFmtId="0" fontId="52" fillId="3" borderId="9" xfId="0" applyFont="1" applyFill="1" applyBorder="1" applyAlignment="1">
      <alignment horizontal="left"/>
    </xf>
    <xf numFmtId="0" fontId="54" fillId="3" borderId="20" xfId="0" applyFont="1" applyFill="1" applyBorder="1" applyAlignment="1">
      <alignment horizontal="left"/>
    </xf>
    <xf numFmtId="0" fontId="54" fillId="3" borderId="24" xfId="0" applyFont="1" applyFill="1" applyBorder="1" applyAlignment="1">
      <alignment horizontal="left"/>
    </xf>
    <xf numFmtId="0" fontId="52" fillId="3" borderId="20" xfId="0" applyFont="1" applyFill="1" applyBorder="1" applyAlignment="1">
      <alignment horizontal="left"/>
    </xf>
    <xf numFmtId="0" fontId="52" fillId="3" borderId="24" xfId="0" applyFont="1" applyFill="1" applyBorder="1" applyAlignment="1">
      <alignment horizontal="left"/>
    </xf>
    <xf numFmtId="0" fontId="77" fillId="9" borderId="38" xfId="0" applyFont="1" applyFill="1" applyBorder="1" applyAlignment="1">
      <alignment horizontal="right"/>
    </xf>
    <xf numFmtId="0" fontId="77" fillId="9" borderId="40" xfId="0" applyFont="1" applyFill="1" applyBorder="1" applyAlignment="1">
      <alignment horizontal="right"/>
    </xf>
    <xf numFmtId="0" fontId="77" fillId="9" borderId="35" xfId="0" applyFont="1" applyFill="1" applyBorder="1" applyAlignment="1">
      <alignment horizontal="right"/>
    </xf>
    <xf numFmtId="0" fontId="77" fillId="9" borderId="36" xfId="0" applyFont="1" applyFill="1" applyBorder="1" applyAlignment="1">
      <alignment horizontal="right"/>
    </xf>
    <xf numFmtId="0" fontId="77" fillId="9" borderId="30" xfId="0" applyFont="1" applyFill="1" applyBorder="1" applyAlignment="1">
      <alignment horizontal="center"/>
    </xf>
    <xf numFmtId="0" fontId="77" fillId="9" borderId="32" xfId="0" applyFont="1" applyFill="1" applyBorder="1" applyAlignment="1">
      <alignment horizontal="center"/>
    </xf>
    <xf numFmtId="0" fontId="77" fillId="0" borderId="45" xfId="0" applyFont="1" applyBorder="1" applyAlignment="1">
      <alignment horizontal="left"/>
    </xf>
    <xf numFmtId="0" fontId="7" fillId="9" borderId="38" xfId="0" applyFont="1" applyFill="1" applyBorder="1" applyAlignment="1">
      <alignment horizontal="center"/>
    </xf>
    <xf numFmtId="0" fontId="21" fillId="9" borderId="40" xfId="0" applyFont="1" applyFill="1" applyBorder="1" applyAlignment="1">
      <alignment horizontal="center"/>
    </xf>
    <xf numFmtId="0" fontId="21" fillId="9" borderId="39" xfId="0" applyFont="1" applyFill="1" applyBorder="1" applyAlignment="1">
      <alignment horizontal="center"/>
    </xf>
    <xf numFmtId="0" fontId="7" fillId="9" borderId="40" xfId="0" applyFont="1" applyFill="1" applyBorder="1" applyAlignment="1">
      <alignment horizontal="center"/>
    </xf>
    <xf numFmtId="0" fontId="7" fillId="9" borderId="39" xfId="0" applyFont="1" applyFill="1" applyBorder="1" applyAlignment="1">
      <alignment horizontal="center"/>
    </xf>
    <xf numFmtId="0" fontId="77" fillId="9" borderId="35" xfId="0" applyFont="1" applyFill="1" applyBorder="1" applyAlignment="1">
      <alignment horizontal="center"/>
    </xf>
    <xf numFmtId="0" fontId="77" fillId="9" borderId="36" xfId="0" applyFont="1" applyFill="1" applyBorder="1" applyAlignment="1">
      <alignment horizontal="center"/>
    </xf>
    <xf numFmtId="0" fontId="77" fillId="9" borderId="37" xfId="0" applyFont="1" applyFill="1" applyBorder="1" applyAlignment="1">
      <alignment horizontal="center"/>
    </xf>
    <xf numFmtId="0" fontId="77" fillId="9" borderId="72" xfId="0" applyFont="1" applyFill="1" applyBorder="1" applyAlignment="1">
      <alignment horizontal="center"/>
    </xf>
    <xf numFmtId="0" fontId="77" fillId="0" borderId="69" xfId="0" applyFont="1" applyBorder="1" applyAlignment="1">
      <alignment horizontal="left"/>
    </xf>
    <xf numFmtId="0" fontId="77" fillId="0" borderId="70" xfId="0" applyFont="1" applyBorder="1" applyAlignment="1">
      <alignment horizontal="left"/>
    </xf>
    <xf numFmtId="0" fontId="77" fillId="0" borderId="71" xfId="0" applyFont="1" applyBorder="1" applyAlignment="1">
      <alignment horizontal="left"/>
    </xf>
    <xf numFmtId="0" fontId="77" fillId="9" borderId="74" xfId="0" applyFont="1" applyFill="1" applyBorder="1" applyAlignment="1">
      <alignment horizontal="center"/>
    </xf>
    <xf numFmtId="0" fontId="77" fillId="9" borderId="75" xfId="0" applyFont="1" applyFill="1" applyBorder="1" applyAlignment="1">
      <alignment horizontal="center"/>
    </xf>
    <xf numFmtId="0" fontId="77" fillId="0" borderId="69" xfId="0" applyFont="1" applyBorder="1" applyAlignment="1">
      <alignment horizontal="center"/>
    </xf>
    <xf numFmtId="0" fontId="77" fillId="0" borderId="70" xfId="0" applyFont="1" applyBorder="1" applyAlignment="1">
      <alignment horizontal="center"/>
    </xf>
    <xf numFmtId="0" fontId="77" fillId="0" borderId="71" xfId="0" applyFont="1" applyBorder="1" applyAlignment="1">
      <alignment horizontal="center"/>
    </xf>
    <xf numFmtId="0" fontId="77" fillId="9" borderId="81" xfId="0" applyFont="1" applyFill="1" applyBorder="1" applyAlignment="1">
      <alignment horizontal="center"/>
    </xf>
    <xf numFmtId="0" fontId="77" fillId="0" borderId="38" xfId="0" applyFont="1" applyBorder="1" applyAlignment="1">
      <alignment horizontal="center"/>
    </xf>
    <xf numFmtId="0" fontId="77" fillId="0" borderId="39" xfId="0" applyFont="1" applyBorder="1" applyAlignment="1">
      <alignment horizontal="center"/>
    </xf>
    <xf numFmtId="0" fontId="77" fillId="0" borderId="45" xfId="0" applyFont="1" applyBorder="1" applyAlignment="1">
      <alignment horizontal="center" wrapText="1"/>
    </xf>
    <xf numFmtId="0" fontId="21" fillId="9" borderId="45" xfId="0" applyFont="1" applyFill="1" applyBorder="1" applyAlignment="1">
      <alignment horizontal="center"/>
    </xf>
    <xf numFmtId="0" fontId="14" fillId="9" borderId="45" xfId="0" applyFont="1" applyFill="1" applyBorder="1" applyAlignment="1">
      <alignment horizontal="center"/>
    </xf>
    <xf numFmtId="0" fontId="25" fillId="9" borderId="45" xfId="0" applyFont="1" applyFill="1" applyBorder="1" applyAlignment="1">
      <alignment horizontal="left" wrapText="1"/>
    </xf>
    <xf numFmtId="0" fontId="77" fillId="9" borderId="45" xfId="0" applyFont="1" applyFill="1" applyBorder="1" applyAlignment="1">
      <alignment horizontal="center"/>
    </xf>
  </cellXfs>
  <cellStyles count="86">
    <cellStyle name="20% - Accent1 2" xfId="21" xr:uid="{B02B1BC1-9C8A-4088-A987-4A3F085ED3A7}"/>
    <cellStyle name="20% - Accent1 2 2" xfId="67" xr:uid="{1FE8C462-DED7-40CD-A425-86293D2FE1DD}"/>
    <cellStyle name="20% - Accent1 3" xfId="46" xr:uid="{4A3E07CF-0910-49F6-94E0-59902E8185AA}"/>
    <cellStyle name="20% - Accent2 2" xfId="25" xr:uid="{5530F43B-C6CF-4C9D-8293-97966B72F57B}"/>
    <cellStyle name="20% - Accent2 2 2" xfId="70" xr:uid="{7E736B54-FFE5-4094-B584-7F81FB86ADC4}"/>
    <cellStyle name="20% - Accent2 3" xfId="49" xr:uid="{B5251B3E-5651-48F6-B80F-EFFC2C4BCFC8}"/>
    <cellStyle name="20% - Accent3 2" xfId="29" xr:uid="{F2F0188A-4E81-4F55-A205-91F0109A780C}"/>
    <cellStyle name="20% - Accent3 2 2" xfId="73" xr:uid="{50835DA2-8DE3-4EBB-8BAE-CC017B9F2348}"/>
    <cellStyle name="20% - Accent3 3" xfId="52" xr:uid="{5DF163BF-5CAB-4181-82B0-957E2A048230}"/>
    <cellStyle name="20% - Accent4 2" xfId="33" xr:uid="{EFE9BF36-1978-45B4-BE65-5B8CE22690A5}"/>
    <cellStyle name="20% - Accent4 2 2" xfId="76" xr:uid="{6B970D56-67D5-43D6-B961-F8199CE57BED}"/>
    <cellStyle name="20% - Accent4 3" xfId="55" xr:uid="{34CE403E-B563-45FF-B2DE-76CA793611A0}"/>
    <cellStyle name="20% - Accent5 2" xfId="37" xr:uid="{F3A77C64-EE27-4D4A-985A-6A7DD3BAF240}"/>
    <cellStyle name="20% - Accent5 2 2" xfId="79" xr:uid="{5178C926-BA8E-4812-BE7C-76BF1B63FB62}"/>
    <cellStyle name="20% - Accent5 3" xfId="58" xr:uid="{E95CBADB-1307-4391-852D-F8E9205AFCCF}"/>
    <cellStyle name="20% - Accent6 2" xfId="41" xr:uid="{EDADE228-58EE-43CC-85A1-F3361797237A}"/>
    <cellStyle name="20% - Accent6 2 2" xfId="82" xr:uid="{9BEA3E80-C8FC-420C-B2B2-CC48F0961251}"/>
    <cellStyle name="20% - Accent6 3" xfId="61" xr:uid="{D69D48F1-9374-4DE4-904B-E13FE9DD8860}"/>
    <cellStyle name="40% - Accent1 2" xfId="22" xr:uid="{75AEFEAC-2353-437B-9E24-EF00FF3C7B4A}"/>
    <cellStyle name="40% - Accent1 2 2" xfId="68" xr:uid="{B6580F75-7353-43B6-9783-B838FFE07FFC}"/>
    <cellStyle name="40% - Accent1 3" xfId="47" xr:uid="{1B9A583F-D32C-45A1-9D43-4198240453CC}"/>
    <cellStyle name="40% - Accent2 2" xfId="26" xr:uid="{631CBEA7-3304-4585-9572-D43F4EAF74BC}"/>
    <cellStyle name="40% - Accent2 2 2" xfId="71" xr:uid="{D6D2FB0E-4320-4469-A7DE-D5457D57F854}"/>
    <cellStyle name="40% - Accent2 3" xfId="50" xr:uid="{77C47DC6-AB22-49CA-B810-E61669BB524A}"/>
    <cellStyle name="40% - Accent3 2" xfId="30" xr:uid="{BB8A5000-333E-4952-98D3-011EAB53FAC4}"/>
    <cellStyle name="40% - Accent3 2 2" xfId="74" xr:uid="{31318255-9FBE-407D-A368-BE77F0134A4C}"/>
    <cellStyle name="40% - Accent3 3" xfId="53" xr:uid="{19D6B51A-9960-49E7-84E6-FEB49C1E5B28}"/>
    <cellStyle name="40% - Accent4 2" xfId="34" xr:uid="{9C1860A5-4207-4E40-9E24-BE469F39F302}"/>
    <cellStyle name="40% - Accent4 2 2" xfId="77" xr:uid="{615FDBFF-34B8-4207-BF86-42D38AE29D85}"/>
    <cellStyle name="40% - Accent4 3" xfId="56" xr:uid="{93232B0D-7CBE-45C4-9C50-40835EE6EFD5}"/>
    <cellStyle name="40% - Accent5 2" xfId="38" xr:uid="{24F7AE1D-2773-47B4-9C35-2F712DD6EC5A}"/>
    <cellStyle name="40% - Accent5 2 2" xfId="80" xr:uid="{588A90DF-2645-43AA-9D2C-F4C13285F01B}"/>
    <cellStyle name="40% - Accent5 3" xfId="59" xr:uid="{BA9A1EBE-34D2-41F9-B7EA-872F55E80462}"/>
    <cellStyle name="40% - Accent6 2" xfId="42" xr:uid="{B000B8DB-2532-4A0F-8D04-064A24F3B386}"/>
    <cellStyle name="40% - Accent6 2 2" xfId="83" xr:uid="{C2A41A1B-F87A-4BB6-BC22-65EDDAC96E31}"/>
    <cellStyle name="40% - Accent6 3" xfId="62" xr:uid="{200E7062-EE95-40EA-8B10-824A046C503E}"/>
    <cellStyle name="60% - Accent1 2" xfId="23" xr:uid="{AAB2F11F-D31D-4EC2-919A-CACBEE80D7B4}"/>
    <cellStyle name="60% - Accent1 2 2" xfId="69" xr:uid="{1E7ADAB6-78ED-46F3-947C-46873C62BA25}"/>
    <cellStyle name="60% - Accent1 3" xfId="48" xr:uid="{0BE2B46A-1B7B-4897-875B-DF07C53F969F}"/>
    <cellStyle name="60% - Accent2 2" xfId="27" xr:uid="{90B1B97C-A3EB-432B-8565-C16991888D4F}"/>
    <cellStyle name="60% - Accent2 2 2" xfId="72" xr:uid="{17D6DAF1-41C8-4BD0-B537-9B8C48A2C8FE}"/>
    <cellStyle name="60% - Accent2 3" xfId="51" xr:uid="{D73D738A-6F84-4742-AD85-E8833A6302F5}"/>
    <cellStyle name="60% - Accent3 2" xfId="31" xr:uid="{D5259BFB-FF9C-4D9B-894B-80B7E464A847}"/>
    <cellStyle name="60% - Accent3 2 2" xfId="75" xr:uid="{AB6D3DDA-A181-48AE-AC9B-DB60225F9803}"/>
    <cellStyle name="60% - Accent3 3" xfId="54" xr:uid="{5757D31F-B358-412B-88CC-2A6B8D93464A}"/>
    <cellStyle name="60% - Accent4 2" xfId="35" xr:uid="{7B0434C2-01DD-4DCE-9EE3-49C47D1A7956}"/>
    <cellStyle name="60% - Accent4 2 2" xfId="78" xr:uid="{DE46EFBA-156A-400A-8531-E59C08A98063}"/>
    <cellStyle name="60% - Accent4 3" xfId="57" xr:uid="{6501CF5C-5474-44F1-89DD-DB3F22F30EFD}"/>
    <cellStyle name="60% - Accent5 2" xfId="39" xr:uid="{4A413933-B3D9-4819-BE9B-B188EC289AE2}"/>
    <cellStyle name="60% - Accent5 2 2" xfId="81" xr:uid="{79A0CB8D-E113-41C4-A933-3542101DDD00}"/>
    <cellStyle name="60% - Accent5 3" xfId="60" xr:uid="{80E11079-F463-4C21-B719-A9B310DF62F7}"/>
    <cellStyle name="60% - Accent6 2" xfId="43" xr:uid="{8FBF307B-1600-4BB1-900B-8F859C827D62}"/>
    <cellStyle name="60% - Accent6 2 2" xfId="84" xr:uid="{28903CAF-E508-4278-AF90-5C0675C8D29B}"/>
    <cellStyle name="60% - Accent6 3" xfId="63" xr:uid="{7D62C5A1-687C-4A3F-9659-FCD02E684E97}"/>
    <cellStyle name="Accent1 2" xfId="20" xr:uid="{1249F926-40D8-42F6-A0BC-EE69B9B4C68F}"/>
    <cellStyle name="Accent2 2" xfId="24" xr:uid="{1DB53010-9978-4EAA-ABED-7BC92CED2FA5}"/>
    <cellStyle name="Accent3 2" xfId="28" xr:uid="{4CF82A95-3098-4D2A-8829-2521A4D67972}"/>
    <cellStyle name="Accent4 2" xfId="32" xr:uid="{6279838D-79C2-4CE6-948A-BD95362AB60F}"/>
    <cellStyle name="Accent5 2" xfId="36" xr:uid="{C069C13D-483F-4B84-BCEB-5C5D0A7398FF}"/>
    <cellStyle name="Accent6 2" xfId="40" xr:uid="{B2C8F465-7AF9-4343-883E-CBF98B971182}"/>
    <cellStyle name="Bad 2" xfId="15" xr:uid="{7F7C24F4-B58E-4A5F-9056-F89ACE0C8B0D}"/>
    <cellStyle name="Calculation" xfId="7" builtinId="22" customBuiltin="1"/>
    <cellStyle name="Check Cell" xfId="9" builtinId="23" customBuiltin="1"/>
    <cellStyle name="Explanatory Text 2" xfId="19" xr:uid="{8D07699A-C168-4343-B999-57293A061C7B}"/>
    <cellStyle name="Good 2" xfId="14" xr:uid="{594C2BDA-5627-478D-BE30-86367C6DE935}"/>
    <cellStyle name="Heading 1" xfId="2" builtinId="16" customBuiltin="1"/>
    <cellStyle name="Heading 2" xfId="3" builtinId="17" customBuiltin="1"/>
    <cellStyle name="Heading 3" xfId="4" builtinId="18" customBuiltin="1"/>
    <cellStyle name="Heading 4 2" xfId="13" xr:uid="{52FE292E-2169-40BD-B1A4-40ED0DBF9AE1}"/>
    <cellStyle name="Input" xfId="5" builtinId="20" customBuiltin="1"/>
    <cellStyle name="Linked Cell" xfId="8" builtinId="24" customBuiltin="1"/>
    <cellStyle name="Neutral 2" xfId="16" xr:uid="{8B5560B5-3917-493E-8AA8-9D910C7AD36D}"/>
    <cellStyle name="Normal" xfId="0" builtinId="0"/>
    <cellStyle name="Normal 2" xfId="1" xr:uid="{1636E60D-3D79-4879-A2BF-21D4ADCDE005}"/>
    <cellStyle name="Normal 3" xfId="11" xr:uid="{60095DD2-B3D6-4B06-B63C-1BBD4BAC13C4}"/>
    <cellStyle name="Normal 3 2" xfId="65" xr:uid="{BCA4F353-B680-49F0-8698-8089ACCD81A2}"/>
    <cellStyle name="Normal 4" xfId="44" xr:uid="{D4372F42-8481-4125-9131-EDFE7743DE0C}"/>
    <cellStyle name="Normal 5" xfId="64" xr:uid="{3B946C8C-8EB8-433A-A656-594D1089BAE5}"/>
    <cellStyle name="Normal 5 2" xfId="85" xr:uid="{541FB923-4929-4C4D-9157-7581E256A291}"/>
    <cellStyle name="Note 2" xfId="18" xr:uid="{4A76D9C6-57BB-496D-A11D-FE861DBE0E50}"/>
    <cellStyle name="Note 2 2" xfId="66" xr:uid="{C46A3AB8-079B-4635-A8C7-2BBAF89441A6}"/>
    <cellStyle name="Note 3" xfId="45" xr:uid="{9DEAE757-20C2-42DA-B0A1-B7AC6FE1359E}"/>
    <cellStyle name="Output" xfId="6" builtinId="21" customBuiltin="1"/>
    <cellStyle name="Title 2" xfId="12" xr:uid="{D3DDFB84-7619-4E34-8CB4-A04D824CD416}"/>
    <cellStyle name="Total" xfId="10" builtinId="25" customBuiltin="1"/>
    <cellStyle name="Warning Text 2" xfId="17" xr:uid="{3805806D-6903-48E9-9BD5-0C65CD8981A9}"/>
  </cellStyles>
  <dxfs count="0"/>
  <tableStyles count="0" defaultTableStyle="TableStyleMedium2" defaultPivotStyle="PivotStyleLight16"/>
  <colors>
    <mruColors>
      <color rgb="FF005F73"/>
      <color rgb="FFFFB627"/>
      <color rgb="FF9B2226"/>
      <color rgb="FFB4CB90"/>
      <color rgb="FFFE8B58"/>
      <color rgb="FF002F8E"/>
      <color rgb="FFFF3737"/>
      <color rgb="FFCC6600"/>
      <color rgb="FFF57A2F"/>
      <color rgb="FFED4A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</a:t>
            </a:r>
            <a:r>
              <a:rPr lang="en-US" baseline="0"/>
              <a:t> profile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'Calculation Values'!$S$6</c:f>
              <c:strCache>
                <c:ptCount val="1"/>
                <c:pt idx="0">
                  <c:v>Space heater + heat pump (temperature dependent)</c:v>
                </c:pt>
              </c:strCache>
            </c:strRef>
          </c:tx>
          <c:spPr>
            <a:solidFill>
              <a:srgbClr val="5B8E7D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Values'!$S$7:$S$102</c:f>
              <c:numCache>
                <c:formatCode>General</c:formatCode>
                <c:ptCount val="96"/>
                <c:pt idx="0">
                  <c:v>5400</c:v>
                </c:pt>
                <c:pt idx="1">
                  <c:v>5400</c:v>
                </c:pt>
                <c:pt idx="2">
                  <c:v>0</c:v>
                </c:pt>
                <c:pt idx="3">
                  <c:v>0</c:v>
                </c:pt>
                <c:pt idx="4">
                  <c:v>5400</c:v>
                </c:pt>
                <c:pt idx="5">
                  <c:v>5400</c:v>
                </c:pt>
                <c:pt idx="6">
                  <c:v>5400</c:v>
                </c:pt>
                <c:pt idx="7">
                  <c:v>0</c:v>
                </c:pt>
                <c:pt idx="8">
                  <c:v>5400</c:v>
                </c:pt>
                <c:pt idx="9">
                  <c:v>5400</c:v>
                </c:pt>
                <c:pt idx="10">
                  <c:v>5400</c:v>
                </c:pt>
                <c:pt idx="11">
                  <c:v>0</c:v>
                </c:pt>
                <c:pt idx="12">
                  <c:v>5400</c:v>
                </c:pt>
                <c:pt idx="13">
                  <c:v>5400</c:v>
                </c:pt>
                <c:pt idx="14">
                  <c:v>5400</c:v>
                </c:pt>
                <c:pt idx="15">
                  <c:v>0</c:v>
                </c:pt>
                <c:pt idx="16">
                  <c:v>5400</c:v>
                </c:pt>
                <c:pt idx="17">
                  <c:v>5400</c:v>
                </c:pt>
                <c:pt idx="18">
                  <c:v>5400</c:v>
                </c:pt>
                <c:pt idx="19">
                  <c:v>0</c:v>
                </c:pt>
                <c:pt idx="20">
                  <c:v>5400</c:v>
                </c:pt>
                <c:pt idx="21">
                  <c:v>5400</c:v>
                </c:pt>
                <c:pt idx="22">
                  <c:v>5400</c:v>
                </c:pt>
                <c:pt idx="23">
                  <c:v>0</c:v>
                </c:pt>
                <c:pt idx="24">
                  <c:v>5400</c:v>
                </c:pt>
                <c:pt idx="25">
                  <c:v>5400</c:v>
                </c:pt>
                <c:pt idx="26">
                  <c:v>5400</c:v>
                </c:pt>
                <c:pt idx="27">
                  <c:v>0</c:v>
                </c:pt>
                <c:pt idx="28">
                  <c:v>5400</c:v>
                </c:pt>
                <c:pt idx="29">
                  <c:v>5400</c:v>
                </c:pt>
                <c:pt idx="30">
                  <c:v>5400</c:v>
                </c:pt>
                <c:pt idx="31">
                  <c:v>0</c:v>
                </c:pt>
                <c:pt idx="32">
                  <c:v>5400</c:v>
                </c:pt>
                <c:pt idx="33">
                  <c:v>5400</c:v>
                </c:pt>
                <c:pt idx="34">
                  <c:v>0</c:v>
                </c:pt>
                <c:pt idx="35">
                  <c:v>0</c:v>
                </c:pt>
                <c:pt idx="36">
                  <c:v>5400</c:v>
                </c:pt>
                <c:pt idx="37">
                  <c:v>5400</c:v>
                </c:pt>
                <c:pt idx="38">
                  <c:v>0</c:v>
                </c:pt>
                <c:pt idx="39">
                  <c:v>0</c:v>
                </c:pt>
                <c:pt idx="40">
                  <c:v>5400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3390</c:v>
                </c:pt>
                <c:pt idx="45">
                  <c:v>3390</c:v>
                </c:pt>
                <c:pt idx="46">
                  <c:v>3390</c:v>
                </c:pt>
                <c:pt idx="47">
                  <c:v>3390</c:v>
                </c:pt>
                <c:pt idx="48">
                  <c:v>3390</c:v>
                </c:pt>
                <c:pt idx="49">
                  <c:v>3390</c:v>
                </c:pt>
                <c:pt idx="50">
                  <c:v>3390</c:v>
                </c:pt>
                <c:pt idx="51">
                  <c:v>3390</c:v>
                </c:pt>
                <c:pt idx="52">
                  <c:v>3390</c:v>
                </c:pt>
                <c:pt idx="53">
                  <c:v>3390</c:v>
                </c:pt>
                <c:pt idx="54">
                  <c:v>3390</c:v>
                </c:pt>
                <c:pt idx="55">
                  <c:v>3390</c:v>
                </c:pt>
                <c:pt idx="56">
                  <c:v>3302.7937777777779</c:v>
                </c:pt>
                <c:pt idx="57">
                  <c:v>3302.7937777777779</c:v>
                </c:pt>
                <c:pt idx="58">
                  <c:v>3302.7937777777779</c:v>
                </c:pt>
                <c:pt idx="59">
                  <c:v>3302.7937777777779</c:v>
                </c:pt>
                <c:pt idx="60">
                  <c:v>3198.8930486111117</c:v>
                </c:pt>
                <c:pt idx="61">
                  <c:v>3198.8930486111117</c:v>
                </c:pt>
                <c:pt idx="62">
                  <c:v>3198.8930486111117</c:v>
                </c:pt>
                <c:pt idx="63">
                  <c:v>3198.8930486111117</c:v>
                </c:pt>
                <c:pt idx="64">
                  <c:v>3257.2951111111115</c:v>
                </c:pt>
                <c:pt idx="65">
                  <c:v>3257.2951111111115</c:v>
                </c:pt>
                <c:pt idx="66">
                  <c:v>3257.2951111111115</c:v>
                </c:pt>
                <c:pt idx="67">
                  <c:v>3257.2951111111115</c:v>
                </c:pt>
                <c:pt idx="68">
                  <c:v>3390</c:v>
                </c:pt>
                <c:pt idx="69">
                  <c:v>3390</c:v>
                </c:pt>
                <c:pt idx="70">
                  <c:v>3390</c:v>
                </c:pt>
                <c:pt idx="71">
                  <c:v>3390</c:v>
                </c:pt>
                <c:pt idx="72">
                  <c:v>3390</c:v>
                </c:pt>
                <c:pt idx="73">
                  <c:v>3390</c:v>
                </c:pt>
                <c:pt idx="74">
                  <c:v>3390</c:v>
                </c:pt>
                <c:pt idx="75">
                  <c:v>3390</c:v>
                </c:pt>
                <c:pt idx="76">
                  <c:v>3390</c:v>
                </c:pt>
                <c:pt idx="77">
                  <c:v>3390</c:v>
                </c:pt>
                <c:pt idx="78">
                  <c:v>3390</c:v>
                </c:pt>
                <c:pt idx="79">
                  <c:v>3390</c:v>
                </c:pt>
                <c:pt idx="80">
                  <c:v>5400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5400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5400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5400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96-4CB9-BB87-8343DDF43C3A}"/>
            </c:ext>
          </c:extLst>
        </c:ser>
        <c:ser>
          <c:idx val="1"/>
          <c:order val="1"/>
          <c:tx>
            <c:strRef>
              <c:f>'Calculation Values'!$T$6</c:f>
              <c:strCache>
                <c:ptCount val="1"/>
                <c:pt idx="0">
                  <c:v>Cell phone battery charger</c:v>
                </c:pt>
              </c:strCache>
            </c:strRef>
          </c:tx>
          <c:spPr>
            <a:solidFill>
              <a:srgbClr val="F4A259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Values'!$T$7:$T$102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150</c:v>
                </c:pt>
                <c:pt idx="35">
                  <c:v>150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150</c:v>
                </c:pt>
                <c:pt idx="40">
                  <c:v>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0</c:v>
                </c:pt>
                <c:pt idx="65">
                  <c:v>0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96-4CB9-BB87-8343DDF43C3A}"/>
            </c:ext>
          </c:extLst>
        </c:ser>
        <c:ser>
          <c:idx val="2"/>
          <c:order val="2"/>
          <c:tx>
            <c:strRef>
              <c:f>'Calculation Values'!$U$6</c:f>
              <c:strCache>
                <c:ptCount val="1"/>
                <c:pt idx="0">
                  <c:v>Microwave</c:v>
                </c:pt>
              </c:strCache>
            </c:strRef>
          </c:tx>
          <c:spPr>
            <a:solidFill>
              <a:srgbClr val="F4E285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Values'!$U$7:$U$102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1000</c:v>
                </c:pt>
                <c:pt idx="35">
                  <c:v>1000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96-4CB9-BB87-8343DDF43C3A}"/>
            </c:ext>
          </c:extLst>
        </c:ser>
        <c:ser>
          <c:idx val="3"/>
          <c:order val="3"/>
          <c:tx>
            <c:strRef>
              <c:f>'Calculation Values'!$V$6</c:f>
              <c:strCache>
                <c:ptCount val="1"/>
                <c:pt idx="0">
                  <c:v>Home internet router</c:v>
                </c:pt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Values'!$V$7:$V$102</c:f>
              <c:numCache>
                <c:formatCode>General</c:formatCode>
                <c:ptCount val="9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796-4CB9-BB87-8343DDF43C3A}"/>
            </c:ext>
          </c:extLst>
        </c:ser>
        <c:ser>
          <c:idx val="4"/>
          <c:order val="4"/>
          <c:tx>
            <c:strRef>
              <c:f>'Calculation Values'!$W$6</c:f>
              <c:strCache>
                <c:ptCount val="1"/>
                <c:pt idx="0">
                  <c:v>Refrigerator - 30.6 cu. ft.</c:v>
                </c:pt>
              </c:strCache>
            </c:strRef>
          </c:tx>
          <c:spPr>
            <a:solidFill>
              <a:srgbClr val="BC4B51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Values'!$W$7:$W$102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256.16438356164383</c:v>
                </c:pt>
                <c:pt idx="3">
                  <c:v>256.16438356164383</c:v>
                </c:pt>
                <c:pt idx="4">
                  <c:v>0</c:v>
                </c:pt>
                <c:pt idx="5">
                  <c:v>0</c:v>
                </c:pt>
                <c:pt idx="6">
                  <c:v>256.16438356164383</c:v>
                </c:pt>
                <c:pt idx="7">
                  <c:v>256.16438356164383</c:v>
                </c:pt>
                <c:pt idx="8">
                  <c:v>0</c:v>
                </c:pt>
                <c:pt idx="9">
                  <c:v>0</c:v>
                </c:pt>
                <c:pt idx="10">
                  <c:v>256.16438356164383</c:v>
                </c:pt>
                <c:pt idx="11">
                  <c:v>256.16438356164383</c:v>
                </c:pt>
                <c:pt idx="12">
                  <c:v>0</c:v>
                </c:pt>
                <c:pt idx="13">
                  <c:v>0</c:v>
                </c:pt>
                <c:pt idx="14">
                  <c:v>256.16438356164383</c:v>
                </c:pt>
                <c:pt idx="15">
                  <c:v>256.16438356164383</c:v>
                </c:pt>
                <c:pt idx="16">
                  <c:v>0</c:v>
                </c:pt>
                <c:pt idx="17">
                  <c:v>0</c:v>
                </c:pt>
                <c:pt idx="18">
                  <c:v>256.16438356164383</c:v>
                </c:pt>
                <c:pt idx="19">
                  <c:v>256.16438356164383</c:v>
                </c:pt>
                <c:pt idx="20">
                  <c:v>0</c:v>
                </c:pt>
                <c:pt idx="21">
                  <c:v>0</c:v>
                </c:pt>
                <c:pt idx="22">
                  <c:v>256.16438356164383</c:v>
                </c:pt>
                <c:pt idx="23">
                  <c:v>256.16438356164383</c:v>
                </c:pt>
                <c:pt idx="24">
                  <c:v>0</c:v>
                </c:pt>
                <c:pt idx="25">
                  <c:v>0</c:v>
                </c:pt>
                <c:pt idx="26">
                  <c:v>256.16438356164383</c:v>
                </c:pt>
                <c:pt idx="27">
                  <c:v>256.16438356164383</c:v>
                </c:pt>
                <c:pt idx="28">
                  <c:v>0</c:v>
                </c:pt>
                <c:pt idx="29">
                  <c:v>0</c:v>
                </c:pt>
                <c:pt idx="30">
                  <c:v>256.16438356164383</c:v>
                </c:pt>
                <c:pt idx="31">
                  <c:v>256.16438356164383</c:v>
                </c:pt>
                <c:pt idx="32">
                  <c:v>0</c:v>
                </c:pt>
                <c:pt idx="33">
                  <c:v>0</c:v>
                </c:pt>
                <c:pt idx="34">
                  <c:v>256.16438356164383</c:v>
                </c:pt>
                <c:pt idx="35">
                  <c:v>256.16438356164383</c:v>
                </c:pt>
                <c:pt idx="36">
                  <c:v>0</c:v>
                </c:pt>
                <c:pt idx="37">
                  <c:v>0</c:v>
                </c:pt>
                <c:pt idx="38">
                  <c:v>256.16438356164383</c:v>
                </c:pt>
                <c:pt idx="39">
                  <c:v>256.16438356164383</c:v>
                </c:pt>
                <c:pt idx="40">
                  <c:v>0</c:v>
                </c:pt>
                <c:pt idx="41">
                  <c:v>0</c:v>
                </c:pt>
                <c:pt idx="42">
                  <c:v>256.16438356164383</c:v>
                </c:pt>
                <c:pt idx="43">
                  <c:v>256.16438356164383</c:v>
                </c:pt>
                <c:pt idx="44">
                  <c:v>0</c:v>
                </c:pt>
                <c:pt idx="45">
                  <c:v>0</c:v>
                </c:pt>
                <c:pt idx="46">
                  <c:v>256.16438356164383</c:v>
                </c:pt>
                <c:pt idx="47">
                  <c:v>256.16438356164383</c:v>
                </c:pt>
                <c:pt idx="48">
                  <c:v>0</c:v>
                </c:pt>
                <c:pt idx="49">
                  <c:v>0</c:v>
                </c:pt>
                <c:pt idx="50">
                  <c:v>256.16438356164383</c:v>
                </c:pt>
                <c:pt idx="51">
                  <c:v>256.16438356164383</c:v>
                </c:pt>
                <c:pt idx="52">
                  <c:v>0</c:v>
                </c:pt>
                <c:pt idx="53">
                  <c:v>0</c:v>
                </c:pt>
                <c:pt idx="54">
                  <c:v>256.16438356164383</c:v>
                </c:pt>
                <c:pt idx="55">
                  <c:v>256.16438356164383</c:v>
                </c:pt>
                <c:pt idx="56">
                  <c:v>0</c:v>
                </c:pt>
                <c:pt idx="57">
                  <c:v>0</c:v>
                </c:pt>
                <c:pt idx="58">
                  <c:v>256.16438356164383</c:v>
                </c:pt>
                <c:pt idx="59">
                  <c:v>256.16438356164383</c:v>
                </c:pt>
                <c:pt idx="60">
                  <c:v>0</c:v>
                </c:pt>
                <c:pt idx="61">
                  <c:v>0</c:v>
                </c:pt>
                <c:pt idx="62">
                  <c:v>256.16438356164383</c:v>
                </c:pt>
                <c:pt idx="63">
                  <c:v>256.16438356164383</c:v>
                </c:pt>
                <c:pt idx="64">
                  <c:v>0</c:v>
                </c:pt>
                <c:pt idx="65">
                  <c:v>0</c:v>
                </c:pt>
                <c:pt idx="66">
                  <c:v>256.16438356164383</c:v>
                </c:pt>
                <c:pt idx="67">
                  <c:v>256.16438356164383</c:v>
                </c:pt>
                <c:pt idx="68">
                  <c:v>0</c:v>
                </c:pt>
                <c:pt idx="69">
                  <c:v>0</c:v>
                </c:pt>
                <c:pt idx="70">
                  <c:v>256.16438356164383</c:v>
                </c:pt>
                <c:pt idx="71">
                  <c:v>256.16438356164383</c:v>
                </c:pt>
                <c:pt idx="72">
                  <c:v>0</c:v>
                </c:pt>
                <c:pt idx="73">
                  <c:v>0</c:v>
                </c:pt>
                <c:pt idx="74">
                  <c:v>256.16438356164383</c:v>
                </c:pt>
                <c:pt idx="75">
                  <c:v>256.16438356164383</c:v>
                </c:pt>
                <c:pt idx="76">
                  <c:v>0</c:v>
                </c:pt>
                <c:pt idx="77">
                  <c:v>0</c:v>
                </c:pt>
                <c:pt idx="78">
                  <c:v>256.16438356164383</c:v>
                </c:pt>
                <c:pt idx="79">
                  <c:v>256.16438356164383</c:v>
                </c:pt>
                <c:pt idx="80">
                  <c:v>0</c:v>
                </c:pt>
                <c:pt idx="81">
                  <c:v>0</c:v>
                </c:pt>
                <c:pt idx="82">
                  <c:v>256.16438356164383</c:v>
                </c:pt>
                <c:pt idx="83">
                  <c:v>256.16438356164383</c:v>
                </c:pt>
                <c:pt idx="84">
                  <c:v>0</c:v>
                </c:pt>
                <c:pt idx="85">
                  <c:v>0</c:v>
                </c:pt>
                <c:pt idx="86">
                  <c:v>256.16438356164383</c:v>
                </c:pt>
                <c:pt idx="87">
                  <c:v>256.16438356164383</c:v>
                </c:pt>
                <c:pt idx="88">
                  <c:v>0</c:v>
                </c:pt>
                <c:pt idx="89">
                  <c:v>0</c:v>
                </c:pt>
                <c:pt idx="90">
                  <c:v>256.16438356164383</c:v>
                </c:pt>
                <c:pt idx="91">
                  <c:v>256.16438356164383</c:v>
                </c:pt>
                <c:pt idx="92">
                  <c:v>0</c:v>
                </c:pt>
                <c:pt idx="93">
                  <c:v>0</c:v>
                </c:pt>
                <c:pt idx="94">
                  <c:v>256.16438356164383</c:v>
                </c:pt>
                <c:pt idx="95">
                  <c:v>256.16438356164383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796-4CB9-BB87-8343DDF43C3A}"/>
            </c:ext>
          </c:extLst>
        </c:ser>
        <c:ser>
          <c:idx val="5"/>
          <c:order val="5"/>
          <c:tx>
            <c:strRef>
              <c:f>'Calculation Values'!$X$6</c:f>
              <c:strCache>
                <c:ptCount val="1"/>
                <c:pt idx="0">
                  <c:v>Light bulb (CFL)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Values'!$X$7:$X$102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85-49E1-A707-0FA0BECCEB95}"/>
            </c:ext>
          </c:extLst>
        </c:ser>
        <c:ser>
          <c:idx val="6"/>
          <c:order val="6"/>
          <c:tx>
            <c:strRef>
              <c:f>'Calculation Values'!$Y$6</c:f>
              <c:strCache>
                <c:ptCount val="1"/>
                <c:pt idx="0">
                  <c:v>Water heater - electric tank 55 GAL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Values'!$Y$7:$Y$102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4500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4500</c:v>
                </c:pt>
                <c:pt idx="46">
                  <c:v>4500</c:v>
                </c:pt>
                <c:pt idx="47">
                  <c:v>4500</c:v>
                </c:pt>
                <c:pt idx="48">
                  <c:v>4500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4500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85-49E1-A707-0FA0BECCEB95}"/>
            </c:ext>
          </c:extLst>
        </c:ser>
        <c:ser>
          <c:idx val="7"/>
          <c:order val="7"/>
          <c:tx>
            <c:strRef>
              <c:f>'Calculation Values'!$Z$6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Values'!$Z$7:$Z$102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2-1C85-49E1-A707-0FA0BECCEB95}"/>
            </c:ext>
          </c:extLst>
        </c:ser>
        <c:ser>
          <c:idx val="8"/>
          <c:order val="8"/>
          <c:tx>
            <c:strRef>
              <c:f>'Calculation Values'!$AA$6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Values'!$AA$7:$AA$102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3-1C85-49E1-A707-0FA0BECCEB95}"/>
            </c:ext>
          </c:extLst>
        </c:ser>
        <c:ser>
          <c:idx val="9"/>
          <c:order val="9"/>
          <c:tx>
            <c:strRef>
              <c:f>'Calculation Values'!$AB$6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Values'!$AB$7:$AB$102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4-1C85-49E1-A707-0FA0BECCEB95}"/>
            </c:ext>
          </c:extLst>
        </c:ser>
        <c:ser>
          <c:idx val="10"/>
          <c:order val="10"/>
          <c:tx>
            <c:strRef>
              <c:f>'Calculation Values'!$AC$6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Values'!$AC$7:$AC$102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5-1C85-49E1-A707-0FA0BECCEB95}"/>
            </c:ext>
          </c:extLst>
        </c:ser>
        <c:ser>
          <c:idx val="11"/>
          <c:order val="11"/>
          <c:tx>
            <c:strRef>
              <c:f>'Calculation Values'!$AD$6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Values'!$AD$7:$AD$102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6-1C85-49E1-A707-0FA0BECCEB95}"/>
            </c:ext>
          </c:extLst>
        </c:ser>
        <c:ser>
          <c:idx val="12"/>
          <c:order val="12"/>
          <c:tx>
            <c:strRef>
              <c:f>'Calculation Values'!$AE$6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Values'!$AE$7:$AE$102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7-1C85-49E1-A707-0FA0BECCEB95}"/>
            </c:ext>
          </c:extLst>
        </c:ser>
        <c:ser>
          <c:idx val="13"/>
          <c:order val="13"/>
          <c:tx>
            <c:strRef>
              <c:f>'Calculation Values'!$AF$6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Values'!$AF$7:$AF$102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8-1C85-49E1-A707-0FA0BECCEB95}"/>
            </c:ext>
          </c:extLst>
        </c:ser>
        <c:ser>
          <c:idx val="14"/>
          <c:order val="14"/>
          <c:tx>
            <c:strRef>
              <c:f>'Calculation Values'!$AG$6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Values'!$AG$7:$AG$102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9-1C85-49E1-A707-0FA0BECCEB95}"/>
            </c:ext>
          </c:extLst>
        </c:ser>
        <c:ser>
          <c:idx val="15"/>
          <c:order val="15"/>
          <c:tx>
            <c:strRef>
              <c:f>'Calculation Values'!$AH$6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Values'!$AH$7:$AH$102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A-1C85-49E1-A707-0FA0BECCEB95}"/>
            </c:ext>
          </c:extLst>
        </c:ser>
        <c:ser>
          <c:idx val="16"/>
          <c:order val="16"/>
          <c:tx>
            <c:strRef>
              <c:f>'Calculation Values'!$AI$6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Values'!$AI$7:$AI$102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B-1C85-49E1-A707-0FA0BECCEB95}"/>
            </c:ext>
          </c:extLst>
        </c:ser>
        <c:ser>
          <c:idx val="17"/>
          <c:order val="17"/>
          <c:tx>
            <c:strRef>
              <c:f>'Calculation Values'!$AJ$6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Values'!$AJ$7:$AJ$102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C-1C85-49E1-A707-0FA0BECCEB95}"/>
            </c:ext>
          </c:extLst>
        </c:ser>
        <c:ser>
          <c:idx val="18"/>
          <c:order val="18"/>
          <c:tx>
            <c:strRef>
              <c:f>'Calculation Values'!$AK$6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Values'!$AK$7:$AK$102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D-1C85-49E1-A707-0FA0BECCEB95}"/>
            </c:ext>
          </c:extLst>
        </c:ser>
        <c:ser>
          <c:idx val="19"/>
          <c:order val="19"/>
          <c:tx>
            <c:strRef>
              <c:f>'Calculation Values'!$AL$6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Values'!$AL$7:$AL$102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E-1C85-49E1-A707-0FA0BECCEB95}"/>
            </c:ext>
          </c:extLst>
        </c:ser>
        <c:ser>
          <c:idx val="20"/>
          <c:order val="20"/>
          <c:tx>
            <c:strRef>
              <c:f>'Calculation Values'!$AM$6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Values'!$AM$7:$AM$102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F-1C85-49E1-A707-0FA0BECCEB95}"/>
            </c:ext>
          </c:extLst>
        </c:ser>
        <c:ser>
          <c:idx val="21"/>
          <c:order val="21"/>
          <c:tx>
            <c:strRef>
              <c:f>'Calculation Values'!$AN$6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Values'!$AN$7:$AN$102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0-1C85-49E1-A707-0FA0BECCEB95}"/>
            </c:ext>
          </c:extLst>
        </c:ser>
        <c:ser>
          <c:idx val="22"/>
          <c:order val="22"/>
          <c:tx>
            <c:strRef>
              <c:f>'Calculation Values'!$AO$6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Values'!$AO$7:$AO$102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1-1C85-49E1-A707-0FA0BECCEB95}"/>
            </c:ext>
          </c:extLst>
        </c:ser>
        <c:ser>
          <c:idx val="23"/>
          <c:order val="23"/>
          <c:tx>
            <c:strRef>
              <c:f>'Calculation Values'!$AP$6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Values'!$AP$7:$AP$102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2-1C85-49E1-A707-0FA0BECCEB95}"/>
            </c:ext>
          </c:extLst>
        </c:ser>
        <c:ser>
          <c:idx val="24"/>
          <c:order val="24"/>
          <c:tx>
            <c:strRef>
              <c:f>'Calculation Values'!$AQ$6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Values'!$AQ$7:$AQ$102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3-1C85-49E1-A707-0FA0BECCEB95}"/>
            </c:ext>
          </c:extLst>
        </c:ser>
        <c:ser>
          <c:idx val="25"/>
          <c:order val="25"/>
          <c:tx>
            <c:strRef>
              <c:f>'Calculation Values'!$AR$6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Values'!$AR$7:$AR$102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4-1C85-49E1-A707-0FA0BECCEB95}"/>
            </c:ext>
          </c:extLst>
        </c:ser>
        <c:ser>
          <c:idx val="26"/>
          <c:order val="26"/>
          <c:tx>
            <c:strRef>
              <c:f>'Calculation Values'!$AS$6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Values'!$AS$7:$AS$102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5-1C85-49E1-A707-0FA0BECCEB95}"/>
            </c:ext>
          </c:extLst>
        </c:ser>
        <c:ser>
          <c:idx val="27"/>
          <c:order val="27"/>
          <c:tx>
            <c:strRef>
              <c:f>'Calculation Values'!$AT$6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Values'!$AT$7:$AT$102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6-1C85-49E1-A707-0FA0BECCEB95}"/>
            </c:ext>
          </c:extLst>
        </c:ser>
        <c:ser>
          <c:idx val="28"/>
          <c:order val="28"/>
          <c:tx>
            <c:strRef>
              <c:f>'Calculation Values'!$AU$6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Values'!$AU$7:$AU$102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7-1C85-49E1-A707-0FA0BECCEB95}"/>
            </c:ext>
          </c:extLst>
        </c:ser>
        <c:ser>
          <c:idx val="29"/>
          <c:order val="29"/>
          <c:tx>
            <c:strRef>
              <c:f>'Calculation Values'!$AV$6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Values'!$AV$7:$AV$102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8-1C85-49E1-A707-0FA0BECCEB95}"/>
            </c:ext>
          </c:extLst>
        </c:ser>
        <c:ser>
          <c:idx val="30"/>
          <c:order val="30"/>
          <c:tx>
            <c:strRef>
              <c:f>'Calculation Values'!$AW$6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Values'!$AW$7:$AW$102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9-1C85-49E1-A707-0FA0BECCEB95}"/>
            </c:ext>
          </c:extLst>
        </c:ser>
        <c:ser>
          <c:idx val="31"/>
          <c:order val="31"/>
          <c:tx>
            <c:strRef>
              <c:f>'Calculation Values'!$AX$6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Values'!$AX$7:$AX$102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A-1C85-49E1-A707-0FA0BECCEB95}"/>
            </c:ext>
          </c:extLst>
        </c:ser>
        <c:ser>
          <c:idx val="32"/>
          <c:order val="32"/>
          <c:tx>
            <c:strRef>
              <c:f>'Calculation Values'!$AY$6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Values'!$AY$7:$AY$102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B-1C85-49E1-A707-0FA0BECCEB95}"/>
            </c:ext>
          </c:extLst>
        </c:ser>
        <c:ser>
          <c:idx val="33"/>
          <c:order val="33"/>
          <c:tx>
            <c:strRef>
              <c:f>'Calculation Values'!$AZ$6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Values'!$AZ$7:$AZ$102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C-1C85-49E1-A707-0FA0BECCEB95}"/>
            </c:ext>
          </c:extLst>
        </c:ser>
        <c:ser>
          <c:idx val="34"/>
          <c:order val="34"/>
          <c:tx>
            <c:strRef>
              <c:f>'Calculation Values'!$BA$6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Values'!$BA$7:$BA$102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D-1C85-49E1-A707-0FA0BECCEB95}"/>
            </c:ext>
          </c:extLst>
        </c:ser>
        <c:ser>
          <c:idx val="35"/>
          <c:order val="35"/>
          <c:tx>
            <c:strRef>
              <c:f>'Calculation Values'!$BB$6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Values'!$BB$7:$BB$102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E-1C85-49E1-A707-0FA0BECCEB95}"/>
            </c:ext>
          </c:extLst>
        </c:ser>
        <c:ser>
          <c:idx val="36"/>
          <c:order val="36"/>
          <c:tx>
            <c:strRef>
              <c:f>'Calculation Values'!$BC$6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Values'!$BC$7:$BC$102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F-1C85-49E1-A707-0FA0BECCEB95}"/>
            </c:ext>
          </c:extLst>
        </c:ser>
        <c:ser>
          <c:idx val="37"/>
          <c:order val="37"/>
          <c:tx>
            <c:strRef>
              <c:f>'Calculation Values'!$BD$6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Values'!$BD$7:$BD$102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0-1C85-49E1-A707-0FA0BECCEB95}"/>
            </c:ext>
          </c:extLst>
        </c:ser>
        <c:ser>
          <c:idx val="38"/>
          <c:order val="38"/>
          <c:tx>
            <c:strRef>
              <c:f>'Calculation Values'!$BE$6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Values'!$BE$7:$BE$102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1-1C85-49E1-A707-0FA0BECCEB95}"/>
            </c:ext>
          </c:extLst>
        </c:ser>
        <c:ser>
          <c:idx val="39"/>
          <c:order val="39"/>
          <c:tx>
            <c:strRef>
              <c:f>'Calculation Values'!$BF$6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Values'!$BF$7:$BF$102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2-1C85-49E1-A707-0FA0BECCEB95}"/>
            </c:ext>
          </c:extLst>
        </c:ser>
        <c:ser>
          <c:idx val="40"/>
          <c:order val="40"/>
          <c:tx>
            <c:strRef>
              <c:f>'Calculation Values'!$BG$6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Values'!$BG$7:$BG$102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3-1C85-49E1-A707-0FA0BECCEB95}"/>
            </c:ext>
          </c:extLst>
        </c:ser>
        <c:ser>
          <c:idx val="41"/>
          <c:order val="41"/>
          <c:tx>
            <c:strRef>
              <c:f>'Calculation Values'!$BH$6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Values'!$BH$7:$BH$102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4-1C85-49E1-A707-0FA0BECCEB95}"/>
            </c:ext>
          </c:extLst>
        </c:ser>
        <c:ser>
          <c:idx val="42"/>
          <c:order val="42"/>
          <c:tx>
            <c:strRef>
              <c:f>'Calculation Values'!$BI$6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Values'!$BI$7:$BI$102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5-1C85-49E1-A707-0FA0BECCEB95}"/>
            </c:ext>
          </c:extLst>
        </c:ser>
        <c:ser>
          <c:idx val="43"/>
          <c:order val="43"/>
          <c:tx>
            <c:strRef>
              <c:f>'Calculation Values'!$BJ$6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Values'!$BJ$7:$BJ$102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6-1C85-49E1-A707-0FA0BECCEB95}"/>
            </c:ext>
          </c:extLst>
        </c:ser>
        <c:ser>
          <c:idx val="44"/>
          <c:order val="44"/>
          <c:tx>
            <c:strRef>
              <c:f>'Calculation Values'!$BK$6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Values'!$BK$7:$BK$102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7-1C85-49E1-A707-0FA0BECCEB95}"/>
            </c:ext>
          </c:extLst>
        </c:ser>
        <c:ser>
          <c:idx val="45"/>
          <c:order val="45"/>
          <c:tx>
            <c:strRef>
              <c:f>'Calculation Values'!$BL$6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Values'!$BL$7:$BL$102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8-1C85-49E1-A707-0FA0BECCEB95}"/>
            </c:ext>
          </c:extLst>
        </c:ser>
        <c:ser>
          <c:idx val="46"/>
          <c:order val="46"/>
          <c:tx>
            <c:strRef>
              <c:f>'Calculation Values'!$BM$6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Values'!$BM$7:$BM$102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9-1C85-49E1-A707-0FA0BECCEB95}"/>
            </c:ext>
          </c:extLst>
        </c:ser>
        <c:ser>
          <c:idx val="47"/>
          <c:order val="47"/>
          <c:tx>
            <c:strRef>
              <c:f>'Calculation Values'!$BN$6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Values'!$BN$7:$BN$102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A-1C85-49E1-A707-0FA0BECCEB95}"/>
            </c:ext>
          </c:extLst>
        </c:ser>
        <c:ser>
          <c:idx val="48"/>
          <c:order val="48"/>
          <c:tx>
            <c:strRef>
              <c:f>'Calculation Values'!$BO$6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Values'!$BO$7:$BO$102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B-1C85-49E1-A707-0FA0BECCEB95}"/>
            </c:ext>
          </c:extLst>
        </c:ser>
        <c:ser>
          <c:idx val="49"/>
          <c:order val="49"/>
          <c:tx>
            <c:strRef>
              <c:f>'Calculation Values'!$BP$6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Values'!$BP$7:$BP$102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C-1C85-49E1-A707-0FA0BECCEB95}"/>
            </c:ext>
          </c:extLst>
        </c:ser>
        <c:ser>
          <c:idx val="50"/>
          <c:order val="50"/>
          <c:tx>
            <c:strRef>
              <c:f>'Calculation Values'!$BQ$6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Values'!$BQ$7:$BQ$102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D-1C85-49E1-A707-0FA0BECCEB95}"/>
            </c:ext>
          </c:extLst>
        </c:ser>
        <c:ser>
          <c:idx val="51"/>
          <c:order val="51"/>
          <c:tx>
            <c:strRef>
              <c:f>'Calculation Values'!$BR$6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Values'!$BR$7:$BR$102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E-1C85-49E1-A707-0FA0BECCEB95}"/>
            </c:ext>
          </c:extLst>
        </c:ser>
        <c:ser>
          <c:idx val="52"/>
          <c:order val="52"/>
          <c:tx>
            <c:strRef>
              <c:f>'Calculation Values'!$BS$6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Values'!$BS$7:$BS$102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F-1C85-49E1-A707-0FA0BECCEB95}"/>
            </c:ext>
          </c:extLst>
        </c:ser>
        <c:ser>
          <c:idx val="53"/>
          <c:order val="53"/>
          <c:tx>
            <c:strRef>
              <c:f>'Calculation Values'!$BT$6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Values'!$BT$7:$BT$102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0-1C85-49E1-A707-0FA0BECCEB95}"/>
            </c:ext>
          </c:extLst>
        </c:ser>
        <c:ser>
          <c:idx val="54"/>
          <c:order val="54"/>
          <c:tx>
            <c:strRef>
              <c:f>'Calculation Values'!$BU$6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Values'!$BU$7:$BU$102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1-1C85-49E1-A707-0FA0BECCEB95}"/>
            </c:ext>
          </c:extLst>
        </c:ser>
        <c:ser>
          <c:idx val="55"/>
          <c:order val="55"/>
          <c:tx>
            <c:strRef>
              <c:f>'Calculation Values'!$BV$6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Values'!$BV$7:$BV$102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2-1C85-49E1-A707-0FA0BECCEB95}"/>
            </c:ext>
          </c:extLst>
        </c:ser>
        <c:ser>
          <c:idx val="56"/>
          <c:order val="56"/>
          <c:tx>
            <c:strRef>
              <c:f>'Calculation Values'!$BW$6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Values'!$BW$7:$BW$102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3-1C85-49E1-A707-0FA0BECCEB95}"/>
            </c:ext>
          </c:extLst>
        </c:ser>
        <c:ser>
          <c:idx val="117"/>
          <c:order val="57"/>
          <c:tx>
            <c:v>Full Home Load Profile</c:v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val>
            <c:numRef>
              <c:f>'Calculation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7-480E-8DD1-F6957A7F7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areaChart>
      <c:scatterChart>
        <c:scatterStyle val="lineMarker"/>
        <c:varyColors val="0"/>
        <c:ser>
          <c:idx val="57"/>
          <c:order val="58"/>
          <c:tx>
            <c:v>Peak 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yVal>
            <c:numRef>
              <c:f>'Calculation Values'!$EH$7:$EH$102</c:f>
              <c:numCache>
                <c:formatCode>0</c:formatCode>
                <c:ptCount val="96"/>
                <c:pt idx="0">
                  <c:v>5405</c:v>
                </c:pt>
                <c:pt idx="1">
                  <c:v>5405</c:v>
                </c:pt>
                <c:pt idx="2">
                  <c:v>773.49315068493149</c:v>
                </c:pt>
                <c:pt idx="3">
                  <c:v>261.16438356164383</c:v>
                </c:pt>
                <c:pt idx="4">
                  <c:v>5405</c:v>
                </c:pt>
                <c:pt idx="5">
                  <c:v>5405</c:v>
                </c:pt>
                <c:pt idx="6">
                  <c:v>6173.4931506849316</c:v>
                </c:pt>
                <c:pt idx="7">
                  <c:v>261.16438356164383</c:v>
                </c:pt>
                <c:pt idx="8">
                  <c:v>5405</c:v>
                </c:pt>
                <c:pt idx="9">
                  <c:v>5405</c:v>
                </c:pt>
                <c:pt idx="10">
                  <c:v>6173.4931506849316</c:v>
                </c:pt>
                <c:pt idx="11">
                  <c:v>261.16438356164383</c:v>
                </c:pt>
                <c:pt idx="12">
                  <c:v>5405</c:v>
                </c:pt>
                <c:pt idx="13">
                  <c:v>5405</c:v>
                </c:pt>
                <c:pt idx="14">
                  <c:v>6173.4931506849316</c:v>
                </c:pt>
                <c:pt idx="15">
                  <c:v>261.16438356164383</c:v>
                </c:pt>
                <c:pt idx="16">
                  <c:v>5405</c:v>
                </c:pt>
                <c:pt idx="17">
                  <c:v>5405</c:v>
                </c:pt>
                <c:pt idx="18">
                  <c:v>6173.4931506849316</c:v>
                </c:pt>
                <c:pt idx="19">
                  <c:v>261.16438356164383</c:v>
                </c:pt>
                <c:pt idx="20">
                  <c:v>5405</c:v>
                </c:pt>
                <c:pt idx="21">
                  <c:v>5405</c:v>
                </c:pt>
                <c:pt idx="22">
                  <c:v>6173.4931506849316</c:v>
                </c:pt>
                <c:pt idx="23">
                  <c:v>261.16438356164383</c:v>
                </c:pt>
                <c:pt idx="24">
                  <c:v>5405</c:v>
                </c:pt>
                <c:pt idx="25">
                  <c:v>5405</c:v>
                </c:pt>
                <c:pt idx="26">
                  <c:v>6173.4931506849316</c:v>
                </c:pt>
                <c:pt idx="27">
                  <c:v>261.16438356164383</c:v>
                </c:pt>
                <c:pt idx="28">
                  <c:v>5405</c:v>
                </c:pt>
                <c:pt idx="29">
                  <c:v>5405</c:v>
                </c:pt>
                <c:pt idx="30">
                  <c:v>6173.4931506849316</c:v>
                </c:pt>
                <c:pt idx="31">
                  <c:v>261.16438356164383</c:v>
                </c:pt>
                <c:pt idx="32">
                  <c:v>5405</c:v>
                </c:pt>
                <c:pt idx="33">
                  <c:v>5405</c:v>
                </c:pt>
                <c:pt idx="34">
                  <c:v>1923.4931506849314</c:v>
                </c:pt>
                <c:pt idx="35">
                  <c:v>1411.1643835616437</c:v>
                </c:pt>
                <c:pt idx="36">
                  <c:v>5405</c:v>
                </c:pt>
                <c:pt idx="37">
                  <c:v>5405</c:v>
                </c:pt>
                <c:pt idx="38">
                  <c:v>5273.4931506849316</c:v>
                </c:pt>
                <c:pt idx="39">
                  <c:v>411.16438356164383</c:v>
                </c:pt>
                <c:pt idx="40">
                  <c:v>5405</c:v>
                </c:pt>
                <c:pt idx="41">
                  <c:v>155</c:v>
                </c:pt>
                <c:pt idx="42">
                  <c:v>923.49315068493149</c:v>
                </c:pt>
                <c:pt idx="43">
                  <c:v>411.16438356164383</c:v>
                </c:pt>
                <c:pt idx="44">
                  <c:v>8619.2400000000016</c:v>
                </c:pt>
                <c:pt idx="45">
                  <c:v>13119.240000000002</c:v>
                </c:pt>
                <c:pt idx="46">
                  <c:v>13375.404383561643</c:v>
                </c:pt>
                <c:pt idx="47">
                  <c:v>13375.404383561643</c:v>
                </c:pt>
                <c:pt idx="48">
                  <c:v>13119.240000000002</c:v>
                </c:pt>
                <c:pt idx="49">
                  <c:v>8619.2400000000016</c:v>
                </c:pt>
                <c:pt idx="50">
                  <c:v>8875.4043835616449</c:v>
                </c:pt>
                <c:pt idx="51">
                  <c:v>8875.4043835616449</c:v>
                </c:pt>
                <c:pt idx="52">
                  <c:v>8619.2400000000016</c:v>
                </c:pt>
                <c:pt idx="53">
                  <c:v>8619.2400000000016</c:v>
                </c:pt>
                <c:pt idx="54">
                  <c:v>8875.4043835616449</c:v>
                </c:pt>
                <c:pt idx="55">
                  <c:v>8875.4043835616449</c:v>
                </c:pt>
                <c:pt idx="56">
                  <c:v>8682.0337777777786</c:v>
                </c:pt>
                <c:pt idx="57">
                  <c:v>8682.0337777777786</c:v>
                </c:pt>
                <c:pt idx="58">
                  <c:v>8938.1981613394219</c:v>
                </c:pt>
                <c:pt idx="59">
                  <c:v>8938.1981613394219</c:v>
                </c:pt>
                <c:pt idx="60">
                  <c:v>8578.1330486111128</c:v>
                </c:pt>
                <c:pt idx="61">
                  <c:v>8578.1330486111128</c:v>
                </c:pt>
                <c:pt idx="62">
                  <c:v>8834.2974321727561</c:v>
                </c:pt>
                <c:pt idx="63">
                  <c:v>8834.2974321727561</c:v>
                </c:pt>
                <c:pt idx="64">
                  <c:v>8486.5351111111122</c:v>
                </c:pt>
                <c:pt idx="65">
                  <c:v>8486.5351111111122</c:v>
                </c:pt>
                <c:pt idx="66">
                  <c:v>8892.6994946727555</c:v>
                </c:pt>
                <c:pt idx="67">
                  <c:v>8892.6994946727555</c:v>
                </c:pt>
                <c:pt idx="68">
                  <c:v>8739.2400000000016</c:v>
                </c:pt>
                <c:pt idx="69">
                  <c:v>8739.2400000000016</c:v>
                </c:pt>
                <c:pt idx="70">
                  <c:v>8995.4043835616449</c:v>
                </c:pt>
                <c:pt idx="71">
                  <c:v>8995.4043835616449</c:v>
                </c:pt>
                <c:pt idx="72">
                  <c:v>8739.2400000000016</c:v>
                </c:pt>
                <c:pt idx="73">
                  <c:v>8739.2400000000016</c:v>
                </c:pt>
                <c:pt idx="74">
                  <c:v>8995.4043835616449</c:v>
                </c:pt>
                <c:pt idx="75">
                  <c:v>8995.4043835616449</c:v>
                </c:pt>
                <c:pt idx="76">
                  <c:v>8739.2400000000016</c:v>
                </c:pt>
                <c:pt idx="77">
                  <c:v>8739.2400000000016</c:v>
                </c:pt>
                <c:pt idx="78">
                  <c:v>8995.4043835616449</c:v>
                </c:pt>
                <c:pt idx="79">
                  <c:v>8995.4043835616449</c:v>
                </c:pt>
                <c:pt idx="80">
                  <c:v>10025</c:v>
                </c:pt>
                <c:pt idx="81">
                  <c:v>125</c:v>
                </c:pt>
                <c:pt idx="82">
                  <c:v>893.49315068493149</c:v>
                </c:pt>
                <c:pt idx="83">
                  <c:v>381.16438356164383</c:v>
                </c:pt>
                <c:pt idx="84">
                  <c:v>5525</c:v>
                </c:pt>
                <c:pt idx="85">
                  <c:v>125</c:v>
                </c:pt>
                <c:pt idx="86">
                  <c:v>893.49315068493149</c:v>
                </c:pt>
                <c:pt idx="87">
                  <c:v>381.16438356164383</c:v>
                </c:pt>
                <c:pt idx="88">
                  <c:v>5525</c:v>
                </c:pt>
                <c:pt idx="89">
                  <c:v>125</c:v>
                </c:pt>
                <c:pt idx="90">
                  <c:v>893.49315068493149</c:v>
                </c:pt>
                <c:pt idx="91">
                  <c:v>381.16438356164383</c:v>
                </c:pt>
                <c:pt idx="92">
                  <c:v>5525</c:v>
                </c:pt>
                <c:pt idx="93">
                  <c:v>125</c:v>
                </c:pt>
                <c:pt idx="94">
                  <c:v>893.49315068493149</c:v>
                </c:pt>
                <c:pt idx="95">
                  <c:v>381.16438356164383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0E5-4A40-94C2-AF45E0BC6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  <c:extLst/>
      </c:scatter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tickLblSkip val="8"/>
        <c:tickMarkSkip val="2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Watts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output of</a:t>
            </a:r>
            <a:r>
              <a:rPr lang="en-US" baseline="0"/>
              <a:t> backup 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'Calculation Values'!$D$6</c:f>
              <c:strCache>
                <c:ptCount val="1"/>
                <c:pt idx="0">
                  <c:v>Battery Electric Vehicle</c:v>
                </c:pt>
              </c:strCache>
            </c:strRef>
          </c:tx>
          <c:spPr>
            <a:solidFill>
              <a:srgbClr val="9B2226"/>
            </a:solidFill>
            <a:ln>
              <a:noFill/>
            </a:ln>
            <a:effectLst/>
          </c:spPr>
          <c:cat>
            <c:strRef>
              <c:f>'Calculation Values'!$B$7:$B$294</c:f>
              <c:strCache>
                <c:ptCount val="96"/>
                <c:pt idx="0">
                  <c:v>0:00</c:v>
                </c:pt>
                <c:pt idx="1">
                  <c:v>0:15</c:v>
                </c:pt>
                <c:pt idx="2">
                  <c:v>0:30</c:v>
                </c:pt>
                <c:pt idx="3">
                  <c:v>0:45</c:v>
                </c:pt>
                <c:pt idx="4">
                  <c:v>1:00</c:v>
                </c:pt>
                <c:pt idx="5">
                  <c:v>1:15</c:v>
                </c:pt>
                <c:pt idx="6">
                  <c:v>1:30</c:v>
                </c:pt>
                <c:pt idx="7">
                  <c:v>1:45</c:v>
                </c:pt>
                <c:pt idx="8">
                  <c:v>2:00</c:v>
                </c:pt>
                <c:pt idx="9">
                  <c:v>2:15</c:v>
                </c:pt>
                <c:pt idx="10">
                  <c:v>2:30</c:v>
                </c:pt>
                <c:pt idx="11">
                  <c:v>2:45</c:v>
                </c:pt>
                <c:pt idx="12">
                  <c:v>3:00</c:v>
                </c:pt>
                <c:pt idx="13">
                  <c:v>3:15</c:v>
                </c:pt>
                <c:pt idx="14">
                  <c:v>3:30</c:v>
                </c:pt>
                <c:pt idx="15">
                  <c:v>3:45</c:v>
                </c:pt>
                <c:pt idx="16">
                  <c:v>4:00</c:v>
                </c:pt>
                <c:pt idx="17">
                  <c:v>4:15</c:v>
                </c:pt>
                <c:pt idx="18">
                  <c:v>4:30</c:v>
                </c:pt>
                <c:pt idx="19">
                  <c:v>4:45</c:v>
                </c:pt>
                <c:pt idx="20">
                  <c:v>5:00</c:v>
                </c:pt>
                <c:pt idx="21">
                  <c:v>5:15</c:v>
                </c:pt>
                <c:pt idx="22">
                  <c:v>5:30</c:v>
                </c:pt>
                <c:pt idx="23">
                  <c:v>5:45</c:v>
                </c:pt>
                <c:pt idx="24">
                  <c:v>6:00</c:v>
                </c:pt>
                <c:pt idx="25">
                  <c:v>6:15</c:v>
                </c:pt>
                <c:pt idx="26">
                  <c:v>6:30</c:v>
                </c:pt>
                <c:pt idx="27">
                  <c:v>6:45</c:v>
                </c:pt>
                <c:pt idx="28">
                  <c:v>7:00</c:v>
                </c:pt>
                <c:pt idx="29">
                  <c:v>7:15</c:v>
                </c:pt>
                <c:pt idx="30">
                  <c:v>7:30</c:v>
                </c:pt>
                <c:pt idx="31">
                  <c:v>7:45</c:v>
                </c:pt>
                <c:pt idx="32">
                  <c:v>8:00</c:v>
                </c:pt>
                <c:pt idx="33">
                  <c:v>8:15</c:v>
                </c:pt>
                <c:pt idx="34">
                  <c:v>8:30</c:v>
                </c:pt>
                <c:pt idx="35">
                  <c:v>8:45</c:v>
                </c:pt>
                <c:pt idx="36">
                  <c:v>9:00</c:v>
                </c:pt>
                <c:pt idx="37">
                  <c:v>9:15</c:v>
                </c:pt>
                <c:pt idx="38">
                  <c:v>9:30</c:v>
                </c:pt>
                <c:pt idx="39">
                  <c:v>9:45</c:v>
                </c:pt>
                <c:pt idx="40">
                  <c:v>10:00</c:v>
                </c:pt>
                <c:pt idx="41">
                  <c:v>10:15</c:v>
                </c:pt>
                <c:pt idx="42">
                  <c:v>10:30</c:v>
                </c:pt>
                <c:pt idx="43">
                  <c:v>10:45</c:v>
                </c:pt>
                <c:pt idx="44">
                  <c:v>11:00</c:v>
                </c:pt>
                <c:pt idx="45">
                  <c:v>11:15</c:v>
                </c:pt>
                <c:pt idx="46">
                  <c:v>11:30</c:v>
                </c:pt>
                <c:pt idx="47">
                  <c:v>11:45</c:v>
                </c:pt>
                <c:pt idx="48">
                  <c:v>12:00</c:v>
                </c:pt>
                <c:pt idx="49">
                  <c:v>12:15</c:v>
                </c:pt>
                <c:pt idx="50">
                  <c:v>12:30</c:v>
                </c:pt>
                <c:pt idx="51">
                  <c:v>12:45</c:v>
                </c:pt>
                <c:pt idx="52">
                  <c:v>13:00</c:v>
                </c:pt>
                <c:pt idx="53">
                  <c:v>13:15</c:v>
                </c:pt>
                <c:pt idx="54">
                  <c:v>13:30</c:v>
                </c:pt>
                <c:pt idx="55">
                  <c:v>13:45</c:v>
                </c:pt>
                <c:pt idx="56">
                  <c:v>14:00</c:v>
                </c:pt>
                <c:pt idx="57">
                  <c:v>14:15</c:v>
                </c:pt>
                <c:pt idx="58">
                  <c:v>14:30</c:v>
                </c:pt>
                <c:pt idx="59">
                  <c:v>14:45</c:v>
                </c:pt>
                <c:pt idx="60">
                  <c:v>15:00</c:v>
                </c:pt>
                <c:pt idx="61">
                  <c:v>15:15</c:v>
                </c:pt>
                <c:pt idx="62">
                  <c:v>15:30</c:v>
                </c:pt>
                <c:pt idx="63">
                  <c:v>15:45</c:v>
                </c:pt>
                <c:pt idx="64">
                  <c:v>16:00</c:v>
                </c:pt>
                <c:pt idx="65">
                  <c:v>16:15</c:v>
                </c:pt>
                <c:pt idx="66">
                  <c:v>16:30</c:v>
                </c:pt>
                <c:pt idx="67">
                  <c:v>16:45</c:v>
                </c:pt>
                <c:pt idx="68">
                  <c:v>17:00</c:v>
                </c:pt>
                <c:pt idx="69">
                  <c:v>17:15</c:v>
                </c:pt>
                <c:pt idx="70">
                  <c:v>17:30</c:v>
                </c:pt>
                <c:pt idx="71">
                  <c:v>17:45</c:v>
                </c:pt>
                <c:pt idx="72">
                  <c:v>18:00</c:v>
                </c:pt>
                <c:pt idx="73">
                  <c:v>18:15</c:v>
                </c:pt>
                <c:pt idx="74">
                  <c:v>18:30</c:v>
                </c:pt>
                <c:pt idx="75">
                  <c:v>18:45</c:v>
                </c:pt>
                <c:pt idx="76">
                  <c:v>19:00</c:v>
                </c:pt>
                <c:pt idx="77">
                  <c:v>19:15</c:v>
                </c:pt>
                <c:pt idx="78">
                  <c:v>19:30</c:v>
                </c:pt>
                <c:pt idx="79">
                  <c:v>19:45</c:v>
                </c:pt>
                <c:pt idx="80">
                  <c:v>20:00</c:v>
                </c:pt>
                <c:pt idx="81">
                  <c:v>20:15</c:v>
                </c:pt>
                <c:pt idx="82">
                  <c:v>20:30</c:v>
                </c:pt>
                <c:pt idx="83">
                  <c:v>20:45</c:v>
                </c:pt>
                <c:pt idx="84">
                  <c:v>21:00</c:v>
                </c:pt>
                <c:pt idx="85">
                  <c:v>21:15</c:v>
                </c:pt>
                <c:pt idx="86">
                  <c:v>21:30</c:v>
                </c:pt>
                <c:pt idx="87">
                  <c:v>21:45</c:v>
                </c:pt>
                <c:pt idx="88">
                  <c:v>22:00</c:v>
                </c:pt>
                <c:pt idx="89">
                  <c:v>22:15</c:v>
                </c:pt>
                <c:pt idx="90">
                  <c:v>22:30</c:v>
                </c:pt>
                <c:pt idx="91">
                  <c:v>22:45</c:v>
                </c:pt>
                <c:pt idx="92">
                  <c:v>23:00</c:v>
                </c:pt>
                <c:pt idx="93">
                  <c:v>23:15</c:v>
                </c:pt>
                <c:pt idx="94">
                  <c:v>23:30</c:v>
                </c:pt>
                <c:pt idx="95">
                  <c:v>23:45</c:v>
                </c:pt>
              </c:strCache>
            </c:strRef>
          </c:cat>
          <c:val>
            <c:numRef>
              <c:f>'Calculation Values'!$D$7:$D$102</c:f>
              <c:numCache>
                <c:formatCode>0</c:formatCode>
                <c:ptCount val="96"/>
                <c:pt idx="0">
                  <c:v>5405</c:v>
                </c:pt>
                <c:pt idx="1">
                  <c:v>5405</c:v>
                </c:pt>
                <c:pt idx="2">
                  <c:v>261.16438356164383</c:v>
                </c:pt>
                <c:pt idx="3">
                  <c:v>261.16438356164383</c:v>
                </c:pt>
                <c:pt idx="4">
                  <c:v>5405</c:v>
                </c:pt>
                <c:pt idx="5">
                  <c:v>5405</c:v>
                </c:pt>
                <c:pt idx="6">
                  <c:v>5661.1643835616442</c:v>
                </c:pt>
                <c:pt idx="7">
                  <c:v>261.16438356164383</c:v>
                </c:pt>
                <c:pt idx="8">
                  <c:v>5405</c:v>
                </c:pt>
                <c:pt idx="9">
                  <c:v>5405</c:v>
                </c:pt>
                <c:pt idx="10">
                  <c:v>5661.1643835616442</c:v>
                </c:pt>
                <c:pt idx="11">
                  <c:v>261.16438356164383</c:v>
                </c:pt>
                <c:pt idx="12">
                  <c:v>5405</c:v>
                </c:pt>
                <c:pt idx="13">
                  <c:v>5405</c:v>
                </c:pt>
                <c:pt idx="14">
                  <c:v>5661.1643835616442</c:v>
                </c:pt>
                <c:pt idx="15">
                  <c:v>261.16438356164383</c:v>
                </c:pt>
                <c:pt idx="16">
                  <c:v>5405</c:v>
                </c:pt>
                <c:pt idx="17">
                  <c:v>5405</c:v>
                </c:pt>
                <c:pt idx="18">
                  <c:v>5661.1643835616442</c:v>
                </c:pt>
                <c:pt idx="19">
                  <c:v>261.16438356164383</c:v>
                </c:pt>
                <c:pt idx="20">
                  <c:v>5405</c:v>
                </c:pt>
                <c:pt idx="21">
                  <c:v>5405</c:v>
                </c:pt>
                <c:pt idx="22">
                  <c:v>5661.1643835616442</c:v>
                </c:pt>
                <c:pt idx="23">
                  <c:v>261.16438356164383</c:v>
                </c:pt>
                <c:pt idx="24">
                  <c:v>5405</c:v>
                </c:pt>
                <c:pt idx="25">
                  <c:v>5405</c:v>
                </c:pt>
                <c:pt idx="26">
                  <c:v>5661.1643835616442</c:v>
                </c:pt>
                <c:pt idx="27">
                  <c:v>261.16438356164383</c:v>
                </c:pt>
                <c:pt idx="28">
                  <c:v>5405</c:v>
                </c:pt>
                <c:pt idx="29">
                  <c:v>5405</c:v>
                </c:pt>
                <c:pt idx="30">
                  <c:v>5661.1643835616442</c:v>
                </c:pt>
                <c:pt idx="31">
                  <c:v>261.16438356164383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-996.00639999999908</c:v>
                </c:pt>
                <c:pt idx="42">
                  <c:v>-739.8420164383557</c:v>
                </c:pt>
                <c:pt idx="43">
                  <c:v>-4930.6095158345888</c:v>
                </c:pt>
                <c:pt idx="44">
                  <c:v>-4107.7007999999978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-3816.4552066284496</c:v>
                </c:pt>
                <c:pt idx="50">
                  <c:v>-4799.7284164383564</c:v>
                </c:pt>
                <c:pt idx="51">
                  <c:v>-4799.7284164383564</c:v>
                </c:pt>
                <c:pt idx="52">
                  <c:v>-5047.7392</c:v>
                </c:pt>
                <c:pt idx="53">
                  <c:v>-5047.7392</c:v>
                </c:pt>
                <c:pt idx="54">
                  <c:v>-4791.5748164383558</c:v>
                </c:pt>
                <c:pt idx="55">
                  <c:v>-4791.5748164383558</c:v>
                </c:pt>
                <c:pt idx="56">
                  <c:v>-4291.5198222222098</c:v>
                </c:pt>
                <c:pt idx="57">
                  <c:v>-4291.5198222222216</c:v>
                </c:pt>
                <c:pt idx="58">
                  <c:v>-4035.3554386605779</c:v>
                </c:pt>
                <c:pt idx="59">
                  <c:v>-4035.3554386605779</c:v>
                </c:pt>
                <c:pt idx="60">
                  <c:v>-2923.2141513888882</c:v>
                </c:pt>
                <c:pt idx="61">
                  <c:v>-2923.2141513888882</c:v>
                </c:pt>
                <c:pt idx="62">
                  <c:v>-2667.0497678272436</c:v>
                </c:pt>
                <c:pt idx="63">
                  <c:v>-2667.0497678272436</c:v>
                </c:pt>
                <c:pt idx="64">
                  <c:v>-693.38808888888821</c:v>
                </c:pt>
                <c:pt idx="65">
                  <c:v>-693.38808888888821</c:v>
                </c:pt>
                <c:pt idx="66">
                  <c:v>-287.22370532724415</c:v>
                </c:pt>
                <c:pt idx="67">
                  <c:v>-287.22370532724415</c:v>
                </c:pt>
                <c:pt idx="68">
                  <c:v>2962.60592</c:v>
                </c:pt>
                <c:pt idx="69">
                  <c:v>2962.60592</c:v>
                </c:pt>
                <c:pt idx="70">
                  <c:v>3218.7703035616437</c:v>
                </c:pt>
                <c:pt idx="71">
                  <c:v>3218.7703035616437</c:v>
                </c:pt>
                <c:pt idx="72">
                  <c:v>3515</c:v>
                </c:pt>
                <c:pt idx="73">
                  <c:v>3515</c:v>
                </c:pt>
                <c:pt idx="74">
                  <c:v>3771.1643835616437</c:v>
                </c:pt>
                <c:pt idx="75">
                  <c:v>3771.1643835616437</c:v>
                </c:pt>
                <c:pt idx="76">
                  <c:v>3515</c:v>
                </c:pt>
                <c:pt idx="77">
                  <c:v>3515</c:v>
                </c:pt>
                <c:pt idx="78">
                  <c:v>3771.1643835616437</c:v>
                </c:pt>
                <c:pt idx="79">
                  <c:v>3771.1643835616437</c:v>
                </c:pt>
                <c:pt idx="80">
                  <c:v>9999.9999999999982</c:v>
                </c:pt>
                <c:pt idx="81">
                  <c:v>125</c:v>
                </c:pt>
                <c:pt idx="82">
                  <c:v>381.16438356164383</c:v>
                </c:pt>
                <c:pt idx="83">
                  <c:v>381.16438356164383</c:v>
                </c:pt>
                <c:pt idx="84">
                  <c:v>5525</c:v>
                </c:pt>
                <c:pt idx="85">
                  <c:v>125</c:v>
                </c:pt>
                <c:pt idx="86">
                  <c:v>381.16438356164383</c:v>
                </c:pt>
                <c:pt idx="87">
                  <c:v>381.16438356164383</c:v>
                </c:pt>
                <c:pt idx="88">
                  <c:v>524.99999999999977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524.99999999999977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2-4F75-8D23-F1F044E817FC}"/>
            </c:ext>
          </c:extLst>
        </c:ser>
        <c:ser>
          <c:idx val="6"/>
          <c:order val="1"/>
          <c:tx>
            <c:strRef>
              <c:f>'Calculation Values'!$E$6</c:f>
              <c:strCache>
                <c:ptCount val="1"/>
                <c:pt idx="0">
                  <c:v>Plug-In Hybrid Electric Vehicle (Battery)</c:v>
                </c:pt>
              </c:strCache>
            </c:strRef>
          </c:tx>
          <c:spPr>
            <a:solidFill>
              <a:srgbClr val="0A9396"/>
            </a:solidFill>
            <a:ln w="25400">
              <a:noFill/>
            </a:ln>
            <a:effectLst/>
          </c:spPr>
          <c:cat>
            <c:strRef>
              <c:f>'Calculation Values'!$B$7:$B$294</c:f>
              <c:strCache>
                <c:ptCount val="96"/>
                <c:pt idx="0">
                  <c:v>0:00</c:v>
                </c:pt>
                <c:pt idx="1">
                  <c:v>0:15</c:v>
                </c:pt>
                <c:pt idx="2">
                  <c:v>0:30</c:v>
                </c:pt>
                <c:pt idx="3">
                  <c:v>0:45</c:v>
                </c:pt>
                <c:pt idx="4">
                  <c:v>1:00</c:v>
                </c:pt>
                <c:pt idx="5">
                  <c:v>1:15</c:v>
                </c:pt>
                <c:pt idx="6">
                  <c:v>1:30</c:v>
                </c:pt>
                <c:pt idx="7">
                  <c:v>1:45</c:v>
                </c:pt>
                <c:pt idx="8">
                  <c:v>2:00</c:v>
                </c:pt>
                <c:pt idx="9">
                  <c:v>2:15</c:v>
                </c:pt>
                <c:pt idx="10">
                  <c:v>2:30</c:v>
                </c:pt>
                <c:pt idx="11">
                  <c:v>2:45</c:v>
                </c:pt>
                <c:pt idx="12">
                  <c:v>3:00</c:v>
                </c:pt>
                <c:pt idx="13">
                  <c:v>3:15</c:v>
                </c:pt>
                <c:pt idx="14">
                  <c:v>3:30</c:v>
                </c:pt>
                <c:pt idx="15">
                  <c:v>3:45</c:v>
                </c:pt>
                <c:pt idx="16">
                  <c:v>4:00</c:v>
                </c:pt>
                <c:pt idx="17">
                  <c:v>4:15</c:v>
                </c:pt>
                <c:pt idx="18">
                  <c:v>4:30</c:v>
                </c:pt>
                <c:pt idx="19">
                  <c:v>4:45</c:v>
                </c:pt>
                <c:pt idx="20">
                  <c:v>5:00</c:v>
                </c:pt>
                <c:pt idx="21">
                  <c:v>5:15</c:v>
                </c:pt>
                <c:pt idx="22">
                  <c:v>5:30</c:v>
                </c:pt>
                <c:pt idx="23">
                  <c:v>5:45</c:v>
                </c:pt>
                <c:pt idx="24">
                  <c:v>6:00</c:v>
                </c:pt>
                <c:pt idx="25">
                  <c:v>6:15</c:v>
                </c:pt>
                <c:pt idx="26">
                  <c:v>6:30</c:v>
                </c:pt>
                <c:pt idx="27">
                  <c:v>6:45</c:v>
                </c:pt>
                <c:pt idx="28">
                  <c:v>7:00</c:v>
                </c:pt>
                <c:pt idx="29">
                  <c:v>7:15</c:v>
                </c:pt>
                <c:pt idx="30">
                  <c:v>7:30</c:v>
                </c:pt>
                <c:pt idx="31">
                  <c:v>7:45</c:v>
                </c:pt>
                <c:pt idx="32">
                  <c:v>8:00</c:v>
                </c:pt>
                <c:pt idx="33">
                  <c:v>8:15</c:v>
                </c:pt>
                <c:pt idx="34">
                  <c:v>8:30</c:v>
                </c:pt>
                <c:pt idx="35">
                  <c:v>8:45</c:v>
                </c:pt>
                <c:pt idx="36">
                  <c:v>9:00</c:v>
                </c:pt>
                <c:pt idx="37">
                  <c:v>9:15</c:v>
                </c:pt>
                <c:pt idx="38">
                  <c:v>9:30</c:v>
                </c:pt>
                <c:pt idx="39">
                  <c:v>9:45</c:v>
                </c:pt>
                <c:pt idx="40">
                  <c:v>10:00</c:v>
                </c:pt>
                <c:pt idx="41">
                  <c:v>10:15</c:v>
                </c:pt>
                <c:pt idx="42">
                  <c:v>10:30</c:v>
                </c:pt>
                <c:pt idx="43">
                  <c:v>10:45</c:v>
                </c:pt>
                <c:pt idx="44">
                  <c:v>11:00</c:v>
                </c:pt>
                <c:pt idx="45">
                  <c:v>11:15</c:v>
                </c:pt>
                <c:pt idx="46">
                  <c:v>11:30</c:v>
                </c:pt>
                <c:pt idx="47">
                  <c:v>11:45</c:v>
                </c:pt>
                <c:pt idx="48">
                  <c:v>12:00</c:v>
                </c:pt>
                <c:pt idx="49">
                  <c:v>12:15</c:v>
                </c:pt>
                <c:pt idx="50">
                  <c:v>12:30</c:v>
                </c:pt>
                <c:pt idx="51">
                  <c:v>12:45</c:v>
                </c:pt>
                <c:pt idx="52">
                  <c:v>13:00</c:v>
                </c:pt>
                <c:pt idx="53">
                  <c:v>13:15</c:v>
                </c:pt>
                <c:pt idx="54">
                  <c:v>13:30</c:v>
                </c:pt>
                <c:pt idx="55">
                  <c:v>13:45</c:v>
                </c:pt>
                <c:pt idx="56">
                  <c:v>14:00</c:v>
                </c:pt>
                <c:pt idx="57">
                  <c:v>14:15</c:v>
                </c:pt>
                <c:pt idx="58">
                  <c:v>14:30</c:v>
                </c:pt>
                <c:pt idx="59">
                  <c:v>14:45</c:v>
                </c:pt>
                <c:pt idx="60">
                  <c:v>15:00</c:v>
                </c:pt>
                <c:pt idx="61">
                  <c:v>15:15</c:v>
                </c:pt>
                <c:pt idx="62">
                  <c:v>15:30</c:v>
                </c:pt>
                <c:pt idx="63">
                  <c:v>15:45</c:v>
                </c:pt>
                <c:pt idx="64">
                  <c:v>16:00</c:v>
                </c:pt>
                <c:pt idx="65">
                  <c:v>16:15</c:v>
                </c:pt>
                <c:pt idx="66">
                  <c:v>16:30</c:v>
                </c:pt>
                <c:pt idx="67">
                  <c:v>16:45</c:v>
                </c:pt>
                <c:pt idx="68">
                  <c:v>17:00</c:v>
                </c:pt>
                <c:pt idx="69">
                  <c:v>17:15</c:v>
                </c:pt>
                <c:pt idx="70">
                  <c:v>17:30</c:v>
                </c:pt>
                <c:pt idx="71">
                  <c:v>17:45</c:v>
                </c:pt>
                <c:pt idx="72">
                  <c:v>18:00</c:v>
                </c:pt>
                <c:pt idx="73">
                  <c:v>18:15</c:v>
                </c:pt>
                <c:pt idx="74">
                  <c:v>18:30</c:v>
                </c:pt>
                <c:pt idx="75">
                  <c:v>18:45</c:v>
                </c:pt>
                <c:pt idx="76">
                  <c:v>19:00</c:v>
                </c:pt>
                <c:pt idx="77">
                  <c:v>19:15</c:v>
                </c:pt>
                <c:pt idx="78">
                  <c:v>19:30</c:v>
                </c:pt>
                <c:pt idx="79">
                  <c:v>19:45</c:v>
                </c:pt>
                <c:pt idx="80">
                  <c:v>20:00</c:v>
                </c:pt>
                <c:pt idx="81">
                  <c:v>20:15</c:v>
                </c:pt>
                <c:pt idx="82">
                  <c:v>20:30</c:v>
                </c:pt>
                <c:pt idx="83">
                  <c:v>20:45</c:v>
                </c:pt>
                <c:pt idx="84">
                  <c:v>21:00</c:v>
                </c:pt>
                <c:pt idx="85">
                  <c:v>21:15</c:v>
                </c:pt>
                <c:pt idx="86">
                  <c:v>21:30</c:v>
                </c:pt>
                <c:pt idx="87">
                  <c:v>21:45</c:v>
                </c:pt>
                <c:pt idx="88">
                  <c:v>22:00</c:v>
                </c:pt>
                <c:pt idx="89">
                  <c:v>22:15</c:v>
                </c:pt>
                <c:pt idx="90">
                  <c:v>22:30</c:v>
                </c:pt>
                <c:pt idx="91">
                  <c:v>22:45</c:v>
                </c:pt>
                <c:pt idx="92">
                  <c:v>23:00</c:v>
                </c:pt>
                <c:pt idx="93">
                  <c:v>23:15</c:v>
                </c:pt>
                <c:pt idx="94">
                  <c:v>23:30</c:v>
                </c:pt>
                <c:pt idx="95">
                  <c:v>23:45</c:v>
                </c:pt>
              </c:strCache>
            </c:strRef>
          </c:cat>
          <c:val>
            <c:numRef>
              <c:f>'Calculation Values'!$E$7:$E$102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F0-4DC9-9071-DE0EB4AD3335}"/>
            </c:ext>
          </c:extLst>
        </c:ser>
        <c:ser>
          <c:idx val="1"/>
          <c:order val="2"/>
          <c:tx>
            <c:strRef>
              <c:f>'Calculation Values'!$F$6</c:f>
              <c:strCache>
                <c:ptCount val="1"/>
                <c:pt idx="0">
                  <c:v>Plug-In Hybrid Electric Vehicle (Engine)</c:v>
                </c:pt>
              </c:strCache>
            </c:strRef>
          </c:tx>
          <c:spPr>
            <a:solidFill>
              <a:srgbClr val="005F73"/>
            </a:solidFill>
            <a:ln>
              <a:noFill/>
            </a:ln>
            <a:effectLst/>
          </c:spPr>
          <c:cat>
            <c:strRef>
              <c:f>'Calculation Values'!$B$7:$B$294</c:f>
              <c:strCache>
                <c:ptCount val="96"/>
                <c:pt idx="0">
                  <c:v>0:00</c:v>
                </c:pt>
                <c:pt idx="1">
                  <c:v>0:15</c:v>
                </c:pt>
                <c:pt idx="2">
                  <c:v>0:30</c:v>
                </c:pt>
                <c:pt idx="3">
                  <c:v>0:45</c:v>
                </c:pt>
                <c:pt idx="4">
                  <c:v>1:00</c:v>
                </c:pt>
                <c:pt idx="5">
                  <c:v>1:15</c:v>
                </c:pt>
                <c:pt idx="6">
                  <c:v>1:30</c:v>
                </c:pt>
                <c:pt idx="7">
                  <c:v>1:45</c:v>
                </c:pt>
                <c:pt idx="8">
                  <c:v>2:00</c:v>
                </c:pt>
                <c:pt idx="9">
                  <c:v>2:15</c:v>
                </c:pt>
                <c:pt idx="10">
                  <c:v>2:30</c:v>
                </c:pt>
                <c:pt idx="11">
                  <c:v>2:45</c:v>
                </c:pt>
                <c:pt idx="12">
                  <c:v>3:00</c:v>
                </c:pt>
                <c:pt idx="13">
                  <c:v>3:15</c:v>
                </c:pt>
                <c:pt idx="14">
                  <c:v>3:30</c:v>
                </c:pt>
                <c:pt idx="15">
                  <c:v>3:45</c:v>
                </c:pt>
                <c:pt idx="16">
                  <c:v>4:00</c:v>
                </c:pt>
                <c:pt idx="17">
                  <c:v>4:15</c:v>
                </c:pt>
                <c:pt idx="18">
                  <c:v>4:30</c:v>
                </c:pt>
                <c:pt idx="19">
                  <c:v>4:45</c:v>
                </c:pt>
                <c:pt idx="20">
                  <c:v>5:00</c:v>
                </c:pt>
                <c:pt idx="21">
                  <c:v>5:15</c:v>
                </c:pt>
                <c:pt idx="22">
                  <c:v>5:30</c:v>
                </c:pt>
                <c:pt idx="23">
                  <c:v>5:45</c:v>
                </c:pt>
                <c:pt idx="24">
                  <c:v>6:00</c:v>
                </c:pt>
                <c:pt idx="25">
                  <c:v>6:15</c:v>
                </c:pt>
                <c:pt idx="26">
                  <c:v>6:30</c:v>
                </c:pt>
                <c:pt idx="27">
                  <c:v>6:45</c:v>
                </c:pt>
                <c:pt idx="28">
                  <c:v>7:00</c:v>
                </c:pt>
                <c:pt idx="29">
                  <c:v>7:15</c:v>
                </c:pt>
                <c:pt idx="30">
                  <c:v>7:30</c:v>
                </c:pt>
                <c:pt idx="31">
                  <c:v>7:45</c:v>
                </c:pt>
                <c:pt idx="32">
                  <c:v>8:00</c:v>
                </c:pt>
                <c:pt idx="33">
                  <c:v>8:15</c:v>
                </c:pt>
                <c:pt idx="34">
                  <c:v>8:30</c:v>
                </c:pt>
                <c:pt idx="35">
                  <c:v>8:45</c:v>
                </c:pt>
                <c:pt idx="36">
                  <c:v>9:00</c:v>
                </c:pt>
                <c:pt idx="37">
                  <c:v>9:15</c:v>
                </c:pt>
                <c:pt idx="38">
                  <c:v>9:30</c:v>
                </c:pt>
                <c:pt idx="39">
                  <c:v>9:45</c:v>
                </c:pt>
                <c:pt idx="40">
                  <c:v>10:00</c:v>
                </c:pt>
                <c:pt idx="41">
                  <c:v>10:15</c:v>
                </c:pt>
                <c:pt idx="42">
                  <c:v>10:30</c:v>
                </c:pt>
                <c:pt idx="43">
                  <c:v>10:45</c:v>
                </c:pt>
                <c:pt idx="44">
                  <c:v>11:00</c:v>
                </c:pt>
                <c:pt idx="45">
                  <c:v>11:15</c:v>
                </c:pt>
                <c:pt idx="46">
                  <c:v>11:30</c:v>
                </c:pt>
                <c:pt idx="47">
                  <c:v>11:45</c:v>
                </c:pt>
                <c:pt idx="48">
                  <c:v>12:00</c:v>
                </c:pt>
                <c:pt idx="49">
                  <c:v>12:15</c:v>
                </c:pt>
                <c:pt idx="50">
                  <c:v>12:30</c:v>
                </c:pt>
                <c:pt idx="51">
                  <c:v>12:45</c:v>
                </c:pt>
                <c:pt idx="52">
                  <c:v>13:00</c:v>
                </c:pt>
                <c:pt idx="53">
                  <c:v>13:15</c:v>
                </c:pt>
                <c:pt idx="54">
                  <c:v>13:30</c:v>
                </c:pt>
                <c:pt idx="55">
                  <c:v>13:45</c:v>
                </c:pt>
                <c:pt idx="56">
                  <c:v>14:00</c:v>
                </c:pt>
                <c:pt idx="57">
                  <c:v>14:15</c:v>
                </c:pt>
                <c:pt idx="58">
                  <c:v>14:30</c:v>
                </c:pt>
                <c:pt idx="59">
                  <c:v>14:45</c:v>
                </c:pt>
                <c:pt idx="60">
                  <c:v>15:00</c:v>
                </c:pt>
                <c:pt idx="61">
                  <c:v>15:15</c:v>
                </c:pt>
                <c:pt idx="62">
                  <c:v>15:30</c:v>
                </c:pt>
                <c:pt idx="63">
                  <c:v>15:45</c:v>
                </c:pt>
                <c:pt idx="64">
                  <c:v>16:00</c:v>
                </c:pt>
                <c:pt idx="65">
                  <c:v>16:15</c:v>
                </c:pt>
                <c:pt idx="66">
                  <c:v>16:30</c:v>
                </c:pt>
                <c:pt idx="67">
                  <c:v>16:45</c:v>
                </c:pt>
                <c:pt idx="68">
                  <c:v>17:00</c:v>
                </c:pt>
                <c:pt idx="69">
                  <c:v>17:15</c:v>
                </c:pt>
                <c:pt idx="70">
                  <c:v>17:30</c:v>
                </c:pt>
                <c:pt idx="71">
                  <c:v>17:45</c:v>
                </c:pt>
                <c:pt idx="72">
                  <c:v>18:00</c:v>
                </c:pt>
                <c:pt idx="73">
                  <c:v>18:15</c:v>
                </c:pt>
                <c:pt idx="74">
                  <c:v>18:30</c:v>
                </c:pt>
                <c:pt idx="75">
                  <c:v>18:45</c:v>
                </c:pt>
                <c:pt idx="76">
                  <c:v>19:00</c:v>
                </c:pt>
                <c:pt idx="77">
                  <c:v>19:15</c:v>
                </c:pt>
                <c:pt idx="78">
                  <c:v>19:30</c:v>
                </c:pt>
                <c:pt idx="79">
                  <c:v>19:45</c:v>
                </c:pt>
                <c:pt idx="80">
                  <c:v>20:00</c:v>
                </c:pt>
                <c:pt idx="81">
                  <c:v>20:15</c:v>
                </c:pt>
                <c:pt idx="82">
                  <c:v>20:30</c:v>
                </c:pt>
                <c:pt idx="83">
                  <c:v>20:45</c:v>
                </c:pt>
                <c:pt idx="84">
                  <c:v>21:00</c:v>
                </c:pt>
                <c:pt idx="85">
                  <c:v>21:15</c:v>
                </c:pt>
                <c:pt idx="86">
                  <c:v>21:30</c:v>
                </c:pt>
                <c:pt idx="87">
                  <c:v>21:45</c:v>
                </c:pt>
                <c:pt idx="88">
                  <c:v>22:00</c:v>
                </c:pt>
                <c:pt idx="89">
                  <c:v>22:15</c:v>
                </c:pt>
                <c:pt idx="90">
                  <c:v>22:30</c:v>
                </c:pt>
                <c:pt idx="91">
                  <c:v>22:45</c:v>
                </c:pt>
                <c:pt idx="92">
                  <c:v>23:00</c:v>
                </c:pt>
                <c:pt idx="93">
                  <c:v>23:15</c:v>
                </c:pt>
                <c:pt idx="94">
                  <c:v>23:30</c:v>
                </c:pt>
                <c:pt idx="95">
                  <c:v>23:45</c:v>
                </c:pt>
              </c:strCache>
            </c:strRef>
          </c:cat>
          <c:val>
            <c:numRef>
              <c:f>'Calculation Values'!$F$7:$F$102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F75-8D23-F1F044E817FC}"/>
            </c:ext>
          </c:extLst>
        </c:ser>
        <c:ser>
          <c:idx val="2"/>
          <c:order val="3"/>
          <c:tx>
            <c:strRef>
              <c:f>'Calculation Values'!$G$6</c:f>
              <c:strCache>
                <c:ptCount val="1"/>
                <c:pt idx="0">
                  <c:v>Behind-the-Meter Storage</c:v>
                </c:pt>
              </c:strCache>
            </c:strRef>
          </c:tx>
          <c:spPr>
            <a:solidFill>
              <a:srgbClr val="EE9B00"/>
            </a:solidFill>
            <a:ln>
              <a:noFill/>
            </a:ln>
            <a:effectLst/>
          </c:spPr>
          <c:cat>
            <c:strRef>
              <c:f>'Calculation Values'!$B$7:$B$294</c:f>
              <c:strCache>
                <c:ptCount val="96"/>
                <c:pt idx="0">
                  <c:v>0:00</c:v>
                </c:pt>
                <c:pt idx="1">
                  <c:v>0:15</c:v>
                </c:pt>
                <c:pt idx="2">
                  <c:v>0:30</c:v>
                </c:pt>
                <c:pt idx="3">
                  <c:v>0:45</c:v>
                </c:pt>
                <c:pt idx="4">
                  <c:v>1:00</c:v>
                </c:pt>
                <c:pt idx="5">
                  <c:v>1:15</c:v>
                </c:pt>
                <c:pt idx="6">
                  <c:v>1:30</c:v>
                </c:pt>
                <c:pt idx="7">
                  <c:v>1:45</c:v>
                </c:pt>
                <c:pt idx="8">
                  <c:v>2:00</c:v>
                </c:pt>
                <c:pt idx="9">
                  <c:v>2:15</c:v>
                </c:pt>
                <c:pt idx="10">
                  <c:v>2:30</c:v>
                </c:pt>
                <c:pt idx="11">
                  <c:v>2:45</c:v>
                </c:pt>
                <c:pt idx="12">
                  <c:v>3:00</c:v>
                </c:pt>
                <c:pt idx="13">
                  <c:v>3:15</c:v>
                </c:pt>
                <c:pt idx="14">
                  <c:v>3:30</c:v>
                </c:pt>
                <c:pt idx="15">
                  <c:v>3:45</c:v>
                </c:pt>
                <c:pt idx="16">
                  <c:v>4:00</c:v>
                </c:pt>
                <c:pt idx="17">
                  <c:v>4:15</c:v>
                </c:pt>
                <c:pt idx="18">
                  <c:v>4:30</c:v>
                </c:pt>
                <c:pt idx="19">
                  <c:v>4:45</c:v>
                </c:pt>
                <c:pt idx="20">
                  <c:v>5:00</c:v>
                </c:pt>
                <c:pt idx="21">
                  <c:v>5:15</c:v>
                </c:pt>
                <c:pt idx="22">
                  <c:v>5:30</c:v>
                </c:pt>
                <c:pt idx="23">
                  <c:v>5:45</c:v>
                </c:pt>
                <c:pt idx="24">
                  <c:v>6:00</c:v>
                </c:pt>
                <c:pt idx="25">
                  <c:v>6:15</c:v>
                </c:pt>
                <c:pt idx="26">
                  <c:v>6:30</c:v>
                </c:pt>
                <c:pt idx="27">
                  <c:v>6:45</c:v>
                </c:pt>
                <c:pt idx="28">
                  <c:v>7:00</c:v>
                </c:pt>
                <c:pt idx="29">
                  <c:v>7:15</c:v>
                </c:pt>
                <c:pt idx="30">
                  <c:v>7:30</c:v>
                </c:pt>
                <c:pt idx="31">
                  <c:v>7:45</c:v>
                </c:pt>
                <c:pt idx="32">
                  <c:v>8:00</c:v>
                </c:pt>
                <c:pt idx="33">
                  <c:v>8:15</c:v>
                </c:pt>
                <c:pt idx="34">
                  <c:v>8:30</c:v>
                </c:pt>
                <c:pt idx="35">
                  <c:v>8:45</c:v>
                </c:pt>
                <c:pt idx="36">
                  <c:v>9:00</c:v>
                </c:pt>
                <c:pt idx="37">
                  <c:v>9:15</c:v>
                </c:pt>
                <c:pt idx="38">
                  <c:v>9:30</c:v>
                </c:pt>
                <c:pt idx="39">
                  <c:v>9:45</c:v>
                </c:pt>
                <c:pt idx="40">
                  <c:v>10:00</c:v>
                </c:pt>
                <c:pt idx="41">
                  <c:v>10:15</c:v>
                </c:pt>
                <c:pt idx="42">
                  <c:v>10:30</c:v>
                </c:pt>
                <c:pt idx="43">
                  <c:v>10:45</c:v>
                </c:pt>
                <c:pt idx="44">
                  <c:v>11:00</c:v>
                </c:pt>
                <c:pt idx="45">
                  <c:v>11:15</c:v>
                </c:pt>
                <c:pt idx="46">
                  <c:v>11:30</c:v>
                </c:pt>
                <c:pt idx="47">
                  <c:v>11:45</c:v>
                </c:pt>
                <c:pt idx="48">
                  <c:v>12:00</c:v>
                </c:pt>
                <c:pt idx="49">
                  <c:v>12:15</c:v>
                </c:pt>
                <c:pt idx="50">
                  <c:v>12:30</c:v>
                </c:pt>
                <c:pt idx="51">
                  <c:v>12:45</c:v>
                </c:pt>
                <c:pt idx="52">
                  <c:v>13:00</c:v>
                </c:pt>
                <c:pt idx="53">
                  <c:v>13:15</c:v>
                </c:pt>
                <c:pt idx="54">
                  <c:v>13:30</c:v>
                </c:pt>
                <c:pt idx="55">
                  <c:v>13:45</c:v>
                </c:pt>
                <c:pt idx="56">
                  <c:v>14:00</c:v>
                </c:pt>
                <c:pt idx="57">
                  <c:v>14:15</c:v>
                </c:pt>
                <c:pt idx="58">
                  <c:v>14:30</c:v>
                </c:pt>
                <c:pt idx="59">
                  <c:v>14:45</c:v>
                </c:pt>
                <c:pt idx="60">
                  <c:v>15:00</c:v>
                </c:pt>
                <c:pt idx="61">
                  <c:v>15:15</c:v>
                </c:pt>
                <c:pt idx="62">
                  <c:v>15:30</c:v>
                </c:pt>
                <c:pt idx="63">
                  <c:v>15:45</c:v>
                </c:pt>
                <c:pt idx="64">
                  <c:v>16:00</c:v>
                </c:pt>
                <c:pt idx="65">
                  <c:v>16:15</c:v>
                </c:pt>
                <c:pt idx="66">
                  <c:v>16:30</c:v>
                </c:pt>
                <c:pt idx="67">
                  <c:v>16:45</c:v>
                </c:pt>
                <c:pt idx="68">
                  <c:v>17:00</c:v>
                </c:pt>
                <c:pt idx="69">
                  <c:v>17:15</c:v>
                </c:pt>
                <c:pt idx="70">
                  <c:v>17:30</c:v>
                </c:pt>
                <c:pt idx="71">
                  <c:v>17:45</c:v>
                </c:pt>
                <c:pt idx="72">
                  <c:v>18:00</c:v>
                </c:pt>
                <c:pt idx="73">
                  <c:v>18:15</c:v>
                </c:pt>
                <c:pt idx="74">
                  <c:v>18:30</c:v>
                </c:pt>
                <c:pt idx="75">
                  <c:v>18:45</c:v>
                </c:pt>
                <c:pt idx="76">
                  <c:v>19:00</c:v>
                </c:pt>
                <c:pt idx="77">
                  <c:v>19:15</c:v>
                </c:pt>
                <c:pt idx="78">
                  <c:v>19:30</c:v>
                </c:pt>
                <c:pt idx="79">
                  <c:v>19:45</c:v>
                </c:pt>
                <c:pt idx="80">
                  <c:v>20:00</c:v>
                </c:pt>
                <c:pt idx="81">
                  <c:v>20:15</c:v>
                </c:pt>
                <c:pt idx="82">
                  <c:v>20:30</c:v>
                </c:pt>
                <c:pt idx="83">
                  <c:v>20:45</c:v>
                </c:pt>
                <c:pt idx="84">
                  <c:v>21:00</c:v>
                </c:pt>
                <c:pt idx="85">
                  <c:v>21:15</c:v>
                </c:pt>
                <c:pt idx="86">
                  <c:v>21:30</c:v>
                </c:pt>
                <c:pt idx="87">
                  <c:v>21:45</c:v>
                </c:pt>
                <c:pt idx="88">
                  <c:v>22:00</c:v>
                </c:pt>
                <c:pt idx="89">
                  <c:v>22:15</c:v>
                </c:pt>
                <c:pt idx="90">
                  <c:v>22:30</c:v>
                </c:pt>
                <c:pt idx="91">
                  <c:v>22:45</c:v>
                </c:pt>
                <c:pt idx="92">
                  <c:v>23:00</c:v>
                </c:pt>
                <c:pt idx="93">
                  <c:v>23:15</c:v>
                </c:pt>
                <c:pt idx="94">
                  <c:v>23:30</c:v>
                </c:pt>
                <c:pt idx="95">
                  <c:v>23:45</c:v>
                </c:pt>
              </c:strCache>
            </c:strRef>
          </c:cat>
          <c:val>
            <c:numRef>
              <c:f>'Calculation Values'!$G$7:$G$102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4544.4838399999999</c:v>
                </c:pt>
                <c:pt idx="33">
                  <c:v>4544.4838399999999</c:v>
                </c:pt>
                <c:pt idx="34">
                  <c:v>550.64822356164404</c:v>
                </c:pt>
                <c:pt idx="35">
                  <c:v>550.64822356164404</c:v>
                </c:pt>
                <c:pt idx="36">
                  <c:v>1528.7360000000008</c:v>
                </c:pt>
                <c:pt idx="37">
                  <c:v>1528.7360000000008</c:v>
                </c:pt>
                <c:pt idx="38">
                  <c:v>884.90038356164507</c:v>
                </c:pt>
                <c:pt idx="39">
                  <c:v>-3465.099616438355</c:v>
                </c:pt>
                <c:pt idx="40">
                  <c:v>-746.00639999999999</c:v>
                </c:pt>
                <c:pt idx="41">
                  <c:v>-5000</c:v>
                </c:pt>
                <c:pt idx="42">
                  <c:v>-5000</c:v>
                </c:pt>
                <c:pt idx="43">
                  <c:v>-809.23250060376654</c:v>
                </c:pt>
                <c:pt idx="44">
                  <c:v>0</c:v>
                </c:pt>
                <c:pt idx="45">
                  <c:v>392.29920000000067</c:v>
                </c:pt>
                <c:pt idx="46">
                  <c:v>648.46358356164592</c:v>
                </c:pt>
                <c:pt idx="47">
                  <c:v>648.46358356164592</c:v>
                </c:pt>
                <c:pt idx="48">
                  <c:v>-555.89279999999974</c:v>
                </c:pt>
                <c:pt idx="49">
                  <c:v>-1239.4375933715507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24.999999999999982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5000</c:v>
                </c:pt>
                <c:pt idx="89">
                  <c:v>125</c:v>
                </c:pt>
                <c:pt idx="90">
                  <c:v>381.16438356164383</c:v>
                </c:pt>
                <c:pt idx="91">
                  <c:v>381.16438356164383</c:v>
                </c:pt>
                <c:pt idx="92">
                  <c:v>5000</c:v>
                </c:pt>
                <c:pt idx="93">
                  <c:v>125</c:v>
                </c:pt>
                <c:pt idx="94">
                  <c:v>381.16438356164383</c:v>
                </c:pt>
                <c:pt idx="95">
                  <c:v>381.16438356164383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2-4F75-8D23-F1F044E817FC}"/>
            </c:ext>
          </c:extLst>
        </c:ser>
        <c:ser>
          <c:idx val="3"/>
          <c:order val="4"/>
          <c:tx>
            <c:strRef>
              <c:f>'Calculation Values'!$H$6</c:f>
              <c:strCache>
                <c:ptCount val="1"/>
                <c:pt idx="0">
                  <c:v>Portable Generator</c:v>
                </c:pt>
              </c:strCache>
            </c:strRef>
          </c:tx>
          <c:spPr>
            <a:solidFill>
              <a:srgbClr val="94D2BD"/>
            </a:solidFill>
            <a:ln>
              <a:noFill/>
            </a:ln>
            <a:effectLst/>
          </c:spPr>
          <c:cat>
            <c:strRef>
              <c:f>'Calculation Values'!$B$7:$B$294</c:f>
              <c:strCache>
                <c:ptCount val="96"/>
                <c:pt idx="0">
                  <c:v>0:00</c:v>
                </c:pt>
                <c:pt idx="1">
                  <c:v>0:15</c:v>
                </c:pt>
                <c:pt idx="2">
                  <c:v>0:30</c:v>
                </c:pt>
                <c:pt idx="3">
                  <c:v>0:45</c:v>
                </c:pt>
                <c:pt idx="4">
                  <c:v>1:00</c:v>
                </c:pt>
                <c:pt idx="5">
                  <c:v>1:15</c:v>
                </c:pt>
                <c:pt idx="6">
                  <c:v>1:30</c:v>
                </c:pt>
                <c:pt idx="7">
                  <c:v>1:45</c:v>
                </c:pt>
                <c:pt idx="8">
                  <c:v>2:00</c:v>
                </c:pt>
                <c:pt idx="9">
                  <c:v>2:15</c:v>
                </c:pt>
                <c:pt idx="10">
                  <c:v>2:30</c:v>
                </c:pt>
                <c:pt idx="11">
                  <c:v>2:45</c:v>
                </c:pt>
                <c:pt idx="12">
                  <c:v>3:00</c:v>
                </c:pt>
                <c:pt idx="13">
                  <c:v>3:15</c:v>
                </c:pt>
                <c:pt idx="14">
                  <c:v>3:30</c:v>
                </c:pt>
                <c:pt idx="15">
                  <c:v>3:45</c:v>
                </c:pt>
                <c:pt idx="16">
                  <c:v>4:00</c:v>
                </c:pt>
                <c:pt idx="17">
                  <c:v>4:15</c:v>
                </c:pt>
                <c:pt idx="18">
                  <c:v>4:30</c:v>
                </c:pt>
                <c:pt idx="19">
                  <c:v>4:45</c:v>
                </c:pt>
                <c:pt idx="20">
                  <c:v>5:00</c:v>
                </c:pt>
                <c:pt idx="21">
                  <c:v>5:15</c:v>
                </c:pt>
                <c:pt idx="22">
                  <c:v>5:30</c:v>
                </c:pt>
                <c:pt idx="23">
                  <c:v>5:45</c:v>
                </c:pt>
                <c:pt idx="24">
                  <c:v>6:00</c:v>
                </c:pt>
                <c:pt idx="25">
                  <c:v>6:15</c:v>
                </c:pt>
                <c:pt idx="26">
                  <c:v>6:30</c:v>
                </c:pt>
                <c:pt idx="27">
                  <c:v>6:45</c:v>
                </c:pt>
                <c:pt idx="28">
                  <c:v>7:00</c:v>
                </c:pt>
                <c:pt idx="29">
                  <c:v>7:15</c:v>
                </c:pt>
                <c:pt idx="30">
                  <c:v>7:30</c:v>
                </c:pt>
                <c:pt idx="31">
                  <c:v>7:45</c:v>
                </c:pt>
                <c:pt idx="32">
                  <c:v>8:00</c:v>
                </c:pt>
                <c:pt idx="33">
                  <c:v>8:15</c:v>
                </c:pt>
                <c:pt idx="34">
                  <c:v>8:30</c:v>
                </c:pt>
                <c:pt idx="35">
                  <c:v>8:45</c:v>
                </c:pt>
                <c:pt idx="36">
                  <c:v>9:00</c:v>
                </c:pt>
                <c:pt idx="37">
                  <c:v>9:15</c:v>
                </c:pt>
                <c:pt idx="38">
                  <c:v>9:30</c:v>
                </c:pt>
                <c:pt idx="39">
                  <c:v>9:45</c:v>
                </c:pt>
                <c:pt idx="40">
                  <c:v>10:00</c:v>
                </c:pt>
                <c:pt idx="41">
                  <c:v>10:15</c:v>
                </c:pt>
                <c:pt idx="42">
                  <c:v>10:30</c:v>
                </c:pt>
                <c:pt idx="43">
                  <c:v>10:45</c:v>
                </c:pt>
                <c:pt idx="44">
                  <c:v>11:00</c:v>
                </c:pt>
                <c:pt idx="45">
                  <c:v>11:15</c:v>
                </c:pt>
                <c:pt idx="46">
                  <c:v>11:30</c:v>
                </c:pt>
                <c:pt idx="47">
                  <c:v>11:45</c:v>
                </c:pt>
                <c:pt idx="48">
                  <c:v>12:00</c:v>
                </c:pt>
                <c:pt idx="49">
                  <c:v>12:15</c:v>
                </c:pt>
                <c:pt idx="50">
                  <c:v>12:30</c:v>
                </c:pt>
                <c:pt idx="51">
                  <c:v>12:45</c:v>
                </c:pt>
                <c:pt idx="52">
                  <c:v>13:00</c:v>
                </c:pt>
                <c:pt idx="53">
                  <c:v>13:15</c:v>
                </c:pt>
                <c:pt idx="54">
                  <c:v>13:30</c:v>
                </c:pt>
                <c:pt idx="55">
                  <c:v>13:45</c:v>
                </c:pt>
                <c:pt idx="56">
                  <c:v>14:00</c:v>
                </c:pt>
                <c:pt idx="57">
                  <c:v>14:15</c:v>
                </c:pt>
                <c:pt idx="58">
                  <c:v>14:30</c:v>
                </c:pt>
                <c:pt idx="59">
                  <c:v>14:45</c:v>
                </c:pt>
                <c:pt idx="60">
                  <c:v>15:00</c:v>
                </c:pt>
                <c:pt idx="61">
                  <c:v>15:15</c:v>
                </c:pt>
                <c:pt idx="62">
                  <c:v>15:30</c:v>
                </c:pt>
                <c:pt idx="63">
                  <c:v>15:45</c:v>
                </c:pt>
                <c:pt idx="64">
                  <c:v>16:00</c:v>
                </c:pt>
                <c:pt idx="65">
                  <c:v>16:15</c:v>
                </c:pt>
                <c:pt idx="66">
                  <c:v>16:30</c:v>
                </c:pt>
                <c:pt idx="67">
                  <c:v>16:45</c:v>
                </c:pt>
                <c:pt idx="68">
                  <c:v>17:00</c:v>
                </c:pt>
                <c:pt idx="69">
                  <c:v>17:15</c:v>
                </c:pt>
                <c:pt idx="70">
                  <c:v>17:30</c:v>
                </c:pt>
                <c:pt idx="71">
                  <c:v>17:45</c:v>
                </c:pt>
                <c:pt idx="72">
                  <c:v>18:00</c:v>
                </c:pt>
                <c:pt idx="73">
                  <c:v>18:15</c:v>
                </c:pt>
                <c:pt idx="74">
                  <c:v>18:30</c:v>
                </c:pt>
                <c:pt idx="75">
                  <c:v>18:45</c:v>
                </c:pt>
                <c:pt idx="76">
                  <c:v>19:00</c:v>
                </c:pt>
                <c:pt idx="77">
                  <c:v>19:15</c:v>
                </c:pt>
                <c:pt idx="78">
                  <c:v>19:30</c:v>
                </c:pt>
                <c:pt idx="79">
                  <c:v>19:45</c:v>
                </c:pt>
                <c:pt idx="80">
                  <c:v>20:00</c:v>
                </c:pt>
                <c:pt idx="81">
                  <c:v>20:15</c:v>
                </c:pt>
                <c:pt idx="82">
                  <c:v>20:30</c:v>
                </c:pt>
                <c:pt idx="83">
                  <c:v>20:45</c:v>
                </c:pt>
                <c:pt idx="84">
                  <c:v>21:00</c:v>
                </c:pt>
                <c:pt idx="85">
                  <c:v>21:15</c:v>
                </c:pt>
                <c:pt idx="86">
                  <c:v>21:30</c:v>
                </c:pt>
                <c:pt idx="87">
                  <c:v>21:45</c:v>
                </c:pt>
                <c:pt idx="88">
                  <c:v>22:00</c:v>
                </c:pt>
                <c:pt idx="89">
                  <c:v>22:15</c:v>
                </c:pt>
                <c:pt idx="90">
                  <c:v>22:30</c:v>
                </c:pt>
                <c:pt idx="91">
                  <c:v>22:45</c:v>
                </c:pt>
                <c:pt idx="92">
                  <c:v>23:00</c:v>
                </c:pt>
                <c:pt idx="93">
                  <c:v>23:15</c:v>
                </c:pt>
                <c:pt idx="94">
                  <c:v>23:30</c:v>
                </c:pt>
                <c:pt idx="95">
                  <c:v>23:45</c:v>
                </c:pt>
              </c:strCache>
            </c:strRef>
          </c:cat>
          <c:val>
            <c:numRef>
              <c:f>'Calculation Values'!$H$7:$H$102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62-4F75-8D23-F1F044E817FC}"/>
            </c:ext>
          </c:extLst>
        </c:ser>
        <c:ser>
          <c:idx val="5"/>
          <c:order val="5"/>
          <c:tx>
            <c:strRef>
              <c:f>'Calculation Values'!$I$6</c:f>
              <c:strCache>
                <c:ptCount val="1"/>
                <c:pt idx="0">
                  <c:v>Standby Generator</c:v>
                </c:pt>
              </c:strCache>
            </c:strRef>
          </c:tx>
          <c:spPr>
            <a:solidFill>
              <a:srgbClr val="CA6702"/>
            </a:solidFill>
            <a:ln w="25400">
              <a:noFill/>
            </a:ln>
            <a:effectLst/>
          </c:spPr>
          <c:cat>
            <c:strRef>
              <c:f>'Calculation Values'!$B$7:$B$294</c:f>
              <c:strCache>
                <c:ptCount val="96"/>
                <c:pt idx="0">
                  <c:v>0:00</c:v>
                </c:pt>
                <c:pt idx="1">
                  <c:v>0:15</c:v>
                </c:pt>
                <c:pt idx="2">
                  <c:v>0:30</c:v>
                </c:pt>
                <c:pt idx="3">
                  <c:v>0:45</c:v>
                </c:pt>
                <c:pt idx="4">
                  <c:v>1:00</c:v>
                </c:pt>
                <c:pt idx="5">
                  <c:v>1:15</c:v>
                </c:pt>
                <c:pt idx="6">
                  <c:v>1:30</c:v>
                </c:pt>
                <c:pt idx="7">
                  <c:v>1:45</c:v>
                </c:pt>
                <c:pt idx="8">
                  <c:v>2:00</c:v>
                </c:pt>
                <c:pt idx="9">
                  <c:v>2:15</c:v>
                </c:pt>
                <c:pt idx="10">
                  <c:v>2:30</c:v>
                </c:pt>
                <c:pt idx="11">
                  <c:v>2:45</c:v>
                </c:pt>
                <c:pt idx="12">
                  <c:v>3:00</c:v>
                </c:pt>
                <c:pt idx="13">
                  <c:v>3:15</c:v>
                </c:pt>
                <c:pt idx="14">
                  <c:v>3:30</c:v>
                </c:pt>
                <c:pt idx="15">
                  <c:v>3:45</c:v>
                </c:pt>
                <c:pt idx="16">
                  <c:v>4:00</c:v>
                </c:pt>
                <c:pt idx="17">
                  <c:v>4:15</c:v>
                </c:pt>
                <c:pt idx="18">
                  <c:v>4:30</c:v>
                </c:pt>
                <c:pt idx="19">
                  <c:v>4:45</c:v>
                </c:pt>
                <c:pt idx="20">
                  <c:v>5:00</c:v>
                </c:pt>
                <c:pt idx="21">
                  <c:v>5:15</c:v>
                </c:pt>
                <c:pt idx="22">
                  <c:v>5:30</c:v>
                </c:pt>
                <c:pt idx="23">
                  <c:v>5:45</c:v>
                </c:pt>
                <c:pt idx="24">
                  <c:v>6:00</c:v>
                </c:pt>
                <c:pt idx="25">
                  <c:v>6:15</c:v>
                </c:pt>
                <c:pt idx="26">
                  <c:v>6:30</c:v>
                </c:pt>
                <c:pt idx="27">
                  <c:v>6:45</c:v>
                </c:pt>
                <c:pt idx="28">
                  <c:v>7:00</c:v>
                </c:pt>
                <c:pt idx="29">
                  <c:v>7:15</c:v>
                </c:pt>
                <c:pt idx="30">
                  <c:v>7:30</c:v>
                </c:pt>
                <c:pt idx="31">
                  <c:v>7:45</c:v>
                </c:pt>
                <c:pt idx="32">
                  <c:v>8:00</c:v>
                </c:pt>
                <c:pt idx="33">
                  <c:v>8:15</c:v>
                </c:pt>
                <c:pt idx="34">
                  <c:v>8:30</c:v>
                </c:pt>
                <c:pt idx="35">
                  <c:v>8:45</c:v>
                </c:pt>
                <c:pt idx="36">
                  <c:v>9:00</c:v>
                </c:pt>
                <c:pt idx="37">
                  <c:v>9:15</c:v>
                </c:pt>
                <c:pt idx="38">
                  <c:v>9:30</c:v>
                </c:pt>
                <c:pt idx="39">
                  <c:v>9:45</c:v>
                </c:pt>
                <c:pt idx="40">
                  <c:v>10:00</c:v>
                </c:pt>
                <c:pt idx="41">
                  <c:v>10:15</c:v>
                </c:pt>
                <c:pt idx="42">
                  <c:v>10:30</c:v>
                </c:pt>
                <c:pt idx="43">
                  <c:v>10:45</c:v>
                </c:pt>
                <c:pt idx="44">
                  <c:v>11:00</c:v>
                </c:pt>
                <c:pt idx="45">
                  <c:v>11:15</c:v>
                </c:pt>
                <c:pt idx="46">
                  <c:v>11:30</c:v>
                </c:pt>
                <c:pt idx="47">
                  <c:v>11:45</c:v>
                </c:pt>
                <c:pt idx="48">
                  <c:v>12:00</c:v>
                </c:pt>
                <c:pt idx="49">
                  <c:v>12:15</c:v>
                </c:pt>
                <c:pt idx="50">
                  <c:v>12:30</c:v>
                </c:pt>
                <c:pt idx="51">
                  <c:v>12:45</c:v>
                </c:pt>
                <c:pt idx="52">
                  <c:v>13:00</c:v>
                </c:pt>
                <c:pt idx="53">
                  <c:v>13:15</c:v>
                </c:pt>
                <c:pt idx="54">
                  <c:v>13:30</c:v>
                </c:pt>
                <c:pt idx="55">
                  <c:v>13:45</c:v>
                </c:pt>
                <c:pt idx="56">
                  <c:v>14:00</c:v>
                </c:pt>
                <c:pt idx="57">
                  <c:v>14:15</c:v>
                </c:pt>
                <c:pt idx="58">
                  <c:v>14:30</c:v>
                </c:pt>
                <c:pt idx="59">
                  <c:v>14:45</c:v>
                </c:pt>
                <c:pt idx="60">
                  <c:v>15:00</c:v>
                </c:pt>
                <c:pt idx="61">
                  <c:v>15:15</c:v>
                </c:pt>
                <c:pt idx="62">
                  <c:v>15:30</c:v>
                </c:pt>
                <c:pt idx="63">
                  <c:v>15:45</c:v>
                </c:pt>
                <c:pt idx="64">
                  <c:v>16:00</c:v>
                </c:pt>
                <c:pt idx="65">
                  <c:v>16:15</c:v>
                </c:pt>
                <c:pt idx="66">
                  <c:v>16:30</c:v>
                </c:pt>
                <c:pt idx="67">
                  <c:v>16:45</c:v>
                </c:pt>
                <c:pt idx="68">
                  <c:v>17:00</c:v>
                </c:pt>
                <c:pt idx="69">
                  <c:v>17:15</c:v>
                </c:pt>
                <c:pt idx="70">
                  <c:v>17:30</c:v>
                </c:pt>
                <c:pt idx="71">
                  <c:v>17:45</c:v>
                </c:pt>
                <c:pt idx="72">
                  <c:v>18:00</c:v>
                </c:pt>
                <c:pt idx="73">
                  <c:v>18:15</c:v>
                </c:pt>
                <c:pt idx="74">
                  <c:v>18:30</c:v>
                </c:pt>
                <c:pt idx="75">
                  <c:v>18:45</c:v>
                </c:pt>
                <c:pt idx="76">
                  <c:v>19:00</c:v>
                </c:pt>
                <c:pt idx="77">
                  <c:v>19:15</c:v>
                </c:pt>
                <c:pt idx="78">
                  <c:v>19:30</c:v>
                </c:pt>
                <c:pt idx="79">
                  <c:v>19:45</c:v>
                </c:pt>
                <c:pt idx="80">
                  <c:v>20:00</c:v>
                </c:pt>
                <c:pt idx="81">
                  <c:v>20:15</c:v>
                </c:pt>
                <c:pt idx="82">
                  <c:v>20:30</c:v>
                </c:pt>
                <c:pt idx="83">
                  <c:v>20:45</c:v>
                </c:pt>
                <c:pt idx="84">
                  <c:v>21:00</c:v>
                </c:pt>
                <c:pt idx="85">
                  <c:v>21:15</c:v>
                </c:pt>
                <c:pt idx="86">
                  <c:v>21:30</c:v>
                </c:pt>
                <c:pt idx="87">
                  <c:v>21:45</c:v>
                </c:pt>
                <c:pt idx="88">
                  <c:v>22:00</c:v>
                </c:pt>
                <c:pt idx="89">
                  <c:v>22:15</c:v>
                </c:pt>
                <c:pt idx="90">
                  <c:v>22:30</c:v>
                </c:pt>
                <c:pt idx="91">
                  <c:v>22:45</c:v>
                </c:pt>
                <c:pt idx="92">
                  <c:v>23:00</c:v>
                </c:pt>
                <c:pt idx="93">
                  <c:v>23:15</c:v>
                </c:pt>
                <c:pt idx="94">
                  <c:v>23:30</c:v>
                </c:pt>
                <c:pt idx="95">
                  <c:v>23:45</c:v>
                </c:pt>
              </c:strCache>
            </c:strRef>
          </c:cat>
          <c:val>
            <c:numRef>
              <c:f>'Calculation Values'!$I$7:$I$102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F-4A45-8854-20B20A2E415C}"/>
            </c:ext>
          </c:extLst>
        </c:ser>
        <c:ser>
          <c:idx val="4"/>
          <c:order val="6"/>
          <c:tx>
            <c:strRef>
              <c:f>'Calculation Values'!$J$6</c:f>
              <c:strCache>
                <c:ptCount val="1"/>
                <c:pt idx="0">
                  <c:v>Photovoltaic Generation</c:v>
                </c:pt>
              </c:strCache>
            </c:strRef>
          </c:tx>
          <c:spPr>
            <a:solidFill>
              <a:srgbClr val="E9D8A6"/>
            </a:solidFill>
            <a:ln>
              <a:noFill/>
            </a:ln>
            <a:effectLst/>
          </c:spPr>
          <c:cat>
            <c:strRef>
              <c:f>'Calculation Values'!$B$7:$B$294</c:f>
              <c:strCache>
                <c:ptCount val="96"/>
                <c:pt idx="0">
                  <c:v>0:00</c:v>
                </c:pt>
                <c:pt idx="1">
                  <c:v>0:15</c:v>
                </c:pt>
                <c:pt idx="2">
                  <c:v>0:30</c:v>
                </c:pt>
                <c:pt idx="3">
                  <c:v>0:45</c:v>
                </c:pt>
                <c:pt idx="4">
                  <c:v>1:00</c:v>
                </c:pt>
                <c:pt idx="5">
                  <c:v>1:15</c:v>
                </c:pt>
                <c:pt idx="6">
                  <c:v>1:30</c:v>
                </c:pt>
                <c:pt idx="7">
                  <c:v>1:45</c:v>
                </c:pt>
                <c:pt idx="8">
                  <c:v>2:00</c:v>
                </c:pt>
                <c:pt idx="9">
                  <c:v>2:15</c:v>
                </c:pt>
                <c:pt idx="10">
                  <c:v>2:30</c:v>
                </c:pt>
                <c:pt idx="11">
                  <c:v>2:45</c:v>
                </c:pt>
                <c:pt idx="12">
                  <c:v>3:00</c:v>
                </c:pt>
                <c:pt idx="13">
                  <c:v>3:15</c:v>
                </c:pt>
                <c:pt idx="14">
                  <c:v>3:30</c:v>
                </c:pt>
                <c:pt idx="15">
                  <c:v>3:45</c:v>
                </c:pt>
                <c:pt idx="16">
                  <c:v>4:00</c:v>
                </c:pt>
                <c:pt idx="17">
                  <c:v>4:15</c:v>
                </c:pt>
                <c:pt idx="18">
                  <c:v>4:30</c:v>
                </c:pt>
                <c:pt idx="19">
                  <c:v>4:45</c:v>
                </c:pt>
                <c:pt idx="20">
                  <c:v>5:00</c:v>
                </c:pt>
                <c:pt idx="21">
                  <c:v>5:15</c:v>
                </c:pt>
                <c:pt idx="22">
                  <c:v>5:30</c:v>
                </c:pt>
                <c:pt idx="23">
                  <c:v>5:45</c:v>
                </c:pt>
                <c:pt idx="24">
                  <c:v>6:00</c:v>
                </c:pt>
                <c:pt idx="25">
                  <c:v>6:15</c:v>
                </c:pt>
                <c:pt idx="26">
                  <c:v>6:30</c:v>
                </c:pt>
                <c:pt idx="27">
                  <c:v>6:45</c:v>
                </c:pt>
                <c:pt idx="28">
                  <c:v>7:00</c:v>
                </c:pt>
                <c:pt idx="29">
                  <c:v>7:15</c:v>
                </c:pt>
                <c:pt idx="30">
                  <c:v>7:30</c:v>
                </c:pt>
                <c:pt idx="31">
                  <c:v>7:45</c:v>
                </c:pt>
                <c:pt idx="32">
                  <c:v>8:00</c:v>
                </c:pt>
                <c:pt idx="33">
                  <c:v>8:15</c:v>
                </c:pt>
                <c:pt idx="34">
                  <c:v>8:30</c:v>
                </c:pt>
                <c:pt idx="35">
                  <c:v>8:45</c:v>
                </c:pt>
                <c:pt idx="36">
                  <c:v>9:00</c:v>
                </c:pt>
                <c:pt idx="37">
                  <c:v>9:15</c:v>
                </c:pt>
                <c:pt idx="38">
                  <c:v>9:30</c:v>
                </c:pt>
                <c:pt idx="39">
                  <c:v>9:45</c:v>
                </c:pt>
                <c:pt idx="40">
                  <c:v>10:00</c:v>
                </c:pt>
                <c:pt idx="41">
                  <c:v>10:15</c:v>
                </c:pt>
                <c:pt idx="42">
                  <c:v>10:30</c:v>
                </c:pt>
                <c:pt idx="43">
                  <c:v>10:45</c:v>
                </c:pt>
                <c:pt idx="44">
                  <c:v>11:00</c:v>
                </c:pt>
                <c:pt idx="45">
                  <c:v>11:15</c:v>
                </c:pt>
                <c:pt idx="46">
                  <c:v>11:30</c:v>
                </c:pt>
                <c:pt idx="47">
                  <c:v>11:45</c:v>
                </c:pt>
                <c:pt idx="48">
                  <c:v>12:00</c:v>
                </c:pt>
                <c:pt idx="49">
                  <c:v>12:15</c:v>
                </c:pt>
                <c:pt idx="50">
                  <c:v>12:30</c:v>
                </c:pt>
                <c:pt idx="51">
                  <c:v>12:45</c:v>
                </c:pt>
                <c:pt idx="52">
                  <c:v>13:00</c:v>
                </c:pt>
                <c:pt idx="53">
                  <c:v>13:15</c:v>
                </c:pt>
                <c:pt idx="54">
                  <c:v>13:30</c:v>
                </c:pt>
                <c:pt idx="55">
                  <c:v>13:45</c:v>
                </c:pt>
                <c:pt idx="56">
                  <c:v>14:00</c:v>
                </c:pt>
                <c:pt idx="57">
                  <c:v>14:15</c:v>
                </c:pt>
                <c:pt idx="58">
                  <c:v>14:30</c:v>
                </c:pt>
                <c:pt idx="59">
                  <c:v>14:45</c:v>
                </c:pt>
                <c:pt idx="60">
                  <c:v>15:00</c:v>
                </c:pt>
                <c:pt idx="61">
                  <c:v>15:15</c:v>
                </c:pt>
                <c:pt idx="62">
                  <c:v>15:30</c:v>
                </c:pt>
                <c:pt idx="63">
                  <c:v>15:45</c:v>
                </c:pt>
                <c:pt idx="64">
                  <c:v>16:00</c:v>
                </c:pt>
                <c:pt idx="65">
                  <c:v>16:15</c:v>
                </c:pt>
                <c:pt idx="66">
                  <c:v>16:30</c:v>
                </c:pt>
                <c:pt idx="67">
                  <c:v>16:45</c:v>
                </c:pt>
                <c:pt idx="68">
                  <c:v>17:00</c:v>
                </c:pt>
                <c:pt idx="69">
                  <c:v>17:15</c:v>
                </c:pt>
                <c:pt idx="70">
                  <c:v>17:30</c:v>
                </c:pt>
                <c:pt idx="71">
                  <c:v>17:45</c:v>
                </c:pt>
                <c:pt idx="72">
                  <c:v>18:00</c:v>
                </c:pt>
                <c:pt idx="73">
                  <c:v>18:15</c:v>
                </c:pt>
                <c:pt idx="74">
                  <c:v>18:30</c:v>
                </c:pt>
                <c:pt idx="75">
                  <c:v>18:45</c:v>
                </c:pt>
                <c:pt idx="76">
                  <c:v>19:00</c:v>
                </c:pt>
                <c:pt idx="77">
                  <c:v>19:15</c:v>
                </c:pt>
                <c:pt idx="78">
                  <c:v>19:30</c:v>
                </c:pt>
                <c:pt idx="79">
                  <c:v>19:45</c:v>
                </c:pt>
                <c:pt idx="80">
                  <c:v>20:00</c:v>
                </c:pt>
                <c:pt idx="81">
                  <c:v>20:15</c:v>
                </c:pt>
                <c:pt idx="82">
                  <c:v>20:30</c:v>
                </c:pt>
                <c:pt idx="83">
                  <c:v>20:45</c:v>
                </c:pt>
                <c:pt idx="84">
                  <c:v>21:00</c:v>
                </c:pt>
                <c:pt idx="85">
                  <c:v>21:15</c:v>
                </c:pt>
                <c:pt idx="86">
                  <c:v>21:30</c:v>
                </c:pt>
                <c:pt idx="87">
                  <c:v>21:45</c:v>
                </c:pt>
                <c:pt idx="88">
                  <c:v>22:00</c:v>
                </c:pt>
                <c:pt idx="89">
                  <c:v>22:15</c:v>
                </c:pt>
                <c:pt idx="90">
                  <c:v>22:30</c:v>
                </c:pt>
                <c:pt idx="91">
                  <c:v>22:45</c:v>
                </c:pt>
                <c:pt idx="92">
                  <c:v>23:00</c:v>
                </c:pt>
                <c:pt idx="93">
                  <c:v>23:15</c:v>
                </c:pt>
                <c:pt idx="94">
                  <c:v>23:30</c:v>
                </c:pt>
                <c:pt idx="95">
                  <c:v>23:45</c:v>
                </c:pt>
              </c:strCache>
            </c:strRef>
          </c:cat>
          <c:val>
            <c:numRef>
              <c:f>'Calculation Values'!$J$7:$J$102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860.51615999999979</c:v>
                </c:pt>
                <c:pt idx="33">
                  <c:v>860.51615999999979</c:v>
                </c:pt>
                <c:pt idx="34">
                  <c:v>860.51615999999979</c:v>
                </c:pt>
                <c:pt idx="35">
                  <c:v>860.51615999999979</c:v>
                </c:pt>
                <c:pt idx="36">
                  <c:v>3876.2639999999992</c:v>
                </c:pt>
                <c:pt idx="37">
                  <c:v>3876.2639999999992</c:v>
                </c:pt>
                <c:pt idx="38">
                  <c:v>3876.2639999999992</c:v>
                </c:pt>
                <c:pt idx="39">
                  <c:v>3876.2639999999992</c:v>
                </c:pt>
                <c:pt idx="40">
                  <c:v>6151.0063999999993</c:v>
                </c:pt>
                <c:pt idx="41">
                  <c:v>6151.0063999999993</c:v>
                </c:pt>
                <c:pt idx="42">
                  <c:v>6151.0063999999993</c:v>
                </c:pt>
                <c:pt idx="43">
                  <c:v>6151.0063999999993</c:v>
                </c:pt>
                <c:pt idx="44">
                  <c:v>7502.7007999999987</c:v>
                </c:pt>
                <c:pt idx="45">
                  <c:v>7502.7007999999987</c:v>
                </c:pt>
                <c:pt idx="46">
                  <c:v>7502.7007999999987</c:v>
                </c:pt>
                <c:pt idx="47">
                  <c:v>7502.7007999999987</c:v>
                </c:pt>
                <c:pt idx="48">
                  <c:v>8450.8927999999996</c:v>
                </c:pt>
                <c:pt idx="49">
                  <c:v>8450.8927999999996</c:v>
                </c:pt>
                <c:pt idx="50">
                  <c:v>8450.8927999999996</c:v>
                </c:pt>
                <c:pt idx="51">
                  <c:v>8450.8927999999996</c:v>
                </c:pt>
                <c:pt idx="52">
                  <c:v>8442.7392</c:v>
                </c:pt>
                <c:pt idx="53">
                  <c:v>8442.7392</c:v>
                </c:pt>
                <c:pt idx="54">
                  <c:v>8442.7392</c:v>
                </c:pt>
                <c:pt idx="55">
                  <c:v>8442.7392</c:v>
                </c:pt>
                <c:pt idx="56">
                  <c:v>7749.3135999999995</c:v>
                </c:pt>
                <c:pt idx="57">
                  <c:v>7749.3135999999995</c:v>
                </c:pt>
                <c:pt idx="58">
                  <c:v>7749.3135999999995</c:v>
                </c:pt>
                <c:pt idx="59">
                  <c:v>7749.3135999999995</c:v>
                </c:pt>
                <c:pt idx="60">
                  <c:v>6277.1071999999995</c:v>
                </c:pt>
                <c:pt idx="61">
                  <c:v>6277.1071999999995</c:v>
                </c:pt>
                <c:pt idx="62">
                  <c:v>6277.1071999999995</c:v>
                </c:pt>
                <c:pt idx="63">
                  <c:v>6277.1071999999995</c:v>
                </c:pt>
                <c:pt idx="64">
                  <c:v>3955.6831999999995</c:v>
                </c:pt>
                <c:pt idx="65">
                  <c:v>3955.6831999999995</c:v>
                </c:pt>
                <c:pt idx="66">
                  <c:v>3955.6831999999995</c:v>
                </c:pt>
                <c:pt idx="67">
                  <c:v>3955.6831999999995</c:v>
                </c:pt>
                <c:pt idx="68">
                  <c:v>552.39408000000003</c:v>
                </c:pt>
                <c:pt idx="69">
                  <c:v>552.39408000000003</c:v>
                </c:pt>
                <c:pt idx="70">
                  <c:v>552.39408000000003</c:v>
                </c:pt>
                <c:pt idx="71">
                  <c:v>552.39408000000003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62-4F75-8D23-F1F044E81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area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tickLblSkip val="8"/>
        <c:tickMarkSkip val="2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Power Output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</a:t>
            </a:r>
            <a:r>
              <a:rPr lang="en-US" baseline="0"/>
              <a:t>-of-charge </a:t>
            </a:r>
            <a:r>
              <a:rPr lang="en-US"/>
              <a:t>of</a:t>
            </a:r>
            <a:r>
              <a:rPr lang="en-US" baseline="0"/>
              <a:t> battery backup 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'Optimization Results'!$L$6</c:f>
              <c:strCache>
                <c:ptCount val="1"/>
                <c:pt idx="0">
                  <c:v>Battery Electric Vehicle</c:v>
                </c:pt>
              </c:strCache>
            </c:strRef>
          </c:tx>
          <c:spPr>
            <a:ln w="19050" cap="rnd">
              <a:solidFill>
                <a:srgbClr val="9B2226"/>
              </a:solidFill>
              <a:round/>
            </a:ln>
            <a:effectLst/>
          </c:spPr>
          <c:marker>
            <c:symbol val="none"/>
          </c:marke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'Optimization Results'!$L$7:$L$102</c:f>
              <c:numCache>
                <c:formatCode>General</c:formatCode>
                <c:ptCount val="96"/>
                <c:pt idx="0">
                  <c:v>0.9812326388888889</c:v>
                </c:pt>
                <c:pt idx="1">
                  <c:v>0.96246527777777779</c:v>
                </c:pt>
                <c:pt idx="2">
                  <c:v>0.96155845700152209</c:v>
                </c:pt>
                <c:pt idx="3">
                  <c:v>0.96065163622526639</c:v>
                </c:pt>
                <c:pt idx="4">
                  <c:v>0.94188427511415529</c:v>
                </c:pt>
                <c:pt idx="5">
                  <c:v>0.92311691400304419</c:v>
                </c:pt>
                <c:pt idx="6">
                  <c:v>0.90346009322678844</c:v>
                </c:pt>
                <c:pt idx="7">
                  <c:v>0.90255327245053274</c:v>
                </c:pt>
                <c:pt idx="8">
                  <c:v>0.88378591133942164</c:v>
                </c:pt>
                <c:pt idx="9">
                  <c:v>0.86501855022831053</c:v>
                </c:pt>
                <c:pt idx="10">
                  <c:v>0.84536172945205479</c:v>
                </c:pt>
                <c:pt idx="11">
                  <c:v>0.84445490867579909</c:v>
                </c:pt>
                <c:pt idx="12">
                  <c:v>0.82568754756468798</c:v>
                </c:pt>
                <c:pt idx="13">
                  <c:v>0.80692018645357688</c:v>
                </c:pt>
                <c:pt idx="14">
                  <c:v>0.78726336567732114</c:v>
                </c:pt>
                <c:pt idx="15">
                  <c:v>0.78635654490106544</c:v>
                </c:pt>
                <c:pt idx="16">
                  <c:v>0.76758918378995433</c:v>
                </c:pt>
                <c:pt idx="17">
                  <c:v>0.74882182267884323</c:v>
                </c:pt>
                <c:pt idx="18">
                  <c:v>0.72916500190258748</c:v>
                </c:pt>
                <c:pt idx="19">
                  <c:v>0.72825818112633178</c:v>
                </c:pt>
                <c:pt idx="20">
                  <c:v>0.70949082001522068</c:v>
                </c:pt>
                <c:pt idx="21">
                  <c:v>0.69072345890410958</c:v>
                </c:pt>
                <c:pt idx="22">
                  <c:v>0.67106663812785383</c:v>
                </c:pt>
                <c:pt idx="23">
                  <c:v>0.67015981735159813</c:v>
                </c:pt>
                <c:pt idx="24">
                  <c:v>0.65139245624048703</c:v>
                </c:pt>
                <c:pt idx="25">
                  <c:v>0.63262509512937593</c:v>
                </c:pt>
                <c:pt idx="26">
                  <c:v>0.61296827435312018</c:v>
                </c:pt>
                <c:pt idx="27">
                  <c:v>0.61206145357686448</c:v>
                </c:pt>
                <c:pt idx="28">
                  <c:v>0.59329409246575338</c:v>
                </c:pt>
                <c:pt idx="29">
                  <c:v>0.57452673135464227</c:v>
                </c:pt>
                <c:pt idx="30">
                  <c:v>0.55486991057838653</c:v>
                </c:pt>
                <c:pt idx="31">
                  <c:v>0.55396308980213083</c:v>
                </c:pt>
                <c:pt idx="32">
                  <c:v>0.55396308980213083</c:v>
                </c:pt>
                <c:pt idx="33">
                  <c:v>0.55396308980213083</c:v>
                </c:pt>
                <c:pt idx="34">
                  <c:v>0.55396308980213083</c:v>
                </c:pt>
                <c:pt idx="35">
                  <c:v>0.55396308980213083</c:v>
                </c:pt>
                <c:pt idx="36">
                  <c:v>0.55396308980213083</c:v>
                </c:pt>
                <c:pt idx="37">
                  <c:v>0.55396308980213083</c:v>
                </c:pt>
                <c:pt idx="38">
                  <c:v>0.55396308980213083</c:v>
                </c:pt>
                <c:pt idx="39">
                  <c:v>0.55396308980213083</c:v>
                </c:pt>
                <c:pt idx="40">
                  <c:v>0.55396308980213083</c:v>
                </c:pt>
                <c:pt idx="41">
                  <c:v>0.5571503102821308</c:v>
                </c:pt>
                <c:pt idx="42">
                  <c:v>0.55951780473473356</c:v>
                </c:pt>
                <c:pt idx="43">
                  <c:v>0.57529575518540421</c:v>
                </c:pt>
                <c:pt idx="44">
                  <c:v>0.58844039774540424</c:v>
                </c:pt>
                <c:pt idx="45">
                  <c:v>0.58844039774540424</c:v>
                </c:pt>
                <c:pt idx="46">
                  <c:v>0.58844039774540424</c:v>
                </c:pt>
                <c:pt idx="47">
                  <c:v>0.58844039774540424</c:v>
                </c:pt>
                <c:pt idx="48">
                  <c:v>0.58844039774540424</c:v>
                </c:pt>
                <c:pt idx="49">
                  <c:v>0.60065305440661532</c:v>
                </c:pt>
                <c:pt idx="50">
                  <c:v>0.61601218533921809</c:v>
                </c:pt>
                <c:pt idx="51">
                  <c:v>0.63137131627182086</c:v>
                </c:pt>
                <c:pt idx="52">
                  <c:v>0.64752408171182085</c:v>
                </c:pt>
                <c:pt idx="53">
                  <c:v>0.66367684715182085</c:v>
                </c:pt>
                <c:pt idx="54">
                  <c:v>0.67900988656442363</c:v>
                </c:pt>
                <c:pt idx="55">
                  <c:v>0.6943429259770264</c:v>
                </c:pt>
                <c:pt idx="56">
                  <c:v>0.70807578940813742</c:v>
                </c:pt>
                <c:pt idx="57">
                  <c:v>0.72180865283924855</c:v>
                </c:pt>
                <c:pt idx="58">
                  <c:v>0.73472179024296236</c:v>
                </c:pt>
                <c:pt idx="59">
                  <c:v>0.74763492764667616</c:v>
                </c:pt>
                <c:pt idx="60">
                  <c:v>0.75698921293112065</c:v>
                </c:pt>
                <c:pt idx="61">
                  <c:v>0.76634349821556513</c:v>
                </c:pt>
                <c:pt idx="62">
                  <c:v>0.77487805747261229</c:v>
                </c:pt>
                <c:pt idx="63">
                  <c:v>0.78341261672965945</c:v>
                </c:pt>
                <c:pt idx="64">
                  <c:v>0.78563145861410388</c:v>
                </c:pt>
                <c:pt idx="65">
                  <c:v>0.78785030049854832</c:v>
                </c:pt>
                <c:pt idx="66">
                  <c:v>0.7887694163555955</c:v>
                </c:pt>
                <c:pt idx="67">
                  <c:v>0.78968853221264268</c:v>
                </c:pt>
                <c:pt idx="68">
                  <c:v>0.77940170610153159</c:v>
                </c:pt>
                <c:pt idx="69">
                  <c:v>0.7691148799904205</c:v>
                </c:pt>
                <c:pt idx="70">
                  <c:v>0.75793859421416476</c:v>
                </c:pt>
                <c:pt idx="71">
                  <c:v>0.74676230843790903</c:v>
                </c:pt>
                <c:pt idx="72">
                  <c:v>0.73455744732679795</c:v>
                </c:pt>
                <c:pt idx="73">
                  <c:v>0.72235258621568688</c:v>
                </c:pt>
                <c:pt idx="74">
                  <c:v>0.70925826543943116</c:v>
                </c:pt>
                <c:pt idx="75">
                  <c:v>0.69616394466317544</c:v>
                </c:pt>
                <c:pt idx="76">
                  <c:v>0.68395908355206436</c:v>
                </c:pt>
                <c:pt idx="77">
                  <c:v>0.67175422244095306</c:v>
                </c:pt>
                <c:pt idx="78">
                  <c:v>0.65865990166469734</c:v>
                </c:pt>
                <c:pt idx="79">
                  <c:v>0.64556558088844163</c:v>
                </c:pt>
                <c:pt idx="80">
                  <c:v>0.61084335866621942</c:v>
                </c:pt>
                <c:pt idx="81">
                  <c:v>0.61040933088844151</c:v>
                </c:pt>
                <c:pt idx="82">
                  <c:v>0.60908584344551919</c:v>
                </c:pt>
                <c:pt idx="83">
                  <c:v>0.60776235600259687</c:v>
                </c:pt>
                <c:pt idx="84">
                  <c:v>0.58857832822481915</c:v>
                </c:pt>
                <c:pt idx="85">
                  <c:v>0.58814430044704136</c:v>
                </c:pt>
                <c:pt idx="86">
                  <c:v>0.58682081300411904</c:v>
                </c:pt>
                <c:pt idx="87">
                  <c:v>0.58549732556119671</c:v>
                </c:pt>
                <c:pt idx="88">
                  <c:v>0.58367440889453004</c:v>
                </c:pt>
                <c:pt idx="89">
                  <c:v>0.58367440889453004</c:v>
                </c:pt>
                <c:pt idx="90">
                  <c:v>0.58367440889453004</c:v>
                </c:pt>
                <c:pt idx="91">
                  <c:v>0.58367440889453004</c:v>
                </c:pt>
                <c:pt idx="92">
                  <c:v>0.58185149222786336</c:v>
                </c:pt>
                <c:pt idx="93">
                  <c:v>0.58185149222786336</c:v>
                </c:pt>
                <c:pt idx="94">
                  <c:v>0.58185149222786336</c:v>
                </c:pt>
                <c:pt idx="95">
                  <c:v>0.58185149222786336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6-4116-BB0B-3049A1D06C88}"/>
            </c:ext>
          </c:extLst>
        </c:ser>
        <c:ser>
          <c:idx val="1"/>
          <c:order val="1"/>
          <c:tx>
            <c:strRef>
              <c:f>'Optimization Results'!$M$6</c:f>
              <c:strCache>
                <c:ptCount val="1"/>
                <c:pt idx="0">
                  <c:v>Plug-In Hybrid Electric Vehicle</c:v>
                </c:pt>
              </c:strCache>
            </c:strRef>
          </c:tx>
          <c:spPr>
            <a:ln w="19050" cap="rnd">
              <a:solidFill>
                <a:srgbClr val="0A9396"/>
              </a:solidFill>
              <a:round/>
            </a:ln>
            <a:effectLst/>
          </c:spPr>
          <c:marker>
            <c:symbol val="none"/>
          </c:marke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'Optimization Results'!$M$7:$M$102</c:f>
              <c:numCache>
                <c:formatCode>General</c:formatCode>
                <c:ptCount val="9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6-4116-BB0B-3049A1D06C88}"/>
            </c:ext>
          </c:extLst>
        </c:ser>
        <c:ser>
          <c:idx val="2"/>
          <c:order val="2"/>
          <c:tx>
            <c:strRef>
              <c:f>'Optimization Results'!$N$6</c:f>
              <c:strCache>
                <c:ptCount val="1"/>
                <c:pt idx="0">
                  <c:v>Behind-the-Meter Storage</c:v>
                </c:pt>
              </c:strCache>
            </c:strRef>
          </c:tx>
          <c:spPr>
            <a:ln w="19050" cap="rnd">
              <a:solidFill>
                <a:srgbClr val="EE9B00"/>
              </a:solidFill>
              <a:round/>
            </a:ln>
            <a:effectLst/>
          </c:spPr>
          <c:marker>
            <c:symbol val="none"/>
          </c:marke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'Optimization Results'!$N$7:$N$102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0.91324009469263079</c:v>
                </c:pt>
                <c:pt idx="33">
                  <c:v>0.82648018938526158</c:v>
                </c:pt>
                <c:pt idx="34">
                  <c:v>0.81596762307060633</c:v>
                </c:pt>
                <c:pt idx="35">
                  <c:v>0.80545505675595108</c:v>
                </c:pt>
                <c:pt idx="36">
                  <c:v>0.77626956611066655</c:v>
                </c:pt>
                <c:pt idx="37">
                  <c:v>0.74708407546538202</c:v>
                </c:pt>
                <c:pt idx="38">
                  <c:v>0.73019021552720631</c:v>
                </c:pt>
                <c:pt idx="39">
                  <c:v>0.79243367160026568</c:v>
                </c:pt>
                <c:pt idx="40">
                  <c:v>0.80583415693359906</c:v>
                </c:pt>
                <c:pt idx="41">
                  <c:v>0.89564897174841385</c:v>
                </c:pt>
                <c:pt idx="42">
                  <c:v>0.98546378656322864</c:v>
                </c:pt>
                <c:pt idx="43">
                  <c:v>1</c:v>
                </c:pt>
                <c:pt idx="44">
                  <c:v>1</c:v>
                </c:pt>
                <c:pt idx="45">
                  <c:v>0.99251051546391755</c:v>
                </c:pt>
                <c:pt idx="46">
                  <c:v>0.98013053105075132</c:v>
                </c:pt>
                <c:pt idx="47">
                  <c:v>0.96775054663758509</c:v>
                </c:pt>
                <c:pt idx="48">
                  <c:v>0.97773602841536289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0.99952271859488351</c:v>
                </c:pt>
                <c:pt idx="81">
                  <c:v>0.99952271859488351</c:v>
                </c:pt>
                <c:pt idx="82">
                  <c:v>0.99952271859488351</c:v>
                </c:pt>
                <c:pt idx="83">
                  <c:v>0.99952271859488351</c:v>
                </c:pt>
                <c:pt idx="84">
                  <c:v>0.99952271859488351</c:v>
                </c:pt>
                <c:pt idx="85">
                  <c:v>0.99952271859488351</c:v>
                </c:pt>
                <c:pt idx="86">
                  <c:v>0.99952271859488351</c:v>
                </c:pt>
                <c:pt idx="87">
                  <c:v>0.99952271859488351</c:v>
                </c:pt>
                <c:pt idx="88">
                  <c:v>0.90406643757159211</c:v>
                </c:pt>
                <c:pt idx="89">
                  <c:v>0.90168003054600998</c:v>
                </c:pt>
                <c:pt idx="90">
                  <c:v>0.89440312364334396</c:v>
                </c:pt>
                <c:pt idx="91">
                  <c:v>0.88712621674067804</c:v>
                </c:pt>
                <c:pt idx="92">
                  <c:v>0.79166993571738664</c:v>
                </c:pt>
                <c:pt idx="93">
                  <c:v>0.7892835286918044</c:v>
                </c:pt>
                <c:pt idx="94">
                  <c:v>0.78200662178913838</c:v>
                </c:pt>
                <c:pt idx="95">
                  <c:v>0.77472971488647235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76-4116-BB0B-3049A1D0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614736"/>
        <c:axId val="729612240"/>
      </c:line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tickLblSkip val="8"/>
        <c:tickMarkSkip val="2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State-of-Charge</a:t>
                </a:r>
                <a:r>
                  <a:rPr lang="en-US" sz="1400" baseline="0"/>
                  <a:t> [%]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</a:t>
            </a:r>
            <a:r>
              <a:rPr lang="en-US" baseline="0"/>
              <a:t> profile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'Calculation Values'!$S$6</c:f>
              <c:strCache>
                <c:ptCount val="1"/>
                <c:pt idx="0">
                  <c:v>Space heater + heat pump (temperature dependent)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Values'!$S$7:$S$102</c:f>
              <c:numCache>
                <c:formatCode>General</c:formatCode>
                <c:ptCount val="96"/>
                <c:pt idx="0">
                  <c:v>5400</c:v>
                </c:pt>
                <c:pt idx="1">
                  <c:v>5400</c:v>
                </c:pt>
                <c:pt idx="2">
                  <c:v>0</c:v>
                </c:pt>
                <c:pt idx="3">
                  <c:v>0</c:v>
                </c:pt>
                <c:pt idx="4">
                  <c:v>5400</c:v>
                </c:pt>
                <c:pt idx="5">
                  <c:v>5400</c:v>
                </c:pt>
                <c:pt idx="6">
                  <c:v>5400</c:v>
                </c:pt>
                <c:pt idx="7">
                  <c:v>0</c:v>
                </c:pt>
                <c:pt idx="8">
                  <c:v>5400</c:v>
                </c:pt>
                <c:pt idx="9">
                  <c:v>5400</c:v>
                </c:pt>
                <c:pt idx="10">
                  <c:v>5400</c:v>
                </c:pt>
                <c:pt idx="11">
                  <c:v>0</c:v>
                </c:pt>
                <c:pt idx="12">
                  <c:v>5400</c:v>
                </c:pt>
                <c:pt idx="13">
                  <c:v>5400</c:v>
                </c:pt>
                <c:pt idx="14">
                  <c:v>5400</c:v>
                </c:pt>
                <c:pt idx="15">
                  <c:v>0</c:v>
                </c:pt>
                <c:pt idx="16">
                  <c:v>5400</c:v>
                </c:pt>
                <c:pt idx="17">
                  <c:v>5400</c:v>
                </c:pt>
                <c:pt idx="18">
                  <c:v>5400</c:v>
                </c:pt>
                <c:pt idx="19">
                  <c:v>0</c:v>
                </c:pt>
                <c:pt idx="20">
                  <c:v>5400</c:v>
                </c:pt>
                <c:pt idx="21">
                  <c:v>5400</c:v>
                </c:pt>
                <c:pt idx="22">
                  <c:v>5400</c:v>
                </c:pt>
                <c:pt idx="23">
                  <c:v>0</c:v>
                </c:pt>
                <c:pt idx="24">
                  <c:v>5400</c:v>
                </c:pt>
                <c:pt idx="25">
                  <c:v>5400</c:v>
                </c:pt>
                <c:pt idx="26">
                  <c:v>5400</c:v>
                </c:pt>
                <c:pt idx="27">
                  <c:v>0</c:v>
                </c:pt>
                <c:pt idx="28">
                  <c:v>5400</c:v>
                </c:pt>
                <c:pt idx="29">
                  <c:v>5400</c:v>
                </c:pt>
                <c:pt idx="30">
                  <c:v>5400</c:v>
                </c:pt>
                <c:pt idx="31">
                  <c:v>0</c:v>
                </c:pt>
                <c:pt idx="32">
                  <c:v>5400</c:v>
                </c:pt>
                <c:pt idx="33">
                  <c:v>5400</c:v>
                </c:pt>
                <c:pt idx="34">
                  <c:v>0</c:v>
                </c:pt>
                <c:pt idx="35">
                  <c:v>0</c:v>
                </c:pt>
                <c:pt idx="36">
                  <c:v>5400</c:v>
                </c:pt>
                <c:pt idx="37">
                  <c:v>5400</c:v>
                </c:pt>
                <c:pt idx="38">
                  <c:v>0</c:v>
                </c:pt>
                <c:pt idx="39">
                  <c:v>0</c:v>
                </c:pt>
                <c:pt idx="40">
                  <c:v>5400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3390</c:v>
                </c:pt>
                <c:pt idx="45">
                  <c:v>3390</c:v>
                </c:pt>
                <c:pt idx="46">
                  <c:v>3390</c:v>
                </c:pt>
                <c:pt idx="47">
                  <c:v>3390</c:v>
                </c:pt>
                <c:pt idx="48">
                  <c:v>3390</c:v>
                </c:pt>
                <c:pt idx="49">
                  <c:v>3390</c:v>
                </c:pt>
                <c:pt idx="50">
                  <c:v>3390</c:v>
                </c:pt>
                <c:pt idx="51">
                  <c:v>3390</c:v>
                </c:pt>
                <c:pt idx="52">
                  <c:v>3390</c:v>
                </c:pt>
                <c:pt idx="53">
                  <c:v>3390</c:v>
                </c:pt>
                <c:pt idx="54">
                  <c:v>3390</c:v>
                </c:pt>
                <c:pt idx="55">
                  <c:v>3390</c:v>
                </c:pt>
                <c:pt idx="56">
                  <c:v>3302.7937777777779</c:v>
                </c:pt>
                <c:pt idx="57">
                  <c:v>3302.7937777777779</c:v>
                </c:pt>
                <c:pt idx="58">
                  <c:v>3302.7937777777779</c:v>
                </c:pt>
                <c:pt idx="59">
                  <c:v>3302.7937777777779</c:v>
                </c:pt>
                <c:pt idx="60">
                  <c:v>3198.8930486111117</c:v>
                </c:pt>
                <c:pt idx="61">
                  <c:v>3198.8930486111117</c:v>
                </c:pt>
                <c:pt idx="62">
                  <c:v>3198.8930486111117</c:v>
                </c:pt>
                <c:pt idx="63">
                  <c:v>3198.8930486111117</c:v>
                </c:pt>
                <c:pt idx="64">
                  <c:v>3257.2951111111115</c:v>
                </c:pt>
                <c:pt idx="65">
                  <c:v>3257.2951111111115</c:v>
                </c:pt>
                <c:pt idx="66">
                  <c:v>3257.2951111111115</c:v>
                </c:pt>
                <c:pt idx="67">
                  <c:v>3257.2951111111115</c:v>
                </c:pt>
                <c:pt idx="68">
                  <c:v>3390</c:v>
                </c:pt>
                <c:pt idx="69">
                  <c:v>3390</c:v>
                </c:pt>
                <c:pt idx="70">
                  <c:v>3390</c:v>
                </c:pt>
                <c:pt idx="71">
                  <c:v>3390</c:v>
                </c:pt>
                <c:pt idx="72">
                  <c:v>3390</c:v>
                </c:pt>
                <c:pt idx="73">
                  <c:v>3390</c:v>
                </c:pt>
                <c:pt idx="74">
                  <c:v>3390</c:v>
                </c:pt>
                <c:pt idx="75">
                  <c:v>3390</c:v>
                </c:pt>
                <c:pt idx="76">
                  <c:v>3390</c:v>
                </c:pt>
                <c:pt idx="77">
                  <c:v>3390</c:v>
                </c:pt>
                <c:pt idx="78">
                  <c:v>3390</c:v>
                </c:pt>
                <c:pt idx="79">
                  <c:v>3390</c:v>
                </c:pt>
                <c:pt idx="80">
                  <c:v>5400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5400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5400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5400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3-44B4-905A-B1A21551140A}"/>
            </c:ext>
          </c:extLst>
        </c:ser>
        <c:ser>
          <c:idx val="1"/>
          <c:order val="1"/>
          <c:tx>
            <c:strRef>
              <c:f>'Calculation Values'!$T$6</c:f>
              <c:strCache>
                <c:ptCount val="1"/>
                <c:pt idx="0">
                  <c:v>Cell phone battery charger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Values'!$T$7:$T$102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150</c:v>
                </c:pt>
                <c:pt idx="35">
                  <c:v>150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150</c:v>
                </c:pt>
                <c:pt idx="40">
                  <c:v>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0</c:v>
                </c:pt>
                <c:pt idx="65">
                  <c:v>0</c:v>
                </c:pt>
                <c:pt idx="66">
                  <c:v>150</c:v>
                </c:pt>
                <c:pt idx="67">
                  <c:v>150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F3-44B4-905A-B1A21551140A}"/>
            </c:ext>
          </c:extLst>
        </c:ser>
        <c:ser>
          <c:idx val="2"/>
          <c:order val="2"/>
          <c:tx>
            <c:strRef>
              <c:f>'Calculation Values'!$U$6</c:f>
              <c:strCache>
                <c:ptCount val="1"/>
                <c:pt idx="0">
                  <c:v>Microwave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Values'!$U$7:$U$102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1000</c:v>
                </c:pt>
                <c:pt idx="35">
                  <c:v>1000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F3-44B4-905A-B1A21551140A}"/>
            </c:ext>
          </c:extLst>
        </c:ser>
        <c:ser>
          <c:idx val="3"/>
          <c:order val="3"/>
          <c:tx>
            <c:strRef>
              <c:f>'Calculation Values'!$V$6</c:f>
              <c:strCache>
                <c:ptCount val="1"/>
                <c:pt idx="0">
                  <c:v>Home internet router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Values'!$V$7:$V$102</c:f>
              <c:numCache>
                <c:formatCode>General</c:formatCode>
                <c:ptCount val="9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F3-44B4-905A-B1A21551140A}"/>
            </c:ext>
          </c:extLst>
        </c:ser>
        <c:ser>
          <c:idx val="4"/>
          <c:order val="4"/>
          <c:tx>
            <c:strRef>
              <c:f>'Calculation Values'!$W$6</c:f>
              <c:strCache>
                <c:ptCount val="1"/>
                <c:pt idx="0">
                  <c:v>Refrigerator - 30.6 cu. ft.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Values'!$W$7:$W$102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256.16438356164383</c:v>
                </c:pt>
                <c:pt idx="3">
                  <c:v>256.16438356164383</c:v>
                </c:pt>
                <c:pt idx="4">
                  <c:v>0</c:v>
                </c:pt>
                <c:pt idx="5">
                  <c:v>0</c:v>
                </c:pt>
                <c:pt idx="6">
                  <c:v>256.16438356164383</c:v>
                </c:pt>
                <c:pt idx="7">
                  <c:v>256.16438356164383</c:v>
                </c:pt>
                <c:pt idx="8">
                  <c:v>0</c:v>
                </c:pt>
                <c:pt idx="9">
                  <c:v>0</c:v>
                </c:pt>
                <c:pt idx="10">
                  <c:v>256.16438356164383</c:v>
                </c:pt>
                <c:pt idx="11">
                  <c:v>256.16438356164383</c:v>
                </c:pt>
                <c:pt idx="12">
                  <c:v>0</c:v>
                </c:pt>
                <c:pt idx="13">
                  <c:v>0</c:v>
                </c:pt>
                <c:pt idx="14">
                  <c:v>256.16438356164383</c:v>
                </c:pt>
                <c:pt idx="15">
                  <c:v>256.16438356164383</c:v>
                </c:pt>
                <c:pt idx="16">
                  <c:v>0</c:v>
                </c:pt>
                <c:pt idx="17">
                  <c:v>0</c:v>
                </c:pt>
                <c:pt idx="18">
                  <c:v>256.16438356164383</c:v>
                </c:pt>
                <c:pt idx="19">
                  <c:v>256.16438356164383</c:v>
                </c:pt>
                <c:pt idx="20">
                  <c:v>0</c:v>
                </c:pt>
                <c:pt idx="21">
                  <c:v>0</c:v>
                </c:pt>
                <c:pt idx="22">
                  <c:v>256.16438356164383</c:v>
                </c:pt>
                <c:pt idx="23">
                  <c:v>256.16438356164383</c:v>
                </c:pt>
                <c:pt idx="24">
                  <c:v>0</c:v>
                </c:pt>
                <c:pt idx="25">
                  <c:v>0</c:v>
                </c:pt>
                <c:pt idx="26">
                  <c:v>256.16438356164383</c:v>
                </c:pt>
                <c:pt idx="27">
                  <c:v>256.16438356164383</c:v>
                </c:pt>
                <c:pt idx="28">
                  <c:v>0</c:v>
                </c:pt>
                <c:pt idx="29">
                  <c:v>0</c:v>
                </c:pt>
                <c:pt idx="30">
                  <c:v>256.16438356164383</c:v>
                </c:pt>
                <c:pt idx="31">
                  <c:v>256.16438356164383</c:v>
                </c:pt>
                <c:pt idx="32">
                  <c:v>0</c:v>
                </c:pt>
                <c:pt idx="33">
                  <c:v>0</c:v>
                </c:pt>
                <c:pt idx="34">
                  <c:v>256.16438356164383</c:v>
                </c:pt>
                <c:pt idx="35">
                  <c:v>256.16438356164383</c:v>
                </c:pt>
                <c:pt idx="36">
                  <c:v>0</c:v>
                </c:pt>
                <c:pt idx="37">
                  <c:v>0</c:v>
                </c:pt>
                <c:pt idx="38">
                  <c:v>256.16438356164383</c:v>
                </c:pt>
                <c:pt idx="39">
                  <c:v>256.16438356164383</c:v>
                </c:pt>
                <c:pt idx="40">
                  <c:v>0</c:v>
                </c:pt>
                <c:pt idx="41">
                  <c:v>0</c:v>
                </c:pt>
                <c:pt idx="42">
                  <c:v>256.16438356164383</c:v>
                </c:pt>
                <c:pt idx="43">
                  <c:v>256.16438356164383</c:v>
                </c:pt>
                <c:pt idx="44">
                  <c:v>0</c:v>
                </c:pt>
                <c:pt idx="45">
                  <c:v>0</c:v>
                </c:pt>
                <c:pt idx="46">
                  <c:v>256.16438356164383</c:v>
                </c:pt>
                <c:pt idx="47">
                  <c:v>256.16438356164383</c:v>
                </c:pt>
                <c:pt idx="48">
                  <c:v>0</c:v>
                </c:pt>
                <c:pt idx="49">
                  <c:v>0</c:v>
                </c:pt>
                <c:pt idx="50">
                  <c:v>256.16438356164383</c:v>
                </c:pt>
                <c:pt idx="51">
                  <c:v>256.16438356164383</c:v>
                </c:pt>
                <c:pt idx="52">
                  <c:v>0</c:v>
                </c:pt>
                <c:pt idx="53">
                  <c:v>0</c:v>
                </c:pt>
                <c:pt idx="54">
                  <c:v>256.16438356164383</c:v>
                </c:pt>
                <c:pt idx="55">
                  <c:v>256.16438356164383</c:v>
                </c:pt>
                <c:pt idx="56">
                  <c:v>0</c:v>
                </c:pt>
                <c:pt idx="57">
                  <c:v>0</c:v>
                </c:pt>
                <c:pt idx="58">
                  <c:v>256.16438356164383</c:v>
                </c:pt>
                <c:pt idx="59">
                  <c:v>256.16438356164383</c:v>
                </c:pt>
                <c:pt idx="60">
                  <c:v>0</c:v>
                </c:pt>
                <c:pt idx="61">
                  <c:v>0</c:v>
                </c:pt>
                <c:pt idx="62">
                  <c:v>256.16438356164383</c:v>
                </c:pt>
                <c:pt idx="63">
                  <c:v>256.16438356164383</c:v>
                </c:pt>
                <c:pt idx="64">
                  <c:v>0</c:v>
                </c:pt>
                <c:pt idx="65">
                  <c:v>0</c:v>
                </c:pt>
                <c:pt idx="66">
                  <c:v>256.16438356164383</c:v>
                </c:pt>
                <c:pt idx="67">
                  <c:v>256.16438356164383</c:v>
                </c:pt>
                <c:pt idx="68">
                  <c:v>0</c:v>
                </c:pt>
                <c:pt idx="69">
                  <c:v>0</c:v>
                </c:pt>
                <c:pt idx="70">
                  <c:v>256.16438356164383</c:v>
                </c:pt>
                <c:pt idx="71">
                  <c:v>256.16438356164383</c:v>
                </c:pt>
                <c:pt idx="72">
                  <c:v>0</c:v>
                </c:pt>
                <c:pt idx="73">
                  <c:v>0</c:v>
                </c:pt>
                <c:pt idx="74">
                  <c:v>256.16438356164383</c:v>
                </c:pt>
                <c:pt idx="75">
                  <c:v>256.16438356164383</c:v>
                </c:pt>
                <c:pt idx="76">
                  <c:v>0</c:v>
                </c:pt>
                <c:pt idx="77">
                  <c:v>0</c:v>
                </c:pt>
                <c:pt idx="78">
                  <c:v>256.16438356164383</c:v>
                </c:pt>
                <c:pt idx="79">
                  <c:v>256.16438356164383</c:v>
                </c:pt>
                <c:pt idx="80">
                  <c:v>0</c:v>
                </c:pt>
                <c:pt idx="81">
                  <c:v>0</c:v>
                </c:pt>
                <c:pt idx="82">
                  <c:v>256.16438356164383</c:v>
                </c:pt>
                <c:pt idx="83">
                  <c:v>256.16438356164383</c:v>
                </c:pt>
                <c:pt idx="84">
                  <c:v>0</c:v>
                </c:pt>
                <c:pt idx="85">
                  <c:v>0</c:v>
                </c:pt>
                <c:pt idx="86">
                  <c:v>256.16438356164383</c:v>
                </c:pt>
                <c:pt idx="87">
                  <c:v>256.16438356164383</c:v>
                </c:pt>
                <c:pt idx="88">
                  <c:v>0</c:v>
                </c:pt>
                <c:pt idx="89">
                  <c:v>0</c:v>
                </c:pt>
                <c:pt idx="90">
                  <c:v>256.16438356164383</c:v>
                </c:pt>
                <c:pt idx="91">
                  <c:v>256.16438356164383</c:v>
                </c:pt>
                <c:pt idx="92">
                  <c:v>0</c:v>
                </c:pt>
                <c:pt idx="93">
                  <c:v>0</c:v>
                </c:pt>
                <c:pt idx="94">
                  <c:v>256.16438356164383</c:v>
                </c:pt>
                <c:pt idx="95">
                  <c:v>256.16438356164383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F3-44B4-905A-B1A21551140A}"/>
            </c:ext>
          </c:extLst>
        </c:ser>
        <c:ser>
          <c:idx val="5"/>
          <c:order val="5"/>
          <c:tx>
            <c:strRef>
              <c:f>'Calculation Values'!$X$6</c:f>
              <c:strCache>
                <c:ptCount val="1"/>
                <c:pt idx="0">
                  <c:v>Light bulb (CFL)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Values'!$X$7:$X$102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F3-44B4-905A-B1A21551140A}"/>
            </c:ext>
          </c:extLst>
        </c:ser>
        <c:ser>
          <c:idx val="6"/>
          <c:order val="6"/>
          <c:tx>
            <c:strRef>
              <c:f>'Calculation Values'!$Y$6</c:f>
              <c:strCache>
                <c:ptCount val="1"/>
                <c:pt idx="0">
                  <c:v>Water heater - electric tank 55 GAL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Values'!$Y$7:$Y$102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4500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4500</c:v>
                </c:pt>
                <c:pt idx="46">
                  <c:v>4500</c:v>
                </c:pt>
                <c:pt idx="47">
                  <c:v>4500</c:v>
                </c:pt>
                <c:pt idx="48">
                  <c:v>4500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4500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F3-44B4-905A-B1A21551140A}"/>
            </c:ext>
          </c:extLst>
        </c:ser>
        <c:ser>
          <c:idx val="7"/>
          <c:order val="7"/>
          <c:tx>
            <c:strRef>
              <c:f>'Calculation Values'!$Z$6</c:f>
              <c:strCache>
                <c:ptCount val="1"/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Values'!$Z$7:$Z$102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7-7CF3-44B4-905A-B1A21551140A}"/>
            </c:ext>
          </c:extLst>
        </c:ser>
        <c:ser>
          <c:idx val="8"/>
          <c:order val="8"/>
          <c:tx>
            <c:strRef>
              <c:f>'Calculation Values'!$AA$6</c:f>
              <c:strCache>
                <c:ptCount val="1"/>
              </c:strCache>
            </c:strRef>
          </c:tx>
          <c:spPr>
            <a:solidFill>
              <a:srgbClr val="00B050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Values'!$AA$7:$AA$102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8-7CF3-44B4-905A-B1A21551140A}"/>
            </c:ext>
          </c:extLst>
        </c:ser>
        <c:ser>
          <c:idx val="9"/>
          <c:order val="9"/>
          <c:tx>
            <c:strRef>
              <c:f>'Calculation Values'!$AB$6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Values'!$AB$7:$AB$102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9-7CF3-44B4-905A-B1A21551140A}"/>
            </c:ext>
          </c:extLst>
        </c:ser>
        <c:ser>
          <c:idx val="10"/>
          <c:order val="10"/>
          <c:tx>
            <c:strRef>
              <c:f>'Calculation Values'!$AC$6</c:f>
              <c:strCache>
                <c:ptCount val="1"/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Values'!$AC$7:$AC$102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A-7CF3-44B4-905A-B1A21551140A}"/>
            </c:ext>
          </c:extLst>
        </c:ser>
        <c:ser>
          <c:idx val="11"/>
          <c:order val="11"/>
          <c:tx>
            <c:strRef>
              <c:f>'Calculation Values'!$AD$6</c:f>
              <c:strCache>
                <c:ptCount val="1"/>
              </c:strCache>
            </c:strRef>
          </c:tx>
          <c:spPr>
            <a:solidFill>
              <a:srgbClr val="FF66FF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Values'!$AD$7:$AD$102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B-7CF3-44B4-905A-B1A21551140A}"/>
            </c:ext>
          </c:extLst>
        </c:ser>
        <c:ser>
          <c:idx val="12"/>
          <c:order val="12"/>
          <c:tx>
            <c:strRef>
              <c:f>'Calculation Values'!$AE$6</c:f>
              <c:strCache>
                <c:ptCount val="1"/>
              </c:strCache>
            </c:strRef>
          </c:tx>
          <c:spPr>
            <a:solidFill>
              <a:srgbClr val="9999FF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Values'!$AE$7:$AE$102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C-7CF3-44B4-905A-B1A21551140A}"/>
            </c:ext>
          </c:extLst>
        </c:ser>
        <c:ser>
          <c:idx val="13"/>
          <c:order val="13"/>
          <c:tx>
            <c:strRef>
              <c:f>'Calculation Values'!$AF$6</c:f>
              <c:strCache>
                <c:ptCount val="1"/>
              </c:strCache>
            </c:strRef>
          </c:tx>
          <c:spPr>
            <a:solidFill>
              <a:srgbClr val="CCCC00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Values'!$AF$7:$AF$102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D-7CF3-44B4-905A-B1A21551140A}"/>
            </c:ext>
          </c:extLst>
        </c:ser>
        <c:ser>
          <c:idx val="14"/>
          <c:order val="14"/>
          <c:tx>
            <c:strRef>
              <c:f>'Calculation Values'!$AG$6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Values'!$AG$7:$AG$102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E-7CF3-44B4-905A-B1A21551140A}"/>
            </c:ext>
          </c:extLst>
        </c:ser>
        <c:ser>
          <c:idx val="15"/>
          <c:order val="15"/>
          <c:tx>
            <c:strRef>
              <c:f>'Calculation Values'!$AH$6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Values'!$AH$7:$AH$102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F-7CF3-44B4-905A-B1A21551140A}"/>
            </c:ext>
          </c:extLst>
        </c:ser>
        <c:ser>
          <c:idx val="16"/>
          <c:order val="16"/>
          <c:tx>
            <c:strRef>
              <c:f>'Calculation Values'!$AI$6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Values'!$AI$7:$AI$102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0-7CF3-44B4-905A-B1A21551140A}"/>
            </c:ext>
          </c:extLst>
        </c:ser>
        <c:ser>
          <c:idx val="17"/>
          <c:order val="17"/>
          <c:tx>
            <c:strRef>
              <c:f>'Calculation Values'!$AJ$6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Values'!$AJ$7:$AJ$102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1-7CF3-44B4-905A-B1A21551140A}"/>
            </c:ext>
          </c:extLst>
        </c:ser>
        <c:ser>
          <c:idx val="18"/>
          <c:order val="18"/>
          <c:tx>
            <c:strRef>
              <c:f>'Calculation Values'!$AK$6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Values'!$AK$7:$AK$102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2-7CF3-44B4-905A-B1A21551140A}"/>
            </c:ext>
          </c:extLst>
        </c:ser>
        <c:ser>
          <c:idx val="19"/>
          <c:order val="19"/>
          <c:tx>
            <c:strRef>
              <c:f>'Calculation Values'!$AL$6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Values'!$AL$7:$AL$102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3-7CF3-44B4-905A-B1A21551140A}"/>
            </c:ext>
          </c:extLst>
        </c:ser>
        <c:ser>
          <c:idx val="20"/>
          <c:order val="20"/>
          <c:tx>
            <c:strRef>
              <c:f>'Calculation Values'!$AM$6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Values'!$AM$7:$AM$102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4-7CF3-44B4-905A-B1A21551140A}"/>
            </c:ext>
          </c:extLst>
        </c:ser>
        <c:ser>
          <c:idx val="21"/>
          <c:order val="21"/>
          <c:tx>
            <c:strRef>
              <c:f>'Calculation Values'!$AN$6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Values'!$AN$7:$AN$102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5-7CF3-44B4-905A-B1A21551140A}"/>
            </c:ext>
          </c:extLst>
        </c:ser>
        <c:ser>
          <c:idx val="22"/>
          <c:order val="22"/>
          <c:tx>
            <c:strRef>
              <c:f>'Calculation Values'!$AO$6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Values'!$AO$7:$AO$102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6-7CF3-44B4-905A-B1A21551140A}"/>
            </c:ext>
          </c:extLst>
        </c:ser>
        <c:ser>
          <c:idx val="23"/>
          <c:order val="23"/>
          <c:tx>
            <c:strRef>
              <c:f>'Calculation Values'!$AP$6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Values'!$AP$7:$AP$102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7-7CF3-44B4-905A-B1A21551140A}"/>
            </c:ext>
          </c:extLst>
        </c:ser>
        <c:ser>
          <c:idx val="24"/>
          <c:order val="24"/>
          <c:tx>
            <c:strRef>
              <c:f>'Calculation Values'!$AQ$6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Values'!$AQ$7:$AQ$102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8-7CF3-44B4-905A-B1A21551140A}"/>
            </c:ext>
          </c:extLst>
        </c:ser>
        <c:ser>
          <c:idx val="25"/>
          <c:order val="25"/>
          <c:tx>
            <c:strRef>
              <c:f>'Calculation Values'!$AR$6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Values'!$AR$7:$AR$102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9-7CF3-44B4-905A-B1A21551140A}"/>
            </c:ext>
          </c:extLst>
        </c:ser>
        <c:ser>
          <c:idx val="26"/>
          <c:order val="26"/>
          <c:tx>
            <c:strRef>
              <c:f>'Calculation Values'!$AS$6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Values'!$AS$7:$AS$102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A-7CF3-44B4-905A-B1A21551140A}"/>
            </c:ext>
          </c:extLst>
        </c:ser>
        <c:ser>
          <c:idx val="27"/>
          <c:order val="27"/>
          <c:tx>
            <c:strRef>
              <c:f>'Calculation Values'!$AT$6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Values'!$AT$7:$AT$102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B-7CF3-44B4-905A-B1A21551140A}"/>
            </c:ext>
          </c:extLst>
        </c:ser>
        <c:ser>
          <c:idx val="28"/>
          <c:order val="28"/>
          <c:tx>
            <c:strRef>
              <c:f>'Calculation Values'!$AU$6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Values'!$AU$7:$AU$102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C-7CF3-44B4-905A-B1A21551140A}"/>
            </c:ext>
          </c:extLst>
        </c:ser>
        <c:ser>
          <c:idx val="29"/>
          <c:order val="29"/>
          <c:tx>
            <c:strRef>
              <c:f>'Calculation Values'!$AV$6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Values'!$AV$7:$AV$102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D-7CF3-44B4-905A-B1A21551140A}"/>
            </c:ext>
          </c:extLst>
        </c:ser>
        <c:ser>
          <c:idx val="30"/>
          <c:order val="30"/>
          <c:tx>
            <c:strRef>
              <c:f>'Calculation Values'!$AW$6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Values'!$AW$7:$AW$102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E-7CF3-44B4-905A-B1A21551140A}"/>
            </c:ext>
          </c:extLst>
        </c:ser>
        <c:ser>
          <c:idx val="31"/>
          <c:order val="31"/>
          <c:tx>
            <c:strRef>
              <c:f>'Calculation Values'!$AX$6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Values'!$AX$7:$AX$102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1F-7CF3-44B4-905A-B1A21551140A}"/>
            </c:ext>
          </c:extLst>
        </c:ser>
        <c:ser>
          <c:idx val="32"/>
          <c:order val="32"/>
          <c:tx>
            <c:strRef>
              <c:f>'Calculation Values'!$AY$6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Values'!$AY$7:$AY$102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0-7CF3-44B4-905A-B1A21551140A}"/>
            </c:ext>
          </c:extLst>
        </c:ser>
        <c:ser>
          <c:idx val="33"/>
          <c:order val="33"/>
          <c:tx>
            <c:strRef>
              <c:f>'Calculation Values'!$AZ$6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Values'!$AZ$7:$AZ$102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1-7CF3-44B4-905A-B1A21551140A}"/>
            </c:ext>
          </c:extLst>
        </c:ser>
        <c:ser>
          <c:idx val="34"/>
          <c:order val="34"/>
          <c:tx>
            <c:strRef>
              <c:f>'Calculation Values'!$BA$6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Values'!$BA$7:$BA$102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2-7CF3-44B4-905A-B1A21551140A}"/>
            </c:ext>
          </c:extLst>
        </c:ser>
        <c:ser>
          <c:idx val="35"/>
          <c:order val="35"/>
          <c:tx>
            <c:strRef>
              <c:f>'Calculation Values'!$BB$6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Values'!$BB$7:$BB$102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3-7CF3-44B4-905A-B1A21551140A}"/>
            </c:ext>
          </c:extLst>
        </c:ser>
        <c:ser>
          <c:idx val="36"/>
          <c:order val="36"/>
          <c:tx>
            <c:strRef>
              <c:f>'Calculation Values'!$BC$6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Values'!$BC$7:$BC$102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4-7CF3-44B4-905A-B1A21551140A}"/>
            </c:ext>
          </c:extLst>
        </c:ser>
        <c:ser>
          <c:idx val="37"/>
          <c:order val="37"/>
          <c:tx>
            <c:strRef>
              <c:f>'Calculation Values'!$BD$6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Values'!$BD$7:$BD$102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5-7CF3-44B4-905A-B1A21551140A}"/>
            </c:ext>
          </c:extLst>
        </c:ser>
        <c:ser>
          <c:idx val="38"/>
          <c:order val="38"/>
          <c:tx>
            <c:strRef>
              <c:f>'Calculation Values'!$BE$6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Values'!$BE$7:$BE$102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6-7CF3-44B4-905A-B1A21551140A}"/>
            </c:ext>
          </c:extLst>
        </c:ser>
        <c:ser>
          <c:idx val="39"/>
          <c:order val="39"/>
          <c:tx>
            <c:strRef>
              <c:f>'Calculation Values'!$BF$6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Values'!$BF$7:$BF$102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7-7CF3-44B4-905A-B1A21551140A}"/>
            </c:ext>
          </c:extLst>
        </c:ser>
        <c:ser>
          <c:idx val="40"/>
          <c:order val="40"/>
          <c:tx>
            <c:strRef>
              <c:f>'Calculation Values'!$BG$6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Values'!$BG$7:$BG$102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8-7CF3-44B4-905A-B1A21551140A}"/>
            </c:ext>
          </c:extLst>
        </c:ser>
        <c:ser>
          <c:idx val="41"/>
          <c:order val="41"/>
          <c:tx>
            <c:strRef>
              <c:f>'Calculation Values'!$BH$6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Values'!$BH$7:$BH$102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9-7CF3-44B4-905A-B1A21551140A}"/>
            </c:ext>
          </c:extLst>
        </c:ser>
        <c:ser>
          <c:idx val="42"/>
          <c:order val="42"/>
          <c:tx>
            <c:strRef>
              <c:f>'Calculation Values'!$BI$6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Values'!$BI$7:$BI$102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A-7CF3-44B4-905A-B1A21551140A}"/>
            </c:ext>
          </c:extLst>
        </c:ser>
        <c:ser>
          <c:idx val="43"/>
          <c:order val="43"/>
          <c:tx>
            <c:strRef>
              <c:f>'Calculation Values'!$BJ$6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Values'!$BJ$7:$BJ$102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B-7CF3-44B4-905A-B1A21551140A}"/>
            </c:ext>
          </c:extLst>
        </c:ser>
        <c:ser>
          <c:idx val="44"/>
          <c:order val="44"/>
          <c:tx>
            <c:strRef>
              <c:f>'Calculation Values'!$BK$6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Values'!$BK$7:$BK$102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C-7CF3-44B4-905A-B1A21551140A}"/>
            </c:ext>
          </c:extLst>
        </c:ser>
        <c:ser>
          <c:idx val="45"/>
          <c:order val="45"/>
          <c:tx>
            <c:strRef>
              <c:f>'Calculation Values'!$BL$6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Values'!$BL$7:$BL$102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D-7CF3-44B4-905A-B1A21551140A}"/>
            </c:ext>
          </c:extLst>
        </c:ser>
        <c:ser>
          <c:idx val="46"/>
          <c:order val="46"/>
          <c:tx>
            <c:strRef>
              <c:f>'Calculation Values'!$BM$6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Values'!$BM$7:$BM$102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E-7CF3-44B4-905A-B1A21551140A}"/>
            </c:ext>
          </c:extLst>
        </c:ser>
        <c:ser>
          <c:idx val="47"/>
          <c:order val="47"/>
          <c:tx>
            <c:strRef>
              <c:f>'Calculation Values'!$BN$6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Values'!$BN$7:$BN$102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2F-7CF3-44B4-905A-B1A21551140A}"/>
            </c:ext>
          </c:extLst>
        </c:ser>
        <c:ser>
          <c:idx val="48"/>
          <c:order val="48"/>
          <c:tx>
            <c:strRef>
              <c:f>'Calculation Values'!$BO$6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Values'!$BO$7:$BO$102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0-7CF3-44B4-905A-B1A21551140A}"/>
            </c:ext>
          </c:extLst>
        </c:ser>
        <c:ser>
          <c:idx val="49"/>
          <c:order val="49"/>
          <c:tx>
            <c:strRef>
              <c:f>'Calculation Values'!$BP$6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Values'!$BP$7:$BP$102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1-7CF3-44B4-905A-B1A21551140A}"/>
            </c:ext>
          </c:extLst>
        </c:ser>
        <c:ser>
          <c:idx val="50"/>
          <c:order val="50"/>
          <c:tx>
            <c:strRef>
              <c:f>'Calculation Values'!$BQ$6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Values'!$BQ$7:$BQ$102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2-7CF3-44B4-905A-B1A21551140A}"/>
            </c:ext>
          </c:extLst>
        </c:ser>
        <c:ser>
          <c:idx val="51"/>
          <c:order val="51"/>
          <c:tx>
            <c:strRef>
              <c:f>'Calculation Values'!$BR$6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Values'!$BR$7:$BR$102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3-7CF3-44B4-905A-B1A21551140A}"/>
            </c:ext>
          </c:extLst>
        </c:ser>
        <c:ser>
          <c:idx val="52"/>
          <c:order val="52"/>
          <c:tx>
            <c:strRef>
              <c:f>'Calculation Values'!$BS$6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Values'!$BS$7:$BS$102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4-7CF3-44B4-905A-B1A21551140A}"/>
            </c:ext>
          </c:extLst>
        </c:ser>
        <c:ser>
          <c:idx val="53"/>
          <c:order val="53"/>
          <c:tx>
            <c:strRef>
              <c:f>'Calculation Values'!$BT$6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Values'!$BT$7:$BT$102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5-7CF3-44B4-905A-B1A21551140A}"/>
            </c:ext>
          </c:extLst>
        </c:ser>
        <c:ser>
          <c:idx val="54"/>
          <c:order val="54"/>
          <c:tx>
            <c:strRef>
              <c:f>'Calculation Values'!$BU$6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Values'!$BU$7:$BU$102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6-7CF3-44B4-905A-B1A21551140A}"/>
            </c:ext>
          </c:extLst>
        </c:ser>
        <c:ser>
          <c:idx val="55"/>
          <c:order val="55"/>
          <c:tx>
            <c:strRef>
              <c:f>'Calculation Values'!$BV$6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Values'!$BV$7:$BV$102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7-7CF3-44B4-905A-B1A21551140A}"/>
            </c:ext>
          </c:extLst>
        </c:ser>
        <c:ser>
          <c:idx val="56"/>
          <c:order val="56"/>
          <c:tx>
            <c:strRef>
              <c:f>'Calculation Values'!$BW$6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'Calculation Values'!$B$7:$B$102</c:f>
              <c:numCache>
                <c:formatCode>h:mm</c:formatCode>
                <c:ptCount val="96"/>
                <c:pt idx="0">
                  <c:v>0</c:v>
                </c:pt>
                <c:pt idx="1">
                  <c:v>1.0416666666666701E-2</c:v>
                </c:pt>
                <c:pt idx="2">
                  <c:v>2.0833333333333402E-2</c:v>
                </c:pt>
                <c:pt idx="3">
                  <c:v>3.1250000000000104E-2</c:v>
                </c:pt>
                <c:pt idx="4">
                  <c:v>4.1666666666666803E-2</c:v>
                </c:pt>
                <c:pt idx="5">
                  <c:v>5.2083333333333502E-2</c:v>
                </c:pt>
                <c:pt idx="6">
                  <c:v>6.2500000000000208E-2</c:v>
                </c:pt>
                <c:pt idx="7">
                  <c:v>7.2916666666666907E-2</c:v>
                </c:pt>
                <c:pt idx="8">
                  <c:v>8.3333333333333606E-2</c:v>
                </c:pt>
                <c:pt idx="9">
                  <c:v>9.3750000000000305E-2</c:v>
                </c:pt>
                <c:pt idx="10">
                  <c:v>0.104166666666667</c:v>
                </c:pt>
                <c:pt idx="11">
                  <c:v>0.1145833333333337</c:v>
                </c:pt>
                <c:pt idx="12">
                  <c:v>0.12500000000000042</c:v>
                </c:pt>
                <c:pt idx="13">
                  <c:v>0.13541666666666713</c:v>
                </c:pt>
                <c:pt idx="14">
                  <c:v>0.14583333333333384</c:v>
                </c:pt>
                <c:pt idx="15">
                  <c:v>0.15625000000000056</c:v>
                </c:pt>
                <c:pt idx="16">
                  <c:v>0.16666666666666727</c:v>
                </c:pt>
                <c:pt idx="17">
                  <c:v>0.17708333333333398</c:v>
                </c:pt>
                <c:pt idx="18">
                  <c:v>0.18750000000000069</c:v>
                </c:pt>
                <c:pt idx="19">
                  <c:v>0.19791666666666741</c:v>
                </c:pt>
                <c:pt idx="20">
                  <c:v>0.20833333333333412</c:v>
                </c:pt>
                <c:pt idx="21">
                  <c:v>0.21875000000000083</c:v>
                </c:pt>
                <c:pt idx="22">
                  <c:v>0.22916666666666755</c:v>
                </c:pt>
                <c:pt idx="23">
                  <c:v>0.23958333333333426</c:v>
                </c:pt>
                <c:pt idx="24">
                  <c:v>0.25000000000000094</c:v>
                </c:pt>
                <c:pt idx="25">
                  <c:v>0.26041666666666763</c:v>
                </c:pt>
                <c:pt idx="26">
                  <c:v>0.27083333333333431</c:v>
                </c:pt>
                <c:pt idx="27">
                  <c:v>0.281250000000001</c:v>
                </c:pt>
                <c:pt idx="28">
                  <c:v>0.29166666666666768</c:v>
                </c:pt>
                <c:pt idx="29">
                  <c:v>0.30208333333333437</c:v>
                </c:pt>
                <c:pt idx="30">
                  <c:v>0.31250000000000105</c:v>
                </c:pt>
                <c:pt idx="31">
                  <c:v>0.32291666666666774</c:v>
                </c:pt>
                <c:pt idx="32">
                  <c:v>0.33333333333333443</c:v>
                </c:pt>
                <c:pt idx="33">
                  <c:v>0.34375000000000111</c:v>
                </c:pt>
                <c:pt idx="34">
                  <c:v>0.3541666666666678</c:v>
                </c:pt>
                <c:pt idx="35">
                  <c:v>0.36458333333333448</c:v>
                </c:pt>
                <c:pt idx="36">
                  <c:v>0.37500000000000117</c:v>
                </c:pt>
                <c:pt idx="37">
                  <c:v>0.38541666666666785</c:v>
                </c:pt>
                <c:pt idx="38">
                  <c:v>0.39583333333333454</c:v>
                </c:pt>
                <c:pt idx="39">
                  <c:v>0.40625000000000122</c:v>
                </c:pt>
                <c:pt idx="40">
                  <c:v>0.41666666666666791</c:v>
                </c:pt>
                <c:pt idx="41">
                  <c:v>0.42708333333333459</c:v>
                </c:pt>
                <c:pt idx="42">
                  <c:v>0.43750000000000128</c:v>
                </c:pt>
                <c:pt idx="43">
                  <c:v>0.44791666666666796</c:v>
                </c:pt>
                <c:pt idx="44">
                  <c:v>0.45833333333333465</c:v>
                </c:pt>
                <c:pt idx="45">
                  <c:v>0.46875000000000133</c:v>
                </c:pt>
                <c:pt idx="46">
                  <c:v>0.47916666666666802</c:v>
                </c:pt>
                <c:pt idx="47">
                  <c:v>0.4895833333333347</c:v>
                </c:pt>
                <c:pt idx="48">
                  <c:v>0.50000000000000144</c:v>
                </c:pt>
                <c:pt idx="49">
                  <c:v>0.51041666666666818</c:v>
                </c:pt>
                <c:pt idx="50">
                  <c:v>0.52083333333333492</c:v>
                </c:pt>
                <c:pt idx="51">
                  <c:v>0.53125000000000167</c:v>
                </c:pt>
                <c:pt idx="52">
                  <c:v>0.54166666666666841</c:v>
                </c:pt>
                <c:pt idx="53">
                  <c:v>0.55208333333333515</c:v>
                </c:pt>
                <c:pt idx="54">
                  <c:v>0.56250000000000189</c:v>
                </c:pt>
                <c:pt idx="55">
                  <c:v>0.57291666666666863</c:v>
                </c:pt>
                <c:pt idx="56">
                  <c:v>0.58333333333333537</c:v>
                </c:pt>
                <c:pt idx="57">
                  <c:v>0.59375000000000211</c:v>
                </c:pt>
                <c:pt idx="58">
                  <c:v>0.60416666666666885</c:v>
                </c:pt>
                <c:pt idx="59">
                  <c:v>0.61458333333333559</c:v>
                </c:pt>
                <c:pt idx="60">
                  <c:v>0.62500000000000233</c:v>
                </c:pt>
                <c:pt idx="61">
                  <c:v>0.63541666666666907</c:v>
                </c:pt>
                <c:pt idx="62">
                  <c:v>0.64583333333333581</c:v>
                </c:pt>
                <c:pt idx="63">
                  <c:v>0.65625000000000255</c:v>
                </c:pt>
                <c:pt idx="64">
                  <c:v>0.66666666666666929</c:v>
                </c:pt>
                <c:pt idx="65">
                  <c:v>0.67708333333333603</c:v>
                </c:pt>
                <c:pt idx="66">
                  <c:v>0.68750000000000278</c:v>
                </c:pt>
                <c:pt idx="67">
                  <c:v>0.69791666666666952</c:v>
                </c:pt>
                <c:pt idx="68">
                  <c:v>0.70833333333333626</c:v>
                </c:pt>
                <c:pt idx="69">
                  <c:v>0.718750000000003</c:v>
                </c:pt>
                <c:pt idx="70">
                  <c:v>0.72916666666666974</c:v>
                </c:pt>
                <c:pt idx="71">
                  <c:v>0.73958333333333648</c:v>
                </c:pt>
                <c:pt idx="72">
                  <c:v>0.75000000000000322</c:v>
                </c:pt>
                <c:pt idx="73">
                  <c:v>0.76041666666666996</c:v>
                </c:pt>
                <c:pt idx="74">
                  <c:v>0.7708333333333367</c:v>
                </c:pt>
                <c:pt idx="75">
                  <c:v>0.78125000000000344</c:v>
                </c:pt>
                <c:pt idx="76">
                  <c:v>0.79166666666667018</c:v>
                </c:pt>
                <c:pt idx="77">
                  <c:v>0.80208333333333692</c:v>
                </c:pt>
                <c:pt idx="78">
                  <c:v>0.81250000000000366</c:v>
                </c:pt>
                <c:pt idx="79">
                  <c:v>0.8229166666666704</c:v>
                </c:pt>
                <c:pt idx="80">
                  <c:v>0.83333333333333715</c:v>
                </c:pt>
                <c:pt idx="81">
                  <c:v>0.84375000000000389</c:v>
                </c:pt>
                <c:pt idx="82">
                  <c:v>0.85416666666667063</c:v>
                </c:pt>
                <c:pt idx="83">
                  <c:v>0.86458333333333737</c:v>
                </c:pt>
                <c:pt idx="84">
                  <c:v>0.87500000000000411</c:v>
                </c:pt>
                <c:pt idx="85">
                  <c:v>0.88541666666667085</c:v>
                </c:pt>
                <c:pt idx="86">
                  <c:v>0.89583333333333759</c:v>
                </c:pt>
                <c:pt idx="87">
                  <c:v>0.90625000000000433</c:v>
                </c:pt>
                <c:pt idx="88">
                  <c:v>0.91666666666667107</c:v>
                </c:pt>
                <c:pt idx="89">
                  <c:v>0.92708333333333781</c:v>
                </c:pt>
                <c:pt idx="90">
                  <c:v>0.93750000000000455</c:v>
                </c:pt>
                <c:pt idx="91">
                  <c:v>0.94791666666667129</c:v>
                </c:pt>
                <c:pt idx="92">
                  <c:v>0.95833333333333803</c:v>
                </c:pt>
                <c:pt idx="93">
                  <c:v>0.96875000000000477</c:v>
                </c:pt>
                <c:pt idx="94">
                  <c:v>0.97916666666667151</c:v>
                </c:pt>
                <c:pt idx="95">
                  <c:v>0.98958333333333826</c:v>
                </c:pt>
              </c:numCache>
            </c:numRef>
          </c:cat>
          <c:val>
            <c:numRef>
              <c:f>'Calculation Values'!$BW$7:$BW$102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38-7CF3-44B4-905A-B1A21551140A}"/>
            </c:ext>
          </c:extLst>
        </c:ser>
        <c:ser>
          <c:idx val="117"/>
          <c:order val="57"/>
          <c:tx>
            <c:v>Full Home Load Profile</c:v>
          </c:tx>
          <c:spPr>
            <a:solidFill>
              <a:srgbClr val="997300"/>
            </a:solidFill>
            <a:ln w="25400">
              <a:noFill/>
            </a:ln>
            <a:effectLst/>
          </c:spPr>
          <c:val>
            <c:numRef>
              <c:f>'Calculation Values'!#REF!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7CF3-44B4-905A-B1A21551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areaChart>
      <c:scatterChart>
        <c:scatterStyle val="smoothMarker"/>
        <c:varyColors val="0"/>
        <c:ser>
          <c:idx val="57"/>
          <c:order val="58"/>
          <c:tx>
            <c:v>Total Power Capacity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'Calculation Values'!$EF$7:$EF$102</c:f>
              <c:numCache>
                <c:formatCode>General</c:formatCode>
                <c:ptCount val="96"/>
                <c:pt idx="0">
                  <c:v>15000</c:v>
                </c:pt>
                <c:pt idx="1">
                  <c:v>15000</c:v>
                </c:pt>
                <c:pt idx="2">
                  <c:v>15000</c:v>
                </c:pt>
                <c:pt idx="3">
                  <c:v>15000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15000</c:v>
                </c:pt>
                <c:pt idx="10">
                  <c:v>15000</c:v>
                </c:pt>
                <c:pt idx="11">
                  <c:v>15000</c:v>
                </c:pt>
                <c:pt idx="12">
                  <c:v>15000</c:v>
                </c:pt>
                <c:pt idx="13">
                  <c:v>15000</c:v>
                </c:pt>
                <c:pt idx="14">
                  <c:v>15000</c:v>
                </c:pt>
                <c:pt idx="15">
                  <c:v>15000</c:v>
                </c:pt>
                <c:pt idx="16">
                  <c:v>15000</c:v>
                </c:pt>
                <c:pt idx="17">
                  <c:v>15000</c:v>
                </c:pt>
                <c:pt idx="18">
                  <c:v>15000</c:v>
                </c:pt>
                <c:pt idx="19">
                  <c:v>15000</c:v>
                </c:pt>
                <c:pt idx="20">
                  <c:v>15000</c:v>
                </c:pt>
                <c:pt idx="21">
                  <c:v>15000</c:v>
                </c:pt>
                <c:pt idx="22">
                  <c:v>15000</c:v>
                </c:pt>
                <c:pt idx="23">
                  <c:v>15000</c:v>
                </c:pt>
                <c:pt idx="24">
                  <c:v>15000</c:v>
                </c:pt>
                <c:pt idx="25">
                  <c:v>15000</c:v>
                </c:pt>
                <c:pt idx="26">
                  <c:v>15000</c:v>
                </c:pt>
                <c:pt idx="27">
                  <c:v>15000</c:v>
                </c:pt>
                <c:pt idx="28">
                  <c:v>15000</c:v>
                </c:pt>
                <c:pt idx="29">
                  <c:v>15000</c:v>
                </c:pt>
                <c:pt idx="30">
                  <c:v>15000</c:v>
                </c:pt>
                <c:pt idx="31">
                  <c:v>15000</c:v>
                </c:pt>
                <c:pt idx="32">
                  <c:v>15860.516159999999</c:v>
                </c:pt>
                <c:pt idx="33">
                  <c:v>15860.516159999999</c:v>
                </c:pt>
                <c:pt idx="34">
                  <c:v>15860.516159999999</c:v>
                </c:pt>
                <c:pt idx="35">
                  <c:v>15860.516159999999</c:v>
                </c:pt>
                <c:pt idx="36">
                  <c:v>18876.263999999999</c:v>
                </c:pt>
                <c:pt idx="37">
                  <c:v>18876.263999999999</c:v>
                </c:pt>
                <c:pt idx="38">
                  <c:v>18876.263999999999</c:v>
                </c:pt>
                <c:pt idx="39">
                  <c:v>18876.263999999999</c:v>
                </c:pt>
                <c:pt idx="40">
                  <c:v>21151.006399999998</c:v>
                </c:pt>
                <c:pt idx="41">
                  <c:v>21151.006399999998</c:v>
                </c:pt>
                <c:pt idx="42">
                  <c:v>21151.006399999998</c:v>
                </c:pt>
                <c:pt idx="43">
                  <c:v>21151.006399999998</c:v>
                </c:pt>
                <c:pt idx="44">
                  <c:v>22502.700799999999</c:v>
                </c:pt>
                <c:pt idx="45">
                  <c:v>22502.700799999999</c:v>
                </c:pt>
                <c:pt idx="46">
                  <c:v>22502.700799999999</c:v>
                </c:pt>
                <c:pt idx="47">
                  <c:v>22502.700799999999</c:v>
                </c:pt>
                <c:pt idx="48">
                  <c:v>23450.892800000001</c:v>
                </c:pt>
                <c:pt idx="49">
                  <c:v>23450.892800000001</c:v>
                </c:pt>
                <c:pt idx="50">
                  <c:v>23450.892800000001</c:v>
                </c:pt>
                <c:pt idx="51">
                  <c:v>23450.892800000001</c:v>
                </c:pt>
                <c:pt idx="52">
                  <c:v>23442.7392</c:v>
                </c:pt>
                <c:pt idx="53">
                  <c:v>23442.7392</c:v>
                </c:pt>
                <c:pt idx="54">
                  <c:v>23442.7392</c:v>
                </c:pt>
                <c:pt idx="55">
                  <c:v>23442.7392</c:v>
                </c:pt>
                <c:pt idx="56">
                  <c:v>22749.313600000001</c:v>
                </c:pt>
                <c:pt idx="57">
                  <c:v>22749.313600000001</c:v>
                </c:pt>
                <c:pt idx="58">
                  <c:v>22749.313600000001</c:v>
                </c:pt>
                <c:pt idx="59">
                  <c:v>22749.313600000001</c:v>
                </c:pt>
                <c:pt idx="60">
                  <c:v>21277.107199999999</c:v>
                </c:pt>
                <c:pt idx="61">
                  <c:v>21277.107199999999</c:v>
                </c:pt>
                <c:pt idx="62">
                  <c:v>21277.107199999999</c:v>
                </c:pt>
                <c:pt idx="63">
                  <c:v>21277.107199999999</c:v>
                </c:pt>
                <c:pt idx="64">
                  <c:v>18955.683199999999</c:v>
                </c:pt>
                <c:pt idx="65">
                  <c:v>18955.683199999999</c:v>
                </c:pt>
                <c:pt idx="66">
                  <c:v>18955.683199999999</c:v>
                </c:pt>
                <c:pt idx="67">
                  <c:v>18955.683199999999</c:v>
                </c:pt>
                <c:pt idx="68">
                  <c:v>15552.39408</c:v>
                </c:pt>
                <c:pt idx="69">
                  <c:v>15552.39408</c:v>
                </c:pt>
                <c:pt idx="70">
                  <c:v>15552.39408</c:v>
                </c:pt>
                <c:pt idx="71">
                  <c:v>15552.39408</c:v>
                </c:pt>
                <c:pt idx="72">
                  <c:v>15000</c:v>
                </c:pt>
                <c:pt idx="73">
                  <c:v>15000</c:v>
                </c:pt>
                <c:pt idx="74">
                  <c:v>15000</c:v>
                </c:pt>
                <c:pt idx="75">
                  <c:v>15000</c:v>
                </c:pt>
                <c:pt idx="76">
                  <c:v>15000</c:v>
                </c:pt>
                <c:pt idx="77">
                  <c:v>15000</c:v>
                </c:pt>
                <c:pt idx="78">
                  <c:v>15000</c:v>
                </c:pt>
                <c:pt idx="79">
                  <c:v>15000</c:v>
                </c:pt>
                <c:pt idx="80">
                  <c:v>15000</c:v>
                </c:pt>
                <c:pt idx="81">
                  <c:v>15000</c:v>
                </c:pt>
                <c:pt idx="82">
                  <c:v>15000</c:v>
                </c:pt>
                <c:pt idx="83">
                  <c:v>15000</c:v>
                </c:pt>
                <c:pt idx="84">
                  <c:v>15000</c:v>
                </c:pt>
                <c:pt idx="85">
                  <c:v>15000</c:v>
                </c:pt>
                <c:pt idx="86">
                  <c:v>15000</c:v>
                </c:pt>
                <c:pt idx="87">
                  <c:v>15000</c:v>
                </c:pt>
                <c:pt idx="88">
                  <c:v>15000</c:v>
                </c:pt>
                <c:pt idx="89">
                  <c:v>15000</c:v>
                </c:pt>
                <c:pt idx="90">
                  <c:v>15000</c:v>
                </c:pt>
                <c:pt idx="91">
                  <c:v>15000</c:v>
                </c:pt>
                <c:pt idx="92">
                  <c:v>15000</c:v>
                </c:pt>
                <c:pt idx="93">
                  <c:v>15000</c:v>
                </c:pt>
                <c:pt idx="94">
                  <c:v>15000</c:v>
                </c:pt>
                <c:pt idx="95">
                  <c:v>15000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7CF3-44B4-905A-B1A21551140A}"/>
            </c:ext>
          </c:extLst>
        </c:ser>
        <c:ser>
          <c:idx val="58"/>
          <c:order val="59"/>
          <c:tx>
            <c:v>Total Surge Power Capacity</c:v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'List Options'!$B$39:$B$41</c:f>
              <c:numCache>
                <c:formatCode>General</c:formatCode>
                <c:ptCount val="3"/>
                <c:pt idx="0">
                  <c:v>1</c:v>
                </c:pt>
                <c:pt idx="1">
                  <c:v>48</c:v>
                </c:pt>
                <c:pt idx="2">
                  <c:v>96</c:v>
                </c:pt>
              </c:numCache>
            </c:numRef>
          </c:xVal>
          <c:yVal>
            <c:numRef>
              <c:f>('Calculation Values'!$EG$7,'Calculation Values'!$EG$7,'Calculation Values'!$EG$7)</c:f>
              <c:numCache>
                <c:formatCode>General</c:formatCode>
                <c:ptCount val="3"/>
                <c:pt idx="0">
                  <c:v>21000</c:v>
                </c:pt>
                <c:pt idx="1">
                  <c:v>21000</c:v>
                </c:pt>
                <c:pt idx="2">
                  <c:v>21000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7CF3-44B4-905A-B1A21551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scatterChart>
      <c:scatterChart>
        <c:scatterStyle val="lineMarker"/>
        <c:varyColors val="0"/>
        <c:ser>
          <c:idx val="59"/>
          <c:order val="60"/>
          <c:tx>
            <c:v>Peak 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yVal>
            <c:numRef>
              <c:f>'Calculation Values'!$EH$7:$EH$102</c:f>
              <c:numCache>
                <c:formatCode>0</c:formatCode>
                <c:ptCount val="96"/>
                <c:pt idx="0">
                  <c:v>5405</c:v>
                </c:pt>
                <c:pt idx="1">
                  <c:v>5405</c:v>
                </c:pt>
                <c:pt idx="2">
                  <c:v>773.49315068493149</c:v>
                </c:pt>
                <c:pt idx="3">
                  <c:v>261.16438356164383</c:v>
                </c:pt>
                <c:pt idx="4">
                  <c:v>5405</c:v>
                </c:pt>
                <c:pt idx="5">
                  <c:v>5405</c:v>
                </c:pt>
                <c:pt idx="6">
                  <c:v>6173.4931506849316</c:v>
                </c:pt>
                <c:pt idx="7">
                  <c:v>261.16438356164383</c:v>
                </c:pt>
                <c:pt idx="8">
                  <c:v>5405</c:v>
                </c:pt>
                <c:pt idx="9">
                  <c:v>5405</c:v>
                </c:pt>
                <c:pt idx="10">
                  <c:v>6173.4931506849316</c:v>
                </c:pt>
                <c:pt idx="11">
                  <c:v>261.16438356164383</c:v>
                </c:pt>
                <c:pt idx="12">
                  <c:v>5405</c:v>
                </c:pt>
                <c:pt idx="13">
                  <c:v>5405</c:v>
                </c:pt>
                <c:pt idx="14">
                  <c:v>6173.4931506849316</c:v>
                </c:pt>
                <c:pt idx="15">
                  <c:v>261.16438356164383</c:v>
                </c:pt>
                <c:pt idx="16">
                  <c:v>5405</c:v>
                </c:pt>
                <c:pt idx="17">
                  <c:v>5405</c:v>
                </c:pt>
                <c:pt idx="18">
                  <c:v>6173.4931506849316</c:v>
                </c:pt>
                <c:pt idx="19">
                  <c:v>261.16438356164383</c:v>
                </c:pt>
                <c:pt idx="20">
                  <c:v>5405</c:v>
                </c:pt>
                <c:pt idx="21">
                  <c:v>5405</c:v>
                </c:pt>
                <c:pt idx="22">
                  <c:v>6173.4931506849316</c:v>
                </c:pt>
                <c:pt idx="23">
                  <c:v>261.16438356164383</c:v>
                </c:pt>
                <c:pt idx="24">
                  <c:v>5405</c:v>
                </c:pt>
                <c:pt idx="25">
                  <c:v>5405</c:v>
                </c:pt>
                <c:pt idx="26">
                  <c:v>6173.4931506849316</c:v>
                </c:pt>
                <c:pt idx="27">
                  <c:v>261.16438356164383</c:v>
                </c:pt>
                <c:pt idx="28">
                  <c:v>5405</c:v>
                </c:pt>
                <c:pt idx="29">
                  <c:v>5405</c:v>
                </c:pt>
                <c:pt idx="30">
                  <c:v>6173.4931506849316</c:v>
                </c:pt>
                <c:pt idx="31">
                  <c:v>261.16438356164383</c:v>
                </c:pt>
                <c:pt idx="32">
                  <c:v>5405</c:v>
                </c:pt>
                <c:pt idx="33">
                  <c:v>5405</c:v>
                </c:pt>
                <c:pt idx="34">
                  <c:v>1923.4931506849314</c:v>
                </c:pt>
                <c:pt idx="35">
                  <c:v>1411.1643835616437</c:v>
                </c:pt>
                <c:pt idx="36">
                  <c:v>5405</c:v>
                </c:pt>
                <c:pt idx="37">
                  <c:v>5405</c:v>
                </c:pt>
                <c:pt idx="38">
                  <c:v>5273.4931506849316</c:v>
                </c:pt>
                <c:pt idx="39">
                  <c:v>411.16438356164383</c:v>
                </c:pt>
                <c:pt idx="40">
                  <c:v>5405</c:v>
                </c:pt>
                <c:pt idx="41">
                  <c:v>155</c:v>
                </c:pt>
                <c:pt idx="42">
                  <c:v>923.49315068493149</c:v>
                </c:pt>
                <c:pt idx="43">
                  <c:v>411.16438356164383</c:v>
                </c:pt>
                <c:pt idx="44">
                  <c:v>8619.2400000000016</c:v>
                </c:pt>
                <c:pt idx="45">
                  <c:v>13119.240000000002</c:v>
                </c:pt>
                <c:pt idx="46">
                  <c:v>13375.404383561643</c:v>
                </c:pt>
                <c:pt idx="47">
                  <c:v>13375.404383561643</c:v>
                </c:pt>
                <c:pt idx="48">
                  <c:v>13119.240000000002</c:v>
                </c:pt>
                <c:pt idx="49">
                  <c:v>8619.2400000000016</c:v>
                </c:pt>
                <c:pt idx="50">
                  <c:v>8875.4043835616449</c:v>
                </c:pt>
                <c:pt idx="51">
                  <c:v>8875.4043835616449</c:v>
                </c:pt>
                <c:pt idx="52">
                  <c:v>8619.2400000000016</c:v>
                </c:pt>
                <c:pt idx="53">
                  <c:v>8619.2400000000016</c:v>
                </c:pt>
                <c:pt idx="54">
                  <c:v>8875.4043835616449</c:v>
                </c:pt>
                <c:pt idx="55">
                  <c:v>8875.4043835616449</c:v>
                </c:pt>
                <c:pt idx="56">
                  <c:v>8682.0337777777786</c:v>
                </c:pt>
                <c:pt idx="57">
                  <c:v>8682.0337777777786</c:v>
                </c:pt>
                <c:pt idx="58">
                  <c:v>8938.1981613394219</c:v>
                </c:pt>
                <c:pt idx="59">
                  <c:v>8938.1981613394219</c:v>
                </c:pt>
                <c:pt idx="60">
                  <c:v>8578.1330486111128</c:v>
                </c:pt>
                <c:pt idx="61">
                  <c:v>8578.1330486111128</c:v>
                </c:pt>
                <c:pt idx="62">
                  <c:v>8834.2974321727561</c:v>
                </c:pt>
                <c:pt idx="63">
                  <c:v>8834.2974321727561</c:v>
                </c:pt>
                <c:pt idx="64">
                  <c:v>8486.5351111111122</c:v>
                </c:pt>
                <c:pt idx="65">
                  <c:v>8486.5351111111122</c:v>
                </c:pt>
                <c:pt idx="66">
                  <c:v>8892.6994946727555</c:v>
                </c:pt>
                <c:pt idx="67">
                  <c:v>8892.6994946727555</c:v>
                </c:pt>
                <c:pt idx="68">
                  <c:v>8739.2400000000016</c:v>
                </c:pt>
                <c:pt idx="69">
                  <c:v>8739.2400000000016</c:v>
                </c:pt>
                <c:pt idx="70">
                  <c:v>8995.4043835616449</c:v>
                </c:pt>
                <c:pt idx="71">
                  <c:v>8995.4043835616449</c:v>
                </c:pt>
                <c:pt idx="72">
                  <c:v>8739.2400000000016</c:v>
                </c:pt>
                <c:pt idx="73">
                  <c:v>8739.2400000000016</c:v>
                </c:pt>
                <c:pt idx="74">
                  <c:v>8995.4043835616449</c:v>
                </c:pt>
                <c:pt idx="75">
                  <c:v>8995.4043835616449</c:v>
                </c:pt>
                <c:pt idx="76">
                  <c:v>8739.2400000000016</c:v>
                </c:pt>
                <c:pt idx="77">
                  <c:v>8739.2400000000016</c:v>
                </c:pt>
                <c:pt idx="78">
                  <c:v>8995.4043835616449</c:v>
                </c:pt>
                <c:pt idx="79">
                  <c:v>8995.4043835616449</c:v>
                </c:pt>
                <c:pt idx="80">
                  <c:v>10025</c:v>
                </c:pt>
                <c:pt idx="81">
                  <c:v>125</c:v>
                </c:pt>
                <c:pt idx="82">
                  <c:v>893.49315068493149</c:v>
                </c:pt>
                <c:pt idx="83">
                  <c:v>381.16438356164383</c:v>
                </c:pt>
                <c:pt idx="84">
                  <c:v>5525</c:v>
                </c:pt>
                <c:pt idx="85">
                  <c:v>125</c:v>
                </c:pt>
                <c:pt idx="86">
                  <c:v>893.49315068493149</c:v>
                </c:pt>
                <c:pt idx="87">
                  <c:v>381.16438356164383</c:v>
                </c:pt>
                <c:pt idx="88">
                  <c:v>5525</c:v>
                </c:pt>
                <c:pt idx="89">
                  <c:v>125</c:v>
                </c:pt>
                <c:pt idx="90">
                  <c:v>893.49315068493149</c:v>
                </c:pt>
                <c:pt idx="91">
                  <c:v>381.16438356164383</c:v>
                </c:pt>
                <c:pt idx="92">
                  <c:v>5525</c:v>
                </c:pt>
                <c:pt idx="93">
                  <c:v>125</c:v>
                </c:pt>
                <c:pt idx="94">
                  <c:v>893.49315068493149</c:v>
                </c:pt>
                <c:pt idx="95">
                  <c:v>381.16438356164383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7CF3-44B4-905A-B1A21551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614736"/>
        <c:axId val="729612240"/>
      </c:scatterChart>
      <c:catAx>
        <c:axId val="7296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240"/>
        <c:crosses val="autoZero"/>
        <c:auto val="1"/>
        <c:lblAlgn val="ctr"/>
        <c:lblOffset val="100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Watts 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 electricity</a:t>
            </a:r>
            <a:r>
              <a:rPr lang="en-US" baseline="0"/>
              <a:t> consumed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'Calculation Values'!$S$6</c:f>
              <c:strCache>
                <c:ptCount val="1"/>
                <c:pt idx="0">
                  <c:v>Space heater + heat pump (temperature dependent)</c:v>
                </c:pt>
              </c:strCache>
            </c:strRef>
          </c:tx>
          <c:spPr>
            <a:solidFill>
              <a:srgbClr val="5B8E7D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Values'!$S$3</c:f>
              <c:numCache>
                <c:formatCode>0</c:formatCode>
                <c:ptCount val="1"/>
                <c:pt idx="0">
                  <c:v>73298.981937500008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1-4D82-BFA2-6396781E1541}"/>
            </c:ext>
          </c:extLst>
        </c:ser>
        <c:ser>
          <c:idx val="1"/>
          <c:order val="1"/>
          <c:tx>
            <c:strRef>
              <c:f>'Calculation Values'!$T$6</c:f>
              <c:strCache>
                <c:ptCount val="1"/>
                <c:pt idx="0">
                  <c:v>Cell phone battery charger</c:v>
                </c:pt>
              </c:strCache>
            </c:strRef>
          </c:tx>
          <c:spPr>
            <a:solidFill>
              <a:srgbClr val="F4A259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Values'!$T$3</c:f>
              <c:numCache>
                <c:formatCode>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A1-4D82-BFA2-6396781E1541}"/>
            </c:ext>
          </c:extLst>
        </c:ser>
        <c:ser>
          <c:idx val="2"/>
          <c:order val="2"/>
          <c:tx>
            <c:strRef>
              <c:f>'Calculation Values'!$U$6</c:f>
              <c:strCache>
                <c:ptCount val="1"/>
                <c:pt idx="0">
                  <c:v>Microwave</c:v>
                </c:pt>
              </c:strCache>
            </c:strRef>
          </c:tx>
          <c:spPr>
            <a:solidFill>
              <a:srgbClr val="F4E285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Values'!$U$3</c:f>
              <c:numCache>
                <c:formatCode>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A1-4D82-BFA2-6396781E1541}"/>
            </c:ext>
          </c:extLst>
        </c:ser>
        <c:ser>
          <c:idx val="3"/>
          <c:order val="3"/>
          <c:tx>
            <c:strRef>
              <c:f>'Calculation Values'!$V$6</c:f>
              <c:strCache>
                <c:ptCount val="1"/>
                <c:pt idx="0">
                  <c:v>Home internet router</c:v>
                </c:pt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Values'!$V$3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A1-4D82-BFA2-6396781E1541}"/>
            </c:ext>
          </c:extLst>
        </c:ser>
        <c:ser>
          <c:idx val="4"/>
          <c:order val="4"/>
          <c:tx>
            <c:strRef>
              <c:f>'Calculation Values'!$W$6</c:f>
              <c:strCache>
                <c:ptCount val="1"/>
                <c:pt idx="0">
                  <c:v>Refrigerator - 30.6 cu. ft.</c:v>
                </c:pt>
              </c:strCache>
            </c:strRef>
          </c:tx>
          <c:spPr>
            <a:solidFill>
              <a:srgbClr val="8CB369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Values'!$W$3</c:f>
              <c:numCache>
                <c:formatCode>0</c:formatCode>
                <c:ptCount val="1"/>
                <c:pt idx="0">
                  <c:v>3073.9726027397251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A1-4D82-BFA2-6396781E1541}"/>
            </c:ext>
          </c:extLst>
        </c:ser>
        <c:ser>
          <c:idx val="5"/>
          <c:order val="5"/>
          <c:tx>
            <c:strRef>
              <c:f>'Calculation Values'!$X$6</c:f>
              <c:strCache>
                <c:ptCount val="1"/>
                <c:pt idx="0">
                  <c:v>Light bulb (CFL)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Values'!$X$3</c:f>
              <c:numCache>
                <c:formatCode>0</c:formatCode>
                <c:ptCount val="1"/>
                <c:pt idx="0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A1-4D82-BFA2-6396781E1541}"/>
            </c:ext>
          </c:extLst>
        </c:ser>
        <c:ser>
          <c:idx val="6"/>
          <c:order val="6"/>
          <c:tx>
            <c:strRef>
              <c:f>'Calculation Values'!$Y$6</c:f>
              <c:strCache>
                <c:ptCount val="1"/>
                <c:pt idx="0">
                  <c:v>Water heater - electric tank 55 GAL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Values'!$Y$3</c:f>
              <c:numCache>
                <c:formatCode>0</c:formatCode>
                <c:ptCount val="1"/>
                <c:pt idx="0">
                  <c:v>6750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A1-4D82-BFA2-6396781E1541}"/>
            </c:ext>
          </c:extLst>
        </c:ser>
        <c:ser>
          <c:idx val="7"/>
          <c:order val="7"/>
          <c:tx>
            <c:strRef>
              <c:f>'Calculation Values'!$Z$6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Values'!$Z$3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11A1-4D82-BFA2-6396781E1541}"/>
            </c:ext>
          </c:extLst>
        </c:ser>
        <c:ser>
          <c:idx val="8"/>
          <c:order val="8"/>
          <c:tx>
            <c:strRef>
              <c:f>'Calculation Values'!$AA$6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Values'!$AA$3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11A1-4D82-BFA2-6396781E1541}"/>
            </c:ext>
          </c:extLst>
        </c:ser>
        <c:ser>
          <c:idx val="9"/>
          <c:order val="9"/>
          <c:tx>
            <c:strRef>
              <c:f>'Calculation Values'!$AB$6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Values'!$AB$3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11A1-4D82-BFA2-6396781E1541}"/>
            </c:ext>
          </c:extLst>
        </c:ser>
        <c:ser>
          <c:idx val="10"/>
          <c:order val="10"/>
          <c:tx>
            <c:strRef>
              <c:f>'Calculation Values'!$AC$6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Values'!$AC$3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11A1-4D82-BFA2-6396781E1541}"/>
            </c:ext>
          </c:extLst>
        </c:ser>
        <c:ser>
          <c:idx val="11"/>
          <c:order val="11"/>
          <c:tx>
            <c:strRef>
              <c:f>'Calculation Values'!$AD$6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Values'!$AD$3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11A1-4D82-BFA2-6396781E1541}"/>
            </c:ext>
          </c:extLst>
        </c:ser>
        <c:ser>
          <c:idx val="12"/>
          <c:order val="12"/>
          <c:tx>
            <c:strRef>
              <c:f>'Calculation Values'!$AE$6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Values'!$AE$3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11A1-4D82-BFA2-6396781E1541}"/>
            </c:ext>
          </c:extLst>
        </c:ser>
        <c:ser>
          <c:idx val="13"/>
          <c:order val="13"/>
          <c:tx>
            <c:strRef>
              <c:f>'Calculation Values'!$AF$6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Values'!$AF$3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11A1-4D82-BFA2-6396781E1541}"/>
            </c:ext>
          </c:extLst>
        </c:ser>
        <c:ser>
          <c:idx val="14"/>
          <c:order val="14"/>
          <c:tx>
            <c:strRef>
              <c:f>'Calculation Values'!$AG$6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Values'!$AG$3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E-11A1-4D82-BFA2-6396781E1541}"/>
            </c:ext>
          </c:extLst>
        </c:ser>
        <c:ser>
          <c:idx val="15"/>
          <c:order val="15"/>
          <c:tx>
            <c:strRef>
              <c:f>'Calculation Values'!$AH$6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Values'!$AH$3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F-11A1-4D82-BFA2-6396781E1541}"/>
            </c:ext>
          </c:extLst>
        </c:ser>
        <c:ser>
          <c:idx val="16"/>
          <c:order val="16"/>
          <c:tx>
            <c:strRef>
              <c:f>'Calculation Values'!$AI$6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Values'!$AI$3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0-11A1-4D82-BFA2-6396781E1541}"/>
            </c:ext>
          </c:extLst>
        </c:ser>
        <c:ser>
          <c:idx val="17"/>
          <c:order val="17"/>
          <c:tx>
            <c:strRef>
              <c:f>'Calculation Values'!$AJ$6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Values'!$AJ$3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1-11A1-4D82-BFA2-6396781E1541}"/>
            </c:ext>
          </c:extLst>
        </c:ser>
        <c:ser>
          <c:idx val="18"/>
          <c:order val="18"/>
          <c:tx>
            <c:strRef>
              <c:f>'Calculation Values'!$AK$6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Values'!$AK$3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2-11A1-4D82-BFA2-6396781E1541}"/>
            </c:ext>
          </c:extLst>
        </c:ser>
        <c:ser>
          <c:idx val="19"/>
          <c:order val="19"/>
          <c:tx>
            <c:strRef>
              <c:f>'Calculation Values'!$AL$6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Values'!$AL$3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3-11A1-4D82-BFA2-6396781E1541}"/>
            </c:ext>
          </c:extLst>
        </c:ser>
        <c:ser>
          <c:idx val="20"/>
          <c:order val="20"/>
          <c:tx>
            <c:strRef>
              <c:f>'Calculation Values'!$AM$6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Values'!$AM$3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4-11A1-4D82-BFA2-6396781E1541}"/>
            </c:ext>
          </c:extLst>
        </c:ser>
        <c:ser>
          <c:idx val="21"/>
          <c:order val="21"/>
          <c:tx>
            <c:strRef>
              <c:f>'Calculation Values'!$AN$6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Values'!$AN$3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5-11A1-4D82-BFA2-6396781E1541}"/>
            </c:ext>
          </c:extLst>
        </c:ser>
        <c:ser>
          <c:idx val="22"/>
          <c:order val="22"/>
          <c:tx>
            <c:strRef>
              <c:f>'Calculation Values'!$AO$6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Values'!$AO$3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6-11A1-4D82-BFA2-6396781E1541}"/>
            </c:ext>
          </c:extLst>
        </c:ser>
        <c:ser>
          <c:idx val="23"/>
          <c:order val="23"/>
          <c:tx>
            <c:strRef>
              <c:f>'Calculation Values'!$AP$6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Values'!$AP$3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7-11A1-4D82-BFA2-6396781E1541}"/>
            </c:ext>
          </c:extLst>
        </c:ser>
        <c:ser>
          <c:idx val="24"/>
          <c:order val="24"/>
          <c:tx>
            <c:strRef>
              <c:f>'Calculation Values'!$AQ$6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Values'!$AQ$3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8-11A1-4D82-BFA2-6396781E1541}"/>
            </c:ext>
          </c:extLst>
        </c:ser>
        <c:ser>
          <c:idx val="25"/>
          <c:order val="25"/>
          <c:tx>
            <c:strRef>
              <c:f>'Calculation Values'!$AR$6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Values'!$AR$3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9-11A1-4D82-BFA2-6396781E1541}"/>
            </c:ext>
          </c:extLst>
        </c:ser>
        <c:ser>
          <c:idx val="26"/>
          <c:order val="26"/>
          <c:tx>
            <c:strRef>
              <c:f>'Calculation Values'!$AS$6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Values'!$AS$3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A-11A1-4D82-BFA2-6396781E1541}"/>
            </c:ext>
          </c:extLst>
        </c:ser>
        <c:ser>
          <c:idx val="27"/>
          <c:order val="27"/>
          <c:tx>
            <c:strRef>
              <c:f>'Calculation Values'!$AT$6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Values'!$AT$3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B-11A1-4D82-BFA2-6396781E1541}"/>
            </c:ext>
          </c:extLst>
        </c:ser>
        <c:ser>
          <c:idx val="28"/>
          <c:order val="28"/>
          <c:tx>
            <c:strRef>
              <c:f>'Calculation Values'!$AU$6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Values'!$AU$3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C-11A1-4D82-BFA2-6396781E1541}"/>
            </c:ext>
          </c:extLst>
        </c:ser>
        <c:ser>
          <c:idx val="29"/>
          <c:order val="29"/>
          <c:tx>
            <c:strRef>
              <c:f>'Calculation Values'!$AV$6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Values'!$AV$3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D-11A1-4D82-BFA2-6396781E1541}"/>
            </c:ext>
          </c:extLst>
        </c:ser>
        <c:ser>
          <c:idx val="30"/>
          <c:order val="30"/>
          <c:tx>
            <c:strRef>
              <c:f>'Calculation Values'!$AW$6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Values'!$AW$3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E-11A1-4D82-BFA2-6396781E1541}"/>
            </c:ext>
          </c:extLst>
        </c:ser>
        <c:ser>
          <c:idx val="31"/>
          <c:order val="31"/>
          <c:tx>
            <c:strRef>
              <c:f>'Calculation Values'!$AX$6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Values'!$AX$3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F-11A1-4D82-BFA2-6396781E1541}"/>
            </c:ext>
          </c:extLst>
        </c:ser>
        <c:ser>
          <c:idx val="32"/>
          <c:order val="32"/>
          <c:tx>
            <c:strRef>
              <c:f>'Calculation Values'!$AY$6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Values'!$AY$3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0-11A1-4D82-BFA2-6396781E1541}"/>
            </c:ext>
          </c:extLst>
        </c:ser>
        <c:ser>
          <c:idx val="33"/>
          <c:order val="33"/>
          <c:tx>
            <c:strRef>
              <c:f>'Calculation Values'!$AZ$6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Values'!$AZ$3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1-11A1-4D82-BFA2-6396781E1541}"/>
            </c:ext>
          </c:extLst>
        </c:ser>
        <c:ser>
          <c:idx val="34"/>
          <c:order val="34"/>
          <c:tx>
            <c:strRef>
              <c:f>'Calculation Values'!$BA$6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Values'!$BA$3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2-11A1-4D82-BFA2-6396781E1541}"/>
            </c:ext>
          </c:extLst>
        </c:ser>
        <c:ser>
          <c:idx val="35"/>
          <c:order val="35"/>
          <c:tx>
            <c:strRef>
              <c:f>'Calculation Values'!$BB$6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Values'!$BB$3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3-11A1-4D82-BFA2-6396781E1541}"/>
            </c:ext>
          </c:extLst>
        </c:ser>
        <c:ser>
          <c:idx val="36"/>
          <c:order val="36"/>
          <c:tx>
            <c:strRef>
              <c:f>'Calculation Values'!$BC$6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Values'!$BC$3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4-11A1-4D82-BFA2-6396781E1541}"/>
            </c:ext>
          </c:extLst>
        </c:ser>
        <c:ser>
          <c:idx val="37"/>
          <c:order val="37"/>
          <c:tx>
            <c:strRef>
              <c:f>'Calculation Values'!$BD$6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Values'!$BD$3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5-11A1-4D82-BFA2-6396781E1541}"/>
            </c:ext>
          </c:extLst>
        </c:ser>
        <c:ser>
          <c:idx val="38"/>
          <c:order val="38"/>
          <c:tx>
            <c:strRef>
              <c:f>'Calculation Values'!$BE$6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Values'!$BE$3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6-11A1-4D82-BFA2-6396781E1541}"/>
            </c:ext>
          </c:extLst>
        </c:ser>
        <c:ser>
          <c:idx val="39"/>
          <c:order val="39"/>
          <c:tx>
            <c:strRef>
              <c:f>'Calculation Values'!$BF$6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Values'!$BF$3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7-11A1-4D82-BFA2-6396781E1541}"/>
            </c:ext>
          </c:extLst>
        </c:ser>
        <c:ser>
          <c:idx val="40"/>
          <c:order val="40"/>
          <c:tx>
            <c:strRef>
              <c:f>'Calculation Values'!$BG$6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Values'!$BG$3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8-11A1-4D82-BFA2-6396781E1541}"/>
            </c:ext>
          </c:extLst>
        </c:ser>
        <c:ser>
          <c:idx val="41"/>
          <c:order val="41"/>
          <c:tx>
            <c:strRef>
              <c:f>'Calculation Values'!$BH$6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Values'!$BH$3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11A1-4D82-BFA2-6396781E1541}"/>
            </c:ext>
          </c:extLst>
        </c:ser>
        <c:ser>
          <c:idx val="42"/>
          <c:order val="42"/>
          <c:tx>
            <c:strRef>
              <c:f>'Calculation Values'!$BI$6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Values'!$BI$3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A-11A1-4D82-BFA2-6396781E1541}"/>
            </c:ext>
          </c:extLst>
        </c:ser>
        <c:ser>
          <c:idx val="43"/>
          <c:order val="43"/>
          <c:tx>
            <c:strRef>
              <c:f>'Calculation Values'!$BJ$6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Values'!$BJ$3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B-11A1-4D82-BFA2-6396781E1541}"/>
            </c:ext>
          </c:extLst>
        </c:ser>
        <c:ser>
          <c:idx val="44"/>
          <c:order val="44"/>
          <c:tx>
            <c:strRef>
              <c:f>'Calculation Values'!$BK$6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Values'!$BK$3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C-11A1-4D82-BFA2-6396781E1541}"/>
            </c:ext>
          </c:extLst>
        </c:ser>
        <c:ser>
          <c:idx val="45"/>
          <c:order val="45"/>
          <c:tx>
            <c:strRef>
              <c:f>'Calculation Values'!$BL$6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Values'!$BL$3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D-11A1-4D82-BFA2-6396781E1541}"/>
            </c:ext>
          </c:extLst>
        </c:ser>
        <c:ser>
          <c:idx val="46"/>
          <c:order val="46"/>
          <c:tx>
            <c:strRef>
              <c:f>'Calculation Values'!$BM$6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Values'!$BM$3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E-11A1-4D82-BFA2-6396781E1541}"/>
            </c:ext>
          </c:extLst>
        </c:ser>
        <c:ser>
          <c:idx val="47"/>
          <c:order val="47"/>
          <c:tx>
            <c:strRef>
              <c:f>'Calculation Values'!$BN$6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Values'!$BN$3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F-11A1-4D82-BFA2-6396781E1541}"/>
            </c:ext>
          </c:extLst>
        </c:ser>
        <c:ser>
          <c:idx val="48"/>
          <c:order val="48"/>
          <c:tx>
            <c:strRef>
              <c:f>'Calculation Values'!$BO$6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Values'!$BO$3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0-11A1-4D82-BFA2-6396781E1541}"/>
            </c:ext>
          </c:extLst>
        </c:ser>
        <c:ser>
          <c:idx val="49"/>
          <c:order val="49"/>
          <c:tx>
            <c:strRef>
              <c:f>'Calculation Values'!$BP$6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Values'!$BP$3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1-11A1-4D82-BFA2-6396781E1541}"/>
            </c:ext>
          </c:extLst>
        </c:ser>
        <c:ser>
          <c:idx val="50"/>
          <c:order val="50"/>
          <c:tx>
            <c:strRef>
              <c:f>'Calculation Values'!$BQ$6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Values'!$BQ$3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2-11A1-4D82-BFA2-6396781E1541}"/>
            </c:ext>
          </c:extLst>
        </c:ser>
        <c:ser>
          <c:idx val="51"/>
          <c:order val="51"/>
          <c:tx>
            <c:strRef>
              <c:f>'Calculation Values'!$BR$6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Values'!$BR$3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3-11A1-4D82-BFA2-6396781E1541}"/>
            </c:ext>
          </c:extLst>
        </c:ser>
        <c:ser>
          <c:idx val="52"/>
          <c:order val="52"/>
          <c:tx>
            <c:strRef>
              <c:f>'Calculation Values'!$BS$6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Values'!$BS$3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4-11A1-4D82-BFA2-6396781E1541}"/>
            </c:ext>
          </c:extLst>
        </c:ser>
        <c:ser>
          <c:idx val="53"/>
          <c:order val="53"/>
          <c:tx>
            <c:strRef>
              <c:f>'Calculation Values'!$BT$6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Values'!$BT$3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5-11A1-4D82-BFA2-6396781E1541}"/>
            </c:ext>
          </c:extLst>
        </c:ser>
        <c:ser>
          <c:idx val="54"/>
          <c:order val="54"/>
          <c:tx>
            <c:strRef>
              <c:f>'Calculation Values'!$BU$6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Values'!$BU$3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6-11A1-4D82-BFA2-6396781E1541}"/>
            </c:ext>
          </c:extLst>
        </c:ser>
        <c:ser>
          <c:idx val="55"/>
          <c:order val="55"/>
          <c:tx>
            <c:strRef>
              <c:f>'Calculation Values'!$BV$6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Values'!$BV$3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7-11A1-4D82-BFA2-6396781E1541}"/>
            </c:ext>
          </c:extLst>
        </c:ser>
        <c:ser>
          <c:idx val="56"/>
          <c:order val="56"/>
          <c:tx>
            <c:strRef>
              <c:f>'Calculation Values'!$BW$6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cat>
            <c:strLit>
              <c:ptCount val="1"/>
              <c:pt idx="0">
                <c:v>Home Loads</c:v>
              </c:pt>
            </c:strLit>
          </c:cat>
          <c:val>
            <c:numRef>
              <c:f>'Calculation Values'!$BW$3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8-11A1-4D82-BFA2-6396781E1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9614736"/>
        <c:axId val="729612240"/>
      </c:barChart>
      <c:catAx>
        <c:axId val="7296147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Home</a:t>
                </a:r>
                <a:r>
                  <a:rPr lang="en-US" sz="1200" baseline="0"/>
                  <a:t> loads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729612240"/>
        <c:crosses val="autoZero"/>
        <c:auto val="1"/>
        <c:lblAlgn val="ctr"/>
        <c:lblOffset val="100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Energy</a:t>
                </a:r>
                <a:r>
                  <a:rPr lang="en-US" sz="1200" baseline="0"/>
                  <a:t> consumed</a:t>
                </a:r>
                <a:r>
                  <a:rPr lang="en-US" sz="1200"/>
                  <a:t> [Wh]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910542432195976E-2"/>
          <c:y val="0.48462344424688847"/>
          <c:w val="0.94862335958005251"/>
          <c:h val="0.50865612564558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Electricity</a:t>
            </a:r>
            <a:r>
              <a:rPr lang="en-US" baseline="0"/>
              <a:t> discharge of backup 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'Calculation Values'!$D$6</c:f>
              <c:strCache>
                <c:ptCount val="1"/>
                <c:pt idx="0">
                  <c:v>Battery Electric Vehicle</c:v>
                </c:pt>
              </c:strCache>
            </c:strRef>
          </c:tx>
          <c:spPr>
            <a:solidFill>
              <a:srgbClr val="9B2226"/>
            </a:solidFill>
            <a:ln>
              <a:noFill/>
            </a:ln>
            <a:effectLst/>
          </c:spPr>
          <c:invertIfNegative val="0"/>
          <c:val>
            <c:numRef>
              <c:f>'Calculation Values'!$D$3</c:f>
              <c:numCache>
                <c:formatCode>0</c:formatCode>
                <c:ptCount val="1"/>
                <c:pt idx="0">
                  <c:v>28662.87422482944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576-4140-A74F-7510A92E6D3E}"/>
            </c:ext>
          </c:extLst>
        </c:ser>
        <c:ser>
          <c:idx val="1"/>
          <c:order val="1"/>
          <c:tx>
            <c:strRef>
              <c:f>'Calculation Values'!$E$6</c:f>
              <c:strCache>
                <c:ptCount val="1"/>
                <c:pt idx="0">
                  <c:v>Plug-In Hybrid Electric Vehicle (Battery)</c:v>
                </c:pt>
              </c:strCache>
            </c:strRef>
          </c:tx>
          <c:spPr>
            <a:solidFill>
              <a:srgbClr val="0A9396"/>
            </a:solidFill>
            <a:ln>
              <a:noFill/>
            </a:ln>
            <a:effectLst/>
          </c:spPr>
          <c:invertIfNegative val="0"/>
          <c:val>
            <c:numRef>
              <c:f>'Calculation Values'!$E$3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576-4140-A74F-7510A92E6D3E}"/>
            </c:ext>
          </c:extLst>
        </c:ser>
        <c:ser>
          <c:idx val="6"/>
          <c:order val="2"/>
          <c:tx>
            <c:strRef>
              <c:f>'Calculation Values'!$F$6</c:f>
              <c:strCache>
                <c:ptCount val="1"/>
                <c:pt idx="0">
                  <c:v>Plug-In Hybrid Electric Vehicle (Engine)</c:v>
                </c:pt>
              </c:strCache>
            </c:strRef>
          </c:tx>
          <c:spPr>
            <a:solidFill>
              <a:srgbClr val="005F73"/>
            </a:solidFill>
            <a:ln>
              <a:noFill/>
            </a:ln>
            <a:effectLst/>
          </c:spPr>
          <c:invertIfNegative val="0"/>
          <c:val>
            <c:numRef>
              <c:f>'Calculation Values'!$F$3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F4-4A6B-BD00-BD961B6C4FDB}"/>
            </c:ext>
          </c:extLst>
        </c:ser>
        <c:ser>
          <c:idx val="2"/>
          <c:order val="3"/>
          <c:tx>
            <c:strRef>
              <c:f>'Calculation Values'!$G$6</c:f>
              <c:strCache>
                <c:ptCount val="1"/>
                <c:pt idx="0">
                  <c:v>Behind-the-Meter Storage</c:v>
                </c:pt>
              </c:strCache>
            </c:strRef>
          </c:tx>
          <c:spPr>
            <a:solidFill>
              <a:srgbClr val="EE9B00"/>
            </a:solidFill>
            <a:ln>
              <a:noFill/>
            </a:ln>
            <a:effectLst/>
          </c:spPr>
          <c:invertIfNegative val="0"/>
          <c:val>
            <c:numRef>
              <c:f>'Calculation Values'!$G$3</c:f>
              <c:numCache>
                <c:formatCode>0</c:formatCode>
                <c:ptCount val="1"/>
                <c:pt idx="0">
                  <c:v>2701.4628754102823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576-4140-A74F-7510A92E6D3E}"/>
            </c:ext>
          </c:extLst>
        </c:ser>
        <c:ser>
          <c:idx val="3"/>
          <c:order val="4"/>
          <c:tx>
            <c:strRef>
              <c:f>'Calculation Values'!$H$6</c:f>
              <c:strCache>
                <c:ptCount val="1"/>
                <c:pt idx="0">
                  <c:v>Portable Generator</c:v>
                </c:pt>
              </c:strCache>
            </c:strRef>
          </c:tx>
          <c:spPr>
            <a:solidFill>
              <a:srgbClr val="94D2BD"/>
            </a:solidFill>
            <a:ln>
              <a:noFill/>
            </a:ln>
            <a:effectLst/>
          </c:spPr>
          <c:invertIfNegative val="0"/>
          <c:val>
            <c:numRef>
              <c:f>'Calculation Values'!$H$3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576-4140-A74F-7510A92E6D3E}"/>
            </c:ext>
          </c:extLst>
        </c:ser>
        <c:ser>
          <c:idx val="4"/>
          <c:order val="5"/>
          <c:tx>
            <c:strRef>
              <c:f>'Calculation Values'!$I$6</c:f>
              <c:strCache>
                <c:ptCount val="1"/>
                <c:pt idx="0">
                  <c:v>Standby Generator</c:v>
                </c:pt>
              </c:strCache>
            </c:strRef>
          </c:tx>
          <c:spPr>
            <a:solidFill>
              <a:srgbClr val="CA6702"/>
            </a:solidFill>
            <a:ln>
              <a:noFill/>
            </a:ln>
            <a:effectLst/>
          </c:spPr>
          <c:invertIfNegative val="0"/>
          <c:val>
            <c:numRef>
              <c:f>'Calculation Values'!$I$3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576-4140-A74F-7510A92E6D3E}"/>
            </c:ext>
          </c:extLst>
        </c:ser>
        <c:ser>
          <c:idx val="5"/>
          <c:order val="6"/>
          <c:tx>
            <c:strRef>
              <c:f>'Calculation Values'!$J$6</c:f>
              <c:strCache>
                <c:ptCount val="1"/>
                <c:pt idx="0">
                  <c:v>Photovoltaic Generation</c:v>
                </c:pt>
              </c:strCache>
            </c:strRef>
          </c:tx>
          <c:spPr>
            <a:solidFill>
              <a:srgbClr val="E9D8A6"/>
            </a:solidFill>
            <a:ln>
              <a:noFill/>
            </a:ln>
            <a:effectLst/>
          </c:spPr>
          <c:invertIfNegative val="0"/>
          <c:val>
            <c:numRef>
              <c:f>'Calculation Values'!$J$3</c:f>
              <c:numCache>
                <c:formatCode>0</c:formatCode>
                <c:ptCount val="1"/>
                <c:pt idx="0">
                  <c:v>53818.617439999987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576-4140-A74F-7510A92E6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9614736"/>
        <c:axId val="729612240"/>
      </c:barChart>
      <c:catAx>
        <c:axId val="7296147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Backup</a:t>
                </a:r>
                <a:r>
                  <a:rPr lang="en-US" sz="1200" baseline="0"/>
                  <a:t> sources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729612240"/>
        <c:crosses val="autoZero"/>
        <c:auto val="1"/>
        <c:lblAlgn val="ctr"/>
        <c:lblOffset val="100"/>
        <c:noMultiLvlLbl val="1"/>
      </c:catAx>
      <c:valAx>
        <c:axId val="7296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Energy</a:t>
                </a:r>
                <a:r>
                  <a:rPr lang="en-US" sz="1200" baseline="0"/>
                  <a:t> produced</a:t>
                </a:r>
                <a:r>
                  <a:rPr lang="en-US" sz="1200"/>
                  <a:t> [Wh]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Actual Home Load Profiles'!$B$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336042</xdr:colOff>
      <xdr:row>24</xdr:row>
      <xdr:rowOff>360598</xdr:rowOff>
    </xdr:from>
    <xdr:to>
      <xdr:col>10</xdr:col>
      <xdr:colOff>0</xdr:colOff>
      <xdr:row>26</xdr:row>
      <xdr:rowOff>114299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289292" y="6970948"/>
          <a:ext cx="3950208" cy="668101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backup sources will power the home loads. Only values for the desired backup configuration should be entered,</a:t>
          </a:r>
          <a:r>
            <a:rPr lang="en-US" sz="1050" baseline="0">
              <a:solidFill>
                <a:srgbClr val="001219"/>
              </a:solidFill>
            </a:rPr>
            <a:t> the rest should be left blank or "0".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5</xdr:col>
      <xdr:colOff>107497</xdr:colOff>
      <xdr:row>27</xdr:row>
      <xdr:rowOff>108856</xdr:rowOff>
    </xdr:from>
    <xdr:to>
      <xdr:col>5</xdr:col>
      <xdr:colOff>1088572</xdr:colOff>
      <xdr:row>29</xdr:row>
      <xdr:rowOff>179615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917747" y="5642881"/>
          <a:ext cx="981075" cy="623209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1</a:t>
          </a:r>
          <a:r>
            <a:rPr lang="en-US" sz="1050" baseline="0">
              <a:solidFill>
                <a:srgbClr val="001219"/>
              </a:solidFill>
            </a:rPr>
            <a:t> gal (US) = 3.785 L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206378</xdr:colOff>
      <xdr:row>57</xdr:row>
      <xdr:rowOff>65183</xdr:rowOff>
    </xdr:from>
    <xdr:to>
      <xdr:col>10</xdr:col>
      <xdr:colOff>0</xdr:colOff>
      <xdr:row>64</xdr:row>
      <xdr:rowOff>17558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434198" y="16272923"/>
          <a:ext cx="1637662" cy="123253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To change the default</a:t>
          </a:r>
          <a:r>
            <a:rPr lang="en-US" sz="1050" baseline="0">
              <a:solidFill>
                <a:srgbClr val="001219"/>
              </a:solidFill>
            </a:rPr>
            <a:t> daily running time, and running and starting watts, go to the "List Options" tab and change values in columns E, G, and I, respectively.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208026</xdr:colOff>
      <xdr:row>52</xdr:row>
      <xdr:rowOff>163084</xdr:rowOff>
    </xdr:from>
    <xdr:to>
      <xdr:col>10</xdr:col>
      <xdr:colOff>0</xdr:colOff>
      <xdr:row>56</xdr:row>
      <xdr:rowOff>115459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435846" y="15456424"/>
          <a:ext cx="1636014" cy="68389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priority</a:t>
          </a:r>
          <a:r>
            <a:rPr lang="en-US" sz="1050" baseline="0">
              <a:solidFill>
                <a:srgbClr val="001219"/>
              </a:solidFill>
            </a:rPr>
            <a:t> order of the appliances is used in the optimization process.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209550</xdr:colOff>
      <xdr:row>48</xdr:row>
      <xdr:rowOff>0</xdr:rowOff>
    </xdr:from>
    <xdr:to>
      <xdr:col>10</xdr:col>
      <xdr:colOff>0</xdr:colOff>
      <xdr:row>52</xdr:row>
      <xdr:rowOff>30480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437370" y="14196060"/>
          <a:ext cx="1634490" cy="1127760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For</a:t>
          </a:r>
          <a:r>
            <a:rPr lang="en-US" sz="1050" baseline="0">
              <a:solidFill>
                <a:srgbClr val="001219"/>
              </a:solidFill>
            </a:rPr>
            <a:t> pre-selected appliances that are not running in the home, enter "0" in the quantity and priority cells, or leave them blank.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7</xdr:col>
      <xdr:colOff>238125</xdr:colOff>
      <xdr:row>38</xdr:row>
      <xdr:rowOff>78105</xdr:rowOff>
    </xdr:from>
    <xdr:to>
      <xdr:col>10</xdr:col>
      <xdr:colOff>0</xdr:colOff>
      <xdr:row>40</xdr:row>
      <xdr:rowOff>342900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8267700" y="10155555"/>
          <a:ext cx="3067050" cy="62674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For standby</a:t>
          </a:r>
          <a:r>
            <a:rPr lang="en-US" sz="1050" baseline="0">
              <a:solidFill>
                <a:srgbClr val="001219"/>
              </a:solidFill>
            </a:rPr>
            <a:t> generators powered by natural gas, the fuel source is considered infinite.</a:t>
          </a:r>
        </a:p>
      </xdr:txBody>
    </xdr:sp>
    <xdr:clientData/>
  </xdr:twoCellAnchor>
  <xdr:twoCellAnchor>
    <xdr:from>
      <xdr:col>6</xdr:col>
      <xdr:colOff>1028701</xdr:colOff>
      <xdr:row>31</xdr:row>
      <xdr:rowOff>0</xdr:rowOff>
    </xdr:from>
    <xdr:to>
      <xdr:col>10</xdr:col>
      <xdr:colOff>1</xdr:colOff>
      <xdr:row>32</xdr:row>
      <xdr:rowOff>315685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981951" y="9172575"/>
          <a:ext cx="3086100" cy="67763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pre-determined</a:t>
          </a:r>
          <a:r>
            <a:rPr lang="en-US" sz="1050" baseline="0">
              <a:solidFill>
                <a:srgbClr val="001219"/>
              </a:solidFill>
            </a:rPr>
            <a:t> PV generation datasets use NREL's System Advisor Model (SAM) in Austin, TX with south-facing, roof-mounted panels tilted at 20⁰.</a:t>
          </a:r>
        </a:p>
      </xdr:txBody>
    </xdr:sp>
    <xdr:clientData/>
  </xdr:twoCellAnchor>
  <xdr:twoCellAnchor>
    <xdr:from>
      <xdr:col>20</xdr:col>
      <xdr:colOff>62865</xdr:colOff>
      <xdr:row>1</xdr:row>
      <xdr:rowOff>9531</xdr:rowOff>
    </xdr:from>
    <xdr:to>
      <xdr:col>32</xdr:col>
      <xdr:colOff>485775</xdr:colOff>
      <xdr:row>31</xdr:row>
      <xdr:rowOff>137585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336042</xdr:colOff>
      <xdr:row>26</xdr:row>
      <xdr:rowOff>238125</xdr:rowOff>
    </xdr:from>
    <xdr:to>
      <xdr:col>10</xdr:col>
      <xdr:colOff>0</xdr:colOff>
      <xdr:row>30</xdr:row>
      <xdr:rowOff>185057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289292" y="7762875"/>
          <a:ext cx="3950208" cy="1032782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battery size entered is assumed to be for a fully charged</a:t>
          </a:r>
          <a:r>
            <a:rPr lang="en-US" sz="1050" baseline="0">
              <a:solidFill>
                <a:srgbClr val="001219"/>
              </a:solidFill>
            </a:rPr>
            <a:t> (100% state-of-charge(SoC)) battery. For the battery to remain above and/or below a certain SoC, enter the desired percentage. If the battery may be fully depleted, enter '0' for minimum SoC; and if it may be fully charged, enter a '100' for maximum SoC.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3</xdr:col>
      <xdr:colOff>133435</xdr:colOff>
      <xdr:row>6</xdr:row>
      <xdr:rowOff>3348</xdr:rowOff>
    </xdr:from>
    <xdr:to>
      <xdr:col>5</xdr:col>
      <xdr:colOff>645459</xdr:colOff>
      <xdr:row>7</xdr:row>
      <xdr:rowOff>349624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029035" y="1150830"/>
          <a:ext cx="3443483" cy="713829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</a:t>
          </a:r>
          <a:r>
            <a:rPr lang="en-US" sz="1050" baseline="0">
              <a:solidFill>
                <a:srgbClr val="001219"/>
              </a:solidFill>
            </a:rPr>
            <a:t> weather condition determines the temperature, PV generation, HVAC appliances, and actual home load profiles.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3</xdr:col>
      <xdr:colOff>156488</xdr:colOff>
      <xdr:row>125</xdr:row>
      <xdr:rowOff>0</xdr:rowOff>
    </xdr:from>
    <xdr:to>
      <xdr:col>3</xdr:col>
      <xdr:colOff>1643743</xdr:colOff>
      <xdr:row>127</xdr:row>
      <xdr:rowOff>21771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52088" y="28760057"/>
          <a:ext cx="1487255" cy="751114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aseline="0">
              <a:solidFill>
                <a:srgbClr val="001219"/>
              </a:solidFill>
            </a:rPr>
            <a:t>The simulation run time can be up to 1 week.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4</xdr:col>
      <xdr:colOff>207169</xdr:colOff>
      <xdr:row>128</xdr:row>
      <xdr:rowOff>0</xdr:rowOff>
    </xdr:from>
    <xdr:to>
      <xdr:col>5</xdr:col>
      <xdr:colOff>876300</xdr:colOff>
      <xdr:row>133</xdr:row>
      <xdr:rowOff>18288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4874419" y="28622625"/>
          <a:ext cx="1812131" cy="923163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This button</a:t>
          </a:r>
          <a:r>
            <a:rPr lang="en-US" sz="1050" baseline="0">
              <a:solidFill>
                <a:srgbClr val="001219"/>
              </a:solidFill>
            </a:rPr>
            <a:t> calls a Python script to solve for the optimal times to turn on backup sources and home loads.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128</xdr:row>
          <xdr:rowOff>68580</xdr:rowOff>
        </xdr:from>
        <xdr:to>
          <xdr:col>3</xdr:col>
          <xdr:colOff>1722120</xdr:colOff>
          <xdr:row>130</xdr:row>
          <xdr:rowOff>121920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SCENARIO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0</xdr:colOff>
      <xdr:row>1</xdr:row>
      <xdr:rowOff>2</xdr:rowOff>
    </xdr:from>
    <xdr:to>
      <xdr:col>42</xdr:col>
      <xdr:colOff>594360</xdr:colOff>
      <xdr:row>25</xdr:row>
      <xdr:rowOff>457200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906780</xdr:colOff>
          <xdr:row>119</xdr:row>
          <xdr:rowOff>0</xdr:rowOff>
        </xdr:from>
        <xdr:to>
          <xdr:col>2</xdr:col>
          <xdr:colOff>1935480</xdr:colOff>
          <xdr:row>120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152400</xdr:colOff>
      <xdr:row>118</xdr:row>
      <xdr:rowOff>0</xdr:rowOff>
    </xdr:from>
    <xdr:to>
      <xdr:col>4</xdr:col>
      <xdr:colOff>936172</xdr:colOff>
      <xdr:row>119</xdr:row>
      <xdr:rowOff>174172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3048000" y="27236057"/>
          <a:ext cx="2569029" cy="544286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This</a:t>
          </a:r>
          <a:r>
            <a:rPr lang="en-US" sz="1050" baseline="0">
              <a:solidFill>
                <a:srgbClr val="001219"/>
              </a:solidFill>
            </a:rPr>
            <a:t> load profile corresponds to the selected weather condition and home size.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9</xdr:col>
      <xdr:colOff>261257</xdr:colOff>
      <xdr:row>12</xdr:row>
      <xdr:rowOff>4081</xdr:rowOff>
    </xdr:from>
    <xdr:to>
      <xdr:col>10</xdr:col>
      <xdr:colOff>0</xdr:colOff>
      <xdr:row>16</xdr:row>
      <xdr:rowOff>359229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352314" y="2845252"/>
          <a:ext cx="892629" cy="1465491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aseline="0">
              <a:solidFill>
                <a:srgbClr val="001219"/>
              </a:solidFill>
            </a:rPr>
            <a:t>Only enter values for desired backup sources, leave other 'priority' cells blank.</a:t>
          </a:r>
        </a:p>
      </xdr:txBody>
    </xdr:sp>
    <xdr:clientData/>
  </xdr:twoCellAnchor>
  <xdr:twoCellAnchor>
    <xdr:from>
      <xdr:col>43</xdr:col>
      <xdr:colOff>0</xdr:colOff>
      <xdr:row>1</xdr:row>
      <xdr:rowOff>0</xdr:rowOff>
    </xdr:from>
    <xdr:to>
      <xdr:col>52</xdr:col>
      <xdr:colOff>594360</xdr:colOff>
      <xdr:row>25</xdr:row>
      <xdr:rowOff>108857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190690</xdr:colOff>
      <xdr:row>64</xdr:row>
      <xdr:rowOff>150162</xdr:rowOff>
    </xdr:from>
    <xdr:to>
      <xdr:col>9</xdr:col>
      <xdr:colOff>1131794</xdr:colOff>
      <xdr:row>69</xdr:row>
      <xdr:rowOff>152400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9418510" y="17638062"/>
          <a:ext cx="1634524" cy="916638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Additional</a:t>
          </a:r>
          <a:r>
            <a:rPr lang="en-US" sz="1050" baseline="0">
              <a:solidFill>
                <a:srgbClr val="001219"/>
              </a:solidFill>
            </a:rPr>
            <a:t> s</a:t>
          </a:r>
          <a:r>
            <a:rPr lang="en-US" sz="1050">
              <a:solidFill>
                <a:srgbClr val="001219"/>
              </a:solidFill>
            </a:rPr>
            <a:t>tarting watts are</a:t>
          </a:r>
          <a:r>
            <a:rPr lang="en-US" sz="1050" baseline="0">
              <a:solidFill>
                <a:srgbClr val="001219"/>
              </a:solidFill>
            </a:rPr>
            <a:t> watts needed for an appliance to start in addition to the running watts.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5</xdr:col>
      <xdr:colOff>1012542</xdr:colOff>
      <xdr:row>128</xdr:row>
      <xdr:rowOff>0</xdr:rowOff>
    </xdr:from>
    <xdr:to>
      <xdr:col>7</xdr:col>
      <xdr:colOff>157673</xdr:colOff>
      <xdr:row>133</xdr:row>
      <xdr:rowOff>18288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36399" y="29500286"/>
          <a:ext cx="1474674" cy="943573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optimization objective is</a:t>
          </a:r>
          <a:r>
            <a:rPr lang="en-US" sz="1050" baseline="0">
              <a:solidFill>
                <a:srgbClr val="001219"/>
              </a:solidFill>
            </a:rPr>
            <a:t> to maximize home loads while minimizing backup source use.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20</xdr:col>
      <xdr:colOff>0</xdr:colOff>
      <xdr:row>40</xdr:row>
      <xdr:rowOff>0</xdr:rowOff>
    </xdr:from>
    <xdr:to>
      <xdr:col>32</xdr:col>
      <xdr:colOff>422910</xdr:colOff>
      <xdr:row>89</xdr:row>
      <xdr:rowOff>10886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990599</xdr:colOff>
      <xdr:row>40</xdr:row>
      <xdr:rowOff>0</xdr:rowOff>
    </xdr:from>
    <xdr:to>
      <xdr:col>37</xdr:col>
      <xdr:colOff>609599</xdr:colOff>
      <xdr:row>96</xdr:row>
      <xdr:rowOff>60960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816425</xdr:colOff>
      <xdr:row>39</xdr:row>
      <xdr:rowOff>180975</xdr:rowOff>
    </xdr:from>
    <xdr:to>
      <xdr:col>42</xdr:col>
      <xdr:colOff>435425</xdr:colOff>
      <xdr:row>69</xdr:row>
      <xdr:rowOff>152401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130630</xdr:colOff>
      <xdr:row>125</xdr:row>
      <xdr:rowOff>1</xdr:rowOff>
    </xdr:from>
    <xdr:to>
      <xdr:col>8</xdr:col>
      <xdr:colOff>43543</xdr:colOff>
      <xdr:row>127</xdr:row>
      <xdr:rowOff>10885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097487" y="28760058"/>
          <a:ext cx="2275113" cy="566056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Enter as 'hh:mm'</a:t>
          </a:r>
          <a:r>
            <a:rPr lang="en-US" sz="1050" baseline="0">
              <a:solidFill>
                <a:srgbClr val="001219"/>
              </a:solidFill>
            </a:rPr>
            <a:t> in 24-hour time.</a:t>
          </a:r>
          <a:endParaRPr lang="en-US" sz="1050">
            <a:solidFill>
              <a:srgbClr val="001219"/>
            </a:solidFill>
          </a:endParaRPr>
        </a:p>
        <a:p>
          <a:pPr algn="ctr"/>
          <a:r>
            <a:rPr lang="en-US" sz="1050">
              <a:solidFill>
                <a:srgbClr val="001219"/>
              </a:solidFill>
            </a:rPr>
            <a:t>Default</a:t>
          </a:r>
          <a:r>
            <a:rPr lang="en-US" sz="1050" baseline="0">
              <a:solidFill>
                <a:srgbClr val="001219"/>
              </a:solidFill>
            </a:rPr>
            <a:t> start time is midnight '0:00'.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7</xdr:col>
      <xdr:colOff>315686</xdr:colOff>
      <xdr:row>128</xdr:row>
      <xdr:rowOff>0</xdr:rowOff>
    </xdr:from>
    <xdr:to>
      <xdr:col>10</xdr:col>
      <xdr:colOff>21772</xdr:colOff>
      <xdr:row>134</xdr:row>
      <xdr:rowOff>10885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69086" y="29500286"/>
          <a:ext cx="2732315" cy="1121228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If</a:t>
          </a:r>
          <a:r>
            <a:rPr lang="en-US" sz="1050" baseline="0">
              <a:solidFill>
                <a:srgbClr val="001219"/>
              </a:solidFill>
            </a:rPr>
            <a:t> the Python script name has changed: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- go to the Developer tab from the ribbon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- click "View Code" in the "Controls" group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- go to "Module1" in the project window</a:t>
          </a:r>
        </a:p>
        <a:p>
          <a:pPr algn="ctr"/>
          <a:r>
            <a:rPr lang="en-US" sz="1050" baseline="0">
              <a:solidFill>
                <a:srgbClr val="001219"/>
              </a:solidFill>
            </a:rPr>
            <a:t>Also check line 18 of the Python code for the correct Excel workbook name.</a:t>
          </a:r>
        </a:p>
      </xdr:txBody>
    </xdr:sp>
    <xdr:clientData/>
  </xdr:twoCellAnchor>
  <xdr:twoCellAnchor>
    <xdr:from>
      <xdr:col>7</xdr:col>
      <xdr:colOff>143434</xdr:colOff>
      <xdr:row>6</xdr:row>
      <xdr:rowOff>0</xdr:rowOff>
    </xdr:from>
    <xdr:to>
      <xdr:col>9</xdr:col>
      <xdr:colOff>304800</xdr:colOff>
      <xdr:row>7</xdr:row>
      <xdr:rowOff>349624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53984" y="1152525"/>
          <a:ext cx="1866341" cy="711574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</a:t>
          </a:r>
          <a:r>
            <a:rPr lang="en-US" sz="1050" baseline="0">
              <a:solidFill>
                <a:srgbClr val="001219"/>
              </a:solidFill>
            </a:rPr>
            <a:t> home size determines the actual home load profile and heating/cooling appliances.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8</xdr:col>
      <xdr:colOff>152400</xdr:colOff>
      <xdr:row>125</xdr:row>
      <xdr:rowOff>0</xdr:rowOff>
    </xdr:from>
    <xdr:to>
      <xdr:col>9</xdr:col>
      <xdr:colOff>944330</xdr:colOff>
      <xdr:row>127</xdr:row>
      <xdr:rowOff>21771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525000" y="28270200"/>
          <a:ext cx="1487255" cy="564696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</a:t>
          </a:r>
          <a:r>
            <a:rPr lang="en-US" sz="1050" baseline="0">
              <a:solidFill>
                <a:srgbClr val="001219"/>
              </a:solidFill>
            </a:rPr>
            <a:t> tool uses 15-minute time steps.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  <xdr:twoCellAnchor>
    <xdr:from>
      <xdr:col>6</xdr:col>
      <xdr:colOff>1189298</xdr:colOff>
      <xdr:row>33</xdr:row>
      <xdr:rowOff>111475</xdr:rowOff>
    </xdr:from>
    <xdr:to>
      <xdr:col>10</xdr:col>
      <xdr:colOff>2755</xdr:colOff>
      <xdr:row>36</xdr:row>
      <xdr:rowOff>308658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172690" y="9747399"/>
          <a:ext cx="3086445" cy="939892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aseline="0">
              <a:solidFill>
                <a:srgbClr val="001219"/>
              </a:solidFill>
            </a:rPr>
            <a:t>The south-facing roofs are 560 sq ft for the small and medium homes, and 838 sq ft for the large homes. Assuming 75% of the roof area is usable, 23 standard PV panels fit on the small and medium homes, and 35 panels fit on the large homes.</a:t>
          </a:r>
        </a:p>
      </xdr:txBody>
    </xdr:sp>
    <xdr:clientData/>
  </xdr:twoCellAnchor>
  <xdr:twoCellAnchor>
    <xdr:from>
      <xdr:col>5</xdr:col>
      <xdr:colOff>205174</xdr:colOff>
      <xdr:row>13</xdr:row>
      <xdr:rowOff>9455</xdr:rowOff>
    </xdr:from>
    <xdr:to>
      <xdr:col>5</xdr:col>
      <xdr:colOff>945265</xdr:colOff>
      <xdr:row>17</xdr:row>
      <xdr:rowOff>28937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040744" y="3211784"/>
          <a:ext cx="740091" cy="1119077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aseline="0">
              <a:solidFill>
                <a:srgbClr val="001219"/>
              </a:solidFill>
            </a:rPr>
            <a:t>Maximum interface kW ac rating for a house: 19.2 kW.</a:t>
          </a:r>
        </a:p>
      </xdr:txBody>
    </xdr:sp>
    <xdr:clientData/>
  </xdr:twoCellAnchor>
  <xdr:twoCellAnchor>
    <xdr:from>
      <xdr:col>5</xdr:col>
      <xdr:colOff>86511</xdr:colOff>
      <xdr:row>17</xdr:row>
      <xdr:rowOff>154923</xdr:rowOff>
    </xdr:from>
    <xdr:to>
      <xdr:col>5</xdr:col>
      <xdr:colOff>1072115</xdr:colOff>
      <xdr:row>22</xdr:row>
      <xdr:rowOff>26581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907837" y="4443388"/>
          <a:ext cx="985604" cy="1342495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aseline="0">
              <a:solidFill>
                <a:srgbClr val="001219"/>
              </a:solidFill>
            </a:rPr>
            <a:t>The peak interface kW ac rating is 40% of the continuous interface kW ac rating.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113</xdr:row>
      <xdr:rowOff>180974</xdr:rowOff>
    </xdr:from>
    <xdr:to>
      <xdr:col>4</xdr:col>
      <xdr:colOff>714375</xdr:colOff>
      <xdr:row>120</xdr:row>
      <xdr:rowOff>19050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09601" y="20812124"/>
          <a:ext cx="3781424" cy="1104901"/>
        </a:xfrm>
        <a:prstGeom prst="rect">
          <a:avLst/>
        </a:prstGeom>
        <a:solidFill>
          <a:srgbClr val="94D2BD"/>
        </a:solidFill>
        <a:ln w="12700">
          <a:solidFill>
            <a:srgbClr val="0012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rgbClr val="001219"/>
              </a:solidFill>
            </a:rPr>
            <a:t>The starting watts for actual home load</a:t>
          </a:r>
          <a:r>
            <a:rPr lang="en-US" sz="1050" baseline="0">
              <a:solidFill>
                <a:srgbClr val="001219"/>
              </a:solidFill>
            </a:rPr>
            <a:t> profiles are determined from the starting watts of a heat pump. The assumption is that a heat pump will require the most power to start and it may turn on at any time interval within the day. The starting watt value is the starting-to-running watts ratio (1.33) times the maximum of the running watts of a heat pump for the selected home size.</a:t>
          </a:r>
          <a:endParaRPr lang="en-US" sz="1050">
            <a:solidFill>
              <a:srgbClr val="001219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4579-888A-428E-8B6B-8674898D7529}">
  <sheetPr codeName="Sheet2"/>
  <dimension ref="A1:G24"/>
  <sheetViews>
    <sheetView workbookViewId="0"/>
  </sheetViews>
  <sheetFormatPr defaultRowHeight="14.4" x14ac:dyDescent="0.3"/>
  <cols>
    <col min="2" max="2" width="37.44140625" bestFit="1" customWidth="1"/>
    <col min="3" max="3" width="63.88671875" customWidth="1"/>
    <col min="6" max="6" width="11.5546875" bestFit="1" customWidth="1"/>
    <col min="7" max="7" width="49.5546875" bestFit="1" customWidth="1"/>
  </cols>
  <sheetData>
    <row r="1" spans="1:7" x14ac:dyDescent="0.3">
      <c r="A1" s="43"/>
      <c r="B1" s="43"/>
      <c r="C1" s="43"/>
      <c r="D1" s="43"/>
    </row>
    <row r="2" spans="1:7" x14ac:dyDescent="0.3">
      <c r="A2" s="43"/>
      <c r="B2" s="52" t="s">
        <v>163</v>
      </c>
      <c r="C2" s="52" t="s">
        <v>162</v>
      </c>
      <c r="D2" s="43"/>
      <c r="F2" s="52" t="s">
        <v>172</v>
      </c>
      <c r="G2" s="52" t="s">
        <v>173</v>
      </c>
    </row>
    <row r="3" spans="1:7" ht="15.6" customHeight="1" x14ac:dyDescent="0.3">
      <c r="A3" s="43"/>
      <c r="B3" s="43" t="s">
        <v>168</v>
      </c>
      <c r="C3" s="43" t="s">
        <v>170</v>
      </c>
      <c r="D3" s="43"/>
      <c r="F3" s="46"/>
      <c r="G3" s="43" t="s">
        <v>174</v>
      </c>
    </row>
    <row r="4" spans="1:7" x14ac:dyDescent="0.3">
      <c r="A4" s="43"/>
      <c r="B4" s="43" t="s">
        <v>169</v>
      </c>
      <c r="C4" s="43" t="s">
        <v>171</v>
      </c>
      <c r="D4" s="43"/>
      <c r="F4" s="47"/>
      <c r="G4" s="43" t="s">
        <v>175</v>
      </c>
    </row>
    <row r="5" spans="1:7" ht="28.8" x14ac:dyDescent="0.3">
      <c r="A5" s="43"/>
      <c r="B5" s="235" t="s">
        <v>274</v>
      </c>
      <c r="C5" s="44" t="s">
        <v>161</v>
      </c>
      <c r="D5" s="43"/>
      <c r="F5" s="48"/>
      <c r="G5" s="43" t="s">
        <v>176</v>
      </c>
    </row>
    <row r="6" spans="1:7" ht="28.8" x14ac:dyDescent="0.3">
      <c r="A6" s="43"/>
      <c r="B6" s="44" t="s">
        <v>165</v>
      </c>
      <c r="C6" s="44" t="s">
        <v>164</v>
      </c>
      <c r="D6" s="43"/>
      <c r="F6" s="49"/>
      <c r="G6" s="43" t="s">
        <v>177</v>
      </c>
    </row>
    <row r="7" spans="1:7" ht="28.8" x14ac:dyDescent="0.3">
      <c r="A7" s="43"/>
      <c r="B7" s="44" t="s">
        <v>144</v>
      </c>
      <c r="C7" s="44" t="s">
        <v>167</v>
      </c>
      <c r="D7" s="43"/>
      <c r="F7" s="50"/>
      <c r="G7" s="43" t="s">
        <v>178</v>
      </c>
    </row>
    <row r="8" spans="1:7" ht="43.2" x14ac:dyDescent="0.3">
      <c r="B8" s="44" t="s">
        <v>45</v>
      </c>
      <c r="C8" s="44" t="s">
        <v>166</v>
      </c>
      <c r="F8" s="51"/>
      <c r="G8" s="43" t="s">
        <v>179</v>
      </c>
    </row>
    <row r="9" spans="1:7" ht="28.8" x14ac:dyDescent="0.3">
      <c r="B9" s="53" t="s">
        <v>181</v>
      </c>
      <c r="C9" s="235" t="s">
        <v>273</v>
      </c>
    </row>
    <row r="10" spans="1:7" x14ac:dyDescent="0.3">
      <c r="B10" s="45"/>
      <c r="C10" s="45"/>
    </row>
    <row r="11" spans="1:7" x14ac:dyDescent="0.3">
      <c r="B11" s="45"/>
      <c r="C11" s="45"/>
    </row>
    <row r="12" spans="1:7" x14ac:dyDescent="0.3">
      <c r="B12" s="45"/>
      <c r="C12" s="45"/>
    </row>
    <row r="13" spans="1:7" x14ac:dyDescent="0.3">
      <c r="B13" s="45"/>
    </row>
    <row r="14" spans="1:7" x14ac:dyDescent="0.3">
      <c r="B14" s="45"/>
      <c r="C14" s="45"/>
    </row>
    <row r="15" spans="1:7" x14ac:dyDescent="0.3">
      <c r="B15" s="45"/>
      <c r="C15" s="45"/>
    </row>
    <row r="16" spans="1:7" x14ac:dyDescent="0.3">
      <c r="B16" s="45"/>
      <c r="C16" s="45"/>
    </row>
    <row r="17" spans="2:3" x14ac:dyDescent="0.3">
      <c r="B17" s="45"/>
      <c r="C17" s="112"/>
    </row>
    <row r="18" spans="2:3" x14ac:dyDescent="0.3">
      <c r="B18" s="45"/>
      <c r="C18" s="112"/>
    </row>
    <row r="19" spans="2:3" x14ac:dyDescent="0.3">
      <c r="B19" s="45"/>
      <c r="C19" s="45"/>
    </row>
    <row r="20" spans="2:3" x14ac:dyDescent="0.3">
      <c r="B20" s="45"/>
      <c r="C20" s="45"/>
    </row>
    <row r="21" spans="2:3" x14ac:dyDescent="0.3">
      <c r="B21" s="45"/>
      <c r="C21" s="45"/>
    </row>
    <row r="22" spans="2:3" x14ac:dyDescent="0.3">
      <c r="B22" s="45"/>
      <c r="C22" s="45"/>
    </row>
    <row r="23" spans="2:3" x14ac:dyDescent="0.3">
      <c r="B23" s="45"/>
      <c r="C23" s="45"/>
    </row>
    <row r="24" spans="2:3" x14ac:dyDescent="0.3">
      <c r="B24" s="45"/>
      <c r="C24" s="4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135"/>
  <sheetViews>
    <sheetView tabSelected="1" zoomScale="69" zoomScaleNormal="70" workbookViewId="0">
      <selection activeCell="E60" sqref="E60"/>
    </sheetView>
  </sheetViews>
  <sheetFormatPr defaultColWidth="14.44140625" defaultRowHeight="14.4" x14ac:dyDescent="0.3"/>
  <cols>
    <col min="1" max="1" width="8.6640625" style="55" customWidth="1"/>
    <col min="2" max="2" width="4.77734375" style="55" customWidth="1"/>
    <col min="3" max="3" width="28.77734375" style="55" customWidth="1"/>
    <col min="4" max="4" width="26" style="55" customWidth="1"/>
    <col min="5" max="6" width="16.6640625" style="55" customWidth="1"/>
    <col min="7" max="7" width="18.33203125" style="55" customWidth="1"/>
    <col min="8" max="8" width="14.6640625" style="55" customWidth="1"/>
    <col min="9" max="9" width="10.109375" style="55" customWidth="1"/>
    <col min="10" max="10" width="16.77734375" style="55" customWidth="1"/>
    <col min="11" max="11" width="4.77734375" style="55" customWidth="1"/>
    <col min="12" max="13" width="8.6640625" style="55" customWidth="1"/>
    <col min="14" max="14" width="4.77734375" style="55" customWidth="1"/>
    <col min="15" max="15" width="18.88671875" style="55" customWidth="1"/>
    <col min="16" max="16" width="11" style="55" customWidth="1"/>
    <col min="17" max="17" width="15.77734375" style="55" customWidth="1"/>
    <col min="18" max="18" width="4.77734375" style="55" customWidth="1"/>
    <col min="19" max="27" width="8.6640625" style="55" customWidth="1"/>
    <col min="28" max="16384" width="14.44140625" style="55"/>
  </cols>
  <sheetData>
    <row r="2" spans="2:19" x14ac:dyDescent="0.3">
      <c r="B2" s="56"/>
      <c r="C2" s="57"/>
      <c r="D2" s="57"/>
      <c r="E2" s="57"/>
      <c r="F2" s="58"/>
      <c r="G2" s="57"/>
      <c r="H2" s="58"/>
      <c r="I2" s="58"/>
      <c r="J2" s="58"/>
      <c r="K2" s="59"/>
      <c r="N2" s="60"/>
      <c r="O2" s="61"/>
      <c r="P2" s="61"/>
      <c r="Q2" s="61"/>
      <c r="R2" s="62"/>
    </row>
    <row r="3" spans="2:19" ht="18" x14ac:dyDescent="0.3">
      <c r="B3" s="63"/>
      <c r="C3" s="350" t="s">
        <v>147</v>
      </c>
      <c r="D3" s="351"/>
      <c r="E3" s="351"/>
      <c r="F3" s="351"/>
      <c r="G3" s="351"/>
      <c r="H3" s="351"/>
      <c r="I3" s="351"/>
      <c r="J3" s="352"/>
      <c r="K3" s="64"/>
      <c r="N3" s="65"/>
      <c r="O3" s="353" t="s">
        <v>0</v>
      </c>
      <c r="P3" s="354"/>
      <c r="Q3" s="355"/>
      <c r="R3" s="66"/>
    </row>
    <row r="4" spans="2:19" x14ac:dyDescent="0.3">
      <c r="B4" s="67"/>
      <c r="C4" s="68"/>
      <c r="D4" s="68"/>
      <c r="E4" s="68"/>
      <c r="F4" s="68"/>
      <c r="G4" s="68"/>
      <c r="H4" s="68"/>
      <c r="I4" s="68"/>
      <c r="J4" s="68"/>
      <c r="K4" s="69"/>
      <c r="N4" s="65"/>
      <c r="O4" s="70"/>
      <c r="P4" s="70"/>
      <c r="Q4" s="70"/>
      <c r="R4" s="66"/>
    </row>
    <row r="5" spans="2:19" ht="15.6" x14ac:dyDescent="0.3">
      <c r="B5" s="67"/>
      <c r="C5" s="324" t="s">
        <v>254</v>
      </c>
      <c r="D5" s="325"/>
      <c r="E5" s="325"/>
      <c r="F5" s="325"/>
      <c r="G5" s="325"/>
      <c r="H5" s="325"/>
      <c r="I5" s="325"/>
      <c r="J5" s="326"/>
      <c r="K5" s="69"/>
      <c r="N5" s="65"/>
      <c r="O5" s="321" t="s">
        <v>229</v>
      </c>
      <c r="P5" s="322"/>
      <c r="Q5" s="253">
        <f>MAX('Calculation Values'!EH7:EH102)/1000</f>
        <v>13.375404383561643</v>
      </c>
      <c r="R5" s="66"/>
    </row>
    <row r="6" spans="2:19" x14ac:dyDescent="0.3">
      <c r="B6" s="67"/>
      <c r="C6" s="68"/>
      <c r="D6" s="68"/>
      <c r="E6" s="68"/>
      <c r="F6" s="68"/>
      <c r="G6" s="68"/>
      <c r="H6" s="68"/>
      <c r="I6" s="68"/>
      <c r="J6" s="68"/>
      <c r="K6" s="69"/>
      <c r="N6" s="65"/>
      <c r="O6" s="45"/>
      <c r="P6" s="144"/>
      <c r="Q6" s="89"/>
      <c r="R6" s="66"/>
    </row>
    <row r="7" spans="2:19" ht="28.8" x14ac:dyDescent="0.3">
      <c r="B7" s="67"/>
      <c r="C7" s="71" t="s">
        <v>315</v>
      </c>
      <c r="D7" s="68"/>
      <c r="E7" s="68"/>
      <c r="F7" s="68"/>
      <c r="G7" s="71" t="s">
        <v>255</v>
      </c>
      <c r="H7" s="68"/>
      <c r="I7" s="68"/>
      <c r="J7" s="68"/>
      <c r="K7" s="69"/>
      <c r="N7" s="65"/>
      <c r="O7" s="321" t="s">
        <v>230</v>
      </c>
      <c r="P7" s="322"/>
      <c r="Q7" s="253">
        <f>SUM('Calculation Values'!S3:BW3)/(1000*C127)</f>
        <v>85.182954540239734</v>
      </c>
      <c r="R7" s="66"/>
    </row>
    <row r="8" spans="2:19" ht="28.8" customHeight="1" x14ac:dyDescent="0.3">
      <c r="B8" s="67"/>
      <c r="C8" s="239" t="s">
        <v>156</v>
      </c>
      <c r="D8" s="68"/>
      <c r="E8" s="68"/>
      <c r="F8" s="68"/>
      <c r="G8" s="239" t="s">
        <v>266</v>
      </c>
      <c r="H8" s="68"/>
      <c r="I8" s="68"/>
      <c r="J8" s="68"/>
      <c r="K8" s="69"/>
      <c r="N8" s="65"/>
      <c r="O8" s="321" t="s">
        <v>231</v>
      </c>
      <c r="P8" s="322"/>
      <c r="Q8" s="254">
        <f>SUM('Calculation Values'!S2:BW2)/(1000*C127)</f>
        <v>85.182954540239734</v>
      </c>
      <c r="R8" s="66"/>
    </row>
    <row r="9" spans="2:19" ht="28.8" customHeight="1" x14ac:dyDescent="0.3">
      <c r="B9" s="67"/>
      <c r="C9" s="68"/>
      <c r="D9" s="68"/>
      <c r="E9" s="68"/>
      <c r="F9" s="68"/>
      <c r="G9" s="68"/>
      <c r="H9" s="68"/>
      <c r="I9" s="68"/>
      <c r="J9" s="68"/>
      <c r="K9" s="69"/>
      <c r="N9" s="65"/>
      <c r="O9" s="321" t="s">
        <v>232</v>
      </c>
      <c r="P9" s="322"/>
      <c r="Q9" s="255">
        <f>Q7/Q8</f>
        <v>1</v>
      </c>
      <c r="R9" s="66"/>
    </row>
    <row r="10" spans="2:19" x14ac:dyDescent="0.3">
      <c r="B10" s="63"/>
      <c r="C10" s="68"/>
      <c r="D10" s="68"/>
      <c r="E10" s="68"/>
      <c r="F10" s="68"/>
      <c r="G10" s="68"/>
      <c r="H10" s="68"/>
      <c r="I10" s="68"/>
      <c r="J10" s="68"/>
      <c r="K10" s="64"/>
      <c r="N10" s="65"/>
      <c r="O10" s="70"/>
      <c r="P10" s="70"/>
      <c r="Q10" s="70"/>
      <c r="R10" s="66"/>
    </row>
    <row r="11" spans="2:19" ht="15.6" x14ac:dyDescent="0.3">
      <c r="B11" s="73"/>
      <c r="C11" s="324" t="s">
        <v>1</v>
      </c>
      <c r="D11" s="325"/>
      <c r="E11" s="325"/>
      <c r="F11" s="325"/>
      <c r="G11" s="325"/>
      <c r="H11" s="325"/>
      <c r="I11" s="325"/>
      <c r="J11" s="326"/>
      <c r="K11" s="64"/>
      <c r="N11" s="65"/>
      <c r="O11" s="321" t="s">
        <v>249</v>
      </c>
      <c r="P11" s="322"/>
      <c r="Q11" s="256">
        <v>0.62229418754577637</v>
      </c>
      <c r="R11" s="66"/>
    </row>
    <row r="12" spans="2:19" x14ac:dyDescent="0.3">
      <c r="B12" s="67"/>
      <c r="C12" s="72"/>
      <c r="D12" s="72"/>
      <c r="E12" s="72"/>
      <c r="F12" s="72"/>
      <c r="G12" s="72"/>
      <c r="H12" s="72"/>
      <c r="I12" s="72"/>
      <c r="J12" s="72"/>
      <c r="K12" s="69"/>
      <c r="N12" s="65"/>
      <c r="O12" s="45"/>
      <c r="P12" s="144"/>
      <c r="Q12" s="89"/>
      <c r="R12" s="66"/>
    </row>
    <row r="13" spans="2:19" ht="28.8" customHeight="1" x14ac:dyDescent="0.3">
      <c r="B13" s="63"/>
      <c r="C13" s="340" t="s">
        <v>2</v>
      </c>
      <c r="D13" s="341"/>
      <c r="E13" s="342"/>
      <c r="F13" s="68"/>
      <c r="G13" s="337" t="s">
        <v>206</v>
      </c>
      <c r="H13" s="338"/>
      <c r="I13" s="339"/>
      <c r="J13" s="72"/>
      <c r="K13" s="64"/>
      <c r="N13" s="65"/>
      <c r="O13" s="321" t="s">
        <v>257</v>
      </c>
      <c r="P13" s="322"/>
      <c r="Q13" s="253">
        <v>2.3152530573786989</v>
      </c>
      <c r="R13" s="66"/>
    </row>
    <row r="14" spans="2:19" x14ac:dyDescent="0.3">
      <c r="B14" s="63"/>
      <c r="C14" s="343" t="s">
        <v>3</v>
      </c>
      <c r="D14" s="105" t="s">
        <v>289</v>
      </c>
      <c r="E14" s="240">
        <v>10</v>
      </c>
      <c r="F14" s="68"/>
      <c r="G14" s="319" t="s">
        <v>241</v>
      </c>
      <c r="H14" s="320"/>
      <c r="I14" s="245">
        <v>12</v>
      </c>
      <c r="J14" s="72"/>
      <c r="K14" s="64"/>
      <c r="N14" s="121"/>
      <c r="O14" s="88"/>
      <c r="P14" s="88"/>
      <c r="Q14" s="83"/>
      <c r="R14" s="122"/>
    </row>
    <row r="15" spans="2:19" x14ac:dyDescent="0.3">
      <c r="B15" s="67"/>
      <c r="C15" s="331"/>
      <c r="D15" s="6" t="s">
        <v>148</v>
      </c>
      <c r="E15" s="240">
        <v>75</v>
      </c>
      <c r="F15" s="68"/>
      <c r="G15" s="319" t="s">
        <v>240</v>
      </c>
      <c r="H15" s="320"/>
      <c r="I15" s="245">
        <v>2</v>
      </c>
      <c r="J15" s="72"/>
      <c r="K15" s="69"/>
      <c r="M15" s="168"/>
      <c r="N15" s="168"/>
      <c r="O15" s="168"/>
      <c r="P15" s="272"/>
      <c r="Q15" s="168"/>
      <c r="R15" s="168"/>
      <c r="S15" s="168"/>
    </row>
    <row r="16" spans="2:19" ht="28.8" x14ac:dyDescent="0.3">
      <c r="B16" s="67"/>
      <c r="C16" s="331"/>
      <c r="D16" s="6" t="s">
        <v>186</v>
      </c>
      <c r="E16" s="241">
        <v>0.1</v>
      </c>
      <c r="F16" s="160"/>
      <c r="G16" s="321" t="s">
        <v>242</v>
      </c>
      <c r="H16" s="322"/>
      <c r="I16" s="245"/>
      <c r="J16" s="72"/>
      <c r="K16" s="69"/>
      <c r="M16" s="168"/>
      <c r="N16" s="168"/>
      <c r="O16" s="168"/>
      <c r="P16" s="168"/>
      <c r="Q16" s="168"/>
      <c r="R16" s="168"/>
      <c r="S16" s="168"/>
    </row>
    <row r="17" spans="2:19" ht="28.8" x14ac:dyDescent="0.3">
      <c r="B17" s="63"/>
      <c r="C17" s="331"/>
      <c r="D17" s="6" t="s">
        <v>204</v>
      </c>
      <c r="E17" s="241">
        <v>1</v>
      </c>
      <c r="F17" s="158"/>
      <c r="G17" s="321" t="s">
        <v>243</v>
      </c>
      <c r="H17" s="322"/>
      <c r="I17" s="245"/>
      <c r="J17" s="72"/>
      <c r="K17" s="64"/>
      <c r="M17" s="168"/>
      <c r="N17" s="168"/>
      <c r="O17" s="168"/>
      <c r="P17" s="168"/>
      <c r="Q17" s="168"/>
      <c r="R17" s="168"/>
      <c r="S17" s="168"/>
    </row>
    <row r="18" spans="2:19" ht="28.8" customHeight="1" x14ac:dyDescent="0.3">
      <c r="B18" s="63"/>
      <c r="C18" s="331"/>
      <c r="D18" s="6" t="s">
        <v>215</v>
      </c>
      <c r="E18" s="241">
        <v>1</v>
      </c>
      <c r="G18" s="321" t="s">
        <v>246</v>
      </c>
      <c r="H18" s="322"/>
      <c r="I18" s="245"/>
      <c r="J18" s="72"/>
      <c r="K18" s="64"/>
      <c r="M18" s="168"/>
      <c r="N18" s="168"/>
      <c r="O18" s="168"/>
      <c r="P18" s="168"/>
      <c r="Q18" s="168"/>
      <c r="R18" s="168"/>
      <c r="S18" s="168"/>
    </row>
    <row r="19" spans="2:19" ht="43.8" thickBot="1" x14ac:dyDescent="0.35">
      <c r="B19" s="67"/>
      <c r="C19" s="332"/>
      <c r="D19" s="103" t="s">
        <v>316</v>
      </c>
      <c r="E19" s="242">
        <v>0.96</v>
      </c>
      <c r="F19" s="148"/>
      <c r="G19" s="321" t="s">
        <v>211</v>
      </c>
      <c r="H19" s="322"/>
      <c r="I19" s="245">
        <v>1</v>
      </c>
      <c r="J19" s="68"/>
      <c r="K19" s="69"/>
      <c r="M19" s="168"/>
      <c r="N19" s="168"/>
      <c r="O19" s="168"/>
      <c r="P19" s="168"/>
      <c r="Q19" s="168"/>
      <c r="R19" s="168"/>
      <c r="S19" s="168"/>
    </row>
    <row r="20" spans="2:19" x14ac:dyDescent="0.3">
      <c r="B20" s="67"/>
      <c r="C20" s="330" t="s">
        <v>4</v>
      </c>
      <c r="D20" s="99" t="s">
        <v>289</v>
      </c>
      <c r="E20" s="240"/>
      <c r="F20" s="68"/>
      <c r="G20" s="321" t="s">
        <v>244</v>
      </c>
      <c r="H20" s="322"/>
      <c r="I20" s="245">
        <v>4</v>
      </c>
      <c r="J20" s="68"/>
      <c r="K20" s="69"/>
      <c r="M20" s="168"/>
      <c r="N20" s="168"/>
      <c r="O20" s="168"/>
      <c r="P20" s="168"/>
      <c r="Q20" s="168"/>
      <c r="R20" s="168"/>
      <c r="S20" s="168"/>
    </row>
    <row r="21" spans="2:19" x14ac:dyDescent="0.3">
      <c r="B21" s="63"/>
      <c r="C21" s="331"/>
      <c r="D21" s="6" t="s">
        <v>148</v>
      </c>
      <c r="E21" s="240"/>
      <c r="F21" s="68"/>
      <c r="G21" s="321" t="s">
        <v>245</v>
      </c>
      <c r="H21" s="322"/>
      <c r="I21" s="245">
        <v>3</v>
      </c>
      <c r="J21" s="68"/>
      <c r="K21" s="64"/>
      <c r="M21" s="168"/>
      <c r="N21" s="168"/>
      <c r="O21" s="168"/>
      <c r="P21" s="168"/>
      <c r="Q21" s="168"/>
      <c r="R21" s="168"/>
      <c r="S21" s="168"/>
    </row>
    <row r="22" spans="2:19" ht="28.8" x14ac:dyDescent="0.3">
      <c r="B22" s="67"/>
      <c r="C22" s="331"/>
      <c r="D22" s="6" t="s">
        <v>186</v>
      </c>
      <c r="E22" s="241"/>
      <c r="F22" s="68"/>
      <c r="G22" s="321" t="s">
        <v>5</v>
      </c>
      <c r="H22" s="322"/>
      <c r="I22" s="245">
        <v>0</v>
      </c>
      <c r="J22" s="72"/>
      <c r="K22" s="69"/>
      <c r="M22" s="168"/>
      <c r="N22" s="168"/>
      <c r="O22" s="168"/>
      <c r="P22" s="168"/>
      <c r="Q22" s="168"/>
      <c r="R22" s="168"/>
      <c r="S22" s="168"/>
    </row>
    <row r="23" spans="2:19" ht="28.8" x14ac:dyDescent="0.3">
      <c r="B23" s="63"/>
      <c r="C23" s="331"/>
      <c r="D23" s="6" t="s">
        <v>204</v>
      </c>
      <c r="E23" s="241"/>
      <c r="F23" s="157"/>
      <c r="G23" s="321" t="s">
        <v>158</v>
      </c>
      <c r="H23" s="322"/>
      <c r="I23" s="245"/>
      <c r="J23" s="72"/>
      <c r="K23" s="64"/>
      <c r="M23" s="168"/>
      <c r="N23" s="168"/>
      <c r="O23" s="168"/>
      <c r="P23" s="168"/>
      <c r="Q23" s="168"/>
      <c r="R23" s="168"/>
      <c r="S23" s="168"/>
    </row>
    <row r="24" spans="2:19" ht="28.8" customHeight="1" x14ac:dyDescent="0.3">
      <c r="B24" s="67"/>
      <c r="C24" s="331"/>
      <c r="D24" s="6" t="s">
        <v>215</v>
      </c>
      <c r="E24" s="241"/>
      <c r="F24" s="68"/>
      <c r="G24" s="68"/>
      <c r="H24" s="72"/>
      <c r="I24" s="72"/>
      <c r="J24" s="72"/>
      <c r="K24" s="69"/>
      <c r="M24" s="173"/>
      <c r="N24" s="168"/>
      <c r="O24" s="168"/>
      <c r="P24" s="168"/>
      <c r="Q24" s="168"/>
      <c r="R24" s="168"/>
      <c r="S24" s="168"/>
    </row>
    <row r="25" spans="2:19" ht="43.2" x14ac:dyDescent="0.3">
      <c r="B25" s="67"/>
      <c r="C25" s="331"/>
      <c r="D25" s="6" t="s">
        <v>316</v>
      </c>
      <c r="E25" s="241"/>
      <c r="F25" s="68"/>
      <c r="G25" s="68"/>
      <c r="H25" s="72"/>
      <c r="I25" s="72"/>
      <c r="J25" s="72"/>
      <c r="K25" s="69"/>
      <c r="M25" s="173"/>
      <c r="N25" s="168"/>
      <c r="O25" s="169"/>
      <c r="P25" s="168"/>
      <c r="Q25" s="168"/>
      <c r="R25" s="168"/>
      <c r="S25" s="168"/>
    </row>
    <row r="26" spans="2:19" ht="43.2" x14ac:dyDescent="0.3">
      <c r="B26" s="67"/>
      <c r="C26" s="331"/>
      <c r="D26" s="7" t="s">
        <v>146</v>
      </c>
      <c r="E26" s="240"/>
      <c r="F26" s="75" t="s">
        <v>200</v>
      </c>
      <c r="G26" s="68"/>
      <c r="H26" s="72"/>
      <c r="I26" s="72"/>
      <c r="J26" s="72"/>
      <c r="K26" s="69"/>
      <c r="M26" s="170"/>
      <c r="N26" s="168"/>
      <c r="O26" s="169"/>
      <c r="P26" s="168"/>
      <c r="Q26" s="169"/>
      <c r="R26" s="168"/>
      <c r="S26" s="168"/>
    </row>
    <row r="27" spans="2:19" ht="28.8" customHeight="1" thickBot="1" x14ac:dyDescent="0.35">
      <c r="B27" s="67"/>
      <c r="C27" s="332"/>
      <c r="D27" s="104" t="s">
        <v>160</v>
      </c>
      <c r="E27" s="243"/>
      <c r="F27" s="106" t="str">
        <f>IF(E20=0, "", VLOOKUP($E$26,'List Options'!$P$3:$Q$6,2,FALSE)*E27/3.785)</f>
        <v/>
      </c>
      <c r="G27" s="68"/>
      <c r="H27" s="72"/>
      <c r="I27" s="72"/>
      <c r="J27" s="72"/>
      <c r="K27" s="69"/>
      <c r="M27" s="170"/>
      <c r="N27" s="168"/>
      <c r="O27" s="169"/>
      <c r="P27" s="168"/>
      <c r="Q27" s="169"/>
      <c r="R27" s="168"/>
      <c r="S27" s="168"/>
    </row>
    <row r="28" spans="2:19" x14ac:dyDescent="0.3">
      <c r="B28" s="73"/>
      <c r="C28" s="330" t="s">
        <v>205</v>
      </c>
      <c r="D28" s="99" t="s">
        <v>210</v>
      </c>
      <c r="E28" s="239">
        <v>11.2</v>
      </c>
      <c r="F28" s="72"/>
      <c r="G28" s="68"/>
      <c r="H28" s="72"/>
      <c r="I28" s="72"/>
      <c r="J28" s="72"/>
      <c r="K28" s="64"/>
      <c r="M28" s="170"/>
      <c r="N28" s="168"/>
      <c r="O28" s="169"/>
      <c r="P28" s="168"/>
      <c r="Q28" s="169"/>
      <c r="R28" s="168"/>
      <c r="S28" s="168"/>
    </row>
    <row r="29" spans="2:19" x14ac:dyDescent="0.3">
      <c r="B29" s="63"/>
      <c r="C29" s="331"/>
      <c r="D29" s="6" t="s">
        <v>290</v>
      </c>
      <c r="E29" s="240">
        <v>5</v>
      </c>
      <c r="F29" s="72"/>
      <c r="G29" s="68"/>
      <c r="H29" s="72"/>
      <c r="I29" s="72"/>
      <c r="J29" s="72"/>
      <c r="K29" s="64"/>
      <c r="M29" s="170"/>
      <c r="N29" s="168"/>
      <c r="O29" s="169"/>
      <c r="P29" s="168"/>
      <c r="Q29" s="168"/>
      <c r="R29" s="168"/>
      <c r="S29" s="168"/>
    </row>
    <row r="30" spans="2:19" ht="28.8" x14ac:dyDescent="0.3">
      <c r="B30" s="63"/>
      <c r="C30" s="331"/>
      <c r="D30" s="7" t="s">
        <v>201</v>
      </c>
      <c r="E30" s="240">
        <v>13.5</v>
      </c>
      <c r="F30" s="72"/>
      <c r="G30" s="68"/>
      <c r="H30" s="72"/>
      <c r="I30" s="72"/>
      <c r="J30" s="72"/>
      <c r="K30" s="64"/>
      <c r="M30" s="170"/>
      <c r="N30" s="168"/>
      <c r="O30" s="170"/>
      <c r="P30" s="168"/>
      <c r="Q30" s="170"/>
      <c r="R30" s="168"/>
      <c r="S30" s="168"/>
    </row>
    <row r="31" spans="2:19" ht="28.8" x14ac:dyDescent="0.3">
      <c r="B31" s="73"/>
      <c r="C31" s="331"/>
      <c r="D31" s="6" t="s">
        <v>186</v>
      </c>
      <c r="E31" s="241">
        <v>0.1</v>
      </c>
      <c r="F31" s="72"/>
      <c r="G31" s="68"/>
      <c r="H31" s="72"/>
      <c r="I31" s="72"/>
      <c r="J31" s="72"/>
      <c r="K31" s="64"/>
      <c r="M31" s="170"/>
      <c r="N31" s="168"/>
      <c r="O31" s="168"/>
      <c r="P31" s="168"/>
      <c r="Q31" s="168"/>
      <c r="R31" s="168"/>
      <c r="S31" s="168"/>
    </row>
    <row r="32" spans="2:19" ht="28.8" x14ac:dyDescent="0.3">
      <c r="B32" s="73"/>
      <c r="C32" s="331"/>
      <c r="D32" s="6" t="s">
        <v>204</v>
      </c>
      <c r="E32" s="241">
        <v>1</v>
      </c>
      <c r="F32" s="218"/>
      <c r="G32" s="68"/>
      <c r="H32" s="72"/>
      <c r="I32" s="72"/>
      <c r="J32" s="72"/>
      <c r="K32" s="64"/>
      <c r="M32" s="170"/>
      <c r="N32" s="168"/>
      <c r="O32" s="168"/>
      <c r="P32" s="168"/>
      <c r="Q32" s="168"/>
      <c r="R32" s="168"/>
      <c r="S32" s="168"/>
    </row>
    <row r="33" spans="2:20" ht="28.8" customHeight="1" x14ac:dyDescent="0.3">
      <c r="B33" s="73"/>
      <c r="C33" s="331"/>
      <c r="D33" s="6" t="s">
        <v>215</v>
      </c>
      <c r="E33" s="241">
        <v>1</v>
      </c>
      <c r="F33" s="159"/>
      <c r="G33" s="160"/>
      <c r="H33" s="72"/>
      <c r="I33" s="72"/>
      <c r="J33" s="72"/>
      <c r="K33" s="64"/>
      <c r="M33" s="170"/>
      <c r="N33" s="168"/>
      <c r="O33" s="168"/>
      <c r="P33" s="168"/>
      <c r="Q33" s="168"/>
      <c r="R33" s="168"/>
      <c r="S33" s="171"/>
      <c r="T33" s="86"/>
    </row>
    <row r="34" spans="2:20" ht="43.8" thickBot="1" x14ac:dyDescent="0.35">
      <c r="B34" s="73"/>
      <c r="C34" s="332"/>
      <c r="D34" s="103" t="s">
        <v>316</v>
      </c>
      <c r="E34" s="242">
        <v>0.97</v>
      </c>
      <c r="G34" s="68"/>
      <c r="H34" s="72"/>
      <c r="I34" s="72"/>
      <c r="J34" s="72"/>
      <c r="K34" s="64"/>
      <c r="M34" s="170"/>
      <c r="N34" s="168"/>
      <c r="O34" s="168"/>
      <c r="P34" s="168"/>
      <c r="Q34" s="168"/>
      <c r="R34" s="168"/>
      <c r="S34" s="172"/>
      <c r="T34" s="87"/>
    </row>
    <row r="35" spans="2:20" x14ac:dyDescent="0.3">
      <c r="B35" s="63"/>
      <c r="C35" s="334" t="s">
        <v>5</v>
      </c>
      <c r="D35" s="102" t="s">
        <v>222</v>
      </c>
      <c r="E35" s="244">
        <v>0</v>
      </c>
      <c r="F35" s="74"/>
      <c r="G35" s="68"/>
      <c r="H35" s="72"/>
      <c r="I35" s="72"/>
      <c r="J35" s="72"/>
      <c r="K35" s="64"/>
      <c r="M35" s="170"/>
      <c r="N35" s="168"/>
      <c r="O35" s="169"/>
      <c r="P35" s="168"/>
      <c r="Q35" s="169"/>
      <c r="R35" s="168"/>
      <c r="S35" s="172"/>
      <c r="T35" s="87"/>
    </row>
    <row r="36" spans="2:20" x14ac:dyDescent="0.3">
      <c r="B36" s="67"/>
      <c r="C36" s="335"/>
      <c r="D36" s="7" t="s">
        <v>223</v>
      </c>
      <c r="E36" s="240">
        <v>0</v>
      </c>
      <c r="F36" s="72"/>
      <c r="G36" s="68"/>
      <c r="H36" s="72"/>
      <c r="I36" s="72"/>
      <c r="J36" s="72"/>
      <c r="K36" s="69"/>
      <c r="M36" s="170"/>
      <c r="N36" s="168"/>
      <c r="O36" s="168"/>
      <c r="P36" s="168"/>
      <c r="Q36" s="169"/>
      <c r="R36" s="168"/>
      <c r="S36" s="171"/>
      <c r="T36" s="86"/>
    </row>
    <row r="37" spans="2:20" ht="43.2" x14ac:dyDescent="0.3">
      <c r="B37" s="67"/>
      <c r="C37" s="335"/>
      <c r="D37" s="7" t="s">
        <v>146</v>
      </c>
      <c r="E37" s="240">
        <v>0</v>
      </c>
      <c r="F37" s="75" t="s">
        <v>200</v>
      </c>
      <c r="H37" s="72"/>
      <c r="I37" s="72"/>
      <c r="J37" s="72"/>
      <c r="K37" s="69"/>
      <c r="M37" s="170"/>
      <c r="N37" s="168"/>
      <c r="O37" s="169"/>
      <c r="P37" s="168"/>
      <c r="Q37" s="169"/>
      <c r="R37" s="168"/>
      <c r="S37" s="168"/>
    </row>
    <row r="38" spans="2:20" ht="28.8" customHeight="1" thickBot="1" x14ac:dyDescent="0.35">
      <c r="B38" s="67"/>
      <c r="C38" s="336"/>
      <c r="D38" s="104" t="s">
        <v>160</v>
      </c>
      <c r="E38" s="243">
        <v>0</v>
      </c>
      <c r="F38" s="106" t="str">
        <f>IF(E35=0, "", VLOOKUP($E$37,'List Options'!$P$3:$Q$6,2,FALSE)*E38/3.785)</f>
        <v/>
      </c>
      <c r="G38" s="72"/>
      <c r="H38" s="72"/>
      <c r="I38" s="72"/>
      <c r="J38" s="72"/>
      <c r="K38" s="69"/>
      <c r="M38" s="170"/>
      <c r="N38" s="168"/>
      <c r="O38" s="168"/>
      <c r="P38" s="168"/>
      <c r="Q38" s="168"/>
      <c r="R38" s="168"/>
      <c r="S38" s="168"/>
    </row>
    <row r="39" spans="2:20" ht="14.4" customHeight="1" x14ac:dyDescent="0.3">
      <c r="B39" s="67"/>
      <c r="C39" s="344" t="s">
        <v>158</v>
      </c>
      <c r="D39" s="102" t="s">
        <v>222</v>
      </c>
      <c r="E39" s="239"/>
      <c r="F39" s="74"/>
      <c r="G39" s="72"/>
      <c r="H39" s="72"/>
      <c r="I39" s="72"/>
      <c r="J39" s="72"/>
      <c r="K39" s="69"/>
      <c r="M39" s="170"/>
      <c r="N39" s="168"/>
      <c r="O39" s="170"/>
      <c r="P39" s="168"/>
      <c r="Q39" s="170"/>
      <c r="R39" s="168"/>
      <c r="S39" s="168"/>
    </row>
    <row r="40" spans="2:20" ht="14.4" customHeight="1" x14ac:dyDescent="0.3">
      <c r="B40" s="67"/>
      <c r="C40" s="345"/>
      <c r="D40" s="7" t="s">
        <v>223</v>
      </c>
      <c r="E40" s="240"/>
      <c r="F40" s="72"/>
      <c r="G40" s="72"/>
      <c r="H40" s="72"/>
      <c r="I40" s="72"/>
      <c r="J40" s="72"/>
      <c r="K40" s="69"/>
      <c r="M40" s="168"/>
      <c r="N40" s="168"/>
      <c r="O40" s="168"/>
      <c r="P40" s="168"/>
      <c r="Q40" s="168"/>
      <c r="R40" s="168"/>
      <c r="S40" s="168"/>
    </row>
    <row r="41" spans="2:20" ht="43.2" x14ac:dyDescent="0.3">
      <c r="B41" s="67"/>
      <c r="C41" s="345"/>
      <c r="D41" s="7" t="s">
        <v>146</v>
      </c>
      <c r="E41" s="240"/>
      <c r="F41" s="75" t="s">
        <v>200</v>
      </c>
      <c r="G41" s="72"/>
      <c r="H41" s="72"/>
      <c r="I41" s="72"/>
      <c r="J41" s="72"/>
      <c r="K41" s="69"/>
      <c r="M41" s="168"/>
      <c r="N41" s="168"/>
      <c r="O41" s="168"/>
      <c r="P41" s="168"/>
      <c r="Q41" s="168"/>
      <c r="R41" s="168"/>
      <c r="S41" s="168"/>
    </row>
    <row r="42" spans="2:20" ht="28.8" customHeight="1" x14ac:dyDescent="0.3">
      <c r="B42" s="67"/>
      <c r="C42" s="346"/>
      <c r="D42" s="7" t="s">
        <v>160</v>
      </c>
      <c r="E42" s="240"/>
      <c r="F42" s="100" t="str">
        <f>IF(E39=0,"", IF($E$41="Natural Gas","",VLOOKUP($E$41,'List Options'!$P$3:$Q$6,2,FALSE)*E42/3.785))</f>
        <v/>
      </c>
      <c r="G42" s="72"/>
      <c r="H42" s="72"/>
      <c r="I42" s="72"/>
      <c r="J42" s="72"/>
      <c r="K42" s="69"/>
      <c r="M42" s="168"/>
      <c r="N42" s="168"/>
      <c r="O42" s="168"/>
      <c r="P42" s="168"/>
      <c r="Q42" s="168"/>
      <c r="R42" s="168"/>
      <c r="S42" s="168"/>
    </row>
    <row r="43" spans="2:20" ht="14.4" customHeight="1" x14ac:dyDescent="0.3">
      <c r="B43" s="67"/>
      <c r="C43" s="72"/>
      <c r="D43" s="72"/>
      <c r="E43" s="72"/>
      <c r="F43" s="72"/>
      <c r="H43" s="72"/>
      <c r="I43" s="72"/>
      <c r="J43" s="72"/>
      <c r="K43" s="69"/>
      <c r="M43" s="168"/>
      <c r="N43" s="168"/>
      <c r="O43" s="168"/>
      <c r="P43" s="168"/>
      <c r="Q43" s="168"/>
      <c r="R43" s="168"/>
      <c r="S43" s="168"/>
    </row>
    <row r="44" spans="2:20" x14ac:dyDescent="0.3">
      <c r="B44" s="63"/>
      <c r="C44" s="68"/>
      <c r="D44" s="68"/>
      <c r="E44" s="68"/>
      <c r="F44" s="68"/>
      <c r="G44" s="68"/>
      <c r="H44" s="68"/>
      <c r="I44" s="72"/>
      <c r="J44" s="72"/>
      <c r="K44" s="69"/>
      <c r="M44" s="168"/>
      <c r="N44" s="168"/>
      <c r="O44" s="168"/>
      <c r="P44" s="168"/>
      <c r="Q44" s="168"/>
      <c r="R44" s="168"/>
      <c r="S44" s="168"/>
    </row>
    <row r="45" spans="2:20" ht="15.6" x14ac:dyDescent="0.3">
      <c r="B45" s="67"/>
      <c r="C45" s="324" t="s">
        <v>203</v>
      </c>
      <c r="D45" s="325"/>
      <c r="E45" s="325"/>
      <c r="F45" s="325"/>
      <c r="G45" s="325"/>
      <c r="H45" s="325"/>
      <c r="I45" s="325"/>
      <c r="J45" s="326"/>
      <c r="K45" s="69"/>
      <c r="M45" s="168"/>
      <c r="N45" s="168"/>
      <c r="O45" s="168"/>
      <c r="P45" s="168"/>
      <c r="Q45" s="168"/>
      <c r="R45" s="168"/>
      <c r="S45" s="168"/>
    </row>
    <row r="46" spans="2:20" x14ac:dyDescent="0.3">
      <c r="B46" s="67"/>
      <c r="C46" s="72"/>
      <c r="D46" s="72"/>
      <c r="E46" s="72"/>
      <c r="F46" s="72"/>
      <c r="G46" s="72"/>
      <c r="H46" s="72"/>
      <c r="I46" s="72"/>
      <c r="J46" s="72"/>
      <c r="K46" s="69"/>
      <c r="M46" s="168"/>
      <c r="N46" s="168"/>
      <c r="O46" s="168"/>
      <c r="P46" s="168"/>
      <c r="Q46" s="168"/>
      <c r="R46" s="168"/>
      <c r="S46" s="168"/>
    </row>
    <row r="47" spans="2:20" x14ac:dyDescent="0.3">
      <c r="B47" s="67"/>
      <c r="C47" s="327" t="s">
        <v>317</v>
      </c>
      <c r="D47" s="328"/>
      <c r="E47" s="328"/>
      <c r="F47" s="328"/>
      <c r="G47" s="328"/>
      <c r="H47" s="328"/>
      <c r="I47" s="328"/>
      <c r="J47" s="329"/>
      <c r="K47" s="69"/>
      <c r="M47" s="168"/>
      <c r="N47" s="168"/>
      <c r="O47" s="168"/>
      <c r="P47" s="168"/>
      <c r="Q47" s="168"/>
      <c r="R47" s="168"/>
      <c r="S47" s="168"/>
    </row>
    <row r="48" spans="2:20" x14ac:dyDescent="0.3">
      <c r="B48" s="63"/>
      <c r="C48" s="68"/>
      <c r="D48" s="68"/>
      <c r="E48" s="68"/>
      <c r="F48" s="68"/>
      <c r="G48" s="68"/>
      <c r="H48" s="68"/>
      <c r="I48" s="72"/>
      <c r="J48" s="72"/>
      <c r="K48" s="69"/>
      <c r="M48" s="168"/>
      <c r="N48" s="168"/>
      <c r="O48" s="168"/>
      <c r="P48" s="168"/>
      <c r="Q48" s="168"/>
      <c r="R48" s="168"/>
      <c r="S48" s="168"/>
    </row>
    <row r="49" spans="2:19" ht="43.2" x14ac:dyDescent="0.3">
      <c r="B49" s="63"/>
      <c r="C49" s="77" t="s">
        <v>145</v>
      </c>
      <c r="D49" s="77" t="s">
        <v>8</v>
      </c>
      <c r="E49" s="77" t="s">
        <v>199</v>
      </c>
      <c r="F49" s="75" t="s">
        <v>291</v>
      </c>
      <c r="G49" s="75" t="s">
        <v>9</v>
      </c>
      <c r="H49" s="75" t="s">
        <v>220</v>
      </c>
      <c r="I49" s="72"/>
      <c r="J49" s="72"/>
      <c r="K49" s="69"/>
      <c r="M49" s="168"/>
      <c r="N49" s="168"/>
      <c r="O49" s="168"/>
      <c r="P49" s="168"/>
      <c r="Q49" s="168"/>
      <c r="R49" s="168"/>
      <c r="S49" s="168"/>
    </row>
    <row r="50" spans="2:19" x14ac:dyDescent="0.3">
      <c r="B50" s="63"/>
      <c r="C50" s="78" t="s">
        <v>11</v>
      </c>
      <c r="D50" s="79"/>
      <c r="E50" s="79"/>
      <c r="F50" s="79"/>
      <c r="G50" s="79"/>
      <c r="H50" s="80"/>
      <c r="I50" s="72"/>
      <c r="J50" s="72"/>
      <c r="K50" s="69"/>
      <c r="M50" s="168"/>
      <c r="N50" s="168"/>
      <c r="O50" s="168"/>
      <c r="P50" s="168"/>
      <c r="Q50" s="168"/>
      <c r="R50" s="168"/>
      <c r="S50" s="168"/>
    </row>
    <row r="51" spans="2:19" x14ac:dyDescent="0.3">
      <c r="B51" s="63"/>
      <c r="C51" s="239" t="s">
        <v>12</v>
      </c>
      <c r="D51" s="239">
        <v>6</v>
      </c>
      <c r="E51" s="239">
        <v>14</v>
      </c>
      <c r="F51" s="280">
        <f>IF(ISBLANK($C51),"",VLOOKUP($C51,'List Options'!$D$4:$M$111,2,FALSE))</f>
        <v>4</v>
      </c>
      <c r="G51" s="280">
        <f>IF(ISBLANK($C51),"",VLOOKUP($C51,'List Options'!$D$4:$M$111,4,FALSE))</f>
        <v>25</v>
      </c>
      <c r="H51" s="280">
        <f>IF(ISBLANK($C51),"",VLOOKUP($C51,'List Options'!$D$4:$M$111,6,FALSE)-VLOOKUP($C51,'List Options'!$D$4:$M$111,4,FALSE))</f>
        <v>0</v>
      </c>
      <c r="I51" s="72"/>
      <c r="J51" s="72"/>
      <c r="K51" s="69"/>
      <c r="M51" s="168"/>
      <c r="N51" s="168"/>
      <c r="O51" s="168"/>
      <c r="P51" s="168"/>
      <c r="Q51" s="168"/>
      <c r="R51" s="168"/>
      <c r="S51" s="168"/>
    </row>
    <row r="52" spans="2:19" x14ac:dyDescent="0.3">
      <c r="B52" s="63"/>
      <c r="C52" s="240"/>
      <c r="D52" s="240"/>
      <c r="E52" s="240"/>
      <c r="F52" s="280" t="str">
        <f>IF(ISBLANK($C52),"",VLOOKUP($C52,'List Options'!$D$4:$M$111,2,FALSE))</f>
        <v/>
      </c>
      <c r="G52" s="280" t="str">
        <f>IF(ISBLANK($C52),"",VLOOKUP($C52,'List Options'!$D$4:$M$111,4,FALSE))</f>
        <v/>
      </c>
      <c r="H52" s="280" t="str">
        <f>IF(ISBLANK($C52),"",VLOOKUP($C52,'List Options'!$D$4:$M$111,6,FALSE)-VLOOKUP($C52,'List Options'!$D$4:$M$111,4,FALSE))</f>
        <v/>
      </c>
      <c r="I52" s="72"/>
      <c r="J52" s="72"/>
      <c r="K52" s="69"/>
      <c r="M52" s="168"/>
      <c r="N52" s="168"/>
      <c r="O52" s="168"/>
      <c r="P52" s="168"/>
      <c r="Q52" s="168"/>
      <c r="R52" s="168"/>
      <c r="S52" s="168"/>
    </row>
    <row r="53" spans="2:19" x14ac:dyDescent="0.3">
      <c r="B53" s="63"/>
      <c r="C53" s="240"/>
      <c r="D53" s="240"/>
      <c r="E53" s="240"/>
      <c r="F53" s="280" t="str">
        <f>IF(ISBLANK($C53),"",VLOOKUP($C53,'List Options'!$D$4:$M$111,2,FALSE))</f>
        <v/>
      </c>
      <c r="G53" s="280" t="str">
        <f>IF(ISBLANK($C53),"",VLOOKUP($C53,'List Options'!$D$4:$M$111,4,FALSE))</f>
        <v/>
      </c>
      <c r="H53" s="280" t="str">
        <f>IF(ISBLANK($C53),"",VLOOKUP($C53,'List Options'!$D$4:$M$111,6,FALSE)-VLOOKUP($C53,'List Options'!$D$4:$M$111,4,FALSE))</f>
        <v/>
      </c>
      <c r="I53" s="72"/>
      <c r="J53" s="72"/>
      <c r="K53" s="69"/>
      <c r="M53" s="168"/>
      <c r="N53" s="168"/>
      <c r="O53" s="168"/>
      <c r="P53" s="168"/>
      <c r="Q53" s="168"/>
      <c r="R53" s="168"/>
      <c r="S53" s="168"/>
    </row>
    <row r="54" spans="2:19" x14ac:dyDescent="0.3">
      <c r="B54" s="63"/>
      <c r="C54" s="240"/>
      <c r="D54" s="240"/>
      <c r="E54" s="240"/>
      <c r="F54" s="280" t="str">
        <f>IF(ISBLANK($C54),"",VLOOKUP($C54,'List Options'!$D$4:$M$111,2,FALSE))</f>
        <v/>
      </c>
      <c r="G54" s="280" t="str">
        <f>IF(ISBLANK($C54),"",VLOOKUP($C54,'List Options'!$D$4:$M$111,4,FALSE))</f>
        <v/>
      </c>
      <c r="H54" s="280" t="str">
        <f>IF(ISBLANK($C54),"",VLOOKUP($C54,'List Options'!$D$4:$M$111,6,FALSE)-VLOOKUP($C54,'List Options'!$D$4:$M$111,4,FALSE))</f>
        <v/>
      </c>
      <c r="I54" s="72"/>
      <c r="J54" s="72"/>
      <c r="K54" s="69"/>
      <c r="M54" s="168"/>
      <c r="N54" s="168"/>
      <c r="O54" s="168"/>
      <c r="P54" s="168"/>
      <c r="Q54" s="168"/>
      <c r="R54" s="168"/>
      <c r="S54" s="168"/>
    </row>
    <row r="55" spans="2:19" x14ac:dyDescent="0.3">
      <c r="B55" s="63"/>
      <c r="C55" s="240"/>
      <c r="D55" s="240"/>
      <c r="E55" s="240"/>
      <c r="F55" s="280" t="str">
        <f>IF(ISBLANK($C55),"",VLOOKUP($C55,'List Options'!$D$4:$M$111,2,FALSE))</f>
        <v/>
      </c>
      <c r="G55" s="280" t="str">
        <f>IF(ISBLANK($C55),"",VLOOKUP($C55,'List Options'!$D$4:$M$111,4,FALSE))</f>
        <v/>
      </c>
      <c r="H55" s="280" t="str">
        <f>IF(ISBLANK($C55),"",VLOOKUP($C55,'List Options'!$D$4:$M$111,6,FALSE)-VLOOKUP($C55,'List Options'!$D$4:$M$111,4,FALSE))</f>
        <v/>
      </c>
      <c r="I55" s="72"/>
      <c r="J55" s="72"/>
      <c r="K55" s="69"/>
      <c r="M55" s="168"/>
      <c r="N55" s="168"/>
      <c r="O55" s="168"/>
      <c r="P55" s="168"/>
      <c r="Q55" s="168"/>
      <c r="R55" s="168"/>
      <c r="S55" s="168"/>
    </row>
    <row r="56" spans="2:19" x14ac:dyDescent="0.3">
      <c r="B56" s="63"/>
      <c r="C56" s="240"/>
      <c r="D56" s="240"/>
      <c r="E56" s="240"/>
      <c r="F56" s="280" t="str">
        <f>IF(ISBLANK($C56),"",VLOOKUP($C56,'List Options'!$D$4:$M$111,2,FALSE))</f>
        <v/>
      </c>
      <c r="G56" s="280" t="str">
        <f>IF(ISBLANK($C56),"",VLOOKUP($C56,'List Options'!$D$4:$M$111,4,FALSE))</f>
        <v/>
      </c>
      <c r="H56" s="280" t="str">
        <f>IF(ISBLANK($C56),"",VLOOKUP($C56,'List Options'!$D$4:$M$111,6,FALSE)-VLOOKUP($C56,'List Options'!$D$4:$M$111,4,FALSE))</f>
        <v/>
      </c>
      <c r="I56" s="72"/>
      <c r="J56" s="72"/>
      <c r="K56" s="69"/>
      <c r="M56" s="168"/>
      <c r="N56" s="168"/>
      <c r="O56" s="168"/>
      <c r="P56" s="168"/>
      <c r="Q56" s="168"/>
      <c r="R56" s="168"/>
      <c r="S56" s="168"/>
    </row>
    <row r="57" spans="2:19" x14ac:dyDescent="0.3">
      <c r="B57" s="63"/>
      <c r="C57" s="78" t="s">
        <v>15</v>
      </c>
      <c r="D57" s="79"/>
      <c r="E57" s="79"/>
      <c r="F57" s="79"/>
      <c r="G57" s="79"/>
      <c r="H57" s="92"/>
      <c r="I57" s="72"/>
      <c r="J57" s="72"/>
      <c r="K57" s="69"/>
      <c r="M57" s="168"/>
      <c r="N57" s="168"/>
      <c r="O57" s="168"/>
      <c r="P57" s="168"/>
      <c r="Q57" s="168"/>
      <c r="R57" s="168"/>
      <c r="S57" s="168"/>
    </row>
    <row r="58" spans="2:19" x14ac:dyDescent="0.3">
      <c r="B58" s="63"/>
      <c r="C58" s="240" t="s">
        <v>17</v>
      </c>
      <c r="D58" s="240">
        <v>0</v>
      </c>
      <c r="E58" s="240">
        <v>0</v>
      </c>
      <c r="F58" s="280">
        <f>IF(ISBLANK($C58),"",VLOOKUP($C58,'List Options'!$D$4:$M$111,2,FALSE))</f>
        <v>1</v>
      </c>
      <c r="G58" s="280">
        <f>IF(ISBLANK($C58),"",VLOOKUP($C58,'List Options'!$D$4:$M$111,4,FALSE))</f>
        <v>2150</v>
      </c>
      <c r="H58" s="280">
        <f>IF(ISBLANK($C58),"",VLOOKUP($C58,'List Options'!$D$4:$M$111,6,FALSE)-VLOOKUP($C58,'List Options'!$D$4:$M$111,4,FALSE))</f>
        <v>0</v>
      </c>
      <c r="I58" s="72"/>
      <c r="J58" s="72"/>
      <c r="K58" s="69"/>
      <c r="M58" s="168"/>
      <c r="N58" s="168"/>
      <c r="O58" s="168"/>
      <c r="P58" s="168"/>
      <c r="Q58" s="168"/>
      <c r="R58" s="168"/>
      <c r="S58" s="168"/>
    </row>
    <row r="59" spans="2:19" x14ac:dyDescent="0.3">
      <c r="B59" s="63"/>
      <c r="C59" s="240" t="s">
        <v>19</v>
      </c>
      <c r="D59" s="240">
        <v>1</v>
      </c>
      <c r="E59" s="240">
        <v>11</v>
      </c>
      <c r="F59" s="280">
        <f>IF(ISBLANK($C59),"",VLOOKUP($C59,'List Options'!$D$4:$M$111,2,FALSE))</f>
        <v>0.5</v>
      </c>
      <c r="G59" s="280">
        <f>IF(ISBLANK($C59),"",VLOOKUP($C59,'List Options'!$D$4:$M$111,4,FALSE))</f>
        <v>1000</v>
      </c>
      <c r="H59" s="280">
        <f>IF(ISBLANK($C59),"",VLOOKUP($C59,'List Options'!$D$4:$M$111,6,FALSE)-VLOOKUP($C59,'List Options'!$D$4:$M$111,4,FALSE))</f>
        <v>0</v>
      </c>
      <c r="I59" s="72"/>
      <c r="J59" s="72"/>
      <c r="K59" s="69"/>
      <c r="M59" s="168"/>
      <c r="N59" s="168"/>
      <c r="O59" s="168"/>
      <c r="P59" s="168"/>
      <c r="Q59" s="168"/>
      <c r="R59" s="168"/>
      <c r="S59" s="168"/>
    </row>
    <row r="60" spans="2:19" x14ac:dyDescent="0.3">
      <c r="B60" s="63"/>
      <c r="C60" s="240"/>
      <c r="D60" s="240"/>
      <c r="E60" s="240"/>
      <c r="F60" s="280" t="str">
        <f>IF(ISBLANK($C60),"",VLOOKUP($C60,'List Options'!$D$4:$M$111,2,FALSE))</f>
        <v/>
      </c>
      <c r="G60" s="280" t="str">
        <f>IF(ISBLANK($C60),"",VLOOKUP($C60,'List Options'!$D$4:$M$111,4,FALSE))</f>
        <v/>
      </c>
      <c r="H60" s="280" t="str">
        <f>IF(ISBLANK($C60),"",VLOOKUP($C60,'List Options'!$D$4:$M$111,6,FALSE)-VLOOKUP($C60,'List Options'!$D$4:$M$111,4,FALSE))</f>
        <v/>
      </c>
      <c r="I60" s="72"/>
      <c r="J60" s="72"/>
      <c r="K60" s="69"/>
      <c r="M60" s="168"/>
      <c r="N60" s="168"/>
      <c r="O60" s="168"/>
      <c r="P60" s="168"/>
      <c r="Q60" s="168"/>
      <c r="R60" s="168"/>
      <c r="S60" s="168"/>
    </row>
    <row r="61" spans="2:19" x14ac:dyDescent="0.3">
      <c r="B61" s="63"/>
      <c r="C61" s="240"/>
      <c r="D61" s="240"/>
      <c r="E61" s="240"/>
      <c r="F61" s="280" t="str">
        <f>IF(ISBLANK($C61),"",VLOOKUP($C61,'List Options'!$D$4:$M$111,2,FALSE))</f>
        <v/>
      </c>
      <c r="G61" s="280" t="str">
        <f>IF(ISBLANK($C61),"",VLOOKUP($C61,'List Options'!$D$4:$M$111,4,FALSE))</f>
        <v/>
      </c>
      <c r="H61" s="280" t="str">
        <f>IF(ISBLANK($C61),"",VLOOKUP($C61,'List Options'!$D$4:$M$111,6,FALSE)-VLOOKUP($C61,'List Options'!$D$4:$M$111,4,FALSE))</f>
        <v/>
      </c>
      <c r="I61" s="72"/>
      <c r="J61" s="72"/>
      <c r="K61" s="69"/>
      <c r="M61" s="168"/>
      <c r="N61" s="168"/>
      <c r="O61" s="168"/>
      <c r="P61" s="168"/>
      <c r="Q61" s="168"/>
      <c r="R61" s="168"/>
      <c r="S61" s="168"/>
    </row>
    <row r="62" spans="2:19" x14ac:dyDescent="0.3">
      <c r="B62" s="63"/>
      <c r="C62" s="240"/>
      <c r="D62" s="240"/>
      <c r="E62" s="240"/>
      <c r="F62" s="280" t="str">
        <f>IF(ISBLANK($C62),"",VLOOKUP($C62,'List Options'!$D$4:$M$111,2,FALSE))</f>
        <v/>
      </c>
      <c r="G62" s="280" t="str">
        <f>IF(ISBLANK($C62),"",VLOOKUP($C62,'List Options'!$D$4:$M$111,4,FALSE))</f>
        <v/>
      </c>
      <c r="H62" s="280" t="str">
        <f>IF(ISBLANK($C62),"",VLOOKUP($C62,'List Options'!$D$4:$M$111,6,FALSE)-VLOOKUP($C62,'List Options'!$D$4:$M$111,4,FALSE))</f>
        <v/>
      </c>
      <c r="I62" s="72"/>
      <c r="J62" s="72"/>
      <c r="K62" s="69"/>
      <c r="M62" s="168"/>
      <c r="N62" s="168"/>
      <c r="O62" s="168"/>
      <c r="P62" s="168"/>
      <c r="Q62" s="168"/>
      <c r="R62" s="168"/>
      <c r="S62" s="168"/>
    </row>
    <row r="63" spans="2:19" x14ac:dyDescent="0.3">
      <c r="B63" s="63"/>
      <c r="C63" s="240"/>
      <c r="D63" s="240"/>
      <c r="E63" s="240"/>
      <c r="F63" s="280" t="str">
        <f>IF(ISBLANK($C63),"",VLOOKUP($C63,'List Options'!$D$4:$M$111,2,FALSE))</f>
        <v/>
      </c>
      <c r="G63" s="280" t="str">
        <f>IF(ISBLANK($C63),"",VLOOKUP($C63,'List Options'!$D$4:$M$111,4,FALSE))</f>
        <v/>
      </c>
      <c r="H63" s="280" t="str">
        <f>IF(ISBLANK($C63),"",VLOOKUP($C63,'List Options'!$D$4:$M$111,6,FALSE)-VLOOKUP($C63,'List Options'!$D$4:$M$111,4,FALSE))</f>
        <v/>
      </c>
      <c r="I63" s="72"/>
      <c r="J63" s="72"/>
      <c r="K63" s="69"/>
      <c r="M63" s="168"/>
      <c r="N63" s="168"/>
      <c r="O63" s="168"/>
      <c r="P63" s="168"/>
      <c r="Q63" s="168"/>
      <c r="R63" s="168"/>
      <c r="S63" s="168"/>
    </row>
    <row r="64" spans="2:19" x14ac:dyDescent="0.3">
      <c r="B64" s="63"/>
      <c r="C64" s="240"/>
      <c r="D64" s="240"/>
      <c r="E64" s="240"/>
      <c r="F64" s="280" t="str">
        <f>IF(ISBLANK($C64),"",VLOOKUP($C64,'List Options'!$D$4:$M$111,2,FALSE))</f>
        <v/>
      </c>
      <c r="G64" s="280" t="str">
        <f>IF(ISBLANK($C64),"",VLOOKUP($C64,'List Options'!$D$4:$M$111,4,FALSE))</f>
        <v/>
      </c>
      <c r="H64" s="280" t="str">
        <f>IF(ISBLANK($C64),"",VLOOKUP($C64,'List Options'!$D$4:$M$111,6,FALSE)-VLOOKUP($C64,'List Options'!$D$4:$M$111,4,FALSE))</f>
        <v/>
      </c>
      <c r="I64" s="72"/>
      <c r="J64" s="72"/>
      <c r="K64" s="69"/>
      <c r="M64" s="168"/>
      <c r="N64" s="168"/>
      <c r="O64" s="168"/>
      <c r="P64" s="168"/>
      <c r="Q64" s="168"/>
      <c r="R64" s="168"/>
      <c r="S64" s="168"/>
    </row>
    <row r="65" spans="2:19" x14ac:dyDescent="0.3">
      <c r="B65" s="63"/>
      <c r="C65" s="240"/>
      <c r="D65" s="240"/>
      <c r="E65" s="240"/>
      <c r="F65" s="280" t="str">
        <f>IF(ISBLANK($C65),"",VLOOKUP($C65,'List Options'!$D$4:$M$111,2,FALSE))</f>
        <v/>
      </c>
      <c r="G65" s="280" t="str">
        <f>IF(ISBLANK($C65),"",VLOOKUP($C65,'List Options'!$D$4:$M$111,4,FALSE))</f>
        <v/>
      </c>
      <c r="H65" s="280" t="str">
        <f>IF(ISBLANK($C65),"",VLOOKUP($C65,'List Options'!$D$4:$M$111,6,FALSE)-VLOOKUP($C65,'List Options'!$D$4:$M$111,4,FALSE))</f>
        <v/>
      </c>
      <c r="I65" s="72"/>
      <c r="J65" s="72"/>
      <c r="K65" s="69"/>
      <c r="M65" s="168"/>
      <c r="N65" s="168"/>
      <c r="O65" s="168"/>
      <c r="P65" s="168"/>
      <c r="Q65" s="168"/>
      <c r="R65" s="168"/>
      <c r="S65" s="168"/>
    </row>
    <row r="66" spans="2:19" x14ac:dyDescent="0.3">
      <c r="B66" s="63"/>
      <c r="C66" s="78" t="s">
        <v>20</v>
      </c>
      <c r="D66" s="79"/>
      <c r="E66" s="79"/>
      <c r="F66" s="79"/>
      <c r="G66" s="79"/>
      <c r="H66" s="80"/>
      <c r="I66" s="72"/>
      <c r="J66" s="72"/>
      <c r="K66" s="64"/>
      <c r="M66" s="168"/>
      <c r="N66" s="168"/>
      <c r="O66" s="168"/>
      <c r="P66" s="168"/>
      <c r="Q66" s="168"/>
      <c r="R66" s="168"/>
      <c r="S66" s="168"/>
    </row>
    <row r="67" spans="2:19" x14ac:dyDescent="0.3">
      <c r="B67" s="63"/>
      <c r="C67" s="240" t="s">
        <v>64</v>
      </c>
      <c r="D67" s="240">
        <v>0</v>
      </c>
      <c r="E67" s="240">
        <v>0</v>
      </c>
      <c r="F67" s="280">
        <f>IF(ISBLANK($C67),"",VLOOKUP($C67,'List Options'!$D$4:$M$111,2,FALSE))</f>
        <v>1</v>
      </c>
      <c r="G67" s="280">
        <f>IF(ISBLANK($C67),"",VLOOKUP($C67,'List Options'!$D$4:$M$111,4,FALSE))</f>
        <v>1500</v>
      </c>
      <c r="H67" s="280">
        <f>IF(ISBLANK($C67),"",VLOOKUP($C67,'List Options'!$D$4:$M$111,6,FALSE)-VLOOKUP($C67,'List Options'!$D$4:$M$111,4,FALSE))</f>
        <v>1500</v>
      </c>
      <c r="I67" s="72"/>
      <c r="J67" s="72"/>
      <c r="K67" s="69"/>
      <c r="M67" s="168"/>
      <c r="N67" s="168"/>
      <c r="O67" s="168"/>
      <c r="P67" s="168"/>
      <c r="Q67" s="168"/>
      <c r="R67" s="168"/>
      <c r="S67" s="168"/>
    </row>
    <row r="68" spans="2:19" x14ac:dyDescent="0.3">
      <c r="B68" s="63"/>
      <c r="C68" s="240" t="s">
        <v>22</v>
      </c>
      <c r="D68" s="240">
        <v>0</v>
      </c>
      <c r="E68" s="240">
        <v>0</v>
      </c>
      <c r="F68" s="280">
        <f>IF(ISBLANK($C68),"",VLOOKUP($C68,'List Options'!$D$4:$M$111,2,FALSE))</f>
        <v>1</v>
      </c>
      <c r="G68" s="280">
        <f>IF(ISBLANK($C68),"",VLOOKUP($C68,'List Options'!$D$4:$M$111,4,FALSE))</f>
        <v>5400</v>
      </c>
      <c r="H68" s="280">
        <f>IF(ISBLANK($C68),"",VLOOKUP($C68,'List Options'!$D$4:$M$111,6,FALSE)-VLOOKUP($C68,'List Options'!$D$4:$M$111,4,FALSE))</f>
        <v>1350</v>
      </c>
      <c r="I68" s="72"/>
      <c r="J68" s="72"/>
      <c r="K68" s="64"/>
      <c r="M68" s="168"/>
      <c r="N68" s="168"/>
      <c r="O68" s="168"/>
      <c r="P68" s="168"/>
      <c r="Q68" s="168"/>
      <c r="R68" s="168"/>
      <c r="S68" s="168"/>
    </row>
    <row r="69" spans="2:19" x14ac:dyDescent="0.3">
      <c r="B69" s="63"/>
      <c r="C69" s="240" t="s">
        <v>26</v>
      </c>
      <c r="D69" s="240">
        <v>0</v>
      </c>
      <c r="E69" s="240">
        <v>0</v>
      </c>
      <c r="F69" s="280">
        <f>IF(ISBLANK($C69),"",VLOOKUP($C69,'List Options'!$D$4:$M$111,2,FALSE))</f>
        <v>1</v>
      </c>
      <c r="G69" s="280">
        <f>IF(ISBLANK($C69),"",VLOOKUP($C69,'List Options'!$D$4:$M$111,4,FALSE))</f>
        <v>1150</v>
      </c>
      <c r="H69" s="280">
        <f>IF(ISBLANK($C69),"",VLOOKUP($C69,'List Options'!$D$4:$M$111,6,FALSE)-VLOOKUP($C69,'List Options'!$D$4:$M$111,4,FALSE))</f>
        <v>2250</v>
      </c>
      <c r="I69" s="72"/>
      <c r="J69" s="72"/>
      <c r="K69" s="64"/>
      <c r="M69" s="168"/>
      <c r="N69" s="168"/>
      <c r="O69" s="168"/>
      <c r="P69" s="168"/>
      <c r="Q69" s="168"/>
      <c r="R69" s="168"/>
      <c r="S69" s="168"/>
    </row>
    <row r="70" spans="2:19" x14ac:dyDescent="0.3">
      <c r="B70" s="63"/>
      <c r="C70" s="240"/>
      <c r="D70" s="240"/>
      <c r="E70" s="240"/>
      <c r="F70" s="280" t="str">
        <f>IF(ISBLANK($C70),"",VLOOKUP($C70,'List Options'!$D$4:$M$111,2,FALSE))</f>
        <v/>
      </c>
      <c r="G70" s="280" t="str">
        <f>IF(ISBLANK($C70),"",VLOOKUP($C70,'List Options'!$D$4:$M$111,4,FALSE))</f>
        <v/>
      </c>
      <c r="H70" s="280" t="str">
        <f>IF(ISBLANK($C70),"",VLOOKUP($C70,'List Options'!$D$4:$M$111,6,FALSE)-VLOOKUP($C70,'List Options'!$D$4:$M$111,4,FALSE))</f>
        <v/>
      </c>
      <c r="I70" s="72"/>
      <c r="J70" s="72"/>
      <c r="K70" s="64"/>
      <c r="M70" s="168"/>
      <c r="N70" s="168"/>
      <c r="O70" s="168"/>
      <c r="P70" s="168"/>
      <c r="Q70" s="168"/>
      <c r="R70" s="168"/>
      <c r="S70" s="168"/>
    </row>
    <row r="71" spans="2:19" x14ac:dyDescent="0.3">
      <c r="B71" s="63"/>
      <c r="C71" s="240"/>
      <c r="D71" s="240"/>
      <c r="E71" s="240"/>
      <c r="F71" s="280" t="str">
        <f>IF(ISBLANK($C71),"",VLOOKUP($C71,'List Options'!$D$4:$M$111,2,FALSE))</f>
        <v/>
      </c>
      <c r="G71" s="280" t="str">
        <f>IF(ISBLANK($C71),"",VLOOKUP($C71,'List Options'!$D$4:$M$111,4,FALSE))</f>
        <v/>
      </c>
      <c r="H71" s="280" t="str">
        <f>IF(ISBLANK($C71),"",VLOOKUP($C71,'List Options'!$D$4:$M$111,6,FALSE)-VLOOKUP($C71,'List Options'!$D$4:$M$111,4,FALSE))</f>
        <v/>
      </c>
      <c r="I71" s="72"/>
      <c r="J71" s="72"/>
      <c r="K71" s="64"/>
      <c r="M71" s="168"/>
      <c r="N71" s="168"/>
      <c r="O71" s="168"/>
      <c r="P71" s="168"/>
      <c r="Q71" s="168"/>
      <c r="R71" s="168"/>
      <c r="S71" s="168"/>
    </row>
    <row r="72" spans="2:19" x14ac:dyDescent="0.3">
      <c r="B72" s="63"/>
      <c r="C72" s="240"/>
      <c r="D72" s="240"/>
      <c r="E72" s="240"/>
      <c r="F72" s="280" t="str">
        <f>IF(ISBLANK($C72),"",VLOOKUP($C72,'List Options'!$D$4:$M$111,2,FALSE))</f>
        <v/>
      </c>
      <c r="G72" s="280" t="str">
        <f>IF(ISBLANK($C72),"",VLOOKUP($C72,'List Options'!$D$4:$M$111,4,FALSE))</f>
        <v/>
      </c>
      <c r="H72" s="280" t="str">
        <f>IF(ISBLANK($C72),"",VLOOKUP($C72,'List Options'!$D$4:$M$111,6,FALSE)-VLOOKUP($C72,'List Options'!$D$4:$M$111,4,FALSE))</f>
        <v/>
      </c>
      <c r="I72" s="72"/>
      <c r="J72" s="72"/>
      <c r="K72" s="64"/>
      <c r="M72" s="168"/>
      <c r="N72" s="168"/>
      <c r="O72" s="168"/>
      <c r="P72" s="168"/>
      <c r="Q72" s="168"/>
      <c r="R72" s="168"/>
      <c r="S72" s="168"/>
    </row>
    <row r="73" spans="2:19" x14ac:dyDescent="0.3">
      <c r="B73" s="63"/>
      <c r="C73" s="240"/>
      <c r="D73" s="240"/>
      <c r="E73" s="240"/>
      <c r="F73" s="280" t="str">
        <f>IF(ISBLANK($C73),"",VLOOKUP($C73,'List Options'!$D$4:$M$111,2,FALSE))</f>
        <v/>
      </c>
      <c r="G73" s="280" t="str">
        <f>IF(ISBLANK($C73),"",VLOOKUP($C73,'List Options'!$D$4:$M$111,4,FALSE))</f>
        <v/>
      </c>
      <c r="H73" s="280" t="str">
        <f>IF(ISBLANK($C73),"",VLOOKUP($C73,'List Options'!$D$4:$M$111,6,FALSE)-VLOOKUP($C73,'List Options'!$D$4:$M$111,4,FALSE))</f>
        <v/>
      </c>
      <c r="I73" s="72"/>
      <c r="J73" s="72"/>
      <c r="K73" s="69"/>
      <c r="M73" s="168"/>
      <c r="N73" s="168"/>
      <c r="O73" s="168"/>
      <c r="P73" s="168"/>
      <c r="Q73" s="168"/>
      <c r="R73" s="168"/>
      <c r="S73" s="168"/>
    </row>
    <row r="74" spans="2:19" x14ac:dyDescent="0.3">
      <c r="B74" s="63"/>
      <c r="C74" s="240"/>
      <c r="D74" s="240"/>
      <c r="E74" s="240"/>
      <c r="F74" s="280" t="str">
        <f>IF(ISBLANK($C74),"",VLOOKUP($C74,'List Options'!$D$4:$M$111,2,FALSE))</f>
        <v/>
      </c>
      <c r="G74" s="280" t="str">
        <f>IF(ISBLANK($C74),"",VLOOKUP($C74,'List Options'!$D$4:$M$111,4,FALSE))</f>
        <v/>
      </c>
      <c r="H74" s="280" t="str">
        <f>IF(ISBLANK($C74),"",VLOOKUP($C74,'List Options'!$D$4:$M$111,6,FALSE)-VLOOKUP($C74,'List Options'!$D$4:$M$111,4,FALSE))</f>
        <v/>
      </c>
      <c r="I74" s="72"/>
      <c r="J74" s="72"/>
      <c r="K74" s="69"/>
      <c r="M74" s="168"/>
      <c r="N74" s="168"/>
      <c r="O74" s="168"/>
      <c r="P74" s="168"/>
      <c r="Q74" s="168"/>
      <c r="R74" s="168"/>
      <c r="S74" s="168"/>
    </row>
    <row r="75" spans="2:19" x14ac:dyDescent="0.3">
      <c r="B75" s="63"/>
      <c r="C75" s="240"/>
      <c r="D75" s="240"/>
      <c r="E75" s="240"/>
      <c r="F75" s="280" t="str">
        <f>IF(ISBLANK($C75),"",VLOOKUP($C75,'List Options'!$D$4:$M$111,2,FALSE))</f>
        <v/>
      </c>
      <c r="G75" s="280" t="str">
        <f>IF(ISBLANK($C75),"",VLOOKUP($C75,'List Options'!$D$4:$M$111,4,FALSE))</f>
        <v/>
      </c>
      <c r="H75" s="280" t="str">
        <f>IF(ISBLANK($C75),"",VLOOKUP($C75,'List Options'!$D$4:$M$111,6,FALSE)-VLOOKUP($C75,'List Options'!$D$4:$M$111,4,FALSE))</f>
        <v/>
      </c>
      <c r="I75" s="72"/>
      <c r="J75" s="72"/>
      <c r="K75" s="69"/>
      <c r="M75" s="168"/>
      <c r="N75" s="168"/>
      <c r="O75" s="168"/>
      <c r="P75" s="168"/>
      <c r="Q75" s="168"/>
      <c r="R75" s="168"/>
      <c r="S75" s="168"/>
    </row>
    <row r="76" spans="2:19" x14ac:dyDescent="0.3">
      <c r="B76" s="63"/>
      <c r="C76" s="78" t="s">
        <v>27</v>
      </c>
      <c r="D76" s="79"/>
      <c r="E76" s="79"/>
      <c r="F76" s="79"/>
      <c r="G76" s="79"/>
      <c r="H76" s="92"/>
      <c r="I76" s="72"/>
      <c r="J76" s="72"/>
      <c r="K76" s="64"/>
      <c r="M76" s="168"/>
      <c r="N76" s="168"/>
      <c r="O76" s="168"/>
      <c r="P76" s="168"/>
      <c r="Q76" s="168"/>
      <c r="R76" s="168"/>
      <c r="S76" s="168"/>
    </row>
    <row r="77" spans="2:19" x14ac:dyDescent="0.3">
      <c r="B77" s="63"/>
      <c r="C77" s="240" t="s">
        <v>29</v>
      </c>
      <c r="D77" s="240">
        <v>1</v>
      </c>
      <c r="E77" s="240">
        <v>10</v>
      </c>
      <c r="F77" s="280">
        <f>IF(ISBLANK($C77),"",VLOOKUP($C77,'List Options'!$D$4:$M$111,2,FALSE))</f>
        <v>24</v>
      </c>
      <c r="G77" s="280">
        <f>IF(ISBLANK($C77),"",VLOOKUP($C77,'List Options'!$D$4:$M$111,4,FALSE))</f>
        <v>5</v>
      </c>
      <c r="H77" s="280">
        <f>IF(ISBLANK($C77),"",VLOOKUP($C77,'List Options'!$D$4:$M$111,6,FALSE)-VLOOKUP($C77,'List Options'!$D$4:$M$111,4,FALSE))</f>
        <v>15</v>
      </c>
      <c r="I77" s="72"/>
      <c r="J77" s="72"/>
      <c r="K77" s="64"/>
      <c r="M77" s="168"/>
      <c r="N77" s="168"/>
      <c r="O77" s="168"/>
      <c r="P77" s="168"/>
      <c r="Q77" s="168"/>
      <c r="R77" s="168"/>
      <c r="S77" s="168"/>
    </row>
    <row r="78" spans="2:19" x14ac:dyDescent="0.3">
      <c r="B78" s="63"/>
      <c r="C78" s="240" t="s">
        <v>30</v>
      </c>
      <c r="D78" s="240">
        <v>0</v>
      </c>
      <c r="E78" s="240">
        <v>0</v>
      </c>
      <c r="F78" s="280">
        <f>IF(ISBLANK($C78),"",VLOOKUP($C78,'List Options'!$D$4:$M$111,2,FALSE))</f>
        <v>5</v>
      </c>
      <c r="G78" s="280">
        <f>IF(ISBLANK($C78),"",VLOOKUP($C78,'List Options'!$D$4:$M$111,4,FALSE))</f>
        <v>85</v>
      </c>
      <c r="H78" s="280">
        <f>IF(ISBLANK($C78),"",VLOOKUP($C78,'List Options'!$D$4:$M$111,6,FALSE)-VLOOKUP($C78,'List Options'!$D$4:$M$111,4,FALSE))</f>
        <v>0</v>
      </c>
      <c r="I78" s="72"/>
      <c r="J78" s="72"/>
      <c r="K78" s="64"/>
      <c r="M78" s="168"/>
      <c r="N78" s="168"/>
      <c r="O78" s="168"/>
      <c r="P78" s="168"/>
      <c r="Q78" s="168"/>
      <c r="R78" s="168"/>
      <c r="S78" s="168"/>
    </row>
    <row r="79" spans="2:19" x14ac:dyDescent="0.3">
      <c r="B79" s="63"/>
      <c r="C79" s="240" t="s">
        <v>28</v>
      </c>
      <c r="D79" s="240">
        <v>0</v>
      </c>
      <c r="E79" s="240">
        <v>0</v>
      </c>
      <c r="F79" s="280">
        <f>IF(ISBLANK($C79),"",VLOOKUP($C79,'List Options'!$D$4:$M$111,2,FALSE))</f>
        <v>3</v>
      </c>
      <c r="G79" s="280">
        <f>IF(ISBLANK($C79),"",VLOOKUP($C79,'List Options'!$D$4:$M$111,4,FALSE))</f>
        <v>250</v>
      </c>
      <c r="H79" s="280">
        <f>IF(ISBLANK($C79),"",VLOOKUP($C79,'List Options'!$D$4:$M$111,6,FALSE)-VLOOKUP($C79,'List Options'!$D$4:$M$111,4,FALSE))</f>
        <v>0</v>
      </c>
      <c r="I79" s="72"/>
      <c r="J79" s="72"/>
      <c r="K79" s="64"/>
      <c r="M79" s="168"/>
      <c r="N79" s="168"/>
      <c r="O79" s="168"/>
      <c r="P79" s="168"/>
      <c r="Q79" s="168"/>
      <c r="R79" s="168"/>
      <c r="S79" s="168"/>
    </row>
    <row r="80" spans="2:19" x14ac:dyDescent="0.3">
      <c r="B80" s="63"/>
      <c r="C80" s="240"/>
      <c r="D80" s="240"/>
      <c r="E80" s="240"/>
      <c r="F80" s="280" t="str">
        <f>IF(ISBLANK($C80),"",VLOOKUP($C80,'List Options'!$D$4:$M$111,2,FALSE))</f>
        <v/>
      </c>
      <c r="G80" s="280" t="str">
        <f>IF(ISBLANK($C80),"",VLOOKUP($C80,'List Options'!$D$4:$M$111,4,FALSE))</f>
        <v/>
      </c>
      <c r="H80" s="280" t="str">
        <f>IF(ISBLANK($C80),"",VLOOKUP($C80,'List Options'!$D$4:$M$111,6,FALSE)-VLOOKUP($C80,'List Options'!$D$4:$M$111,4,FALSE))</f>
        <v/>
      </c>
      <c r="I80" s="72"/>
      <c r="J80" s="72"/>
      <c r="K80" s="64"/>
      <c r="M80" s="168"/>
      <c r="N80" s="168"/>
      <c r="O80" s="168"/>
      <c r="P80" s="168"/>
      <c r="Q80" s="168"/>
      <c r="R80" s="168"/>
      <c r="S80" s="168"/>
    </row>
    <row r="81" spans="2:19" x14ac:dyDescent="0.3">
      <c r="B81" s="63"/>
      <c r="C81" s="240"/>
      <c r="D81" s="240"/>
      <c r="E81" s="240"/>
      <c r="F81" s="280" t="str">
        <f>IF(ISBLANK($C81),"",VLOOKUP($C81,'List Options'!$D$4:$M$111,2,FALSE))</f>
        <v/>
      </c>
      <c r="G81" s="280" t="str">
        <f>IF(ISBLANK($C81),"",VLOOKUP($C81,'List Options'!$D$4:$M$111,4,FALSE))</f>
        <v/>
      </c>
      <c r="H81" s="280" t="str">
        <f>IF(ISBLANK($C81),"",VLOOKUP($C81,'List Options'!$D$4:$M$111,6,FALSE)-VLOOKUP($C81,'List Options'!$D$4:$M$111,4,FALSE))</f>
        <v/>
      </c>
      <c r="I81" s="72"/>
      <c r="J81" s="72"/>
      <c r="K81" s="64"/>
      <c r="M81" s="168"/>
      <c r="N81" s="168"/>
      <c r="O81" s="168"/>
      <c r="P81" s="168"/>
      <c r="Q81" s="168"/>
      <c r="R81" s="168"/>
      <c r="S81" s="168"/>
    </row>
    <row r="82" spans="2:19" x14ac:dyDescent="0.3">
      <c r="B82" s="63"/>
      <c r="C82" s="240"/>
      <c r="D82" s="240"/>
      <c r="E82" s="240"/>
      <c r="F82" s="280" t="str">
        <f>IF(ISBLANK($C82),"",VLOOKUP($C82,'List Options'!$D$4:$M$111,2,FALSE))</f>
        <v/>
      </c>
      <c r="G82" s="280" t="str">
        <f>IF(ISBLANK($C82),"",VLOOKUP($C82,'List Options'!$D$4:$M$111,4,FALSE))</f>
        <v/>
      </c>
      <c r="H82" s="280" t="str">
        <f>IF(ISBLANK($C82),"",VLOOKUP($C82,'List Options'!$D$4:$M$111,6,FALSE)-VLOOKUP($C82,'List Options'!$D$4:$M$111,4,FALSE))</f>
        <v/>
      </c>
      <c r="I82" s="72"/>
      <c r="J82" s="72"/>
      <c r="K82" s="64"/>
      <c r="M82" s="168"/>
      <c r="N82" s="168"/>
      <c r="O82" s="168"/>
      <c r="P82" s="168"/>
      <c r="Q82" s="168"/>
      <c r="R82" s="168"/>
      <c r="S82" s="168"/>
    </row>
    <row r="83" spans="2:19" x14ac:dyDescent="0.3">
      <c r="B83" s="63"/>
      <c r="C83" s="78" t="s">
        <v>31</v>
      </c>
      <c r="D83" s="79"/>
      <c r="E83" s="79"/>
      <c r="F83" s="79"/>
      <c r="G83" s="79"/>
      <c r="H83" s="92"/>
      <c r="I83" s="72"/>
      <c r="J83" s="72"/>
      <c r="K83" s="64"/>
      <c r="M83" s="168"/>
      <c r="N83" s="168"/>
      <c r="O83" s="168"/>
      <c r="P83" s="168"/>
      <c r="Q83" s="168"/>
      <c r="R83" s="168"/>
      <c r="S83" s="168"/>
    </row>
    <row r="84" spans="2:19" x14ac:dyDescent="0.3">
      <c r="B84" s="63"/>
      <c r="C84" s="240" t="s">
        <v>100</v>
      </c>
      <c r="D84" s="240">
        <v>0</v>
      </c>
      <c r="E84" s="240">
        <v>0</v>
      </c>
      <c r="F84" s="81">
        <f>IF(ISBLANK($C84),"",VLOOKUP($C84,'List Options'!$D$4:$M$111,2,FALSE))</f>
        <v>12</v>
      </c>
      <c r="G84" s="81">
        <f>IF(ISBLANK($C84),"",VLOOKUP($C84,'List Options'!$D$4:$M$111,4,FALSE))</f>
        <v>113.69863013698631</v>
      </c>
      <c r="H84" s="81">
        <f>IF(ISBLANK($C84),"",VLOOKUP($C84,'List Options'!$D$4:$M$111,6,FALSE)-VLOOKUP($C84,'List Options'!$D$4:$M$111,4,FALSE))</f>
        <v>227.39726027397262</v>
      </c>
      <c r="I84" s="72"/>
      <c r="J84" s="72"/>
      <c r="K84" s="64"/>
      <c r="M84" s="168"/>
      <c r="N84" s="168"/>
      <c r="O84" s="168"/>
      <c r="P84" s="168"/>
      <c r="Q84" s="168"/>
      <c r="R84" s="168"/>
      <c r="S84" s="168"/>
    </row>
    <row r="85" spans="2:19" x14ac:dyDescent="0.3">
      <c r="B85" s="63"/>
      <c r="C85" s="240" t="s">
        <v>99</v>
      </c>
      <c r="D85" s="240">
        <v>0</v>
      </c>
      <c r="E85" s="240">
        <v>0</v>
      </c>
      <c r="F85" s="81">
        <f>IF(ISBLANK($C85),"",VLOOKUP($C85,'List Options'!$D$4:$M$111,2,FALSE))</f>
        <v>12</v>
      </c>
      <c r="G85" s="81">
        <f>IF(ISBLANK($C85),"",VLOOKUP($C85,'List Options'!$D$4:$M$111,4,FALSE))</f>
        <v>210.61643835616439</v>
      </c>
      <c r="H85" s="81">
        <f>IF(ISBLANK($C85),"",VLOOKUP($C85,'List Options'!$D$4:$M$111,6,FALSE)-VLOOKUP($C85,'List Options'!$D$4:$M$111,4,FALSE))</f>
        <v>421.23287671232879</v>
      </c>
      <c r="I85" s="72"/>
      <c r="J85" s="72"/>
      <c r="K85" s="64"/>
      <c r="M85" s="168"/>
      <c r="N85" s="168"/>
      <c r="O85" s="168"/>
      <c r="P85" s="168"/>
      <c r="Q85" s="168"/>
      <c r="R85" s="168"/>
      <c r="S85" s="168"/>
    </row>
    <row r="86" spans="2:19" x14ac:dyDescent="0.3">
      <c r="B86" s="63"/>
      <c r="C86" s="240" t="s">
        <v>98</v>
      </c>
      <c r="D86" s="240">
        <v>1</v>
      </c>
      <c r="E86" s="240">
        <v>9</v>
      </c>
      <c r="F86" s="81">
        <f>IF(ISBLANK($C86),"",VLOOKUP($C86,'List Options'!$D$4:$M$111,2,FALSE))</f>
        <v>12</v>
      </c>
      <c r="G86" s="81">
        <f>IF(ISBLANK($C86),"",VLOOKUP($C86,'List Options'!$D$4:$M$111,4,FALSE))</f>
        <v>256.16438356164383</v>
      </c>
      <c r="H86" s="81">
        <f>IF(ISBLANK($C86),"",VLOOKUP($C86,'List Options'!$D$4:$M$111,6,FALSE)-VLOOKUP($C86,'List Options'!$D$4:$M$111,4,FALSE))</f>
        <v>512.32876712328766</v>
      </c>
      <c r="I86" s="72"/>
      <c r="J86" s="72"/>
      <c r="K86" s="64"/>
      <c r="M86" s="168"/>
      <c r="N86" s="168"/>
      <c r="O86" s="168"/>
      <c r="P86" s="168"/>
      <c r="Q86" s="168"/>
      <c r="R86" s="168"/>
      <c r="S86" s="168"/>
    </row>
    <row r="87" spans="2:19" x14ac:dyDescent="0.3">
      <c r="B87" s="63"/>
      <c r="C87" s="240"/>
      <c r="D87" s="240"/>
      <c r="E87" s="240"/>
      <c r="F87" s="81" t="str">
        <f>IF(ISBLANK($C87),"",VLOOKUP($C87,'List Options'!$D$4:$M$111,2,FALSE))</f>
        <v/>
      </c>
      <c r="G87" s="81" t="str">
        <f>IF(ISBLANK($C87),"",VLOOKUP($C87,'List Options'!$D$4:$M$111,4,FALSE))</f>
        <v/>
      </c>
      <c r="H87" s="81" t="str">
        <f>IF(ISBLANK($C87),"",VLOOKUP($C87,'List Options'!$D$4:$M$111,6,FALSE)-VLOOKUP($C87,'List Options'!$D$4:$M$111,4,FALSE))</f>
        <v/>
      </c>
      <c r="I87" s="72"/>
      <c r="J87" s="72"/>
      <c r="K87" s="64"/>
      <c r="M87" s="168"/>
      <c r="N87" s="168"/>
      <c r="O87" s="168"/>
      <c r="P87" s="168"/>
      <c r="Q87" s="168"/>
      <c r="R87" s="168"/>
      <c r="S87" s="168"/>
    </row>
    <row r="88" spans="2:19" x14ac:dyDescent="0.3">
      <c r="B88" s="63"/>
      <c r="C88" s="240"/>
      <c r="D88" s="240"/>
      <c r="E88" s="240"/>
      <c r="F88" s="81" t="str">
        <f>IF(ISBLANK($C88),"",VLOOKUP($C88,'List Options'!$D$4:$M$111,2,FALSE))</f>
        <v/>
      </c>
      <c r="G88" s="81" t="str">
        <f>IF(ISBLANK($C88),"",VLOOKUP($C88,'List Options'!$D$4:$M$111,4,FALSE))</f>
        <v/>
      </c>
      <c r="H88" s="81" t="str">
        <f>IF(ISBLANK($C88),"",VLOOKUP($C88,'List Options'!$D$4:$M$111,6,FALSE)-VLOOKUP($C88,'List Options'!$D$4:$M$111,4,FALSE))</f>
        <v/>
      </c>
      <c r="I88" s="72"/>
      <c r="J88" s="72"/>
      <c r="K88" s="64"/>
      <c r="M88" s="168"/>
      <c r="N88" s="168"/>
      <c r="O88" s="168"/>
      <c r="P88" s="168"/>
      <c r="Q88" s="168"/>
      <c r="R88" s="168"/>
      <c r="S88" s="168"/>
    </row>
    <row r="89" spans="2:19" x14ac:dyDescent="0.3">
      <c r="B89" s="63"/>
      <c r="C89" s="240"/>
      <c r="D89" s="240"/>
      <c r="E89" s="240"/>
      <c r="F89" s="81" t="str">
        <f>IF(ISBLANK($C89),"",VLOOKUP($C89,'List Options'!$D$4:$M$111,2,FALSE))</f>
        <v/>
      </c>
      <c r="G89" s="81" t="str">
        <f>IF(ISBLANK($C89),"",VLOOKUP($C89,'List Options'!$D$4:$M$111,4,FALSE))</f>
        <v/>
      </c>
      <c r="H89" s="81" t="str">
        <f>IF(ISBLANK($C89),"",VLOOKUP($C89,'List Options'!$D$4:$M$111,6,FALSE)-VLOOKUP($C89,'List Options'!$D$4:$M$111,4,FALSE))</f>
        <v/>
      </c>
      <c r="I89" s="72"/>
      <c r="J89" s="72"/>
      <c r="K89" s="64"/>
      <c r="M89" s="168"/>
      <c r="N89" s="168"/>
      <c r="O89" s="168"/>
      <c r="P89" s="168"/>
      <c r="Q89" s="168"/>
      <c r="R89" s="168"/>
      <c r="S89" s="168"/>
    </row>
    <row r="90" spans="2:19" x14ac:dyDescent="0.3">
      <c r="B90" s="63"/>
      <c r="C90" s="78" t="s">
        <v>319</v>
      </c>
      <c r="D90" s="79"/>
      <c r="E90" s="79"/>
      <c r="F90" s="79"/>
      <c r="G90" s="79"/>
      <c r="H90" s="92"/>
      <c r="I90" s="72"/>
      <c r="J90" s="72"/>
      <c r="K90" s="64"/>
      <c r="M90" s="168"/>
      <c r="N90" s="168"/>
      <c r="O90" s="168"/>
      <c r="P90" s="168"/>
      <c r="Q90" s="168"/>
      <c r="R90" s="168"/>
      <c r="S90" s="168"/>
    </row>
    <row r="91" spans="2:19" ht="28.8" x14ac:dyDescent="0.3">
      <c r="B91" s="63"/>
      <c r="C91" s="240" t="s">
        <v>262</v>
      </c>
      <c r="D91" s="240">
        <v>0</v>
      </c>
      <c r="E91" s="240">
        <v>0</v>
      </c>
      <c r="F91" s="280">
        <f>IF(ISBLANK($C91),"",VLOOKUP($C91,'List Options'!$D$4:$M$111,2,FALSE))</f>
        <v>0</v>
      </c>
      <c r="G91" s="280">
        <f>IF(ISBLANK($C91),"",VLOOKUP($C91,'List Options'!$D$4:$M$111,4,FALSE))</f>
        <v>0</v>
      </c>
      <c r="H91" s="280">
        <f>IF(ISBLANK($C91),"",VLOOKUP($C91,'List Options'!$D$4:$M$111,6,FALSE)-VLOOKUP($C91,'List Options'!$D$4:$M$111,4,FALSE))</f>
        <v>5224.2400000000007</v>
      </c>
      <c r="I91" s="72"/>
      <c r="J91" s="141"/>
      <c r="K91" s="64"/>
      <c r="M91" s="168"/>
      <c r="N91" s="168"/>
      <c r="O91" s="168"/>
      <c r="P91" s="168"/>
      <c r="Q91" s="168"/>
      <c r="R91" s="168"/>
      <c r="S91" s="168"/>
    </row>
    <row r="92" spans="2:19" x14ac:dyDescent="0.3">
      <c r="B92" s="63"/>
      <c r="C92" s="240" t="s">
        <v>34</v>
      </c>
      <c r="D92" s="240">
        <v>0</v>
      </c>
      <c r="E92" s="240">
        <v>0</v>
      </c>
      <c r="F92" s="280">
        <f>IF(ISBLANK($C92),"",VLOOKUP($C92,'List Options'!$D$4:$M$111,2,FALSE))</f>
        <v>7</v>
      </c>
      <c r="G92" s="280">
        <f>IF(ISBLANK($C92),"",VLOOKUP($C92,'List Options'!$D$4:$M$111,4,FALSE))</f>
        <v>60</v>
      </c>
      <c r="H92" s="280">
        <f>IF(ISBLANK($C92),"",VLOOKUP($C92,'List Options'!$D$4:$M$111,6,FALSE)-VLOOKUP($C92,'List Options'!$D$4:$M$111,4,FALSE))</f>
        <v>70</v>
      </c>
      <c r="I92" s="72"/>
      <c r="J92" s="72"/>
      <c r="K92" s="64"/>
      <c r="M92" s="168"/>
      <c r="N92" s="168"/>
      <c r="O92" s="168"/>
      <c r="P92" s="168"/>
      <c r="Q92" s="168"/>
      <c r="R92" s="168"/>
      <c r="S92" s="168"/>
    </row>
    <row r="93" spans="2:19" ht="28.8" x14ac:dyDescent="0.3">
      <c r="B93" s="63"/>
      <c r="C93" s="240" t="s">
        <v>307</v>
      </c>
      <c r="D93" s="240">
        <v>3</v>
      </c>
      <c r="E93" s="240">
        <v>13</v>
      </c>
      <c r="F93" s="280">
        <f>IF(ISBLANK($C93),"",VLOOKUP($C93,'List Options'!$D$4:$M$111,2,FALSE))</f>
        <v>0</v>
      </c>
      <c r="G93" s="280">
        <f>IF(ISBLANK($C93),"",VLOOKUP($C93,'List Options'!$D$4:$M$111,4,FALSE))</f>
        <v>1800</v>
      </c>
      <c r="H93" s="280">
        <f>IF(ISBLANK($C93),"",VLOOKUP($C93,'List Options'!$D$4:$M$111,6,FALSE)-VLOOKUP($C93,'List Options'!$D$4:$M$111,4,FALSE))</f>
        <v>0</v>
      </c>
      <c r="I93" s="72"/>
      <c r="J93" s="72"/>
      <c r="K93" s="64"/>
      <c r="M93" s="168"/>
      <c r="N93" s="168"/>
      <c r="O93" s="168"/>
      <c r="P93" s="168"/>
      <c r="Q93" s="168"/>
      <c r="R93" s="168"/>
      <c r="S93" s="168"/>
    </row>
    <row r="94" spans="2:19" x14ac:dyDescent="0.3">
      <c r="B94" s="63"/>
      <c r="C94" s="240"/>
      <c r="D94" s="240"/>
      <c r="E94" s="240"/>
      <c r="F94" s="280" t="str">
        <f>IF(ISBLANK($C94),"",VLOOKUP($C94,'List Options'!$D$4:$M$111,2,FALSE))</f>
        <v/>
      </c>
      <c r="G94" s="280" t="str">
        <f>IF(ISBLANK($C94),"",VLOOKUP($C94,'List Options'!$D$4:$M$111,4,FALSE))</f>
        <v/>
      </c>
      <c r="H94" s="280" t="str">
        <f>IF(ISBLANK($C94),"",VLOOKUP($C94,'List Options'!$D$4:$M$111,6,FALSE)-VLOOKUP($C94,'List Options'!$D$4:$M$111,4,FALSE))</f>
        <v/>
      </c>
      <c r="I94" s="72"/>
      <c r="J94" s="72"/>
      <c r="K94" s="64"/>
      <c r="M94" s="168"/>
      <c r="N94" s="168"/>
      <c r="O94" s="168"/>
      <c r="P94" s="168"/>
      <c r="Q94" s="168"/>
      <c r="R94" s="168"/>
      <c r="S94" s="168"/>
    </row>
    <row r="95" spans="2:19" x14ac:dyDescent="0.3">
      <c r="B95" s="63"/>
      <c r="C95" s="240"/>
      <c r="D95" s="240"/>
      <c r="E95" s="240"/>
      <c r="F95" s="280" t="str">
        <f>IF(ISBLANK($C95),"",VLOOKUP($C95,'List Options'!$D$4:$M$111,2,FALSE))</f>
        <v/>
      </c>
      <c r="G95" s="280" t="str">
        <f>IF(ISBLANK($C95),"",VLOOKUP($C95,'List Options'!$D$4:$M$111,4,FALSE))</f>
        <v/>
      </c>
      <c r="H95" s="280" t="str">
        <f>IF(ISBLANK($C95),"",VLOOKUP($C95,'List Options'!$D$4:$M$111,6,FALSE)-VLOOKUP($C95,'List Options'!$D$4:$M$111,4,FALSE))</f>
        <v/>
      </c>
      <c r="I95" s="72"/>
      <c r="J95" s="72"/>
      <c r="K95" s="64"/>
      <c r="M95" s="168"/>
      <c r="N95" s="168"/>
      <c r="O95" s="168"/>
      <c r="P95" s="168"/>
      <c r="Q95" s="168"/>
      <c r="R95" s="168"/>
      <c r="S95" s="168"/>
    </row>
    <row r="96" spans="2:19" x14ac:dyDescent="0.3">
      <c r="B96" s="63"/>
      <c r="C96" s="240"/>
      <c r="D96" s="240"/>
      <c r="E96" s="240"/>
      <c r="F96" s="280" t="str">
        <f>IF(ISBLANK($C96),"",VLOOKUP($C96,'List Options'!$D$4:$M$111,2,FALSE))</f>
        <v/>
      </c>
      <c r="G96" s="280" t="str">
        <f>IF(ISBLANK($C96),"",VLOOKUP($C96,'List Options'!$D$4:$M$111,4,FALSE))</f>
        <v/>
      </c>
      <c r="H96" s="280" t="str">
        <f>IF(ISBLANK($C96),"",VLOOKUP($C96,'List Options'!$D$4:$M$111,6,FALSE)-VLOOKUP($C96,'List Options'!$D$4:$M$111,4,FALSE))</f>
        <v/>
      </c>
      <c r="I96" s="72"/>
      <c r="J96" s="72"/>
      <c r="K96" s="64"/>
      <c r="M96" s="168"/>
      <c r="N96" s="168"/>
    </row>
    <row r="97" spans="2:14" x14ac:dyDescent="0.3">
      <c r="B97" s="63"/>
      <c r="C97" s="240"/>
      <c r="D97" s="240"/>
      <c r="E97" s="240"/>
      <c r="F97" s="280" t="str">
        <f>IF(ISBLANK($C97),"",VLOOKUP($C97,'List Options'!$D$4:$M$111,2,FALSE))</f>
        <v/>
      </c>
      <c r="G97" s="280" t="str">
        <f>IF(ISBLANK($C97),"",VLOOKUP($C97,'List Options'!$D$4:$M$111,4,FALSE))</f>
        <v/>
      </c>
      <c r="H97" s="280" t="str">
        <f>IF(ISBLANK($C97),"",VLOOKUP($C97,'List Options'!$D$4:$M$111,6,FALSE)-VLOOKUP($C97,'List Options'!$D$4:$M$111,4,FALSE))</f>
        <v/>
      </c>
      <c r="I97" s="72"/>
      <c r="J97" s="72"/>
      <c r="K97" s="64"/>
      <c r="M97" s="168"/>
      <c r="N97" s="168"/>
    </row>
    <row r="98" spans="2:14" x14ac:dyDescent="0.3">
      <c r="B98" s="63"/>
      <c r="C98" s="240"/>
      <c r="D98" s="240"/>
      <c r="E98" s="240"/>
      <c r="F98" s="280" t="str">
        <f>IF(ISBLANK($C98),"",VLOOKUP($C98,'List Options'!$D$4:$M$111,2,FALSE))</f>
        <v/>
      </c>
      <c r="G98" s="280" t="str">
        <f>IF(ISBLANK($C98),"",VLOOKUP($C98,'List Options'!$D$4:$M$111,4,FALSE))</f>
        <v/>
      </c>
      <c r="H98" s="280" t="str">
        <f>IF(ISBLANK($C98),"",VLOOKUP($C98,'List Options'!$D$4:$M$111,6,FALSE)-VLOOKUP($C98,'List Options'!$D$4:$M$111,4,FALSE))</f>
        <v/>
      </c>
      <c r="I98" s="72"/>
      <c r="J98" s="72"/>
      <c r="K98" s="64"/>
      <c r="M98" s="168"/>
      <c r="N98" s="168"/>
    </row>
    <row r="99" spans="2:14" x14ac:dyDescent="0.3">
      <c r="B99" s="63"/>
      <c r="C99" s="240"/>
      <c r="D99" s="240"/>
      <c r="E99" s="240"/>
      <c r="F99" s="280" t="str">
        <f>IF(ISBLANK($C99),"",VLOOKUP($C99,'List Options'!$D$4:$M$111,2,FALSE))</f>
        <v/>
      </c>
      <c r="G99" s="280" t="str">
        <f>IF(ISBLANK($C99),"",VLOOKUP($C99,'List Options'!$D$4:$M$111,4,FALSE))</f>
        <v/>
      </c>
      <c r="H99" s="280" t="str">
        <f>IF(ISBLANK($C99),"",VLOOKUP($C99,'List Options'!$D$4:$M$111,6,FALSE)-VLOOKUP($C99,'List Options'!$D$4:$M$111,4,FALSE))</f>
        <v/>
      </c>
      <c r="I99" s="72"/>
      <c r="J99" s="72"/>
      <c r="K99" s="64"/>
      <c r="M99" s="168"/>
      <c r="N99" s="168"/>
    </row>
    <row r="100" spans="2:14" x14ac:dyDescent="0.3">
      <c r="B100" s="63"/>
      <c r="C100" s="78" t="s">
        <v>38</v>
      </c>
      <c r="D100" s="79"/>
      <c r="E100" s="79"/>
      <c r="F100" s="79"/>
      <c r="G100" s="79"/>
      <c r="H100" s="92"/>
      <c r="I100" s="72"/>
      <c r="J100" s="72"/>
      <c r="K100" s="64"/>
      <c r="M100" s="168"/>
      <c r="N100" s="168"/>
    </row>
    <row r="101" spans="2:14" x14ac:dyDescent="0.3">
      <c r="B101" s="63"/>
      <c r="C101" s="240" t="s">
        <v>287</v>
      </c>
      <c r="D101" s="240">
        <v>6</v>
      </c>
      <c r="E101" s="240">
        <v>12</v>
      </c>
      <c r="F101" s="280">
        <f>IF(ISBLANK($C101),"",VLOOKUP($C101,'List Options'!$D$4:$M$111,2,FALSE))</f>
        <v>7</v>
      </c>
      <c r="G101" s="280">
        <f>IF(ISBLANK($C101),"",VLOOKUP($C101,'List Options'!$D$4:$M$111,4,FALSE))</f>
        <v>20</v>
      </c>
      <c r="H101" s="280">
        <f>IF(ISBLANK($C101),"",VLOOKUP($C101,'List Options'!$D$4:$M$111,6,FALSE)-VLOOKUP($C101,'List Options'!$D$4:$M$111,4,FALSE))</f>
        <v>0</v>
      </c>
      <c r="I101" s="72"/>
      <c r="J101" s="72"/>
      <c r="K101" s="64"/>
      <c r="M101" s="168"/>
      <c r="N101" s="168"/>
    </row>
    <row r="102" spans="2:14" x14ac:dyDescent="0.3">
      <c r="B102" s="63"/>
      <c r="C102" s="240"/>
      <c r="D102" s="240"/>
      <c r="E102" s="240"/>
      <c r="F102" s="280" t="str">
        <f>IF(ISBLANK($C102),"",VLOOKUP($C102,'List Options'!$D$4:$M$111,2,FALSE))</f>
        <v/>
      </c>
      <c r="G102" s="280" t="str">
        <f>IF(ISBLANK($C102),"",VLOOKUP($C102,'List Options'!$D$4:$M$111,4,FALSE))</f>
        <v/>
      </c>
      <c r="H102" s="280" t="str">
        <f>IF(ISBLANK($C102),"",VLOOKUP($C102,'List Options'!$D$4:$M$111,6,FALSE)-VLOOKUP($C102,'List Options'!$D$4:$M$111,4,FALSE))</f>
        <v/>
      </c>
      <c r="I102" s="72"/>
      <c r="J102" s="72"/>
      <c r="K102" s="64"/>
      <c r="M102" s="168"/>
      <c r="N102" s="168"/>
    </row>
    <row r="103" spans="2:14" x14ac:dyDescent="0.3">
      <c r="B103" s="63"/>
      <c r="C103" s="240"/>
      <c r="D103" s="240"/>
      <c r="E103" s="240"/>
      <c r="F103" s="280" t="str">
        <f>IF(ISBLANK($C103),"",VLOOKUP($C103,'List Options'!$D$4:$M$111,2,FALSE))</f>
        <v/>
      </c>
      <c r="G103" s="280" t="str">
        <f>IF(ISBLANK($C103),"",VLOOKUP($C103,'List Options'!$D$4:$M$111,4,FALSE))</f>
        <v/>
      </c>
      <c r="H103" s="280" t="str">
        <f>IF(ISBLANK($C103),"",VLOOKUP($C103,'List Options'!$D$4:$M$111,6,FALSE)-VLOOKUP($C103,'List Options'!$D$4:$M$111,4,FALSE))</f>
        <v/>
      </c>
      <c r="I103" s="72"/>
      <c r="J103" s="72"/>
      <c r="K103" s="64"/>
      <c r="M103" s="168"/>
      <c r="N103" s="168"/>
    </row>
    <row r="104" spans="2:14" x14ac:dyDescent="0.3">
      <c r="B104" s="63"/>
      <c r="C104" s="240"/>
      <c r="D104" s="240"/>
      <c r="E104" s="240"/>
      <c r="F104" s="280" t="str">
        <f>IF(ISBLANK($C104),"",VLOOKUP($C104,'List Options'!$D$4:$M$111,2,FALSE))</f>
        <v/>
      </c>
      <c r="G104" s="280" t="str">
        <f>IF(ISBLANK($C104),"",VLOOKUP($C104,'List Options'!$D$4:$M$111,4,FALSE))</f>
        <v/>
      </c>
      <c r="H104" s="280" t="str">
        <f>IF(ISBLANK($C104),"",VLOOKUP($C104,'List Options'!$D$4:$M$111,6,FALSE)-VLOOKUP($C104,'List Options'!$D$4:$M$111,4,FALSE))</f>
        <v/>
      </c>
      <c r="I104" s="72"/>
      <c r="J104" s="72"/>
      <c r="K104" s="64"/>
      <c r="M104" s="168"/>
      <c r="N104" s="168"/>
    </row>
    <row r="105" spans="2:14" x14ac:dyDescent="0.3">
      <c r="B105" s="63"/>
      <c r="C105" s="240"/>
      <c r="D105" s="240"/>
      <c r="E105" s="240"/>
      <c r="F105" s="280" t="str">
        <f>IF(ISBLANK($C105),"",VLOOKUP($C105,'List Options'!$D$4:$M$111,2,FALSE))</f>
        <v/>
      </c>
      <c r="G105" s="280" t="str">
        <f>IF(ISBLANK($C105),"",VLOOKUP($C105,'List Options'!$D$4:$M$111,4,FALSE))</f>
        <v/>
      </c>
      <c r="H105" s="280" t="str">
        <f>IF(ISBLANK($C105),"",VLOOKUP($C105,'List Options'!$D$4:$M$111,6,FALSE)-VLOOKUP($C105,'List Options'!$D$4:$M$111,4,FALSE))</f>
        <v/>
      </c>
      <c r="I105" s="72"/>
      <c r="J105" s="72"/>
      <c r="K105" s="64"/>
      <c r="M105" s="168"/>
      <c r="N105" s="168"/>
    </row>
    <row r="106" spans="2:14" x14ac:dyDescent="0.3">
      <c r="B106" s="63"/>
      <c r="C106" s="78" t="s">
        <v>320</v>
      </c>
      <c r="D106" s="79"/>
      <c r="E106" s="79"/>
      <c r="F106" s="79"/>
      <c r="G106" s="79"/>
      <c r="H106" s="92"/>
      <c r="I106" s="72"/>
      <c r="J106" s="72"/>
      <c r="K106" s="64"/>
      <c r="M106" s="168"/>
      <c r="N106" s="168"/>
    </row>
    <row r="107" spans="2:14" ht="28.8" x14ac:dyDescent="0.3">
      <c r="B107" s="63"/>
      <c r="C107" s="240" t="s">
        <v>119</v>
      </c>
      <c r="D107" s="240">
        <v>1</v>
      </c>
      <c r="E107" s="240">
        <v>8</v>
      </c>
      <c r="F107" s="280">
        <f>IF(ISBLANK($C107),"",VLOOKUP($C107,'List Options'!$D$4:$M$111,2,FALSE))</f>
        <v>1.5</v>
      </c>
      <c r="G107" s="280">
        <f>IF(ISBLANK($C107),"",VLOOKUP($C107,'List Options'!$D$4:$M$111,4,FALSE))</f>
        <v>4500</v>
      </c>
      <c r="H107" s="280">
        <f>IF(ISBLANK($C107),"",VLOOKUP($C107,'List Options'!$D$4:$M$111,6,FALSE)-VLOOKUP($C107,'List Options'!$D$4:$M$111,4,FALSE))</f>
        <v>0</v>
      </c>
      <c r="I107" s="72"/>
      <c r="J107" s="72"/>
      <c r="K107" s="64"/>
      <c r="M107" s="168"/>
      <c r="N107" s="168"/>
    </row>
    <row r="108" spans="2:14" x14ac:dyDescent="0.3">
      <c r="B108" s="63"/>
      <c r="C108" s="240"/>
      <c r="D108" s="240"/>
      <c r="E108" s="240"/>
      <c r="F108" s="280" t="str">
        <f>IF(ISBLANK($C108),"",VLOOKUP($C108,'List Options'!$D$4:$M$111,2,FALSE))</f>
        <v/>
      </c>
      <c r="G108" s="280" t="str">
        <f>IF(ISBLANK($C108),"",VLOOKUP($C108,'List Options'!$D$4:$M$111,4,FALSE))</f>
        <v/>
      </c>
      <c r="H108" s="280" t="str">
        <f>IF(ISBLANK($C108),"",VLOOKUP($C108,'List Options'!$D$4:$M$111,6,FALSE)-VLOOKUP($C108,'List Options'!$D$4:$M$111,4,FALSE))</f>
        <v/>
      </c>
      <c r="I108" s="141"/>
      <c r="J108" s="72"/>
      <c r="K108" s="64"/>
      <c r="M108" s="168"/>
      <c r="N108" s="168"/>
    </row>
    <row r="109" spans="2:14" x14ac:dyDescent="0.3">
      <c r="B109" s="63"/>
      <c r="C109" s="240"/>
      <c r="D109" s="240"/>
      <c r="E109" s="240"/>
      <c r="F109" s="280" t="str">
        <f>IF(ISBLANK($C109),"",VLOOKUP($C109,'List Options'!$D$4:$M$111,2,FALSE))</f>
        <v/>
      </c>
      <c r="G109" s="280" t="str">
        <f>IF(ISBLANK($C109),"",VLOOKUP($C109,'List Options'!$D$4:$M$111,4,FALSE))</f>
        <v/>
      </c>
      <c r="H109" s="280" t="str">
        <f>IF(ISBLANK($C109),"",VLOOKUP($C109,'List Options'!$D$4:$M$111,6,FALSE)-VLOOKUP($C109,'List Options'!$D$4:$M$111,4,FALSE))</f>
        <v/>
      </c>
      <c r="I109" s="72"/>
      <c r="J109" s="72"/>
      <c r="K109" s="64"/>
      <c r="M109" s="168"/>
      <c r="N109" s="168"/>
    </row>
    <row r="110" spans="2:14" x14ac:dyDescent="0.3">
      <c r="B110" s="63"/>
      <c r="C110" s="240"/>
      <c r="D110" s="240"/>
      <c r="E110" s="240"/>
      <c r="F110" s="280" t="str">
        <f>IF(ISBLANK($C110),"",VLOOKUP($C110,'List Options'!$D$4:$M$111,2,FALSE))</f>
        <v/>
      </c>
      <c r="G110" s="280" t="str">
        <f>IF(ISBLANK($C110),"",VLOOKUP($C110,'List Options'!$D$4:$M$111,4,FALSE))</f>
        <v/>
      </c>
      <c r="H110" s="280" t="str">
        <f>IF(ISBLANK($C110),"",VLOOKUP($C110,'List Options'!$D$4:$M$111,6,FALSE)-VLOOKUP($C110,'List Options'!$D$4:$M$111,4,FALSE))</f>
        <v/>
      </c>
      <c r="I110" s="72"/>
      <c r="J110" s="72"/>
      <c r="K110" s="64"/>
      <c r="M110" s="168"/>
      <c r="N110" s="168"/>
    </row>
    <row r="111" spans="2:14" x14ac:dyDescent="0.3">
      <c r="B111" s="63"/>
      <c r="C111" s="240"/>
      <c r="D111" s="240"/>
      <c r="E111" s="240"/>
      <c r="F111" s="280" t="str">
        <f>IF(ISBLANK($C111),"",VLOOKUP($C111,'List Options'!$D$4:$M$111,2,FALSE))</f>
        <v/>
      </c>
      <c r="G111" s="280" t="str">
        <f>IF(ISBLANK($C111),"",VLOOKUP($C111,'List Options'!$D$4:$M$111,4,FALSE))</f>
        <v/>
      </c>
      <c r="H111" s="280" t="str">
        <f>IF(ISBLANK($C111),"",VLOOKUP($C111,'List Options'!$D$4:$M$111,6,FALSE)-VLOOKUP($C111,'List Options'!$D$4:$M$111,4,FALSE))</f>
        <v/>
      </c>
      <c r="I111" s="72"/>
      <c r="J111" s="72"/>
      <c r="K111" s="64"/>
      <c r="M111" s="168"/>
      <c r="N111" s="168"/>
    </row>
    <row r="112" spans="2:14" x14ac:dyDescent="0.3">
      <c r="B112" s="63"/>
      <c r="C112" s="240"/>
      <c r="D112" s="240"/>
      <c r="E112" s="240"/>
      <c r="F112" s="280" t="str">
        <f>IF(ISBLANK($C112),"",VLOOKUP($C112,'List Options'!$D$4:$M$111,2,FALSE))</f>
        <v/>
      </c>
      <c r="G112" s="280" t="str">
        <f>IF(ISBLANK($C112),"",VLOOKUP($C112,'List Options'!$D$4:$M$111,4,FALSE))</f>
        <v/>
      </c>
      <c r="H112" s="280" t="str">
        <f>IF(ISBLANK($C112),"",VLOOKUP($C112,'List Options'!$D$4:$M$111,6,FALSE)-VLOOKUP($C112,'List Options'!$D$4:$M$111,4,FALSE))</f>
        <v/>
      </c>
      <c r="I112" s="72"/>
      <c r="J112" s="72"/>
      <c r="K112" s="64"/>
      <c r="M112" s="168"/>
      <c r="N112" s="168"/>
    </row>
    <row r="113" spans="2:14" x14ac:dyDescent="0.3">
      <c r="B113" s="63"/>
      <c r="C113" s="240"/>
      <c r="D113" s="240"/>
      <c r="E113" s="240"/>
      <c r="F113" s="280" t="str">
        <f>IF(ISBLANK($C113),"",VLOOKUP($C113,'List Options'!$D$4:$M$111,2,FALSE))</f>
        <v/>
      </c>
      <c r="G113" s="280" t="str">
        <f>IF(ISBLANK($C113),"",VLOOKUP($C113,'List Options'!$D$4:$M$111,4,FALSE))</f>
        <v/>
      </c>
      <c r="H113" s="280" t="str">
        <f>IF(ISBLANK($C113),"",VLOOKUP($C113,'List Options'!$D$4:$M$111,6,FALSE)-VLOOKUP($C113,'List Options'!$D$4:$M$111,4,FALSE))</f>
        <v/>
      </c>
      <c r="I113" s="72"/>
      <c r="J113" s="72"/>
      <c r="K113" s="64"/>
      <c r="M113" s="168"/>
      <c r="N113" s="168"/>
    </row>
    <row r="114" spans="2:14" x14ac:dyDescent="0.3">
      <c r="B114" s="63"/>
      <c r="C114" s="240"/>
      <c r="D114" s="240"/>
      <c r="E114" s="240"/>
      <c r="F114" s="280" t="str">
        <f>IF(ISBLANK($C114),"",VLOOKUP($C114,'List Options'!$D$4:$M$111,2,FALSE))</f>
        <v/>
      </c>
      <c r="G114" s="280" t="str">
        <f>IF(ISBLANK($C114),"",VLOOKUP($C114,'List Options'!$D$4:$M$111,4,FALSE))</f>
        <v/>
      </c>
      <c r="H114" s="280" t="str">
        <f>IF(ISBLANK($C114),"",VLOOKUP($C114,'List Options'!$D$4:$M$111,6,FALSE)-VLOOKUP($C114,'List Options'!$D$4:$M$111,4,FALSE))</f>
        <v/>
      </c>
      <c r="I114" s="72"/>
      <c r="J114" s="72"/>
      <c r="K114" s="64"/>
      <c r="M114" s="168"/>
      <c r="N114" s="168"/>
    </row>
    <row r="115" spans="2:14" x14ac:dyDescent="0.3">
      <c r="B115" s="63"/>
      <c r="C115" s="240"/>
      <c r="D115" s="240"/>
      <c r="E115" s="240"/>
      <c r="F115" s="280" t="str">
        <f>IF(ISBLANK($C115),"",VLOOKUP($C115,'List Options'!$D$4:$M$111,2,FALSE))</f>
        <v/>
      </c>
      <c r="G115" s="280" t="str">
        <f>IF(ISBLANK($C115),"",VLOOKUP($C115,'List Options'!$D$4:$M$111,4,FALSE))</f>
        <v/>
      </c>
      <c r="H115" s="280" t="str">
        <f>IF(ISBLANK($C115),"",VLOOKUP($C115,'List Options'!$D$4:$M$111,6,FALSE)-VLOOKUP($C115,'List Options'!$D$4:$M$111,4,FALSE))</f>
        <v/>
      </c>
      <c r="I115" s="72"/>
      <c r="J115" s="72"/>
      <c r="K115" s="64"/>
      <c r="M115" s="168"/>
      <c r="N115" s="168"/>
    </row>
    <row r="116" spans="2:14" x14ac:dyDescent="0.3">
      <c r="B116" s="67"/>
      <c r="C116" s="72"/>
      <c r="D116" s="72"/>
      <c r="E116" s="72"/>
      <c r="F116" s="72"/>
      <c r="G116" s="72"/>
      <c r="H116" s="72"/>
      <c r="I116" s="72"/>
      <c r="J116" s="72"/>
      <c r="K116" s="69"/>
      <c r="M116" s="168"/>
      <c r="N116" s="168"/>
    </row>
    <row r="117" spans="2:14" x14ac:dyDescent="0.3">
      <c r="B117" s="67"/>
      <c r="C117" s="327" t="s">
        <v>318</v>
      </c>
      <c r="D117" s="328"/>
      <c r="E117" s="328"/>
      <c r="F117" s="328"/>
      <c r="G117" s="328"/>
      <c r="H117" s="328"/>
      <c r="I117" s="328"/>
      <c r="J117" s="329"/>
      <c r="K117" s="69"/>
      <c r="M117" s="168"/>
      <c r="N117" s="168"/>
    </row>
    <row r="118" spans="2:14" x14ac:dyDescent="0.3">
      <c r="B118" s="67"/>
      <c r="C118" s="72"/>
      <c r="D118" s="72"/>
      <c r="E118" s="72"/>
      <c r="F118" s="72"/>
      <c r="G118" s="72"/>
      <c r="H118" s="72"/>
      <c r="I118" s="72"/>
      <c r="J118" s="72"/>
      <c r="K118" s="69"/>
      <c r="M118" s="168"/>
      <c r="N118" s="168"/>
    </row>
    <row r="119" spans="2:14" ht="28.8" x14ac:dyDescent="0.3">
      <c r="B119" s="67"/>
      <c r="C119" s="47" t="s">
        <v>251</v>
      </c>
      <c r="D119" s="72"/>
      <c r="E119" s="72"/>
      <c r="F119" s="72"/>
      <c r="G119" s="72"/>
      <c r="H119" s="72"/>
      <c r="I119" s="72"/>
      <c r="J119" s="72"/>
      <c r="K119" s="69"/>
      <c r="M119" s="168"/>
      <c r="N119" s="168"/>
    </row>
    <row r="120" spans="2:14" x14ac:dyDescent="0.3">
      <c r="B120" s="67"/>
      <c r="C120" s="246"/>
      <c r="D120" s="72"/>
      <c r="E120" s="72"/>
      <c r="F120" s="72"/>
      <c r="G120" s="72"/>
      <c r="H120" s="72"/>
      <c r="I120" s="72"/>
      <c r="J120" s="72"/>
      <c r="K120" s="69"/>
    </row>
    <row r="121" spans="2:14" x14ac:dyDescent="0.3">
      <c r="B121" s="67"/>
      <c r="C121" s="72"/>
      <c r="D121" s="72"/>
      <c r="E121" s="72"/>
      <c r="F121" s="72"/>
      <c r="G121" s="72"/>
      <c r="H121" s="72"/>
      <c r="I121" s="72"/>
      <c r="J121" s="72"/>
      <c r="K121" s="69"/>
    </row>
    <row r="122" spans="2:14" x14ac:dyDescent="0.3">
      <c r="B122" s="67"/>
      <c r="C122" s="72"/>
      <c r="D122" s="72"/>
      <c r="E122" s="72"/>
      <c r="F122" s="72"/>
      <c r="G122" s="72"/>
      <c r="H122" s="72"/>
      <c r="I122" s="72"/>
      <c r="J122" s="72"/>
      <c r="K122" s="69"/>
    </row>
    <row r="123" spans="2:14" x14ac:dyDescent="0.3">
      <c r="B123" s="67"/>
      <c r="C123" s="72"/>
      <c r="D123" s="72"/>
      <c r="E123" s="72"/>
      <c r="F123" s="72"/>
      <c r="G123" s="72"/>
      <c r="H123" s="72"/>
      <c r="I123" s="72"/>
      <c r="J123" s="72"/>
      <c r="K123" s="69"/>
    </row>
    <row r="124" spans="2:14" ht="18" x14ac:dyDescent="0.3">
      <c r="B124" s="63"/>
      <c r="C124" s="347" t="s">
        <v>190</v>
      </c>
      <c r="D124" s="348"/>
      <c r="E124" s="348"/>
      <c r="F124" s="348"/>
      <c r="G124" s="348"/>
      <c r="H124" s="348"/>
      <c r="I124" s="348"/>
      <c r="J124" s="349"/>
      <c r="K124" s="64"/>
    </row>
    <row r="125" spans="2:14" x14ac:dyDescent="0.3">
      <c r="B125" s="67"/>
      <c r="C125" s="72"/>
      <c r="D125" s="72"/>
      <c r="E125" s="72"/>
      <c r="F125" s="72"/>
      <c r="G125" s="72"/>
      <c r="H125" s="72"/>
      <c r="I125" s="72"/>
      <c r="J125" s="72"/>
      <c r="K125" s="69"/>
    </row>
    <row r="126" spans="2:14" ht="28.8" x14ac:dyDescent="0.3">
      <c r="B126" s="67"/>
      <c r="C126" s="71" t="s">
        <v>198</v>
      </c>
      <c r="D126" s="72"/>
      <c r="E126" s="323" t="s">
        <v>268</v>
      </c>
      <c r="F126" s="323"/>
      <c r="G126" s="72"/>
      <c r="H126" s="72"/>
      <c r="I126" s="161"/>
      <c r="J126" s="162"/>
      <c r="K126" s="69"/>
    </row>
    <row r="127" spans="2:14" x14ac:dyDescent="0.3">
      <c r="B127" s="67"/>
      <c r="C127" s="240">
        <v>1</v>
      </c>
      <c r="D127" s="72"/>
      <c r="E127" s="333">
        <v>0</v>
      </c>
      <c r="F127" s="333"/>
      <c r="G127" s="72"/>
      <c r="H127" s="72"/>
      <c r="I127" s="72"/>
      <c r="J127" s="72"/>
      <c r="K127" s="69"/>
    </row>
    <row r="128" spans="2:14" x14ac:dyDescent="0.3">
      <c r="B128" s="73"/>
      <c r="C128" s="74"/>
      <c r="D128" s="76"/>
      <c r="E128" s="74"/>
      <c r="F128" s="72"/>
      <c r="G128" s="74"/>
      <c r="H128" s="72"/>
      <c r="I128" s="72"/>
      <c r="J128" s="72"/>
      <c r="K128" s="64"/>
    </row>
    <row r="129" spans="2:24" x14ac:dyDescent="0.3">
      <c r="B129" s="73"/>
      <c r="C129" s="247"/>
      <c r="D129" s="248"/>
      <c r="E129" s="74"/>
      <c r="F129" s="72"/>
      <c r="G129" s="74"/>
      <c r="H129" s="72"/>
      <c r="I129" s="72"/>
      <c r="J129" s="72"/>
      <c r="K129" s="64"/>
    </row>
    <row r="130" spans="2:24" x14ac:dyDescent="0.3">
      <c r="B130" s="67"/>
      <c r="C130" s="249"/>
      <c r="D130" s="250"/>
      <c r="E130" s="72"/>
      <c r="F130" s="72"/>
      <c r="G130" s="72"/>
      <c r="H130" s="72"/>
      <c r="I130" s="72"/>
      <c r="J130" s="72"/>
      <c r="K130" s="69"/>
    </row>
    <row r="131" spans="2:24" x14ac:dyDescent="0.3">
      <c r="B131" s="73"/>
      <c r="C131" s="251"/>
      <c r="D131" s="252"/>
      <c r="E131" s="74"/>
      <c r="F131" s="72"/>
      <c r="G131" s="74"/>
      <c r="H131" s="72"/>
      <c r="I131" s="72"/>
      <c r="J131" s="72"/>
      <c r="K131" s="64"/>
    </row>
    <row r="132" spans="2:24" x14ac:dyDescent="0.3">
      <c r="B132" s="73"/>
      <c r="C132" s="74"/>
      <c r="D132" s="76"/>
      <c r="E132" s="74"/>
      <c r="F132" s="72"/>
      <c r="G132" s="74"/>
      <c r="H132" s="72"/>
      <c r="I132" s="72"/>
      <c r="J132" s="72"/>
      <c r="K132" s="64"/>
      <c r="M132"/>
      <c r="N132"/>
      <c r="O132"/>
      <c r="P132"/>
      <c r="Q132"/>
      <c r="R132"/>
      <c r="S132"/>
      <c r="T132"/>
      <c r="U132"/>
      <c r="V132"/>
      <c r="W132"/>
      <c r="X132"/>
    </row>
    <row r="133" spans="2:24" x14ac:dyDescent="0.3">
      <c r="B133" s="67"/>
      <c r="C133" s="72"/>
      <c r="D133" s="72"/>
      <c r="E133" s="72"/>
      <c r="F133" s="72"/>
      <c r="G133" s="72"/>
      <c r="H133" s="72"/>
      <c r="I133" s="72"/>
      <c r="J133" s="72"/>
      <c r="K133" s="69"/>
    </row>
    <row r="134" spans="2:24" x14ac:dyDescent="0.3">
      <c r="B134" s="73"/>
      <c r="C134" s="72"/>
      <c r="E134" s="74"/>
      <c r="F134" s="72"/>
      <c r="G134" s="74"/>
      <c r="H134" s="72"/>
      <c r="I134" s="72"/>
      <c r="J134" s="72"/>
      <c r="K134" s="64"/>
    </row>
    <row r="135" spans="2:24" x14ac:dyDescent="0.3">
      <c r="B135" s="82"/>
      <c r="C135" s="83"/>
      <c r="D135" s="83"/>
      <c r="E135" s="83"/>
      <c r="F135" s="84"/>
      <c r="G135" s="83"/>
      <c r="H135" s="84"/>
      <c r="I135" s="84"/>
      <c r="J135" s="84"/>
      <c r="K135" s="85"/>
    </row>
  </sheetData>
  <mergeCells count="33">
    <mergeCell ref="O5:P5"/>
    <mergeCell ref="O7:P7"/>
    <mergeCell ref="O8:P8"/>
    <mergeCell ref="O9:P9"/>
    <mergeCell ref="C3:J3"/>
    <mergeCell ref="C5:J5"/>
    <mergeCell ref="O3:Q3"/>
    <mergeCell ref="E127:F127"/>
    <mergeCell ref="C11:J11"/>
    <mergeCell ref="G20:H20"/>
    <mergeCell ref="O11:P11"/>
    <mergeCell ref="C35:C38"/>
    <mergeCell ref="G13:I13"/>
    <mergeCell ref="G14:H14"/>
    <mergeCell ref="G16:H16"/>
    <mergeCell ref="G19:H19"/>
    <mergeCell ref="G22:H22"/>
    <mergeCell ref="G23:H23"/>
    <mergeCell ref="C13:E13"/>
    <mergeCell ref="C14:C19"/>
    <mergeCell ref="G21:H21"/>
    <mergeCell ref="C39:C42"/>
    <mergeCell ref="C124:J124"/>
    <mergeCell ref="G15:H15"/>
    <mergeCell ref="G17:H17"/>
    <mergeCell ref="G18:H18"/>
    <mergeCell ref="O13:P13"/>
    <mergeCell ref="E126:F126"/>
    <mergeCell ref="C45:J45"/>
    <mergeCell ref="C47:J47"/>
    <mergeCell ref="C117:J117"/>
    <mergeCell ref="C20:C27"/>
    <mergeCell ref="C28:C34"/>
  </mergeCells>
  <dataValidations count="8">
    <dataValidation type="list" allowBlank="1" showErrorMessage="1" sqref="C84:C89" xr:uid="{00000000-0002-0000-0000-000000000000}">
      <formula1>Food_Preservation_List</formula1>
    </dataValidation>
    <dataValidation type="list" allowBlank="1" showErrorMessage="1" sqref="C77:C82" xr:uid="{00000000-0002-0000-0000-000002000000}">
      <formula1>Entertainment_List</formula1>
    </dataValidation>
    <dataValidation type="list" allowBlank="1" showErrorMessage="1" sqref="C101:C105" xr:uid="{00000000-0002-0000-0000-000003000000}">
      <formula1>Lighting_List</formula1>
    </dataValidation>
    <dataValidation type="list" allowBlank="1" showErrorMessage="1" sqref="C51:C56" xr:uid="{00000000-0002-0000-0000-000005000000}">
      <formula1>Communications_List</formula1>
    </dataValidation>
    <dataValidation type="list" allowBlank="1" showErrorMessage="1" sqref="C107:C115" xr:uid="{00000000-0002-0000-0000-000006000000}">
      <formula1>Water_Wastewater_List</formula1>
    </dataValidation>
    <dataValidation type="list" allowBlank="1" showErrorMessage="1" sqref="C58:C65" xr:uid="{00000000-0002-0000-0000-000009000000}">
      <formula1>Cooking_List</formula1>
    </dataValidation>
    <dataValidation type="list" allowBlank="1" showErrorMessage="1" sqref="C67:C75" xr:uid="{00000000-0002-0000-0000-00000A000000}">
      <formula1>Discretionary_Appliances_List</formula1>
    </dataValidation>
    <dataValidation type="list" allowBlank="1" showErrorMessage="1" sqref="C91:C99" xr:uid="{00000000-0002-0000-0000-00000B000000}">
      <formula1>Heating_Cooling_HVAC_List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Sheet1.Check_PV_storage">
                <anchor moveWithCells="1" sizeWithCells="1">
                  <from>
                    <xdr:col>2</xdr:col>
                    <xdr:colOff>68580</xdr:colOff>
                    <xdr:row>128</xdr:row>
                    <xdr:rowOff>68580</xdr:rowOff>
                  </from>
                  <to>
                    <xdr:col>3</xdr:col>
                    <xdr:colOff>1722120</xdr:colOff>
                    <xdr:row>130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Check Box 19">
              <controlPr defaultSize="0" autoFill="0" autoLine="0" autoPict="0">
                <anchor moveWithCells="1">
                  <from>
                    <xdr:col>2</xdr:col>
                    <xdr:colOff>906780</xdr:colOff>
                    <xdr:row>119</xdr:row>
                    <xdr:rowOff>0</xdr:rowOff>
                  </from>
                  <to>
                    <xdr:col>2</xdr:col>
                    <xdr:colOff>1935480</xdr:colOff>
                    <xdr:row>120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000-000004000000}">
          <x14:formula1>
            <xm:f>'List Options'!$B$13:$B$15</xm:f>
          </x14:formula1>
          <xm:sqref>M37 E37</xm:sqref>
        </x14:dataValidation>
        <x14:dataValidation type="list" allowBlank="1" xr:uid="{00000000-0002-0000-0000-000007000000}">
          <x14:formula1>
            <xm:f>'List Options'!$B$18:$B$21</xm:f>
          </x14:formula1>
          <xm:sqref>E41</xm:sqref>
        </x14:dataValidation>
        <x14:dataValidation type="list" allowBlank="1" showInputMessage="1" showErrorMessage="1" xr:uid="{C21D3E2B-F4CD-497E-A1E0-8A387CEA2F97}">
          <x14:formula1>
            <xm:f>'List Options'!$B$13:$B$14</xm:f>
          </x14:formula1>
          <xm:sqref>E26</xm:sqref>
        </x14:dataValidation>
        <x14:dataValidation type="list" allowBlank="1" showErrorMessage="1" xr:uid="{C886F3B5-A2B1-4A6B-AB15-C8F1CD4F47F3}">
          <x14:formula1>
            <xm:f>'List Options'!$B$24:$B$31</xm:f>
          </x14:formula1>
          <xm:sqref>C8</xm:sqref>
        </x14:dataValidation>
        <x14:dataValidation type="list" allowBlank="1" showInputMessage="1" showErrorMessage="1" xr:uid="{DC5EA2B3-5BF7-4F25-8114-D72A8C3EC6DF}">
          <x14:formula1>
            <xm:f>'List Options'!$B$34:$B$36</xm:f>
          </x14:formula1>
          <xm:sqref>G8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R1003"/>
  <sheetViews>
    <sheetView zoomScale="80" zoomScaleNormal="70" workbookViewId="0"/>
  </sheetViews>
  <sheetFormatPr defaultColWidth="14.44140625" defaultRowHeight="15" customHeight="1" x14ac:dyDescent="0.3"/>
  <cols>
    <col min="1" max="1" width="8.6640625" customWidth="1"/>
    <col min="2" max="2" width="12.77734375" customWidth="1"/>
    <col min="3" max="3" width="4.77734375" customWidth="1"/>
    <col min="4" max="10" width="12.77734375" customWidth="1"/>
    <col min="11" max="11" width="5.5546875" bestFit="1" customWidth="1"/>
    <col min="12" max="12" width="11.44140625" customWidth="1"/>
    <col min="13" max="13" width="4.77734375" customWidth="1"/>
    <col min="14" max="14" width="9" customWidth="1"/>
    <col min="15" max="15" width="4.77734375" customWidth="1"/>
    <col min="16" max="16" width="8.77734375" customWidth="1"/>
    <col min="17" max="17" width="9.88671875" customWidth="1"/>
    <col min="18" max="18" width="10.21875" bestFit="1" customWidth="1"/>
    <col min="19" max="75" width="10.77734375" customWidth="1"/>
    <col min="76" max="76" width="12.77734375" customWidth="1"/>
    <col min="77" max="133" width="10.77734375" customWidth="1"/>
  </cols>
  <sheetData>
    <row r="1" spans="1:148" ht="15" customHeight="1" x14ac:dyDescent="0.3">
      <c r="I1" s="37"/>
      <c r="L1" s="107"/>
      <c r="S1" s="37"/>
      <c r="T1" s="37"/>
      <c r="U1" s="217"/>
      <c r="V1" s="217"/>
      <c r="W1" s="37"/>
    </row>
    <row r="2" spans="1:148" ht="15" customHeight="1" x14ac:dyDescent="0.3">
      <c r="F2" s="37"/>
      <c r="L2" s="8" t="s">
        <v>194</v>
      </c>
      <c r="N2" s="97"/>
      <c r="P2" s="37"/>
      <c r="R2" s="8" t="s">
        <v>195</v>
      </c>
      <c r="S2">
        <v>73298.981937500008</v>
      </c>
      <c r="T2">
        <v>600</v>
      </c>
      <c r="U2">
        <v>500</v>
      </c>
      <c r="V2">
        <v>120</v>
      </c>
      <c r="W2">
        <v>3073.972602739726</v>
      </c>
      <c r="X2" s="37">
        <v>840</v>
      </c>
      <c r="Y2" s="37">
        <v>6750</v>
      </c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</row>
    <row r="3" spans="1:148" ht="15" customHeight="1" x14ac:dyDescent="0.35">
      <c r="D3" s="37">
        <f>SUM(D7:D102)/4</f>
        <v>28662.87422482944</v>
      </c>
      <c r="E3" s="37">
        <f t="shared" ref="E3:J3" si="0">SUM(E7:E102)/4</f>
        <v>0</v>
      </c>
      <c r="F3" s="37">
        <f t="shared" si="0"/>
        <v>0</v>
      </c>
      <c r="G3" s="37">
        <f t="shared" si="0"/>
        <v>2701.4628754102823</v>
      </c>
      <c r="H3" s="37">
        <f t="shared" si="0"/>
        <v>0</v>
      </c>
      <c r="I3" s="37">
        <f t="shared" si="0"/>
        <v>0</v>
      </c>
      <c r="J3" s="37">
        <f t="shared" si="0"/>
        <v>53818.617439999987</v>
      </c>
      <c r="L3" s="95">
        <f>SUM(L7:L102)/4</f>
        <v>85182.95454023972</v>
      </c>
      <c r="N3" s="37">
        <f>P3-D112-G112</f>
        <v>85182.95454023972</v>
      </c>
      <c r="P3" s="37">
        <f>SUM(P7:P102)/4</f>
        <v>85182.95454023972</v>
      </c>
      <c r="R3" s="8" t="s">
        <v>221</v>
      </c>
      <c r="S3" s="37">
        <v>73298.981937500008</v>
      </c>
      <c r="T3" s="37">
        <v>600</v>
      </c>
      <c r="U3" s="37">
        <v>500</v>
      </c>
      <c r="V3" s="37">
        <v>120</v>
      </c>
      <c r="W3" s="37">
        <v>3073.9726027397251</v>
      </c>
      <c r="X3" s="37">
        <v>840</v>
      </c>
      <c r="Y3" s="37">
        <v>6750</v>
      </c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ED3" s="278"/>
      <c r="EJ3" s="37"/>
      <c r="EL3" s="37"/>
    </row>
    <row r="4" spans="1:148" ht="14.25" customHeight="1" x14ac:dyDescent="0.3">
      <c r="R4" s="8" t="s">
        <v>196</v>
      </c>
      <c r="S4" s="96">
        <f>IF(S2=0,"",S3-S2)</f>
        <v>0</v>
      </c>
      <c r="T4" s="96">
        <f>IF(T2=0,"",T3-T2)</f>
        <v>0</v>
      </c>
      <c r="U4" s="96">
        <f>IF(U2=0,"",U3-U2)</f>
        <v>0</v>
      </c>
      <c r="V4" s="96">
        <f>IF(V2=0,"",V3-V2)</f>
        <v>0</v>
      </c>
      <c r="W4" s="96">
        <f>IF(W2=0,"",W3-W2)</f>
        <v>-9.0949470177292824E-13</v>
      </c>
      <c r="X4" s="96">
        <f t="shared" ref="X4:BW4" si="1">IF(X2=0,"",X3-X2)</f>
        <v>0</v>
      </c>
      <c r="Y4" s="96">
        <f t="shared" si="1"/>
        <v>0</v>
      </c>
      <c r="Z4" s="96" t="str">
        <f t="shared" si="1"/>
        <v/>
      </c>
      <c r="AA4" s="96" t="str">
        <f t="shared" si="1"/>
        <v/>
      </c>
      <c r="AB4" s="96" t="str">
        <f t="shared" si="1"/>
        <v/>
      </c>
      <c r="AC4" s="96" t="str">
        <f t="shared" si="1"/>
        <v/>
      </c>
      <c r="AD4" s="96" t="str">
        <f t="shared" si="1"/>
        <v/>
      </c>
      <c r="AE4" s="96" t="str">
        <f t="shared" si="1"/>
        <v/>
      </c>
      <c r="AF4" s="96" t="str">
        <f t="shared" si="1"/>
        <v/>
      </c>
      <c r="AG4" s="96" t="str">
        <f t="shared" si="1"/>
        <v/>
      </c>
      <c r="AH4" s="96" t="str">
        <f t="shared" si="1"/>
        <v/>
      </c>
      <c r="AI4" s="96" t="str">
        <f t="shared" si="1"/>
        <v/>
      </c>
      <c r="AJ4" s="96" t="str">
        <f t="shared" si="1"/>
        <v/>
      </c>
      <c r="AK4" s="96" t="str">
        <f t="shared" si="1"/>
        <v/>
      </c>
      <c r="AL4" s="96" t="str">
        <f t="shared" si="1"/>
        <v/>
      </c>
      <c r="AM4" s="96" t="str">
        <f t="shared" si="1"/>
        <v/>
      </c>
      <c r="AN4" s="96" t="str">
        <f t="shared" si="1"/>
        <v/>
      </c>
      <c r="AO4" s="96" t="str">
        <f t="shared" si="1"/>
        <v/>
      </c>
      <c r="AP4" s="96" t="str">
        <f t="shared" si="1"/>
        <v/>
      </c>
      <c r="AQ4" s="96" t="str">
        <f t="shared" si="1"/>
        <v/>
      </c>
      <c r="AR4" s="96" t="str">
        <f t="shared" si="1"/>
        <v/>
      </c>
      <c r="AS4" s="96" t="str">
        <f t="shared" si="1"/>
        <v/>
      </c>
      <c r="AT4" s="96" t="str">
        <f t="shared" si="1"/>
        <v/>
      </c>
      <c r="AU4" s="96" t="str">
        <f t="shared" si="1"/>
        <v/>
      </c>
      <c r="AV4" s="96" t="str">
        <f t="shared" si="1"/>
        <v/>
      </c>
      <c r="AW4" s="96" t="str">
        <f t="shared" si="1"/>
        <v/>
      </c>
      <c r="AX4" s="96" t="str">
        <f t="shared" si="1"/>
        <v/>
      </c>
      <c r="AY4" s="96" t="str">
        <f t="shared" si="1"/>
        <v/>
      </c>
      <c r="AZ4" s="96" t="str">
        <f t="shared" si="1"/>
        <v/>
      </c>
      <c r="BA4" s="96" t="str">
        <f t="shared" si="1"/>
        <v/>
      </c>
      <c r="BB4" s="96" t="str">
        <f t="shared" si="1"/>
        <v/>
      </c>
      <c r="BC4" s="96" t="str">
        <f t="shared" si="1"/>
        <v/>
      </c>
      <c r="BD4" s="96" t="str">
        <f t="shared" si="1"/>
        <v/>
      </c>
      <c r="BE4" s="96" t="str">
        <f t="shared" si="1"/>
        <v/>
      </c>
      <c r="BF4" s="96" t="str">
        <f t="shared" si="1"/>
        <v/>
      </c>
      <c r="BG4" s="96" t="str">
        <f t="shared" si="1"/>
        <v/>
      </c>
      <c r="BH4" s="96" t="str">
        <f t="shared" si="1"/>
        <v/>
      </c>
      <c r="BI4" s="96" t="str">
        <f t="shared" si="1"/>
        <v/>
      </c>
      <c r="BJ4" s="96" t="str">
        <f t="shared" si="1"/>
        <v/>
      </c>
      <c r="BK4" s="96" t="str">
        <f t="shared" si="1"/>
        <v/>
      </c>
      <c r="BL4" s="96" t="str">
        <f t="shared" si="1"/>
        <v/>
      </c>
      <c r="BM4" s="96" t="str">
        <f t="shared" si="1"/>
        <v/>
      </c>
      <c r="BN4" s="96" t="str">
        <f t="shared" si="1"/>
        <v/>
      </c>
      <c r="BO4" s="96" t="str">
        <f t="shared" si="1"/>
        <v/>
      </c>
      <c r="BP4" s="96" t="str">
        <f t="shared" si="1"/>
        <v/>
      </c>
      <c r="BQ4" s="96" t="str">
        <f t="shared" si="1"/>
        <v/>
      </c>
      <c r="BR4" s="96" t="str">
        <f t="shared" si="1"/>
        <v/>
      </c>
      <c r="BS4" s="96" t="str">
        <f t="shared" si="1"/>
        <v/>
      </c>
      <c r="BT4" s="96" t="str">
        <f t="shared" si="1"/>
        <v/>
      </c>
      <c r="BU4" s="96" t="str">
        <f t="shared" si="1"/>
        <v/>
      </c>
      <c r="BV4" s="96" t="str">
        <f t="shared" si="1"/>
        <v/>
      </c>
      <c r="BW4" s="96" t="str">
        <f t="shared" si="1"/>
        <v/>
      </c>
    </row>
    <row r="5" spans="1:148" ht="14.4" x14ac:dyDescent="0.3">
      <c r="D5" s="356" t="s">
        <v>188</v>
      </c>
      <c r="E5" s="357"/>
      <c r="F5" s="358"/>
      <c r="G5" s="358"/>
      <c r="H5" s="358"/>
      <c r="I5" s="359"/>
      <c r="J5" s="360"/>
      <c r="L5" s="36"/>
      <c r="P5" s="1"/>
      <c r="S5" s="130" t="s">
        <v>46</v>
      </c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131"/>
      <c r="BR5" s="131"/>
      <c r="BS5" s="131"/>
      <c r="BT5" s="131"/>
      <c r="BU5" s="131"/>
      <c r="BV5" s="131"/>
      <c r="BW5" s="131"/>
      <c r="BX5" s="2"/>
      <c r="BY5" s="128" t="s">
        <v>47</v>
      </c>
      <c r="BZ5" s="129"/>
      <c r="CA5" s="129"/>
      <c r="CB5" s="129"/>
      <c r="CC5" s="129"/>
      <c r="CD5" s="129"/>
      <c r="CE5" s="129"/>
      <c r="CF5" s="129"/>
      <c r="CG5" s="129"/>
      <c r="CH5" s="129"/>
      <c r="CI5" s="129"/>
      <c r="CJ5" s="129"/>
      <c r="CK5" s="129"/>
      <c r="CL5" s="129"/>
      <c r="CM5" s="129"/>
      <c r="CN5" s="129"/>
      <c r="CO5" s="129"/>
      <c r="CP5" s="129"/>
      <c r="CQ5" s="129"/>
      <c r="CR5" s="129"/>
      <c r="CS5" s="129"/>
      <c r="CT5" s="129"/>
      <c r="CU5" s="129"/>
      <c r="CV5" s="129"/>
      <c r="CW5" s="129"/>
      <c r="CX5" s="129"/>
      <c r="CY5" s="129"/>
      <c r="CZ5" s="129"/>
      <c r="DA5" s="129"/>
      <c r="DB5" s="129"/>
      <c r="DC5" s="129"/>
      <c r="DD5" s="129"/>
      <c r="DE5" s="129"/>
      <c r="DF5" s="129"/>
      <c r="DG5" s="129"/>
      <c r="DH5" s="129"/>
      <c r="DI5" s="129"/>
      <c r="DJ5" s="129"/>
      <c r="DK5" s="129"/>
      <c r="DL5" s="129"/>
      <c r="DM5" s="129"/>
      <c r="DN5" s="129"/>
      <c r="DO5" s="129"/>
      <c r="DP5" s="129"/>
      <c r="DQ5" s="129"/>
      <c r="DR5" s="129"/>
      <c r="DS5" s="129"/>
      <c r="DT5" s="129"/>
      <c r="DU5" s="129"/>
      <c r="DV5" s="129"/>
      <c r="DW5" s="129"/>
      <c r="DX5" s="129"/>
      <c r="DY5" s="129"/>
      <c r="DZ5" s="129"/>
      <c r="EA5" s="129"/>
      <c r="EB5" s="129"/>
      <c r="EC5" s="129"/>
      <c r="EF5" s="361" t="s">
        <v>226</v>
      </c>
      <c r="EG5" s="362"/>
      <c r="EH5" s="363"/>
      <c r="EJ5" s="361" t="s">
        <v>233</v>
      </c>
      <c r="EK5" s="362"/>
      <c r="EL5" s="363"/>
      <c r="EM5" s="361" t="s">
        <v>234</v>
      </c>
      <c r="EN5" s="362"/>
      <c r="EO5" s="363"/>
    </row>
    <row r="6" spans="1:148" s="5" customFormat="1" ht="72" customHeight="1" x14ac:dyDescent="0.3">
      <c r="B6" s="8" t="s">
        <v>48</v>
      </c>
      <c r="D6" s="9" t="s">
        <v>3</v>
      </c>
      <c r="E6" s="9" t="s">
        <v>247</v>
      </c>
      <c r="F6" s="9" t="s">
        <v>248</v>
      </c>
      <c r="G6" s="10" t="s">
        <v>208</v>
      </c>
      <c r="H6" s="9" t="s">
        <v>5</v>
      </c>
      <c r="I6" s="9" t="s">
        <v>158</v>
      </c>
      <c r="J6" s="9" t="s">
        <v>211</v>
      </c>
      <c r="K6" s="98"/>
      <c r="L6" s="8" t="s">
        <v>189</v>
      </c>
      <c r="N6" s="11" t="s">
        <v>187</v>
      </c>
      <c r="P6" s="8" t="s">
        <v>180</v>
      </c>
      <c r="Q6" s="8" t="s">
        <v>228</v>
      </c>
      <c r="S6" s="9" t="s">
        <v>307</v>
      </c>
      <c r="T6" s="9" t="s">
        <v>12</v>
      </c>
      <c r="U6" s="9" t="s">
        <v>19</v>
      </c>
      <c r="V6" s="9" t="s">
        <v>29</v>
      </c>
      <c r="W6" s="9" t="s">
        <v>98</v>
      </c>
      <c r="X6" s="9" t="s">
        <v>287</v>
      </c>
      <c r="Y6" s="9" t="s">
        <v>119</v>
      </c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2"/>
      <c r="BY6" s="9" t="s">
        <v>307</v>
      </c>
      <c r="BZ6" s="9" t="s">
        <v>12</v>
      </c>
      <c r="CA6" s="9" t="s">
        <v>19</v>
      </c>
      <c r="CB6" s="9" t="s">
        <v>29</v>
      </c>
      <c r="CC6" s="9" t="s">
        <v>98</v>
      </c>
      <c r="CD6" s="9" t="s">
        <v>287</v>
      </c>
      <c r="CE6" s="9" t="s">
        <v>119</v>
      </c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277"/>
      <c r="EF6" s="9" t="s">
        <v>225</v>
      </c>
      <c r="EG6" s="9" t="s">
        <v>224</v>
      </c>
      <c r="EH6" s="9" t="s">
        <v>227</v>
      </c>
      <c r="EJ6" s="9" t="s">
        <v>3</v>
      </c>
      <c r="EK6" s="9" t="s">
        <v>4</v>
      </c>
      <c r="EL6" s="10" t="s">
        <v>208</v>
      </c>
      <c r="EM6" s="9" t="s">
        <v>3</v>
      </c>
      <c r="EN6" s="9" t="s">
        <v>4</v>
      </c>
      <c r="EO6" s="10" t="s">
        <v>208</v>
      </c>
      <c r="EQ6" s="277"/>
      <c r="ER6" s="277"/>
    </row>
    <row r="7" spans="1:148" ht="14.25" customHeight="1" x14ac:dyDescent="0.3">
      <c r="B7" s="3">
        <f>IF('User Interface'!$C$127&gt;(0/96),'User Interface'!E127,"")</f>
        <v>0</v>
      </c>
      <c r="D7" s="1">
        <f>'User Interface'!$E$14*1000*'Optimization Results'!D7</f>
        <v>5405</v>
      </c>
      <c r="E7" s="1">
        <f>'User Interface'!$E$20*1000*'Optimization Results'!E7</f>
        <v>0</v>
      </c>
      <c r="F7" s="1">
        <f>'User Interface'!$E$20*1000*'Optimization Results'!F7</f>
        <v>0</v>
      </c>
      <c r="G7" s="1">
        <f>'User Interface'!$E$29*1000*'Optimization Results'!G7</f>
        <v>0</v>
      </c>
      <c r="H7" s="1">
        <f>'User Interface'!$E$35*1000*'Optimization Results'!H7</f>
        <v>0</v>
      </c>
      <c r="I7" s="1">
        <f>'User Interface'!$E$39*1000*'Optimization Results'!I7</f>
        <v>0</v>
      </c>
      <c r="J7">
        <v>0</v>
      </c>
      <c r="K7" s="1"/>
      <c r="L7" s="1">
        <f>SUM(D7:J7)</f>
        <v>5405</v>
      </c>
      <c r="M7" s="1"/>
      <c r="N7" s="94">
        <f>L7-P7</f>
        <v>0</v>
      </c>
      <c r="O7" s="1"/>
      <c r="P7" s="1">
        <f xml:space="preserve"> SUM(S7:BW7)</f>
        <v>5405</v>
      </c>
      <c r="Q7" s="1">
        <f>MAX(BY7:EC7)</f>
        <v>0</v>
      </c>
      <c r="S7" s="4">
        <v>5400</v>
      </c>
      <c r="T7" s="4">
        <v>0</v>
      </c>
      <c r="U7" s="4">
        <v>0</v>
      </c>
      <c r="V7" s="4">
        <v>5</v>
      </c>
      <c r="W7" s="4">
        <v>0</v>
      </c>
      <c r="X7" s="4">
        <v>0</v>
      </c>
      <c r="Y7" s="4">
        <v>0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F7">
        <f>(SUM('User Interface'!$E$14,'User Interface'!$E$20,'User Interface'!$E$29,'User Interface'!$E$35,'User Interface'!$E$39)*1000)+'PV Profiles'!B9</f>
        <v>15000</v>
      </c>
      <c r="EG7">
        <f>SUM('User Interface'!$E$14,'User Interface'!$E$14*0.4,'User Interface'!$E$20,'User Interface'!$E$29,'User Interface'!$E$29*0.4,'User Interface'!$E$36,'User Interface'!$E$40)*1000</f>
        <v>21000</v>
      </c>
      <c r="EH7" s="143">
        <f>SUM(P7:Q7)</f>
        <v>5405</v>
      </c>
      <c r="EJ7" s="37">
        <f t="shared" ref="EJ7:EJ38" si="2">IF(D7&gt;0,D7,0)</f>
        <v>5405</v>
      </c>
      <c r="EK7" s="37">
        <f t="shared" ref="EK7:EK38" si="3">IF(F7&gt;0,F7,0)</f>
        <v>0</v>
      </c>
      <c r="EL7" s="37">
        <f t="shared" ref="EL7:EL38" si="4">IF(G7&gt;0,G7,0)</f>
        <v>0</v>
      </c>
      <c r="EM7" s="37">
        <f t="shared" ref="EM7:EM38" si="5">IF(D7&lt;0,D7,0)</f>
        <v>0</v>
      </c>
      <c r="EN7" s="37">
        <f t="shared" ref="EN7:EN38" si="6">IF(F7&lt;0,F7,0)</f>
        <v>0</v>
      </c>
      <c r="EO7" s="37">
        <f t="shared" ref="EO7:EO38" si="7">IF(G7&lt;0,G7,0)</f>
        <v>0</v>
      </c>
      <c r="EQ7" s="4"/>
      <c r="ER7" s="314"/>
    </row>
    <row r="8" spans="1:148" ht="14.25" customHeight="1" x14ac:dyDescent="0.3">
      <c r="B8" s="3">
        <f>IF('User Interface'!$C$127&gt;(COUNT($B$7:B7)/96),B7+0.0104166666666667,"")</f>
        <v>1.0416666666666701E-2</v>
      </c>
      <c r="D8" s="1">
        <f>'User Interface'!$E$14*1000*'Optimization Results'!D8</f>
        <v>5405</v>
      </c>
      <c r="E8" s="1">
        <f>'User Interface'!$E$20*1000*'Optimization Results'!E8</f>
        <v>0</v>
      </c>
      <c r="F8" s="1">
        <f>'User Interface'!$E$20*1000*'Optimization Results'!F8</f>
        <v>0</v>
      </c>
      <c r="G8" s="1">
        <f>'User Interface'!$E$29*1000*'Optimization Results'!G8</f>
        <v>0</v>
      </c>
      <c r="H8" s="1">
        <f>'User Interface'!$E$35*1000*'Optimization Results'!H8</f>
        <v>0</v>
      </c>
      <c r="I8" s="1">
        <f>'User Interface'!$E$39*1000*'Optimization Results'!I8</f>
        <v>0</v>
      </c>
      <c r="J8">
        <v>0</v>
      </c>
      <c r="K8" s="1"/>
      <c r="L8" s="1">
        <f t="shared" ref="L8:L71" si="8">SUM(D8:J8)</f>
        <v>5405</v>
      </c>
      <c r="M8" s="1"/>
      <c r="N8" s="94">
        <f t="shared" ref="N8:N71" si="9">L8-P8</f>
        <v>0</v>
      </c>
      <c r="O8" s="1"/>
      <c r="P8" s="1">
        <f t="shared" ref="P8:P71" si="10" xml:space="preserve"> SUM(S8:BW8)</f>
        <v>5405</v>
      </c>
      <c r="Q8" s="1">
        <f t="shared" ref="Q8:Q71" si="11">MAX(BY8:EC8)</f>
        <v>0</v>
      </c>
      <c r="S8" s="4">
        <v>5400</v>
      </c>
      <c r="T8" s="4">
        <v>0</v>
      </c>
      <c r="U8" s="4">
        <v>0</v>
      </c>
      <c r="V8" s="4">
        <v>5</v>
      </c>
      <c r="W8" s="4">
        <v>0</v>
      </c>
      <c r="X8" s="4">
        <v>0</v>
      </c>
      <c r="Y8" s="4">
        <v>0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F8">
        <f>(SUM('User Interface'!$E$14,'User Interface'!$E$20,'User Interface'!$E$29,'User Interface'!$E$35,'User Interface'!$E$39)*1000)+'PV Profiles'!B10</f>
        <v>15000</v>
      </c>
      <c r="EH8" s="143">
        <f t="shared" ref="EH8:EH38" si="12">SUM(P8:Q8)</f>
        <v>5405</v>
      </c>
      <c r="EJ8" s="37">
        <f t="shared" si="2"/>
        <v>5405</v>
      </c>
      <c r="EK8" s="37">
        <f t="shared" si="3"/>
        <v>0</v>
      </c>
      <c r="EL8" s="37">
        <f t="shared" si="4"/>
        <v>0</v>
      </c>
      <c r="EM8" s="37">
        <f t="shared" si="5"/>
        <v>0</v>
      </c>
      <c r="EN8" s="37">
        <f t="shared" si="6"/>
        <v>0</v>
      </c>
      <c r="EO8" s="37">
        <f t="shared" si="7"/>
        <v>0</v>
      </c>
      <c r="EQ8" s="4"/>
      <c r="ER8" s="314"/>
    </row>
    <row r="9" spans="1:148" ht="14.25" customHeight="1" x14ac:dyDescent="0.3">
      <c r="A9" s="163"/>
      <c r="B9" s="3">
        <f>IF('User Interface'!$C$127&gt;(COUNT($B$7:B8)/96),B8+0.0104166666666667,"")</f>
        <v>2.0833333333333402E-2</v>
      </c>
      <c r="D9" s="1">
        <f>'User Interface'!$E$14*1000*'Optimization Results'!D9</f>
        <v>261.16438356164383</v>
      </c>
      <c r="E9" s="1">
        <f>'User Interface'!$E$20*1000*'Optimization Results'!E9</f>
        <v>0</v>
      </c>
      <c r="F9" s="1">
        <f>'User Interface'!$E$20*1000*'Optimization Results'!F9</f>
        <v>0</v>
      </c>
      <c r="G9" s="1">
        <f>'User Interface'!$E$29*1000*'Optimization Results'!G9</f>
        <v>0</v>
      </c>
      <c r="H9" s="1">
        <f>'User Interface'!$E$35*1000*'Optimization Results'!H9</f>
        <v>0</v>
      </c>
      <c r="I9" s="1">
        <f>'User Interface'!$E$39*1000*'Optimization Results'!I9</f>
        <v>0</v>
      </c>
      <c r="J9">
        <v>0</v>
      </c>
      <c r="K9" s="1"/>
      <c r="L9" s="1">
        <f t="shared" si="8"/>
        <v>261.16438356164383</v>
      </c>
      <c r="M9" s="1"/>
      <c r="N9" s="94">
        <f t="shared" si="9"/>
        <v>0</v>
      </c>
      <c r="O9" s="1"/>
      <c r="P9" s="1">
        <f t="shared" si="10"/>
        <v>261.16438356164383</v>
      </c>
      <c r="Q9" s="1">
        <f t="shared" si="11"/>
        <v>512.32876712328766</v>
      </c>
      <c r="S9" s="4">
        <v>0</v>
      </c>
      <c r="T9" s="4">
        <v>0</v>
      </c>
      <c r="U9" s="4">
        <v>0</v>
      </c>
      <c r="V9" s="4">
        <v>5</v>
      </c>
      <c r="W9" s="4">
        <v>256.16438356164383</v>
      </c>
      <c r="X9" s="4">
        <v>0</v>
      </c>
      <c r="Y9" s="4">
        <v>0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Y9" s="4">
        <v>0</v>
      </c>
      <c r="BZ9" s="4">
        <v>0</v>
      </c>
      <c r="CA9" s="4">
        <v>0</v>
      </c>
      <c r="CB9" s="4">
        <v>0</v>
      </c>
      <c r="CC9" s="4">
        <v>512.32876712328766</v>
      </c>
      <c r="CD9" s="4">
        <v>0</v>
      </c>
      <c r="CE9" s="4">
        <v>0</v>
      </c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F9">
        <f>(SUM('User Interface'!$E$14,'User Interface'!$E$20,'User Interface'!$E$29,'User Interface'!$E$35,'User Interface'!$E$39)*1000)+'PV Profiles'!B11</f>
        <v>15000</v>
      </c>
      <c r="EH9" s="143">
        <f t="shared" si="12"/>
        <v>773.49315068493149</v>
      </c>
      <c r="EJ9" s="37">
        <f t="shared" si="2"/>
        <v>261.16438356164383</v>
      </c>
      <c r="EK9" s="37">
        <f t="shared" si="3"/>
        <v>0</v>
      </c>
      <c r="EL9" s="37">
        <f t="shared" si="4"/>
        <v>0</v>
      </c>
      <c r="EM9" s="37">
        <f t="shared" si="5"/>
        <v>0</v>
      </c>
      <c r="EN9" s="37">
        <f t="shared" si="6"/>
        <v>0</v>
      </c>
      <c r="EO9" s="37">
        <f t="shared" si="7"/>
        <v>0</v>
      </c>
      <c r="EQ9" s="4"/>
      <c r="ER9" s="314"/>
    </row>
    <row r="10" spans="1:148" ht="14.25" customHeight="1" x14ac:dyDescent="0.3">
      <c r="B10" s="3">
        <f>IF('User Interface'!$C$127&gt;(COUNT($B$7:B9)/96),B9+0.0104166666666667,"")</f>
        <v>3.1250000000000104E-2</v>
      </c>
      <c r="D10" s="1">
        <f>'User Interface'!$E$14*1000*'Optimization Results'!D10</f>
        <v>261.16438356164383</v>
      </c>
      <c r="E10" s="1">
        <f>'User Interface'!$E$20*1000*'Optimization Results'!E10</f>
        <v>0</v>
      </c>
      <c r="F10" s="1">
        <f>'User Interface'!$E$20*1000*'Optimization Results'!F10</f>
        <v>0</v>
      </c>
      <c r="G10" s="1">
        <f>'User Interface'!$E$29*1000*'Optimization Results'!G10</f>
        <v>0</v>
      </c>
      <c r="H10" s="1">
        <f>'User Interface'!$E$35*1000*'Optimization Results'!H10</f>
        <v>0</v>
      </c>
      <c r="I10" s="1">
        <f>'User Interface'!$E$39*1000*'Optimization Results'!I10</f>
        <v>0</v>
      </c>
      <c r="J10">
        <v>0</v>
      </c>
      <c r="K10" s="1"/>
      <c r="L10" s="1">
        <f t="shared" si="8"/>
        <v>261.16438356164383</v>
      </c>
      <c r="M10" s="1"/>
      <c r="N10" s="94">
        <f t="shared" si="9"/>
        <v>0</v>
      </c>
      <c r="O10" s="1"/>
      <c r="P10" s="1">
        <f t="shared" si="10"/>
        <v>261.16438356164383</v>
      </c>
      <c r="Q10" s="1">
        <f t="shared" si="11"/>
        <v>0</v>
      </c>
      <c r="S10" s="4">
        <v>0</v>
      </c>
      <c r="T10" s="4">
        <v>0</v>
      </c>
      <c r="U10" s="4">
        <v>0</v>
      </c>
      <c r="V10" s="4">
        <v>5</v>
      </c>
      <c r="W10" s="4">
        <v>256.16438356164383</v>
      </c>
      <c r="X10" s="4">
        <v>0</v>
      </c>
      <c r="Y10" s="4">
        <v>0</v>
      </c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F10">
        <f>(SUM('User Interface'!$E$14,'User Interface'!$E$20,'User Interface'!$E$29,'User Interface'!$E$35,'User Interface'!$E$39)*1000)+'PV Profiles'!B12</f>
        <v>15000</v>
      </c>
      <c r="EH10" s="143">
        <f t="shared" si="12"/>
        <v>261.16438356164383</v>
      </c>
      <c r="EJ10" s="37">
        <f t="shared" si="2"/>
        <v>261.16438356164383</v>
      </c>
      <c r="EK10" s="37">
        <f t="shared" si="3"/>
        <v>0</v>
      </c>
      <c r="EL10" s="37">
        <f t="shared" si="4"/>
        <v>0</v>
      </c>
      <c r="EM10" s="37">
        <f t="shared" si="5"/>
        <v>0</v>
      </c>
      <c r="EN10" s="37">
        <f t="shared" si="6"/>
        <v>0</v>
      </c>
      <c r="EO10" s="37">
        <f t="shared" si="7"/>
        <v>0</v>
      </c>
      <c r="EQ10" s="4"/>
      <c r="ER10" s="314"/>
    </row>
    <row r="11" spans="1:148" ht="14.25" customHeight="1" x14ac:dyDescent="0.3">
      <c r="B11" s="3">
        <f>IF('User Interface'!$C$127&gt;(COUNT($B$7:B10)/96),B10+0.0104166666666667,"")</f>
        <v>4.1666666666666803E-2</v>
      </c>
      <c r="D11" s="1">
        <f>'User Interface'!$E$14*1000*'Optimization Results'!D11</f>
        <v>5405</v>
      </c>
      <c r="E11" s="1">
        <f>'User Interface'!$E$20*1000*'Optimization Results'!E11</f>
        <v>0</v>
      </c>
      <c r="F11" s="1">
        <f>'User Interface'!$E$20*1000*'Optimization Results'!F11</f>
        <v>0</v>
      </c>
      <c r="G11" s="1">
        <f>'User Interface'!$E$29*1000*'Optimization Results'!G11</f>
        <v>0</v>
      </c>
      <c r="H11" s="1">
        <f>'User Interface'!$E$35*1000*'Optimization Results'!H11</f>
        <v>0</v>
      </c>
      <c r="I11" s="1">
        <f>'User Interface'!$E$39*1000*'Optimization Results'!I11</f>
        <v>0</v>
      </c>
      <c r="J11">
        <v>0</v>
      </c>
      <c r="K11" s="1"/>
      <c r="L11" s="1">
        <f t="shared" si="8"/>
        <v>5405</v>
      </c>
      <c r="M11" s="1"/>
      <c r="N11" s="94">
        <f t="shared" si="9"/>
        <v>0</v>
      </c>
      <c r="O11" s="1"/>
      <c r="P11" s="1">
        <f t="shared" si="10"/>
        <v>5405</v>
      </c>
      <c r="Q11" s="1">
        <f t="shared" si="11"/>
        <v>0</v>
      </c>
      <c r="S11" s="4">
        <v>5400</v>
      </c>
      <c r="T11" s="4">
        <v>0</v>
      </c>
      <c r="U11" s="4">
        <v>0</v>
      </c>
      <c r="V11" s="4">
        <v>5</v>
      </c>
      <c r="W11" s="4">
        <v>0</v>
      </c>
      <c r="X11" s="4">
        <v>0</v>
      </c>
      <c r="Y11" s="4">
        <v>0</v>
      </c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F11">
        <f>(SUM('User Interface'!$E$14,'User Interface'!$E$20,'User Interface'!$E$29,'User Interface'!$E$35,'User Interface'!$E$39)*1000)+'PV Profiles'!B13</f>
        <v>15000</v>
      </c>
      <c r="EH11" s="143">
        <f t="shared" si="12"/>
        <v>5405</v>
      </c>
      <c r="EJ11" s="37">
        <f t="shared" si="2"/>
        <v>5405</v>
      </c>
      <c r="EK11" s="37">
        <f t="shared" si="3"/>
        <v>0</v>
      </c>
      <c r="EL11" s="37">
        <f t="shared" si="4"/>
        <v>0</v>
      </c>
      <c r="EM11" s="37">
        <f t="shared" si="5"/>
        <v>0</v>
      </c>
      <c r="EN11" s="37">
        <f t="shared" si="6"/>
        <v>0</v>
      </c>
      <c r="EO11" s="37">
        <f t="shared" si="7"/>
        <v>0</v>
      </c>
      <c r="EQ11" s="4"/>
      <c r="ER11" s="314"/>
    </row>
    <row r="12" spans="1:148" ht="14.25" customHeight="1" x14ac:dyDescent="0.3">
      <c r="B12" s="3">
        <f>IF('User Interface'!$C$127&gt;(COUNT($B$7:B11)/96),B11+0.0104166666666667,"")</f>
        <v>5.2083333333333502E-2</v>
      </c>
      <c r="D12" s="1">
        <f>'User Interface'!$E$14*1000*'Optimization Results'!D12</f>
        <v>5405</v>
      </c>
      <c r="E12" s="1">
        <f>'User Interface'!$E$20*1000*'Optimization Results'!E12</f>
        <v>0</v>
      </c>
      <c r="F12" s="1">
        <f>'User Interface'!$E$20*1000*'Optimization Results'!F12</f>
        <v>0</v>
      </c>
      <c r="G12" s="1">
        <f>'User Interface'!$E$29*1000*'Optimization Results'!G12</f>
        <v>0</v>
      </c>
      <c r="H12" s="1">
        <f>'User Interface'!$E$35*1000*'Optimization Results'!H12</f>
        <v>0</v>
      </c>
      <c r="I12" s="1">
        <f>'User Interface'!$E$39*1000*'Optimization Results'!I12</f>
        <v>0</v>
      </c>
      <c r="J12">
        <v>0</v>
      </c>
      <c r="K12" s="1"/>
      <c r="L12" s="1">
        <f t="shared" si="8"/>
        <v>5405</v>
      </c>
      <c r="M12" s="1"/>
      <c r="N12" s="94">
        <f t="shared" si="9"/>
        <v>0</v>
      </c>
      <c r="O12" s="1"/>
      <c r="P12" s="1">
        <f t="shared" si="10"/>
        <v>5405</v>
      </c>
      <c r="Q12" s="1">
        <f t="shared" si="11"/>
        <v>0</v>
      </c>
      <c r="S12" s="4">
        <v>5400</v>
      </c>
      <c r="T12" s="4">
        <v>0</v>
      </c>
      <c r="U12" s="4">
        <v>0</v>
      </c>
      <c r="V12" s="4">
        <v>5</v>
      </c>
      <c r="W12" s="4">
        <v>0</v>
      </c>
      <c r="X12" s="4">
        <v>0</v>
      </c>
      <c r="Y12" s="4">
        <v>0</v>
      </c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F12">
        <f>(SUM('User Interface'!$E$14,'User Interface'!$E$20,'User Interface'!$E$29,'User Interface'!$E$35,'User Interface'!$E$39)*1000)+'PV Profiles'!B14</f>
        <v>15000</v>
      </c>
      <c r="EH12" s="143">
        <f t="shared" si="12"/>
        <v>5405</v>
      </c>
      <c r="EJ12" s="37">
        <f t="shared" si="2"/>
        <v>5405</v>
      </c>
      <c r="EK12" s="37">
        <f t="shared" si="3"/>
        <v>0</v>
      </c>
      <c r="EL12" s="37">
        <f t="shared" si="4"/>
        <v>0</v>
      </c>
      <c r="EM12" s="37">
        <f t="shared" si="5"/>
        <v>0</v>
      </c>
      <c r="EN12" s="37">
        <f t="shared" si="6"/>
        <v>0</v>
      </c>
      <c r="EO12" s="37">
        <f t="shared" si="7"/>
        <v>0</v>
      </c>
      <c r="EQ12" s="4"/>
      <c r="ER12" s="314"/>
    </row>
    <row r="13" spans="1:148" ht="14.25" customHeight="1" x14ac:dyDescent="0.3">
      <c r="B13" s="3">
        <f>IF('User Interface'!$C$127&gt;(COUNT($B$7:B12)/96),B12+0.0104166666666667,"")</f>
        <v>6.2500000000000208E-2</v>
      </c>
      <c r="D13" s="1">
        <f>'User Interface'!$E$14*1000*'Optimization Results'!D13</f>
        <v>5661.1643835616442</v>
      </c>
      <c r="E13" s="1">
        <f>'User Interface'!$E$20*1000*'Optimization Results'!E13</f>
        <v>0</v>
      </c>
      <c r="F13" s="1">
        <f>'User Interface'!$E$20*1000*'Optimization Results'!F13</f>
        <v>0</v>
      </c>
      <c r="G13" s="1">
        <f>'User Interface'!$E$29*1000*'Optimization Results'!G13</f>
        <v>0</v>
      </c>
      <c r="H13" s="1">
        <f>'User Interface'!$E$35*1000*'Optimization Results'!H13</f>
        <v>0</v>
      </c>
      <c r="I13" s="1">
        <f>'User Interface'!$E$39*1000*'Optimization Results'!I13</f>
        <v>0</v>
      </c>
      <c r="J13">
        <v>0</v>
      </c>
      <c r="K13" s="1"/>
      <c r="L13" s="1">
        <f t="shared" si="8"/>
        <v>5661.1643835616442</v>
      </c>
      <c r="M13" s="1"/>
      <c r="N13" s="94">
        <f t="shared" si="9"/>
        <v>0</v>
      </c>
      <c r="O13" s="1"/>
      <c r="P13" s="1">
        <f t="shared" si="10"/>
        <v>5661.1643835616442</v>
      </c>
      <c r="Q13" s="1">
        <f t="shared" si="11"/>
        <v>512.32876712328766</v>
      </c>
      <c r="S13" s="4">
        <v>5400</v>
      </c>
      <c r="T13" s="4">
        <v>0</v>
      </c>
      <c r="U13" s="4">
        <v>0</v>
      </c>
      <c r="V13" s="4">
        <v>5</v>
      </c>
      <c r="W13" s="4">
        <v>256.16438356164383</v>
      </c>
      <c r="X13" s="4">
        <v>0</v>
      </c>
      <c r="Y13" s="4">
        <v>0</v>
      </c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Y13" s="4">
        <v>0</v>
      </c>
      <c r="BZ13" s="4">
        <v>0</v>
      </c>
      <c r="CA13" s="4">
        <v>0</v>
      </c>
      <c r="CB13" s="4">
        <v>0</v>
      </c>
      <c r="CC13" s="4">
        <v>512.32876712328766</v>
      </c>
      <c r="CD13" s="4">
        <v>0</v>
      </c>
      <c r="CE13" s="4">
        <v>0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F13">
        <f>(SUM('User Interface'!$E$14,'User Interface'!$E$20,'User Interface'!$E$29,'User Interface'!$E$35,'User Interface'!$E$39)*1000)+'PV Profiles'!B15</f>
        <v>15000</v>
      </c>
      <c r="EH13" s="143">
        <f t="shared" si="12"/>
        <v>6173.4931506849316</v>
      </c>
      <c r="EJ13" s="37">
        <f t="shared" si="2"/>
        <v>5661.1643835616442</v>
      </c>
      <c r="EK13" s="37">
        <f t="shared" si="3"/>
        <v>0</v>
      </c>
      <c r="EL13" s="37">
        <f t="shared" si="4"/>
        <v>0</v>
      </c>
      <c r="EM13" s="37">
        <f t="shared" si="5"/>
        <v>0</v>
      </c>
      <c r="EN13" s="37">
        <f t="shared" si="6"/>
        <v>0</v>
      </c>
      <c r="EO13" s="37">
        <f t="shared" si="7"/>
        <v>0</v>
      </c>
      <c r="EQ13" s="4"/>
      <c r="ER13" s="314"/>
    </row>
    <row r="14" spans="1:148" ht="14.25" customHeight="1" x14ac:dyDescent="0.3">
      <c r="B14" s="3">
        <f>IF('User Interface'!$C$127&gt;(COUNT($B$7:B13)/96),B13+0.0104166666666667,"")</f>
        <v>7.2916666666666907E-2</v>
      </c>
      <c r="D14" s="1">
        <f>'User Interface'!$E$14*1000*'Optimization Results'!D14</f>
        <v>261.16438356164383</v>
      </c>
      <c r="E14" s="1">
        <f>'User Interface'!$E$20*1000*'Optimization Results'!E14</f>
        <v>0</v>
      </c>
      <c r="F14" s="1">
        <f>'User Interface'!$E$20*1000*'Optimization Results'!F14</f>
        <v>0</v>
      </c>
      <c r="G14" s="1">
        <f>'User Interface'!$E$29*1000*'Optimization Results'!G14</f>
        <v>0</v>
      </c>
      <c r="H14" s="1">
        <f>'User Interface'!$E$35*1000*'Optimization Results'!H14</f>
        <v>0</v>
      </c>
      <c r="I14" s="1">
        <f>'User Interface'!$E$39*1000*'Optimization Results'!I14</f>
        <v>0</v>
      </c>
      <c r="J14">
        <v>0</v>
      </c>
      <c r="K14" s="1"/>
      <c r="L14" s="1">
        <f t="shared" si="8"/>
        <v>261.16438356164383</v>
      </c>
      <c r="M14" s="1"/>
      <c r="N14" s="94">
        <f t="shared" si="9"/>
        <v>0</v>
      </c>
      <c r="O14" s="1"/>
      <c r="P14" s="1">
        <f t="shared" si="10"/>
        <v>261.16438356164383</v>
      </c>
      <c r="Q14" s="1">
        <f t="shared" si="11"/>
        <v>0</v>
      </c>
      <c r="S14" s="4">
        <v>0</v>
      </c>
      <c r="T14" s="4">
        <v>0</v>
      </c>
      <c r="U14" s="4">
        <v>0</v>
      </c>
      <c r="V14" s="4">
        <v>5</v>
      </c>
      <c r="W14" s="4">
        <v>256.16438356164383</v>
      </c>
      <c r="X14" s="4">
        <v>0</v>
      </c>
      <c r="Y14" s="4">
        <v>0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F14">
        <f>(SUM('User Interface'!$E$14,'User Interface'!$E$20,'User Interface'!$E$29,'User Interface'!$E$35,'User Interface'!$E$39)*1000)+'PV Profiles'!B16</f>
        <v>15000</v>
      </c>
      <c r="EH14" s="143">
        <f t="shared" si="12"/>
        <v>261.16438356164383</v>
      </c>
      <c r="EJ14" s="37">
        <f t="shared" si="2"/>
        <v>261.16438356164383</v>
      </c>
      <c r="EK14" s="37">
        <f t="shared" si="3"/>
        <v>0</v>
      </c>
      <c r="EL14" s="37">
        <f t="shared" si="4"/>
        <v>0</v>
      </c>
      <c r="EM14" s="37">
        <f t="shared" si="5"/>
        <v>0</v>
      </c>
      <c r="EN14" s="37">
        <f t="shared" si="6"/>
        <v>0</v>
      </c>
      <c r="EO14" s="37">
        <f t="shared" si="7"/>
        <v>0</v>
      </c>
      <c r="EQ14" s="4"/>
      <c r="ER14" s="314"/>
    </row>
    <row r="15" spans="1:148" ht="14.25" customHeight="1" x14ac:dyDescent="0.3">
      <c r="B15" s="3">
        <f>IF('User Interface'!$C$127&gt;(COUNT($B$7:B14)/96),B14+0.0104166666666667,"")</f>
        <v>8.3333333333333606E-2</v>
      </c>
      <c r="D15" s="1">
        <f>'User Interface'!$E$14*1000*'Optimization Results'!D15</f>
        <v>5405</v>
      </c>
      <c r="E15" s="1">
        <f>'User Interface'!$E$20*1000*'Optimization Results'!E15</f>
        <v>0</v>
      </c>
      <c r="F15" s="1">
        <f>'User Interface'!$E$20*1000*'Optimization Results'!F15</f>
        <v>0</v>
      </c>
      <c r="G15" s="1">
        <f>'User Interface'!$E$29*1000*'Optimization Results'!G15</f>
        <v>0</v>
      </c>
      <c r="H15" s="1">
        <f>'User Interface'!$E$35*1000*'Optimization Results'!H15</f>
        <v>0</v>
      </c>
      <c r="I15" s="1">
        <f>'User Interface'!$E$39*1000*'Optimization Results'!I15</f>
        <v>0</v>
      </c>
      <c r="J15">
        <v>0</v>
      </c>
      <c r="K15" s="1"/>
      <c r="L15" s="1">
        <f t="shared" si="8"/>
        <v>5405</v>
      </c>
      <c r="M15" s="1"/>
      <c r="N15" s="94">
        <f t="shared" si="9"/>
        <v>0</v>
      </c>
      <c r="O15" s="1"/>
      <c r="P15" s="1">
        <f t="shared" si="10"/>
        <v>5405</v>
      </c>
      <c r="Q15" s="1">
        <f t="shared" si="11"/>
        <v>0</v>
      </c>
      <c r="S15" s="4">
        <v>5400</v>
      </c>
      <c r="T15" s="4">
        <v>0</v>
      </c>
      <c r="U15" s="4">
        <v>0</v>
      </c>
      <c r="V15" s="4">
        <v>5</v>
      </c>
      <c r="W15" s="4">
        <v>0</v>
      </c>
      <c r="X15" s="4">
        <v>0</v>
      </c>
      <c r="Y15" s="4">
        <v>0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F15">
        <f>(SUM('User Interface'!$E$14,'User Interface'!$E$20,'User Interface'!$E$29,'User Interface'!$E$35,'User Interface'!$E$39)*1000)+'PV Profiles'!B17</f>
        <v>15000</v>
      </c>
      <c r="EH15" s="143">
        <f t="shared" si="12"/>
        <v>5405</v>
      </c>
      <c r="EJ15" s="37">
        <f t="shared" si="2"/>
        <v>5405</v>
      </c>
      <c r="EK15" s="37">
        <f t="shared" si="3"/>
        <v>0</v>
      </c>
      <c r="EL15" s="37">
        <f t="shared" si="4"/>
        <v>0</v>
      </c>
      <c r="EM15" s="37">
        <f t="shared" si="5"/>
        <v>0</v>
      </c>
      <c r="EN15" s="37">
        <f t="shared" si="6"/>
        <v>0</v>
      </c>
      <c r="EO15" s="37">
        <f t="shared" si="7"/>
        <v>0</v>
      </c>
      <c r="EQ15" s="4"/>
      <c r="ER15" s="314"/>
    </row>
    <row r="16" spans="1:148" ht="14.25" customHeight="1" x14ac:dyDescent="0.3">
      <c r="B16" s="3">
        <f>IF('User Interface'!$C$127&gt;(COUNT($B$7:B15)/96),B15+0.0104166666666667,"")</f>
        <v>9.3750000000000305E-2</v>
      </c>
      <c r="D16" s="1">
        <f>'User Interface'!$E$14*1000*'Optimization Results'!D16</f>
        <v>5405</v>
      </c>
      <c r="E16" s="1">
        <f>'User Interface'!$E$20*1000*'Optimization Results'!E16</f>
        <v>0</v>
      </c>
      <c r="F16" s="1">
        <f>'User Interface'!$E$20*1000*'Optimization Results'!F16</f>
        <v>0</v>
      </c>
      <c r="G16" s="1">
        <f>'User Interface'!$E$29*1000*'Optimization Results'!G16</f>
        <v>0</v>
      </c>
      <c r="H16" s="1">
        <f>'User Interface'!$E$35*1000*'Optimization Results'!H16</f>
        <v>0</v>
      </c>
      <c r="I16" s="1">
        <f>'User Interface'!$E$39*1000*'Optimization Results'!I16</f>
        <v>0</v>
      </c>
      <c r="J16">
        <v>0</v>
      </c>
      <c r="K16" s="1"/>
      <c r="L16" s="1">
        <f t="shared" si="8"/>
        <v>5405</v>
      </c>
      <c r="M16" s="1"/>
      <c r="N16" s="94">
        <f t="shared" si="9"/>
        <v>0</v>
      </c>
      <c r="O16" s="1"/>
      <c r="P16" s="1">
        <f t="shared" si="10"/>
        <v>5405</v>
      </c>
      <c r="Q16" s="1">
        <f t="shared" si="11"/>
        <v>0</v>
      </c>
      <c r="S16" s="4">
        <v>5400</v>
      </c>
      <c r="T16" s="4">
        <v>0</v>
      </c>
      <c r="U16" s="4">
        <v>0</v>
      </c>
      <c r="V16" s="4">
        <v>5</v>
      </c>
      <c r="W16" s="4">
        <v>0</v>
      </c>
      <c r="X16" s="4">
        <v>0</v>
      </c>
      <c r="Y16" s="4">
        <v>0</v>
      </c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F16">
        <f>(SUM('User Interface'!$E$14,'User Interface'!$E$20,'User Interface'!$E$29,'User Interface'!$E$35,'User Interface'!$E$39)*1000)+'PV Profiles'!B18</f>
        <v>15000</v>
      </c>
      <c r="EH16" s="143">
        <f t="shared" si="12"/>
        <v>5405</v>
      </c>
      <c r="EJ16" s="37">
        <f t="shared" si="2"/>
        <v>5405</v>
      </c>
      <c r="EK16" s="37">
        <f t="shared" si="3"/>
        <v>0</v>
      </c>
      <c r="EL16" s="37">
        <f t="shared" si="4"/>
        <v>0</v>
      </c>
      <c r="EM16" s="37">
        <f t="shared" si="5"/>
        <v>0</v>
      </c>
      <c r="EN16" s="37">
        <f t="shared" si="6"/>
        <v>0</v>
      </c>
      <c r="EO16" s="37">
        <f t="shared" si="7"/>
        <v>0</v>
      </c>
      <c r="EQ16" s="4"/>
      <c r="ER16" s="314"/>
    </row>
    <row r="17" spans="2:148" ht="14.25" customHeight="1" x14ac:dyDescent="0.3">
      <c r="B17" s="3">
        <f>IF('User Interface'!$C$127&gt;(COUNT($B$7:B16)/96),B16+0.0104166666666667,"")</f>
        <v>0.104166666666667</v>
      </c>
      <c r="D17" s="1">
        <f>'User Interface'!$E$14*1000*'Optimization Results'!D17</f>
        <v>5661.1643835616442</v>
      </c>
      <c r="E17" s="1">
        <f>'User Interface'!$E$20*1000*'Optimization Results'!E17</f>
        <v>0</v>
      </c>
      <c r="F17" s="1">
        <f>'User Interface'!$E$20*1000*'Optimization Results'!F17</f>
        <v>0</v>
      </c>
      <c r="G17" s="1">
        <f>'User Interface'!$E$29*1000*'Optimization Results'!G17</f>
        <v>0</v>
      </c>
      <c r="H17" s="1">
        <f>'User Interface'!$E$35*1000*'Optimization Results'!H17</f>
        <v>0</v>
      </c>
      <c r="I17" s="1">
        <f>'User Interface'!$E$39*1000*'Optimization Results'!I17</f>
        <v>0</v>
      </c>
      <c r="J17">
        <v>0</v>
      </c>
      <c r="K17" s="1"/>
      <c r="L17" s="1">
        <f t="shared" si="8"/>
        <v>5661.1643835616442</v>
      </c>
      <c r="M17" s="1"/>
      <c r="N17" s="94">
        <f t="shared" si="9"/>
        <v>0</v>
      </c>
      <c r="O17" s="1"/>
      <c r="P17" s="1">
        <f t="shared" si="10"/>
        <v>5661.1643835616442</v>
      </c>
      <c r="Q17" s="1">
        <f t="shared" si="11"/>
        <v>512.32876712328766</v>
      </c>
      <c r="S17" s="4">
        <v>5400</v>
      </c>
      <c r="T17" s="4">
        <v>0</v>
      </c>
      <c r="U17" s="4">
        <v>0</v>
      </c>
      <c r="V17" s="4">
        <v>5</v>
      </c>
      <c r="W17" s="4">
        <v>256.16438356164383</v>
      </c>
      <c r="X17" s="4">
        <v>0</v>
      </c>
      <c r="Y17" s="4">
        <v>0</v>
      </c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Y17" s="4">
        <v>0</v>
      </c>
      <c r="BZ17" s="4">
        <v>0</v>
      </c>
      <c r="CA17" s="4">
        <v>0</v>
      </c>
      <c r="CB17" s="4">
        <v>0</v>
      </c>
      <c r="CC17" s="4">
        <v>512.32876712328766</v>
      </c>
      <c r="CD17" s="4">
        <v>0</v>
      </c>
      <c r="CE17" s="4">
        <v>0</v>
      </c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F17">
        <f>(SUM('User Interface'!$E$14,'User Interface'!$E$20,'User Interface'!$E$29,'User Interface'!$E$35,'User Interface'!$E$39)*1000)+'PV Profiles'!B19</f>
        <v>15000</v>
      </c>
      <c r="EH17" s="143">
        <f t="shared" si="12"/>
        <v>6173.4931506849316</v>
      </c>
      <c r="EJ17" s="37">
        <f t="shared" si="2"/>
        <v>5661.1643835616442</v>
      </c>
      <c r="EK17" s="37">
        <f t="shared" si="3"/>
        <v>0</v>
      </c>
      <c r="EL17" s="37">
        <f t="shared" si="4"/>
        <v>0</v>
      </c>
      <c r="EM17" s="37">
        <f t="shared" si="5"/>
        <v>0</v>
      </c>
      <c r="EN17" s="37">
        <f t="shared" si="6"/>
        <v>0</v>
      </c>
      <c r="EO17" s="37">
        <f t="shared" si="7"/>
        <v>0</v>
      </c>
      <c r="EQ17" s="4"/>
      <c r="ER17" s="314"/>
    </row>
    <row r="18" spans="2:148" ht="14.25" customHeight="1" x14ac:dyDescent="0.3">
      <c r="B18" s="3">
        <f>IF('User Interface'!$C$127&gt;(COUNT($B$7:B17)/96),B17+0.0104166666666667,"")</f>
        <v>0.1145833333333337</v>
      </c>
      <c r="D18" s="1">
        <f>'User Interface'!$E$14*1000*'Optimization Results'!D18</f>
        <v>261.16438356164383</v>
      </c>
      <c r="E18" s="1">
        <f>'User Interface'!$E$20*1000*'Optimization Results'!E18</f>
        <v>0</v>
      </c>
      <c r="F18" s="1">
        <f>'User Interface'!$E$20*1000*'Optimization Results'!F18</f>
        <v>0</v>
      </c>
      <c r="G18" s="1">
        <f>'User Interface'!$E$29*1000*'Optimization Results'!G18</f>
        <v>0</v>
      </c>
      <c r="H18" s="1">
        <f>'User Interface'!$E$35*1000*'Optimization Results'!H18</f>
        <v>0</v>
      </c>
      <c r="I18" s="1">
        <f>'User Interface'!$E$39*1000*'Optimization Results'!I18</f>
        <v>0</v>
      </c>
      <c r="J18">
        <v>0</v>
      </c>
      <c r="K18" s="1"/>
      <c r="L18" s="1">
        <f t="shared" si="8"/>
        <v>261.16438356164383</v>
      </c>
      <c r="M18" s="1"/>
      <c r="N18" s="94">
        <f t="shared" si="9"/>
        <v>0</v>
      </c>
      <c r="O18" s="1"/>
      <c r="P18" s="1">
        <f t="shared" si="10"/>
        <v>261.16438356164383</v>
      </c>
      <c r="Q18" s="1">
        <f t="shared" si="11"/>
        <v>0</v>
      </c>
      <c r="S18" s="4">
        <v>0</v>
      </c>
      <c r="T18" s="4">
        <v>0</v>
      </c>
      <c r="U18" s="4">
        <v>0</v>
      </c>
      <c r="V18" s="4">
        <v>5</v>
      </c>
      <c r="W18" s="4">
        <v>256.16438356164383</v>
      </c>
      <c r="X18" s="4">
        <v>0</v>
      </c>
      <c r="Y18" s="4">
        <v>0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F18">
        <f>(SUM('User Interface'!$E$14,'User Interface'!$E$20,'User Interface'!$E$29,'User Interface'!$E$35,'User Interface'!$E$39)*1000)+'PV Profiles'!B20</f>
        <v>15000</v>
      </c>
      <c r="EH18" s="143">
        <f t="shared" si="12"/>
        <v>261.16438356164383</v>
      </c>
      <c r="EJ18" s="37">
        <f t="shared" si="2"/>
        <v>261.16438356164383</v>
      </c>
      <c r="EK18" s="37">
        <f t="shared" si="3"/>
        <v>0</v>
      </c>
      <c r="EL18" s="37">
        <f t="shared" si="4"/>
        <v>0</v>
      </c>
      <c r="EM18" s="37">
        <f t="shared" si="5"/>
        <v>0</v>
      </c>
      <c r="EN18" s="37">
        <f t="shared" si="6"/>
        <v>0</v>
      </c>
      <c r="EO18" s="37">
        <f t="shared" si="7"/>
        <v>0</v>
      </c>
      <c r="EQ18" s="4"/>
      <c r="ER18" s="314"/>
    </row>
    <row r="19" spans="2:148" ht="14.25" customHeight="1" x14ac:dyDescent="0.3">
      <c r="B19" s="3">
        <f>IF('User Interface'!$C$127&gt;(COUNT($B$7:B18)/96),B18+0.0104166666666667,"")</f>
        <v>0.12500000000000042</v>
      </c>
      <c r="D19" s="1">
        <f>'User Interface'!$E$14*1000*'Optimization Results'!D19</f>
        <v>5405</v>
      </c>
      <c r="E19" s="1">
        <f>'User Interface'!$E$20*1000*'Optimization Results'!E19</f>
        <v>0</v>
      </c>
      <c r="F19" s="1">
        <f>'User Interface'!$E$20*1000*'Optimization Results'!F19</f>
        <v>0</v>
      </c>
      <c r="G19" s="1">
        <f>'User Interface'!$E$29*1000*'Optimization Results'!G19</f>
        <v>0</v>
      </c>
      <c r="H19" s="1">
        <f>'User Interface'!$E$35*1000*'Optimization Results'!H19</f>
        <v>0</v>
      </c>
      <c r="I19" s="1">
        <f>'User Interface'!$E$39*1000*'Optimization Results'!I19</f>
        <v>0</v>
      </c>
      <c r="J19">
        <v>0</v>
      </c>
      <c r="K19" s="1"/>
      <c r="L19" s="1">
        <f t="shared" si="8"/>
        <v>5405</v>
      </c>
      <c r="M19" s="1"/>
      <c r="N19" s="94">
        <f t="shared" si="9"/>
        <v>0</v>
      </c>
      <c r="O19" s="1"/>
      <c r="P19" s="1">
        <f t="shared" si="10"/>
        <v>5405</v>
      </c>
      <c r="Q19" s="1">
        <f t="shared" si="11"/>
        <v>0</v>
      </c>
      <c r="S19" s="4">
        <v>5400</v>
      </c>
      <c r="T19" s="4">
        <v>0</v>
      </c>
      <c r="U19" s="4">
        <v>0</v>
      </c>
      <c r="V19" s="4">
        <v>5</v>
      </c>
      <c r="W19" s="4">
        <v>0</v>
      </c>
      <c r="X19" s="4">
        <v>0</v>
      </c>
      <c r="Y19" s="4">
        <v>0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F19">
        <f>(SUM('User Interface'!$E$14,'User Interface'!$E$20,'User Interface'!$E$29,'User Interface'!$E$35,'User Interface'!$E$39)*1000)+'PV Profiles'!B21</f>
        <v>15000</v>
      </c>
      <c r="EH19" s="143">
        <f t="shared" si="12"/>
        <v>5405</v>
      </c>
      <c r="EJ19" s="37">
        <f t="shared" si="2"/>
        <v>5405</v>
      </c>
      <c r="EK19" s="37">
        <f t="shared" si="3"/>
        <v>0</v>
      </c>
      <c r="EL19" s="37">
        <f t="shared" si="4"/>
        <v>0</v>
      </c>
      <c r="EM19" s="37">
        <f t="shared" si="5"/>
        <v>0</v>
      </c>
      <c r="EN19" s="37">
        <f t="shared" si="6"/>
        <v>0</v>
      </c>
      <c r="EO19" s="37">
        <f t="shared" si="7"/>
        <v>0</v>
      </c>
      <c r="EQ19" s="4"/>
      <c r="ER19" s="314"/>
    </row>
    <row r="20" spans="2:148" ht="14.25" customHeight="1" x14ac:dyDescent="0.3">
      <c r="B20" s="3">
        <f>IF('User Interface'!$C$127&gt;(COUNT($B$7:B19)/96),B19+0.0104166666666667,"")</f>
        <v>0.13541666666666713</v>
      </c>
      <c r="D20" s="1">
        <f>'User Interface'!$E$14*1000*'Optimization Results'!D20</f>
        <v>5405</v>
      </c>
      <c r="E20" s="1">
        <f>'User Interface'!$E$20*1000*'Optimization Results'!E20</f>
        <v>0</v>
      </c>
      <c r="F20" s="1">
        <f>'User Interface'!$E$20*1000*'Optimization Results'!F20</f>
        <v>0</v>
      </c>
      <c r="G20" s="1">
        <f>'User Interface'!$E$29*1000*'Optimization Results'!G20</f>
        <v>0</v>
      </c>
      <c r="H20" s="1">
        <f>'User Interface'!$E$35*1000*'Optimization Results'!H20</f>
        <v>0</v>
      </c>
      <c r="I20" s="1">
        <f>'User Interface'!$E$39*1000*'Optimization Results'!I20</f>
        <v>0</v>
      </c>
      <c r="J20">
        <v>0</v>
      </c>
      <c r="K20" s="1"/>
      <c r="L20" s="1">
        <f t="shared" si="8"/>
        <v>5405</v>
      </c>
      <c r="M20" s="1"/>
      <c r="N20" s="94">
        <f t="shared" si="9"/>
        <v>0</v>
      </c>
      <c r="O20" s="1"/>
      <c r="P20" s="1">
        <f t="shared" si="10"/>
        <v>5405</v>
      </c>
      <c r="Q20" s="1">
        <f t="shared" si="11"/>
        <v>0</v>
      </c>
      <c r="S20" s="4">
        <v>5400</v>
      </c>
      <c r="T20" s="4">
        <v>0</v>
      </c>
      <c r="U20" s="4">
        <v>0</v>
      </c>
      <c r="V20" s="4">
        <v>5</v>
      </c>
      <c r="W20" s="4">
        <v>0</v>
      </c>
      <c r="X20" s="4">
        <v>0</v>
      </c>
      <c r="Y20" s="4">
        <v>0</v>
      </c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F20">
        <f>(SUM('User Interface'!$E$14,'User Interface'!$E$20,'User Interface'!$E$29,'User Interface'!$E$35,'User Interface'!$E$39)*1000)+'PV Profiles'!B22</f>
        <v>15000</v>
      </c>
      <c r="EH20" s="143">
        <f t="shared" si="12"/>
        <v>5405</v>
      </c>
      <c r="EJ20" s="37">
        <f t="shared" si="2"/>
        <v>5405</v>
      </c>
      <c r="EK20" s="37">
        <f t="shared" si="3"/>
        <v>0</v>
      </c>
      <c r="EL20" s="37">
        <f t="shared" si="4"/>
        <v>0</v>
      </c>
      <c r="EM20" s="37">
        <f t="shared" si="5"/>
        <v>0</v>
      </c>
      <c r="EN20" s="37">
        <f t="shared" si="6"/>
        <v>0</v>
      </c>
      <c r="EO20" s="37">
        <f t="shared" si="7"/>
        <v>0</v>
      </c>
      <c r="EQ20" s="4"/>
      <c r="ER20" s="314"/>
    </row>
    <row r="21" spans="2:148" ht="14.25" customHeight="1" x14ac:dyDescent="0.3">
      <c r="B21" s="3">
        <f>IF('User Interface'!$C$127&gt;(COUNT($B$7:B20)/96),B20+0.0104166666666667,"")</f>
        <v>0.14583333333333384</v>
      </c>
      <c r="D21" s="1">
        <f>'User Interface'!$E$14*1000*'Optimization Results'!D21</f>
        <v>5661.1643835616442</v>
      </c>
      <c r="E21" s="1">
        <f>'User Interface'!$E$20*1000*'Optimization Results'!E21</f>
        <v>0</v>
      </c>
      <c r="F21" s="1">
        <f>'User Interface'!$E$20*1000*'Optimization Results'!F21</f>
        <v>0</v>
      </c>
      <c r="G21" s="1">
        <f>'User Interface'!$E$29*1000*'Optimization Results'!G21</f>
        <v>0</v>
      </c>
      <c r="H21" s="1">
        <f>'User Interface'!$E$35*1000*'Optimization Results'!H21</f>
        <v>0</v>
      </c>
      <c r="I21" s="1">
        <f>'User Interface'!$E$39*1000*'Optimization Results'!I21</f>
        <v>0</v>
      </c>
      <c r="J21">
        <v>0</v>
      </c>
      <c r="K21" s="1"/>
      <c r="L21" s="1">
        <f t="shared" si="8"/>
        <v>5661.1643835616442</v>
      </c>
      <c r="M21" s="1"/>
      <c r="N21" s="94">
        <f t="shared" si="9"/>
        <v>0</v>
      </c>
      <c r="O21" s="1"/>
      <c r="P21" s="1">
        <f t="shared" si="10"/>
        <v>5661.1643835616442</v>
      </c>
      <c r="Q21" s="1">
        <f t="shared" si="11"/>
        <v>512.32876712328766</v>
      </c>
      <c r="S21" s="4">
        <v>5400</v>
      </c>
      <c r="T21" s="4">
        <v>0</v>
      </c>
      <c r="U21" s="4">
        <v>0</v>
      </c>
      <c r="V21" s="4">
        <v>5</v>
      </c>
      <c r="W21" s="4">
        <v>256.16438356164383</v>
      </c>
      <c r="X21" s="4">
        <v>0</v>
      </c>
      <c r="Y21" s="4">
        <v>0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Y21" s="4">
        <v>0</v>
      </c>
      <c r="BZ21" s="4">
        <v>0</v>
      </c>
      <c r="CA21" s="4">
        <v>0</v>
      </c>
      <c r="CB21" s="4">
        <v>0</v>
      </c>
      <c r="CC21" s="4">
        <v>512.32876712328766</v>
      </c>
      <c r="CD21" s="4">
        <v>0</v>
      </c>
      <c r="CE21" s="4">
        <v>0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F21">
        <f>(SUM('User Interface'!$E$14,'User Interface'!$E$20,'User Interface'!$E$29,'User Interface'!$E$35,'User Interface'!$E$39)*1000)+'PV Profiles'!B23</f>
        <v>15000</v>
      </c>
      <c r="EH21" s="143">
        <f t="shared" si="12"/>
        <v>6173.4931506849316</v>
      </c>
      <c r="EJ21" s="37">
        <f t="shared" si="2"/>
        <v>5661.1643835616442</v>
      </c>
      <c r="EK21" s="37">
        <f t="shared" si="3"/>
        <v>0</v>
      </c>
      <c r="EL21" s="37">
        <f t="shared" si="4"/>
        <v>0</v>
      </c>
      <c r="EM21" s="37">
        <f t="shared" si="5"/>
        <v>0</v>
      </c>
      <c r="EN21" s="37">
        <f t="shared" si="6"/>
        <v>0</v>
      </c>
      <c r="EO21" s="37">
        <f t="shared" si="7"/>
        <v>0</v>
      </c>
      <c r="EQ21" s="4"/>
      <c r="ER21" s="314"/>
    </row>
    <row r="22" spans="2:148" ht="14.25" customHeight="1" x14ac:dyDescent="0.3">
      <c r="B22" s="3">
        <f>IF('User Interface'!$C$127&gt;(COUNT($B$7:B21)/96),B21+0.0104166666666667,"")</f>
        <v>0.15625000000000056</v>
      </c>
      <c r="D22" s="1">
        <f>'User Interface'!$E$14*1000*'Optimization Results'!D22</f>
        <v>261.16438356164383</v>
      </c>
      <c r="E22" s="1">
        <f>'User Interface'!$E$20*1000*'Optimization Results'!E22</f>
        <v>0</v>
      </c>
      <c r="F22" s="1">
        <f>'User Interface'!$E$20*1000*'Optimization Results'!F22</f>
        <v>0</v>
      </c>
      <c r="G22" s="1">
        <f>'User Interface'!$E$29*1000*'Optimization Results'!G22</f>
        <v>0</v>
      </c>
      <c r="H22" s="1">
        <f>'User Interface'!$E$35*1000*'Optimization Results'!H22</f>
        <v>0</v>
      </c>
      <c r="I22" s="1">
        <f>'User Interface'!$E$39*1000*'Optimization Results'!I22</f>
        <v>0</v>
      </c>
      <c r="J22">
        <v>0</v>
      </c>
      <c r="K22" s="1"/>
      <c r="L22" s="1">
        <f t="shared" si="8"/>
        <v>261.16438356164383</v>
      </c>
      <c r="M22" s="1"/>
      <c r="N22" s="94">
        <f t="shared" si="9"/>
        <v>0</v>
      </c>
      <c r="O22" s="1"/>
      <c r="P22" s="1">
        <f t="shared" si="10"/>
        <v>261.16438356164383</v>
      </c>
      <c r="Q22" s="1">
        <f t="shared" si="11"/>
        <v>0</v>
      </c>
      <c r="S22" s="4">
        <v>0</v>
      </c>
      <c r="T22" s="4">
        <v>0</v>
      </c>
      <c r="U22" s="4">
        <v>0</v>
      </c>
      <c r="V22" s="4">
        <v>5</v>
      </c>
      <c r="W22" s="4">
        <v>256.16438356164383</v>
      </c>
      <c r="X22" s="4">
        <v>0</v>
      </c>
      <c r="Y22" s="4">
        <v>0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F22">
        <f>(SUM('User Interface'!$E$14,'User Interface'!$E$20,'User Interface'!$E$29,'User Interface'!$E$35,'User Interface'!$E$39)*1000)+'PV Profiles'!B24</f>
        <v>15000</v>
      </c>
      <c r="EH22" s="143">
        <f t="shared" si="12"/>
        <v>261.16438356164383</v>
      </c>
      <c r="EJ22" s="37">
        <f t="shared" si="2"/>
        <v>261.16438356164383</v>
      </c>
      <c r="EK22" s="37">
        <f t="shared" si="3"/>
        <v>0</v>
      </c>
      <c r="EL22" s="37">
        <f t="shared" si="4"/>
        <v>0</v>
      </c>
      <c r="EM22" s="37">
        <f t="shared" si="5"/>
        <v>0</v>
      </c>
      <c r="EN22" s="37">
        <f t="shared" si="6"/>
        <v>0</v>
      </c>
      <c r="EO22" s="37">
        <f t="shared" si="7"/>
        <v>0</v>
      </c>
      <c r="EQ22" s="4"/>
      <c r="ER22" s="314"/>
    </row>
    <row r="23" spans="2:148" ht="14.25" customHeight="1" x14ac:dyDescent="0.3">
      <c r="B23" s="3">
        <f>IF('User Interface'!$C$127&gt;(COUNT($B$7:B22)/96),B22+0.0104166666666667,"")</f>
        <v>0.16666666666666727</v>
      </c>
      <c r="D23" s="1">
        <f>'User Interface'!$E$14*1000*'Optimization Results'!D23</f>
        <v>5405</v>
      </c>
      <c r="E23" s="1">
        <f>'User Interface'!$E$20*1000*'Optimization Results'!E23</f>
        <v>0</v>
      </c>
      <c r="F23" s="1">
        <f>'User Interface'!$E$20*1000*'Optimization Results'!F23</f>
        <v>0</v>
      </c>
      <c r="G23" s="1">
        <f>'User Interface'!$E$29*1000*'Optimization Results'!G23</f>
        <v>0</v>
      </c>
      <c r="H23" s="1">
        <f>'User Interface'!$E$35*1000*'Optimization Results'!H23</f>
        <v>0</v>
      </c>
      <c r="I23" s="1">
        <f>'User Interface'!$E$39*1000*'Optimization Results'!I23</f>
        <v>0</v>
      </c>
      <c r="J23">
        <v>0</v>
      </c>
      <c r="K23" s="1"/>
      <c r="L23" s="1">
        <f t="shared" si="8"/>
        <v>5405</v>
      </c>
      <c r="M23" s="1"/>
      <c r="N23" s="94">
        <f t="shared" si="9"/>
        <v>0</v>
      </c>
      <c r="O23" s="1"/>
      <c r="P23" s="1">
        <f t="shared" si="10"/>
        <v>5405</v>
      </c>
      <c r="Q23" s="1">
        <f t="shared" si="11"/>
        <v>0</v>
      </c>
      <c r="S23" s="4">
        <v>5400</v>
      </c>
      <c r="T23" s="4">
        <v>0</v>
      </c>
      <c r="U23" s="4">
        <v>0</v>
      </c>
      <c r="V23" s="4">
        <v>5</v>
      </c>
      <c r="W23" s="4">
        <v>0</v>
      </c>
      <c r="X23" s="4">
        <v>0</v>
      </c>
      <c r="Y23" s="4">
        <v>0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F23">
        <f>(SUM('User Interface'!$E$14,'User Interface'!$E$20,'User Interface'!$E$29,'User Interface'!$E$35,'User Interface'!$E$39)*1000)+'PV Profiles'!B25</f>
        <v>15000</v>
      </c>
      <c r="EH23" s="143">
        <f t="shared" si="12"/>
        <v>5405</v>
      </c>
      <c r="EJ23" s="37">
        <f t="shared" si="2"/>
        <v>5405</v>
      </c>
      <c r="EK23" s="37">
        <f t="shared" si="3"/>
        <v>0</v>
      </c>
      <c r="EL23" s="37">
        <f t="shared" si="4"/>
        <v>0</v>
      </c>
      <c r="EM23" s="37">
        <f t="shared" si="5"/>
        <v>0</v>
      </c>
      <c r="EN23" s="37">
        <f t="shared" si="6"/>
        <v>0</v>
      </c>
      <c r="EO23" s="37">
        <f t="shared" si="7"/>
        <v>0</v>
      </c>
      <c r="EQ23" s="4"/>
      <c r="ER23" s="314"/>
    </row>
    <row r="24" spans="2:148" ht="14.25" customHeight="1" x14ac:dyDescent="0.3">
      <c r="B24" s="3">
        <f>IF('User Interface'!$C$127&gt;(COUNT($B$7:B23)/96),B23+0.0104166666666667,"")</f>
        <v>0.17708333333333398</v>
      </c>
      <c r="D24" s="1">
        <f>'User Interface'!$E$14*1000*'Optimization Results'!D24</f>
        <v>5405</v>
      </c>
      <c r="E24" s="1">
        <f>'User Interface'!$E$20*1000*'Optimization Results'!E24</f>
        <v>0</v>
      </c>
      <c r="F24" s="1">
        <f>'User Interface'!$E$20*1000*'Optimization Results'!F24</f>
        <v>0</v>
      </c>
      <c r="G24" s="1">
        <f>'User Interface'!$E$29*1000*'Optimization Results'!G24</f>
        <v>0</v>
      </c>
      <c r="H24" s="1">
        <f>'User Interface'!$E$35*1000*'Optimization Results'!H24</f>
        <v>0</v>
      </c>
      <c r="I24" s="1">
        <f>'User Interface'!$E$39*1000*'Optimization Results'!I24</f>
        <v>0</v>
      </c>
      <c r="J24">
        <v>0</v>
      </c>
      <c r="K24" s="1"/>
      <c r="L24" s="1">
        <f t="shared" si="8"/>
        <v>5405</v>
      </c>
      <c r="M24" s="1"/>
      <c r="N24" s="94">
        <f t="shared" si="9"/>
        <v>0</v>
      </c>
      <c r="O24" s="1"/>
      <c r="P24" s="1">
        <f t="shared" si="10"/>
        <v>5405</v>
      </c>
      <c r="Q24" s="1">
        <f t="shared" si="11"/>
        <v>0</v>
      </c>
      <c r="S24" s="4">
        <v>5400</v>
      </c>
      <c r="T24" s="4">
        <v>0</v>
      </c>
      <c r="U24" s="4">
        <v>0</v>
      </c>
      <c r="V24" s="4">
        <v>5</v>
      </c>
      <c r="W24" s="4">
        <v>0</v>
      </c>
      <c r="X24" s="4">
        <v>0</v>
      </c>
      <c r="Y24" s="4">
        <v>0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F24">
        <f>(SUM('User Interface'!$E$14,'User Interface'!$E$20,'User Interface'!$E$29,'User Interface'!$E$35,'User Interface'!$E$39)*1000)+'PV Profiles'!B26</f>
        <v>15000</v>
      </c>
      <c r="EH24" s="143">
        <f t="shared" si="12"/>
        <v>5405</v>
      </c>
      <c r="EJ24" s="37">
        <f t="shared" si="2"/>
        <v>5405</v>
      </c>
      <c r="EK24" s="37">
        <f t="shared" si="3"/>
        <v>0</v>
      </c>
      <c r="EL24" s="37">
        <f t="shared" si="4"/>
        <v>0</v>
      </c>
      <c r="EM24" s="37">
        <f t="shared" si="5"/>
        <v>0</v>
      </c>
      <c r="EN24" s="37">
        <f t="shared" si="6"/>
        <v>0</v>
      </c>
      <c r="EO24" s="37">
        <f t="shared" si="7"/>
        <v>0</v>
      </c>
      <c r="EQ24" s="4"/>
      <c r="ER24" s="314"/>
    </row>
    <row r="25" spans="2:148" ht="14.25" customHeight="1" x14ac:dyDescent="0.3">
      <c r="B25" s="3">
        <f>IF('User Interface'!$C$127&gt;(COUNT($B$7:B24)/96),B24+0.0104166666666667,"")</f>
        <v>0.18750000000000069</v>
      </c>
      <c r="D25" s="1">
        <f>'User Interface'!$E$14*1000*'Optimization Results'!D25</f>
        <v>5661.1643835616442</v>
      </c>
      <c r="E25" s="1">
        <f>'User Interface'!$E$20*1000*'Optimization Results'!E25</f>
        <v>0</v>
      </c>
      <c r="F25" s="1">
        <f>'User Interface'!$E$20*1000*'Optimization Results'!F25</f>
        <v>0</v>
      </c>
      <c r="G25" s="1">
        <f>'User Interface'!$E$29*1000*'Optimization Results'!G25</f>
        <v>0</v>
      </c>
      <c r="H25" s="1">
        <f>'User Interface'!$E$35*1000*'Optimization Results'!H25</f>
        <v>0</v>
      </c>
      <c r="I25" s="1">
        <f>'User Interface'!$E$39*1000*'Optimization Results'!I25</f>
        <v>0</v>
      </c>
      <c r="J25">
        <v>0</v>
      </c>
      <c r="K25" s="1"/>
      <c r="L25" s="1">
        <f t="shared" si="8"/>
        <v>5661.1643835616442</v>
      </c>
      <c r="M25" s="1"/>
      <c r="N25" s="94">
        <f t="shared" si="9"/>
        <v>0</v>
      </c>
      <c r="O25" s="1"/>
      <c r="P25" s="1">
        <f t="shared" si="10"/>
        <v>5661.1643835616442</v>
      </c>
      <c r="Q25" s="1">
        <f t="shared" si="11"/>
        <v>512.32876712328766</v>
      </c>
      <c r="S25" s="4">
        <v>5400</v>
      </c>
      <c r="T25" s="4">
        <v>0</v>
      </c>
      <c r="U25" s="4">
        <v>0</v>
      </c>
      <c r="V25" s="4">
        <v>5</v>
      </c>
      <c r="W25" s="4">
        <v>256.16438356164383</v>
      </c>
      <c r="X25" s="4">
        <v>0</v>
      </c>
      <c r="Y25" s="4">
        <v>0</v>
      </c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Y25" s="4">
        <v>0</v>
      </c>
      <c r="BZ25" s="4">
        <v>0</v>
      </c>
      <c r="CA25" s="4">
        <v>0</v>
      </c>
      <c r="CB25" s="4">
        <v>0</v>
      </c>
      <c r="CC25" s="4">
        <v>512.32876712328766</v>
      </c>
      <c r="CD25" s="4">
        <v>0</v>
      </c>
      <c r="CE25" s="4">
        <v>0</v>
      </c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F25">
        <f>(SUM('User Interface'!$E$14,'User Interface'!$E$20,'User Interface'!$E$29,'User Interface'!$E$35,'User Interface'!$E$39)*1000)+'PV Profiles'!B27</f>
        <v>15000</v>
      </c>
      <c r="EH25" s="143">
        <f t="shared" si="12"/>
        <v>6173.4931506849316</v>
      </c>
      <c r="EJ25" s="37">
        <f t="shared" si="2"/>
        <v>5661.1643835616442</v>
      </c>
      <c r="EK25" s="37">
        <f t="shared" si="3"/>
        <v>0</v>
      </c>
      <c r="EL25" s="37">
        <f t="shared" si="4"/>
        <v>0</v>
      </c>
      <c r="EM25" s="37">
        <f t="shared" si="5"/>
        <v>0</v>
      </c>
      <c r="EN25" s="37">
        <f t="shared" si="6"/>
        <v>0</v>
      </c>
      <c r="EO25" s="37">
        <f t="shared" si="7"/>
        <v>0</v>
      </c>
      <c r="EQ25" s="4"/>
      <c r="ER25" s="314"/>
    </row>
    <row r="26" spans="2:148" ht="14.25" customHeight="1" x14ac:dyDescent="0.3">
      <c r="B26" s="3">
        <f>IF('User Interface'!$C$127&gt;(COUNT($B$7:B25)/96),B25+0.0104166666666667,"")</f>
        <v>0.19791666666666741</v>
      </c>
      <c r="D26" s="1">
        <f>'User Interface'!$E$14*1000*'Optimization Results'!D26</f>
        <v>261.16438356164383</v>
      </c>
      <c r="E26" s="1">
        <f>'User Interface'!$E$20*1000*'Optimization Results'!E26</f>
        <v>0</v>
      </c>
      <c r="F26" s="1">
        <f>'User Interface'!$E$20*1000*'Optimization Results'!F26</f>
        <v>0</v>
      </c>
      <c r="G26" s="1">
        <f>'User Interface'!$E$29*1000*'Optimization Results'!G26</f>
        <v>0</v>
      </c>
      <c r="H26" s="1">
        <f>'User Interface'!$E$35*1000*'Optimization Results'!H26</f>
        <v>0</v>
      </c>
      <c r="I26" s="1">
        <f>'User Interface'!$E$39*1000*'Optimization Results'!I26</f>
        <v>0</v>
      </c>
      <c r="J26">
        <v>0</v>
      </c>
      <c r="K26" s="1"/>
      <c r="L26" s="1">
        <f t="shared" si="8"/>
        <v>261.16438356164383</v>
      </c>
      <c r="M26" s="1"/>
      <c r="N26" s="94">
        <f t="shared" si="9"/>
        <v>0</v>
      </c>
      <c r="O26" s="1"/>
      <c r="P26" s="1">
        <f t="shared" si="10"/>
        <v>261.16438356164383</v>
      </c>
      <c r="Q26" s="1">
        <f t="shared" si="11"/>
        <v>0</v>
      </c>
      <c r="S26" s="4">
        <v>0</v>
      </c>
      <c r="T26" s="4">
        <v>0</v>
      </c>
      <c r="U26" s="4">
        <v>0</v>
      </c>
      <c r="V26" s="4">
        <v>5</v>
      </c>
      <c r="W26" s="4">
        <v>256.16438356164383</v>
      </c>
      <c r="X26" s="4">
        <v>0</v>
      </c>
      <c r="Y26" s="4">
        <v>0</v>
      </c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F26">
        <f>(SUM('User Interface'!$E$14,'User Interface'!$E$20,'User Interface'!$E$29,'User Interface'!$E$35,'User Interface'!$E$39)*1000)+'PV Profiles'!B28</f>
        <v>15000</v>
      </c>
      <c r="EH26" s="143">
        <f t="shared" si="12"/>
        <v>261.16438356164383</v>
      </c>
      <c r="EJ26" s="37">
        <f t="shared" si="2"/>
        <v>261.16438356164383</v>
      </c>
      <c r="EK26" s="37">
        <f t="shared" si="3"/>
        <v>0</v>
      </c>
      <c r="EL26" s="37">
        <f t="shared" si="4"/>
        <v>0</v>
      </c>
      <c r="EM26" s="37">
        <f t="shared" si="5"/>
        <v>0</v>
      </c>
      <c r="EN26" s="37">
        <f t="shared" si="6"/>
        <v>0</v>
      </c>
      <c r="EO26" s="37">
        <f t="shared" si="7"/>
        <v>0</v>
      </c>
      <c r="EQ26" s="4"/>
      <c r="ER26" s="314"/>
    </row>
    <row r="27" spans="2:148" ht="14.25" customHeight="1" x14ac:dyDescent="0.3">
      <c r="B27" s="3">
        <f>IF('User Interface'!$C$127&gt;(COUNT($B$7:B26)/96),B26+0.0104166666666667,"")</f>
        <v>0.20833333333333412</v>
      </c>
      <c r="D27" s="1">
        <f>'User Interface'!$E$14*1000*'Optimization Results'!D27</f>
        <v>5405</v>
      </c>
      <c r="E27" s="1">
        <f>'User Interface'!$E$20*1000*'Optimization Results'!E27</f>
        <v>0</v>
      </c>
      <c r="F27" s="1">
        <f>'User Interface'!$E$20*1000*'Optimization Results'!F27</f>
        <v>0</v>
      </c>
      <c r="G27" s="1">
        <f>'User Interface'!$E$29*1000*'Optimization Results'!G27</f>
        <v>0</v>
      </c>
      <c r="H27" s="1">
        <f>'User Interface'!$E$35*1000*'Optimization Results'!H27</f>
        <v>0</v>
      </c>
      <c r="I27" s="1">
        <f>'User Interface'!$E$39*1000*'Optimization Results'!I27</f>
        <v>0</v>
      </c>
      <c r="J27">
        <v>0</v>
      </c>
      <c r="K27" s="1"/>
      <c r="L27" s="1">
        <f t="shared" si="8"/>
        <v>5405</v>
      </c>
      <c r="M27" s="1"/>
      <c r="N27" s="94">
        <f t="shared" si="9"/>
        <v>0</v>
      </c>
      <c r="O27" s="1"/>
      <c r="P27" s="1">
        <f t="shared" si="10"/>
        <v>5405</v>
      </c>
      <c r="Q27" s="1">
        <f t="shared" si="11"/>
        <v>0</v>
      </c>
      <c r="S27" s="4">
        <v>5400</v>
      </c>
      <c r="T27" s="4">
        <v>0</v>
      </c>
      <c r="U27" s="4">
        <v>0</v>
      </c>
      <c r="V27" s="4">
        <v>5</v>
      </c>
      <c r="W27" s="4">
        <v>0</v>
      </c>
      <c r="X27" s="4">
        <v>0</v>
      </c>
      <c r="Y27" s="4">
        <v>0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F27">
        <f>(SUM('User Interface'!$E$14,'User Interface'!$E$20,'User Interface'!$E$29,'User Interface'!$E$35,'User Interface'!$E$39)*1000)+'PV Profiles'!B29</f>
        <v>15000</v>
      </c>
      <c r="EH27" s="143">
        <f t="shared" si="12"/>
        <v>5405</v>
      </c>
      <c r="EJ27" s="37">
        <f t="shared" si="2"/>
        <v>5405</v>
      </c>
      <c r="EK27" s="37">
        <f t="shared" si="3"/>
        <v>0</v>
      </c>
      <c r="EL27" s="37">
        <f t="shared" si="4"/>
        <v>0</v>
      </c>
      <c r="EM27" s="37">
        <f t="shared" si="5"/>
        <v>0</v>
      </c>
      <c r="EN27" s="37">
        <f t="shared" si="6"/>
        <v>0</v>
      </c>
      <c r="EO27" s="37">
        <f t="shared" si="7"/>
        <v>0</v>
      </c>
      <c r="EQ27" s="4"/>
      <c r="ER27" s="314"/>
    </row>
    <row r="28" spans="2:148" ht="14.25" customHeight="1" x14ac:dyDescent="0.3">
      <c r="B28" s="3">
        <f>IF('User Interface'!$C$127&gt;(COUNT($B$7:B27)/96),B27+0.0104166666666667,"")</f>
        <v>0.21875000000000083</v>
      </c>
      <c r="D28" s="1">
        <f>'User Interface'!$E$14*1000*'Optimization Results'!D28</f>
        <v>5405</v>
      </c>
      <c r="E28" s="1">
        <f>'User Interface'!$E$20*1000*'Optimization Results'!E28</f>
        <v>0</v>
      </c>
      <c r="F28" s="1">
        <f>'User Interface'!$E$20*1000*'Optimization Results'!F28</f>
        <v>0</v>
      </c>
      <c r="G28" s="1">
        <f>'User Interface'!$E$29*1000*'Optimization Results'!G28</f>
        <v>0</v>
      </c>
      <c r="H28" s="1">
        <f>'User Interface'!$E$35*1000*'Optimization Results'!H28</f>
        <v>0</v>
      </c>
      <c r="I28" s="1">
        <f>'User Interface'!$E$39*1000*'Optimization Results'!I28</f>
        <v>0</v>
      </c>
      <c r="J28">
        <v>0</v>
      </c>
      <c r="K28" s="1"/>
      <c r="L28" s="1">
        <f t="shared" si="8"/>
        <v>5405</v>
      </c>
      <c r="M28" s="1"/>
      <c r="N28" s="94">
        <f t="shared" si="9"/>
        <v>0</v>
      </c>
      <c r="O28" s="1"/>
      <c r="P28" s="1">
        <f t="shared" si="10"/>
        <v>5405</v>
      </c>
      <c r="Q28" s="1">
        <f t="shared" si="11"/>
        <v>0</v>
      </c>
      <c r="S28" s="4">
        <v>5400</v>
      </c>
      <c r="T28" s="4">
        <v>0</v>
      </c>
      <c r="U28" s="4">
        <v>0</v>
      </c>
      <c r="V28" s="4">
        <v>5</v>
      </c>
      <c r="W28" s="4">
        <v>0</v>
      </c>
      <c r="X28" s="4">
        <v>0</v>
      </c>
      <c r="Y28" s="4">
        <v>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F28">
        <f>(SUM('User Interface'!$E$14,'User Interface'!$E$20,'User Interface'!$E$29,'User Interface'!$E$35,'User Interface'!$E$39)*1000)+'PV Profiles'!B30</f>
        <v>15000</v>
      </c>
      <c r="EH28" s="143">
        <f t="shared" si="12"/>
        <v>5405</v>
      </c>
      <c r="EJ28" s="37">
        <f t="shared" si="2"/>
        <v>5405</v>
      </c>
      <c r="EK28" s="37">
        <f t="shared" si="3"/>
        <v>0</v>
      </c>
      <c r="EL28" s="37">
        <f t="shared" si="4"/>
        <v>0</v>
      </c>
      <c r="EM28" s="37">
        <f t="shared" si="5"/>
        <v>0</v>
      </c>
      <c r="EN28" s="37">
        <f t="shared" si="6"/>
        <v>0</v>
      </c>
      <c r="EO28" s="37">
        <f t="shared" si="7"/>
        <v>0</v>
      </c>
      <c r="EQ28" s="4"/>
      <c r="ER28" s="314"/>
    </row>
    <row r="29" spans="2:148" ht="14.25" customHeight="1" x14ac:dyDescent="0.3">
      <c r="B29" s="3">
        <f>IF('User Interface'!$C$127&gt;(COUNT($B$7:B28)/96),B28+0.0104166666666667,"")</f>
        <v>0.22916666666666755</v>
      </c>
      <c r="D29" s="1">
        <f>'User Interface'!$E$14*1000*'Optimization Results'!D29</f>
        <v>5661.1643835616442</v>
      </c>
      <c r="E29" s="1">
        <f>'User Interface'!$E$20*1000*'Optimization Results'!E29</f>
        <v>0</v>
      </c>
      <c r="F29" s="1">
        <f>'User Interface'!$E$20*1000*'Optimization Results'!F29</f>
        <v>0</v>
      </c>
      <c r="G29" s="1">
        <f>'User Interface'!$E$29*1000*'Optimization Results'!G29</f>
        <v>0</v>
      </c>
      <c r="H29" s="1">
        <f>'User Interface'!$E$35*1000*'Optimization Results'!H29</f>
        <v>0</v>
      </c>
      <c r="I29" s="1">
        <f>'User Interface'!$E$39*1000*'Optimization Results'!I29</f>
        <v>0</v>
      </c>
      <c r="J29">
        <v>0</v>
      </c>
      <c r="K29" s="1"/>
      <c r="L29" s="1">
        <f t="shared" si="8"/>
        <v>5661.1643835616442</v>
      </c>
      <c r="M29" s="1"/>
      <c r="N29" s="94">
        <f t="shared" si="9"/>
        <v>0</v>
      </c>
      <c r="O29" s="1"/>
      <c r="P29" s="1">
        <f t="shared" si="10"/>
        <v>5661.1643835616442</v>
      </c>
      <c r="Q29" s="1">
        <f t="shared" si="11"/>
        <v>512.32876712328766</v>
      </c>
      <c r="S29" s="4">
        <v>5400</v>
      </c>
      <c r="T29" s="4">
        <v>0</v>
      </c>
      <c r="U29" s="4">
        <v>0</v>
      </c>
      <c r="V29" s="4">
        <v>5</v>
      </c>
      <c r="W29" s="4">
        <v>256.16438356164383</v>
      </c>
      <c r="X29" s="4">
        <v>0</v>
      </c>
      <c r="Y29" s="4">
        <v>0</v>
      </c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Y29" s="4">
        <v>0</v>
      </c>
      <c r="BZ29" s="4">
        <v>0</v>
      </c>
      <c r="CA29" s="4">
        <v>0</v>
      </c>
      <c r="CB29" s="4">
        <v>0</v>
      </c>
      <c r="CC29" s="4">
        <v>512.32876712328766</v>
      </c>
      <c r="CD29" s="4">
        <v>0</v>
      </c>
      <c r="CE29" s="4">
        <v>0</v>
      </c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F29">
        <f>(SUM('User Interface'!$E$14,'User Interface'!$E$20,'User Interface'!$E$29,'User Interface'!$E$35,'User Interface'!$E$39)*1000)+'PV Profiles'!B31</f>
        <v>15000</v>
      </c>
      <c r="EH29" s="143">
        <f t="shared" si="12"/>
        <v>6173.4931506849316</v>
      </c>
      <c r="EJ29" s="37">
        <f t="shared" si="2"/>
        <v>5661.1643835616442</v>
      </c>
      <c r="EK29" s="37">
        <f t="shared" si="3"/>
        <v>0</v>
      </c>
      <c r="EL29" s="37">
        <f t="shared" si="4"/>
        <v>0</v>
      </c>
      <c r="EM29" s="37">
        <f t="shared" si="5"/>
        <v>0</v>
      </c>
      <c r="EN29" s="37">
        <f t="shared" si="6"/>
        <v>0</v>
      </c>
      <c r="EO29" s="37">
        <f t="shared" si="7"/>
        <v>0</v>
      </c>
      <c r="EQ29" s="4"/>
      <c r="ER29" s="314"/>
    </row>
    <row r="30" spans="2:148" ht="14.25" customHeight="1" x14ac:dyDescent="0.3">
      <c r="B30" s="3">
        <f>IF('User Interface'!$C$127&gt;(COUNT($B$7:B29)/96),B29+0.0104166666666667,"")</f>
        <v>0.23958333333333426</v>
      </c>
      <c r="D30" s="1">
        <f>'User Interface'!$E$14*1000*'Optimization Results'!D30</f>
        <v>261.16438356164383</v>
      </c>
      <c r="E30" s="1">
        <f>'User Interface'!$E$20*1000*'Optimization Results'!E30</f>
        <v>0</v>
      </c>
      <c r="F30" s="1">
        <f>'User Interface'!$E$20*1000*'Optimization Results'!F30</f>
        <v>0</v>
      </c>
      <c r="G30" s="1">
        <f>'User Interface'!$E$29*1000*'Optimization Results'!G30</f>
        <v>0</v>
      </c>
      <c r="H30" s="1">
        <f>'User Interface'!$E$35*1000*'Optimization Results'!H30</f>
        <v>0</v>
      </c>
      <c r="I30" s="1">
        <f>'User Interface'!$E$39*1000*'Optimization Results'!I30</f>
        <v>0</v>
      </c>
      <c r="J30">
        <v>0</v>
      </c>
      <c r="K30" s="1"/>
      <c r="L30" s="1">
        <f t="shared" si="8"/>
        <v>261.16438356164383</v>
      </c>
      <c r="M30" s="1"/>
      <c r="N30" s="94">
        <f t="shared" si="9"/>
        <v>0</v>
      </c>
      <c r="O30" s="1"/>
      <c r="P30" s="1">
        <f t="shared" si="10"/>
        <v>261.16438356164383</v>
      </c>
      <c r="Q30" s="1">
        <f t="shared" si="11"/>
        <v>0</v>
      </c>
      <c r="S30" s="4">
        <v>0</v>
      </c>
      <c r="T30" s="4">
        <v>0</v>
      </c>
      <c r="U30" s="4">
        <v>0</v>
      </c>
      <c r="V30" s="4">
        <v>5</v>
      </c>
      <c r="W30" s="4">
        <v>256.16438356164383</v>
      </c>
      <c r="X30" s="4">
        <v>0</v>
      </c>
      <c r="Y30" s="4">
        <v>0</v>
      </c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F30">
        <f>(SUM('User Interface'!$E$14,'User Interface'!$E$20,'User Interface'!$E$29,'User Interface'!$E$35,'User Interface'!$E$39)*1000)+'PV Profiles'!B32</f>
        <v>15000</v>
      </c>
      <c r="EH30" s="143">
        <f t="shared" si="12"/>
        <v>261.16438356164383</v>
      </c>
      <c r="EJ30" s="37">
        <f t="shared" si="2"/>
        <v>261.16438356164383</v>
      </c>
      <c r="EK30" s="37">
        <f t="shared" si="3"/>
        <v>0</v>
      </c>
      <c r="EL30" s="37">
        <f t="shared" si="4"/>
        <v>0</v>
      </c>
      <c r="EM30" s="37">
        <f t="shared" si="5"/>
        <v>0</v>
      </c>
      <c r="EN30" s="37">
        <f t="shared" si="6"/>
        <v>0</v>
      </c>
      <c r="EO30" s="37">
        <f t="shared" si="7"/>
        <v>0</v>
      </c>
      <c r="EQ30" s="4"/>
      <c r="ER30" s="314"/>
    </row>
    <row r="31" spans="2:148" ht="14.25" customHeight="1" x14ac:dyDescent="0.3">
      <c r="B31" s="3">
        <f>IF('User Interface'!$C$127&gt;(COUNT($B$7:B30)/96),B30+0.0104166666666667,"")</f>
        <v>0.25000000000000094</v>
      </c>
      <c r="D31" s="1">
        <f>'User Interface'!$E$14*1000*'Optimization Results'!D31</f>
        <v>5405</v>
      </c>
      <c r="E31" s="1">
        <f>'User Interface'!$E$20*1000*'Optimization Results'!E31</f>
        <v>0</v>
      </c>
      <c r="F31" s="1">
        <f>'User Interface'!$E$20*1000*'Optimization Results'!F31</f>
        <v>0</v>
      </c>
      <c r="G31" s="1">
        <f>'User Interface'!$E$29*1000*'Optimization Results'!G31</f>
        <v>0</v>
      </c>
      <c r="H31" s="1">
        <f>'User Interface'!$E$35*1000*'Optimization Results'!H31</f>
        <v>0</v>
      </c>
      <c r="I31" s="1">
        <f>'User Interface'!$E$39*1000*'Optimization Results'!I31</f>
        <v>0</v>
      </c>
      <c r="J31">
        <v>0</v>
      </c>
      <c r="K31" s="1"/>
      <c r="L31" s="1">
        <f t="shared" si="8"/>
        <v>5405</v>
      </c>
      <c r="M31" s="1"/>
      <c r="N31" s="94">
        <f t="shared" si="9"/>
        <v>0</v>
      </c>
      <c r="O31" s="1"/>
      <c r="P31" s="1">
        <f t="shared" si="10"/>
        <v>5405</v>
      </c>
      <c r="Q31" s="1">
        <f t="shared" si="11"/>
        <v>0</v>
      </c>
      <c r="S31" s="4">
        <v>5400</v>
      </c>
      <c r="T31" s="4">
        <v>0</v>
      </c>
      <c r="U31" s="4">
        <v>0</v>
      </c>
      <c r="V31" s="4">
        <v>5</v>
      </c>
      <c r="W31" s="4">
        <v>0</v>
      </c>
      <c r="X31" s="4">
        <v>0</v>
      </c>
      <c r="Y31" s="4">
        <v>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F31">
        <f>(SUM('User Interface'!$E$14,'User Interface'!$E$20,'User Interface'!$E$29,'User Interface'!$E$35,'User Interface'!$E$39)*1000)+'PV Profiles'!B33</f>
        <v>15000</v>
      </c>
      <c r="EH31" s="143">
        <f t="shared" si="12"/>
        <v>5405</v>
      </c>
      <c r="EJ31" s="37">
        <f t="shared" si="2"/>
        <v>5405</v>
      </c>
      <c r="EK31" s="37">
        <f t="shared" si="3"/>
        <v>0</v>
      </c>
      <c r="EL31" s="37">
        <f t="shared" si="4"/>
        <v>0</v>
      </c>
      <c r="EM31" s="37">
        <f t="shared" si="5"/>
        <v>0</v>
      </c>
      <c r="EN31" s="37">
        <f t="shared" si="6"/>
        <v>0</v>
      </c>
      <c r="EO31" s="37">
        <f t="shared" si="7"/>
        <v>0</v>
      </c>
      <c r="EQ31" s="4"/>
      <c r="ER31" s="314"/>
    </row>
    <row r="32" spans="2:148" ht="14.25" customHeight="1" x14ac:dyDescent="0.3">
      <c r="B32" s="3">
        <f>IF('User Interface'!$C$127&gt;(COUNT($B$7:B31)/96),B31+0.0104166666666667,"")</f>
        <v>0.26041666666666763</v>
      </c>
      <c r="D32" s="1">
        <f>'User Interface'!$E$14*1000*'Optimization Results'!D32</f>
        <v>5405</v>
      </c>
      <c r="E32" s="1">
        <f>'User Interface'!$E$20*1000*'Optimization Results'!E32</f>
        <v>0</v>
      </c>
      <c r="F32" s="1">
        <f>'User Interface'!$E$20*1000*'Optimization Results'!F32</f>
        <v>0</v>
      </c>
      <c r="G32" s="1">
        <f>'User Interface'!$E$29*1000*'Optimization Results'!G32</f>
        <v>0</v>
      </c>
      <c r="H32" s="1">
        <f>'User Interface'!$E$35*1000*'Optimization Results'!H32</f>
        <v>0</v>
      </c>
      <c r="I32" s="1">
        <f>'User Interface'!$E$39*1000*'Optimization Results'!I32</f>
        <v>0</v>
      </c>
      <c r="J32">
        <v>0</v>
      </c>
      <c r="K32" s="1"/>
      <c r="L32" s="1">
        <f t="shared" si="8"/>
        <v>5405</v>
      </c>
      <c r="M32" s="1"/>
      <c r="N32" s="94">
        <f t="shared" si="9"/>
        <v>0</v>
      </c>
      <c r="O32" s="1"/>
      <c r="P32" s="1">
        <f t="shared" si="10"/>
        <v>5405</v>
      </c>
      <c r="Q32" s="1">
        <f t="shared" si="11"/>
        <v>0</v>
      </c>
      <c r="S32" s="4">
        <v>5400</v>
      </c>
      <c r="T32" s="4">
        <v>0</v>
      </c>
      <c r="U32" s="4">
        <v>0</v>
      </c>
      <c r="V32" s="4">
        <v>5</v>
      </c>
      <c r="W32" s="4">
        <v>0</v>
      </c>
      <c r="X32" s="4">
        <v>0</v>
      </c>
      <c r="Y32" s="4">
        <v>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F32">
        <f>(SUM('User Interface'!$E$14,'User Interface'!$E$20,'User Interface'!$E$29,'User Interface'!$E$35,'User Interface'!$E$39)*1000)+'PV Profiles'!B34</f>
        <v>15000</v>
      </c>
      <c r="EH32" s="143">
        <f t="shared" si="12"/>
        <v>5405</v>
      </c>
      <c r="EJ32" s="37">
        <f t="shared" si="2"/>
        <v>5405</v>
      </c>
      <c r="EK32" s="37">
        <f t="shared" si="3"/>
        <v>0</v>
      </c>
      <c r="EL32" s="37">
        <f t="shared" si="4"/>
        <v>0</v>
      </c>
      <c r="EM32" s="37">
        <f t="shared" si="5"/>
        <v>0</v>
      </c>
      <c r="EN32" s="37">
        <f t="shared" si="6"/>
        <v>0</v>
      </c>
      <c r="EO32" s="37">
        <f t="shared" si="7"/>
        <v>0</v>
      </c>
      <c r="EQ32" s="4"/>
      <c r="ER32" s="314"/>
    </row>
    <row r="33" spans="2:148" ht="14.25" customHeight="1" x14ac:dyDescent="0.3">
      <c r="B33" s="3">
        <f>IF('User Interface'!$C$127&gt;(COUNT($B$7:B32)/96),B32+0.0104166666666667,"")</f>
        <v>0.27083333333333431</v>
      </c>
      <c r="D33" s="1">
        <f>'User Interface'!$E$14*1000*'Optimization Results'!D33</f>
        <v>5661.1643835616442</v>
      </c>
      <c r="E33" s="1">
        <f>'User Interface'!$E$20*1000*'Optimization Results'!E33</f>
        <v>0</v>
      </c>
      <c r="F33" s="1">
        <f>'User Interface'!$E$20*1000*'Optimization Results'!F33</f>
        <v>0</v>
      </c>
      <c r="G33" s="1">
        <f>'User Interface'!$E$29*1000*'Optimization Results'!G33</f>
        <v>0</v>
      </c>
      <c r="H33" s="1">
        <f>'User Interface'!$E$35*1000*'Optimization Results'!H33</f>
        <v>0</v>
      </c>
      <c r="I33" s="1">
        <f>'User Interface'!$E$39*1000*'Optimization Results'!I33</f>
        <v>0</v>
      </c>
      <c r="J33">
        <v>0</v>
      </c>
      <c r="K33" s="1"/>
      <c r="L33" s="1">
        <f t="shared" si="8"/>
        <v>5661.1643835616442</v>
      </c>
      <c r="M33" s="1"/>
      <c r="N33" s="94">
        <f t="shared" si="9"/>
        <v>0</v>
      </c>
      <c r="O33" s="1"/>
      <c r="P33" s="1">
        <f t="shared" si="10"/>
        <v>5661.1643835616442</v>
      </c>
      <c r="Q33" s="1">
        <f t="shared" si="11"/>
        <v>512.32876712328766</v>
      </c>
      <c r="S33" s="4">
        <v>5400</v>
      </c>
      <c r="T33" s="4">
        <v>0</v>
      </c>
      <c r="U33" s="4">
        <v>0</v>
      </c>
      <c r="V33" s="4">
        <v>5</v>
      </c>
      <c r="W33" s="4">
        <v>256.16438356164383</v>
      </c>
      <c r="X33" s="4">
        <v>0</v>
      </c>
      <c r="Y33" s="4">
        <v>0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Y33" s="4">
        <v>0</v>
      </c>
      <c r="BZ33" s="4">
        <v>0</v>
      </c>
      <c r="CA33" s="4">
        <v>0</v>
      </c>
      <c r="CB33" s="4">
        <v>0</v>
      </c>
      <c r="CC33" s="4">
        <v>512.32876712328766</v>
      </c>
      <c r="CD33" s="4">
        <v>0</v>
      </c>
      <c r="CE33" s="4">
        <v>0</v>
      </c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F33">
        <f>(SUM('User Interface'!$E$14,'User Interface'!$E$20,'User Interface'!$E$29,'User Interface'!$E$35,'User Interface'!$E$39)*1000)+'PV Profiles'!B35</f>
        <v>15000</v>
      </c>
      <c r="EH33" s="143">
        <f t="shared" si="12"/>
        <v>6173.4931506849316</v>
      </c>
      <c r="EJ33" s="37">
        <f t="shared" si="2"/>
        <v>5661.1643835616442</v>
      </c>
      <c r="EK33" s="37">
        <f t="shared" si="3"/>
        <v>0</v>
      </c>
      <c r="EL33" s="37">
        <f t="shared" si="4"/>
        <v>0</v>
      </c>
      <c r="EM33" s="37">
        <f t="shared" si="5"/>
        <v>0</v>
      </c>
      <c r="EN33" s="37">
        <f t="shared" si="6"/>
        <v>0</v>
      </c>
      <c r="EO33" s="37">
        <f t="shared" si="7"/>
        <v>0</v>
      </c>
      <c r="EQ33" s="4"/>
      <c r="ER33" s="314"/>
    </row>
    <row r="34" spans="2:148" ht="14.25" customHeight="1" x14ac:dyDescent="0.3">
      <c r="B34" s="3">
        <f>IF('User Interface'!$C$127&gt;(COUNT($B$7:B33)/96),B33+0.0104166666666667,"")</f>
        <v>0.281250000000001</v>
      </c>
      <c r="D34" s="1">
        <f>'User Interface'!$E$14*1000*'Optimization Results'!D34</f>
        <v>261.16438356164383</v>
      </c>
      <c r="E34" s="1">
        <f>'User Interface'!$E$20*1000*'Optimization Results'!E34</f>
        <v>0</v>
      </c>
      <c r="F34" s="1">
        <f>'User Interface'!$E$20*1000*'Optimization Results'!F34</f>
        <v>0</v>
      </c>
      <c r="G34" s="1">
        <f>'User Interface'!$E$29*1000*'Optimization Results'!G34</f>
        <v>0</v>
      </c>
      <c r="H34" s="1">
        <f>'User Interface'!$E$35*1000*'Optimization Results'!H34</f>
        <v>0</v>
      </c>
      <c r="I34" s="1">
        <f>'User Interface'!$E$39*1000*'Optimization Results'!I34</f>
        <v>0</v>
      </c>
      <c r="J34">
        <v>0</v>
      </c>
      <c r="K34" s="1"/>
      <c r="L34" s="1">
        <f t="shared" si="8"/>
        <v>261.16438356164383</v>
      </c>
      <c r="M34" s="1"/>
      <c r="N34" s="94">
        <f t="shared" si="9"/>
        <v>0</v>
      </c>
      <c r="O34" s="1"/>
      <c r="P34" s="1">
        <f t="shared" si="10"/>
        <v>261.16438356164383</v>
      </c>
      <c r="Q34" s="1">
        <f t="shared" si="11"/>
        <v>0</v>
      </c>
      <c r="S34" s="4">
        <v>0</v>
      </c>
      <c r="T34" s="4">
        <v>0</v>
      </c>
      <c r="U34" s="4">
        <v>0</v>
      </c>
      <c r="V34" s="4">
        <v>5</v>
      </c>
      <c r="W34" s="4">
        <v>256.16438356164383</v>
      </c>
      <c r="X34" s="4">
        <v>0</v>
      </c>
      <c r="Y34" s="4">
        <v>0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F34">
        <f>(SUM('User Interface'!$E$14,'User Interface'!$E$20,'User Interface'!$E$29,'User Interface'!$E$35,'User Interface'!$E$39)*1000)+'PV Profiles'!B36</f>
        <v>15000</v>
      </c>
      <c r="EH34" s="143">
        <f t="shared" si="12"/>
        <v>261.16438356164383</v>
      </c>
      <c r="EJ34" s="37">
        <f t="shared" si="2"/>
        <v>261.16438356164383</v>
      </c>
      <c r="EK34" s="37">
        <f t="shared" si="3"/>
        <v>0</v>
      </c>
      <c r="EL34" s="37">
        <f t="shared" si="4"/>
        <v>0</v>
      </c>
      <c r="EM34" s="37">
        <f t="shared" si="5"/>
        <v>0</v>
      </c>
      <c r="EN34" s="37">
        <f t="shared" si="6"/>
        <v>0</v>
      </c>
      <c r="EO34" s="37">
        <f t="shared" si="7"/>
        <v>0</v>
      </c>
      <c r="EQ34" s="4"/>
      <c r="ER34" s="314"/>
    </row>
    <row r="35" spans="2:148" ht="14.25" customHeight="1" x14ac:dyDescent="0.3">
      <c r="B35" s="3">
        <f>IF('User Interface'!$C$127&gt;(COUNT($B$7:B34)/96),B34+0.0104166666666667,"")</f>
        <v>0.29166666666666768</v>
      </c>
      <c r="D35" s="1">
        <f>'User Interface'!$E$14*1000*'Optimization Results'!D35</f>
        <v>5405</v>
      </c>
      <c r="E35" s="1">
        <f>'User Interface'!$E$20*1000*'Optimization Results'!E35</f>
        <v>0</v>
      </c>
      <c r="F35" s="1">
        <f>'User Interface'!$E$20*1000*'Optimization Results'!F35</f>
        <v>0</v>
      </c>
      <c r="G35" s="1">
        <f>'User Interface'!$E$29*1000*'Optimization Results'!G35</f>
        <v>0</v>
      </c>
      <c r="H35" s="1">
        <f>'User Interface'!$E$35*1000*'Optimization Results'!H35</f>
        <v>0</v>
      </c>
      <c r="I35" s="1">
        <f>'User Interface'!$E$39*1000*'Optimization Results'!I35</f>
        <v>0</v>
      </c>
      <c r="J35">
        <v>0</v>
      </c>
      <c r="K35" s="1"/>
      <c r="L35" s="1">
        <f t="shared" si="8"/>
        <v>5405</v>
      </c>
      <c r="M35" s="1"/>
      <c r="N35" s="94">
        <f t="shared" si="9"/>
        <v>0</v>
      </c>
      <c r="O35" s="1"/>
      <c r="P35" s="1">
        <f t="shared" si="10"/>
        <v>5405</v>
      </c>
      <c r="Q35" s="1">
        <f t="shared" si="11"/>
        <v>0</v>
      </c>
      <c r="S35" s="4">
        <v>5400</v>
      </c>
      <c r="T35" s="4">
        <v>0</v>
      </c>
      <c r="U35" s="4">
        <v>0</v>
      </c>
      <c r="V35" s="4">
        <v>5</v>
      </c>
      <c r="W35" s="4">
        <v>0</v>
      </c>
      <c r="X35" s="4">
        <v>0</v>
      </c>
      <c r="Y35" s="4">
        <v>0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F35">
        <f>(SUM('User Interface'!$E$14,'User Interface'!$E$20,'User Interface'!$E$29,'User Interface'!$E$35,'User Interface'!$E$39)*1000)+'PV Profiles'!B37</f>
        <v>15000</v>
      </c>
      <c r="EH35" s="143">
        <f t="shared" si="12"/>
        <v>5405</v>
      </c>
      <c r="EJ35" s="37">
        <f t="shared" si="2"/>
        <v>5405</v>
      </c>
      <c r="EK35" s="37">
        <f t="shared" si="3"/>
        <v>0</v>
      </c>
      <c r="EL35" s="37">
        <f t="shared" si="4"/>
        <v>0</v>
      </c>
      <c r="EM35" s="37">
        <f t="shared" si="5"/>
        <v>0</v>
      </c>
      <c r="EN35" s="37">
        <f t="shared" si="6"/>
        <v>0</v>
      </c>
      <c r="EO35" s="37">
        <f t="shared" si="7"/>
        <v>0</v>
      </c>
      <c r="EQ35" s="4"/>
      <c r="ER35" s="314"/>
    </row>
    <row r="36" spans="2:148" ht="14.25" customHeight="1" x14ac:dyDescent="0.3">
      <c r="B36" s="3">
        <f>IF('User Interface'!$C$127&gt;(COUNT($B$7:B35)/96),B35+0.0104166666666667,"")</f>
        <v>0.30208333333333437</v>
      </c>
      <c r="D36" s="1">
        <f>'User Interface'!$E$14*1000*'Optimization Results'!D36</f>
        <v>5405</v>
      </c>
      <c r="E36" s="1">
        <f>'User Interface'!$E$20*1000*'Optimization Results'!E36</f>
        <v>0</v>
      </c>
      <c r="F36" s="1">
        <f>'User Interface'!$E$20*1000*'Optimization Results'!F36</f>
        <v>0</v>
      </c>
      <c r="G36" s="1">
        <f>'User Interface'!$E$29*1000*'Optimization Results'!G36</f>
        <v>0</v>
      </c>
      <c r="H36" s="1">
        <f>'User Interface'!$E$35*1000*'Optimization Results'!H36</f>
        <v>0</v>
      </c>
      <c r="I36" s="1">
        <f>'User Interface'!$E$39*1000*'Optimization Results'!I36</f>
        <v>0</v>
      </c>
      <c r="J36">
        <v>0</v>
      </c>
      <c r="K36" s="1"/>
      <c r="L36" s="1">
        <f t="shared" si="8"/>
        <v>5405</v>
      </c>
      <c r="M36" s="1"/>
      <c r="N36" s="94">
        <f t="shared" si="9"/>
        <v>0</v>
      </c>
      <c r="O36" s="1"/>
      <c r="P36" s="1">
        <f t="shared" si="10"/>
        <v>5405</v>
      </c>
      <c r="Q36" s="1">
        <f t="shared" si="11"/>
        <v>0</v>
      </c>
      <c r="S36" s="4">
        <v>5400</v>
      </c>
      <c r="T36" s="4">
        <v>0</v>
      </c>
      <c r="U36" s="4">
        <v>0</v>
      </c>
      <c r="V36" s="4">
        <v>5</v>
      </c>
      <c r="W36" s="4">
        <v>0</v>
      </c>
      <c r="X36" s="4">
        <v>0</v>
      </c>
      <c r="Y36" s="4">
        <v>0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F36">
        <f>(SUM('User Interface'!$E$14,'User Interface'!$E$20,'User Interface'!$E$29,'User Interface'!$E$35,'User Interface'!$E$39)*1000)+'PV Profiles'!B38</f>
        <v>15000</v>
      </c>
      <c r="EH36" s="143">
        <f t="shared" si="12"/>
        <v>5405</v>
      </c>
      <c r="EJ36" s="37">
        <f t="shared" si="2"/>
        <v>5405</v>
      </c>
      <c r="EK36" s="37">
        <f t="shared" si="3"/>
        <v>0</v>
      </c>
      <c r="EL36" s="37">
        <f t="shared" si="4"/>
        <v>0</v>
      </c>
      <c r="EM36" s="37">
        <f t="shared" si="5"/>
        <v>0</v>
      </c>
      <c r="EN36" s="37">
        <f t="shared" si="6"/>
        <v>0</v>
      </c>
      <c r="EO36" s="37">
        <f t="shared" si="7"/>
        <v>0</v>
      </c>
      <c r="EQ36" s="4"/>
      <c r="ER36" s="314"/>
    </row>
    <row r="37" spans="2:148" ht="14.25" customHeight="1" x14ac:dyDescent="0.3">
      <c r="B37" s="3">
        <f>IF('User Interface'!$C$127&gt;(COUNT($B$7:B36)/96),B36+0.0104166666666667,"")</f>
        <v>0.31250000000000105</v>
      </c>
      <c r="D37" s="1">
        <f>'User Interface'!$E$14*1000*'Optimization Results'!D37</f>
        <v>5661.1643835616442</v>
      </c>
      <c r="E37" s="1">
        <f>'User Interface'!$E$20*1000*'Optimization Results'!E37</f>
        <v>0</v>
      </c>
      <c r="F37" s="1">
        <f>'User Interface'!$E$20*1000*'Optimization Results'!F37</f>
        <v>0</v>
      </c>
      <c r="G37" s="1">
        <f>'User Interface'!$E$29*1000*'Optimization Results'!G37</f>
        <v>0</v>
      </c>
      <c r="H37" s="1">
        <f>'User Interface'!$E$35*1000*'Optimization Results'!H37</f>
        <v>0</v>
      </c>
      <c r="I37" s="1">
        <f>'User Interface'!$E$39*1000*'Optimization Results'!I37</f>
        <v>0</v>
      </c>
      <c r="J37">
        <v>0</v>
      </c>
      <c r="K37" s="1"/>
      <c r="L37" s="1">
        <f t="shared" si="8"/>
        <v>5661.1643835616442</v>
      </c>
      <c r="M37" s="1"/>
      <c r="N37" s="94">
        <f t="shared" si="9"/>
        <v>0</v>
      </c>
      <c r="O37" s="1"/>
      <c r="P37" s="1">
        <f t="shared" si="10"/>
        <v>5661.1643835616442</v>
      </c>
      <c r="Q37" s="1">
        <f t="shared" si="11"/>
        <v>512.32876712328766</v>
      </c>
      <c r="S37" s="4">
        <v>5400</v>
      </c>
      <c r="T37" s="4">
        <v>0</v>
      </c>
      <c r="U37" s="4">
        <v>0</v>
      </c>
      <c r="V37" s="4">
        <v>5</v>
      </c>
      <c r="W37" s="4">
        <v>256.16438356164383</v>
      </c>
      <c r="X37" s="4">
        <v>0</v>
      </c>
      <c r="Y37" s="4">
        <v>0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Y37" s="4">
        <v>0</v>
      </c>
      <c r="BZ37" s="4">
        <v>0</v>
      </c>
      <c r="CA37" s="4">
        <v>0</v>
      </c>
      <c r="CB37" s="4">
        <v>0</v>
      </c>
      <c r="CC37" s="4">
        <v>512.32876712328766</v>
      </c>
      <c r="CD37" s="4">
        <v>0</v>
      </c>
      <c r="CE37" s="4">
        <v>0</v>
      </c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F37">
        <f>(SUM('User Interface'!$E$14,'User Interface'!$E$20,'User Interface'!$E$29,'User Interface'!$E$35,'User Interface'!$E$39)*1000)+'PV Profiles'!B39</f>
        <v>15000</v>
      </c>
      <c r="EH37" s="143">
        <f t="shared" si="12"/>
        <v>6173.4931506849316</v>
      </c>
      <c r="EJ37" s="37">
        <f t="shared" si="2"/>
        <v>5661.1643835616442</v>
      </c>
      <c r="EK37" s="37">
        <f t="shared" si="3"/>
        <v>0</v>
      </c>
      <c r="EL37" s="37">
        <f t="shared" si="4"/>
        <v>0</v>
      </c>
      <c r="EM37" s="37">
        <f t="shared" si="5"/>
        <v>0</v>
      </c>
      <c r="EN37" s="37">
        <f t="shared" si="6"/>
        <v>0</v>
      </c>
      <c r="EO37" s="37">
        <f t="shared" si="7"/>
        <v>0</v>
      </c>
      <c r="EQ37" s="4"/>
      <c r="ER37" s="314"/>
    </row>
    <row r="38" spans="2:148" ht="14.25" customHeight="1" x14ac:dyDescent="0.3">
      <c r="B38" s="3">
        <f>IF('User Interface'!$C$127&gt;(COUNT($B$7:B37)/96),B37+0.0104166666666667,"")</f>
        <v>0.32291666666666774</v>
      </c>
      <c r="D38" s="1">
        <f>'User Interface'!$E$14*1000*'Optimization Results'!D38</f>
        <v>261.16438356164383</v>
      </c>
      <c r="E38" s="1">
        <f>'User Interface'!$E$20*1000*'Optimization Results'!E38</f>
        <v>0</v>
      </c>
      <c r="F38" s="1">
        <f>'User Interface'!$E$20*1000*'Optimization Results'!F38</f>
        <v>0</v>
      </c>
      <c r="G38" s="1">
        <f>'User Interface'!$E$29*1000*'Optimization Results'!G38</f>
        <v>0</v>
      </c>
      <c r="H38" s="1">
        <f>'User Interface'!$E$35*1000*'Optimization Results'!H38</f>
        <v>0</v>
      </c>
      <c r="I38" s="1">
        <f>'User Interface'!$E$39*1000*'Optimization Results'!I38</f>
        <v>0</v>
      </c>
      <c r="J38">
        <v>0</v>
      </c>
      <c r="K38" s="1"/>
      <c r="L38" s="1">
        <f t="shared" si="8"/>
        <v>261.16438356164383</v>
      </c>
      <c r="M38" s="1"/>
      <c r="N38" s="94">
        <f t="shared" si="9"/>
        <v>0</v>
      </c>
      <c r="O38" s="1"/>
      <c r="P38" s="1">
        <f t="shared" si="10"/>
        <v>261.16438356164383</v>
      </c>
      <c r="Q38" s="1">
        <f t="shared" si="11"/>
        <v>0</v>
      </c>
      <c r="S38" s="4">
        <v>0</v>
      </c>
      <c r="T38" s="4">
        <v>0</v>
      </c>
      <c r="U38" s="4">
        <v>0</v>
      </c>
      <c r="V38" s="4">
        <v>5</v>
      </c>
      <c r="W38" s="4">
        <v>256.16438356164383</v>
      </c>
      <c r="X38" s="4">
        <v>0</v>
      </c>
      <c r="Y38" s="4">
        <v>0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F38">
        <f>(SUM('User Interface'!$E$14,'User Interface'!$E$20,'User Interface'!$E$29,'User Interface'!$E$35,'User Interface'!$E$39)*1000)+'PV Profiles'!B40</f>
        <v>15000</v>
      </c>
      <c r="EH38" s="143">
        <f t="shared" si="12"/>
        <v>261.16438356164383</v>
      </c>
      <c r="EJ38" s="37">
        <f t="shared" si="2"/>
        <v>261.16438356164383</v>
      </c>
      <c r="EK38" s="37">
        <f t="shared" si="3"/>
        <v>0</v>
      </c>
      <c r="EL38" s="37">
        <f t="shared" si="4"/>
        <v>0</v>
      </c>
      <c r="EM38" s="37">
        <f t="shared" si="5"/>
        <v>0</v>
      </c>
      <c r="EN38" s="37">
        <f t="shared" si="6"/>
        <v>0</v>
      </c>
      <c r="EO38" s="37">
        <f t="shared" si="7"/>
        <v>0</v>
      </c>
      <c r="EQ38" s="4"/>
      <c r="ER38" s="314"/>
    </row>
    <row r="39" spans="2:148" ht="14.25" customHeight="1" x14ac:dyDescent="0.3">
      <c r="B39" s="3">
        <f>IF('User Interface'!$C$127&gt;(COUNT($B$7:B38)/96),B38+0.0104166666666667,"")</f>
        <v>0.33333333333333443</v>
      </c>
      <c r="D39" s="1">
        <f>'User Interface'!$E$14*1000*'Optimization Results'!D39</f>
        <v>0</v>
      </c>
      <c r="E39" s="1">
        <f>'User Interface'!$E$20*1000*'Optimization Results'!E39</f>
        <v>0</v>
      </c>
      <c r="F39" s="1">
        <f>'User Interface'!$E$20*1000*'Optimization Results'!F39</f>
        <v>0</v>
      </c>
      <c r="G39" s="1">
        <f>'User Interface'!$E$29*1000*'Optimization Results'!G39</f>
        <v>4544.4838399999999</v>
      </c>
      <c r="H39" s="1">
        <f>'User Interface'!$E$35*1000*'Optimization Results'!H39</f>
        <v>0</v>
      </c>
      <c r="I39" s="1">
        <f>'User Interface'!$E$39*1000*'Optimization Results'!I39</f>
        <v>0</v>
      </c>
      <c r="J39">
        <v>860.51615999999979</v>
      </c>
      <c r="K39" s="1"/>
      <c r="L39" s="1">
        <f t="shared" si="8"/>
        <v>5405</v>
      </c>
      <c r="M39" s="1"/>
      <c r="N39" s="94">
        <f t="shared" si="9"/>
        <v>0</v>
      </c>
      <c r="O39" s="1"/>
      <c r="P39" s="1">
        <f t="shared" si="10"/>
        <v>5405</v>
      </c>
      <c r="Q39" s="1">
        <f t="shared" si="11"/>
        <v>0</v>
      </c>
      <c r="S39" s="4">
        <v>5400</v>
      </c>
      <c r="T39" s="4">
        <v>0</v>
      </c>
      <c r="U39" s="4">
        <v>0</v>
      </c>
      <c r="V39" s="4">
        <v>5</v>
      </c>
      <c r="W39" s="4">
        <v>0</v>
      </c>
      <c r="X39" s="4">
        <v>0</v>
      </c>
      <c r="Y39" s="4">
        <v>0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F39">
        <f>(SUM('User Interface'!$E$14,'User Interface'!$E$20,'User Interface'!$E$29,'User Interface'!$E$35,'User Interface'!$E$39)*1000)+'PV Profiles'!B41</f>
        <v>15860.516159999999</v>
      </c>
      <c r="EH39" s="143">
        <f t="shared" ref="EH39:EH71" si="13">SUM(P39:Q39)</f>
        <v>5405</v>
      </c>
      <c r="EJ39" s="37">
        <f t="shared" ref="EJ39:EJ70" si="14">IF(D39&gt;0,D39,0)</f>
        <v>0</v>
      </c>
      <c r="EK39" s="37">
        <f t="shared" ref="EK39:EK71" si="15">IF(F39&gt;0,F39,0)</f>
        <v>0</v>
      </c>
      <c r="EL39" s="37">
        <f t="shared" ref="EL39:EL71" si="16">IF(G39&gt;0,G39,0)</f>
        <v>4544.4838399999999</v>
      </c>
      <c r="EM39" s="37">
        <f t="shared" ref="EM39:EM70" si="17">IF(D39&lt;0,D39,0)</f>
        <v>0</v>
      </c>
      <c r="EN39" s="37">
        <f t="shared" ref="EN39:EN71" si="18">IF(F39&lt;0,F39,0)</f>
        <v>0</v>
      </c>
      <c r="EO39" s="37">
        <f t="shared" ref="EO39:EO71" si="19">IF(G39&lt;0,G39,0)</f>
        <v>0</v>
      </c>
      <c r="EQ39" s="4"/>
      <c r="ER39" s="314"/>
    </row>
    <row r="40" spans="2:148" ht="14.25" customHeight="1" x14ac:dyDescent="0.3">
      <c r="B40" s="3">
        <f>IF('User Interface'!$C$127&gt;(COUNT($B$7:B39)/96),B39+0.0104166666666667,"")</f>
        <v>0.34375000000000111</v>
      </c>
      <c r="D40" s="1">
        <f>'User Interface'!$E$14*1000*'Optimization Results'!D40</f>
        <v>0</v>
      </c>
      <c r="E40" s="1">
        <f>'User Interface'!$E$20*1000*'Optimization Results'!E40</f>
        <v>0</v>
      </c>
      <c r="F40" s="1">
        <f>'User Interface'!$E$20*1000*'Optimization Results'!F40</f>
        <v>0</v>
      </c>
      <c r="G40" s="1">
        <f>'User Interface'!$E$29*1000*'Optimization Results'!G40</f>
        <v>4544.4838399999999</v>
      </c>
      <c r="H40" s="1">
        <f>'User Interface'!$E$35*1000*'Optimization Results'!H40</f>
        <v>0</v>
      </c>
      <c r="I40" s="1">
        <f>'User Interface'!$E$39*1000*'Optimization Results'!I40</f>
        <v>0</v>
      </c>
      <c r="J40">
        <v>860.51615999999979</v>
      </c>
      <c r="K40" s="1"/>
      <c r="L40" s="1">
        <f t="shared" si="8"/>
        <v>5405</v>
      </c>
      <c r="M40" s="1"/>
      <c r="N40" s="94">
        <f t="shared" si="9"/>
        <v>0</v>
      </c>
      <c r="O40" s="1"/>
      <c r="P40" s="1">
        <f t="shared" si="10"/>
        <v>5405</v>
      </c>
      <c r="Q40" s="1">
        <f t="shared" si="11"/>
        <v>0</v>
      </c>
      <c r="S40" s="4">
        <v>5400</v>
      </c>
      <c r="T40" s="4">
        <v>0</v>
      </c>
      <c r="U40" s="4">
        <v>0</v>
      </c>
      <c r="V40" s="4">
        <v>5</v>
      </c>
      <c r="W40" s="4">
        <v>0</v>
      </c>
      <c r="X40" s="4">
        <v>0</v>
      </c>
      <c r="Y40" s="4">
        <v>0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F40">
        <f>(SUM('User Interface'!$E$14,'User Interface'!$E$20,'User Interface'!$E$29,'User Interface'!$E$35,'User Interface'!$E$39)*1000)+'PV Profiles'!B42</f>
        <v>15860.516159999999</v>
      </c>
      <c r="EH40" s="143">
        <f t="shared" si="13"/>
        <v>5405</v>
      </c>
      <c r="EJ40" s="37">
        <f t="shared" si="14"/>
        <v>0</v>
      </c>
      <c r="EK40" s="37">
        <f t="shared" si="15"/>
        <v>0</v>
      </c>
      <c r="EL40" s="37">
        <f t="shared" si="16"/>
        <v>4544.4838399999999</v>
      </c>
      <c r="EM40" s="37">
        <f t="shared" si="17"/>
        <v>0</v>
      </c>
      <c r="EN40" s="37">
        <f t="shared" si="18"/>
        <v>0</v>
      </c>
      <c r="EO40" s="37">
        <f t="shared" si="19"/>
        <v>0</v>
      </c>
      <c r="EQ40" s="4"/>
      <c r="ER40" s="314"/>
    </row>
    <row r="41" spans="2:148" ht="14.25" customHeight="1" x14ac:dyDescent="0.3">
      <c r="B41" s="3">
        <f>IF('User Interface'!$C$127&gt;(COUNT($B$7:B40)/96),B40+0.0104166666666667,"")</f>
        <v>0.3541666666666678</v>
      </c>
      <c r="D41" s="1">
        <f>'User Interface'!$E$14*1000*'Optimization Results'!D41</f>
        <v>0</v>
      </c>
      <c r="E41" s="1">
        <f>'User Interface'!$E$20*1000*'Optimization Results'!E41</f>
        <v>0</v>
      </c>
      <c r="F41" s="1">
        <f>'User Interface'!$E$20*1000*'Optimization Results'!F41</f>
        <v>0</v>
      </c>
      <c r="G41" s="1">
        <f>'User Interface'!$E$29*1000*'Optimization Results'!G41</f>
        <v>550.64822356164404</v>
      </c>
      <c r="H41" s="1">
        <f>'User Interface'!$E$35*1000*'Optimization Results'!H41</f>
        <v>0</v>
      </c>
      <c r="I41" s="1">
        <f>'User Interface'!$E$39*1000*'Optimization Results'!I41</f>
        <v>0</v>
      </c>
      <c r="J41">
        <v>860.51615999999979</v>
      </c>
      <c r="K41" s="1"/>
      <c r="L41" s="1">
        <f t="shared" si="8"/>
        <v>1411.1643835616437</v>
      </c>
      <c r="M41" s="1"/>
      <c r="N41" s="94">
        <f t="shared" si="9"/>
        <v>0</v>
      </c>
      <c r="O41" s="1"/>
      <c r="P41" s="1">
        <f t="shared" si="10"/>
        <v>1411.1643835616437</v>
      </c>
      <c r="Q41" s="1">
        <f t="shared" si="11"/>
        <v>512.32876712328766</v>
      </c>
      <c r="S41" s="4">
        <v>0</v>
      </c>
      <c r="T41" s="4">
        <v>150</v>
      </c>
      <c r="U41" s="4">
        <v>1000</v>
      </c>
      <c r="V41" s="4">
        <v>5</v>
      </c>
      <c r="W41" s="4">
        <v>256.16438356164383</v>
      </c>
      <c r="X41" s="4">
        <v>0</v>
      </c>
      <c r="Y41" s="4">
        <v>0</v>
      </c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Y41" s="4">
        <v>0</v>
      </c>
      <c r="BZ41" s="4">
        <v>0</v>
      </c>
      <c r="CA41" s="4">
        <v>0</v>
      </c>
      <c r="CB41" s="4">
        <v>0</v>
      </c>
      <c r="CC41" s="4">
        <v>512.32876712328766</v>
      </c>
      <c r="CD41" s="4">
        <v>0</v>
      </c>
      <c r="CE41" s="4">
        <v>0</v>
      </c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F41">
        <f>(SUM('User Interface'!$E$14,'User Interface'!$E$20,'User Interface'!$E$29,'User Interface'!$E$35,'User Interface'!$E$39)*1000)+'PV Profiles'!B43</f>
        <v>15860.516159999999</v>
      </c>
      <c r="EH41" s="143">
        <f t="shared" si="13"/>
        <v>1923.4931506849314</v>
      </c>
      <c r="EJ41" s="37">
        <f t="shared" si="14"/>
        <v>0</v>
      </c>
      <c r="EK41" s="37">
        <f t="shared" si="15"/>
        <v>0</v>
      </c>
      <c r="EL41" s="37">
        <f t="shared" si="16"/>
        <v>550.64822356164404</v>
      </c>
      <c r="EM41" s="37">
        <f t="shared" si="17"/>
        <v>0</v>
      </c>
      <c r="EN41" s="37">
        <f t="shared" si="18"/>
        <v>0</v>
      </c>
      <c r="EO41" s="37">
        <f t="shared" si="19"/>
        <v>0</v>
      </c>
      <c r="EQ41" s="4"/>
      <c r="ER41" s="314"/>
    </row>
    <row r="42" spans="2:148" ht="14.25" customHeight="1" x14ac:dyDescent="0.3">
      <c r="B42" s="3">
        <f>IF('User Interface'!$C$127&gt;(COUNT($B$7:B41)/96),B41+0.0104166666666667,"")</f>
        <v>0.36458333333333448</v>
      </c>
      <c r="D42" s="1">
        <f>'User Interface'!$E$14*1000*'Optimization Results'!D42</f>
        <v>0</v>
      </c>
      <c r="E42" s="1">
        <f>'User Interface'!$E$20*1000*'Optimization Results'!E42</f>
        <v>0</v>
      </c>
      <c r="F42" s="1">
        <f>'User Interface'!$E$20*1000*'Optimization Results'!F42</f>
        <v>0</v>
      </c>
      <c r="G42" s="1">
        <f>'User Interface'!$E$29*1000*'Optimization Results'!G42</f>
        <v>550.64822356164404</v>
      </c>
      <c r="H42" s="1">
        <f>'User Interface'!$E$35*1000*'Optimization Results'!H42</f>
        <v>0</v>
      </c>
      <c r="I42" s="1">
        <f>'User Interface'!$E$39*1000*'Optimization Results'!I42</f>
        <v>0</v>
      </c>
      <c r="J42">
        <v>860.51615999999979</v>
      </c>
      <c r="K42" s="1"/>
      <c r="L42" s="1">
        <f t="shared" si="8"/>
        <v>1411.1643835616437</v>
      </c>
      <c r="M42" s="1"/>
      <c r="N42" s="94">
        <f t="shared" si="9"/>
        <v>0</v>
      </c>
      <c r="O42" s="1"/>
      <c r="P42" s="1">
        <f t="shared" si="10"/>
        <v>1411.1643835616437</v>
      </c>
      <c r="Q42" s="1">
        <f t="shared" si="11"/>
        <v>0</v>
      </c>
      <c r="S42" s="4">
        <v>0</v>
      </c>
      <c r="T42" s="4">
        <v>150</v>
      </c>
      <c r="U42" s="4">
        <v>1000</v>
      </c>
      <c r="V42" s="4">
        <v>5</v>
      </c>
      <c r="W42" s="4">
        <v>256.16438356164383</v>
      </c>
      <c r="X42" s="4">
        <v>0</v>
      </c>
      <c r="Y42" s="4">
        <v>0</v>
      </c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F42">
        <f>(SUM('User Interface'!$E$14,'User Interface'!$E$20,'User Interface'!$E$29,'User Interface'!$E$35,'User Interface'!$E$39)*1000)+'PV Profiles'!B44</f>
        <v>15860.516159999999</v>
      </c>
      <c r="EH42" s="143">
        <f t="shared" si="13"/>
        <v>1411.1643835616437</v>
      </c>
      <c r="EJ42" s="37">
        <f t="shared" si="14"/>
        <v>0</v>
      </c>
      <c r="EK42" s="37">
        <f t="shared" si="15"/>
        <v>0</v>
      </c>
      <c r="EL42" s="37">
        <f t="shared" si="16"/>
        <v>550.64822356164404</v>
      </c>
      <c r="EM42" s="37">
        <f t="shared" si="17"/>
        <v>0</v>
      </c>
      <c r="EN42" s="37">
        <f t="shared" si="18"/>
        <v>0</v>
      </c>
      <c r="EO42" s="37">
        <f t="shared" si="19"/>
        <v>0</v>
      </c>
      <c r="EQ42" s="4"/>
      <c r="ER42" s="314"/>
    </row>
    <row r="43" spans="2:148" ht="14.25" customHeight="1" x14ac:dyDescent="0.3">
      <c r="B43" s="3">
        <f>IF('User Interface'!$C$127&gt;(COUNT($B$7:B42)/96),B42+0.0104166666666667,"")</f>
        <v>0.37500000000000117</v>
      </c>
      <c r="D43" s="1">
        <f>'User Interface'!$E$14*1000*'Optimization Results'!D43</f>
        <v>0</v>
      </c>
      <c r="E43" s="1">
        <f>'User Interface'!$E$20*1000*'Optimization Results'!E43</f>
        <v>0</v>
      </c>
      <c r="F43" s="1">
        <f>'User Interface'!$E$20*1000*'Optimization Results'!F43</f>
        <v>0</v>
      </c>
      <c r="G43" s="1">
        <f>'User Interface'!$E$29*1000*'Optimization Results'!G43</f>
        <v>1528.7360000000008</v>
      </c>
      <c r="H43" s="1">
        <f>'User Interface'!$E$35*1000*'Optimization Results'!H43</f>
        <v>0</v>
      </c>
      <c r="I43" s="1">
        <f>'User Interface'!$E$39*1000*'Optimization Results'!I43</f>
        <v>0</v>
      </c>
      <c r="J43">
        <v>3876.2639999999992</v>
      </c>
      <c r="K43" s="1"/>
      <c r="L43" s="1">
        <f t="shared" si="8"/>
        <v>5405</v>
      </c>
      <c r="M43" s="1"/>
      <c r="N43" s="94">
        <f t="shared" si="9"/>
        <v>0</v>
      </c>
      <c r="O43" s="1"/>
      <c r="P43" s="1">
        <f t="shared" si="10"/>
        <v>5405</v>
      </c>
      <c r="Q43" s="1">
        <f t="shared" si="11"/>
        <v>0</v>
      </c>
      <c r="S43" s="4">
        <v>5400</v>
      </c>
      <c r="T43" s="4">
        <v>0</v>
      </c>
      <c r="U43" s="4">
        <v>0</v>
      </c>
      <c r="V43" s="4">
        <v>5</v>
      </c>
      <c r="W43" s="4">
        <v>0</v>
      </c>
      <c r="X43" s="4">
        <v>0</v>
      </c>
      <c r="Y43" s="4">
        <v>0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F43">
        <f>(SUM('User Interface'!$E$14,'User Interface'!$E$20,'User Interface'!$E$29,'User Interface'!$E$35,'User Interface'!$E$39)*1000)+'PV Profiles'!B45</f>
        <v>18876.263999999999</v>
      </c>
      <c r="EH43" s="143">
        <f t="shared" si="13"/>
        <v>5405</v>
      </c>
      <c r="EJ43" s="37">
        <f t="shared" si="14"/>
        <v>0</v>
      </c>
      <c r="EK43" s="37">
        <f t="shared" si="15"/>
        <v>0</v>
      </c>
      <c r="EL43" s="37">
        <f t="shared" si="16"/>
        <v>1528.7360000000008</v>
      </c>
      <c r="EM43" s="37">
        <f t="shared" si="17"/>
        <v>0</v>
      </c>
      <c r="EN43" s="37">
        <f t="shared" si="18"/>
        <v>0</v>
      </c>
      <c r="EO43" s="37">
        <f t="shared" si="19"/>
        <v>0</v>
      </c>
      <c r="EQ43" s="4"/>
      <c r="ER43" s="314"/>
    </row>
    <row r="44" spans="2:148" ht="14.25" customHeight="1" x14ac:dyDescent="0.3">
      <c r="B44" s="3">
        <f>IF('User Interface'!$C$127&gt;(COUNT($B$7:B43)/96),B43+0.0104166666666667,"")</f>
        <v>0.38541666666666785</v>
      </c>
      <c r="D44" s="1">
        <f>'User Interface'!$E$14*1000*'Optimization Results'!D44</f>
        <v>0</v>
      </c>
      <c r="E44" s="1">
        <f>'User Interface'!$E$20*1000*'Optimization Results'!E44</f>
        <v>0</v>
      </c>
      <c r="F44" s="1">
        <f>'User Interface'!$E$20*1000*'Optimization Results'!F44</f>
        <v>0</v>
      </c>
      <c r="G44" s="1">
        <f>'User Interface'!$E$29*1000*'Optimization Results'!G44</f>
        <v>1528.7360000000008</v>
      </c>
      <c r="H44" s="1">
        <f>'User Interface'!$E$35*1000*'Optimization Results'!H44</f>
        <v>0</v>
      </c>
      <c r="I44" s="1">
        <f>'User Interface'!$E$39*1000*'Optimization Results'!I44</f>
        <v>0</v>
      </c>
      <c r="J44">
        <v>3876.2639999999992</v>
      </c>
      <c r="K44" s="1"/>
      <c r="L44" s="1">
        <f t="shared" si="8"/>
        <v>5405</v>
      </c>
      <c r="M44" s="1"/>
      <c r="N44" s="94">
        <f t="shared" si="9"/>
        <v>0</v>
      </c>
      <c r="O44" s="1"/>
      <c r="P44" s="1">
        <f t="shared" si="10"/>
        <v>5405</v>
      </c>
      <c r="Q44" s="1">
        <f t="shared" si="11"/>
        <v>0</v>
      </c>
      <c r="S44" s="4">
        <v>5400</v>
      </c>
      <c r="T44" s="4">
        <v>0</v>
      </c>
      <c r="U44" s="4">
        <v>0</v>
      </c>
      <c r="V44" s="4">
        <v>5</v>
      </c>
      <c r="W44" s="4">
        <v>0</v>
      </c>
      <c r="X44" s="4">
        <v>0</v>
      </c>
      <c r="Y44" s="4">
        <v>0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F44">
        <f>(SUM('User Interface'!$E$14,'User Interface'!$E$20,'User Interface'!$E$29,'User Interface'!$E$35,'User Interface'!$E$39)*1000)+'PV Profiles'!B46</f>
        <v>18876.263999999999</v>
      </c>
      <c r="EH44" s="143">
        <f t="shared" si="13"/>
        <v>5405</v>
      </c>
      <c r="EJ44" s="37">
        <f t="shared" si="14"/>
        <v>0</v>
      </c>
      <c r="EK44" s="37">
        <f t="shared" si="15"/>
        <v>0</v>
      </c>
      <c r="EL44" s="37">
        <f t="shared" si="16"/>
        <v>1528.7360000000008</v>
      </c>
      <c r="EM44" s="37">
        <f t="shared" si="17"/>
        <v>0</v>
      </c>
      <c r="EN44" s="37">
        <f t="shared" si="18"/>
        <v>0</v>
      </c>
      <c r="EO44" s="37">
        <f t="shared" si="19"/>
        <v>0</v>
      </c>
      <c r="EQ44" s="4"/>
      <c r="ER44" s="314"/>
    </row>
    <row r="45" spans="2:148" ht="14.25" customHeight="1" x14ac:dyDescent="0.3">
      <c r="B45" s="3">
        <f>IF('User Interface'!$C$127&gt;(COUNT($B$7:B44)/96),B44+0.0104166666666667,"")</f>
        <v>0.39583333333333454</v>
      </c>
      <c r="D45" s="1">
        <f>'User Interface'!$E$14*1000*'Optimization Results'!D45</f>
        <v>0</v>
      </c>
      <c r="E45" s="1">
        <f>'User Interface'!$E$20*1000*'Optimization Results'!E45</f>
        <v>0</v>
      </c>
      <c r="F45" s="1">
        <f>'User Interface'!$E$20*1000*'Optimization Results'!F45</f>
        <v>0</v>
      </c>
      <c r="G45" s="1">
        <f>'User Interface'!$E$29*1000*'Optimization Results'!G45</f>
        <v>884.90038356164507</v>
      </c>
      <c r="H45" s="1">
        <f>'User Interface'!$E$35*1000*'Optimization Results'!H45</f>
        <v>0</v>
      </c>
      <c r="I45" s="1">
        <f>'User Interface'!$E$39*1000*'Optimization Results'!I45</f>
        <v>0</v>
      </c>
      <c r="J45">
        <v>3876.2639999999992</v>
      </c>
      <c r="K45" s="1"/>
      <c r="L45" s="1">
        <f t="shared" si="8"/>
        <v>4761.1643835616442</v>
      </c>
      <c r="M45" s="1"/>
      <c r="N45" s="94">
        <f t="shared" si="9"/>
        <v>0</v>
      </c>
      <c r="O45" s="1"/>
      <c r="P45" s="1">
        <f t="shared" si="10"/>
        <v>4761.1643835616442</v>
      </c>
      <c r="Q45" s="1">
        <f t="shared" si="11"/>
        <v>512.32876712328766</v>
      </c>
      <c r="S45" s="4">
        <v>0</v>
      </c>
      <c r="T45" s="4">
        <v>0</v>
      </c>
      <c r="U45" s="4">
        <v>0</v>
      </c>
      <c r="V45" s="4">
        <v>5</v>
      </c>
      <c r="W45" s="4">
        <v>256.16438356164383</v>
      </c>
      <c r="X45" s="4">
        <v>0</v>
      </c>
      <c r="Y45" s="4">
        <v>4500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Y45" s="4">
        <v>0</v>
      </c>
      <c r="BZ45" s="4">
        <v>0</v>
      </c>
      <c r="CA45" s="4">
        <v>0</v>
      </c>
      <c r="CB45" s="4">
        <v>0</v>
      </c>
      <c r="CC45" s="4">
        <v>512.32876712328766</v>
      </c>
      <c r="CD45" s="4">
        <v>0</v>
      </c>
      <c r="CE45" s="4">
        <v>0</v>
      </c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F45">
        <f>(SUM('User Interface'!$E$14,'User Interface'!$E$20,'User Interface'!$E$29,'User Interface'!$E$35,'User Interface'!$E$39)*1000)+'PV Profiles'!B47</f>
        <v>18876.263999999999</v>
      </c>
      <c r="EH45" s="143">
        <f t="shared" si="13"/>
        <v>5273.4931506849316</v>
      </c>
      <c r="EJ45" s="37">
        <f t="shared" si="14"/>
        <v>0</v>
      </c>
      <c r="EK45" s="37">
        <f t="shared" si="15"/>
        <v>0</v>
      </c>
      <c r="EL45" s="37">
        <f t="shared" si="16"/>
        <v>884.90038356164507</v>
      </c>
      <c r="EM45" s="37">
        <f t="shared" si="17"/>
        <v>0</v>
      </c>
      <c r="EN45" s="37">
        <f t="shared" si="18"/>
        <v>0</v>
      </c>
      <c r="EO45" s="37">
        <f t="shared" si="19"/>
        <v>0</v>
      </c>
      <c r="EQ45" s="4"/>
      <c r="ER45" s="314"/>
    </row>
    <row r="46" spans="2:148" ht="14.25" customHeight="1" x14ac:dyDescent="0.3">
      <c r="B46" s="3">
        <f>IF('User Interface'!$C$127&gt;(COUNT($B$7:B45)/96),B45+0.0104166666666667,"")</f>
        <v>0.40625000000000122</v>
      </c>
      <c r="D46" s="1">
        <f>'User Interface'!$E$14*1000*'Optimization Results'!D46</f>
        <v>0</v>
      </c>
      <c r="E46" s="1">
        <f>'User Interface'!$E$20*1000*'Optimization Results'!E46</f>
        <v>0</v>
      </c>
      <c r="F46" s="1">
        <f>'User Interface'!$E$20*1000*'Optimization Results'!F46</f>
        <v>0</v>
      </c>
      <c r="G46" s="1">
        <f>'User Interface'!$E$29*1000*'Optimization Results'!G46</f>
        <v>-3465.099616438355</v>
      </c>
      <c r="H46" s="1">
        <f>'User Interface'!$E$35*1000*'Optimization Results'!H46</f>
        <v>0</v>
      </c>
      <c r="I46" s="1">
        <f>'User Interface'!$E$39*1000*'Optimization Results'!I46</f>
        <v>0</v>
      </c>
      <c r="J46">
        <v>3876.2639999999992</v>
      </c>
      <c r="K46" s="1"/>
      <c r="L46" s="1">
        <f t="shared" si="8"/>
        <v>411.16438356164417</v>
      </c>
      <c r="M46" s="1"/>
      <c r="N46" s="94">
        <f t="shared" si="9"/>
        <v>0</v>
      </c>
      <c r="O46" s="1"/>
      <c r="P46" s="1">
        <f t="shared" si="10"/>
        <v>411.16438356164383</v>
      </c>
      <c r="Q46" s="1">
        <f t="shared" si="11"/>
        <v>0</v>
      </c>
      <c r="S46" s="4">
        <v>0</v>
      </c>
      <c r="T46" s="4">
        <v>150</v>
      </c>
      <c r="U46" s="4">
        <v>0</v>
      </c>
      <c r="V46" s="4">
        <v>5</v>
      </c>
      <c r="W46" s="4">
        <v>256.16438356164383</v>
      </c>
      <c r="X46" s="4">
        <v>0</v>
      </c>
      <c r="Y46" s="4">
        <v>0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F46">
        <f>(SUM('User Interface'!$E$14,'User Interface'!$E$20,'User Interface'!$E$29,'User Interface'!$E$35,'User Interface'!$E$39)*1000)+'PV Profiles'!B48</f>
        <v>18876.263999999999</v>
      </c>
      <c r="EH46" s="143">
        <f t="shared" si="13"/>
        <v>411.16438356164383</v>
      </c>
      <c r="EJ46" s="37">
        <f t="shared" si="14"/>
        <v>0</v>
      </c>
      <c r="EK46" s="37">
        <f t="shared" si="15"/>
        <v>0</v>
      </c>
      <c r="EL46" s="37">
        <f t="shared" si="16"/>
        <v>0</v>
      </c>
      <c r="EM46" s="37">
        <f t="shared" si="17"/>
        <v>0</v>
      </c>
      <c r="EN46" s="37">
        <f t="shared" si="18"/>
        <v>0</v>
      </c>
      <c r="EO46" s="37">
        <f t="shared" si="19"/>
        <v>-3465.099616438355</v>
      </c>
      <c r="EQ46" s="4"/>
      <c r="ER46" s="314"/>
    </row>
    <row r="47" spans="2:148" ht="14.25" customHeight="1" x14ac:dyDescent="0.3">
      <c r="B47" s="3">
        <f>IF('User Interface'!$C$127&gt;(COUNT($B$7:B46)/96),B46+0.0104166666666667,"")</f>
        <v>0.41666666666666791</v>
      </c>
      <c r="D47" s="1">
        <f>'User Interface'!$E$14*1000*'Optimization Results'!D47</f>
        <v>0</v>
      </c>
      <c r="E47" s="1">
        <f>'User Interface'!$E$20*1000*'Optimization Results'!E47</f>
        <v>0</v>
      </c>
      <c r="F47" s="1">
        <f>'User Interface'!$E$20*1000*'Optimization Results'!F47</f>
        <v>0</v>
      </c>
      <c r="G47" s="1">
        <f>'User Interface'!$E$29*1000*'Optimization Results'!G47</f>
        <v>-746.00639999999999</v>
      </c>
      <c r="H47" s="1">
        <f>'User Interface'!$E$35*1000*'Optimization Results'!H47</f>
        <v>0</v>
      </c>
      <c r="I47" s="1">
        <f>'User Interface'!$E$39*1000*'Optimization Results'!I47</f>
        <v>0</v>
      </c>
      <c r="J47">
        <v>6151.0063999999993</v>
      </c>
      <c r="K47" s="1"/>
      <c r="L47" s="1">
        <f t="shared" si="8"/>
        <v>5404.9999999999991</v>
      </c>
      <c r="M47" s="1"/>
      <c r="N47" s="94">
        <f t="shared" si="9"/>
        <v>0</v>
      </c>
      <c r="O47" s="1"/>
      <c r="P47" s="1">
        <f t="shared" si="10"/>
        <v>5405</v>
      </c>
      <c r="Q47" s="1">
        <f t="shared" si="11"/>
        <v>0</v>
      </c>
      <c r="S47" s="4">
        <v>5400</v>
      </c>
      <c r="T47" s="4">
        <v>0</v>
      </c>
      <c r="U47" s="4">
        <v>0</v>
      </c>
      <c r="V47" s="4">
        <v>5</v>
      </c>
      <c r="W47" s="4">
        <v>0</v>
      </c>
      <c r="X47" s="4">
        <v>0</v>
      </c>
      <c r="Y47" s="4">
        <v>0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F47">
        <f>(SUM('User Interface'!$E$14,'User Interface'!$E$20,'User Interface'!$E$29,'User Interface'!$E$35,'User Interface'!$E$39)*1000)+'PV Profiles'!B49</f>
        <v>21151.006399999998</v>
      </c>
      <c r="EH47" s="143">
        <f t="shared" si="13"/>
        <v>5405</v>
      </c>
      <c r="EJ47" s="37">
        <f t="shared" si="14"/>
        <v>0</v>
      </c>
      <c r="EK47" s="37">
        <f t="shared" si="15"/>
        <v>0</v>
      </c>
      <c r="EL47" s="37">
        <f t="shared" si="16"/>
        <v>0</v>
      </c>
      <c r="EM47" s="37">
        <f t="shared" si="17"/>
        <v>0</v>
      </c>
      <c r="EN47" s="37">
        <f t="shared" si="18"/>
        <v>0</v>
      </c>
      <c r="EO47" s="37">
        <f t="shared" si="19"/>
        <v>-746.00639999999999</v>
      </c>
      <c r="EQ47" s="4"/>
      <c r="ER47" s="314"/>
    </row>
    <row r="48" spans="2:148" ht="14.25" customHeight="1" x14ac:dyDescent="0.3">
      <c r="B48" s="3">
        <f>IF('User Interface'!$C$127&gt;(COUNT($B$7:B47)/96),B47+0.0104166666666667,"")</f>
        <v>0.42708333333333459</v>
      </c>
      <c r="D48" s="1">
        <f>'User Interface'!$E$14*1000*'Optimization Results'!D48</f>
        <v>-996.00639999999908</v>
      </c>
      <c r="E48" s="1">
        <f>'User Interface'!$E$20*1000*'Optimization Results'!E48</f>
        <v>0</v>
      </c>
      <c r="F48" s="1">
        <f>'User Interface'!$E$20*1000*'Optimization Results'!F48</f>
        <v>0</v>
      </c>
      <c r="G48" s="1">
        <f>'User Interface'!$E$29*1000*'Optimization Results'!G48</f>
        <v>-5000</v>
      </c>
      <c r="H48" s="1">
        <f>'User Interface'!$E$35*1000*'Optimization Results'!H48</f>
        <v>0</v>
      </c>
      <c r="I48" s="1">
        <f>'User Interface'!$E$39*1000*'Optimization Results'!I48</f>
        <v>0</v>
      </c>
      <c r="J48">
        <v>6151.0063999999993</v>
      </c>
      <c r="K48" s="1"/>
      <c r="L48" s="1">
        <f t="shared" si="8"/>
        <v>155</v>
      </c>
      <c r="M48" s="1"/>
      <c r="N48" s="94">
        <f t="shared" si="9"/>
        <v>0</v>
      </c>
      <c r="O48" s="1"/>
      <c r="P48" s="1">
        <f t="shared" si="10"/>
        <v>155</v>
      </c>
      <c r="Q48" s="1">
        <f t="shared" si="11"/>
        <v>0</v>
      </c>
      <c r="S48" s="4">
        <v>0</v>
      </c>
      <c r="T48" s="4">
        <v>150</v>
      </c>
      <c r="U48" s="4">
        <v>0</v>
      </c>
      <c r="V48" s="4">
        <v>5</v>
      </c>
      <c r="W48" s="4">
        <v>0</v>
      </c>
      <c r="X48" s="4">
        <v>0</v>
      </c>
      <c r="Y48" s="4">
        <v>0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F48">
        <f>(SUM('User Interface'!$E$14,'User Interface'!$E$20,'User Interface'!$E$29,'User Interface'!$E$35,'User Interface'!$E$39)*1000)+'PV Profiles'!B50</f>
        <v>21151.006399999998</v>
      </c>
      <c r="EH48" s="143">
        <f t="shared" si="13"/>
        <v>155</v>
      </c>
      <c r="EJ48" s="37">
        <f t="shared" si="14"/>
        <v>0</v>
      </c>
      <c r="EK48" s="37">
        <f t="shared" si="15"/>
        <v>0</v>
      </c>
      <c r="EL48" s="37">
        <f t="shared" si="16"/>
        <v>0</v>
      </c>
      <c r="EM48" s="37">
        <f t="shared" si="17"/>
        <v>-996.00639999999908</v>
      </c>
      <c r="EN48" s="37">
        <f t="shared" si="18"/>
        <v>0</v>
      </c>
      <c r="EO48" s="37">
        <f t="shared" si="19"/>
        <v>-5000</v>
      </c>
      <c r="EQ48" s="4"/>
      <c r="ER48" s="314"/>
    </row>
    <row r="49" spans="2:148" ht="14.25" customHeight="1" x14ac:dyDescent="0.3">
      <c r="B49" s="3">
        <f>IF('User Interface'!$C$127&gt;(COUNT($B$7:B48)/96),B48+0.0104166666666667,"")</f>
        <v>0.43750000000000128</v>
      </c>
      <c r="D49" s="1">
        <f>'User Interface'!$E$14*1000*'Optimization Results'!D49</f>
        <v>-739.8420164383557</v>
      </c>
      <c r="E49" s="1">
        <f>'User Interface'!$E$20*1000*'Optimization Results'!E49</f>
        <v>0</v>
      </c>
      <c r="F49" s="1">
        <f>'User Interface'!$E$20*1000*'Optimization Results'!F49</f>
        <v>0</v>
      </c>
      <c r="G49" s="1">
        <f>'User Interface'!$E$29*1000*'Optimization Results'!G49</f>
        <v>-5000</v>
      </c>
      <c r="H49" s="1">
        <f>'User Interface'!$E$35*1000*'Optimization Results'!H49</f>
        <v>0</v>
      </c>
      <c r="I49" s="1">
        <f>'User Interface'!$E$39*1000*'Optimization Results'!I49</f>
        <v>0</v>
      </c>
      <c r="J49">
        <v>6151.0063999999993</v>
      </c>
      <c r="K49" s="1"/>
      <c r="L49" s="1">
        <f t="shared" si="8"/>
        <v>411.16438356164326</v>
      </c>
      <c r="M49" s="1"/>
      <c r="N49" s="94">
        <f t="shared" si="9"/>
        <v>-5.6843418860808015E-13</v>
      </c>
      <c r="O49" s="1"/>
      <c r="P49" s="1">
        <f t="shared" si="10"/>
        <v>411.16438356164383</v>
      </c>
      <c r="Q49" s="1">
        <f t="shared" si="11"/>
        <v>512.32876712328766</v>
      </c>
      <c r="S49" s="4">
        <v>0</v>
      </c>
      <c r="T49" s="4">
        <v>150</v>
      </c>
      <c r="U49" s="4">
        <v>0</v>
      </c>
      <c r="V49" s="4">
        <v>5</v>
      </c>
      <c r="W49" s="4">
        <v>256.16438356164383</v>
      </c>
      <c r="X49" s="4">
        <v>0</v>
      </c>
      <c r="Y49" s="4">
        <v>0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Y49" s="4">
        <v>0</v>
      </c>
      <c r="BZ49" s="4">
        <v>0</v>
      </c>
      <c r="CA49" s="4">
        <v>0</v>
      </c>
      <c r="CB49" s="4">
        <v>0</v>
      </c>
      <c r="CC49" s="4">
        <v>512.32876712328766</v>
      </c>
      <c r="CD49" s="4">
        <v>0</v>
      </c>
      <c r="CE49" s="4">
        <v>0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F49">
        <f>(SUM('User Interface'!$E$14,'User Interface'!$E$20,'User Interface'!$E$29,'User Interface'!$E$35,'User Interface'!$E$39)*1000)+'PV Profiles'!B51</f>
        <v>21151.006399999998</v>
      </c>
      <c r="EH49" s="143">
        <f t="shared" si="13"/>
        <v>923.49315068493149</v>
      </c>
      <c r="EJ49" s="37">
        <f t="shared" si="14"/>
        <v>0</v>
      </c>
      <c r="EK49" s="37">
        <f t="shared" si="15"/>
        <v>0</v>
      </c>
      <c r="EL49" s="37">
        <f t="shared" si="16"/>
        <v>0</v>
      </c>
      <c r="EM49" s="37">
        <f t="shared" si="17"/>
        <v>-739.8420164383557</v>
      </c>
      <c r="EN49" s="37">
        <f t="shared" si="18"/>
        <v>0</v>
      </c>
      <c r="EO49" s="37">
        <f t="shared" si="19"/>
        <v>-5000</v>
      </c>
      <c r="EQ49" s="4"/>
      <c r="ER49" s="314"/>
    </row>
    <row r="50" spans="2:148" ht="14.25" customHeight="1" x14ac:dyDescent="0.3">
      <c r="B50" s="3">
        <f>IF('User Interface'!$C$127&gt;(COUNT($B$7:B49)/96),B49+0.0104166666666667,"")</f>
        <v>0.44791666666666796</v>
      </c>
      <c r="D50" s="1">
        <f>'User Interface'!$E$14*1000*'Optimization Results'!D50</f>
        <v>-4930.6095158345888</v>
      </c>
      <c r="E50" s="1">
        <f>'User Interface'!$E$20*1000*'Optimization Results'!E50</f>
        <v>0</v>
      </c>
      <c r="F50" s="1">
        <f>'User Interface'!$E$20*1000*'Optimization Results'!F50</f>
        <v>0</v>
      </c>
      <c r="G50" s="1">
        <f>'User Interface'!$E$29*1000*'Optimization Results'!G50</f>
        <v>-809.23250060376654</v>
      </c>
      <c r="H50" s="1">
        <f>'User Interface'!$E$35*1000*'Optimization Results'!H50</f>
        <v>0</v>
      </c>
      <c r="I50" s="1">
        <f>'User Interface'!$E$39*1000*'Optimization Results'!I50</f>
        <v>0</v>
      </c>
      <c r="J50">
        <v>6151.0063999999993</v>
      </c>
      <c r="K50" s="1"/>
      <c r="L50" s="1">
        <f t="shared" si="8"/>
        <v>411.16438356164417</v>
      </c>
      <c r="M50" s="1"/>
      <c r="N50" s="94">
        <f t="shared" si="9"/>
        <v>0</v>
      </c>
      <c r="O50" s="1"/>
      <c r="P50" s="1">
        <f t="shared" si="10"/>
        <v>411.16438356164383</v>
      </c>
      <c r="Q50" s="1">
        <f t="shared" si="11"/>
        <v>0</v>
      </c>
      <c r="S50" s="4">
        <v>0</v>
      </c>
      <c r="T50" s="4">
        <v>150</v>
      </c>
      <c r="U50" s="4">
        <v>0</v>
      </c>
      <c r="V50" s="4">
        <v>5</v>
      </c>
      <c r="W50" s="4">
        <v>256.16438356164383</v>
      </c>
      <c r="X50" s="4">
        <v>0</v>
      </c>
      <c r="Y50" s="4">
        <v>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F50">
        <f>(SUM('User Interface'!$E$14,'User Interface'!$E$20,'User Interface'!$E$29,'User Interface'!$E$35,'User Interface'!$E$39)*1000)+'PV Profiles'!B52</f>
        <v>21151.006399999998</v>
      </c>
      <c r="EH50" s="143">
        <f t="shared" si="13"/>
        <v>411.16438356164383</v>
      </c>
      <c r="EJ50" s="37">
        <f t="shared" si="14"/>
        <v>0</v>
      </c>
      <c r="EK50" s="37">
        <f t="shared" si="15"/>
        <v>0</v>
      </c>
      <c r="EL50" s="37">
        <f t="shared" si="16"/>
        <v>0</v>
      </c>
      <c r="EM50" s="37">
        <f t="shared" si="17"/>
        <v>-4930.6095158345888</v>
      </c>
      <c r="EN50" s="37">
        <f t="shared" si="18"/>
        <v>0</v>
      </c>
      <c r="EO50" s="37">
        <f t="shared" si="19"/>
        <v>-809.23250060376654</v>
      </c>
      <c r="EQ50" s="4"/>
      <c r="ER50" s="314"/>
    </row>
    <row r="51" spans="2:148" ht="14.25" customHeight="1" x14ac:dyDescent="0.3">
      <c r="B51" s="3">
        <f>IF('User Interface'!$C$127&gt;(COUNT($B$7:B50)/96),B50+0.0104166666666667,"")</f>
        <v>0.45833333333333465</v>
      </c>
      <c r="D51" s="1">
        <f>'User Interface'!$E$14*1000*'Optimization Results'!D51</f>
        <v>-4107.7007999999978</v>
      </c>
      <c r="E51" s="1">
        <f>'User Interface'!$E$20*1000*'Optimization Results'!E51</f>
        <v>0</v>
      </c>
      <c r="F51" s="1">
        <f>'User Interface'!$E$20*1000*'Optimization Results'!F51</f>
        <v>0</v>
      </c>
      <c r="G51" s="1">
        <f>'User Interface'!$E$29*1000*'Optimization Results'!G51</f>
        <v>0</v>
      </c>
      <c r="H51" s="1">
        <f>'User Interface'!$E$35*1000*'Optimization Results'!H51</f>
        <v>0</v>
      </c>
      <c r="I51" s="1">
        <f>'User Interface'!$E$39*1000*'Optimization Results'!I51</f>
        <v>0</v>
      </c>
      <c r="J51">
        <v>7502.7007999999987</v>
      </c>
      <c r="K51" s="1"/>
      <c r="L51" s="1">
        <f t="shared" si="8"/>
        <v>3395.0000000000009</v>
      </c>
      <c r="M51" s="1"/>
      <c r="N51" s="94">
        <f t="shared" si="9"/>
        <v>0</v>
      </c>
      <c r="O51" s="1"/>
      <c r="P51" s="1">
        <f t="shared" si="10"/>
        <v>3395</v>
      </c>
      <c r="Q51" s="1">
        <f t="shared" si="11"/>
        <v>5224.2400000000007</v>
      </c>
      <c r="S51" s="4">
        <v>3390</v>
      </c>
      <c r="T51" s="4">
        <v>0</v>
      </c>
      <c r="U51" s="4">
        <v>0</v>
      </c>
      <c r="V51" s="4">
        <v>5</v>
      </c>
      <c r="W51" s="4">
        <v>0</v>
      </c>
      <c r="X51" s="4">
        <v>0</v>
      </c>
      <c r="Y51" s="4">
        <v>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Y51" s="4">
        <v>5224.2400000000007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F51">
        <f>(SUM('User Interface'!$E$14,'User Interface'!$E$20,'User Interface'!$E$29,'User Interface'!$E$35,'User Interface'!$E$39)*1000)+'PV Profiles'!B53</f>
        <v>22502.700799999999</v>
      </c>
      <c r="EH51" s="143">
        <f t="shared" si="13"/>
        <v>8619.2400000000016</v>
      </c>
      <c r="EJ51" s="37">
        <f t="shared" si="14"/>
        <v>0</v>
      </c>
      <c r="EK51" s="37">
        <f t="shared" si="15"/>
        <v>0</v>
      </c>
      <c r="EL51" s="37">
        <f t="shared" si="16"/>
        <v>0</v>
      </c>
      <c r="EM51" s="37">
        <f t="shared" si="17"/>
        <v>-4107.7007999999978</v>
      </c>
      <c r="EN51" s="37">
        <f t="shared" si="18"/>
        <v>0</v>
      </c>
      <c r="EO51" s="37">
        <f t="shared" si="19"/>
        <v>0</v>
      </c>
      <c r="EQ51" s="4"/>
      <c r="ER51" s="314"/>
    </row>
    <row r="52" spans="2:148" ht="14.25" customHeight="1" x14ac:dyDescent="0.3">
      <c r="B52" s="3">
        <f>IF('User Interface'!$C$127&gt;(COUNT($B$7:B51)/96),B51+0.0104166666666667,"")</f>
        <v>0.46875000000000133</v>
      </c>
      <c r="D52" s="1">
        <f>'User Interface'!$E$14*1000*'Optimization Results'!D52</f>
        <v>0</v>
      </c>
      <c r="E52" s="1">
        <f>'User Interface'!$E$20*1000*'Optimization Results'!E52</f>
        <v>0</v>
      </c>
      <c r="F52" s="1">
        <f>'User Interface'!$E$20*1000*'Optimization Results'!F52</f>
        <v>0</v>
      </c>
      <c r="G52" s="1">
        <f>'User Interface'!$E$29*1000*'Optimization Results'!G52</f>
        <v>392.29920000000067</v>
      </c>
      <c r="H52" s="1">
        <f>'User Interface'!$E$35*1000*'Optimization Results'!H52</f>
        <v>0</v>
      </c>
      <c r="I52" s="1">
        <f>'User Interface'!$E$39*1000*'Optimization Results'!I52</f>
        <v>0</v>
      </c>
      <c r="J52">
        <v>7502.7007999999987</v>
      </c>
      <c r="K52" s="1"/>
      <c r="L52" s="1">
        <f t="shared" si="8"/>
        <v>7894.9999999999991</v>
      </c>
      <c r="M52" s="1"/>
      <c r="N52" s="94">
        <f t="shared" si="9"/>
        <v>0</v>
      </c>
      <c r="O52" s="1"/>
      <c r="P52" s="1">
        <f t="shared" si="10"/>
        <v>7895</v>
      </c>
      <c r="Q52" s="1">
        <f t="shared" si="11"/>
        <v>5224.2400000000007</v>
      </c>
      <c r="S52" s="4">
        <v>3390</v>
      </c>
      <c r="T52" s="4">
        <v>0</v>
      </c>
      <c r="U52" s="4">
        <v>0</v>
      </c>
      <c r="V52" s="4">
        <v>5</v>
      </c>
      <c r="W52" s="4">
        <v>0</v>
      </c>
      <c r="X52" s="4">
        <v>0</v>
      </c>
      <c r="Y52" s="4">
        <v>4500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Y52" s="4">
        <v>5224.2400000000007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F52">
        <f>(SUM('User Interface'!$E$14,'User Interface'!$E$20,'User Interface'!$E$29,'User Interface'!$E$35,'User Interface'!$E$39)*1000)+'PV Profiles'!B54</f>
        <v>22502.700799999999</v>
      </c>
      <c r="EH52" s="143">
        <f t="shared" si="13"/>
        <v>13119.240000000002</v>
      </c>
      <c r="EJ52" s="37">
        <f t="shared" si="14"/>
        <v>0</v>
      </c>
      <c r="EK52" s="37">
        <f t="shared" si="15"/>
        <v>0</v>
      </c>
      <c r="EL52" s="37">
        <f t="shared" si="16"/>
        <v>392.29920000000067</v>
      </c>
      <c r="EM52" s="37">
        <f t="shared" si="17"/>
        <v>0</v>
      </c>
      <c r="EN52" s="37">
        <f t="shared" si="18"/>
        <v>0</v>
      </c>
      <c r="EO52" s="37">
        <f t="shared" si="19"/>
        <v>0</v>
      </c>
      <c r="EQ52" s="4"/>
      <c r="ER52" s="314"/>
    </row>
    <row r="53" spans="2:148" ht="14.25" customHeight="1" x14ac:dyDescent="0.3">
      <c r="B53" s="3">
        <f>IF('User Interface'!$C$127&gt;(COUNT($B$7:B52)/96),B52+0.0104166666666667,"")</f>
        <v>0.47916666666666802</v>
      </c>
      <c r="D53" s="1">
        <f>'User Interface'!$E$14*1000*'Optimization Results'!D53</f>
        <v>0</v>
      </c>
      <c r="E53" s="1">
        <f>'User Interface'!$E$20*1000*'Optimization Results'!E53</f>
        <v>0</v>
      </c>
      <c r="F53" s="1">
        <f>'User Interface'!$E$20*1000*'Optimization Results'!F53</f>
        <v>0</v>
      </c>
      <c r="G53" s="1">
        <f>'User Interface'!$E$29*1000*'Optimization Results'!G53</f>
        <v>648.46358356164592</v>
      </c>
      <c r="H53" s="1">
        <f>'User Interface'!$E$35*1000*'Optimization Results'!H53</f>
        <v>0</v>
      </c>
      <c r="I53" s="1">
        <f>'User Interface'!$E$39*1000*'Optimization Results'!I53</f>
        <v>0</v>
      </c>
      <c r="J53">
        <v>7502.7007999999987</v>
      </c>
      <c r="K53" s="1"/>
      <c r="L53" s="1">
        <f t="shared" si="8"/>
        <v>8151.1643835616451</v>
      </c>
      <c r="M53" s="1"/>
      <c r="N53" s="94">
        <f t="shared" si="9"/>
        <v>0</v>
      </c>
      <c r="O53" s="1"/>
      <c r="P53" s="1">
        <f t="shared" si="10"/>
        <v>8151.1643835616433</v>
      </c>
      <c r="Q53" s="1">
        <f t="shared" si="11"/>
        <v>5224.2400000000007</v>
      </c>
      <c r="S53" s="4">
        <v>3390</v>
      </c>
      <c r="T53" s="4">
        <v>0</v>
      </c>
      <c r="U53" s="4">
        <v>0</v>
      </c>
      <c r="V53" s="4">
        <v>5</v>
      </c>
      <c r="W53" s="4">
        <v>256.16438356164383</v>
      </c>
      <c r="X53" s="4">
        <v>0</v>
      </c>
      <c r="Y53" s="4">
        <v>4500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Y53" s="4">
        <v>5224.2400000000007</v>
      </c>
      <c r="BZ53" s="4">
        <v>0</v>
      </c>
      <c r="CA53" s="4">
        <v>0</v>
      </c>
      <c r="CB53" s="4">
        <v>0</v>
      </c>
      <c r="CC53" s="4">
        <v>512.32876712328766</v>
      </c>
      <c r="CD53" s="4">
        <v>0</v>
      </c>
      <c r="CE53" s="4">
        <v>0</v>
      </c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F53">
        <f>(SUM('User Interface'!$E$14,'User Interface'!$E$20,'User Interface'!$E$29,'User Interface'!$E$35,'User Interface'!$E$39)*1000)+'PV Profiles'!B55</f>
        <v>22502.700799999999</v>
      </c>
      <c r="EH53" s="143">
        <f t="shared" si="13"/>
        <v>13375.404383561643</v>
      </c>
      <c r="EJ53" s="37">
        <f t="shared" si="14"/>
        <v>0</v>
      </c>
      <c r="EK53" s="37">
        <f t="shared" si="15"/>
        <v>0</v>
      </c>
      <c r="EL53" s="37">
        <f t="shared" si="16"/>
        <v>648.46358356164592</v>
      </c>
      <c r="EM53" s="37">
        <f t="shared" si="17"/>
        <v>0</v>
      </c>
      <c r="EN53" s="37">
        <f t="shared" si="18"/>
        <v>0</v>
      </c>
      <c r="EO53" s="37">
        <f t="shared" si="19"/>
        <v>0</v>
      </c>
      <c r="EQ53" s="4"/>
      <c r="ER53" s="314"/>
    </row>
    <row r="54" spans="2:148" ht="14.25" customHeight="1" x14ac:dyDescent="0.3">
      <c r="B54" s="3">
        <f>IF('User Interface'!$C$127&gt;(COUNT($B$7:B53)/96),B53+0.0104166666666667,"")</f>
        <v>0.4895833333333347</v>
      </c>
      <c r="D54" s="1">
        <f>'User Interface'!$E$14*1000*'Optimization Results'!D54</f>
        <v>0</v>
      </c>
      <c r="E54" s="1">
        <f>'User Interface'!$E$20*1000*'Optimization Results'!E54</f>
        <v>0</v>
      </c>
      <c r="F54" s="1">
        <f>'User Interface'!$E$20*1000*'Optimization Results'!F54</f>
        <v>0</v>
      </c>
      <c r="G54" s="1">
        <f>'User Interface'!$E$29*1000*'Optimization Results'!G54</f>
        <v>648.46358356164592</v>
      </c>
      <c r="H54" s="1">
        <f>'User Interface'!$E$35*1000*'Optimization Results'!H54</f>
        <v>0</v>
      </c>
      <c r="I54" s="1">
        <f>'User Interface'!$E$39*1000*'Optimization Results'!I54</f>
        <v>0</v>
      </c>
      <c r="J54">
        <v>7502.7007999999987</v>
      </c>
      <c r="K54" s="1"/>
      <c r="L54" s="1">
        <f t="shared" si="8"/>
        <v>8151.1643835616451</v>
      </c>
      <c r="M54" s="1"/>
      <c r="N54" s="94">
        <f t="shared" si="9"/>
        <v>0</v>
      </c>
      <c r="O54" s="1"/>
      <c r="P54" s="1">
        <f t="shared" si="10"/>
        <v>8151.1643835616433</v>
      </c>
      <c r="Q54" s="1">
        <f t="shared" si="11"/>
        <v>5224.2400000000007</v>
      </c>
      <c r="S54" s="4">
        <v>3390</v>
      </c>
      <c r="T54" s="4">
        <v>0</v>
      </c>
      <c r="U54" s="4">
        <v>0</v>
      </c>
      <c r="V54" s="4">
        <v>5</v>
      </c>
      <c r="W54" s="4">
        <v>256.16438356164383</v>
      </c>
      <c r="X54" s="4">
        <v>0</v>
      </c>
      <c r="Y54" s="4">
        <v>4500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Y54" s="4">
        <v>5224.2400000000007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F54">
        <f>(SUM('User Interface'!$E$14,'User Interface'!$E$20,'User Interface'!$E$29,'User Interface'!$E$35,'User Interface'!$E$39)*1000)+'PV Profiles'!B56</f>
        <v>22502.700799999999</v>
      </c>
      <c r="EH54" s="143">
        <f t="shared" si="13"/>
        <v>13375.404383561643</v>
      </c>
      <c r="EJ54" s="37">
        <f t="shared" si="14"/>
        <v>0</v>
      </c>
      <c r="EK54" s="37">
        <f t="shared" si="15"/>
        <v>0</v>
      </c>
      <c r="EL54" s="37">
        <f t="shared" si="16"/>
        <v>648.46358356164592</v>
      </c>
      <c r="EM54" s="37">
        <f t="shared" si="17"/>
        <v>0</v>
      </c>
      <c r="EN54" s="37">
        <f t="shared" si="18"/>
        <v>0</v>
      </c>
      <c r="EO54" s="37">
        <f t="shared" si="19"/>
        <v>0</v>
      </c>
      <c r="EQ54" s="4"/>
      <c r="ER54" s="314"/>
    </row>
    <row r="55" spans="2:148" ht="14.25" customHeight="1" x14ac:dyDescent="0.3">
      <c r="B55" s="3">
        <f>IF('User Interface'!$C$127&gt;(COUNT($B$7:B54)/96),B54+0.0104166666666667,"")</f>
        <v>0.50000000000000144</v>
      </c>
      <c r="D55" s="1">
        <f>'User Interface'!$E$14*1000*'Optimization Results'!D55</f>
        <v>0</v>
      </c>
      <c r="E55" s="1">
        <f>'User Interface'!$E$20*1000*'Optimization Results'!E55</f>
        <v>0</v>
      </c>
      <c r="F55" s="1">
        <f>'User Interface'!$E$20*1000*'Optimization Results'!F55</f>
        <v>0</v>
      </c>
      <c r="G55" s="1">
        <f>'User Interface'!$E$29*1000*'Optimization Results'!G55</f>
        <v>-555.89279999999974</v>
      </c>
      <c r="H55" s="1">
        <f>'User Interface'!$E$35*1000*'Optimization Results'!H55</f>
        <v>0</v>
      </c>
      <c r="I55" s="1">
        <f>'User Interface'!$E$39*1000*'Optimization Results'!I55</f>
        <v>0</v>
      </c>
      <c r="J55">
        <v>8450.8927999999996</v>
      </c>
      <c r="K55" s="1"/>
      <c r="L55" s="1">
        <f t="shared" si="8"/>
        <v>7895</v>
      </c>
      <c r="M55" s="1"/>
      <c r="N55" s="94">
        <f t="shared" si="9"/>
        <v>0</v>
      </c>
      <c r="O55" s="1"/>
      <c r="P55" s="1">
        <f t="shared" si="10"/>
        <v>7895</v>
      </c>
      <c r="Q55" s="1">
        <f t="shared" si="11"/>
        <v>5224.2400000000007</v>
      </c>
      <c r="S55" s="4">
        <v>3390</v>
      </c>
      <c r="T55" s="4">
        <v>0</v>
      </c>
      <c r="U55" s="4">
        <v>0</v>
      </c>
      <c r="V55" s="4">
        <v>5</v>
      </c>
      <c r="W55" s="4">
        <v>0</v>
      </c>
      <c r="X55" s="4">
        <v>0</v>
      </c>
      <c r="Y55" s="4">
        <v>4500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Y55" s="4">
        <v>5224.2400000000007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F55">
        <f>(SUM('User Interface'!$E$14,'User Interface'!$E$20,'User Interface'!$E$29,'User Interface'!$E$35,'User Interface'!$E$39)*1000)+'PV Profiles'!B57</f>
        <v>23450.892800000001</v>
      </c>
      <c r="EH55" s="143">
        <f t="shared" si="13"/>
        <v>13119.240000000002</v>
      </c>
      <c r="EJ55" s="37">
        <f t="shared" si="14"/>
        <v>0</v>
      </c>
      <c r="EK55" s="37">
        <f t="shared" si="15"/>
        <v>0</v>
      </c>
      <c r="EL55" s="37">
        <f t="shared" si="16"/>
        <v>0</v>
      </c>
      <c r="EM55" s="37">
        <f t="shared" si="17"/>
        <v>0</v>
      </c>
      <c r="EN55" s="37">
        <f t="shared" si="18"/>
        <v>0</v>
      </c>
      <c r="EO55" s="37">
        <f t="shared" si="19"/>
        <v>-555.89279999999974</v>
      </c>
      <c r="EQ55" s="4"/>
      <c r="ER55" s="314"/>
    </row>
    <row r="56" spans="2:148" ht="14.25" customHeight="1" x14ac:dyDescent="0.3">
      <c r="B56" s="3">
        <f>IF('User Interface'!$C$127&gt;(COUNT($B$7:B55)/96),B55+0.0104166666666667,"")</f>
        <v>0.51041666666666818</v>
      </c>
      <c r="D56" s="1">
        <f>'User Interface'!$E$14*1000*'Optimization Results'!D56</f>
        <v>-3816.4552066284496</v>
      </c>
      <c r="E56" s="1">
        <f>'User Interface'!$E$20*1000*'Optimization Results'!E56</f>
        <v>0</v>
      </c>
      <c r="F56" s="1">
        <f>'User Interface'!$E$20*1000*'Optimization Results'!F56</f>
        <v>0</v>
      </c>
      <c r="G56" s="1">
        <f>'User Interface'!$E$29*1000*'Optimization Results'!G56</f>
        <v>-1239.4375933715507</v>
      </c>
      <c r="H56" s="1">
        <f>'User Interface'!$E$35*1000*'Optimization Results'!H56</f>
        <v>0</v>
      </c>
      <c r="I56" s="1">
        <f>'User Interface'!$E$39*1000*'Optimization Results'!I56</f>
        <v>0</v>
      </c>
      <c r="J56">
        <v>8450.8927999999996</v>
      </c>
      <c r="K56" s="1"/>
      <c r="L56" s="1">
        <f t="shared" si="8"/>
        <v>3394.9999999999991</v>
      </c>
      <c r="M56" s="1"/>
      <c r="N56" s="94">
        <f t="shared" si="9"/>
        <v>0</v>
      </c>
      <c r="O56" s="1"/>
      <c r="P56" s="1">
        <f t="shared" si="10"/>
        <v>3395</v>
      </c>
      <c r="Q56" s="1">
        <f t="shared" si="11"/>
        <v>5224.2400000000007</v>
      </c>
      <c r="S56" s="4">
        <v>3390</v>
      </c>
      <c r="T56" s="4">
        <v>0</v>
      </c>
      <c r="U56" s="4">
        <v>0</v>
      </c>
      <c r="V56" s="4">
        <v>5</v>
      </c>
      <c r="W56" s="4">
        <v>0</v>
      </c>
      <c r="X56" s="4">
        <v>0</v>
      </c>
      <c r="Y56" s="4">
        <v>0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Y56" s="4">
        <v>5224.2400000000007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0</v>
      </c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F56">
        <f>(SUM('User Interface'!$E$14,'User Interface'!$E$20,'User Interface'!$E$29,'User Interface'!$E$35,'User Interface'!$E$39)*1000)+'PV Profiles'!B58</f>
        <v>23450.892800000001</v>
      </c>
      <c r="EH56" s="143">
        <f t="shared" si="13"/>
        <v>8619.2400000000016</v>
      </c>
      <c r="EJ56" s="37">
        <f t="shared" si="14"/>
        <v>0</v>
      </c>
      <c r="EK56" s="37">
        <f t="shared" si="15"/>
        <v>0</v>
      </c>
      <c r="EL56" s="37">
        <f t="shared" si="16"/>
        <v>0</v>
      </c>
      <c r="EM56" s="37">
        <f t="shared" si="17"/>
        <v>-3816.4552066284496</v>
      </c>
      <c r="EN56" s="37">
        <f t="shared" si="18"/>
        <v>0</v>
      </c>
      <c r="EO56" s="37">
        <f t="shared" si="19"/>
        <v>-1239.4375933715507</v>
      </c>
      <c r="EQ56" s="4"/>
      <c r="ER56" s="314"/>
    </row>
    <row r="57" spans="2:148" ht="14.25" customHeight="1" x14ac:dyDescent="0.3">
      <c r="B57" s="3">
        <f>IF('User Interface'!$C$127&gt;(COUNT($B$7:B56)/96),B56+0.0104166666666667,"")</f>
        <v>0.52083333333333492</v>
      </c>
      <c r="D57" s="1">
        <f>'User Interface'!$E$14*1000*'Optimization Results'!D57</f>
        <v>-4799.7284164383564</v>
      </c>
      <c r="E57" s="1">
        <f>'User Interface'!$E$20*1000*'Optimization Results'!E57</f>
        <v>0</v>
      </c>
      <c r="F57" s="1">
        <f>'User Interface'!$E$20*1000*'Optimization Results'!F57</f>
        <v>0</v>
      </c>
      <c r="G57" s="1">
        <f>'User Interface'!$E$29*1000*'Optimization Results'!G57</f>
        <v>0</v>
      </c>
      <c r="H57" s="1">
        <f>'User Interface'!$E$35*1000*'Optimization Results'!H57</f>
        <v>0</v>
      </c>
      <c r="I57" s="1">
        <f>'User Interface'!$E$39*1000*'Optimization Results'!I57</f>
        <v>0</v>
      </c>
      <c r="J57">
        <v>8450.8927999999996</v>
      </c>
      <c r="K57" s="1"/>
      <c r="L57" s="1">
        <f t="shared" si="8"/>
        <v>3651.1643835616433</v>
      </c>
      <c r="M57" s="1"/>
      <c r="N57" s="94">
        <f t="shared" si="9"/>
        <v>0</v>
      </c>
      <c r="O57" s="1"/>
      <c r="P57" s="1">
        <f t="shared" si="10"/>
        <v>3651.1643835616437</v>
      </c>
      <c r="Q57" s="1">
        <f t="shared" si="11"/>
        <v>5224.2400000000007</v>
      </c>
      <c r="S57" s="4">
        <v>3390</v>
      </c>
      <c r="T57" s="4">
        <v>0</v>
      </c>
      <c r="U57" s="4">
        <v>0</v>
      </c>
      <c r="V57" s="4">
        <v>5</v>
      </c>
      <c r="W57" s="4">
        <v>256.16438356164383</v>
      </c>
      <c r="X57" s="4">
        <v>0</v>
      </c>
      <c r="Y57" s="4">
        <v>0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Y57" s="4">
        <v>5224.2400000000007</v>
      </c>
      <c r="BZ57" s="4">
        <v>0</v>
      </c>
      <c r="CA57" s="4">
        <v>0</v>
      </c>
      <c r="CB57" s="4">
        <v>0</v>
      </c>
      <c r="CC57" s="4">
        <v>512.32876712328766</v>
      </c>
      <c r="CD57" s="4">
        <v>0</v>
      </c>
      <c r="CE57" s="4">
        <v>0</v>
      </c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F57">
        <f>(SUM('User Interface'!$E$14,'User Interface'!$E$20,'User Interface'!$E$29,'User Interface'!$E$35,'User Interface'!$E$39)*1000)+'PV Profiles'!B59</f>
        <v>23450.892800000001</v>
      </c>
      <c r="EH57" s="143">
        <f t="shared" si="13"/>
        <v>8875.4043835616449</v>
      </c>
      <c r="EJ57" s="37">
        <f t="shared" si="14"/>
        <v>0</v>
      </c>
      <c r="EK57" s="37">
        <f t="shared" si="15"/>
        <v>0</v>
      </c>
      <c r="EL57" s="37">
        <f t="shared" si="16"/>
        <v>0</v>
      </c>
      <c r="EM57" s="37">
        <f t="shared" si="17"/>
        <v>-4799.7284164383564</v>
      </c>
      <c r="EN57" s="37">
        <f t="shared" si="18"/>
        <v>0</v>
      </c>
      <c r="EO57" s="37">
        <f t="shared" si="19"/>
        <v>0</v>
      </c>
      <c r="EQ57" s="4"/>
      <c r="ER57" s="314"/>
    </row>
    <row r="58" spans="2:148" ht="14.25" customHeight="1" x14ac:dyDescent="0.3">
      <c r="B58" s="3">
        <f>IF('User Interface'!$C$127&gt;(COUNT($B$7:B57)/96),B57+0.0104166666666667,"")</f>
        <v>0.53125000000000167</v>
      </c>
      <c r="D58" s="1">
        <f>'User Interface'!$E$14*1000*'Optimization Results'!D58</f>
        <v>-4799.7284164383564</v>
      </c>
      <c r="E58" s="1">
        <f>'User Interface'!$E$20*1000*'Optimization Results'!E58</f>
        <v>0</v>
      </c>
      <c r="F58" s="1">
        <f>'User Interface'!$E$20*1000*'Optimization Results'!F58</f>
        <v>0</v>
      </c>
      <c r="G58" s="1">
        <f>'User Interface'!$E$29*1000*'Optimization Results'!G58</f>
        <v>0</v>
      </c>
      <c r="H58" s="1">
        <f>'User Interface'!$E$35*1000*'Optimization Results'!H58</f>
        <v>0</v>
      </c>
      <c r="I58" s="1">
        <f>'User Interface'!$E$39*1000*'Optimization Results'!I58</f>
        <v>0</v>
      </c>
      <c r="J58">
        <v>8450.8927999999996</v>
      </c>
      <c r="K58" s="1"/>
      <c r="L58" s="1">
        <f t="shared" si="8"/>
        <v>3651.1643835616433</v>
      </c>
      <c r="M58" s="1"/>
      <c r="N58" s="94">
        <f t="shared" si="9"/>
        <v>0</v>
      </c>
      <c r="O58" s="1"/>
      <c r="P58" s="1">
        <f t="shared" si="10"/>
        <v>3651.1643835616437</v>
      </c>
      <c r="Q58" s="1">
        <f t="shared" si="11"/>
        <v>5224.2400000000007</v>
      </c>
      <c r="S58" s="4">
        <v>3390</v>
      </c>
      <c r="T58" s="4">
        <v>0</v>
      </c>
      <c r="U58" s="4">
        <v>0</v>
      </c>
      <c r="V58" s="4">
        <v>5</v>
      </c>
      <c r="W58" s="4">
        <v>256.16438356164383</v>
      </c>
      <c r="X58" s="4">
        <v>0</v>
      </c>
      <c r="Y58" s="4">
        <v>0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Y58" s="4">
        <v>5224.2400000000007</v>
      </c>
      <c r="BZ58" s="4">
        <v>0</v>
      </c>
      <c r="CA58" s="4">
        <v>0</v>
      </c>
      <c r="CB58" s="4">
        <v>0</v>
      </c>
      <c r="CC58" s="4">
        <v>0</v>
      </c>
      <c r="CD58" s="4">
        <v>0</v>
      </c>
      <c r="CE58" s="4">
        <v>0</v>
      </c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F58">
        <f>(SUM('User Interface'!$E$14,'User Interface'!$E$20,'User Interface'!$E$29,'User Interface'!$E$35,'User Interface'!$E$39)*1000)+'PV Profiles'!B60</f>
        <v>23450.892800000001</v>
      </c>
      <c r="EH58" s="143">
        <f t="shared" si="13"/>
        <v>8875.4043835616449</v>
      </c>
      <c r="EJ58" s="37">
        <f t="shared" si="14"/>
        <v>0</v>
      </c>
      <c r="EK58" s="37">
        <f t="shared" si="15"/>
        <v>0</v>
      </c>
      <c r="EL58" s="37">
        <f t="shared" si="16"/>
        <v>0</v>
      </c>
      <c r="EM58" s="37">
        <f t="shared" si="17"/>
        <v>-4799.7284164383564</v>
      </c>
      <c r="EN58" s="37">
        <f t="shared" si="18"/>
        <v>0</v>
      </c>
      <c r="EO58" s="37">
        <f t="shared" si="19"/>
        <v>0</v>
      </c>
      <c r="EQ58" s="4"/>
      <c r="ER58" s="314"/>
    </row>
    <row r="59" spans="2:148" ht="14.25" customHeight="1" x14ac:dyDescent="0.3">
      <c r="B59" s="3">
        <f>IF('User Interface'!$C$127&gt;(COUNT($B$7:B58)/96),B58+0.0104166666666667,"")</f>
        <v>0.54166666666666841</v>
      </c>
      <c r="D59" s="1">
        <f>'User Interface'!$E$14*1000*'Optimization Results'!D59</f>
        <v>-5047.7392</v>
      </c>
      <c r="E59" s="1">
        <f>'User Interface'!$E$20*1000*'Optimization Results'!E59</f>
        <v>0</v>
      </c>
      <c r="F59" s="1">
        <f>'User Interface'!$E$20*1000*'Optimization Results'!F59</f>
        <v>0</v>
      </c>
      <c r="G59" s="1">
        <f>'User Interface'!$E$29*1000*'Optimization Results'!G59</f>
        <v>0</v>
      </c>
      <c r="H59" s="1">
        <f>'User Interface'!$E$35*1000*'Optimization Results'!H59</f>
        <v>0</v>
      </c>
      <c r="I59" s="1">
        <f>'User Interface'!$E$39*1000*'Optimization Results'!I59</f>
        <v>0</v>
      </c>
      <c r="J59">
        <v>8442.7392</v>
      </c>
      <c r="K59" s="1"/>
      <c r="L59" s="1">
        <f>SUM(D59:J59)</f>
        <v>3395</v>
      </c>
      <c r="M59" s="1"/>
      <c r="N59" s="94">
        <f t="shared" si="9"/>
        <v>0</v>
      </c>
      <c r="O59" s="1"/>
      <c r="P59" s="1">
        <f t="shared" si="10"/>
        <v>3395</v>
      </c>
      <c r="Q59" s="1">
        <f t="shared" si="11"/>
        <v>5224.2400000000007</v>
      </c>
      <c r="S59" s="4">
        <v>3390</v>
      </c>
      <c r="T59" s="4">
        <v>0</v>
      </c>
      <c r="U59" s="4">
        <v>0</v>
      </c>
      <c r="V59" s="4">
        <v>5</v>
      </c>
      <c r="W59" s="4">
        <v>0</v>
      </c>
      <c r="X59" s="4">
        <v>0</v>
      </c>
      <c r="Y59" s="4">
        <v>0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Y59" s="4">
        <v>5224.2400000000007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F59">
        <f>(SUM('User Interface'!$E$14,'User Interface'!$E$20,'User Interface'!$E$29,'User Interface'!$E$35,'User Interface'!$E$39)*1000)+'PV Profiles'!B61</f>
        <v>23442.7392</v>
      </c>
      <c r="EH59" s="143">
        <f t="shared" si="13"/>
        <v>8619.2400000000016</v>
      </c>
      <c r="EJ59" s="37">
        <f t="shared" si="14"/>
        <v>0</v>
      </c>
      <c r="EK59" s="37">
        <f t="shared" si="15"/>
        <v>0</v>
      </c>
      <c r="EL59" s="37">
        <f t="shared" si="16"/>
        <v>0</v>
      </c>
      <c r="EM59" s="37">
        <f t="shared" si="17"/>
        <v>-5047.7392</v>
      </c>
      <c r="EN59" s="37">
        <f t="shared" si="18"/>
        <v>0</v>
      </c>
      <c r="EO59" s="37">
        <f t="shared" si="19"/>
        <v>0</v>
      </c>
      <c r="EQ59" s="4"/>
      <c r="ER59" s="314"/>
    </row>
    <row r="60" spans="2:148" ht="14.25" customHeight="1" x14ac:dyDescent="0.3">
      <c r="B60" s="3">
        <f>IF('User Interface'!$C$127&gt;(COUNT($B$7:B59)/96),B59+0.0104166666666667,"")</f>
        <v>0.55208333333333515</v>
      </c>
      <c r="D60" s="1">
        <f>'User Interface'!$E$14*1000*'Optimization Results'!D60</f>
        <v>-5047.7392</v>
      </c>
      <c r="E60" s="1">
        <f>'User Interface'!$E$20*1000*'Optimization Results'!E60</f>
        <v>0</v>
      </c>
      <c r="F60" s="1">
        <f>'User Interface'!$E$20*1000*'Optimization Results'!F60</f>
        <v>0</v>
      </c>
      <c r="G60" s="1">
        <f>'User Interface'!$E$29*1000*'Optimization Results'!G60</f>
        <v>0</v>
      </c>
      <c r="H60" s="1">
        <f>'User Interface'!$E$35*1000*'Optimization Results'!H60</f>
        <v>0</v>
      </c>
      <c r="I60" s="1">
        <f>'User Interface'!$E$39*1000*'Optimization Results'!I60</f>
        <v>0</v>
      </c>
      <c r="J60">
        <v>8442.7392</v>
      </c>
      <c r="K60" s="1"/>
      <c r="L60" s="1">
        <f t="shared" si="8"/>
        <v>3395</v>
      </c>
      <c r="M60" s="1"/>
      <c r="N60" s="94">
        <f t="shared" si="9"/>
        <v>0</v>
      </c>
      <c r="O60" s="1"/>
      <c r="P60" s="1">
        <f t="shared" si="10"/>
        <v>3395</v>
      </c>
      <c r="Q60" s="1">
        <f t="shared" si="11"/>
        <v>5224.2400000000007</v>
      </c>
      <c r="S60" s="4">
        <v>3390</v>
      </c>
      <c r="T60" s="4">
        <v>0</v>
      </c>
      <c r="U60" s="4">
        <v>0</v>
      </c>
      <c r="V60" s="4">
        <v>5</v>
      </c>
      <c r="W60" s="4">
        <v>0</v>
      </c>
      <c r="X60" s="4">
        <v>0</v>
      </c>
      <c r="Y60" s="4">
        <v>0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Y60" s="4">
        <v>5224.2400000000007</v>
      </c>
      <c r="BZ60" s="4">
        <v>0</v>
      </c>
      <c r="CA60" s="4">
        <v>0</v>
      </c>
      <c r="CB60" s="4">
        <v>0</v>
      </c>
      <c r="CC60" s="4">
        <v>0</v>
      </c>
      <c r="CD60" s="4">
        <v>0</v>
      </c>
      <c r="CE60" s="4">
        <v>0</v>
      </c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F60">
        <f>(SUM('User Interface'!$E$14,'User Interface'!$E$20,'User Interface'!$E$29,'User Interface'!$E$35,'User Interface'!$E$39)*1000)+'PV Profiles'!B62</f>
        <v>23442.7392</v>
      </c>
      <c r="EH60" s="143">
        <f t="shared" si="13"/>
        <v>8619.2400000000016</v>
      </c>
      <c r="EJ60" s="37">
        <f t="shared" si="14"/>
        <v>0</v>
      </c>
      <c r="EK60" s="37">
        <f t="shared" si="15"/>
        <v>0</v>
      </c>
      <c r="EL60" s="37">
        <f t="shared" si="16"/>
        <v>0</v>
      </c>
      <c r="EM60" s="37">
        <f t="shared" si="17"/>
        <v>-5047.7392</v>
      </c>
      <c r="EN60" s="37">
        <f t="shared" si="18"/>
        <v>0</v>
      </c>
      <c r="EO60" s="37">
        <f t="shared" si="19"/>
        <v>0</v>
      </c>
      <c r="EQ60" s="4"/>
      <c r="ER60" s="314"/>
    </row>
    <row r="61" spans="2:148" ht="14.25" customHeight="1" x14ac:dyDescent="0.3">
      <c r="B61" s="3">
        <f>IF('User Interface'!$C$127&gt;(COUNT($B$7:B60)/96),B60+0.0104166666666667,"")</f>
        <v>0.56250000000000189</v>
      </c>
      <c r="D61" s="1">
        <f>'User Interface'!$E$14*1000*'Optimization Results'!D61</f>
        <v>-4791.5748164383558</v>
      </c>
      <c r="E61" s="1">
        <f>'User Interface'!$E$20*1000*'Optimization Results'!E61</f>
        <v>0</v>
      </c>
      <c r="F61" s="1">
        <f>'User Interface'!$E$20*1000*'Optimization Results'!F61</f>
        <v>0</v>
      </c>
      <c r="G61" s="1">
        <f>'User Interface'!$E$29*1000*'Optimization Results'!G61</f>
        <v>0</v>
      </c>
      <c r="H61" s="1">
        <f>'User Interface'!$E$35*1000*'Optimization Results'!H61</f>
        <v>0</v>
      </c>
      <c r="I61" s="1">
        <f>'User Interface'!$E$39*1000*'Optimization Results'!I61</f>
        <v>0</v>
      </c>
      <c r="J61">
        <v>8442.7392</v>
      </c>
      <c r="K61" s="1"/>
      <c r="L61" s="1">
        <f t="shared" si="8"/>
        <v>3651.1643835616442</v>
      </c>
      <c r="M61" s="1"/>
      <c r="N61" s="94">
        <f t="shared" si="9"/>
        <v>0</v>
      </c>
      <c r="O61" s="1"/>
      <c r="P61" s="1">
        <f t="shared" si="10"/>
        <v>3651.1643835616437</v>
      </c>
      <c r="Q61" s="1">
        <f t="shared" si="11"/>
        <v>5224.2400000000007</v>
      </c>
      <c r="S61" s="4">
        <v>3390</v>
      </c>
      <c r="T61" s="4">
        <v>0</v>
      </c>
      <c r="U61" s="4">
        <v>0</v>
      </c>
      <c r="V61" s="4">
        <v>5</v>
      </c>
      <c r="W61" s="4">
        <v>256.16438356164383</v>
      </c>
      <c r="X61" s="4">
        <v>0</v>
      </c>
      <c r="Y61" s="4">
        <v>0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Y61" s="4">
        <v>5224.2400000000007</v>
      </c>
      <c r="BZ61" s="4">
        <v>0</v>
      </c>
      <c r="CA61" s="4">
        <v>0</v>
      </c>
      <c r="CB61" s="4">
        <v>0</v>
      </c>
      <c r="CC61" s="4">
        <v>512.32876712328766</v>
      </c>
      <c r="CD61" s="4">
        <v>0</v>
      </c>
      <c r="CE61" s="4">
        <v>0</v>
      </c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F61">
        <f>(SUM('User Interface'!$E$14,'User Interface'!$E$20,'User Interface'!$E$29,'User Interface'!$E$35,'User Interface'!$E$39)*1000)+'PV Profiles'!B63</f>
        <v>23442.7392</v>
      </c>
      <c r="EH61" s="143">
        <f t="shared" si="13"/>
        <v>8875.4043835616449</v>
      </c>
      <c r="EJ61" s="37">
        <f t="shared" si="14"/>
        <v>0</v>
      </c>
      <c r="EK61" s="37">
        <f t="shared" si="15"/>
        <v>0</v>
      </c>
      <c r="EL61" s="37">
        <f t="shared" si="16"/>
        <v>0</v>
      </c>
      <c r="EM61" s="37">
        <f t="shared" si="17"/>
        <v>-4791.5748164383558</v>
      </c>
      <c r="EN61" s="37">
        <f t="shared" si="18"/>
        <v>0</v>
      </c>
      <c r="EO61" s="37">
        <f t="shared" si="19"/>
        <v>0</v>
      </c>
      <c r="EQ61" s="4"/>
      <c r="ER61" s="314"/>
    </row>
    <row r="62" spans="2:148" ht="14.25" customHeight="1" x14ac:dyDescent="0.3">
      <c r="B62" s="3">
        <f>IF('User Interface'!$C$127&gt;(COUNT($B$7:B61)/96),B61+0.0104166666666667,"")</f>
        <v>0.57291666666666863</v>
      </c>
      <c r="D62" s="1">
        <f>'User Interface'!$E$14*1000*'Optimization Results'!D62</f>
        <v>-4791.5748164383558</v>
      </c>
      <c r="E62" s="1">
        <f>'User Interface'!$E$20*1000*'Optimization Results'!E62</f>
        <v>0</v>
      </c>
      <c r="F62" s="1">
        <f>'User Interface'!$E$20*1000*'Optimization Results'!F62</f>
        <v>0</v>
      </c>
      <c r="G62" s="1">
        <f>'User Interface'!$E$29*1000*'Optimization Results'!G62</f>
        <v>0</v>
      </c>
      <c r="H62" s="1">
        <f>'User Interface'!$E$35*1000*'Optimization Results'!H62</f>
        <v>0</v>
      </c>
      <c r="I62" s="1">
        <f>'User Interface'!$E$39*1000*'Optimization Results'!I62</f>
        <v>0</v>
      </c>
      <c r="J62">
        <v>8442.7392</v>
      </c>
      <c r="K62" s="1"/>
      <c r="L62" s="1">
        <f t="shared" si="8"/>
        <v>3651.1643835616442</v>
      </c>
      <c r="M62" s="1"/>
      <c r="N62" s="94">
        <f t="shared" si="9"/>
        <v>0</v>
      </c>
      <c r="O62" s="1"/>
      <c r="P62" s="1">
        <f t="shared" si="10"/>
        <v>3651.1643835616437</v>
      </c>
      <c r="Q62" s="1">
        <f t="shared" si="11"/>
        <v>5224.2400000000007</v>
      </c>
      <c r="S62" s="4">
        <v>3390</v>
      </c>
      <c r="T62" s="4">
        <v>0</v>
      </c>
      <c r="U62" s="4">
        <v>0</v>
      </c>
      <c r="V62" s="4">
        <v>5</v>
      </c>
      <c r="W62" s="4">
        <v>256.16438356164383</v>
      </c>
      <c r="X62" s="4">
        <v>0</v>
      </c>
      <c r="Y62" s="4">
        <v>0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Y62" s="4">
        <v>5224.2400000000007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F62">
        <f>(SUM('User Interface'!$E$14,'User Interface'!$E$20,'User Interface'!$E$29,'User Interface'!$E$35,'User Interface'!$E$39)*1000)+'PV Profiles'!B64</f>
        <v>23442.7392</v>
      </c>
      <c r="EH62" s="143">
        <f t="shared" si="13"/>
        <v>8875.4043835616449</v>
      </c>
      <c r="EJ62" s="37">
        <f t="shared" si="14"/>
        <v>0</v>
      </c>
      <c r="EK62" s="37">
        <f t="shared" si="15"/>
        <v>0</v>
      </c>
      <c r="EL62" s="37">
        <f t="shared" si="16"/>
        <v>0</v>
      </c>
      <c r="EM62" s="37">
        <f t="shared" si="17"/>
        <v>-4791.5748164383558</v>
      </c>
      <c r="EN62" s="37">
        <f t="shared" si="18"/>
        <v>0</v>
      </c>
      <c r="EO62" s="37">
        <f t="shared" si="19"/>
        <v>0</v>
      </c>
      <c r="EQ62" s="4"/>
      <c r="ER62" s="314"/>
    </row>
    <row r="63" spans="2:148" ht="14.25" customHeight="1" x14ac:dyDescent="0.3">
      <c r="B63" s="3">
        <f>IF('User Interface'!$C$127&gt;(COUNT($B$7:B62)/96),B62+0.0104166666666667,"")</f>
        <v>0.58333333333333537</v>
      </c>
      <c r="D63" s="1">
        <f>'User Interface'!$E$14*1000*'Optimization Results'!D63</f>
        <v>-4291.5198222222098</v>
      </c>
      <c r="E63" s="1">
        <f>'User Interface'!$E$20*1000*'Optimization Results'!E63</f>
        <v>0</v>
      </c>
      <c r="F63" s="1">
        <f>'User Interface'!$E$20*1000*'Optimization Results'!F63</f>
        <v>0</v>
      </c>
      <c r="G63" s="1">
        <f>'User Interface'!$E$29*1000*'Optimization Results'!G63</f>
        <v>0</v>
      </c>
      <c r="H63" s="1">
        <f>'User Interface'!$E$35*1000*'Optimization Results'!H63</f>
        <v>0</v>
      </c>
      <c r="I63" s="1">
        <f>'User Interface'!$E$39*1000*'Optimization Results'!I63</f>
        <v>0</v>
      </c>
      <c r="J63">
        <v>7749.3135999999995</v>
      </c>
      <c r="K63" s="1"/>
      <c r="L63" s="1">
        <f t="shared" si="8"/>
        <v>3457.7937777777897</v>
      </c>
      <c r="M63" s="1"/>
      <c r="N63" s="94">
        <f t="shared" si="9"/>
        <v>1.1823431123048067E-11</v>
      </c>
      <c r="O63" s="1"/>
      <c r="P63" s="1">
        <f t="shared" si="10"/>
        <v>3457.7937777777779</v>
      </c>
      <c r="Q63" s="1">
        <f t="shared" si="11"/>
        <v>5224.2400000000007</v>
      </c>
      <c r="S63" s="4">
        <v>3302.7937777777779</v>
      </c>
      <c r="T63" s="4">
        <v>150</v>
      </c>
      <c r="U63" s="4">
        <v>0</v>
      </c>
      <c r="V63" s="4">
        <v>5</v>
      </c>
      <c r="W63" s="4">
        <v>0</v>
      </c>
      <c r="X63" s="4">
        <v>0</v>
      </c>
      <c r="Y63" s="4">
        <v>0</v>
      </c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Y63" s="4">
        <v>5224.2400000000007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4">
        <v>0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F63">
        <f>(SUM('User Interface'!$E$14,'User Interface'!$E$20,'User Interface'!$E$29,'User Interface'!$E$35,'User Interface'!$E$39)*1000)+'PV Profiles'!B65</f>
        <v>22749.313600000001</v>
      </c>
      <c r="EH63" s="143">
        <f t="shared" si="13"/>
        <v>8682.0337777777786</v>
      </c>
      <c r="EJ63" s="37">
        <f t="shared" si="14"/>
        <v>0</v>
      </c>
      <c r="EK63" s="37">
        <f t="shared" si="15"/>
        <v>0</v>
      </c>
      <c r="EL63" s="37">
        <f t="shared" si="16"/>
        <v>0</v>
      </c>
      <c r="EM63" s="37">
        <f t="shared" si="17"/>
        <v>-4291.5198222222098</v>
      </c>
      <c r="EN63" s="37">
        <f t="shared" si="18"/>
        <v>0</v>
      </c>
      <c r="EO63" s="37">
        <f t="shared" si="19"/>
        <v>0</v>
      </c>
      <c r="EQ63" s="4"/>
      <c r="ER63" s="314"/>
    </row>
    <row r="64" spans="2:148" ht="14.25" customHeight="1" x14ac:dyDescent="0.3">
      <c r="B64" s="3">
        <f>IF('User Interface'!$C$127&gt;(COUNT($B$7:B63)/96),B63+0.0104166666666667,"")</f>
        <v>0.59375000000000211</v>
      </c>
      <c r="D64" s="1">
        <f>'User Interface'!$E$14*1000*'Optimization Results'!D64</f>
        <v>-4291.5198222222216</v>
      </c>
      <c r="E64" s="1">
        <f>'User Interface'!$E$20*1000*'Optimization Results'!E64</f>
        <v>0</v>
      </c>
      <c r="F64" s="1">
        <f>'User Interface'!$E$20*1000*'Optimization Results'!F64</f>
        <v>0</v>
      </c>
      <c r="G64" s="1">
        <f>'User Interface'!$E$29*1000*'Optimization Results'!G64</f>
        <v>0</v>
      </c>
      <c r="H64" s="1">
        <f>'User Interface'!$E$35*1000*'Optimization Results'!H64</f>
        <v>0</v>
      </c>
      <c r="I64" s="1">
        <f>'User Interface'!$E$39*1000*'Optimization Results'!I64</f>
        <v>0</v>
      </c>
      <c r="J64">
        <v>7749.3135999999995</v>
      </c>
      <c r="K64" s="1"/>
      <c r="L64" s="1">
        <f t="shared" si="8"/>
        <v>3457.7937777777779</v>
      </c>
      <c r="M64" s="1"/>
      <c r="N64" s="94">
        <f t="shared" si="9"/>
        <v>0</v>
      </c>
      <c r="O64" s="1"/>
      <c r="P64" s="1">
        <f t="shared" si="10"/>
        <v>3457.7937777777779</v>
      </c>
      <c r="Q64" s="1">
        <f t="shared" si="11"/>
        <v>5224.2400000000007</v>
      </c>
      <c r="S64" s="4">
        <v>3302.7937777777779</v>
      </c>
      <c r="T64" s="4">
        <v>150</v>
      </c>
      <c r="U64" s="4">
        <v>0</v>
      </c>
      <c r="V64" s="4">
        <v>5</v>
      </c>
      <c r="W64" s="4">
        <v>0</v>
      </c>
      <c r="X64" s="4">
        <v>0</v>
      </c>
      <c r="Y64" s="4">
        <v>0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Y64" s="4">
        <v>5224.2400000000007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F64">
        <f>(SUM('User Interface'!$E$14,'User Interface'!$E$20,'User Interface'!$E$29,'User Interface'!$E$35,'User Interface'!$E$39)*1000)+'PV Profiles'!B66</f>
        <v>22749.313600000001</v>
      </c>
      <c r="EH64" s="143">
        <f t="shared" si="13"/>
        <v>8682.0337777777786</v>
      </c>
      <c r="EJ64" s="37">
        <f t="shared" si="14"/>
        <v>0</v>
      </c>
      <c r="EK64" s="37">
        <f t="shared" si="15"/>
        <v>0</v>
      </c>
      <c r="EL64" s="37">
        <f t="shared" si="16"/>
        <v>0</v>
      </c>
      <c r="EM64" s="37">
        <f t="shared" si="17"/>
        <v>-4291.5198222222216</v>
      </c>
      <c r="EN64" s="37">
        <f t="shared" si="18"/>
        <v>0</v>
      </c>
      <c r="EO64" s="37">
        <f t="shared" si="19"/>
        <v>0</v>
      </c>
      <c r="EQ64" s="4"/>
      <c r="ER64" s="314"/>
    </row>
    <row r="65" spans="2:148" ht="14.25" customHeight="1" x14ac:dyDescent="0.3">
      <c r="B65" s="3">
        <f>IF('User Interface'!$C$127&gt;(COUNT($B$7:B64)/96),B64+0.0104166666666667,"")</f>
        <v>0.60416666666666885</v>
      </c>
      <c r="D65" s="1">
        <f>'User Interface'!$E$14*1000*'Optimization Results'!D65</f>
        <v>-4035.3554386605779</v>
      </c>
      <c r="E65" s="1">
        <f>'User Interface'!$E$20*1000*'Optimization Results'!E65</f>
        <v>0</v>
      </c>
      <c r="F65" s="1">
        <f>'User Interface'!$E$20*1000*'Optimization Results'!F65</f>
        <v>0</v>
      </c>
      <c r="G65" s="1">
        <f>'User Interface'!$E$29*1000*'Optimization Results'!G65</f>
        <v>0</v>
      </c>
      <c r="H65" s="1">
        <f>'User Interface'!$E$35*1000*'Optimization Results'!H65</f>
        <v>0</v>
      </c>
      <c r="I65" s="1">
        <f>'User Interface'!$E$39*1000*'Optimization Results'!I65</f>
        <v>0</v>
      </c>
      <c r="J65">
        <v>7749.3135999999995</v>
      </c>
      <c r="K65" s="1"/>
      <c r="L65" s="1">
        <f t="shared" si="8"/>
        <v>3713.9581613394216</v>
      </c>
      <c r="M65" s="1"/>
      <c r="N65" s="94">
        <f t="shared" si="9"/>
        <v>0</v>
      </c>
      <c r="O65" s="1"/>
      <c r="P65" s="1">
        <f t="shared" si="10"/>
        <v>3713.9581613394216</v>
      </c>
      <c r="Q65" s="1">
        <f t="shared" si="11"/>
        <v>5224.2400000000007</v>
      </c>
      <c r="S65" s="4">
        <v>3302.7937777777779</v>
      </c>
      <c r="T65" s="4">
        <v>150</v>
      </c>
      <c r="U65" s="4">
        <v>0</v>
      </c>
      <c r="V65" s="4">
        <v>5</v>
      </c>
      <c r="W65" s="4">
        <v>256.16438356164383</v>
      </c>
      <c r="X65" s="4">
        <v>0</v>
      </c>
      <c r="Y65" s="4">
        <v>0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Y65" s="4">
        <v>5224.2400000000007</v>
      </c>
      <c r="BZ65" s="4">
        <v>0</v>
      </c>
      <c r="CA65" s="4">
        <v>0</v>
      </c>
      <c r="CB65" s="4">
        <v>0</v>
      </c>
      <c r="CC65" s="4">
        <v>512.32876712328766</v>
      </c>
      <c r="CD65" s="4">
        <v>0</v>
      </c>
      <c r="CE65" s="4">
        <v>0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F65">
        <f>(SUM('User Interface'!$E$14,'User Interface'!$E$20,'User Interface'!$E$29,'User Interface'!$E$35,'User Interface'!$E$39)*1000)+'PV Profiles'!B67</f>
        <v>22749.313600000001</v>
      </c>
      <c r="EH65" s="143">
        <f t="shared" si="13"/>
        <v>8938.1981613394219</v>
      </c>
      <c r="EJ65" s="37">
        <f t="shared" si="14"/>
        <v>0</v>
      </c>
      <c r="EK65" s="37">
        <f t="shared" si="15"/>
        <v>0</v>
      </c>
      <c r="EL65" s="37">
        <f t="shared" si="16"/>
        <v>0</v>
      </c>
      <c r="EM65" s="37">
        <f t="shared" si="17"/>
        <v>-4035.3554386605779</v>
      </c>
      <c r="EN65" s="37">
        <f t="shared" si="18"/>
        <v>0</v>
      </c>
      <c r="EO65" s="37">
        <f t="shared" si="19"/>
        <v>0</v>
      </c>
      <c r="EQ65" s="4"/>
      <c r="ER65" s="314"/>
    </row>
    <row r="66" spans="2:148" ht="14.25" customHeight="1" x14ac:dyDescent="0.3">
      <c r="B66" s="3">
        <f>IF('User Interface'!$C$127&gt;(COUNT($B$7:B65)/96),B65+0.0104166666666667,"")</f>
        <v>0.61458333333333559</v>
      </c>
      <c r="D66" s="1">
        <f>'User Interface'!$E$14*1000*'Optimization Results'!D66</f>
        <v>-4035.3554386605779</v>
      </c>
      <c r="E66" s="1">
        <f>'User Interface'!$E$20*1000*'Optimization Results'!E66</f>
        <v>0</v>
      </c>
      <c r="F66" s="1">
        <f>'User Interface'!$E$20*1000*'Optimization Results'!F66</f>
        <v>0</v>
      </c>
      <c r="G66" s="1">
        <f>'User Interface'!$E$29*1000*'Optimization Results'!G66</f>
        <v>0</v>
      </c>
      <c r="H66" s="1">
        <f>'User Interface'!$E$35*1000*'Optimization Results'!H66</f>
        <v>0</v>
      </c>
      <c r="I66" s="1">
        <f>'User Interface'!$E$39*1000*'Optimization Results'!I66</f>
        <v>0</v>
      </c>
      <c r="J66">
        <v>7749.3135999999995</v>
      </c>
      <c r="K66" s="1"/>
      <c r="L66" s="1">
        <f t="shared" si="8"/>
        <v>3713.9581613394216</v>
      </c>
      <c r="M66" s="1"/>
      <c r="N66" s="94">
        <f t="shared" si="9"/>
        <v>0</v>
      </c>
      <c r="O66" s="1"/>
      <c r="P66" s="1">
        <f t="shared" si="10"/>
        <v>3713.9581613394216</v>
      </c>
      <c r="Q66" s="1">
        <f t="shared" si="11"/>
        <v>5224.2400000000007</v>
      </c>
      <c r="S66" s="4">
        <v>3302.7937777777779</v>
      </c>
      <c r="T66" s="4">
        <v>150</v>
      </c>
      <c r="U66" s="4">
        <v>0</v>
      </c>
      <c r="V66" s="4">
        <v>5</v>
      </c>
      <c r="W66" s="4">
        <v>256.16438356164383</v>
      </c>
      <c r="X66" s="4">
        <v>0</v>
      </c>
      <c r="Y66" s="4">
        <v>0</v>
      </c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Y66" s="4">
        <v>5224.2400000000007</v>
      </c>
      <c r="BZ66" s="4">
        <v>0</v>
      </c>
      <c r="CA66" s="4">
        <v>0</v>
      </c>
      <c r="CB66" s="4">
        <v>0</v>
      </c>
      <c r="CC66" s="4">
        <v>0</v>
      </c>
      <c r="CD66" s="4">
        <v>0</v>
      </c>
      <c r="CE66" s="4">
        <v>0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F66">
        <f>(SUM('User Interface'!$E$14,'User Interface'!$E$20,'User Interface'!$E$29,'User Interface'!$E$35,'User Interface'!$E$39)*1000)+'PV Profiles'!B68</f>
        <v>22749.313600000001</v>
      </c>
      <c r="EH66" s="143">
        <f t="shared" si="13"/>
        <v>8938.1981613394219</v>
      </c>
      <c r="EJ66" s="37">
        <f t="shared" si="14"/>
        <v>0</v>
      </c>
      <c r="EK66" s="37">
        <f t="shared" si="15"/>
        <v>0</v>
      </c>
      <c r="EL66" s="37">
        <f t="shared" si="16"/>
        <v>0</v>
      </c>
      <c r="EM66" s="37">
        <f t="shared" si="17"/>
        <v>-4035.3554386605779</v>
      </c>
      <c r="EN66" s="37">
        <f t="shared" si="18"/>
        <v>0</v>
      </c>
      <c r="EO66" s="37">
        <f t="shared" si="19"/>
        <v>0</v>
      </c>
      <c r="EQ66" s="4"/>
      <c r="ER66" s="314"/>
    </row>
    <row r="67" spans="2:148" ht="14.25" customHeight="1" x14ac:dyDescent="0.3">
      <c r="B67" s="3">
        <f>IF('User Interface'!$C$127&gt;(COUNT($B$7:B66)/96),B66+0.0104166666666667,"")</f>
        <v>0.62500000000000233</v>
      </c>
      <c r="D67" s="1">
        <f>'User Interface'!$E$14*1000*'Optimization Results'!D67</f>
        <v>-2923.2141513888882</v>
      </c>
      <c r="E67" s="1">
        <f>'User Interface'!$E$20*1000*'Optimization Results'!E67</f>
        <v>0</v>
      </c>
      <c r="F67" s="1">
        <f>'User Interface'!$E$20*1000*'Optimization Results'!F67</f>
        <v>0</v>
      </c>
      <c r="G67" s="1">
        <f>'User Interface'!$E$29*1000*'Optimization Results'!G67</f>
        <v>0</v>
      </c>
      <c r="H67" s="1">
        <f>'User Interface'!$E$35*1000*'Optimization Results'!H67</f>
        <v>0</v>
      </c>
      <c r="I67" s="1">
        <f>'User Interface'!$E$39*1000*'Optimization Results'!I67</f>
        <v>0</v>
      </c>
      <c r="J67">
        <v>6277.1071999999995</v>
      </c>
      <c r="K67" s="1"/>
      <c r="L67" s="1">
        <f t="shared" si="8"/>
        <v>3353.8930486111112</v>
      </c>
      <c r="M67" s="1"/>
      <c r="N67" s="94">
        <f t="shared" si="9"/>
        <v>0</v>
      </c>
      <c r="O67" s="1"/>
      <c r="P67" s="1">
        <f t="shared" si="10"/>
        <v>3353.8930486111117</v>
      </c>
      <c r="Q67" s="1">
        <f t="shared" si="11"/>
        <v>5224.2400000000007</v>
      </c>
      <c r="S67" s="4">
        <v>3198.8930486111117</v>
      </c>
      <c r="T67" s="4">
        <v>150</v>
      </c>
      <c r="U67" s="4">
        <v>0</v>
      </c>
      <c r="V67" s="4">
        <v>5</v>
      </c>
      <c r="W67" s="4">
        <v>0</v>
      </c>
      <c r="X67" s="4">
        <v>0</v>
      </c>
      <c r="Y67" s="4">
        <v>0</v>
      </c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Y67" s="4">
        <v>5224.2400000000007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F67">
        <f>(SUM('User Interface'!$E$14,'User Interface'!$E$20,'User Interface'!$E$29,'User Interface'!$E$35,'User Interface'!$E$39)*1000)+'PV Profiles'!B69</f>
        <v>21277.107199999999</v>
      </c>
      <c r="EH67" s="143">
        <f t="shared" si="13"/>
        <v>8578.1330486111128</v>
      </c>
      <c r="EJ67" s="37">
        <f t="shared" si="14"/>
        <v>0</v>
      </c>
      <c r="EK67" s="37">
        <f t="shared" si="15"/>
        <v>0</v>
      </c>
      <c r="EL67" s="37">
        <f t="shared" si="16"/>
        <v>0</v>
      </c>
      <c r="EM67" s="37">
        <f t="shared" si="17"/>
        <v>-2923.2141513888882</v>
      </c>
      <c r="EN67" s="37">
        <f t="shared" si="18"/>
        <v>0</v>
      </c>
      <c r="EO67" s="37">
        <f t="shared" si="19"/>
        <v>0</v>
      </c>
      <c r="EQ67" s="4"/>
      <c r="ER67" s="314"/>
    </row>
    <row r="68" spans="2:148" ht="14.25" customHeight="1" x14ac:dyDescent="0.3">
      <c r="B68" s="3">
        <f>IF('User Interface'!$C$127&gt;(COUNT($B$7:B67)/96),B67+0.0104166666666667,"")</f>
        <v>0.63541666666666907</v>
      </c>
      <c r="D68" s="1">
        <f>'User Interface'!$E$14*1000*'Optimization Results'!D68</f>
        <v>-2923.2141513888882</v>
      </c>
      <c r="E68" s="1">
        <f>'User Interface'!$E$20*1000*'Optimization Results'!E68</f>
        <v>0</v>
      </c>
      <c r="F68" s="1">
        <f>'User Interface'!$E$20*1000*'Optimization Results'!F68</f>
        <v>0</v>
      </c>
      <c r="G68" s="1">
        <f>'User Interface'!$E$29*1000*'Optimization Results'!G68</f>
        <v>0</v>
      </c>
      <c r="H68" s="1">
        <f>'User Interface'!$E$35*1000*'Optimization Results'!H68</f>
        <v>0</v>
      </c>
      <c r="I68" s="1">
        <f>'User Interface'!$E$39*1000*'Optimization Results'!I68</f>
        <v>0</v>
      </c>
      <c r="J68">
        <v>6277.1071999999995</v>
      </c>
      <c r="K68" s="1"/>
      <c r="L68" s="1">
        <f t="shared" si="8"/>
        <v>3353.8930486111112</v>
      </c>
      <c r="M68" s="1"/>
      <c r="N68" s="94">
        <f t="shared" si="9"/>
        <v>0</v>
      </c>
      <c r="O68" s="1"/>
      <c r="P68" s="1">
        <f t="shared" si="10"/>
        <v>3353.8930486111117</v>
      </c>
      <c r="Q68" s="1">
        <f t="shared" si="11"/>
        <v>5224.2400000000007</v>
      </c>
      <c r="S68" s="4">
        <v>3198.8930486111117</v>
      </c>
      <c r="T68" s="4">
        <v>150</v>
      </c>
      <c r="U68" s="4">
        <v>0</v>
      </c>
      <c r="V68" s="4">
        <v>5</v>
      </c>
      <c r="W68" s="4">
        <v>0</v>
      </c>
      <c r="X68" s="4">
        <v>0</v>
      </c>
      <c r="Y68" s="4">
        <v>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Y68" s="4">
        <v>5224.2400000000007</v>
      </c>
      <c r="BZ68" s="4">
        <v>0</v>
      </c>
      <c r="CA68" s="4">
        <v>0</v>
      </c>
      <c r="CB68" s="4">
        <v>0</v>
      </c>
      <c r="CC68" s="4">
        <v>0</v>
      </c>
      <c r="CD68" s="4">
        <v>0</v>
      </c>
      <c r="CE68" s="4">
        <v>0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F68">
        <f>(SUM('User Interface'!$E$14,'User Interface'!$E$20,'User Interface'!$E$29,'User Interface'!$E$35,'User Interface'!$E$39)*1000)+'PV Profiles'!B70</f>
        <v>21277.107199999999</v>
      </c>
      <c r="EH68" s="143">
        <f t="shared" si="13"/>
        <v>8578.1330486111128</v>
      </c>
      <c r="EJ68" s="37">
        <f t="shared" si="14"/>
        <v>0</v>
      </c>
      <c r="EK68" s="37">
        <f t="shared" si="15"/>
        <v>0</v>
      </c>
      <c r="EL68" s="37">
        <f t="shared" si="16"/>
        <v>0</v>
      </c>
      <c r="EM68" s="37">
        <f t="shared" si="17"/>
        <v>-2923.2141513888882</v>
      </c>
      <c r="EN68" s="37">
        <f t="shared" si="18"/>
        <v>0</v>
      </c>
      <c r="EO68" s="37">
        <f t="shared" si="19"/>
        <v>0</v>
      </c>
      <c r="EQ68" s="4"/>
      <c r="ER68" s="314"/>
    </row>
    <row r="69" spans="2:148" ht="14.25" customHeight="1" x14ac:dyDescent="0.3">
      <c r="B69" s="3">
        <f>IF('User Interface'!$C$127&gt;(COUNT($B$7:B68)/96),B68+0.0104166666666667,"")</f>
        <v>0.64583333333333581</v>
      </c>
      <c r="D69" s="1">
        <f>'User Interface'!$E$14*1000*'Optimization Results'!D69</f>
        <v>-2667.0497678272436</v>
      </c>
      <c r="E69" s="1">
        <f>'User Interface'!$E$20*1000*'Optimization Results'!E69</f>
        <v>0</v>
      </c>
      <c r="F69" s="1">
        <f>'User Interface'!$E$20*1000*'Optimization Results'!F69</f>
        <v>0</v>
      </c>
      <c r="G69" s="1">
        <f>'User Interface'!$E$29*1000*'Optimization Results'!G69</f>
        <v>0</v>
      </c>
      <c r="H69" s="1">
        <f>'User Interface'!$E$35*1000*'Optimization Results'!H69</f>
        <v>0</v>
      </c>
      <c r="I69" s="1">
        <f>'User Interface'!$E$39*1000*'Optimization Results'!I69</f>
        <v>0</v>
      </c>
      <c r="J69">
        <v>6277.1071999999995</v>
      </c>
      <c r="K69" s="1"/>
      <c r="L69" s="1">
        <f t="shared" si="8"/>
        <v>3610.0574321727559</v>
      </c>
      <c r="M69" s="1"/>
      <c r="N69" s="94">
        <f t="shared" si="9"/>
        <v>0</v>
      </c>
      <c r="O69" s="1"/>
      <c r="P69" s="1">
        <f t="shared" si="10"/>
        <v>3610.0574321727554</v>
      </c>
      <c r="Q69" s="1">
        <f t="shared" si="11"/>
        <v>5224.2400000000007</v>
      </c>
      <c r="S69" s="4">
        <v>3198.8930486111117</v>
      </c>
      <c r="T69" s="4">
        <v>150</v>
      </c>
      <c r="U69" s="4">
        <v>0</v>
      </c>
      <c r="V69" s="4">
        <v>5</v>
      </c>
      <c r="W69" s="4">
        <v>256.16438356164383</v>
      </c>
      <c r="X69" s="4">
        <v>0</v>
      </c>
      <c r="Y69" s="4">
        <v>0</v>
      </c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Y69" s="4">
        <v>5224.2400000000007</v>
      </c>
      <c r="BZ69" s="4">
        <v>0</v>
      </c>
      <c r="CA69" s="4">
        <v>0</v>
      </c>
      <c r="CB69" s="4">
        <v>0</v>
      </c>
      <c r="CC69" s="4">
        <v>512.32876712328766</v>
      </c>
      <c r="CD69" s="4">
        <v>0</v>
      </c>
      <c r="CE69" s="4">
        <v>0</v>
      </c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F69">
        <f>(SUM('User Interface'!$E$14,'User Interface'!$E$20,'User Interface'!$E$29,'User Interface'!$E$35,'User Interface'!$E$39)*1000)+'PV Profiles'!B71</f>
        <v>21277.107199999999</v>
      </c>
      <c r="EH69" s="143">
        <f t="shared" si="13"/>
        <v>8834.2974321727561</v>
      </c>
      <c r="EJ69" s="37">
        <f t="shared" si="14"/>
        <v>0</v>
      </c>
      <c r="EK69" s="37">
        <f t="shared" si="15"/>
        <v>0</v>
      </c>
      <c r="EL69" s="37">
        <f t="shared" si="16"/>
        <v>0</v>
      </c>
      <c r="EM69" s="37">
        <f t="shared" si="17"/>
        <v>-2667.0497678272436</v>
      </c>
      <c r="EN69" s="37">
        <f t="shared" si="18"/>
        <v>0</v>
      </c>
      <c r="EO69" s="37">
        <f t="shared" si="19"/>
        <v>0</v>
      </c>
      <c r="EQ69" s="4"/>
      <c r="ER69" s="314"/>
    </row>
    <row r="70" spans="2:148" ht="14.25" customHeight="1" x14ac:dyDescent="0.3">
      <c r="B70" s="3">
        <f>IF('User Interface'!$C$127&gt;(COUNT($B$7:B69)/96),B69+0.0104166666666667,"")</f>
        <v>0.65625000000000255</v>
      </c>
      <c r="D70" s="1">
        <f>'User Interface'!$E$14*1000*'Optimization Results'!D70</f>
        <v>-2667.0497678272436</v>
      </c>
      <c r="E70" s="1">
        <f>'User Interface'!$E$20*1000*'Optimization Results'!E70</f>
        <v>0</v>
      </c>
      <c r="F70" s="1">
        <f>'User Interface'!$E$20*1000*'Optimization Results'!F70</f>
        <v>0</v>
      </c>
      <c r="G70" s="1">
        <f>'User Interface'!$E$29*1000*'Optimization Results'!G70</f>
        <v>0</v>
      </c>
      <c r="H70" s="1">
        <f>'User Interface'!$E$35*1000*'Optimization Results'!H70</f>
        <v>0</v>
      </c>
      <c r="I70" s="1">
        <f>'User Interface'!$E$39*1000*'Optimization Results'!I70</f>
        <v>0</v>
      </c>
      <c r="J70">
        <v>6277.1071999999995</v>
      </c>
      <c r="K70" s="1"/>
      <c r="L70" s="1">
        <f t="shared" si="8"/>
        <v>3610.0574321727559</v>
      </c>
      <c r="M70" s="1"/>
      <c r="N70" s="94">
        <f t="shared" si="9"/>
        <v>0</v>
      </c>
      <c r="O70" s="1"/>
      <c r="P70" s="1">
        <f t="shared" si="10"/>
        <v>3610.0574321727554</v>
      </c>
      <c r="Q70" s="1">
        <f t="shared" si="11"/>
        <v>5224.2400000000007</v>
      </c>
      <c r="S70" s="4">
        <v>3198.8930486111117</v>
      </c>
      <c r="T70" s="4">
        <v>150</v>
      </c>
      <c r="U70" s="4">
        <v>0</v>
      </c>
      <c r="V70" s="4">
        <v>5</v>
      </c>
      <c r="W70" s="4">
        <v>256.16438356164383</v>
      </c>
      <c r="X70" s="4">
        <v>0</v>
      </c>
      <c r="Y70" s="4">
        <v>0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Y70" s="4">
        <v>5224.2400000000007</v>
      </c>
      <c r="BZ70" s="4">
        <v>0</v>
      </c>
      <c r="CA70" s="4">
        <v>0</v>
      </c>
      <c r="CB70" s="4">
        <v>0</v>
      </c>
      <c r="CC70" s="4">
        <v>0</v>
      </c>
      <c r="CD70" s="4">
        <v>0</v>
      </c>
      <c r="CE70" s="4">
        <v>0</v>
      </c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F70">
        <f>(SUM('User Interface'!$E$14,'User Interface'!$E$20,'User Interface'!$E$29,'User Interface'!$E$35,'User Interface'!$E$39)*1000)+'PV Profiles'!B72</f>
        <v>21277.107199999999</v>
      </c>
      <c r="EH70" s="143">
        <f t="shared" si="13"/>
        <v>8834.2974321727561</v>
      </c>
      <c r="EJ70" s="37">
        <f t="shared" si="14"/>
        <v>0</v>
      </c>
      <c r="EK70" s="37">
        <f t="shared" si="15"/>
        <v>0</v>
      </c>
      <c r="EL70" s="37">
        <f t="shared" si="16"/>
        <v>0</v>
      </c>
      <c r="EM70" s="37">
        <f t="shared" si="17"/>
        <v>-2667.0497678272436</v>
      </c>
      <c r="EN70" s="37">
        <f t="shared" si="18"/>
        <v>0</v>
      </c>
      <c r="EO70" s="37">
        <f t="shared" si="19"/>
        <v>0</v>
      </c>
      <c r="EQ70" s="4"/>
      <c r="ER70" s="314"/>
    </row>
    <row r="71" spans="2:148" ht="14.25" customHeight="1" x14ac:dyDescent="0.3">
      <c r="B71" s="3">
        <f>IF('User Interface'!$C$127&gt;(COUNT($B$7:B70)/96),B70+0.0104166666666667,"")</f>
        <v>0.66666666666666929</v>
      </c>
      <c r="D71" s="1">
        <f>'User Interface'!$E$14*1000*'Optimization Results'!D71</f>
        <v>-693.38808888888821</v>
      </c>
      <c r="E71" s="1">
        <f>'User Interface'!$E$20*1000*'Optimization Results'!E71</f>
        <v>0</v>
      </c>
      <c r="F71" s="1">
        <f>'User Interface'!$E$20*1000*'Optimization Results'!F71</f>
        <v>0</v>
      </c>
      <c r="G71" s="1">
        <f>'User Interface'!$E$29*1000*'Optimization Results'!G71</f>
        <v>0</v>
      </c>
      <c r="H71" s="1">
        <f>'User Interface'!$E$35*1000*'Optimization Results'!H71</f>
        <v>0</v>
      </c>
      <c r="I71" s="1">
        <f>'User Interface'!$E$39*1000*'Optimization Results'!I71</f>
        <v>0</v>
      </c>
      <c r="J71">
        <v>3955.6831999999995</v>
      </c>
      <c r="K71" s="1"/>
      <c r="L71" s="1">
        <f t="shared" si="8"/>
        <v>3262.2951111111115</v>
      </c>
      <c r="M71" s="1"/>
      <c r="N71" s="94">
        <f t="shared" si="9"/>
        <v>0</v>
      </c>
      <c r="O71" s="1"/>
      <c r="P71" s="1">
        <f t="shared" si="10"/>
        <v>3262.2951111111115</v>
      </c>
      <c r="Q71" s="1">
        <f t="shared" si="11"/>
        <v>5224.2400000000007</v>
      </c>
      <c r="S71" s="4">
        <v>3257.2951111111115</v>
      </c>
      <c r="T71" s="4">
        <v>0</v>
      </c>
      <c r="U71" s="4">
        <v>0</v>
      </c>
      <c r="V71" s="4">
        <v>5</v>
      </c>
      <c r="W71" s="4">
        <v>0</v>
      </c>
      <c r="X71" s="4">
        <v>0</v>
      </c>
      <c r="Y71" s="4">
        <v>0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Y71" s="4">
        <v>5224.2400000000007</v>
      </c>
      <c r="BZ71" s="4">
        <v>0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F71">
        <f>(SUM('User Interface'!$E$14,'User Interface'!$E$20,'User Interface'!$E$29,'User Interface'!$E$35,'User Interface'!$E$39)*1000)+'PV Profiles'!B73</f>
        <v>18955.683199999999</v>
      </c>
      <c r="EH71" s="143">
        <f t="shared" si="13"/>
        <v>8486.5351111111122</v>
      </c>
      <c r="EJ71" s="37">
        <f t="shared" ref="EJ71:EJ102" si="20">IF(D71&gt;0,D71,0)</f>
        <v>0</v>
      </c>
      <c r="EK71" s="37">
        <f t="shared" si="15"/>
        <v>0</v>
      </c>
      <c r="EL71" s="37">
        <f t="shared" si="16"/>
        <v>0</v>
      </c>
      <c r="EM71" s="37">
        <f t="shared" ref="EM71:EM102" si="21">IF(D71&lt;0,D71,0)</f>
        <v>-693.38808888888821</v>
      </c>
      <c r="EN71" s="37">
        <f t="shared" si="18"/>
        <v>0</v>
      </c>
      <c r="EO71" s="37">
        <f t="shared" si="19"/>
        <v>0</v>
      </c>
      <c r="EQ71" s="4"/>
      <c r="ER71" s="314"/>
    </row>
    <row r="72" spans="2:148" ht="14.25" customHeight="1" x14ac:dyDescent="0.3">
      <c r="B72" s="3">
        <f>IF('User Interface'!$C$127&gt;(COUNT($B$7:B71)/96),B71+0.0104166666666667,"")</f>
        <v>0.67708333333333603</v>
      </c>
      <c r="D72" s="1">
        <f>'User Interface'!$E$14*1000*'Optimization Results'!D72</f>
        <v>-693.38808888888821</v>
      </c>
      <c r="E72" s="1">
        <f>'User Interface'!$E$20*1000*'Optimization Results'!E72</f>
        <v>0</v>
      </c>
      <c r="F72" s="1">
        <f>'User Interface'!$E$20*1000*'Optimization Results'!F72</f>
        <v>0</v>
      </c>
      <c r="G72" s="1">
        <f>'User Interface'!$E$29*1000*'Optimization Results'!G72</f>
        <v>0</v>
      </c>
      <c r="H72" s="1">
        <f>'User Interface'!$E$35*1000*'Optimization Results'!H72</f>
        <v>0</v>
      </c>
      <c r="I72" s="1">
        <f>'User Interface'!$E$39*1000*'Optimization Results'!I72</f>
        <v>0</v>
      </c>
      <c r="J72">
        <v>3955.6831999999995</v>
      </c>
      <c r="K72" s="1"/>
      <c r="L72" s="1">
        <f t="shared" ref="L72:L102" si="22">SUM(D72:J72)</f>
        <v>3262.2951111111115</v>
      </c>
      <c r="M72" s="1"/>
      <c r="N72" s="94">
        <f t="shared" ref="N72:N102" si="23">L72-P72</f>
        <v>0</v>
      </c>
      <c r="O72" s="1"/>
      <c r="P72" s="1">
        <f t="shared" ref="P72:P102" si="24" xml:space="preserve"> SUM(S72:BW72)</f>
        <v>3262.2951111111115</v>
      </c>
      <c r="Q72" s="1">
        <f t="shared" ref="Q72:Q102" si="25">MAX(BY72:EC72)</f>
        <v>5224.2400000000007</v>
      </c>
      <c r="S72" s="4">
        <v>3257.2951111111115</v>
      </c>
      <c r="T72" s="4">
        <v>0</v>
      </c>
      <c r="U72" s="4">
        <v>0</v>
      </c>
      <c r="V72" s="4">
        <v>5</v>
      </c>
      <c r="W72" s="4">
        <v>0</v>
      </c>
      <c r="X72" s="4">
        <v>0</v>
      </c>
      <c r="Y72" s="4">
        <v>0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Y72" s="4">
        <v>5224.2400000000007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F72">
        <f>(SUM('User Interface'!$E$14,'User Interface'!$E$20,'User Interface'!$E$29,'User Interface'!$E$35,'User Interface'!$E$39)*1000)+'PV Profiles'!B74</f>
        <v>18955.683199999999</v>
      </c>
      <c r="EH72" s="143">
        <f t="shared" ref="EH72:EH102" si="26">SUM(P72:Q72)</f>
        <v>8486.5351111111122</v>
      </c>
      <c r="EJ72" s="37">
        <f t="shared" si="20"/>
        <v>0</v>
      </c>
      <c r="EK72" s="37">
        <f t="shared" ref="EK72:EK102" si="27">IF(F72&gt;0,F72,0)</f>
        <v>0</v>
      </c>
      <c r="EL72" s="37">
        <f t="shared" ref="EL72:EL86" si="28">IF(G72&gt;0,G72,0)</f>
        <v>0</v>
      </c>
      <c r="EM72" s="37">
        <f t="shared" si="21"/>
        <v>-693.38808888888821</v>
      </c>
      <c r="EN72" s="37">
        <f t="shared" ref="EN72:EO102" si="29">IF(F72&lt;0,F72,0)</f>
        <v>0</v>
      </c>
      <c r="EO72" s="37">
        <f t="shared" si="29"/>
        <v>0</v>
      </c>
      <c r="EQ72" s="4"/>
      <c r="ER72" s="314"/>
    </row>
    <row r="73" spans="2:148" ht="14.25" customHeight="1" x14ac:dyDescent="0.3">
      <c r="B73" s="3">
        <f>IF('User Interface'!$C$127&gt;(COUNT($B$7:B72)/96),B72+0.0104166666666667,"")</f>
        <v>0.68750000000000278</v>
      </c>
      <c r="D73" s="1">
        <f>'User Interface'!$E$14*1000*'Optimization Results'!D73</f>
        <v>-287.22370532724415</v>
      </c>
      <c r="E73" s="1">
        <f>'User Interface'!$E$20*1000*'Optimization Results'!E73</f>
        <v>0</v>
      </c>
      <c r="F73" s="1">
        <f>'User Interface'!$E$20*1000*'Optimization Results'!F73</f>
        <v>0</v>
      </c>
      <c r="G73" s="1">
        <f>'User Interface'!$E$29*1000*'Optimization Results'!G73</f>
        <v>0</v>
      </c>
      <c r="H73" s="1">
        <f>'User Interface'!$E$35*1000*'Optimization Results'!H73</f>
        <v>0</v>
      </c>
      <c r="I73" s="1">
        <f>'User Interface'!$E$39*1000*'Optimization Results'!I73</f>
        <v>0</v>
      </c>
      <c r="J73">
        <v>3955.6831999999995</v>
      </c>
      <c r="K73" s="1"/>
      <c r="L73" s="1">
        <f t="shared" si="22"/>
        <v>3668.4594946727552</v>
      </c>
      <c r="M73" s="1"/>
      <c r="N73" s="94">
        <f t="shared" si="23"/>
        <v>0</v>
      </c>
      <c r="O73" s="1"/>
      <c r="P73" s="1">
        <f t="shared" si="24"/>
        <v>3668.4594946727552</v>
      </c>
      <c r="Q73" s="1">
        <f t="shared" si="25"/>
        <v>5224.2400000000007</v>
      </c>
      <c r="S73" s="4">
        <v>3257.2951111111115</v>
      </c>
      <c r="T73" s="4">
        <v>150</v>
      </c>
      <c r="U73" s="4">
        <v>0</v>
      </c>
      <c r="V73" s="4">
        <v>5</v>
      </c>
      <c r="W73" s="4">
        <v>256.16438356164383</v>
      </c>
      <c r="X73" s="4">
        <v>0</v>
      </c>
      <c r="Y73" s="4">
        <v>0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Y73" s="4">
        <v>5224.2400000000007</v>
      </c>
      <c r="BZ73" s="4">
        <v>0</v>
      </c>
      <c r="CA73" s="4">
        <v>0</v>
      </c>
      <c r="CB73" s="4">
        <v>0</v>
      </c>
      <c r="CC73" s="4">
        <v>512.32876712328766</v>
      </c>
      <c r="CD73" s="4">
        <v>0</v>
      </c>
      <c r="CE73" s="4">
        <v>0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F73">
        <f>(SUM('User Interface'!$E$14,'User Interface'!$E$20,'User Interface'!$E$29,'User Interface'!$E$35,'User Interface'!$E$39)*1000)+'PV Profiles'!B75</f>
        <v>18955.683199999999</v>
      </c>
      <c r="EH73" s="143">
        <f t="shared" si="26"/>
        <v>8892.6994946727555</v>
      </c>
      <c r="EJ73" s="37">
        <f t="shared" si="20"/>
        <v>0</v>
      </c>
      <c r="EK73" s="37">
        <f t="shared" si="27"/>
        <v>0</v>
      </c>
      <c r="EL73" s="37">
        <f t="shared" si="28"/>
        <v>0</v>
      </c>
      <c r="EM73" s="37">
        <f t="shared" si="21"/>
        <v>-287.22370532724415</v>
      </c>
      <c r="EN73" s="37">
        <f t="shared" si="29"/>
        <v>0</v>
      </c>
      <c r="EO73" s="37">
        <f t="shared" si="29"/>
        <v>0</v>
      </c>
      <c r="EQ73" s="4"/>
      <c r="ER73" s="314"/>
    </row>
    <row r="74" spans="2:148" ht="14.25" customHeight="1" x14ac:dyDescent="0.3">
      <c r="B74" s="3">
        <f>IF('User Interface'!$C$127&gt;(COUNT($B$7:B73)/96),B73+0.0104166666666667,"")</f>
        <v>0.69791666666666952</v>
      </c>
      <c r="D74" s="1">
        <f>'User Interface'!$E$14*1000*'Optimization Results'!D74</f>
        <v>-287.22370532724415</v>
      </c>
      <c r="E74" s="1">
        <f>'User Interface'!$E$20*1000*'Optimization Results'!E74</f>
        <v>0</v>
      </c>
      <c r="F74" s="1">
        <f>'User Interface'!$E$20*1000*'Optimization Results'!F74</f>
        <v>0</v>
      </c>
      <c r="G74" s="1">
        <f>'User Interface'!$E$29*1000*'Optimization Results'!G74</f>
        <v>0</v>
      </c>
      <c r="H74" s="1">
        <f>'User Interface'!$E$35*1000*'Optimization Results'!H74</f>
        <v>0</v>
      </c>
      <c r="I74" s="1">
        <f>'User Interface'!$E$39*1000*'Optimization Results'!I74</f>
        <v>0</v>
      </c>
      <c r="J74">
        <v>3955.6831999999995</v>
      </c>
      <c r="K74" s="1"/>
      <c r="L74" s="1">
        <f t="shared" si="22"/>
        <v>3668.4594946727552</v>
      </c>
      <c r="M74" s="1"/>
      <c r="N74" s="94">
        <f t="shared" si="23"/>
        <v>0</v>
      </c>
      <c r="O74" s="1"/>
      <c r="P74" s="1">
        <f t="shared" si="24"/>
        <v>3668.4594946727552</v>
      </c>
      <c r="Q74" s="1">
        <f t="shared" si="25"/>
        <v>5224.2400000000007</v>
      </c>
      <c r="S74" s="4">
        <v>3257.2951111111115</v>
      </c>
      <c r="T74" s="4">
        <v>150</v>
      </c>
      <c r="U74" s="4">
        <v>0</v>
      </c>
      <c r="V74" s="4">
        <v>5</v>
      </c>
      <c r="W74" s="4">
        <v>256.16438356164383</v>
      </c>
      <c r="X74" s="4">
        <v>0</v>
      </c>
      <c r="Y74" s="4">
        <v>0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Y74" s="4">
        <v>5224.2400000000007</v>
      </c>
      <c r="BZ74" s="4">
        <v>0</v>
      </c>
      <c r="CA74" s="4">
        <v>0</v>
      </c>
      <c r="CB74" s="4">
        <v>0</v>
      </c>
      <c r="CC74" s="4">
        <v>0</v>
      </c>
      <c r="CD74" s="4">
        <v>0</v>
      </c>
      <c r="CE74" s="4">
        <v>0</v>
      </c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F74">
        <f>(SUM('User Interface'!$E$14,'User Interface'!$E$20,'User Interface'!$E$29,'User Interface'!$E$35,'User Interface'!$E$39)*1000)+'PV Profiles'!B76</f>
        <v>18955.683199999999</v>
      </c>
      <c r="EH74" s="143">
        <f t="shared" si="26"/>
        <v>8892.6994946727555</v>
      </c>
      <c r="EJ74" s="37">
        <f t="shared" si="20"/>
        <v>0</v>
      </c>
      <c r="EK74" s="37">
        <f t="shared" si="27"/>
        <v>0</v>
      </c>
      <c r="EL74" s="37">
        <f t="shared" si="28"/>
        <v>0</v>
      </c>
      <c r="EM74" s="37">
        <f t="shared" si="21"/>
        <v>-287.22370532724415</v>
      </c>
      <c r="EN74" s="37">
        <f t="shared" si="29"/>
        <v>0</v>
      </c>
      <c r="EO74" s="37">
        <f t="shared" si="29"/>
        <v>0</v>
      </c>
      <c r="EQ74" s="4"/>
      <c r="ER74" s="314"/>
    </row>
    <row r="75" spans="2:148" ht="14.25" customHeight="1" x14ac:dyDescent="0.3">
      <c r="B75" s="3">
        <f>IF('User Interface'!$C$127&gt;(COUNT($B$7:B74)/96),B74+0.0104166666666667,"")</f>
        <v>0.70833333333333626</v>
      </c>
      <c r="D75" s="1">
        <f>'User Interface'!$E$14*1000*'Optimization Results'!D75</f>
        <v>2962.60592</v>
      </c>
      <c r="E75" s="1">
        <f>'User Interface'!$E$20*1000*'Optimization Results'!E75</f>
        <v>0</v>
      </c>
      <c r="F75" s="1">
        <f>'User Interface'!$E$20*1000*'Optimization Results'!F75</f>
        <v>0</v>
      </c>
      <c r="G75" s="1">
        <f>'User Interface'!$E$29*1000*'Optimization Results'!G75</f>
        <v>0</v>
      </c>
      <c r="H75" s="1">
        <f>'User Interface'!$E$35*1000*'Optimization Results'!H75</f>
        <v>0</v>
      </c>
      <c r="I75" s="1">
        <f>'User Interface'!$E$39*1000*'Optimization Results'!I75</f>
        <v>0</v>
      </c>
      <c r="J75">
        <v>552.39408000000003</v>
      </c>
      <c r="K75" s="1"/>
      <c r="L75" s="1">
        <f t="shared" si="22"/>
        <v>3515</v>
      </c>
      <c r="M75" s="1"/>
      <c r="N75" s="94">
        <f t="shared" si="23"/>
        <v>0</v>
      </c>
      <c r="O75" s="1"/>
      <c r="P75" s="1">
        <f t="shared" si="24"/>
        <v>3515</v>
      </c>
      <c r="Q75" s="1">
        <f t="shared" si="25"/>
        <v>5224.2400000000007</v>
      </c>
      <c r="S75" s="4">
        <v>3390</v>
      </c>
      <c r="T75" s="4">
        <v>0</v>
      </c>
      <c r="U75" s="4">
        <v>0</v>
      </c>
      <c r="V75" s="4">
        <v>5</v>
      </c>
      <c r="W75" s="4">
        <v>0</v>
      </c>
      <c r="X75" s="4">
        <v>120</v>
      </c>
      <c r="Y75" s="4">
        <v>0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Y75" s="4">
        <v>5224.2400000000007</v>
      </c>
      <c r="BZ75" s="4">
        <v>0</v>
      </c>
      <c r="CA75" s="4">
        <v>0</v>
      </c>
      <c r="CB75" s="4">
        <v>0</v>
      </c>
      <c r="CC75" s="4">
        <v>0</v>
      </c>
      <c r="CD75" s="4">
        <v>0</v>
      </c>
      <c r="CE75" s="4">
        <v>0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F75">
        <f>(SUM('User Interface'!$E$14,'User Interface'!$E$20,'User Interface'!$E$29,'User Interface'!$E$35,'User Interface'!$E$39)*1000)+'PV Profiles'!B77</f>
        <v>15552.39408</v>
      </c>
      <c r="EH75" s="143">
        <f t="shared" si="26"/>
        <v>8739.2400000000016</v>
      </c>
      <c r="EJ75" s="37">
        <f t="shared" si="20"/>
        <v>2962.60592</v>
      </c>
      <c r="EK75" s="37">
        <f t="shared" si="27"/>
        <v>0</v>
      </c>
      <c r="EL75" s="37">
        <f t="shared" si="28"/>
        <v>0</v>
      </c>
      <c r="EM75" s="37">
        <f t="shared" si="21"/>
        <v>0</v>
      </c>
      <c r="EN75" s="37">
        <f t="shared" si="29"/>
        <v>0</v>
      </c>
      <c r="EO75" s="37">
        <f t="shared" si="29"/>
        <v>0</v>
      </c>
      <c r="EQ75" s="4"/>
      <c r="ER75" s="314"/>
    </row>
    <row r="76" spans="2:148" ht="14.25" customHeight="1" x14ac:dyDescent="0.3">
      <c r="B76" s="3">
        <f>IF('User Interface'!$C$127&gt;(COUNT($B$7:B75)/96),B75+0.0104166666666667,"")</f>
        <v>0.718750000000003</v>
      </c>
      <c r="D76" s="1">
        <f>'User Interface'!$E$14*1000*'Optimization Results'!D76</f>
        <v>2962.60592</v>
      </c>
      <c r="E76" s="1">
        <f>'User Interface'!$E$20*1000*'Optimization Results'!E76</f>
        <v>0</v>
      </c>
      <c r="F76" s="1">
        <f>'User Interface'!$E$20*1000*'Optimization Results'!F76</f>
        <v>0</v>
      </c>
      <c r="G76" s="1">
        <f>'User Interface'!$E$29*1000*'Optimization Results'!G76</f>
        <v>0</v>
      </c>
      <c r="H76" s="1">
        <f>'User Interface'!$E$35*1000*'Optimization Results'!H76</f>
        <v>0</v>
      </c>
      <c r="I76" s="1">
        <f>'User Interface'!$E$39*1000*'Optimization Results'!I76</f>
        <v>0</v>
      </c>
      <c r="J76">
        <v>552.39408000000003</v>
      </c>
      <c r="K76" s="1"/>
      <c r="L76" s="1">
        <f t="shared" si="22"/>
        <v>3515</v>
      </c>
      <c r="M76" s="1"/>
      <c r="N76" s="94">
        <f t="shared" si="23"/>
        <v>0</v>
      </c>
      <c r="O76" s="1"/>
      <c r="P76" s="1">
        <f t="shared" si="24"/>
        <v>3515</v>
      </c>
      <c r="Q76" s="1">
        <f t="shared" si="25"/>
        <v>5224.2400000000007</v>
      </c>
      <c r="S76" s="4">
        <v>3390</v>
      </c>
      <c r="T76" s="4">
        <v>0</v>
      </c>
      <c r="U76" s="4">
        <v>0</v>
      </c>
      <c r="V76" s="4">
        <v>5</v>
      </c>
      <c r="W76" s="4">
        <v>0</v>
      </c>
      <c r="X76" s="4">
        <v>120</v>
      </c>
      <c r="Y76" s="4">
        <v>0</v>
      </c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Y76" s="4">
        <v>5224.2400000000007</v>
      </c>
      <c r="BZ76" s="4">
        <v>0</v>
      </c>
      <c r="CA76" s="4">
        <v>0</v>
      </c>
      <c r="CB76" s="4">
        <v>0</v>
      </c>
      <c r="CC76" s="4">
        <v>0</v>
      </c>
      <c r="CD76" s="4">
        <v>0</v>
      </c>
      <c r="CE76" s="4">
        <v>0</v>
      </c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F76">
        <f>(SUM('User Interface'!$E$14,'User Interface'!$E$20,'User Interface'!$E$29,'User Interface'!$E$35,'User Interface'!$E$39)*1000)+'PV Profiles'!B78</f>
        <v>15552.39408</v>
      </c>
      <c r="EH76" s="143">
        <f t="shared" si="26"/>
        <v>8739.2400000000016</v>
      </c>
      <c r="EJ76" s="37">
        <f t="shared" si="20"/>
        <v>2962.60592</v>
      </c>
      <c r="EK76" s="37">
        <f t="shared" si="27"/>
        <v>0</v>
      </c>
      <c r="EL76" s="37">
        <f t="shared" si="28"/>
        <v>0</v>
      </c>
      <c r="EM76" s="37">
        <f t="shared" si="21"/>
        <v>0</v>
      </c>
      <c r="EN76" s="37">
        <f t="shared" si="29"/>
        <v>0</v>
      </c>
      <c r="EO76" s="37">
        <f t="shared" si="29"/>
        <v>0</v>
      </c>
      <c r="EQ76" s="4"/>
      <c r="ER76" s="314"/>
    </row>
    <row r="77" spans="2:148" ht="14.25" customHeight="1" x14ac:dyDescent="0.3">
      <c r="B77" s="3">
        <f>IF('User Interface'!$C$127&gt;(COUNT($B$7:B76)/96),B76+0.0104166666666667,"")</f>
        <v>0.72916666666666974</v>
      </c>
      <c r="D77" s="1">
        <f>'User Interface'!$E$14*1000*'Optimization Results'!D77</f>
        <v>3218.7703035616437</v>
      </c>
      <c r="E77" s="1">
        <f>'User Interface'!$E$20*1000*'Optimization Results'!E77</f>
        <v>0</v>
      </c>
      <c r="F77" s="1">
        <f>'User Interface'!$E$20*1000*'Optimization Results'!F77</f>
        <v>0</v>
      </c>
      <c r="G77" s="1">
        <f>'User Interface'!$E$29*1000*'Optimization Results'!G77</f>
        <v>0</v>
      </c>
      <c r="H77" s="1">
        <f>'User Interface'!$E$35*1000*'Optimization Results'!H77</f>
        <v>0</v>
      </c>
      <c r="I77" s="1">
        <f>'User Interface'!$E$39*1000*'Optimization Results'!I77</f>
        <v>0</v>
      </c>
      <c r="J77">
        <v>552.39408000000003</v>
      </c>
      <c r="K77" s="1"/>
      <c r="L77" s="1">
        <f t="shared" si="22"/>
        <v>3771.1643835616437</v>
      </c>
      <c r="M77" s="1"/>
      <c r="N77" s="94">
        <f t="shared" si="23"/>
        <v>0</v>
      </c>
      <c r="O77" s="1"/>
      <c r="P77" s="1">
        <f t="shared" si="24"/>
        <v>3771.1643835616437</v>
      </c>
      <c r="Q77" s="1">
        <f t="shared" si="25"/>
        <v>5224.2400000000007</v>
      </c>
      <c r="S77" s="4">
        <v>3390</v>
      </c>
      <c r="T77" s="4">
        <v>0</v>
      </c>
      <c r="U77" s="4">
        <v>0</v>
      </c>
      <c r="V77" s="4">
        <v>5</v>
      </c>
      <c r="W77" s="4">
        <v>256.16438356164383</v>
      </c>
      <c r="X77" s="4">
        <v>120</v>
      </c>
      <c r="Y77" s="4">
        <v>0</v>
      </c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Y77" s="4">
        <v>5224.2400000000007</v>
      </c>
      <c r="BZ77" s="4">
        <v>0</v>
      </c>
      <c r="CA77" s="4">
        <v>0</v>
      </c>
      <c r="CB77" s="4">
        <v>0</v>
      </c>
      <c r="CC77" s="4">
        <v>512.32876712328766</v>
      </c>
      <c r="CD77" s="4">
        <v>0</v>
      </c>
      <c r="CE77" s="4">
        <v>0</v>
      </c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F77">
        <f>(SUM('User Interface'!$E$14,'User Interface'!$E$20,'User Interface'!$E$29,'User Interface'!$E$35,'User Interface'!$E$39)*1000)+'PV Profiles'!B79</f>
        <v>15552.39408</v>
      </c>
      <c r="EH77" s="143">
        <f t="shared" si="26"/>
        <v>8995.4043835616449</v>
      </c>
      <c r="EJ77" s="37">
        <f t="shared" si="20"/>
        <v>3218.7703035616437</v>
      </c>
      <c r="EK77" s="37">
        <f t="shared" si="27"/>
        <v>0</v>
      </c>
      <c r="EL77" s="37">
        <f t="shared" si="28"/>
        <v>0</v>
      </c>
      <c r="EM77" s="37">
        <f t="shared" si="21"/>
        <v>0</v>
      </c>
      <c r="EN77" s="37">
        <f t="shared" si="29"/>
        <v>0</v>
      </c>
      <c r="EO77" s="37">
        <f t="shared" si="29"/>
        <v>0</v>
      </c>
      <c r="EQ77" s="4"/>
      <c r="ER77" s="314"/>
    </row>
    <row r="78" spans="2:148" ht="14.25" customHeight="1" x14ac:dyDescent="0.3">
      <c r="B78" s="3">
        <f>IF('User Interface'!$C$127&gt;(COUNT($B$7:B77)/96),B77+0.0104166666666667,"")</f>
        <v>0.73958333333333648</v>
      </c>
      <c r="D78" s="1">
        <f>'User Interface'!$E$14*1000*'Optimization Results'!D78</f>
        <v>3218.7703035616437</v>
      </c>
      <c r="E78" s="1">
        <f>'User Interface'!$E$20*1000*'Optimization Results'!E78</f>
        <v>0</v>
      </c>
      <c r="F78" s="1">
        <f>'User Interface'!$E$20*1000*'Optimization Results'!F78</f>
        <v>0</v>
      </c>
      <c r="G78" s="1">
        <f>'User Interface'!$E$29*1000*'Optimization Results'!G78</f>
        <v>0</v>
      </c>
      <c r="H78" s="1">
        <f>'User Interface'!$E$35*1000*'Optimization Results'!H78</f>
        <v>0</v>
      </c>
      <c r="I78" s="1">
        <f>'User Interface'!$E$39*1000*'Optimization Results'!I78</f>
        <v>0</v>
      </c>
      <c r="J78">
        <v>552.39408000000003</v>
      </c>
      <c r="K78" s="1"/>
      <c r="L78" s="1">
        <f t="shared" si="22"/>
        <v>3771.1643835616437</v>
      </c>
      <c r="M78" s="1"/>
      <c r="N78" s="94">
        <f t="shared" si="23"/>
        <v>0</v>
      </c>
      <c r="O78" s="1"/>
      <c r="P78" s="1">
        <f t="shared" si="24"/>
        <v>3771.1643835616437</v>
      </c>
      <c r="Q78" s="1">
        <f t="shared" si="25"/>
        <v>5224.2400000000007</v>
      </c>
      <c r="S78" s="4">
        <v>3390</v>
      </c>
      <c r="T78" s="4">
        <v>0</v>
      </c>
      <c r="U78" s="4">
        <v>0</v>
      </c>
      <c r="V78" s="4">
        <v>5</v>
      </c>
      <c r="W78" s="4">
        <v>256.16438356164383</v>
      </c>
      <c r="X78" s="4">
        <v>120</v>
      </c>
      <c r="Y78" s="4">
        <v>0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Y78" s="4">
        <v>5224.2400000000007</v>
      </c>
      <c r="BZ78" s="4">
        <v>0</v>
      </c>
      <c r="CA78" s="4">
        <v>0</v>
      </c>
      <c r="CB78" s="4">
        <v>0</v>
      </c>
      <c r="CC78" s="4">
        <v>0</v>
      </c>
      <c r="CD78" s="4">
        <v>0</v>
      </c>
      <c r="CE78" s="4">
        <v>0</v>
      </c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F78">
        <f>(SUM('User Interface'!$E$14,'User Interface'!$E$20,'User Interface'!$E$29,'User Interface'!$E$35,'User Interface'!$E$39)*1000)+'PV Profiles'!B80</f>
        <v>15552.39408</v>
      </c>
      <c r="EH78" s="143">
        <f t="shared" si="26"/>
        <v>8995.4043835616449</v>
      </c>
      <c r="EJ78" s="37">
        <f t="shared" si="20"/>
        <v>3218.7703035616437</v>
      </c>
      <c r="EK78" s="37">
        <f t="shared" si="27"/>
        <v>0</v>
      </c>
      <c r="EL78" s="37">
        <f t="shared" si="28"/>
        <v>0</v>
      </c>
      <c r="EM78" s="37">
        <f t="shared" si="21"/>
        <v>0</v>
      </c>
      <c r="EN78" s="37">
        <f t="shared" si="29"/>
        <v>0</v>
      </c>
      <c r="EO78" s="37">
        <f t="shared" si="29"/>
        <v>0</v>
      </c>
      <c r="EQ78" s="4"/>
      <c r="ER78" s="314"/>
    </row>
    <row r="79" spans="2:148" ht="14.25" customHeight="1" x14ac:dyDescent="0.3">
      <c r="B79" s="3">
        <f>IF('User Interface'!$C$127&gt;(COUNT($B$7:B78)/96),B78+0.0104166666666667,"")</f>
        <v>0.75000000000000322</v>
      </c>
      <c r="D79" s="1">
        <f>'User Interface'!$E$14*1000*'Optimization Results'!D79</f>
        <v>3515</v>
      </c>
      <c r="E79" s="1">
        <f>'User Interface'!$E$20*1000*'Optimization Results'!E79</f>
        <v>0</v>
      </c>
      <c r="F79" s="1">
        <f>'User Interface'!$E$20*1000*'Optimization Results'!F79</f>
        <v>0</v>
      </c>
      <c r="G79" s="1">
        <f>'User Interface'!$E$29*1000*'Optimization Results'!G79</f>
        <v>0</v>
      </c>
      <c r="H79" s="1">
        <f>'User Interface'!$E$35*1000*'Optimization Results'!H79</f>
        <v>0</v>
      </c>
      <c r="I79" s="1">
        <f>'User Interface'!$E$39*1000*'Optimization Results'!I79</f>
        <v>0</v>
      </c>
      <c r="J79">
        <v>0</v>
      </c>
      <c r="K79" s="1"/>
      <c r="L79" s="1">
        <f t="shared" si="22"/>
        <v>3515</v>
      </c>
      <c r="M79" s="1"/>
      <c r="N79" s="94">
        <f t="shared" si="23"/>
        <v>0</v>
      </c>
      <c r="O79" s="1"/>
      <c r="P79" s="1">
        <f t="shared" si="24"/>
        <v>3515</v>
      </c>
      <c r="Q79" s="1">
        <f t="shared" si="25"/>
        <v>5224.2400000000007</v>
      </c>
      <c r="S79" s="4">
        <v>3390</v>
      </c>
      <c r="T79" s="4">
        <v>0</v>
      </c>
      <c r="U79" s="4">
        <v>0</v>
      </c>
      <c r="V79" s="4">
        <v>5</v>
      </c>
      <c r="W79" s="4">
        <v>0</v>
      </c>
      <c r="X79" s="4">
        <v>120</v>
      </c>
      <c r="Y79" s="4">
        <v>0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Y79" s="4">
        <v>5224.2400000000007</v>
      </c>
      <c r="BZ79" s="4">
        <v>0</v>
      </c>
      <c r="CA79" s="4">
        <v>0</v>
      </c>
      <c r="CB79" s="4">
        <v>0</v>
      </c>
      <c r="CC79" s="4">
        <v>0</v>
      </c>
      <c r="CD79" s="4">
        <v>0</v>
      </c>
      <c r="CE79" s="4">
        <v>0</v>
      </c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F79">
        <f>(SUM('User Interface'!$E$14,'User Interface'!$E$20,'User Interface'!$E$29,'User Interface'!$E$35,'User Interface'!$E$39)*1000)+'PV Profiles'!B81</f>
        <v>15000</v>
      </c>
      <c r="EH79" s="143">
        <f t="shared" si="26"/>
        <v>8739.2400000000016</v>
      </c>
      <c r="EJ79" s="37">
        <f t="shared" si="20"/>
        <v>3515</v>
      </c>
      <c r="EK79" s="37">
        <f t="shared" si="27"/>
        <v>0</v>
      </c>
      <c r="EL79" s="37">
        <f t="shared" si="28"/>
        <v>0</v>
      </c>
      <c r="EM79" s="37">
        <f t="shared" si="21"/>
        <v>0</v>
      </c>
      <c r="EN79" s="37">
        <f t="shared" si="29"/>
        <v>0</v>
      </c>
      <c r="EO79" s="37">
        <f t="shared" si="29"/>
        <v>0</v>
      </c>
      <c r="EQ79" s="4"/>
      <c r="ER79" s="314"/>
    </row>
    <row r="80" spans="2:148" ht="14.25" customHeight="1" x14ac:dyDescent="0.3">
      <c r="B80" s="3">
        <f>IF('User Interface'!$C$127&gt;(COUNT($B$7:B79)/96),B79+0.0104166666666667,"")</f>
        <v>0.76041666666666996</v>
      </c>
      <c r="D80" s="1">
        <f>'User Interface'!$E$14*1000*'Optimization Results'!D80</f>
        <v>3515</v>
      </c>
      <c r="E80" s="1">
        <f>'User Interface'!$E$20*1000*'Optimization Results'!E80</f>
        <v>0</v>
      </c>
      <c r="F80" s="1">
        <f>'User Interface'!$E$20*1000*'Optimization Results'!F80</f>
        <v>0</v>
      </c>
      <c r="G80" s="1">
        <f>'User Interface'!$E$29*1000*'Optimization Results'!G80</f>
        <v>0</v>
      </c>
      <c r="H80" s="1">
        <f>'User Interface'!$E$35*1000*'Optimization Results'!H80</f>
        <v>0</v>
      </c>
      <c r="I80" s="1">
        <f>'User Interface'!$E$39*1000*'Optimization Results'!I80</f>
        <v>0</v>
      </c>
      <c r="J80">
        <v>0</v>
      </c>
      <c r="K80" s="1"/>
      <c r="L80" s="1">
        <f t="shared" si="22"/>
        <v>3515</v>
      </c>
      <c r="M80" s="1"/>
      <c r="N80" s="94">
        <f t="shared" si="23"/>
        <v>0</v>
      </c>
      <c r="O80" s="1"/>
      <c r="P80" s="1">
        <f t="shared" si="24"/>
        <v>3515</v>
      </c>
      <c r="Q80" s="1">
        <f t="shared" si="25"/>
        <v>5224.2400000000007</v>
      </c>
      <c r="S80" s="4">
        <v>3390</v>
      </c>
      <c r="T80" s="4">
        <v>0</v>
      </c>
      <c r="U80" s="4">
        <v>0</v>
      </c>
      <c r="V80" s="4">
        <v>5</v>
      </c>
      <c r="W80" s="4">
        <v>0</v>
      </c>
      <c r="X80" s="4">
        <v>120</v>
      </c>
      <c r="Y80" s="4">
        <v>0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Y80" s="4">
        <v>5224.2400000000007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F80">
        <f>(SUM('User Interface'!$E$14,'User Interface'!$E$20,'User Interface'!$E$29,'User Interface'!$E$35,'User Interface'!$E$39)*1000)+'PV Profiles'!B82</f>
        <v>15000</v>
      </c>
      <c r="EH80" s="143">
        <f t="shared" si="26"/>
        <v>8739.2400000000016</v>
      </c>
      <c r="EJ80" s="37">
        <f t="shared" si="20"/>
        <v>3515</v>
      </c>
      <c r="EK80" s="37">
        <f t="shared" si="27"/>
        <v>0</v>
      </c>
      <c r="EL80" s="37">
        <f t="shared" si="28"/>
        <v>0</v>
      </c>
      <c r="EM80" s="37">
        <f t="shared" si="21"/>
        <v>0</v>
      </c>
      <c r="EN80" s="37">
        <f t="shared" si="29"/>
        <v>0</v>
      </c>
      <c r="EO80" s="37">
        <f t="shared" si="29"/>
        <v>0</v>
      </c>
      <c r="EQ80" s="4"/>
      <c r="ER80" s="314"/>
    </row>
    <row r="81" spans="2:148" ht="14.25" customHeight="1" x14ac:dyDescent="0.3">
      <c r="B81" s="3">
        <f>IF('User Interface'!$C$127&gt;(COUNT($B$7:B80)/96),B80+0.0104166666666667,"")</f>
        <v>0.7708333333333367</v>
      </c>
      <c r="D81" s="1">
        <f>'User Interface'!$E$14*1000*'Optimization Results'!D81</f>
        <v>3771.1643835616437</v>
      </c>
      <c r="E81" s="1">
        <f>'User Interface'!$E$20*1000*'Optimization Results'!E81</f>
        <v>0</v>
      </c>
      <c r="F81" s="1">
        <f>'User Interface'!$E$20*1000*'Optimization Results'!F81</f>
        <v>0</v>
      </c>
      <c r="G81" s="1">
        <f>'User Interface'!$E$29*1000*'Optimization Results'!G81</f>
        <v>0</v>
      </c>
      <c r="H81" s="1">
        <f>'User Interface'!$E$35*1000*'Optimization Results'!H81</f>
        <v>0</v>
      </c>
      <c r="I81" s="1">
        <f>'User Interface'!$E$39*1000*'Optimization Results'!I81</f>
        <v>0</v>
      </c>
      <c r="J81">
        <v>0</v>
      </c>
      <c r="K81" s="1"/>
      <c r="L81" s="1">
        <f t="shared" si="22"/>
        <v>3771.1643835616437</v>
      </c>
      <c r="M81" s="1"/>
      <c r="N81" s="94">
        <f t="shared" si="23"/>
        <v>0</v>
      </c>
      <c r="O81" s="1"/>
      <c r="P81" s="1">
        <f t="shared" si="24"/>
        <v>3771.1643835616437</v>
      </c>
      <c r="Q81" s="1">
        <f t="shared" si="25"/>
        <v>5224.2400000000007</v>
      </c>
      <c r="S81" s="4">
        <v>3390</v>
      </c>
      <c r="T81" s="4">
        <v>0</v>
      </c>
      <c r="U81" s="4">
        <v>0</v>
      </c>
      <c r="V81" s="4">
        <v>5</v>
      </c>
      <c r="W81" s="4">
        <v>256.16438356164383</v>
      </c>
      <c r="X81" s="4">
        <v>120</v>
      </c>
      <c r="Y81" s="4">
        <v>0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Y81" s="4">
        <v>5224.2400000000007</v>
      </c>
      <c r="BZ81" s="4">
        <v>0</v>
      </c>
      <c r="CA81" s="4">
        <v>0</v>
      </c>
      <c r="CB81" s="4">
        <v>0</v>
      </c>
      <c r="CC81" s="4">
        <v>512.32876712328766</v>
      </c>
      <c r="CD81" s="4">
        <v>0</v>
      </c>
      <c r="CE81" s="4">
        <v>0</v>
      </c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F81">
        <f>(SUM('User Interface'!$E$14,'User Interface'!$E$20,'User Interface'!$E$29,'User Interface'!$E$35,'User Interface'!$E$39)*1000)+'PV Profiles'!B83</f>
        <v>15000</v>
      </c>
      <c r="EH81" s="143">
        <f t="shared" si="26"/>
        <v>8995.4043835616449</v>
      </c>
      <c r="EJ81" s="37">
        <f t="shared" si="20"/>
        <v>3771.1643835616437</v>
      </c>
      <c r="EK81" s="37">
        <f t="shared" si="27"/>
        <v>0</v>
      </c>
      <c r="EL81" s="37">
        <f t="shared" si="28"/>
        <v>0</v>
      </c>
      <c r="EM81" s="37">
        <f t="shared" si="21"/>
        <v>0</v>
      </c>
      <c r="EN81" s="37">
        <f t="shared" si="29"/>
        <v>0</v>
      </c>
      <c r="EO81" s="37">
        <f t="shared" si="29"/>
        <v>0</v>
      </c>
      <c r="EQ81" s="4"/>
      <c r="ER81" s="314"/>
    </row>
    <row r="82" spans="2:148" ht="14.25" customHeight="1" x14ac:dyDescent="0.3">
      <c r="B82" s="3">
        <f>IF('User Interface'!$C$127&gt;(COUNT($B$7:B81)/96),B81+0.0104166666666667,"")</f>
        <v>0.78125000000000344</v>
      </c>
      <c r="D82" s="1">
        <f>'User Interface'!$E$14*1000*'Optimization Results'!D82</f>
        <v>3771.1643835616437</v>
      </c>
      <c r="E82" s="1">
        <f>'User Interface'!$E$20*1000*'Optimization Results'!E82</f>
        <v>0</v>
      </c>
      <c r="F82" s="1">
        <f>'User Interface'!$E$20*1000*'Optimization Results'!F82</f>
        <v>0</v>
      </c>
      <c r="G82" s="1">
        <f>'User Interface'!$E$29*1000*'Optimization Results'!G82</f>
        <v>0</v>
      </c>
      <c r="H82" s="1">
        <f>'User Interface'!$E$35*1000*'Optimization Results'!H82</f>
        <v>0</v>
      </c>
      <c r="I82" s="1">
        <f>'User Interface'!$E$39*1000*'Optimization Results'!I82</f>
        <v>0</v>
      </c>
      <c r="J82">
        <v>0</v>
      </c>
      <c r="K82" s="1"/>
      <c r="L82" s="1">
        <f t="shared" si="22"/>
        <v>3771.1643835616437</v>
      </c>
      <c r="M82" s="1"/>
      <c r="N82" s="94">
        <f t="shared" si="23"/>
        <v>0</v>
      </c>
      <c r="O82" s="1"/>
      <c r="P82" s="1">
        <f t="shared" si="24"/>
        <v>3771.1643835616437</v>
      </c>
      <c r="Q82" s="1">
        <f t="shared" si="25"/>
        <v>5224.2400000000007</v>
      </c>
      <c r="S82" s="4">
        <v>3390</v>
      </c>
      <c r="T82" s="4">
        <v>0</v>
      </c>
      <c r="U82" s="4">
        <v>0</v>
      </c>
      <c r="V82" s="4">
        <v>5</v>
      </c>
      <c r="W82" s="4">
        <v>256.16438356164383</v>
      </c>
      <c r="X82" s="4">
        <v>120</v>
      </c>
      <c r="Y82" s="4">
        <v>0</v>
      </c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Y82" s="4">
        <v>5224.2400000000007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F82">
        <f>(SUM('User Interface'!$E$14,'User Interface'!$E$20,'User Interface'!$E$29,'User Interface'!$E$35,'User Interface'!$E$39)*1000)+'PV Profiles'!B84</f>
        <v>15000</v>
      </c>
      <c r="EH82" s="143">
        <f t="shared" si="26"/>
        <v>8995.4043835616449</v>
      </c>
      <c r="EJ82" s="37">
        <f t="shared" si="20"/>
        <v>3771.1643835616437</v>
      </c>
      <c r="EK82" s="37">
        <f t="shared" si="27"/>
        <v>0</v>
      </c>
      <c r="EL82" s="37">
        <f t="shared" si="28"/>
        <v>0</v>
      </c>
      <c r="EM82" s="37">
        <f t="shared" si="21"/>
        <v>0</v>
      </c>
      <c r="EN82" s="37">
        <f t="shared" si="29"/>
        <v>0</v>
      </c>
      <c r="EO82" s="37">
        <f t="shared" si="29"/>
        <v>0</v>
      </c>
      <c r="EQ82" s="4"/>
      <c r="ER82" s="314"/>
    </row>
    <row r="83" spans="2:148" ht="14.25" customHeight="1" x14ac:dyDescent="0.3">
      <c r="B83" s="3">
        <f>IF('User Interface'!$C$127&gt;(COUNT($B$7:B82)/96),B82+0.0104166666666667,"")</f>
        <v>0.79166666666667018</v>
      </c>
      <c r="D83" s="1">
        <f>'User Interface'!$E$14*1000*'Optimization Results'!D83</f>
        <v>3515</v>
      </c>
      <c r="E83" s="1">
        <f>'User Interface'!$E$20*1000*'Optimization Results'!E83</f>
        <v>0</v>
      </c>
      <c r="F83" s="1">
        <f>'User Interface'!$E$20*1000*'Optimization Results'!F83</f>
        <v>0</v>
      </c>
      <c r="G83" s="1">
        <f>'User Interface'!$E$29*1000*'Optimization Results'!G83</f>
        <v>0</v>
      </c>
      <c r="H83" s="1">
        <f>'User Interface'!$E$35*1000*'Optimization Results'!H83</f>
        <v>0</v>
      </c>
      <c r="I83" s="1">
        <f>'User Interface'!$E$39*1000*'Optimization Results'!I83</f>
        <v>0</v>
      </c>
      <c r="J83">
        <v>0</v>
      </c>
      <c r="K83" s="1"/>
      <c r="L83" s="1">
        <f t="shared" si="22"/>
        <v>3515</v>
      </c>
      <c r="M83" s="1"/>
      <c r="N83" s="94">
        <f t="shared" si="23"/>
        <v>0</v>
      </c>
      <c r="O83" s="1"/>
      <c r="P83" s="1">
        <f t="shared" si="24"/>
        <v>3515</v>
      </c>
      <c r="Q83" s="1">
        <f t="shared" si="25"/>
        <v>5224.2400000000007</v>
      </c>
      <c r="S83" s="4">
        <v>3390</v>
      </c>
      <c r="T83" s="4">
        <v>0</v>
      </c>
      <c r="U83" s="4">
        <v>0</v>
      </c>
      <c r="V83" s="4">
        <v>5</v>
      </c>
      <c r="W83" s="4">
        <v>0</v>
      </c>
      <c r="X83" s="4">
        <v>120</v>
      </c>
      <c r="Y83" s="4">
        <v>0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Y83" s="4">
        <v>5224.2400000000007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F83">
        <f>(SUM('User Interface'!$E$14,'User Interface'!$E$20,'User Interface'!$E$29,'User Interface'!$E$35,'User Interface'!$E$39)*1000)+'PV Profiles'!B85</f>
        <v>15000</v>
      </c>
      <c r="EH83" s="143">
        <f t="shared" si="26"/>
        <v>8739.2400000000016</v>
      </c>
      <c r="EJ83" s="37">
        <f t="shared" si="20"/>
        <v>3515</v>
      </c>
      <c r="EK83" s="37">
        <f t="shared" si="27"/>
        <v>0</v>
      </c>
      <c r="EL83" s="37">
        <f t="shared" si="28"/>
        <v>0</v>
      </c>
      <c r="EM83" s="37">
        <f t="shared" si="21"/>
        <v>0</v>
      </c>
      <c r="EN83" s="37">
        <f t="shared" si="29"/>
        <v>0</v>
      </c>
      <c r="EO83" s="37">
        <f t="shared" si="29"/>
        <v>0</v>
      </c>
      <c r="EQ83" s="4"/>
      <c r="ER83" s="314"/>
    </row>
    <row r="84" spans="2:148" ht="14.25" customHeight="1" x14ac:dyDescent="0.3">
      <c r="B84" s="3">
        <f>IF('User Interface'!$C$127&gt;(COUNT($B$7:B83)/96),B83+0.0104166666666667,"")</f>
        <v>0.80208333333333692</v>
      </c>
      <c r="D84" s="1">
        <f>'User Interface'!$E$14*1000*'Optimization Results'!D84</f>
        <v>3515</v>
      </c>
      <c r="E84" s="1">
        <f>'User Interface'!$E$20*1000*'Optimization Results'!E84</f>
        <v>0</v>
      </c>
      <c r="F84" s="1">
        <f>'User Interface'!$E$20*1000*'Optimization Results'!F84</f>
        <v>0</v>
      </c>
      <c r="G84" s="1">
        <f>'User Interface'!$E$29*1000*'Optimization Results'!G84</f>
        <v>0</v>
      </c>
      <c r="H84" s="1">
        <f>'User Interface'!$E$35*1000*'Optimization Results'!H84</f>
        <v>0</v>
      </c>
      <c r="I84" s="1">
        <f>'User Interface'!$E$39*1000*'Optimization Results'!I84</f>
        <v>0</v>
      </c>
      <c r="J84">
        <v>0</v>
      </c>
      <c r="K84" s="1"/>
      <c r="L84" s="1">
        <f t="shared" si="22"/>
        <v>3515</v>
      </c>
      <c r="M84" s="1"/>
      <c r="N84" s="94">
        <f t="shared" si="23"/>
        <v>0</v>
      </c>
      <c r="O84" s="1"/>
      <c r="P84" s="1">
        <f t="shared" si="24"/>
        <v>3515</v>
      </c>
      <c r="Q84" s="1">
        <f t="shared" si="25"/>
        <v>5224.2400000000007</v>
      </c>
      <c r="S84" s="4">
        <v>3390</v>
      </c>
      <c r="T84" s="4">
        <v>0</v>
      </c>
      <c r="U84" s="4">
        <v>0</v>
      </c>
      <c r="V84" s="4">
        <v>5</v>
      </c>
      <c r="W84" s="4">
        <v>0</v>
      </c>
      <c r="X84" s="4">
        <v>120</v>
      </c>
      <c r="Y84" s="4">
        <v>0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Y84" s="4">
        <v>5224.2400000000007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F84">
        <f>(SUM('User Interface'!$E$14,'User Interface'!$E$20,'User Interface'!$E$29,'User Interface'!$E$35,'User Interface'!$E$39)*1000)+'PV Profiles'!B86</f>
        <v>15000</v>
      </c>
      <c r="EH84" s="143">
        <f t="shared" si="26"/>
        <v>8739.2400000000016</v>
      </c>
      <c r="EJ84" s="37">
        <f t="shared" si="20"/>
        <v>3515</v>
      </c>
      <c r="EK84" s="37">
        <f t="shared" si="27"/>
        <v>0</v>
      </c>
      <c r="EL84" s="37">
        <f t="shared" si="28"/>
        <v>0</v>
      </c>
      <c r="EM84" s="37">
        <f t="shared" si="21"/>
        <v>0</v>
      </c>
      <c r="EN84" s="37">
        <f t="shared" si="29"/>
        <v>0</v>
      </c>
      <c r="EO84" s="37">
        <f t="shared" si="29"/>
        <v>0</v>
      </c>
      <c r="EQ84" s="4"/>
      <c r="ER84" s="314"/>
    </row>
    <row r="85" spans="2:148" ht="14.25" customHeight="1" x14ac:dyDescent="0.3">
      <c r="B85" s="3">
        <f>IF('User Interface'!$C$127&gt;(COUNT($B$7:B84)/96),B84+0.0104166666666667,"")</f>
        <v>0.81250000000000366</v>
      </c>
      <c r="D85" s="1">
        <f>'User Interface'!$E$14*1000*'Optimization Results'!D85</f>
        <v>3771.1643835616437</v>
      </c>
      <c r="E85" s="1">
        <f>'User Interface'!$E$20*1000*'Optimization Results'!E85</f>
        <v>0</v>
      </c>
      <c r="F85" s="1">
        <f>'User Interface'!$E$20*1000*'Optimization Results'!F85</f>
        <v>0</v>
      </c>
      <c r="G85" s="1">
        <f>'User Interface'!$E$29*1000*'Optimization Results'!G85</f>
        <v>0</v>
      </c>
      <c r="H85" s="1">
        <f>'User Interface'!$E$35*1000*'Optimization Results'!H85</f>
        <v>0</v>
      </c>
      <c r="I85" s="1">
        <f>'User Interface'!$E$39*1000*'Optimization Results'!I85</f>
        <v>0</v>
      </c>
      <c r="J85">
        <v>0</v>
      </c>
      <c r="K85" s="1"/>
      <c r="L85" s="1">
        <f t="shared" si="22"/>
        <v>3771.1643835616437</v>
      </c>
      <c r="M85" s="1"/>
      <c r="N85" s="94">
        <f t="shared" si="23"/>
        <v>0</v>
      </c>
      <c r="O85" s="1"/>
      <c r="P85" s="1">
        <f t="shared" si="24"/>
        <v>3771.1643835616437</v>
      </c>
      <c r="Q85" s="1">
        <f t="shared" si="25"/>
        <v>5224.2400000000007</v>
      </c>
      <c r="S85" s="4">
        <v>3390</v>
      </c>
      <c r="T85" s="4">
        <v>0</v>
      </c>
      <c r="U85" s="4">
        <v>0</v>
      </c>
      <c r="V85" s="4">
        <v>5</v>
      </c>
      <c r="W85" s="4">
        <v>256.16438356164383</v>
      </c>
      <c r="X85" s="4">
        <v>120</v>
      </c>
      <c r="Y85" s="4">
        <v>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Y85" s="4">
        <v>5224.2400000000007</v>
      </c>
      <c r="BZ85" s="4">
        <v>0</v>
      </c>
      <c r="CA85" s="4">
        <v>0</v>
      </c>
      <c r="CB85" s="4">
        <v>0</v>
      </c>
      <c r="CC85" s="4">
        <v>512.32876712328766</v>
      </c>
      <c r="CD85" s="4">
        <v>0</v>
      </c>
      <c r="CE85" s="4">
        <v>0</v>
      </c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F85">
        <f>(SUM('User Interface'!$E$14,'User Interface'!$E$20,'User Interface'!$E$29,'User Interface'!$E$35,'User Interface'!$E$39)*1000)+'PV Profiles'!B87</f>
        <v>15000</v>
      </c>
      <c r="EH85" s="143">
        <f t="shared" si="26"/>
        <v>8995.4043835616449</v>
      </c>
      <c r="EJ85" s="37">
        <f t="shared" si="20"/>
        <v>3771.1643835616437</v>
      </c>
      <c r="EK85" s="37">
        <f t="shared" si="27"/>
        <v>0</v>
      </c>
      <c r="EL85" s="37">
        <f t="shared" si="28"/>
        <v>0</v>
      </c>
      <c r="EM85" s="37">
        <f t="shared" si="21"/>
        <v>0</v>
      </c>
      <c r="EN85" s="37">
        <f t="shared" si="29"/>
        <v>0</v>
      </c>
      <c r="EO85" s="37">
        <f t="shared" si="29"/>
        <v>0</v>
      </c>
      <c r="EQ85" s="4"/>
      <c r="ER85" s="314"/>
    </row>
    <row r="86" spans="2:148" ht="14.25" customHeight="1" x14ac:dyDescent="0.3">
      <c r="B86" s="3">
        <f>IF('User Interface'!$C$127&gt;(COUNT($B$7:B85)/96),B85+0.0104166666666667,"")</f>
        <v>0.8229166666666704</v>
      </c>
      <c r="D86" s="1">
        <f>'User Interface'!$E$14*1000*'Optimization Results'!D86</f>
        <v>3771.1643835616437</v>
      </c>
      <c r="E86" s="1">
        <f>'User Interface'!$E$20*1000*'Optimization Results'!E86</f>
        <v>0</v>
      </c>
      <c r="F86" s="1">
        <f>'User Interface'!$E$20*1000*'Optimization Results'!F86</f>
        <v>0</v>
      </c>
      <c r="G86" s="1">
        <f>'User Interface'!$E$29*1000*'Optimization Results'!G86</f>
        <v>0</v>
      </c>
      <c r="H86" s="1">
        <f>'User Interface'!$E$35*1000*'Optimization Results'!H86</f>
        <v>0</v>
      </c>
      <c r="I86" s="1">
        <f>'User Interface'!$E$39*1000*'Optimization Results'!I86</f>
        <v>0</v>
      </c>
      <c r="J86">
        <v>0</v>
      </c>
      <c r="K86" s="1"/>
      <c r="L86" s="1">
        <f t="shared" si="22"/>
        <v>3771.1643835616437</v>
      </c>
      <c r="M86" s="1"/>
      <c r="N86" s="94">
        <f t="shared" si="23"/>
        <v>0</v>
      </c>
      <c r="O86" s="1"/>
      <c r="P86" s="1">
        <f t="shared" si="24"/>
        <v>3771.1643835616437</v>
      </c>
      <c r="Q86" s="1">
        <f t="shared" si="25"/>
        <v>5224.2400000000007</v>
      </c>
      <c r="S86" s="4">
        <v>3390</v>
      </c>
      <c r="T86" s="4">
        <v>0</v>
      </c>
      <c r="U86" s="4">
        <v>0</v>
      </c>
      <c r="V86" s="4">
        <v>5</v>
      </c>
      <c r="W86" s="4">
        <v>256.16438356164383</v>
      </c>
      <c r="X86" s="4">
        <v>120</v>
      </c>
      <c r="Y86" s="4">
        <v>0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Y86" s="4">
        <v>5224.2400000000007</v>
      </c>
      <c r="BZ86" s="4">
        <v>0</v>
      </c>
      <c r="CA86" s="4">
        <v>0</v>
      </c>
      <c r="CB86" s="4">
        <v>0</v>
      </c>
      <c r="CC86" s="4">
        <v>0</v>
      </c>
      <c r="CD86" s="4">
        <v>0</v>
      </c>
      <c r="CE86" s="4">
        <v>0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F86">
        <f>(SUM('User Interface'!$E$14,'User Interface'!$E$20,'User Interface'!$E$29,'User Interface'!$E$35,'User Interface'!$E$39)*1000)+'PV Profiles'!B88</f>
        <v>15000</v>
      </c>
      <c r="EH86" s="143">
        <f t="shared" si="26"/>
        <v>8995.4043835616449</v>
      </c>
      <c r="EJ86" s="37">
        <f t="shared" si="20"/>
        <v>3771.1643835616437</v>
      </c>
      <c r="EK86" s="37">
        <f t="shared" si="27"/>
        <v>0</v>
      </c>
      <c r="EL86" s="37">
        <f t="shared" si="28"/>
        <v>0</v>
      </c>
      <c r="EM86" s="37">
        <f t="shared" si="21"/>
        <v>0</v>
      </c>
      <c r="EN86" s="37">
        <f t="shared" si="29"/>
        <v>0</v>
      </c>
      <c r="EO86" s="37">
        <f t="shared" si="29"/>
        <v>0</v>
      </c>
      <c r="EQ86" s="4"/>
      <c r="ER86" s="314"/>
    </row>
    <row r="87" spans="2:148" ht="14.25" customHeight="1" x14ac:dyDescent="0.3">
      <c r="B87" s="3">
        <f>IF('User Interface'!$C$127&gt;(COUNT($B$7:B86)/96),B86+0.0104166666666667,"")</f>
        <v>0.83333333333333715</v>
      </c>
      <c r="D87" s="1">
        <f>'User Interface'!$E$14*1000*'Optimization Results'!D87</f>
        <v>9999.9999999999982</v>
      </c>
      <c r="E87" s="1">
        <f>'User Interface'!$E$20*1000*'Optimization Results'!E87</f>
        <v>0</v>
      </c>
      <c r="F87" s="1">
        <f>'User Interface'!$E$20*1000*'Optimization Results'!F87</f>
        <v>0</v>
      </c>
      <c r="G87" s="1">
        <f>'User Interface'!$E$29*1000*'Optimization Results'!G87</f>
        <v>24.999999999999982</v>
      </c>
      <c r="H87" s="1">
        <f>'User Interface'!$E$35*1000*'Optimization Results'!H87</f>
        <v>0</v>
      </c>
      <c r="I87" s="1">
        <f>'User Interface'!$E$39*1000*'Optimization Results'!I87</f>
        <v>0</v>
      </c>
      <c r="J87">
        <v>0</v>
      </c>
      <c r="K87" s="1"/>
      <c r="L87" s="1">
        <f t="shared" si="22"/>
        <v>10024.999999999998</v>
      </c>
      <c r="M87" s="1"/>
      <c r="N87" s="94">
        <f t="shared" si="23"/>
        <v>0</v>
      </c>
      <c r="O87" s="1"/>
      <c r="P87" s="1">
        <f t="shared" si="24"/>
        <v>10025</v>
      </c>
      <c r="Q87" s="1">
        <f t="shared" si="25"/>
        <v>0</v>
      </c>
      <c r="S87" s="4">
        <v>5400</v>
      </c>
      <c r="T87" s="4">
        <v>0</v>
      </c>
      <c r="U87" s="4">
        <v>0</v>
      </c>
      <c r="V87" s="4">
        <v>5</v>
      </c>
      <c r="W87" s="4">
        <v>0</v>
      </c>
      <c r="X87" s="4">
        <v>120</v>
      </c>
      <c r="Y87" s="4">
        <v>4500</v>
      </c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F87">
        <f>(SUM('User Interface'!$E$14,'User Interface'!$E$20,'User Interface'!$E$29,'User Interface'!$E$35,'User Interface'!$E$39)*1000)+'PV Profiles'!B89</f>
        <v>15000</v>
      </c>
      <c r="EH87" s="143">
        <f t="shared" si="26"/>
        <v>10025</v>
      </c>
      <c r="EJ87" s="37">
        <f t="shared" si="20"/>
        <v>9999.9999999999982</v>
      </c>
      <c r="EK87" s="37">
        <f t="shared" si="27"/>
        <v>0</v>
      </c>
      <c r="EL87" s="37">
        <f t="shared" ref="EL87:EL102" si="30">IF(G87&gt;0,G87,0)</f>
        <v>24.999999999999982</v>
      </c>
      <c r="EM87" s="37">
        <f t="shared" si="21"/>
        <v>0</v>
      </c>
      <c r="EN87" s="37">
        <f t="shared" si="29"/>
        <v>0</v>
      </c>
      <c r="EO87" s="37">
        <f t="shared" si="29"/>
        <v>0</v>
      </c>
      <c r="EQ87" s="4"/>
      <c r="ER87" s="314"/>
    </row>
    <row r="88" spans="2:148" ht="14.25" customHeight="1" x14ac:dyDescent="0.3">
      <c r="B88" s="3">
        <f>IF('User Interface'!$C$127&gt;(COUNT($B$7:B87)/96),B87+0.0104166666666667,"")</f>
        <v>0.84375000000000389</v>
      </c>
      <c r="D88" s="1">
        <f>'User Interface'!$E$14*1000*'Optimization Results'!D88</f>
        <v>125</v>
      </c>
      <c r="E88" s="1">
        <f>'User Interface'!$E$20*1000*'Optimization Results'!E88</f>
        <v>0</v>
      </c>
      <c r="F88" s="1">
        <f>'User Interface'!$E$20*1000*'Optimization Results'!F88</f>
        <v>0</v>
      </c>
      <c r="G88" s="1">
        <f>'User Interface'!$E$29*1000*'Optimization Results'!G88</f>
        <v>0</v>
      </c>
      <c r="H88" s="1">
        <f>'User Interface'!$E$35*1000*'Optimization Results'!H88</f>
        <v>0</v>
      </c>
      <c r="I88" s="1">
        <f>'User Interface'!$E$39*1000*'Optimization Results'!I88</f>
        <v>0</v>
      </c>
      <c r="J88">
        <v>0</v>
      </c>
      <c r="K88" s="1"/>
      <c r="L88" s="1">
        <f t="shared" si="22"/>
        <v>125</v>
      </c>
      <c r="M88" s="1"/>
      <c r="N88" s="94">
        <f t="shared" si="23"/>
        <v>0</v>
      </c>
      <c r="O88" s="1"/>
      <c r="P88" s="1">
        <f t="shared" si="24"/>
        <v>125</v>
      </c>
      <c r="Q88" s="1">
        <f t="shared" si="25"/>
        <v>0</v>
      </c>
      <c r="S88" s="4">
        <v>0</v>
      </c>
      <c r="T88" s="4">
        <v>0</v>
      </c>
      <c r="U88" s="4">
        <v>0</v>
      </c>
      <c r="V88" s="4">
        <v>5</v>
      </c>
      <c r="W88" s="4">
        <v>0</v>
      </c>
      <c r="X88" s="4">
        <v>120</v>
      </c>
      <c r="Y88" s="4">
        <v>0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Y88" s="4">
        <v>0</v>
      </c>
      <c r="BZ88" s="4">
        <v>0</v>
      </c>
      <c r="CA88" s="4">
        <v>0</v>
      </c>
      <c r="CB88" s="4">
        <v>0</v>
      </c>
      <c r="CC88" s="4">
        <v>0</v>
      </c>
      <c r="CD88" s="4">
        <v>0</v>
      </c>
      <c r="CE88" s="4">
        <v>0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F88">
        <f>(SUM('User Interface'!$E$14,'User Interface'!$E$20,'User Interface'!$E$29,'User Interface'!$E$35,'User Interface'!$E$39)*1000)+'PV Profiles'!B90</f>
        <v>15000</v>
      </c>
      <c r="EH88" s="143">
        <f t="shared" si="26"/>
        <v>125</v>
      </c>
      <c r="EJ88" s="37">
        <f t="shared" si="20"/>
        <v>125</v>
      </c>
      <c r="EK88" s="37">
        <f t="shared" si="27"/>
        <v>0</v>
      </c>
      <c r="EL88" s="37">
        <f t="shared" si="30"/>
        <v>0</v>
      </c>
      <c r="EM88" s="37">
        <f t="shared" si="21"/>
        <v>0</v>
      </c>
      <c r="EN88" s="37">
        <f t="shared" si="29"/>
        <v>0</v>
      </c>
      <c r="EO88" s="37">
        <f t="shared" si="29"/>
        <v>0</v>
      </c>
      <c r="EQ88" s="4"/>
      <c r="ER88" s="314"/>
    </row>
    <row r="89" spans="2:148" ht="14.25" customHeight="1" x14ac:dyDescent="0.3">
      <c r="B89" s="3">
        <f>IF('User Interface'!$C$127&gt;(COUNT($B$7:B88)/96),B88+0.0104166666666667,"")</f>
        <v>0.85416666666667063</v>
      </c>
      <c r="D89" s="1">
        <f>'User Interface'!$E$14*1000*'Optimization Results'!D89</f>
        <v>381.16438356164383</v>
      </c>
      <c r="E89" s="1">
        <f>'User Interface'!$E$20*1000*'Optimization Results'!E89</f>
        <v>0</v>
      </c>
      <c r="F89" s="1">
        <f>'User Interface'!$E$20*1000*'Optimization Results'!F89</f>
        <v>0</v>
      </c>
      <c r="G89" s="1">
        <f>'User Interface'!$E$29*1000*'Optimization Results'!G89</f>
        <v>0</v>
      </c>
      <c r="H89" s="1">
        <f>'User Interface'!$E$35*1000*'Optimization Results'!H89</f>
        <v>0</v>
      </c>
      <c r="I89" s="1">
        <f>'User Interface'!$E$39*1000*'Optimization Results'!I89</f>
        <v>0</v>
      </c>
      <c r="J89">
        <v>0</v>
      </c>
      <c r="K89" s="1"/>
      <c r="L89" s="1">
        <f t="shared" si="22"/>
        <v>381.16438356164383</v>
      </c>
      <c r="M89" s="1"/>
      <c r="N89" s="94">
        <f t="shared" si="23"/>
        <v>0</v>
      </c>
      <c r="O89" s="1"/>
      <c r="P89" s="1">
        <f t="shared" si="24"/>
        <v>381.16438356164383</v>
      </c>
      <c r="Q89" s="1">
        <f t="shared" si="25"/>
        <v>512.32876712328766</v>
      </c>
      <c r="S89" s="4">
        <v>0</v>
      </c>
      <c r="T89" s="4">
        <v>0</v>
      </c>
      <c r="U89" s="4">
        <v>0</v>
      </c>
      <c r="V89" s="4">
        <v>5</v>
      </c>
      <c r="W89" s="4">
        <v>256.16438356164383</v>
      </c>
      <c r="X89" s="4">
        <v>120</v>
      </c>
      <c r="Y89" s="4">
        <v>0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Y89" s="4">
        <v>0</v>
      </c>
      <c r="BZ89" s="4">
        <v>0</v>
      </c>
      <c r="CA89" s="4">
        <v>0</v>
      </c>
      <c r="CB89" s="4">
        <v>0</v>
      </c>
      <c r="CC89" s="4">
        <v>512.32876712328766</v>
      </c>
      <c r="CD89" s="4">
        <v>0</v>
      </c>
      <c r="CE89" s="4">
        <v>0</v>
      </c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F89">
        <f>(SUM('User Interface'!$E$14,'User Interface'!$E$20,'User Interface'!$E$29,'User Interface'!$E$35,'User Interface'!$E$39)*1000)+'PV Profiles'!B91</f>
        <v>15000</v>
      </c>
      <c r="EH89" s="143">
        <f t="shared" si="26"/>
        <v>893.49315068493149</v>
      </c>
      <c r="EJ89" s="37">
        <f t="shared" si="20"/>
        <v>381.16438356164383</v>
      </c>
      <c r="EK89" s="37">
        <f t="shared" si="27"/>
        <v>0</v>
      </c>
      <c r="EL89" s="37">
        <f t="shared" si="30"/>
        <v>0</v>
      </c>
      <c r="EM89" s="37">
        <f t="shared" si="21"/>
        <v>0</v>
      </c>
      <c r="EN89" s="37">
        <f t="shared" si="29"/>
        <v>0</v>
      </c>
      <c r="EO89" s="37">
        <f t="shared" si="29"/>
        <v>0</v>
      </c>
      <c r="EQ89" s="4"/>
      <c r="ER89" s="314"/>
    </row>
    <row r="90" spans="2:148" ht="14.25" customHeight="1" x14ac:dyDescent="0.3">
      <c r="B90" s="3">
        <f>IF('User Interface'!$C$127&gt;(COUNT($B$7:B89)/96),B89+0.0104166666666667,"")</f>
        <v>0.86458333333333737</v>
      </c>
      <c r="D90" s="1">
        <f>'User Interface'!$E$14*1000*'Optimization Results'!D90</f>
        <v>381.16438356164383</v>
      </c>
      <c r="E90" s="1">
        <f>'User Interface'!$E$20*1000*'Optimization Results'!E90</f>
        <v>0</v>
      </c>
      <c r="F90" s="1">
        <f>'User Interface'!$E$20*1000*'Optimization Results'!F90</f>
        <v>0</v>
      </c>
      <c r="G90" s="1">
        <f>'User Interface'!$E$29*1000*'Optimization Results'!G90</f>
        <v>0</v>
      </c>
      <c r="H90" s="1">
        <f>'User Interface'!$E$35*1000*'Optimization Results'!H90</f>
        <v>0</v>
      </c>
      <c r="I90" s="1">
        <f>'User Interface'!$E$39*1000*'Optimization Results'!I90</f>
        <v>0</v>
      </c>
      <c r="J90">
        <v>0</v>
      </c>
      <c r="K90" s="1"/>
      <c r="L90" s="1">
        <f t="shared" si="22"/>
        <v>381.16438356164383</v>
      </c>
      <c r="M90" s="1"/>
      <c r="N90" s="94">
        <f t="shared" si="23"/>
        <v>0</v>
      </c>
      <c r="O90" s="1"/>
      <c r="P90" s="1">
        <f t="shared" si="24"/>
        <v>381.16438356164383</v>
      </c>
      <c r="Q90" s="1">
        <f t="shared" si="25"/>
        <v>0</v>
      </c>
      <c r="S90" s="4">
        <v>0</v>
      </c>
      <c r="T90" s="4">
        <v>0</v>
      </c>
      <c r="U90" s="4">
        <v>0</v>
      </c>
      <c r="V90" s="4">
        <v>5</v>
      </c>
      <c r="W90" s="4">
        <v>256.16438356164383</v>
      </c>
      <c r="X90" s="4">
        <v>120</v>
      </c>
      <c r="Y90" s="4">
        <v>0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Y90" s="4">
        <v>0</v>
      </c>
      <c r="BZ90" s="4">
        <v>0</v>
      </c>
      <c r="CA90" s="4">
        <v>0</v>
      </c>
      <c r="CB90" s="4">
        <v>0</v>
      </c>
      <c r="CC90" s="4">
        <v>0</v>
      </c>
      <c r="CD90" s="4">
        <v>0</v>
      </c>
      <c r="CE90" s="4">
        <v>0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F90">
        <f>(SUM('User Interface'!$E$14,'User Interface'!$E$20,'User Interface'!$E$29,'User Interface'!$E$35,'User Interface'!$E$39)*1000)+'PV Profiles'!B92</f>
        <v>15000</v>
      </c>
      <c r="EH90" s="143">
        <f t="shared" si="26"/>
        <v>381.16438356164383</v>
      </c>
      <c r="EJ90" s="37">
        <f t="shared" si="20"/>
        <v>381.16438356164383</v>
      </c>
      <c r="EK90" s="37">
        <f t="shared" si="27"/>
        <v>0</v>
      </c>
      <c r="EL90" s="37">
        <f t="shared" si="30"/>
        <v>0</v>
      </c>
      <c r="EM90" s="37">
        <f t="shared" si="21"/>
        <v>0</v>
      </c>
      <c r="EN90" s="37">
        <f t="shared" si="29"/>
        <v>0</v>
      </c>
      <c r="EO90" s="37">
        <f t="shared" si="29"/>
        <v>0</v>
      </c>
      <c r="EQ90" s="4"/>
      <c r="ER90" s="314"/>
    </row>
    <row r="91" spans="2:148" ht="14.25" customHeight="1" x14ac:dyDescent="0.3">
      <c r="B91" s="3">
        <f>IF('User Interface'!$C$127&gt;(COUNT($B$7:B90)/96),B90+0.0104166666666667,"")</f>
        <v>0.87500000000000411</v>
      </c>
      <c r="D91" s="1">
        <f>'User Interface'!$E$14*1000*'Optimization Results'!D91</f>
        <v>5525</v>
      </c>
      <c r="E91" s="1">
        <f>'User Interface'!$E$20*1000*'Optimization Results'!E91</f>
        <v>0</v>
      </c>
      <c r="F91" s="1">
        <f>'User Interface'!$E$20*1000*'Optimization Results'!F91</f>
        <v>0</v>
      </c>
      <c r="G91" s="1">
        <f>'User Interface'!$E$29*1000*'Optimization Results'!G91</f>
        <v>0</v>
      </c>
      <c r="H91" s="1">
        <f>'User Interface'!$E$35*1000*'Optimization Results'!H91</f>
        <v>0</v>
      </c>
      <c r="I91" s="1">
        <f>'User Interface'!$E$39*1000*'Optimization Results'!I91</f>
        <v>0</v>
      </c>
      <c r="J91">
        <v>0</v>
      </c>
      <c r="K91" s="1"/>
      <c r="L91" s="1">
        <f t="shared" si="22"/>
        <v>5525</v>
      </c>
      <c r="M91" s="1"/>
      <c r="N91" s="94">
        <f t="shared" si="23"/>
        <v>0</v>
      </c>
      <c r="O91" s="1"/>
      <c r="P91" s="1">
        <f t="shared" si="24"/>
        <v>5525</v>
      </c>
      <c r="Q91" s="1">
        <f t="shared" si="25"/>
        <v>0</v>
      </c>
      <c r="S91" s="4">
        <v>5400</v>
      </c>
      <c r="T91" s="4">
        <v>0</v>
      </c>
      <c r="U91" s="4">
        <v>0</v>
      </c>
      <c r="V91" s="4">
        <v>5</v>
      </c>
      <c r="W91" s="4">
        <v>0</v>
      </c>
      <c r="X91" s="4">
        <v>120</v>
      </c>
      <c r="Y91" s="4">
        <v>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Y91" s="4">
        <v>0</v>
      </c>
      <c r="BZ91" s="4">
        <v>0</v>
      </c>
      <c r="CA91" s="4">
        <v>0</v>
      </c>
      <c r="CB91" s="4">
        <v>0</v>
      </c>
      <c r="CC91" s="4">
        <v>0</v>
      </c>
      <c r="CD91" s="4">
        <v>0</v>
      </c>
      <c r="CE91" s="4">
        <v>0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F91">
        <f>(SUM('User Interface'!$E$14,'User Interface'!$E$20,'User Interface'!$E$29,'User Interface'!$E$35,'User Interface'!$E$39)*1000)+'PV Profiles'!B93</f>
        <v>15000</v>
      </c>
      <c r="EH91" s="143">
        <f t="shared" si="26"/>
        <v>5525</v>
      </c>
      <c r="EJ91" s="37">
        <f t="shared" si="20"/>
        <v>5525</v>
      </c>
      <c r="EK91" s="37">
        <f t="shared" si="27"/>
        <v>0</v>
      </c>
      <c r="EL91" s="37">
        <f t="shared" si="30"/>
        <v>0</v>
      </c>
      <c r="EM91" s="37">
        <f t="shared" si="21"/>
        <v>0</v>
      </c>
      <c r="EN91" s="37">
        <f t="shared" si="29"/>
        <v>0</v>
      </c>
      <c r="EO91" s="37">
        <f t="shared" si="29"/>
        <v>0</v>
      </c>
      <c r="EQ91" s="4"/>
      <c r="ER91" s="314"/>
    </row>
    <row r="92" spans="2:148" ht="14.25" customHeight="1" x14ac:dyDescent="0.3">
      <c r="B92" s="3">
        <f>IF('User Interface'!$C$127&gt;(COUNT($B$7:B91)/96),B91+0.0104166666666667,"")</f>
        <v>0.88541666666667085</v>
      </c>
      <c r="D92" s="1">
        <f>'User Interface'!$E$14*1000*'Optimization Results'!D92</f>
        <v>125</v>
      </c>
      <c r="E92" s="1">
        <f>'User Interface'!$E$20*1000*'Optimization Results'!E92</f>
        <v>0</v>
      </c>
      <c r="F92" s="1">
        <f>'User Interface'!$E$20*1000*'Optimization Results'!F92</f>
        <v>0</v>
      </c>
      <c r="G92" s="1">
        <f>'User Interface'!$E$29*1000*'Optimization Results'!G92</f>
        <v>0</v>
      </c>
      <c r="H92" s="1">
        <f>'User Interface'!$E$35*1000*'Optimization Results'!H92</f>
        <v>0</v>
      </c>
      <c r="I92" s="1">
        <f>'User Interface'!$E$39*1000*'Optimization Results'!I92</f>
        <v>0</v>
      </c>
      <c r="J92">
        <v>0</v>
      </c>
      <c r="K92" s="1"/>
      <c r="L92" s="1">
        <f t="shared" si="22"/>
        <v>125</v>
      </c>
      <c r="M92" s="1"/>
      <c r="N92" s="94">
        <f t="shared" si="23"/>
        <v>0</v>
      </c>
      <c r="O92" s="1"/>
      <c r="P92" s="1">
        <f t="shared" si="24"/>
        <v>125</v>
      </c>
      <c r="Q92" s="1">
        <f t="shared" si="25"/>
        <v>0</v>
      </c>
      <c r="S92" s="4">
        <v>0</v>
      </c>
      <c r="T92" s="4">
        <v>0</v>
      </c>
      <c r="U92" s="4">
        <v>0</v>
      </c>
      <c r="V92" s="4">
        <v>5</v>
      </c>
      <c r="W92" s="4">
        <v>0</v>
      </c>
      <c r="X92" s="4">
        <v>120</v>
      </c>
      <c r="Y92" s="4">
        <v>0</v>
      </c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Y92" s="4">
        <v>0</v>
      </c>
      <c r="BZ92" s="4">
        <v>0</v>
      </c>
      <c r="CA92" s="4">
        <v>0</v>
      </c>
      <c r="CB92" s="4">
        <v>0</v>
      </c>
      <c r="CC92" s="4">
        <v>0</v>
      </c>
      <c r="CD92" s="4">
        <v>0</v>
      </c>
      <c r="CE92" s="4">
        <v>0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F92">
        <f>(SUM('User Interface'!$E$14,'User Interface'!$E$20,'User Interface'!$E$29,'User Interface'!$E$35,'User Interface'!$E$39)*1000)+'PV Profiles'!B94</f>
        <v>15000</v>
      </c>
      <c r="EH92" s="143">
        <f t="shared" si="26"/>
        <v>125</v>
      </c>
      <c r="EJ92" s="37">
        <f t="shared" si="20"/>
        <v>125</v>
      </c>
      <c r="EK92" s="37">
        <f t="shared" si="27"/>
        <v>0</v>
      </c>
      <c r="EL92" s="37">
        <f t="shared" si="30"/>
        <v>0</v>
      </c>
      <c r="EM92" s="37">
        <f t="shared" si="21"/>
        <v>0</v>
      </c>
      <c r="EN92" s="37">
        <f t="shared" si="29"/>
        <v>0</v>
      </c>
      <c r="EO92" s="37">
        <f t="shared" si="29"/>
        <v>0</v>
      </c>
      <c r="EQ92" s="4"/>
      <c r="ER92" s="314"/>
    </row>
    <row r="93" spans="2:148" ht="14.25" customHeight="1" x14ac:dyDescent="0.3">
      <c r="B93" s="3">
        <f>IF('User Interface'!$C$127&gt;(COUNT($B$7:B92)/96),B92+0.0104166666666667,"")</f>
        <v>0.89583333333333759</v>
      </c>
      <c r="D93" s="1">
        <f>'User Interface'!$E$14*1000*'Optimization Results'!D93</f>
        <v>381.16438356164383</v>
      </c>
      <c r="E93" s="1">
        <f>'User Interface'!$E$20*1000*'Optimization Results'!E93</f>
        <v>0</v>
      </c>
      <c r="F93" s="1">
        <f>'User Interface'!$E$20*1000*'Optimization Results'!F93</f>
        <v>0</v>
      </c>
      <c r="G93" s="1">
        <f>'User Interface'!$E$29*1000*'Optimization Results'!G93</f>
        <v>0</v>
      </c>
      <c r="H93" s="1">
        <f>'User Interface'!$E$35*1000*'Optimization Results'!H93</f>
        <v>0</v>
      </c>
      <c r="I93" s="1">
        <f>'User Interface'!$E$39*1000*'Optimization Results'!I93</f>
        <v>0</v>
      </c>
      <c r="J93">
        <v>0</v>
      </c>
      <c r="K93" s="1"/>
      <c r="L93" s="1">
        <f t="shared" si="22"/>
        <v>381.16438356164383</v>
      </c>
      <c r="M93" s="1"/>
      <c r="N93" s="94">
        <f t="shared" si="23"/>
        <v>0</v>
      </c>
      <c r="O93" s="1"/>
      <c r="P93" s="1">
        <f t="shared" si="24"/>
        <v>381.16438356164383</v>
      </c>
      <c r="Q93" s="1">
        <f t="shared" si="25"/>
        <v>512.32876712328766</v>
      </c>
      <c r="S93" s="4">
        <v>0</v>
      </c>
      <c r="T93" s="4">
        <v>0</v>
      </c>
      <c r="U93" s="4">
        <v>0</v>
      </c>
      <c r="V93" s="4">
        <v>5</v>
      </c>
      <c r="W93" s="4">
        <v>256.16438356164383</v>
      </c>
      <c r="X93" s="4">
        <v>120</v>
      </c>
      <c r="Y93" s="4">
        <v>0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Y93" s="4">
        <v>0</v>
      </c>
      <c r="BZ93" s="4">
        <v>0</v>
      </c>
      <c r="CA93" s="4">
        <v>0</v>
      </c>
      <c r="CB93" s="4">
        <v>0</v>
      </c>
      <c r="CC93" s="4">
        <v>512.32876712328766</v>
      </c>
      <c r="CD93" s="4">
        <v>0</v>
      </c>
      <c r="CE93" s="4">
        <v>0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F93">
        <f>(SUM('User Interface'!$E$14,'User Interface'!$E$20,'User Interface'!$E$29,'User Interface'!$E$35,'User Interface'!$E$39)*1000)+'PV Profiles'!B95</f>
        <v>15000</v>
      </c>
      <c r="EH93" s="143">
        <f t="shared" si="26"/>
        <v>893.49315068493149</v>
      </c>
      <c r="EJ93" s="37">
        <f t="shared" si="20"/>
        <v>381.16438356164383</v>
      </c>
      <c r="EK93" s="37">
        <f t="shared" si="27"/>
        <v>0</v>
      </c>
      <c r="EL93" s="37">
        <f t="shared" si="30"/>
        <v>0</v>
      </c>
      <c r="EM93" s="37">
        <f t="shared" si="21"/>
        <v>0</v>
      </c>
      <c r="EN93" s="37">
        <f t="shared" si="29"/>
        <v>0</v>
      </c>
      <c r="EO93" s="37">
        <f t="shared" si="29"/>
        <v>0</v>
      </c>
      <c r="EQ93" s="4"/>
      <c r="ER93" s="314"/>
    </row>
    <row r="94" spans="2:148" ht="14.25" customHeight="1" x14ac:dyDescent="0.3">
      <c r="B94" s="3">
        <f>IF('User Interface'!$C$127&gt;(COUNT($B$7:B93)/96),B93+0.0104166666666667,"")</f>
        <v>0.90625000000000433</v>
      </c>
      <c r="D94" s="1">
        <f>'User Interface'!$E$14*1000*'Optimization Results'!D94</f>
        <v>381.16438356164383</v>
      </c>
      <c r="E94" s="1">
        <f>'User Interface'!$E$20*1000*'Optimization Results'!E94</f>
        <v>0</v>
      </c>
      <c r="F94" s="1">
        <f>'User Interface'!$E$20*1000*'Optimization Results'!F94</f>
        <v>0</v>
      </c>
      <c r="G94" s="1">
        <f>'User Interface'!$E$29*1000*'Optimization Results'!G94</f>
        <v>0</v>
      </c>
      <c r="H94" s="1">
        <f>'User Interface'!$E$35*1000*'Optimization Results'!H94</f>
        <v>0</v>
      </c>
      <c r="I94" s="1">
        <f>'User Interface'!$E$39*1000*'Optimization Results'!I94</f>
        <v>0</v>
      </c>
      <c r="J94">
        <v>0</v>
      </c>
      <c r="K94" s="1"/>
      <c r="L94" s="1">
        <f t="shared" si="22"/>
        <v>381.16438356164383</v>
      </c>
      <c r="M94" s="1"/>
      <c r="N94" s="94">
        <f t="shared" si="23"/>
        <v>0</v>
      </c>
      <c r="O94" s="1"/>
      <c r="P94" s="1">
        <f t="shared" si="24"/>
        <v>381.16438356164383</v>
      </c>
      <c r="Q94" s="1">
        <f t="shared" si="25"/>
        <v>0</v>
      </c>
      <c r="S94" s="4">
        <v>0</v>
      </c>
      <c r="T94" s="4">
        <v>0</v>
      </c>
      <c r="U94" s="4">
        <v>0</v>
      </c>
      <c r="V94" s="4">
        <v>5</v>
      </c>
      <c r="W94" s="4">
        <v>256.16438356164383</v>
      </c>
      <c r="X94" s="4">
        <v>120</v>
      </c>
      <c r="Y94" s="4">
        <v>0</v>
      </c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Y94" s="4">
        <v>0</v>
      </c>
      <c r="BZ94" s="4">
        <v>0</v>
      </c>
      <c r="CA94" s="4">
        <v>0</v>
      </c>
      <c r="CB94" s="4">
        <v>0</v>
      </c>
      <c r="CC94" s="4">
        <v>0</v>
      </c>
      <c r="CD94" s="4">
        <v>0</v>
      </c>
      <c r="CE94" s="4">
        <v>0</v>
      </c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F94">
        <f>(SUM('User Interface'!$E$14,'User Interface'!$E$20,'User Interface'!$E$29,'User Interface'!$E$35,'User Interface'!$E$39)*1000)+'PV Profiles'!B96</f>
        <v>15000</v>
      </c>
      <c r="EH94" s="143">
        <f t="shared" si="26"/>
        <v>381.16438356164383</v>
      </c>
      <c r="EJ94" s="37">
        <f t="shared" si="20"/>
        <v>381.16438356164383</v>
      </c>
      <c r="EK94" s="37">
        <f t="shared" si="27"/>
        <v>0</v>
      </c>
      <c r="EL94" s="37">
        <f t="shared" si="30"/>
        <v>0</v>
      </c>
      <c r="EM94" s="37">
        <f t="shared" si="21"/>
        <v>0</v>
      </c>
      <c r="EN94" s="37">
        <f t="shared" si="29"/>
        <v>0</v>
      </c>
      <c r="EO94" s="37">
        <f t="shared" si="29"/>
        <v>0</v>
      </c>
      <c r="EQ94" s="4"/>
      <c r="ER94" s="314"/>
    </row>
    <row r="95" spans="2:148" ht="14.25" customHeight="1" x14ac:dyDescent="0.3">
      <c r="B95" s="3">
        <f>IF('User Interface'!$C$127&gt;(COUNT($B$7:B94)/96),B94+0.0104166666666667,"")</f>
        <v>0.91666666666667107</v>
      </c>
      <c r="D95" s="1">
        <f>'User Interface'!$E$14*1000*'Optimization Results'!D95</f>
        <v>524.99999999999977</v>
      </c>
      <c r="E95" s="1">
        <f>'User Interface'!$E$20*1000*'Optimization Results'!E95</f>
        <v>0</v>
      </c>
      <c r="F95" s="1">
        <f>'User Interface'!$E$20*1000*'Optimization Results'!F95</f>
        <v>0</v>
      </c>
      <c r="G95" s="1">
        <f>'User Interface'!$E$29*1000*'Optimization Results'!G95</f>
        <v>5000</v>
      </c>
      <c r="H95" s="1">
        <f>'User Interface'!$E$35*1000*'Optimization Results'!H95</f>
        <v>0</v>
      </c>
      <c r="I95" s="1">
        <f>'User Interface'!$E$39*1000*'Optimization Results'!I95</f>
        <v>0</v>
      </c>
      <c r="J95">
        <v>0</v>
      </c>
      <c r="K95" s="1"/>
      <c r="L95" s="1">
        <f t="shared" si="22"/>
        <v>5525</v>
      </c>
      <c r="M95" s="1"/>
      <c r="N95" s="94">
        <f t="shared" si="23"/>
        <v>0</v>
      </c>
      <c r="O95" s="1"/>
      <c r="P95" s="1">
        <f t="shared" si="24"/>
        <v>5525</v>
      </c>
      <c r="Q95" s="1">
        <f t="shared" si="25"/>
        <v>0</v>
      </c>
      <c r="S95" s="4">
        <v>5400</v>
      </c>
      <c r="T95" s="4">
        <v>0</v>
      </c>
      <c r="U95" s="4">
        <v>0</v>
      </c>
      <c r="V95" s="4">
        <v>5</v>
      </c>
      <c r="W95" s="4">
        <v>0</v>
      </c>
      <c r="X95" s="4">
        <v>120</v>
      </c>
      <c r="Y95" s="4">
        <v>0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Y95" s="4">
        <v>0</v>
      </c>
      <c r="BZ95" s="4">
        <v>0</v>
      </c>
      <c r="CA95" s="4">
        <v>0</v>
      </c>
      <c r="CB95" s="4">
        <v>0</v>
      </c>
      <c r="CC95" s="4">
        <v>0</v>
      </c>
      <c r="CD95" s="4">
        <v>0</v>
      </c>
      <c r="CE95" s="4">
        <v>0</v>
      </c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F95">
        <f>(SUM('User Interface'!$E$14,'User Interface'!$E$20,'User Interface'!$E$29,'User Interface'!$E$35,'User Interface'!$E$39)*1000)+'PV Profiles'!B97</f>
        <v>15000</v>
      </c>
      <c r="EH95" s="143">
        <f t="shared" si="26"/>
        <v>5525</v>
      </c>
      <c r="EJ95" s="37">
        <f t="shared" si="20"/>
        <v>524.99999999999977</v>
      </c>
      <c r="EK95" s="37">
        <f t="shared" si="27"/>
        <v>0</v>
      </c>
      <c r="EL95" s="37">
        <f t="shared" si="30"/>
        <v>5000</v>
      </c>
      <c r="EM95" s="37">
        <f t="shared" si="21"/>
        <v>0</v>
      </c>
      <c r="EN95" s="37">
        <f t="shared" si="29"/>
        <v>0</v>
      </c>
      <c r="EO95" s="37">
        <f t="shared" si="29"/>
        <v>0</v>
      </c>
      <c r="EQ95" s="4"/>
      <c r="ER95" s="314"/>
    </row>
    <row r="96" spans="2:148" ht="14.25" customHeight="1" x14ac:dyDescent="0.3">
      <c r="B96" s="3">
        <f>IF('User Interface'!$C$127&gt;(COUNT($B$7:B95)/96),B95+0.0104166666666667,"")</f>
        <v>0.92708333333333781</v>
      </c>
      <c r="D96" s="1">
        <f>'User Interface'!$E$14*1000*'Optimization Results'!D96</f>
        <v>0</v>
      </c>
      <c r="E96" s="1">
        <f>'User Interface'!$E$20*1000*'Optimization Results'!E96</f>
        <v>0</v>
      </c>
      <c r="F96" s="1">
        <f>'User Interface'!$E$20*1000*'Optimization Results'!F96</f>
        <v>0</v>
      </c>
      <c r="G96" s="1">
        <f>'User Interface'!$E$29*1000*'Optimization Results'!G96</f>
        <v>125</v>
      </c>
      <c r="H96" s="1">
        <f>'User Interface'!$E$35*1000*'Optimization Results'!H96</f>
        <v>0</v>
      </c>
      <c r="I96" s="1">
        <f>'User Interface'!$E$39*1000*'Optimization Results'!I96</f>
        <v>0</v>
      </c>
      <c r="J96">
        <v>0</v>
      </c>
      <c r="K96" s="1"/>
      <c r="L96" s="1">
        <f t="shared" si="22"/>
        <v>125</v>
      </c>
      <c r="M96" s="1"/>
      <c r="N96" s="94">
        <f t="shared" si="23"/>
        <v>0</v>
      </c>
      <c r="O96" s="1"/>
      <c r="P96" s="1">
        <f t="shared" si="24"/>
        <v>125</v>
      </c>
      <c r="Q96" s="1">
        <f t="shared" si="25"/>
        <v>0</v>
      </c>
      <c r="S96" s="4">
        <v>0</v>
      </c>
      <c r="T96" s="4">
        <v>0</v>
      </c>
      <c r="U96" s="4">
        <v>0</v>
      </c>
      <c r="V96" s="4">
        <v>5</v>
      </c>
      <c r="W96" s="4">
        <v>0</v>
      </c>
      <c r="X96" s="4">
        <v>120</v>
      </c>
      <c r="Y96" s="4">
        <v>0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Y96" s="4">
        <v>0</v>
      </c>
      <c r="BZ96" s="4">
        <v>0</v>
      </c>
      <c r="CA96" s="4">
        <v>0</v>
      </c>
      <c r="CB96" s="4">
        <v>0</v>
      </c>
      <c r="CC96" s="4">
        <v>0</v>
      </c>
      <c r="CD96" s="4">
        <v>0</v>
      </c>
      <c r="CE96" s="4">
        <v>0</v>
      </c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F96">
        <f>(SUM('User Interface'!$E$14,'User Interface'!$E$20,'User Interface'!$E$29,'User Interface'!$E$35,'User Interface'!$E$39)*1000)+'PV Profiles'!B98</f>
        <v>15000</v>
      </c>
      <c r="EH96" s="143">
        <f t="shared" si="26"/>
        <v>125</v>
      </c>
      <c r="EJ96" s="37">
        <f t="shared" si="20"/>
        <v>0</v>
      </c>
      <c r="EK96" s="37">
        <f t="shared" si="27"/>
        <v>0</v>
      </c>
      <c r="EL96" s="37">
        <f t="shared" si="30"/>
        <v>125</v>
      </c>
      <c r="EM96" s="37">
        <f t="shared" si="21"/>
        <v>0</v>
      </c>
      <c r="EN96" s="37">
        <f t="shared" si="29"/>
        <v>0</v>
      </c>
      <c r="EO96" s="37">
        <f t="shared" si="29"/>
        <v>0</v>
      </c>
      <c r="EQ96" s="4"/>
      <c r="ER96" s="314"/>
    </row>
    <row r="97" spans="2:148" ht="14.25" customHeight="1" x14ac:dyDescent="0.3">
      <c r="B97" s="3">
        <f>IF('User Interface'!$C$127&gt;(COUNT($B$7:B96)/96),B96+0.0104166666666667,"")</f>
        <v>0.93750000000000455</v>
      </c>
      <c r="D97" s="1">
        <f>'User Interface'!$E$14*1000*'Optimization Results'!D97</f>
        <v>0</v>
      </c>
      <c r="E97" s="1">
        <f>'User Interface'!$E$20*1000*'Optimization Results'!E97</f>
        <v>0</v>
      </c>
      <c r="F97" s="1">
        <f>'User Interface'!$E$20*1000*'Optimization Results'!F97</f>
        <v>0</v>
      </c>
      <c r="G97" s="1">
        <f>'User Interface'!$E$29*1000*'Optimization Results'!G97</f>
        <v>381.16438356164383</v>
      </c>
      <c r="H97" s="1">
        <f>'User Interface'!$E$35*1000*'Optimization Results'!H97</f>
        <v>0</v>
      </c>
      <c r="I97" s="1">
        <f>'User Interface'!$E$39*1000*'Optimization Results'!I97</f>
        <v>0</v>
      </c>
      <c r="J97">
        <v>0</v>
      </c>
      <c r="K97" s="1"/>
      <c r="L97" s="1">
        <f t="shared" si="22"/>
        <v>381.16438356164383</v>
      </c>
      <c r="M97" s="1"/>
      <c r="N97" s="94">
        <f t="shared" si="23"/>
        <v>0</v>
      </c>
      <c r="O97" s="1"/>
      <c r="P97" s="1">
        <f t="shared" si="24"/>
        <v>381.16438356164383</v>
      </c>
      <c r="Q97" s="1">
        <f t="shared" si="25"/>
        <v>512.32876712328766</v>
      </c>
      <c r="S97" s="4">
        <v>0</v>
      </c>
      <c r="T97" s="4">
        <v>0</v>
      </c>
      <c r="U97" s="4">
        <v>0</v>
      </c>
      <c r="V97" s="4">
        <v>5</v>
      </c>
      <c r="W97" s="4">
        <v>256.16438356164383</v>
      </c>
      <c r="X97" s="4">
        <v>120</v>
      </c>
      <c r="Y97" s="4">
        <v>0</v>
      </c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Y97" s="4">
        <v>0</v>
      </c>
      <c r="BZ97" s="4">
        <v>0</v>
      </c>
      <c r="CA97" s="4">
        <v>0</v>
      </c>
      <c r="CB97" s="4">
        <v>0</v>
      </c>
      <c r="CC97" s="4">
        <v>512.32876712328766</v>
      </c>
      <c r="CD97" s="4">
        <v>0</v>
      </c>
      <c r="CE97" s="4">
        <v>0</v>
      </c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F97">
        <f>(SUM('User Interface'!$E$14,'User Interface'!$E$20,'User Interface'!$E$29,'User Interface'!$E$35,'User Interface'!$E$39)*1000)+'PV Profiles'!B99</f>
        <v>15000</v>
      </c>
      <c r="EH97" s="143">
        <f t="shared" si="26"/>
        <v>893.49315068493149</v>
      </c>
      <c r="EJ97" s="37">
        <f t="shared" si="20"/>
        <v>0</v>
      </c>
      <c r="EK97" s="37">
        <f t="shared" si="27"/>
        <v>0</v>
      </c>
      <c r="EL97" s="37">
        <f t="shared" si="30"/>
        <v>381.16438356164383</v>
      </c>
      <c r="EM97" s="37">
        <f t="shared" si="21"/>
        <v>0</v>
      </c>
      <c r="EN97" s="37">
        <f t="shared" si="29"/>
        <v>0</v>
      </c>
      <c r="EO97" s="37">
        <f t="shared" si="29"/>
        <v>0</v>
      </c>
      <c r="EQ97" s="4"/>
      <c r="ER97" s="314"/>
    </row>
    <row r="98" spans="2:148" ht="14.25" customHeight="1" x14ac:dyDescent="0.3">
      <c r="B98" s="3">
        <f>IF('User Interface'!$C$127&gt;(COUNT($B$7:B97)/96),B97+0.0104166666666667,"")</f>
        <v>0.94791666666667129</v>
      </c>
      <c r="D98" s="1">
        <f>'User Interface'!$E$14*1000*'Optimization Results'!D98</f>
        <v>0</v>
      </c>
      <c r="E98" s="1">
        <f>'User Interface'!$E$20*1000*'Optimization Results'!E98</f>
        <v>0</v>
      </c>
      <c r="F98" s="1">
        <f>'User Interface'!$E$20*1000*'Optimization Results'!F98</f>
        <v>0</v>
      </c>
      <c r="G98" s="1">
        <f>'User Interface'!$E$29*1000*'Optimization Results'!G98</f>
        <v>381.16438356164383</v>
      </c>
      <c r="H98" s="1">
        <f>'User Interface'!$E$35*1000*'Optimization Results'!H98</f>
        <v>0</v>
      </c>
      <c r="I98" s="1">
        <f>'User Interface'!$E$39*1000*'Optimization Results'!I98</f>
        <v>0</v>
      </c>
      <c r="J98">
        <v>0</v>
      </c>
      <c r="K98" s="1"/>
      <c r="L98" s="1">
        <f t="shared" si="22"/>
        <v>381.16438356164383</v>
      </c>
      <c r="M98" s="1"/>
      <c r="N98" s="94">
        <f t="shared" si="23"/>
        <v>0</v>
      </c>
      <c r="O98" s="1"/>
      <c r="P98" s="1">
        <f t="shared" si="24"/>
        <v>381.16438356164383</v>
      </c>
      <c r="Q98" s="1">
        <f t="shared" si="25"/>
        <v>0</v>
      </c>
      <c r="S98" s="4">
        <v>0</v>
      </c>
      <c r="T98" s="4">
        <v>0</v>
      </c>
      <c r="U98" s="4">
        <v>0</v>
      </c>
      <c r="V98" s="4">
        <v>5</v>
      </c>
      <c r="W98" s="4">
        <v>256.16438356164383</v>
      </c>
      <c r="X98" s="4">
        <v>120</v>
      </c>
      <c r="Y98" s="4">
        <v>0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Y98" s="4">
        <v>0</v>
      </c>
      <c r="BZ98" s="4">
        <v>0</v>
      </c>
      <c r="CA98" s="4">
        <v>0</v>
      </c>
      <c r="CB98" s="4">
        <v>0</v>
      </c>
      <c r="CC98" s="4">
        <v>0</v>
      </c>
      <c r="CD98" s="4">
        <v>0</v>
      </c>
      <c r="CE98" s="4">
        <v>0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F98">
        <f>(SUM('User Interface'!$E$14,'User Interface'!$E$20,'User Interface'!$E$29,'User Interface'!$E$35,'User Interface'!$E$39)*1000)+'PV Profiles'!B100</f>
        <v>15000</v>
      </c>
      <c r="EH98" s="143">
        <f t="shared" si="26"/>
        <v>381.16438356164383</v>
      </c>
      <c r="EJ98" s="37">
        <f t="shared" si="20"/>
        <v>0</v>
      </c>
      <c r="EK98" s="37">
        <f t="shared" si="27"/>
        <v>0</v>
      </c>
      <c r="EL98" s="37">
        <f t="shared" si="30"/>
        <v>381.16438356164383</v>
      </c>
      <c r="EM98" s="37">
        <f t="shared" si="21"/>
        <v>0</v>
      </c>
      <c r="EN98" s="37">
        <f t="shared" si="29"/>
        <v>0</v>
      </c>
      <c r="EO98" s="37">
        <f t="shared" si="29"/>
        <v>0</v>
      </c>
      <c r="EQ98" s="4"/>
      <c r="ER98" s="314"/>
    </row>
    <row r="99" spans="2:148" ht="14.25" customHeight="1" x14ac:dyDescent="0.3">
      <c r="B99" s="3">
        <f>IF('User Interface'!$C$127&gt;(COUNT($B$7:B98)/96),B98+0.0104166666666667,"")</f>
        <v>0.95833333333333803</v>
      </c>
      <c r="D99" s="1">
        <f>'User Interface'!$E$14*1000*'Optimization Results'!D99</f>
        <v>524.99999999999977</v>
      </c>
      <c r="E99" s="1">
        <f>'User Interface'!$E$20*1000*'Optimization Results'!E99</f>
        <v>0</v>
      </c>
      <c r="F99" s="1">
        <f>'User Interface'!$E$20*1000*'Optimization Results'!F99</f>
        <v>0</v>
      </c>
      <c r="G99" s="1">
        <f>'User Interface'!$E$29*1000*'Optimization Results'!G99</f>
        <v>5000</v>
      </c>
      <c r="H99" s="1">
        <f>'User Interface'!$E$35*1000*'Optimization Results'!H99</f>
        <v>0</v>
      </c>
      <c r="I99" s="1">
        <f>'User Interface'!$E$39*1000*'Optimization Results'!I99</f>
        <v>0</v>
      </c>
      <c r="J99">
        <v>0</v>
      </c>
      <c r="K99" s="1"/>
      <c r="L99" s="1">
        <f t="shared" si="22"/>
        <v>5525</v>
      </c>
      <c r="M99" s="1"/>
      <c r="N99" s="94">
        <f t="shared" si="23"/>
        <v>0</v>
      </c>
      <c r="O99" s="1"/>
      <c r="P99" s="1">
        <f t="shared" si="24"/>
        <v>5525</v>
      </c>
      <c r="Q99" s="1">
        <f t="shared" si="25"/>
        <v>0</v>
      </c>
      <c r="S99" s="4">
        <v>5400</v>
      </c>
      <c r="T99" s="4">
        <v>0</v>
      </c>
      <c r="U99" s="4">
        <v>0</v>
      </c>
      <c r="V99" s="4">
        <v>5</v>
      </c>
      <c r="W99" s="4">
        <v>0</v>
      </c>
      <c r="X99" s="4">
        <v>120</v>
      </c>
      <c r="Y99" s="4">
        <v>0</v>
      </c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Y99" s="4">
        <v>0</v>
      </c>
      <c r="BZ99" s="4">
        <v>0</v>
      </c>
      <c r="CA99" s="4">
        <v>0</v>
      </c>
      <c r="CB99" s="4">
        <v>0</v>
      </c>
      <c r="CC99" s="4">
        <v>0</v>
      </c>
      <c r="CD99" s="4">
        <v>0</v>
      </c>
      <c r="CE99" s="4">
        <v>0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F99">
        <f>(SUM('User Interface'!$E$14,'User Interface'!$E$20,'User Interface'!$E$29,'User Interface'!$E$35,'User Interface'!$E$39)*1000)+'PV Profiles'!B101</f>
        <v>15000</v>
      </c>
      <c r="EH99" s="143">
        <f t="shared" si="26"/>
        <v>5525</v>
      </c>
      <c r="EJ99" s="37">
        <f t="shared" si="20"/>
        <v>524.99999999999977</v>
      </c>
      <c r="EK99" s="37">
        <f t="shared" si="27"/>
        <v>0</v>
      </c>
      <c r="EL99" s="37">
        <f t="shared" si="30"/>
        <v>5000</v>
      </c>
      <c r="EM99" s="37">
        <f t="shared" si="21"/>
        <v>0</v>
      </c>
      <c r="EN99" s="37">
        <f t="shared" si="29"/>
        <v>0</v>
      </c>
      <c r="EO99" s="37">
        <f t="shared" si="29"/>
        <v>0</v>
      </c>
      <c r="EQ99" s="4"/>
      <c r="ER99" s="314"/>
    </row>
    <row r="100" spans="2:148" ht="14.25" customHeight="1" x14ac:dyDescent="0.3">
      <c r="B100" s="3">
        <f>IF('User Interface'!$C$127&gt;(COUNT($B$7:B99)/96),B99+0.0104166666666667,"")</f>
        <v>0.96875000000000477</v>
      </c>
      <c r="D100" s="1">
        <f>'User Interface'!$E$14*1000*'Optimization Results'!D100</f>
        <v>0</v>
      </c>
      <c r="E100" s="1">
        <f>'User Interface'!$E$20*1000*'Optimization Results'!E100</f>
        <v>0</v>
      </c>
      <c r="F100" s="1">
        <f>'User Interface'!$E$20*1000*'Optimization Results'!F100</f>
        <v>0</v>
      </c>
      <c r="G100" s="1">
        <f>'User Interface'!$E$29*1000*'Optimization Results'!G100</f>
        <v>125</v>
      </c>
      <c r="H100" s="1">
        <f>'User Interface'!$E$35*1000*'Optimization Results'!H100</f>
        <v>0</v>
      </c>
      <c r="I100" s="1">
        <f>'User Interface'!$E$39*1000*'Optimization Results'!I100</f>
        <v>0</v>
      </c>
      <c r="J100">
        <v>0</v>
      </c>
      <c r="K100" s="1"/>
      <c r="L100" s="1">
        <f t="shared" si="22"/>
        <v>125</v>
      </c>
      <c r="M100" s="1"/>
      <c r="N100" s="94">
        <f t="shared" si="23"/>
        <v>0</v>
      </c>
      <c r="O100" s="1"/>
      <c r="P100" s="1">
        <f t="shared" si="24"/>
        <v>125</v>
      </c>
      <c r="Q100" s="1">
        <f t="shared" si="25"/>
        <v>0</v>
      </c>
      <c r="S100" s="4">
        <v>0</v>
      </c>
      <c r="T100" s="4">
        <v>0</v>
      </c>
      <c r="U100" s="4">
        <v>0</v>
      </c>
      <c r="V100" s="4">
        <v>5</v>
      </c>
      <c r="W100" s="4">
        <v>0</v>
      </c>
      <c r="X100" s="4">
        <v>120</v>
      </c>
      <c r="Y100" s="4">
        <v>0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Y100" s="4">
        <v>0</v>
      </c>
      <c r="BZ100" s="4">
        <v>0</v>
      </c>
      <c r="CA100" s="4">
        <v>0</v>
      </c>
      <c r="CB100" s="4">
        <v>0</v>
      </c>
      <c r="CC100" s="4">
        <v>0</v>
      </c>
      <c r="CD100" s="4">
        <v>0</v>
      </c>
      <c r="CE100" s="4">
        <v>0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F100">
        <f>(SUM('User Interface'!$E$14,'User Interface'!$E$20,'User Interface'!$E$29,'User Interface'!$E$35,'User Interface'!$E$39)*1000)+'PV Profiles'!B102</f>
        <v>15000</v>
      </c>
      <c r="EH100" s="143">
        <f t="shared" si="26"/>
        <v>125</v>
      </c>
      <c r="EJ100" s="37">
        <f t="shared" si="20"/>
        <v>0</v>
      </c>
      <c r="EK100" s="37">
        <f t="shared" si="27"/>
        <v>0</v>
      </c>
      <c r="EL100" s="37">
        <f t="shared" si="30"/>
        <v>125</v>
      </c>
      <c r="EM100" s="37">
        <f t="shared" si="21"/>
        <v>0</v>
      </c>
      <c r="EN100" s="37">
        <f t="shared" si="29"/>
        <v>0</v>
      </c>
      <c r="EO100" s="37">
        <f t="shared" si="29"/>
        <v>0</v>
      </c>
      <c r="EQ100" s="4"/>
      <c r="ER100" s="314"/>
    </row>
    <row r="101" spans="2:148" ht="14.25" customHeight="1" x14ac:dyDescent="0.3">
      <c r="B101" s="3">
        <f>IF('User Interface'!$C$127&gt;(COUNT($B$7:B100)/96),B100+0.0104166666666667,"")</f>
        <v>0.97916666666667151</v>
      </c>
      <c r="D101" s="1">
        <f>'User Interface'!$E$14*1000*'Optimization Results'!D101</f>
        <v>0</v>
      </c>
      <c r="E101" s="1">
        <f>'User Interface'!$E$20*1000*'Optimization Results'!E101</f>
        <v>0</v>
      </c>
      <c r="F101" s="1">
        <f>'User Interface'!$E$20*1000*'Optimization Results'!F101</f>
        <v>0</v>
      </c>
      <c r="G101" s="1">
        <f>'User Interface'!$E$29*1000*'Optimization Results'!G101</f>
        <v>381.16438356164383</v>
      </c>
      <c r="H101" s="1">
        <f>'User Interface'!$E$35*1000*'Optimization Results'!H101</f>
        <v>0</v>
      </c>
      <c r="I101" s="1">
        <f>'User Interface'!$E$39*1000*'Optimization Results'!I101</f>
        <v>0</v>
      </c>
      <c r="J101">
        <v>0</v>
      </c>
      <c r="K101" s="1"/>
      <c r="L101" s="1">
        <f t="shared" si="22"/>
        <v>381.16438356164383</v>
      </c>
      <c r="M101" s="1"/>
      <c r="N101" s="94">
        <f t="shared" si="23"/>
        <v>0</v>
      </c>
      <c r="O101" s="1"/>
      <c r="P101" s="1">
        <f t="shared" si="24"/>
        <v>381.16438356164383</v>
      </c>
      <c r="Q101" s="1">
        <f t="shared" si="25"/>
        <v>512.32876712328766</v>
      </c>
      <c r="S101" s="4">
        <v>0</v>
      </c>
      <c r="T101" s="4">
        <v>0</v>
      </c>
      <c r="U101" s="4">
        <v>0</v>
      </c>
      <c r="V101" s="4">
        <v>5</v>
      </c>
      <c r="W101" s="4">
        <v>256.16438356164383</v>
      </c>
      <c r="X101" s="4">
        <v>120</v>
      </c>
      <c r="Y101" s="4">
        <v>0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Y101" s="4">
        <v>0</v>
      </c>
      <c r="BZ101" s="4">
        <v>0</v>
      </c>
      <c r="CA101" s="4">
        <v>0</v>
      </c>
      <c r="CB101" s="4">
        <v>0</v>
      </c>
      <c r="CC101" s="4">
        <v>512.32876712328766</v>
      </c>
      <c r="CD101" s="4">
        <v>0</v>
      </c>
      <c r="CE101" s="4">
        <v>0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F101">
        <f>(SUM('User Interface'!$E$14,'User Interface'!$E$20,'User Interface'!$E$29,'User Interface'!$E$35,'User Interface'!$E$39)*1000)+'PV Profiles'!B103</f>
        <v>15000</v>
      </c>
      <c r="EH101" s="143">
        <f t="shared" si="26"/>
        <v>893.49315068493149</v>
      </c>
      <c r="EJ101" s="37">
        <f t="shared" si="20"/>
        <v>0</v>
      </c>
      <c r="EK101" s="37">
        <f t="shared" si="27"/>
        <v>0</v>
      </c>
      <c r="EL101" s="37">
        <f t="shared" si="30"/>
        <v>381.16438356164383</v>
      </c>
      <c r="EM101" s="37">
        <f t="shared" si="21"/>
        <v>0</v>
      </c>
      <c r="EN101" s="37">
        <f t="shared" si="29"/>
        <v>0</v>
      </c>
      <c r="EO101" s="37">
        <f t="shared" si="29"/>
        <v>0</v>
      </c>
      <c r="EQ101" s="4"/>
      <c r="ER101" s="314"/>
    </row>
    <row r="102" spans="2:148" ht="14.25" customHeight="1" x14ac:dyDescent="0.3">
      <c r="B102" s="3">
        <f>IF('User Interface'!$C$127&gt;(COUNT($B$7:B101)/96),B101+0.0104166666666667,"")</f>
        <v>0.98958333333333826</v>
      </c>
      <c r="D102" s="1">
        <f>'User Interface'!$E$14*1000*'Optimization Results'!D102</f>
        <v>0</v>
      </c>
      <c r="E102" s="1">
        <f>'User Interface'!$E$20*1000*'Optimization Results'!E102</f>
        <v>0</v>
      </c>
      <c r="F102" s="1">
        <f>'User Interface'!$E$20*1000*'Optimization Results'!F102</f>
        <v>0</v>
      </c>
      <c r="G102" s="1">
        <f>'User Interface'!$E$29*1000*'Optimization Results'!G102</f>
        <v>381.16438356164383</v>
      </c>
      <c r="H102" s="1">
        <f>'User Interface'!$E$35*1000*'Optimization Results'!H102</f>
        <v>0</v>
      </c>
      <c r="I102" s="1">
        <f>'User Interface'!$E$39*1000*'Optimization Results'!I102</f>
        <v>0</v>
      </c>
      <c r="J102">
        <v>0</v>
      </c>
      <c r="K102" s="1"/>
      <c r="L102" s="1">
        <f t="shared" si="22"/>
        <v>381.16438356164383</v>
      </c>
      <c r="N102" s="94">
        <f t="shared" si="23"/>
        <v>0</v>
      </c>
      <c r="O102" s="1"/>
      <c r="P102" s="1">
        <f t="shared" si="24"/>
        <v>381.16438356164383</v>
      </c>
      <c r="Q102" s="1">
        <f t="shared" si="25"/>
        <v>0</v>
      </c>
      <c r="S102" s="4">
        <v>0</v>
      </c>
      <c r="T102" s="4">
        <v>0</v>
      </c>
      <c r="U102" s="4">
        <v>0</v>
      </c>
      <c r="V102" s="4">
        <v>5</v>
      </c>
      <c r="W102" s="4">
        <v>256.16438356164383</v>
      </c>
      <c r="X102" s="4">
        <v>120</v>
      </c>
      <c r="Y102" s="4">
        <v>0</v>
      </c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Y102" s="4">
        <v>0</v>
      </c>
      <c r="BZ102" s="4">
        <v>0</v>
      </c>
      <c r="CA102" s="4">
        <v>0</v>
      </c>
      <c r="CB102" s="4">
        <v>0</v>
      </c>
      <c r="CC102" s="4">
        <v>0</v>
      </c>
      <c r="CD102" s="4">
        <v>0</v>
      </c>
      <c r="CE102" s="4">
        <v>0</v>
      </c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F102">
        <f>(SUM('User Interface'!$E$14,'User Interface'!$E$20,'User Interface'!$E$29,'User Interface'!$E$35,'User Interface'!$E$39)*1000)+'PV Profiles'!B104</f>
        <v>15000</v>
      </c>
      <c r="EH102" s="143">
        <f t="shared" si="26"/>
        <v>381.16438356164383</v>
      </c>
      <c r="EJ102" s="37">
        <f t="shared" si="20"/>
        <v>0</v>
      </c>
      <c r="EK102" s="37">
        <f t="shared" si="27"/>
        <v>0</v>
      </c>
      <c r="EL102" s="37">
        <f t="shared" si="30"/>
        <v>381.16438356164383</v>
      </c>
      <c r="EM102" s="37">
        <f t="shared" si="21"/>
        <v>0</v>
      </c>
      <c r="EN102" s="37">
        <f t="shared" si="29"/>
        <v>0</v>
      </c>
      <c r="EO102" s="37">
        <f t="shared" si="29"/>
        <v>0</v>
      </c>
      <c r="EQ102" s="4"/>
      <c r="ER102" s="314"/>
    </row>
    <row r="103" spans="2:148" ht="14.25" customHeight="1" x14ac:dyDescent="0.3">
      <c r="B103" s="3" t="str">
        <f>IF('User Interface'!$C$127&gt;(COUNT($B$7:B102)/96),B102+0.0104166666666667,"")</f>
        <v/>
      </c>
      <c r="G103" s="1"/>
      <c r="H103" s="1"/>
      <c r="I103" s="1"/>
      <c r="EG103" s="142"/>
    </row>
    <row r="104" spans="2:148" ht="14.25" customHeight="1" x14ac:dyDescent="0.3">
      <c r="B104" s="3" t="str">
        <f>IF('User Interface'!$C$127&gt;(COUNT($B$7:B103)/96),B103+0.0104166666666667,"")</f>
        <v/>
      </c>
      <c r="G104" s="1"/>
      <c r="H104" s="1"/>
      <c r="I104" s="1"/>
      <c r="EG104" s="142"/>
    </row>
    <row r="105" spans="2:148" ht="14.25" customHeight="1" x14ac:dyDescent="0.3">
      <c r="B105" s="3" t="str">
        <f>IF('User Interface'!$C$127&gt;(COUNT($B$7:B104)/96),B104+0.0104166666666667,"")</f>
        <v/>
      </c>
      <c r="G105" s="1"/>
      <c r="H105" s="1"/>
      <c r="I105" s="1"/>
      <c r="EG105" s="142"/>
    </row>
    <row r="106" spans="2:148" ht="14.25" customHeight="1" x14ac:dyDescent="0.3">
      <c r="B106" s="3" t="str">
        <f>IF('User Interface'!$C$127&gt;(COUNT($B$7:B105)/96),B105+0.0104166666666667,"")</f>
        <v/>
      </c>
      <c r="G106" s="1"/>
      <c r="H106" s="1"/>
      <c r="I106" s="1"/>
      <c r="EG106" s="142"/>
    </row>
    <row r="107" spans="2:148" ht="14.25" customHeight="1" x14ac:dyDescent="0.3">
      <c r="B107" s="3" t="str">
        <f>IF('User Interface'!$C$127&gt;(COUNT($B$7:B106)/96),B106+0.0104166666666667,"")</f>
        <v/>
      </c>
      <c r="G107" s="1"/>
      <c r="H107" s="1"/>
      <c r="I107" s="1"/>
      <c r="EG107" s="142"/>
    </row>
    <row r="108" spans="2:148" ht="14.25" customHeight="1" x14ac:dyDescent="0.3">
      <c r="B108" s="3" t="str">
        <f>IF('User Interface'!$C$127&gt;(COUNT($B$7:B107)/96),B107+0.0104166666666667,"")</f>
        <v/>
      </c>
      <c r="G108" s="1"/>
      <c r="H108" s="1"/>
      <c r="I108" s="1"/>
      <c r="EG108" s="142"/>
    </row>
    <row r="109" spans="2:148" ht="14.25" customHeight="1" x14ac:dyDescent="0.3">
      <c r="B109" s="3" t="str">
        <f>IF('User Interface'!$C$127&gt;(COUNT($B$7:B108)/96),B108+0.0104166666666667,"")</f>
        <v/>
      </c>
      <c r="G109" s="1"/>
      <c r="H109" s="1"/>
      <c r="I109" s="1"/>
      <c r="EG109" s="142"/>
    </row>
    <row r="110" spans="2:148" ht="14.25" customHeight="1" x14ac:dyDescent="0.3">
      <c r="B110" s="3" t="str">
        <f>IF('User Interface'!$C$127&gt;(COUNT($B$7:B109)/96),B109+0.0104166666666667,"")</f>
        <v/>
      </c>
      <c r="G110" s="1"/>
      <c r="H110" s="1"/>
      <c r="I110" s="1"/>
      <c r="EG110" s="142"/>
    </row>
    <row r="111" spans="2:148" ht="14.25" customHeight="1" x14ac:dyDescent="0.3">
      <c r="B111" s="3" t="str">
        <f>IF('User Interface'!$C$127&gt;(COUNT($B$7:B110)/96),B110+0.0104166666666667,"")</f>
        <v/>
      </c>
      <c r="G111" s="1"/>
      <c r="H111" s="1"/>
      <c r="I111" s="1"/>
      <c r="EG111" s="142"/>
    </row>
    <row r="112" spans="2:148" ht="14.25" customHeight="1" x14ac:dyDescent="0.3">
      <c r="B112" s="3" t="str">
        <f>IF('User Interface'!$C$127&gt;(COUNT($B$7:B111)/96),B111+0.0104166666666667,"")</f>
        <v/>
      </c>
      <c r="D112" s="37"/>
      <c r="E112" s="37"/>
      <c r="F112" s="37"/>
      <c r="G112" s="37"/>
      <c r="H112" s="37"/>
      <c r="I112" s="37"/>
      <c r="J112" s="37"/>
      <c r="K112" s="37"/>
      <c r="L112" s="37"/>
      <c r="N112" s="37"/>
      <c r="P112" s="37"/>
      <c r="EG112" s="142"/>
    </row>
    <row r="113" spans="2:137" ht="14.25" customHeight="1" x14ac:dyDescent="0.3">
      <c r="B113" s="3" t="str">
        <f>IF('User Interface'!$C$127&gt;(COUNT($B$7:B112)/96),B112+0.0104166666666667,"")</f>
        <v/>
      </c>
      <c r="G113" s="1"/>
      <c r="H113" s="1"/>
      <c r="I113" s="1"/>
      <c r="EG113" s="142"/>
    </row>
    <row r="114" spans="2:137" ht="14.25" customHeight="1" x14ac:dyDescent="0.3">
      <c r="B114" s="3" t="str">
        <f>IF('User Interface'!$C$127&gt;(COUNT($B$7:B113)/96),B113+0.0104166666666667,"")</f>
        <v/>
      </c>
      <c r="G114" s="1"/>
      <c r="H114" s="1"/>
      <c r="I114" s="1"/>
      <c r="EG114" s="142"/>
    </row>
    <row r="115" spans="2:137" ht="14.25" customHeight="1" x14ac:dyDescent="0.3">
      <c r="B115" s="3" t="str">
        <f>IF('User Interface'!$C$127&gt;(COUNT($B$7:B114)/96),B114+0.0104166666666667,"")</f>
        <v/>
      </c>
      <c r="G115" s="1"/>
      <c r="H115" s="1"/>
      <c r="I115" s="1"/>
      <c r="EG115" s="142"/>
    </row>
    <row r="116" spans="2:137" ht="14.25" customHeight="1" x14ac:dyDescent="0.3">
      <c r="B116" s="3" t="str">
        <f>IF('User Interface'!$C$127&gt;(COUNT($B$7:B115)/96),B115+0.0104166666666667,"")</f>
        <v/>
      </c>
      <c r="G116" s="1"/>
      <c r="H116" s="1"/>
      <c r="I116" s="1"/>
      <c r="EG116" s="142"/>
    </row>
    <row r="117" spans="2:137" ht="14.25" customHeight="1" x14ac:dyDescent="0.3">
      <c r="B117" s="3" t="str">
        <f>IF('User Interface'!$C$127&gt;(COUNT($B$7:B116)/96),B116+0.0104166666666667,"")</f>
        <v/>
      </c>
      <c r="G117" s="1"/>
      <c r="H117" s="1"/>
      <c r="I117" s="1"/>
      <c r="EG117" s="142"/>
    </row>
    <row r="118" spans="2:137" ht="14.25" customHeight="1" x14ac:dyDescent="0.3">
      <c r="B118" s="3" t="str">
        <f>IF('User Interface'!$C$127&gt;(COUNT($B$7:B117)/96),B117+0.0104166666666667,"")</f>
        <v/>
      </c>
      <c r="G118" s="1"/>
      <c r="H118" s="1"/>
      <c r="I118" s="1"/>
      <c r="EG118" s="142"/>
    </row>
    <row r="119" spans="2:137" ht="14.25" customHeight="1" x14ac:dyDescent="0.3">
      <c r="B119" s="3" t="str">
        <f>IF('User Interface'!$C$127&gt;(COUNT($B$7:B118)/96),B118+0.0104166666666667,"")</f>
        <v/>
      </c>
      <c r="G119" s="1"/>
      <c r="H119" s="1"/>
      <c r="I119" s="1"/>
      <c r="EG119" s="142"/>
    </row>
    <row r="120" spans="2:137" ht="14.25" customHeight="1" x14ac:dyDescent="0.3">
      <c r="B120" s="3" t="str">
        <f>IF('User Interface'!$C$127&gt;(COUNT($B$7:B119)/96),B119+0.0104166666666667,"")</f>
        <v/>
      </c>
      <c r="G120" s="1"/>
      <c r="H120" s="1"/>
      <c r="I120" s="1"/>
      <c r="EG120" s="142"/>
    </row>
    <row r="121" spans="2:137" ht="14.25" customHeight="1" x14ac:dyDescent="0.3">
      <c r="B121" s="3" t="str">
        <f>IF('User Interface'!$C$127&gt;(COUNT($B$7:B120)/96),B120+0.0104166666666667,"")</f>
        <v/>
      </c>
      <c r="G121" s="1"/>
      <c r="H121" s="1"/>
      <c r="I121" s="1"/>
      <c r="EG121" s="142"/>
    </row>
    <row r="122" spans="2:137" ht="14.25" customHeight="1" x14ac:dyDescent="0.3">
      <c r="B122" s="3" t="str">
        <f>IF('User Interface'!$C$127&gt;(COUNT($B$7:B121)/96),B121+0.0104166666666667,"")</f>
        <v/>
      </c>
      <c r="G122" s="1"/>
      <c r="H122" s="1"/>
      <c r="I122" s="1"/>
      <c r="EG122" s="142"/>
    </row>
    <row r="123" spans="2:137" ht="14.25" customHeight="1" x14ac:dyDescent="0.3">
      <c r="B123" s="3" t="str">
        <f>IF('User Interface'!$C$127&gt;(COUNT($B$7:B122)/96),B122+0.0104166666666667,"")</f>
        <v/>
      </c>
      <c r="G123" s="1"/>
      <c r="H123" s="1"/>
      <c r="I123" s="1"/>
      <c r="EG123" s="142"/>
    </row>
    <row r="124" spans="2:137" ht="14.25" customHeight="1" x14ac:dyDescent="0.3">
      <c r="B124" s="3" t="str">
        <f>IF('User Interface'!$C$127&gt;(COUNT($B$7:B123)/96),B123+0.0104166666666667,"")</f>
        <v/>
      </c>
      <c r="G124" s="1"/>
      <c r="H124" s="1"/>
      <c r="I124" s="1"/>
      <c r="EG124" s="142"/>
    </row>
    <row r="125" spans="2:137" ht="14.25" customHeight="1" x14ac:dyDescent="0.3">
      <c r="B125" s="3" t="str">
        <f>IF('User Interface'!$C$127&gt;(COUNT($B$7:B124)/96),B124+0.0104166666666667,"")</f>
        <v/>
      </c>
      <c r="G125" s="1"/>
      <c r="H125" s="1"/>
      <c r="I125" s="1"/>
      <c r="EG125" s="142"/>
    </row>
    <row r="126" spans="2:137" ht="14.25" customHeight="1" x14ac:dyDescent="0.3">
      <c r="B126" s="3" t="str">
        <f>IF('User Interface'!$C$127&gt;(COUNT($B$7:B125)/96),B125+0.0104166666666667,"")</f>
        <v/>
      </c>
      <c r="G126" s="1"/>
      <c r="H126" s="1"/>
      <c r="I126" s="1"/>
      <c r="EG126" s="142"/>
    </row>
    <row r="127" spans="2:137" ht="14.25" customHeight="1" x14ac:dyDescent="0.3">
      <c r="B127" s="3" t="str">
        <f>IF('User Interface'!$C$127&gt;(COUNT($B$7:B126)/96),B126+0.0104166666666667,"")</f>
        <v/>
      </c>
      <c r="G127" s="1"/>
      <c r="H127" s="1"/>
      <c r="I127" s="1"/>
      <c r="EG127" s="142"/>
    </row>
    <row r="128" spans="2:137" ht="14.25" customHeight="1" x14ac:dyDescent="0.3">
      <c r="B128" s="3" t="str">
        <f>IF('User Interface'!$C$127&gt;(COUNT($B$7:B127)/96),B127+0.0104166666666667,"")</f>
        <v/>
      </c>
      <c r="G128" s="1"/>
      <c r="H128" s="1"/>
      <c r="I128" s="1"/>
      <c r="EG128" s="142"/>
    </row>
    <row r="129" spans="2:137" ht="14.25" customHeight="1" x14ac:dyDescent="0.3">
      <c r="B129" s="3" t="str">
        <f>IF('User Interface'!$C$127&gt;(COUNT($B$7:B128)/96),B128+0.0104166666666667,"")</f>
        <v/>
      </c>
      <c r="G129" s="1"/>
      <c r="H129" s="1"/>
      <c r="I129" s="1"/>
      <c r="EG129" s="142"/>
    </row>
    <row r="130" spans="2:137" ht="14.25" customHeight="1" x14ac:dyDescent="0.3">
      <c r="B130" s="3" t="str">
        <f>IF('User Interface'!$C$127&gt;(COUNT($B$7:B129)/96),B129+0.0104166666666667,"")</f>
        <v/>
      </c>
      <c r="G130" s="1"/>
      <c r="H130" s="1"/>
      <c r="I130" s="1"/>
      <c r="EG130" s="142"/>
    </row>
    <row r="131" spans="2:137" ht="14.25" customHeight="1" x14ac:dyDescent="0.3">
      <c r="B131" s="3" t="str">
        <f>IF('User Interface'!$C$127&gt;(COUNT($B$7:B130)/96),B130+0.0104166666666667,"")</f>
        <v/>
      </c>
      <c r="G131" s="1"/>
      <c r="H131" s="1"/>
      <c r="I131" s="1"/>
      <c r="EG131" s="142"/>
    </row>
    <row r="132" spans="2:137" ht="14.25" customHeight="1" x14ac:dyDescent="0.3">
      <c r="B132" s="3" t="str">
        <f>IF('User Interface'!$C$127&gt;(COUNT($B$7:B131)/96),B131+0.0104166666666667,"")</f>
        <v/>
      </c>
      <c r="G132" s="1"/>
      <c r="H132" s="1"/>
      <c r="I132" s="1"/>
      <c r="EG132" s="142"/>
    </row>
    <row r="133" spans="2:137" ht="14.25" customHeight="1" x14ac:dyDescent="0.3">
      <c r="B133" s="3" t="str">
        <f>IF('User Interface'!$C$127&gt;(COUNT($B$7:B132)/96),B132+0.0104166666666667,"")</f>
        <v/>
      </c>
      <c r="G133" s="1"/>
      <c r="H133" s="1"/>
      <c r="I133" s="1"/>
      <c r="EG133" s="142"/>
    </row>
    <row r="134" spans="2:137" ht="14.25" customHeight="1" x14ac:dyDescent="0.3">
      <c r="B134" s="3" t="str">
        <f>IF('User Interface'!$C$127&gt;(COUNT($B$7:B133)/96),B133+0.0104166666666667,"")</f>
        <v/>
      </c>
      <c r="G134" s="1"/>
      <c r="H134" s="1"/>
      <c r="I134" s="1"/>
      <c r="EG134" s="142"/>
    </row>
    <row r="135" spans="2:137" ht="14.25" customHeight="1" x14ac:dyDescent="0.3">
      <c r="B135" s="3" t="str">
        <f>IF('User Interface'!$C$127&gt;(COUNT($B$7:B134)/96),B134+0.0104166666666667,"")</f>
        <v/>
      </c>
      <c r="G135" s="1"/>
      <c r="H135" s="1"/>
      <c r="I135" s="1"/>
      <c r="EG135" s="142"/>
    </row>
    <row r="136" spans="2:137" ht="14.25" customHeight="1" x14ac:dyDescent="0.3">
      <c r="B136" s="3" t="str">
        <f>IF('User Interface'!$C$127&gt;(COUNT($B$7:B135)/96),B135+0.0104166666666667,"")</f>
        <v/>
      </c>
      <c r="G136" s="1"/>
      <c r="H136" s="1"/>
      <c r="I136" s="1"/>
      <c r="EG136" s="142"/>
    </row>
    <row r="137" spans="2:137" ht="14.25" customHeight="1" x14ac:dyDescent="0.3">
      <c r="B137" s="3" t="str">
        <f>IF('User Interface'!$C$127&gt;(COUNT($B$7:B136)/96),B136+0.0104166666666667,"")</f>
        <v/>
      </c>
      <c r="G137" s="1"/>
      <c r="H137" s="1"/>
      <c r="I137" s="1"/>
      <c r="EG137" s="142"/>
    </row>
    <row r="138" spans="2:137" ht="14.25" customHeight="1" x14ac:dyDescent="0.3">
      <c r="B138" s="3" t="str">
        <f>IF('User Interface'!$C$127&gt;(COUNT($B$7:B137)/96),B137+0.0104166666666667,"")</f>
        <v/>
      </c>
      <c r="G138" s="1"/>
      <c r="H138" s="1"/>
      <c r="I138" s="1"/>
      <c r="EG138" s="142"/>
    </row>
    <row r="139" spans="2:137" ht="14.25" customHeight="1" x14ac:dyDescent="0.3">
      <c r="B139" s="3" t="str">
        <f>IF('User Interface'!$C$127&gt;(COUNT($B$7:B138)/96),B138+0.0104166666666667,"")</f>
        <v/>
      </c>
      <c r="G139" s="1"/>
      <c r="H139" s="1"/>
      <c r="I139" s="1"/>
      <c r="EG139" s="142"/>
    </row>
    <row r="140" spans="2:137" ht="14.25" customHeight="1" x14ac:dyDescent="0.3">
      <c r="B140" s="3" t="str">
        <f>IF('User Interface'!$C$127&gt;(COUNT($B$7:B139)/96),B139+0.0104166666666667,"")</f>
        <v/>
      </c>
      <c r="G140" s="1"/>
      <c r="H140" s="1"/>
      <c r="I140" s="1"/>
      <c r="EG140" s="142"/>
    </row>
    <row r="141" spans="2:137" ht="14.25" customHeight="1" x14ac:dyDescent="0.3">
      <c r="B141" s="3" t="str">
        <f>IF('User Interface'!$C$127&gt;(COUNT($B$7:B140)/96),B140+0.0104166666666667,"")</f>
        <v/>
      </c>
      <c r="G141" s="1"/>
      <c r="H141" s="1"/>
      <c r="I141" s="1"/>
      <c r="EG141" s="142"/>
    </row>
    <row r="142" spans="2:137" ht="14.25" customHeight="1" x14ac:dyDescent="0.3">
      <c r="B142" s="3" t="str">
        <f>IF('User Interface'!$C$127&gt;(COUNT($B$7:B141)/96),B141+0.0104166666666667,"")</f>
        <v/>
      </c>
      <c r="G142" s="1"/>
      <c r="H142" s="1"/>
      <c r="I142" s="1"/>
      <c r="EG142" s="142"/>
    </row>
    <row r="143" spans="2:137" ht="14.25" customHeight="1" x14ac:dyDescent="0.3">
      <c r="B143" s="3" t="str">
        <f>IF('User Interface'!$C$127&gt;(COUNT($B$7:B142)/96),B142+0.0104166666666667,"")</f>
        <v/>
      </c>
      <c r="G143" s="1"/>
      <c r="H143" s="1"/>
      <c r="I143" s="1"/>
      <c r="EG143" s="142"/>
    </row>
    <row r="144" spans="2:137" ht="14.25" customHeight="1" x14ac:dyDescent="0.3">
      <c r="B144" s="3" t="str">
        <f>IF('User Interface'!$C$127&gt;(COUNT($B$7:B143)/96),B143+0.0104166666666667,"")</f>
        <v/>
      </c>
      <c r="G144" s="1"/>
      <c r="H144" s="1"/>
      <c r="I144" s="1"/>
      <c r="EG144" s="142"/>
    </row>
    <row r="145" spans="2:137" ht="14.25" customHeight="1" x14ac:dyDescent="0.3">
      <c r="B145" s="3" t="str">
        <f>IF('User Interface'!$C$127&gt;(COUNT($B$7:B144)/96),B144+0.0104166666666667,"")</f>
        <v/>
      </c>
      <c r="G145" s="1"/>
      <c r="H145" s="1"/>
      <c r="I145" s="1"/>
      <c r="EG145" s="142"/>
    </row>
    <row r="146" spans="2:137" ht="14.25" customHeight="1" x14ac:dyDescent="0.3">
      <c r="B146" s="3" t="str">
        <f>IF('User Interface'!$C$127&gt;(COUNT($B$7:B145)/96),B145+0.0104166666666667,"")</f>
        <v/>
      </c>
      <c r="G146" s="1"/>
      <c r="H146" s="1"/>
      <c r="I146" s="1"/>
      <c r="EG146" s="142"/>
    </row>
    <row r="147" spans="2:137" ht="14.25" customHeight="1" x14ac:dyDescent="0.3">
      <c r="B147" s="3" t="str">
        <f>IF('User Interface'!$C$127&gt;(COUNT($B$7:B146)/96),B146+0.0104166666666667,"")</f>
        <v/>
      </c>
      <c r="G147" s="1"/>
      <c r="H147" s="1"/>
      <c r="I147" s="1"/>
      <c r="EG147" s="142"/>
    </row>
    <row r="148" spans="2:137" ht="14.25" customHeight="1" x14ac:dyDescent="0.3">
      <c r="B148" s="3" t="str">
        <f>IF('User Interface'!$C$127&gt;(COUNT($B$7:B147)/96),B147+0.0104166666666667,"")</f>
        <v/>
      </c>
      <c r="G148" s="1"/>
      <c r="H148" s="1"/>
      <c r="I148" s="1"/>
      <c r="EG148" s="142"/>
    </row>
    <row r="149" spans="2:137" ht="14.25" customHeight="1" x14ac:dyDescent="0.3">
      <c r="B149" s="3" t="str">
        <f>IF('User Interface'!$C$127&gt;(COUNT($B$7:B148)/96),B148+0.0104166666666667,"")</f>
        <v/>
      </c>
      <c r="G149" s="1"/>
      <c r="H149" s="1"/>
      <c r="I149" s="1"/>
      <c r="EG149" s="142"/>
    </row>
    <row r="150" spans="2:137" ht="14.25" customHeight="1" x14ac:dyDescent="0.3">
      <c r="B150" s="3" t="str">
        <f>IF('User Interface'!$C$127&gt;(COUNT($B$7:B149)/96),B149+0.0104166666666667,"")</f>
        <v/>
      </c>
      <c r="G150" s="1"/>
      <c r="H150" s="1"/>
      <c r="I150" s="1"/>
      <c r="EG150" s="142"/>
    </row>
    <row r="151" spans="2:137" ht="14.25" customHeight="1" x14ac:dyDescent="0.3">
      <c r="B151" s="3" t="str">
        <f>IF('User Interface'!$C$127&gt;(COUNT($B$7:B150)/96),B150+0.0104166666666667,"")</f>
        <v/>
      </c>
      <c r="G151" s="1"/>
      <c r="H151" s="1"/>
      <c r="I151" s="1"/>
      <c r="EG151" s="142"/>
    </row>
    <row r="152" spans="2:137" ht="14.25" customHeight="1" x14ac:dyDescent="0.3">
      <c r="B152" s="3" t="str">
        <f>IF('User Interface'!$C$127&gt;(COUNT($B$7:B151)/96),B151+0.0104166666666667,"")</f>
        <v/>
      </c>
      <c r="G152" s="1"/>
      <c r="H152" s="1"/>
      <c r="I152" s="1"/>
      <c r="EG152" s="142"/>
    </row>
    <row r="153" spans="2:137" ht="14.25" customHeight="1" x14ac:dyDescent="0.3">
      <c r="B153" s="3" t="str">
        <f>IF('User Interface'!$C$127&gt;(COUNT($B$7:B152)/96),B152+0.0104166666666667,"")</f>
        <v/>
      </c>
      <c r="G153" s="1"/>
      <c r="H153" s="1"/>
      <c r="I153" s="1"/>
      <c r="EG153" s="142"/>
    </row>
    <row r="154" spans="2:137" ht="14.25" customHeight="1" x14ac:dyDescent="0.3">
      <c r="B154" s="3" t="str">
        <f>IF('User Interface'!$C$127&gt;(COUNT($B$7:B153)/96),B153+0.0104166666666667,"")</f>
        <v/>
      </c>
      <c r="G154" s="1"/>
      <c r="H154" s="1"/>
      <c r="I154" s="1"/>
      <c r="EG154" s="142"/>
    </row>
    <row r="155" spans="2:137" ht="14.25" customHeight="1" x14ac:dyDescent="0.3">
      <c r="B155" s="3" t="str">
        <f>IF('User Interface'!$C$127&gt;(COUNT($B$7:B154)/96),B154+0.0104166666666667,"")</f>
        <v/>
      </c>
      <c r="G155" s="1"/>
      <c r="H155" s="1"/>
      <c r="I155" s="1"/>
      <c r="EG155" s="142"/>
    </row>
    <row r="156" spans="2:137" ht="14.25" customHeight="1" x14ac:dyDescent="0.3">
      <c r="B156" s="3" t="str">
        <f>IF('User Interface'!$C$127&gt;(COUNT($B$7:B155)/96),B155+0.0104166666666667,"")</f>
        <v/>
      </c>
      <c r="G156" s="1"/>
      <c r="H156" s="1"/>
      <c r="I156" s="1"/>
      <c r="EG156" s="142"/>
    </row>
    <row r="157" spans="2:137" ht="14.25" customHeight="1" x14ac:dyDescent="0.3">
      <c r="B157" s="3" t="str">
        <f>IF('User Interface'!$C$127&gt;(COUNT($B$7:B156)/96),B156+0.0104166666666667,"")</f>
        <v/>
      </c>
      <c r="G157" s="1"/>
      <c r="H157" s="1"/>
      <c r="I157" s="1"/>
      <c r="EG157" s="142"/>
    </row>
    <row r="158" spans="2:137" ht="14.25" customHeight="1" x14ac:dyDescent="0.3">
      <c r="B158" s="3" t="str">
        <f>IF('User Interface'!$C$127&gt;(COUNT($B$7:B157)/96),B157+0.0104166666666667,"")</f>
        <v/>
      </c>
      <c r="G158" s="1"/>
      <c r="H158" s="1"/>
      <c r="I158" s="1"/>
      <c r="EG158" s="142"/>
    </row>
    <row r="159" spans="2:137" ht="14.25" customHeight="1" x14ac:dyDescent="0.3">
      <c r="B159" s="3" t="str">
        <f>IF('User Interface'!$C$127&gt;(COUNT($B$7:B158)/96),B158+0.0104166666666667,"")</f>
        <v/>
      </c>
      <c r="G159" s="1"/>
      <c r="H159" s="1"/>
      <c r="I159" s="1"/>
      <c r="EG159" s="142"/>
    </row>
    <row r="160" spans="2:137" ht="14.25" customHeight="1" x14ac:dyDescent="0.3">
      <c r="B160" s="3" t="str">
        <f>IF('User Interface'!$C$127&gt;(COUNT($B$7:B159)/96),B159+0.0104166666666667,"")</f>
        <v/>
      </c>
      <c r="G160" s="1"/>
      <c r="H160" s="1"/>
      <c r="I160" s="1"/>
      <c r="EG160" s="142"/>
    </row>
    <row r="161" spans="2:137" ht="14.25" customHeight="1" x14ac:dyDescent="0.3">
      <c r="B161" s="3" t="str">
        <f>IF('User Interface'!$C$127&gt;(COUNT($B$7:B160)/96),B160+0.0104166666666667,"")</f>
        <v/>
      </c>
      <c r="G161" s="1"/>
      <c r="H161" s="1"/>
      <c r="I161" s="1"/>
      <c r="EG161" s="142"/>
    </row>
    <row r="162" spans="2:137" ht="14.25" customHeight="1" x14ac:dyDescent="0.3">
      <c r="B162" s="3" t="str">
        <f>IF('User Interface'!$C$127&gt;(COUNT($B$7:B161)/96),B161+0.0104166666666667,"")</f>
        <v/>
      </c>
      <c r="G162" s="1"/>
      <c r="H162" s="1"/>
      <c r="I162" s="1"/>
      <c r="EG162" s="142"/>
    </row>
    <row r="163" spans="2:137" ht="14.25" customHeight="1" x14ac:dyDescent="0.3">
      <c r="B163" s="3" t="str">
        <f>IF('User Interface'!$C$127&gt;(COUNT($B$7:B162)/96),B162+0.0104166666666667,"")</f>
        <v/>
      </c>
      <c r="G163" s="1"/>
      <c r="H163" s="1"/>
      <c r="I163" s="1"/>
      <c r="EG163" s="142"/>
    </row>
    <row r="164" spans="2:137" ht="14.25" customHeight="1" x14ac:dyDescent="0.3">
      <c r="B164" s="3" t="str">
        <f>IF('User Interface'!$C$127&gt;(COUNT($B$7:B163)/96),B163+0.0104166666666667,"")</f>
        <v/>
      </c>
      <c r="G164" s="1"/>
      <c r="H164" s="1"/>
      <c r="I164" s="1"/>
      <c r="EG164" s="142"/>
    </row>
    <row r="165" spans="2:137" ht="14.25" customHeight="1" x14ac:dyDescent="0.3">
      <c r="B165" s="3" t="str">
        <f>IF('User Interface'!$C$127&gt;(COUNT($B$7:B164)/96),B164+0.0104166666666667,"")</f>
        <v/>
      </c>
      <c r="G165" s="1"/>
      <c r="H165" s="1"/>
      <c r="I165" s="1"/>
      <c r="EG165" s="142"/>
    </row>
    <row r="166" spans="2:137" ht="14.25" customHeight="1" x14ac:dyDescent="0.3">
      <c r="B166" s="3" t="str">
        <f>IF('User Interface'!$C$127&gt;(COUNT($B$7:B165)/96),B165+0.0104166666666667,"")</f>
        <v/>
      </c>
      <c r="G166" s="1"/>
      <c r="H166" s="1"/>
      <c r="I166" s="1"/>
      <c r="EG166" s="142"/>
    </row>
    <row r="167" spans="2:137" ht="14.25" customHeight="1" x14ac:dyDescent="0.3">
      <c r="B167" s="3" t="str">
        <f>IF('User Interface'!$C$127&gt;(COUNT($B$7:B166)/96),B166+0.0104166666666667,"")</f>
        <v/>
      </c>
      <c r="G167" s="1"/>
      <c r="H167" s="1"/>
      <c r="I167" s="1"/>
      <c r="EG167" s="142"/>
    </row>
    <row r="168" spans="2:137" ht="14.25" customHeight="1" x14ac:dyDescent="0.3">
      <c r="B168" s="3" t="str">
        <f>IF('User Interface'!$C$127&gt;(COUNT($B$7:B167)/96),B167+0.0104166666666667,"")</f>
        <v/>
      </c>
      <c r="G168" s="1"/>
      <c r="H168" s="1"/>
      <c r="I168" s="1"/>
      <c r="EG168" s="142"/>
    </row>
    <row r="169" spans="2:137" ht="14.25" customHeight="1" x14ac:dyDescent="0.3">
      <c r="B169" s="3" t="str">
        <f>IF('User Interface'!$C$127&gt;(COUNT($B$7:B168)/96),B168+0.0104166666666667,"")</f>
        <v/>
      </c>
      <c r="G169" s="1"/>
      <c r="H169" s="1"/>
      <c r="I169" s="1"/>
      <c r="EG169" s="142"/>
    </row>
    <row r="170" spans="2:137" ht="14.25" customHeight="1" x14ac:dyDescent="0.3">
      <c r="B170" s="3" t="str">
        <f>IF('User Interface'!$C$127&gt;(COUNT($B$7:B169)/96),B169+0.0104166666666667,"")</f>
        <v/>
      </c>
      <c r="G170" s="1"/>
      <c r="H170" s="1"/>
      <c r="I170" s="1"/>
      <c r="EG170" s="142"/>
    </row>
    <row r="171" spans="2:137" ht="14.25" customHeight="1" x14ac:dyDescent="0.3">
      <c r="B171" s="3" t="str">
        <f>IF('User Interface'!$C$127&gt;(COUNT($B$7:B170)/96),B170+0.0104166666666667,"")</f>
        <v/>
      </c>
      <c r="G171" s="1"/>
      <c r="H171" s="1"/>
      <c r="I171" s="1"/>
      <c r="EG171" s="142"/>
    </row>
    <row r="172" spans="2:137" ht="14.25" customHeight="1" x14ac:dyDescent="0.3">
      <c r="B172" s="3" t="str">
        <f>IF('User Interface'!$C$127&gt;(COUNT($B$7:B171)/96),B171+0.0104166666666667,"")</f>
        <v/>
      </c>
      <c r="G172" s="1"/>
      <c r="H172" s="1"/>
      <c r="I172" s="1"/>
      <c r="EG172" s="142"/>
    </row>
    <row r="173" spans="2:137" ht="14.25" customHeight="1" x14ac:dyDescent="0.3">
      <c r="B173" s="3" t="str">
        <f>IF('User Interface'!$C$127&gt;(COUNT($B$7:B172)/96),B172+0.0104166666666667,"")</f>
        <v/>
      </c>
      <c r="G173" s="1"/>
      <c r="H173" s="1"/>
      <c r="I173" s="1"/>
      <c r="EG173" s="142"/>
    </row>
    <row r="174" spans="2:137" ht="14.25" customHeight="1" x14ac:dyDescent="0.3">
      <c r="B174" s="3" t="str">
        <f>IF('User Interface'!$C$127&gt;(COUNT($B$7:B173)/96),B173+0.0104166666666667,"")</f>
        <v/>
      </c>
      <c r="G174" s="1"/>
      <c r="H174" s="1"/>
      <c r="I174" s="1"/>
      <c r="EG174" s="142"/>
    </row>
    <row r="175" spans="2:137" ht="14.25" customHeight="1" x14ac:dyDescent="0.3">
      <c r="B175" s="3" t="str">
        <f>IF('User Interface'!$C$127&gt;(COUNT($B$7:B174)/96),B174+0.0104166666666667,"")</f>
        <v/>
      </c>
      <c r="G175" s="1"/>
      <c r="H175" s="1"/>
      <c r="I175" s="1"/>
      <c r="EG175" s="142"/>
    </row>
    <row r="176" spans="2:137" ht="14.25" customHeight="1" x14ac:dyDescent="0.3">
      <c r="B176" s="3" t="str">
        <f>IF('User Interface'!$C$127&gt;(COUNT($B$7:B175)/96),B175+0.0104166666666667,"")</f>
        <v/>
      </c>
      <c r="G176" s="1"/>
      <c r="H176" s="1"/>
      <c r="I176" s="1"/>
      <c r="EG176" s="142"/>
    </row>
    <row r="177" spans="2:137" ht="14.25" customHeight="1" x14ac:dyDescent="0.3">
      <c r="B177" s="3" t="str">
        <f>IF('User Interface'!$C$127&gt;(COUNT($B$7:B176)/96),B176+0.0104166666666667,"")</f>
        <v/>
      </c>
      <c r="G177" s="1"/>
      <c r="H177" s="1"/>
      <c r="I177" s="1"/>
      <c r="EG177" s="142"/>
    </row>
    <row r="178" spans="2:137" ht="14.25" customHeight="1" x14ac:dyDescent="0.3">
      <c r="B178" s="3" t="str">
        <f>IF('User Interface'!$C$127&gt;(COUNT($B$7:B177)/96),B177+0.0104166666666667,"")</f>
        <v/>
      </c>
      <c r="G178" s="1"/>
      <c r="H178" s="1"/>
      <c r="I178" s="1"/>
      <c r="EG178" s="142"/>
    </row>
    <row r="179" spans="2:137" ht="14.25" customHeight="1" x14ac:dyDescent="0.3">
      <c r="B179" s="3" t="str">
        <f>IF('User Interface'!$C$127&gt;(COUNT($B$7:B178)/96),B178+0.0104166666666667,"")</f>
        <v/>
      </c>
      <c r="G179" s="1"/>
      <c r="H179" s="1"/>
      <c r="I179" s="1"/>
      <c r="EG179" s="142"/>
    </row>
    <row r="180" spans="2:137" ht="14.25" customHeight="1" x14ac:dyDescent="0.3">
      <c r="B180" s="3" t="str">
        <f>IF('User Interface'!$C$127&gt;(COUNT($B$7:B179)/96),B179+0.0104166666666667,"")</f>
        <v/>
      </c>
      <c r="G180" s="1"/>
      <c r="H180" s="1"/>
      <c r="I180" s="1"/>
      <c r="EG180" s="142"/>
    </row>
    <row r="181" spans="2:137" ht="14.25" customHeight="1" x14ac:dyDescent="0.3">
      <c r="B181" s="3" t="str">
        <f>IF('User Interface'!$C$127&gt;(COUNT($B$7:B180)/96),B180+0.0104166666666667,"")</f>
        <v/>
      </c>
      <c r="G181" s="1"/>
      <c r="H181" s="1"/>
      <c r="I181" s="1"/>
      <c r="EG181" s="142"/>
    </row>
    <row r="182" spans="2:137" ht="14.25" customHeight="1" x14ac:dyDescent="0.3">
      <c r="B182" s="3" t="str">
        <f>IF('User Interface'!$C$127&gt;(COUNT($B$7:B181)/96),B181+0.0104166666666667,"")</f>
        <v/>
      </c>
      <c r="G182" s="1"/>
      <c r="H182" s="1"/>
      <c r="I182" s="1"/>
      <c r="EG182" s="142"/>
    </row>
    <row r="183" spans="2:137" ht="14.25" customHeight="1" x14ac:dyDescent="0.3">
      <c r="B183" s="3" t="str">
        <f>IF('User Interface'!$C$127&gt;(COUNT($B$7:B182)/96),B182+0.0104166666666667,"")</f>
        <v/>
      </c>
      <c r="G183" s="1"/>
      <c r="H183" s="1"/>
      <c r="I183" s="1"/>
      <c r="EG183" s="142"/>
    </row>
    <row r="184" spans="2:137" ht="14.25" customHeight="1" x14ac:dyDescent="0.3">
      <c r="B184" s="3" t="str">
        <f>IF('User Interface'!$C$127&gt;(COUNT($B$7:B183)/96),B183+0.0104166666666667,"")</f>
        <v/>
      </c>
      <c r="G184" s="1"/>
      <c r="H184" s="1"/>
      <c r="I184" s="1"/>
      <c r="EG184" s="142"/>
    </row>
    <row r="185" spans="2:137" ht="14.25" customHeight="1" x14ac:dyDescent="0.3">
      <c r="B185" s="3" t="str">
        <f>IF('User Interface'!$C$127&gt;(COUNT($B$7:B184)/96),B184+0.0104166666666667,"")</f>
        <v/>
      </c>
      <c r="G185" s="1"/>
      <c r="H185" s="1"/>
      <c r="I185" s="1"/>
      <c r="EG185" s="142"/>
    </row>
    <row r="186" spans="2:137" ht="14.25" customHeight="1" x14ac:dyDescent="0.3">
      <c r="B186" s="3" t="str">
        <f>IF('User Interface'!$C$127&gt;(COUNT($B$7:B185)/96),B185+0.0104166666666667,"")</f>
        <v/>
      </c>
      <c r="G186" s="1"/>
      <c r="H186" s="1"/>
      <c r="I186" s="1"/>
      <c r="EG186" s="142"/>
    </row>
    <row r="187" spans="2:137" ht="14.25" customHeight="1" x14ac:dyDescent="0.3">
      <c r="B187" s="3" t="str">
        <f>IF('User Interface'!$C$127&gt;(COUNT($B$7:B186)/96),B186+0.0104166666666667,"")</f>
        <v/>
      </c>
      <c r="G187" s="1"/>
      <c r="H187" s="1"/>
      <c r="I187" s="1"/>
      <c r="EG187" s="142"/>
    </row>
    <row r="188" spans="2:137" ht="14.25" customHeight="1" x14ac:dyDescent="0.3">
      <c r="B188" s="3" t="str">
        <f>IF('User Interface'!$C$127&gt;(COUNT($B$7:B187)/96),B187+0.0104166666666667,"")</f>
        <v/>
      </c>
      <c r="G188" s="1"/>
      <c r="H188" s="1"/>
      <c r="I188" s="1"/>
      <c r="EG188" s="142"/>
    </row>
    <row r="189" spans="2:137" ht="14.25" customHeight="1" x14ac:dyDescent="0.3">
      <c r="B189" s="3" t="str">
        <f>IF('User Interface'!$C$127&gt;(COUNT($B$7:B188)/96),B188+0.0104166666666667,"")</f>
        <v/>
      </c>
      <c r="G189" s="1"/>
      <c r="H189" s="1"/>
      <c r="I189" s="1"/>
      <c r="EG189" s="142"/>
    </row>
    <row r="190" spans="2:137" ht="14.25" customHeight="1" x14ac:dyDescent="0.3">
      <c r="B190" s="3" t="str">
        <f>IF('User Interface'!$C$127&gt;(COUNT($B$7:B189)/96),B189+0.0104166666666667,"")</f>
        <v/>
      </c>
      <c r="G190" s="1"/>
      <c r="H190" s="1"/>
      <c r="I190" s="1"/>
      <c r="EG190" s="142"/>
    </row>
    <row r="191" spans="2:137" ht="14.25" customHeight="1" x14ac:dyDescent="0.3">
      <c r="B191" s="3" t="str">
        <f>IF('User Interface'!$C$127&gt;(COUNT($B$7:B190)/96),B190+0.0104166666666667,"")</f>
        <v/>
      </c>
      <c r="G191" s="1"/>
      <c r="H191" s="1"/>
      <c r="I191" s="1"/>
      <c r="EG191" s="142"/>
    </row>
    <row r="192" spans="2:137" ht="14.25" customHeight="1" x14ac:dyDescent="0.3">
      <c r="B192" s="3" t="str">
        <f>IF('User Interface'!$C$127&gt;(COUNT($B$7:B191)/96),B191+0.0104166666666667,"")</f>
        <v/>
      </c>
      <c r="G192" s="1"/>
      <c r="H192" s="1"/>
      <c r="I192" s="1"/>
      <c r="EG192" s="142"/>
    </row>
    <row r="193" spans="2:137" ht="14.25" customHeight="1" x14ac:dyDescent="0.3">
      <c r="B193" s="3" t="str">
        <f>IF('User Interface'!$C$127&gt;(COUNT($B$7:B192)/96),B192+0.0104166666666667,"")</f>
        <v/>
      </c>
      <c r="G193" s="1"/>
      <c r="H193" s="1"/>
      <c r="I193" s="1"/>
      <c r="EG193" s="142"/>
    </row>
    <row r="194" spans="2:137" ht="14.25" customHeight="1" x14ac:dyDescent="0.3">
      <c r="B194" s="3" t="str">
        <f>IF('User Interface'!$C$127&gt;(COUNT($B$7:B193)/96),B193+0.0104166666666667,"")</f>
        <v/>
      </c>
      <c r="G194" s="1"/>
      <c r="H194" s="1"/>
      <c r="I194" s="1"/>
      <c r="EG194" s="142"/>
    </row>
    <row r="195" spans="2:137" ht="14.25" customHeight="1" x14ac:dyDescent="0.3">
      <c r="B195" s="3" t="str">
        <f>IF('User Interface'!$C$127&gt;(COUNT($B$7:B194)/96),B194+0.0104166666666667,"")</f>
        <v/>
      </c>
      <c r="G195" s="1"/>
      <c r="H195" s="1"/>
      <c r="I195" s="1"/>
      <c r="EG195" s="142"/>
    </row>
    <row r="196" spans="2:137" ht="14.25" customHeight="1" x14ac:dyDescent="0.3">
      <c r="B196" s="3" t="str">
        <f>IF('User Interface'!$C$127&gt;(COUNT($B$7:B195)/96),B195+0.0104166666666667,"")</f>
        <v/>
      </c>
      <c r="G196" s="1"/>
      <c r="H196" s="1"/>
      <c r="I196" s="1"/>
      <c r="EG196" s="142"/>
    </row>
    <row r="197" spans="2:137" ht="14.25" customHeight="1" x14ac:dyDescent="0.3">
      <c r="B197" s="3" t="str">
        <f>IF('User Interface'!$C$127&gt;(COUNT($B$7:B196)/96),B196+0.0104166666666667,"")</f>
        <v/>
      </c>
      <c r="G197" s="1"/>
      <c r="H197" s="1"/>
      <c r="I197" s="1"/>
      <c r="EG197" s="142"/>
    </row>
    <row r="198" spans="2:137" ht="14.25" customHeight="1" x14ac:dyDescent="0.3">
      <c r="B198" s="3" t="str">
        <f>IF('User Interface'!$C$127&gt;(COUNT($B$7:B197)/96),B197+0.0104166666666667,"")</f>
        <v/>
      </c>
      <c r="G198" s="1"/>
      <c r="H198" s="1"/>
      <c r="I198" s="1"/>
      <c r="EG198" s="142"/>
    </row>
    <row r="199" spans="2:137" ht="14.25" customHeight="1" x14ac:dyDescent="0.3">
      <c r="B199" s="3" t="str">
        <f>IF('User Interface'!$C$127&gt;(COUNT($B$7:B198)/96),B198+0.0104166666666667,"")</f>
        <v/>
      </c>
      <c r="G199" s="1"/>
      <c r="H199" s="1"/>
      <c r="I199" s="1"/>
      <c r="EG199" s="142"/>
    </row>
    <row r="200" spans="2:137" ht="14.25" customHeight="1" x14ac:dyDescent="0.3">
      <c r="B200" s="3" t="str">
        <f>IF('User Interface'!$C$127&gt;(COUNT($B$7:B199)/96),B199+0.0104166666666667,"")</f>
        <v/>
      </c>
      <c r="G200" s="1"/>
      <c r="H200" s="1"/>
      <c r="I200" s="1"/>
      <c r="EG200" s="142"/>
    </row>
    <row r="201" spans="2:137" ht="14.25" customHeight="1" x14ac:dyDescent="0.3">
      <c r="B201" s="3" t="str">
        <f>IF('User Interface'!$C$127&gt;(COUNT($B$7:B200)/96),B200+0.0104166666666667,"")</f>
        <v/>
      </c>
      <c r="G201" s="1"/>
      <c r="H201" s="1"/>
      <c r="I201" s="1"/>
      <c r="EG201" s="142"/>
    </row>
    <row r="202" spans="2:137" ht="14.25" customHeight="1" x14ac:dyDescent="0.3">
      <c r="B202" s="3" t="str">
        <f>IF('User Interface'!$C$127&gt;(COUNT($B$7:B201)/96),B201+0.0104166666666667,"")</f>
        <v/>
      </c>
      <c r="G202" s="1"/>
      <c r="H202" s="1"/>
      <c r="I202" s="1"/>
      <c r="EG202" s="142"/>
    </row>
    <row r="203" spans="2:137" ht="14.25" customHeight="1" x14ac:dyDescent="0.3">
      <c r="B203" s="3" t="str">
        <f>IF('User Interface'!$C$127&gt;(COUNT($B$7:B202)/96),B202+0.0104166666666667,"")</f>
        <v/>
      </c>
      <c r="G203" s="1"/>
      <c r="H203" s="1"/>
      <c r="I203" s="1"/>
      <c r="EG203" s="142"/>
    </row>
    <row r="204" spans="2:137" ht="14.25" customHeight="1" x14ac:dyDescent="0.3">
      <c r="B204" s="3" t="str">
        <f>IF('User Interface'!$C$127&gt;(COUNT($B$7:B203)/96),B203+0.0104166666666667,"")</f>
        <v/>
      </c>
      <c r="G204" s="1"/>
      <c r="H204" s="1"/>
      <c r="I204" s="1"/>
      <c r="EG204" s="142"/>
    </row>
    <row r="205" spans="2:137" ht="14.25" customHeight="1" x14ac:dyDescent="0.3">
      <c r="B205" s="3" t="str">
        <f>IF('User Interface'!$C$127&gt;(COUNT($B$7:B204)/96),B204+0.0104166666666667,"")</f>
        <v/>
      </c>
      <c r="G205" s="1"/>
      <c r="H205" s="1"/>
      <c r="I205" s="1"/>
      <c r="EG205" s="142"/>
    </row>
    <row r="206" spans="2:137" ht="14.25" customHeight="1" x14ac:dyDescent="0.3">
      <c r="B206" s="3" t="str">
        <f>IF('User Interface'!$C$127&gt;(COUNT($B$7:B205)/96),B205+0.0104166666666667,"")</f>
        <v/>
      </c>
      <c r="G206" s="1"/>
      <c r="H206" s="1"/>
      <c r="I206" s="1"/>
      <c r="EG206" s="142"/>
    </row>
    <row r="207" spans="2:137" ht="14.25" customHeight="1" x14ac:dyDescent="0.3">
      <c r="B207" s="3" t="str">
        <f>IF('User Interface'!$C$127&gt;(COUNT($B$7:B206)/96),B206+0.0104166666666667,"")</f>
        <v/>
      </c>
      <c r="G207" s="1"/>
      <c r="H207" s="1"/>
      <c r="I207" s="1"/>
      <c r="EG207" s="142"/>
    </row>
    <row r="208" spans="2:137" ht="14.25" customHeight="1" x14ac:dyDescent="0.3">
      <c r="B208" s="3" t="str">
        <f>IF('User Interface'!$C$127&gt;(COUNT($B$7:B207)/96),B207+0.0104166666666667,"")</f>
        <v/>
      </c>
      <c r="G208" s="1"/>
      <c r="H208" s="1"/>
      <c r="I208" s="1"/>
      <c r="EG208" s="142"/>
    </row>
    <row r="209" spans="2:137" ht="14.25" customHeight="1" x14ac:dyDescent="0.3">
      <c r="B209" s="3" t="str">
        <f>IF('User Interface'!$C$127&gt;(COUNT($B$7:B208)/96),B208+0.0104166666666667,"")</f>
        <v/>
      </c>
      <c r="G209" s="1"/>
      <c r="H209" s="1"/>
      <c r="I209" s="1"/>
      <c r="EG209" s="142"/>
    </row>
    <row r="210" spans="2:137" ht="14.25" customHeight="1" x14ac:dyDescent="0.3">
      <c r="B210" s="3" t="str">
        <f>IF('User Interface'!$C$127&gt;(COUNT($B$7:B209)/96),B209+0.0104166666666667,"")</f>
        <v/>
      </c>
      <c r="G210" s="1"/>
      <c r="H210" s="1"/>
      <c r="I210" s="1"/>
      <c r="EG210" s="142"/>
    </row>
    <row r="211" spans="2:137" ht="14.25" customHeight="1" x14ac:dyDescent="0.3">
      <c r="B211" s="3" t="str">
        <f>IF('User Interface'!$C$127&gt;(COUNT($B$7:B210)/96),B210+0.0104166666666667,"")</f>
        <v/>
      </c>
      <c r="G211" s="1"/>
      <c r="H211" s="1"/>
      <c r="I211" s="1"/>
      <c r="EG211" s="142"/>
    </row>
    <row r="212" spans="2:137" ht="14.25" customHeight="1" x14ac:dyDescent="0.3">
      <c r="B212" s="3" t="str">
        <f>IF('User Interface'!$C$127&gt;(COUNT($B$7:B211)/96),B211+0.0104166666666667,"")</f>
        <v/>
      </c>
      <c r="G212" s="1"/>
      <c r="H212" s="1"/>
      <c r="I212" s="1"/>
      <c r="EG212" s="142"/>
    </row>
    <row r="213" spans="2:137" ht="14.25" customHeight="1" x14ac:dyDescent="0.3">
      <c r="B213" s="3" t="str">
        <f>IF('User Interface'!$C$127&gt;(COUNT($B$7:B212)/96),B212+0.0104166666666667,"")</f>
        <v/>
      </c>
      <c r="G213" s="1"/>
      <c r="H213" s="1"/>
      <c r="I213" s="1"/>
      <c r="EG213" s="142"/>
    </row>
    <row r="214" spans="2:137" ht="14.25" customHeight="1" x14ac:dyDescent="0.3">
      <c r="B214" s="3" t="str">
        <f>IF('User Interface'!$C$127&gt;(COUNT($B$7:B213)/96),B213+0.0104166666666667,"")</f>
        <v/>
      </c>
      <c r="G214" s="1"/>
      <c r="H214" s="1"/>
      <c r="I214" s="1"/>
      <c r="EG214" s="142"/>
    </row>
    <row r="215" spans="2:137" ht="14.25" customHeight="1" x14ac:dyDescent="0.3">
      <c r="B215" s="3" t="str">
        <f>IF('User Interface'!$C$127&gt;(COUNT($B$7:B214)/96),B214+0.0104166666666667,"")</f>
        <v/>
      </c>
      <c r="G215" s="1"/>
      <c r="H215" s="1"/>
      <c r="I215" s="1"/>
      <c r="EG215" s="142"/>
    </row>
    <row r="216" spans="2:137" ht="14.25" customHeight="1" x14ac:dyDescent="0.3">
      <c r="B216" s="3" t="str">
        <f>IF('User Interface'!$C$127&gt;(COUNT($B$7:B215)/96),B215+0.0104166666666667,"")</f>
        <v/>
      </c>
      <c r="G216" s="1"/>
      <c r="H216" s="1"/>
      <c r="I216" s="1"/>
      <c r="EG216" s="142"/>
    </row>
    <row r="217" spans="2:137" ht="14.25" customHeight="1" x14ac:dyDescent="0.3">
      <c r="B217" s="3" t="str">
        <f>IF('User Interface'!$C$127&gt;(COUNT($B$7:B216)/96),B216+0.0104166666666667,"")</f>
        <v/>
      </c>
      <c r="G217" s="1"/>
      <c r="H217" s="1"/>
      <c r="I217" s="1"/>
      <c r="EG217" s="142"/>
    </row>
    <row r="218" spans="2:137" ht="14.25" customHeight="1" x14ac:dyDescent="0.3">
      <c r="B218" s="3" t="str">
        <f>IF('User Interface'!$C$127&gt;(COUNT($B$7:B217)/96),B217+0.0104166666666667,"")</f>
        <v/>
      </c>
      <c r="G218" s="1"/>
      <c r="H218" s="1"/>
      <c r="I218" s="1"/>
      <c r="EG218" s="142"/>
    </row>
    <row r="219" spans="2:137" ht="14.25" customHeight="1" x14ac:dyDescent="0.3">
      <c r="B219" s="3" t="str">
        <f>IF('User Interface'!$C$127&gt;(COUNT($B$7:B218)/96),B218+0.0104166666666667,"")</f>
        <v/>
      </c>
      <c r="G219" s="1"/>
      <c r="H219" s="1"/>
      <c r="I219" s="1"/>
      <c r="EG219" s="142"/>
    </row>
    <row r="220" spans="2:137" ht="14.25" customHeight="1" x14ac:dyDescent="0.3">
      <c r="B220" s="3" t="str">
        <f>IF('User Interface'!$C$127&gt;(COUNT($B$7:B219)/96),B219+0.0104166666666667,"")</f>
        <v/>
      </c>
      <c r="G220" s="1"/>
      <c r="H220" s="1"/>
      <c r="I220" s="1"/>
      <c r="EG220" s="142"/>
    </row>
    <row r="221" spans="2:137" ht="14.25" customHeight="1" x14ac:dyDescent="0.3">
      <c r="B221" s="3" t="str">
        <f>IF('User Interface'!$C$127&gt;(COUNT($B$7:B220)/96),B220+0.0104166666666667,"")</f>
        <v/>
      </c>
      <c r="G221" s="1"/>
      <c r="H221" s="1"/>
      <c r="I221" s="1"/>
      <c r="EG221" s="142"/>
    </row>
    <row r="222" spans="2:137" ht="14.25" customHeight="1" x14ac:dyDescent="0.3">
      <c r="B222" s="3" t="str">
        <f>IF('User Interface'!$C$127&gt;(COUNT($B$7:B221)/96),B221+0.0104166666666667,"")</f>
        <v/>
      </c>
      <c r="G222" s="1"/>
      <c r="H222" s="1"/>
      <c r="I222" s="1"/>
      <c r="EG222" s="142"/>
    </row>
    <row r="223" spans="2:137" ht="14.25" customHeight="1" x14ac:dyDescent="0.3">
      <c r="B223" s="3" t="str">
        <f>IF('User Interface'!$C$127&gt;(COUNT($B$7:B222)/96),B222+0.0104166666666667,"")</f>
        <v/>
      </c>
      <c r="G223" s="1"/>
      <c r="H223" s="1"/>
      <c r="I223" s="1"/>
      <c r="EG223" s="142"/>
    </row>
    <row r="224" spans="2:137" ht="14.25" customHeight="1" x14ac:dyDescent="0.3">
      <c r="B224" s="3" t="str">
        <f>IF('User Interface'!$C$127&gt;(COUNT($B$7:B223)/96),B223+0.0104166666666667,"")</f>
        <v/>
      </c>
      <c r="G224" s="1"/>
      <c r="H224" s="1"/>
      <c r="I224" s="1"/>
      <c r="EG224" s="142"/>
    </row>
    <row r="225" spans="2:137" ht="14.25" customHeight="1" x14ac:dyDescent="0.3">
      <c r="B225" s="3" t="str">
        <f>IF('User Interface'!$C$127&gt;(COUNT($B$7:B224)/96),B224+0.0104166666666667,"")</f>
        <v/>
      </c>
      <c r="G225" s="1"/>
      <c r="H225" s="1"/>
      <c r="I225" s="1"/>
      <c r="EG225" s="142"/>
    </row>
    <row r="226" spans="2:137" ht="14.25" customHeight="1" x14ac:dyDescent="0.3">
      <c r="B226" s="3" t="str">
        <f>IF('User Interface'!$C$127&gt;(COUNT($B$7:B225)/96),B225+0.0104166666666667,"")</f>
        <v/>
      </c>
      <c r="G226" s="1"/>
      <c r="H226" s="1"/>
      <c r="I226" s="1"/>
      <c r="EG226" s="142"/>
    </row>
    <row r="227" spans="2:137" ht="14.25" customHeight="1" x14ac:dyDescent="0.3">
      <c r="B227" s="3" t="str">
        <f>IF('User Interface'!$C$127&gt;(COUNT($B$7:B226)/96),B226+0.0104166666666667,"")</f>
        <v/>
      </c>
      <c r="G227" s="1"/>
      <c r="H227" s="1"/>
      <c r="I227" s="1"/>
      <c r="EG227" s="142"/>
    </row>
    <row r="228" spans="2:137" ht="14.25" customHeight="1" x14ac:dyDescent="0.3">
      <c r="B228" s="3" t="str">
        <f>IF('User Interface'!$C$127&gt;(COUNT($B$7:B227)/96),B227+0.0104166666666667,"")</f>
        <v/>
      </c>
      <c r="G228" s="1"/>
      <c r="H228" s="1"/>
      <c r="I228" s="1"/>
      <c r="EG228" s="142"/>
    </row>
    <row r="229" spans="2:137" ht="14.25" customHeight="1" x14ac:dyDescent="0.3">
      <c r="B229" s="3" t="str">
        <f>IF('User Interface'!$C$127&gt;(COUNT($B$7:B228)/96),B228+0.0104166666666667,"")</f>
        <v/>
      </c>
      <c r="G229" s="1"/>
      <c r="H229" s="1"/>
      <c r="I229" s="1"/>
      <c r="EG229" s="142"/>
    </row>
    <row r="230" spans="2:137" ht="14.25" customHeight="1" x14ac:dyDescent="0.3">
      <c r="B230" s="3" t="str">
        <f>IF('User Interface'!$C$127&gt;(COUNT($B$7:B229)/96),B229+0.0104166666666667,"")</f>
        <v/>
      </c>
      <c r="G230" s="1"/>
      <c r="H230" s="1"/>
      <c r="I230" s="1"/>
      <c r="EG230" s="142"/>
    </row>
    <row r="231" spans="2:137" ht="14.25" customHeight="1" x14ac:dyDescent="0.3">
      <c r="B231" s="3" t="str">
        <f>IF('User Interface'!$C$127&gt;(COUNT($B$7:B230)/96),B230+0.0104166666666667,"")</f>
        <v/>
      </c>
      <c r="G231" s="1"/>
      <c r="H231" s="1"/>
      <c r="I231" s="1"/>
      <c r="EG231" s="142"/>
    </row>
    <row r="232" spans="2:137" ht="14.25" customHeight="1" x14ac:dyDescent="0.3">
      <c r="B232" s="3" t="str">
        <f>IF('User Interface'!$C$127&gt;(COUNT($B$7:B231)/96),B231+0.0104166666666667,"")</f>
        <v/>
      </c>
      <c r="G232" s="1"/>
      <c r="H232" s="1"/>
      <c r="I232" s="1"/>
      <c r="EG232" s="142"/>
    </row>
    <row r="233" spans="2:137" ht="14.25" customHeight="1" x14ac:dyDescent="0.3">
      <c r="B233" s="3" t="str">
        <f>IF('User Interface'!$C$127&gt;(COUNT($B$7:B232)/96),B232+0.0104166666666667,"")</f>
        <v/>
      </c>
      <c r="G233" s="1"/>
      <c r="H233" s="1"/>
      <c r="I233" s="1"/>
      <c r="EG233" s="142"/>
    </row>
    <row r="234" spans="2:137" ht="14.25" customHeight="1" x14ac:dyDescent="0.3">
      <c r="B234" s="3" t="str">
        <f>IF('User Interface'!$C$127&gt;(COUNT($B$7:B233)/96),B233+0.0104166666666667,"")</f>
        <v/>
      </c>
      <c r="G234" s="1"/>
      <c r="H234" s="1"/>
      <c r="I234" s="1"/>
      <c r="EG234" s="142"/>
    </row>
    <row r="235" spans="2:137" ht="14.25" customHeight="1" x14ac:dyDescent="0.3">
      <c r="B235" s="3" t="str">
        <f>IF('User Interface'!$C$127&gt;(COUNT($B$7:B234)/96),B234+0.0104166666666667,"")</f>
        <v/>
      </c>
      <c r="G235" s="1"/>
      <c r="H235" s="1"/>
      <c r="I235" s="1"/>
      <c r="EG235" s="142"/>
    </row>
    <row r="236" spans="2:137" ht="14.25" customHeight="1" x14ac:dyDescent="0.3">
      <c r="B236" s="3" t="str">
        <f>IF('User Interface'!$C$127&gt;(COUNT($B$7:B235)/96),B235+0.0104166666666667,"")</f>
        <v/>
      </c>
      <c r="G236" s="1"/>
      <c r="H236" s="1"/>
      <c r="I236" s="1"/>
      <c r="EG236" s="142"/>
    </row>
    <row r="237" spans="2:137" ht="14.25" customHeight="1" x14ac:dyDescent="0.3">
      <c r="B237" s="3" t="str">
        <f>IF('User Interface'!$C$127&gt;(COUNT($B$7:B236)/96),B236+0.0104166666666667,"")</f>
        <v/>
      </c>
      <c r="G237" s="1"/>
      <c r="H237" s="1"/>
      <c r="I237" s="1"/>
      <c r="EG237" s="142"/>
    </row>
    <row r="238" spans="2:137" ht="14.25" customHeight="1" x14ac:dyDescent="0.3">
      <c r="B238" s="3" t="str">
        <f>IF('User Interface'!$C$127&gt;(COUNT($B$7:B237)/96),B237+0.0104166666666667,"")</f>
        <v/>
      </c>
      <c r="G238" s="1"/>
      <c r="H238" s="1"/>
      <c r="I238" s="1"/>
      <c r="EG238" s="142"/>
    </row>
    <row r="239" spans="2:137" ht="14.25" customHeight="1" x14ac:dyDescent="0.3">
      <c r="B239" s="3" t="str">
        <f>IF('User Interface'!$C$127&gt;(COUNT($B$7:B238)/96),B238+0.0104166666666667,"")</f>
        <v/>
      </c>
      <c r="G239" s="1"/>
      <c r="H239" s="1"/>
      <c r="I239" s="1"/>
      <c r="EG239" s="142"/>
    </row>
    <row r="240" spans="2:137" ht="14.25" customHeight="1" x14ac:dyDescent="0.3">
      <c r="B240" s="3" t="str">
        <f>IF('User Interface'!$C$127&gt;(COUNT($B$7:B239)/96),B239+0.0104166666666667,"")</f>
        <v/>
      </c>
      <c r="G240" s="1"/>
      <c r="H240" s="1"/>
      <c r="I240" s="1"/>
      <c r="EG240" s="142"/>
    </row>
    <row r="241" spans="2:137" ht="14.25" customHeight="1" x14ac:dyDescent="0.3">
      <c r="B241" s="3" t="str">
        <f>IF('User Interface'!$C$127&gt;(COUNT($B$7:B240)/96),B240+0.0104166666666667,"")</f>
        <v/>
      </c>
      <c r="G241" s="1"/>
      <c r="H241" s="1"/>
      <c r="I241" s="1"/>
      <c r="EG241" s="142"/>
    </row>
    <row r="242" spans="2:137" ht="14.25" customHeight="1" x14ac:dyDescent="0.3">
      <c r="B242" s="3" t="str">
        <f>IF('User Interface'!$C$127&gt;(COUNT($B$7:B241)/96),B241+0.0104166666666667,"")</f>
        <v/>
      </c>
      <c r="G242" s="1"/>
      <c r="H242" s="1"/>
      <c r="I242" s="1"/>
      <c r="EG242" s="142"/>
    </row>
    <row r="243" spans="2:137" ht="14.25" customHeight="1" x14ac:dyDescent="0.3">
      <c r="B243" s="3" t="str">
        <f>IF('User Interface'!$C$127&gt;(COUNT($B$7:B242)/96),B242+0.0104166666666667,"")</f>
        <v/>
      </c>
      <c r="G243" s="1"/>
      <c r="H243" s="1"/>
      <c r="I243" s="1"/>
      <c r="EG243" s="142"/>
    </row>
    <row r="244" spans="2:137" ht="14.25" customHeight="1" x14ac:dyDescent="0.3">
      <c r="B244" s="3" t="str">
        <f>IF('User Interface'!$C$127&gt;(COUNT($B$7:B243)/96),B243+0.0104166666666667,"")</f>
        <v/>
      </c>
      <c r="G244" s="1"/>
      <c r="H244" s="1"/>
      <c r="I244" s="1"/>
      <c r="EG244" s="142"/>
    </row>
    <row r="245" spans="2:137" ht="14.25" customHeight="1" x14ac:dyDescent="0.3">
      <c r="B245" s="3" t="str">
        <f>IF('User Interface'!$C$127&gt;(COUNT($B$7:B244)/96),B244+0.0104166666666667,"")</f>
        <v/>
      </c>
      <c r="G245" s="1"/>
      <c r="H245" s="1"/>
      <c r="I245" s="1"/>
      <c r="EG245" s="142"/>
    </row>
    <row r="246" spans="2:137" ht="14.25" customHeight="1" x14ac:dyDescent="0.3">
      <c r="B246" s="3" t="str">
        <f>IF('User Interface'!$C$127&gt;(COUNT($B$7:B245)/96),B245+0.0104166666666667,"")</f>
        <v/>
      </c>
      <c r="G246" s="1"/>
      <c r="H246" s="1"/>
      <c r="I246" s="1"/>
      <c r="EG246" s="142"/>
    </row>
    <row r="247" spans="2:137" ht="14.25" customHeight="1" x14ac:dyDescent="0.3">
      <c r="B247" s="3" t="str">
        <f>IF('User Interface'!$C$127&gt;(COUNT($B$7:B246)/96),B246+0.0104166666666667,"")</f>
        <v/>
      </c>
      <c r="G247" s="1"/>
      <c r="H247" s="1"/>
      <c r="I247" s="1"/>
      <c r="EG247" s="142"/>
    </row>
    <row r="248" spans="2:137" ht="14.25" customHeight="1" x14ac:dyDescent="0.3">
      <c r="B248" s="3" t="str">
        <f>IF('User Interface'!$C$127&gt;(COUNT($B$7:B247)/96),B247+0.0104166666666667,"")</f>
        <v/>
      </c>
      <c r="G248" s="1"/>
      <c r="H248" s="1"/>
      <c r="I248" s="1"/>
      <c r="EG248" s="142"/>
    </row>
    <row r="249" spans="2:137" ht="14.25" customHeight="1" x14ac:dyDescent="0.3">
      <c r="B249" s="3" t="str">
        <f>IF('User Interface'!$C$127&gt;(COUNT($B$7:B248)/96),B248+0.0104166666666667,"")</f>
        <v/>
      </c>
      <c r="G249" s="1"/>
      <c r="H249" s="1"/>
      <c r="I249" s="1"/>
      <c r="EG249" s="142"/>
    </row>
    <row r="250" spans="2:137" ht="14.25" customHeight="1" x14ac:dyDescent="0.3">
      <c r="B250" s="3" t="str">
        <f>IF('User Interface'!$C$127&gt;(COUNT($B$7:B249)/96),B249+0.0104166666666667,"")</f>
        <v/>
      </c>
      <c r="G250" s="1"/>
      <c r="H250" s="1"/>
      <c r="I250" s="1"/>
      <c r="EG250" s="142"/>
    </row>
    <row r="251" spans="2:137" ht="14.25" customHeight="1" x14ac:dyDescent="0.3">
      <c r="B251" s="3" t="str">
        <f>IF('User Interface'!$C$127&gt;(COUNT($B$7:B250)/96),B250+0.0104166666666667,"")</f>
        <v/>
      </c>
      <c r="G251" s="1"/>
      <c r="H251" s="1"/>
      <c r="I251" s="1"/>
      <c r="EG251" s="142"/>
    </row>
    <row r="252" spans="2:137" ht="14.25" customHeight="1" x14ac:dyDescent="0.3">
      <c r="B252" s="3" t="str">
        <f>IF('User Interface'!$C$127&gt;(COUNT($B$7:B251)/96),B251+0.0104166666666667,"")</f>
        <v/>
      </c>
      <c r="G252" s="1"/>
      <c r="H252" s="1"/>
      <c r="I252" s="1"/>
      <c r="EG252" s="142"/>
    </row>
    <row r="253" spans="2:137" ht="14.25" customHeight="1" x14ac:dyDescent="0.3">
      <c r="B253" s="3" t="str">
        <f>IF('User Interface'!$C$127&gt;(COUNT($B$7:B252)/96),B252+0.0104166666666667,"")</f>
        <v/>
      </c>
      <c r="G253" s="1"/>
      <c r="H253" s="1"/>
      <c r="I253" s="1"/>
      <c r="EG253" s="142"/>
    </row>
    <row r="254" spans="2:137" ht="14.25" customHeight="1" x14ac:dyDescent="0.3">
      <c r="B254" s="3" t="str">
        <f>IF('User Interface'!$C$127&gt;(COUNT($B$7:B253)/96),B253+0.0104166666666667,"")</f>
        <v/>
      </c>
      <c r="G254" s="1"/>
      <c r="H254" s="1"/>
      <c r="I254" s="1"/>
      <c r="EG254" s="142"/>
    </row>
    <row r="255" spans="2:137" ht="14.25" customHeight="1" x14ac:dyDescent="0.3">
      <c r="B255" s="3" t="str">
        <f>IF('User Interface'!$C$127&gt;(COUNT($B$7:B254)/96),B254+0.0104166666666667,"")</f>
        <v/>
      </c>
      <c r="G255" s="1"/>
      <c r="H255" s="1"/>
      <c r="I255" s="1"/>
      <c r="EG255" s="142"/>
    </row>
    <row r="256" spans="2:137" ht="14.25" customHeight="1" x14ac:dyDescent="0.3">
      <c r="B256" s="3" t="str">
        <f>IF('User Interface'!$C$127&gt;(COUNT($B$7:B255)/96),B255+0.0104166666666667,"")</f>
        <v/>
      </c>
      <c r="G256" s="1"/>
      <c r="H256" s="1"/>
      <c r="I256" s="1"/>
      <c r="EG256" s="142"/>
    </row>
    <row r="257" spans="2:137" ht="14.25" customHeight="1" x14ac:dyDescent="0.3">
      <c r="B257" s="3" t="str">
        <f>IF('User Interface'!$C$127&gt;(COUNT($B$7:B256)/96),B256+0.0104166666666667,"")</f>
        <v/>
      </c>
      <c r="G257" s="1"/>
      <c r="H257" s="1"/>
      <c r="I257" s="1"/>
      <c r="EG257" s="142"/>
    </row>
    <row r="258" spans="2:137" ht="14.25" customHeight="1" x14ac:dyDescent="0.3">
      <c r="B258" s="3" t="str">
        <f>IF('User Interface'!$C$127&gt;(COUNT($B$7:B257)/96),B257+0.0104166666666667,"")</f>
        <v/>
      </c>
      <c r="G258" s="1"/>
      <c r="H258" s="1"/>
      <c r="I258" s="1"/>
      <c r="EG258" s="142"/>
    </row>
    <row r="259" spans="2:137" ht="14.25" customHeight="1" x14ac:dyDescent="0.3">
      <c r="B259" s="3" t="str">
        <f>IF('User Interface'!$C$127&gt;(COUNT($B$7:B258)/96),B258+0.0104166666666667,"")</f>
        <v/>
      </c>
      <c r="G259" s="1"/>
      <c r="H259" s="1"/>
      <c r="I259" s="1"/>
      <c r="EG259" s="142"/>
    </row>
    <row r="260" spans="2:137" ht="14.25" customHeight="1" x14ac:dyDescent="0.3">
      <c r="B260" s="3" t="str">
        <f>IF('User Interface'!$C$127&gt;(COUNT($B$7:B259)/96),B259+0.0104166666666667,"")</f>
        <v/>
      </c>
      <c r="G260" s="1"/>
      <c r="H260" s="1"/>
      <c r="I260" s="1"/>
      <c r="EG260" s="142"/>
    </row>
    <row r="261" spans="2:137" ht="14.25" customHeight="1" x14ac:dyDescent="0.3">
      <c r="B261" s="3" t="str">
        <f>IF('User Interface'!$C$127&gt;(COUNT($B$7:B260)/96),B260+0.0104166666666667,"")</f>
        <v/>
      </c>
      <c r="G261" s="1"/>
      <c r="H261" s="1"/>
      <c r="I261" s="1"/>
      <c r="EG261" s="142"/>
    </row>
    <row r="262" spans="2:137" ht="14.25" customHeight="1" x14ac:dyDescent="0.3">
      <c r="B262" s="3" t="str">
        <f>IF('User Interface'!$C$127&gt;(COUNT($B$7:B261)/96),B261+0.0104166666666667,"")</f>
        <v/>
      </c>
      <c r="G262" s="1"/>
      <c r="H262" s="1"/>
      <c r="I262" s="1"/>
      <c r="EG262" s="142"/>
    </row>
    <row r="263" spans="2:137" ht="14.25" customHeight="1" x14ac:dyDescent="0.3">
      <c r="B263" s="3" t="str">
        <f>IF('User Interface'!$C$127&gt;(COUNT($B$7:B262)/96),B262+0.0104166666666667,"")</f>
        <v/>
      </c>
      <c r="G263" s="1"/>
      <c r="H263" s="1"/>
      <c r="I263" s="1"/>
      <c r="EG263" s="142"/>
    </row>
    <row r="264" spans="2:137" ht="14.25" customHeight="1" x14ac:dyDescent="0.3">
      <c r="B264" s="3" t="str">
        <f>IF('User Interface'!$C$127&gt;(COUNT($B$7:B263)/96),B263+0.0104166666666667,"")</f>
        <v/>
      </c>
      <c r="G264" s="1"/>
      <c r="H264" s="1"/>
      <c r="I264" s="1"/>
      <c r="EG264" s="142"/>
    </row>
    <row r="265" spans="2:137" ht="14.25" customHeight="1" x14ac:dyDescent="0.3">
      <c r="B265" s="3" t="str">
        <f>IF('User Interface'!$C$127&gt;(COUNT($B$7:B264)/96),B264+0.0104166666666667,"")</f>
        <v/>
      </c>
      <c r="G265" s="1"/>
      <c r="H265" s="1"/>
      <c r="I265" s="1"/>
      <c r="EG265" s="142"/>
    </row>
    <row r="266" spans="2:137" ht="14.25" customHeight="1" x14ac:dyDescent="0.3">
      <c r="B266" s="3" t="str">
        <f>IF('User Interface'!$C$127&gt;(COUNT($B$7:B265)/96),B265+0.0104166666666667,"")</f>
        <v/>
      </c>
      <c r="G266" s="1"/>
      <c r="H266" s="1"/>
      <c r="I266" s="1"/>
      <c r="EG266" s="142"/>
    </row>
    <row r="267" spans="2:137" ht="14.25" customHeight="1" x14ac:dyDescent="0.3">
      <c r="B267" s="3" t="str">
        <f>IF('User Interface'!$C$127&gt;(COUNT($B$7:B266)/96),B266+0.0104166666666667,"")</f>
        <v/>
      </c>
      <c r="G267" s="1"/>
      <c r="H267" s="1"/>
      <c r="I267" s="1"/>
      <c r="EG267" s="142"/>
    </row>
    <row r="268" spans="2:137" ht="14.25" customHeight="1" x14ac:dyDescent="0.3">
      <c r="B268" s="3" t="str">
        <f>IF('User Interface'!$C$127&gt;(COUNT($B$7:B267)/96),B267+0.0104166666666667,"")</f>
        <v/>
      </c>
      <c r="G268" s="1"/>
      <c r="H268" s="1"/>
      <c r="I268" s="1"/>
      <c r="EG268" s="142"/>
    </row>
    <row r="269" spans="2:137" ht="14.25" customHeight="1" x14ac:dyDescent="0.3">
      <c r="B269" s="3" t="str">
        <f>IF('User Interface'!$C$127&gt;(COUNT($B$7:B268)/96),B268+0.0104166666666667,"")</f>
        <v/>
      </c>
      <c r="G269" s="1"/>
      <c r="H269" s="1"/>
      <c r="I269" s="1"/>
      <c r="EG269" s="142"/>
    </row>
    <row r="270" spans="2:137" ht="14.25" customHeight="1" x14ac:dyDescent="0.3">
      <c r="B270" s="3" t="str">
        <f>IF('User Interface'!$C$127&gt;(COUNT($B$7:B269)/96),B269+0.0104166666666667,"")</f>
        <v/>
      </c>
      <c r="G270" s="1"/>
      <c r="H270" s="1"/>
      <c r="I270" s="1"/>
      <c r="EG270" s="142"/>
    </row>
    <row r="271" spans="2:137" ht="14.25" customHeight="1" x14ac:dyDescent="0.3">
      <c r="B271" s="3" t="str">
        <f>IF('User Interface'!$C$127&gt;(COUNT($B$7:B270)/96),B270+0.0104166666666667,"")</f>
        <v/>
      </c>
      <c r="G271" s="1"/>
      <c r="H271" s="1"/>
      <c r="I271" s="1"/>
      <c r="EG271" s="142"/>
    </row>
    <row r="272" spans="2:137" ht="14.25" customHeight="1" x14ac:dyDescent="0.3">
      <c r="B272" s="3" t="str">
        <f>IF('User Interface'!$C$127&gt;(COUNT($B$7:B271)/96),B271+0.0104166666666667,"")</f>
        <v/>
      </c>
      <c r="G272" s="1"/>
      <c r="H272" s="1"/>
      <c r="I272" s="1"/>
      <c r="EG272" s="142"/>
    </row>
    <row r="273" spans="2:137" ht="14.25" customHeight="1" x14ac:dyDescent="0.3">
      <c r="B273" s="3" t="str">
        <f>IF('User Interface'!$C$127&gt;(COUNT($B$7:B272)/96),B272+0.0104166666666667,"")</f>
        <v/>
      </c>
      <c r="G273" s="1"/>
      <c r="H273" s="1"/>
      <c r="I273" s="1"/>
      <c r="EG273" s="142"/>
    </row>
    <row r="274" spans="2:137" ht="14.25" customHeight="1" x14ac:dyDescent="0.3">
      <c r="B274" s="3" t="str">
        <f>IF('User Interface'!$C$127&gt;(COUNT($B$7:B273)/96),B273+0.0104166666666667,"")</f>
        <v/>
      </c>
      <c r="G274" s="1"/>
      <c r="H274" s="1"/>
      <c r="I274" s="1"/>
      <c r="EG274" s="142"/>
    </row>
    <row r="275" spans="2:137" ht="14.25" customHeight="1" x14ac:dyDescent="0.3">
      <c r="B275" s="3" t="str">
        <f>IF('User Interface'!$C$127&gt;(COUNT($B$7:B274)/96),B274+0.0104166666666667,"")</f>
        <v/>
      </c>
      <c r="G275" s="1"/>
      <c r="H275" s="1"/>
      <c r="I275" s="1"/>
      <c r="EG275" s="142"/>
    </row>
    <row r="276" spans="2:137" ht="14.25" customHeight="1" x14ac:dyDescent="0.3">
      <c r="B276" s="3" t="str">
        <f>IF('User Interface'!$C$127&gt;(COUNT($B$7:B275)/96),B275+0.0104166666666667,"")</f>
        <v/>
      </c>
      <c r="G276" s="1"/>
      <c r="H276" s="1"/>
      <c r="I276" s="1"/>
      <c r="EG276" s="142"/>
    </row>
    <row r="277" spans="2:137" ht="14.25" customHeight="1" x14ac:dyDescent="0.3">
      <c r="B277" s="3" t="str">
        <f>IF('User Interface'!$C$127&gt;(COUNT($B$7:B276)/96),B276+0.0104166666666667,"")</f>
        <v/>
      </c>
      <c r="G277" s="1"/>
      <c r="H277" s="1"/>
      <c r="I277" s="1"/>
      <c r="EG277" s="142"/>
    </row>
    <row r="278" spans="2:137" ht="14.25" customHeight="1" x14ac:dyDescent="0.3">
      <c r="B278" s="3" t="str">
        <f>IF('User Interface'!$C$127&gt;(COUNT($B$7:B277)/96),B277+0.0104166666666667,"")</f>
        <v/>
      </c>
      <c r="G278" s="1"/>
      <c r="H278" s="1"/>
      <c r="I278" s="1"/>
      <c r="EG278" s="142"/>
    </row>
    <row r="279" spans="2:137" ht="14.25" customHeight="1" x14ac:dyDescent="0.3">
      <c r="B279" s="3" t="str">
        <f>IF('User Interface'!$C$127&gt;(COUNT($B$7:B278)/96),B278+0.0104166666666667,"")</f>
        <v/>
      </c>
      <c r="G279" s="1"/>
      <c r="H279" s="1"/>
      <c r="I279" s="1"/>
      <c r="EG279" s="142"/>
    </row>
    <row r="280" spans="2:137" ht="14.25" customHeight="1" x14ac:dyDescent="0.3">
      <c r="B280" s="3" t="str">
        <f>IF('User Interface'!$C$127&gt;(COUNT($B$7:B279)/96),B279+0.0104166666666667,"")</f>
        <v/>
      </c>
      <c r="G280" s="1"/>
      <c r="H280" s="1"/>
      <c r="I280" s="1"/>
      <c r="EG280" s="142"/>
    </row>
    <row r="281" spans="2:137" ht="14.25" customHeight="1" x14ac:dyDescent="0.3">
      <c r="B281" s="3" t="str">
        <f>IF('User Interface'!$C$127&gt;(COUNT($B$7:B280)/96),B280+0.0104166666666667,"")</f>
        <v/>
      </c>
      <c r="G281" s="1"/>
      <c r="H281" s="1"/>
      <c r="I281" s="1"/>
      <c r="EG281" s="142"/>
    </row>
    <row r="282" spans="2:137" ht="14.25" customHeight="1" x14ac:dyDescent="0.3">
      <c r="B282" s="3" t="str">
        <f>IF('User Interface'!$C$127&gt;(COUNT($B$7:B281)/96),B281+0.0104166666666667,"")</f>
        <v/>
      </c>
      <c r="G282" s="1"/>
      <c r="H282" s="1"/>
      <c r="I282" s="1"/>
      <c r="EG282" s="142"/>
    </row>
    <row r="283" spans="2:137" ht="14.25" customHeight="1" x14ac:dyDescent="0.3">
      <c r="B283" s="3" t="str">
        <f>IF('User Interface'!$C$127&gt;(COUNT($B$7:B282)/96),B282+0.0104166666666667,"")</f>
        <v/>
      </c>
      <c r="G283" s="1"/>
      <c r="H283" s="1"/>
      <c r="I283" s="1"/>
      <c r="EG283" s="142"/>
    </row>
    <row r="284" spans="2:137" ht="14.25" customHeight="1" x14ac:dyDescent="0.3">
      <c r="B284" s="3" t="str">
        <f>IF('User Interface'!$C$127&gt;(COUNT($B$7:B283)/96),B283+0.0104166666666667,"")</f>
        <v/>
      </c>
      <c r="G284" s="1"/>
      <c r="H284" s="1"/>
      <c r="I284" s="1"/>
      <c r="EG284" s="142"/>
    </row>
    <row r="285" spans="2:137" ht="14.25" customHeight="1" x14ac:dyDescent="0.3">
      <c r="B285" s="3" t="str">
        <f>IF('User Interface'!$C$127&gt;(COUNT($B$7:B284)/96),B284+0.0104166666666667,"")</f>
        <v/>
      </c>
      <c r="G285" s="1"/>
      <c r="H285" s="1"/>
      <c r="I285" s="1"/>
      <c r="EG285" s="142"/>
    </row>
    <row r="286" spans="2:137" ht="14.25" customHeight="1" x14ac:dyDescent="0.3">
      <c r="B286" s="3" t="str">
        <f>IF('User Interface'!$C$127&gt;(COUNT($B$7:B285)/96),B285+0.0104166666666667,"")</f>
        <v/>
      </c>
      <c r="G286" s="1"/>
      <c r="H286" s="1"/>
      <c r="I286" s="1"/>
      <c r="EG286" s="142"/>
    </row>
    <row r="287" spans="2:137" ht="14.25" customHeight="1" x14ac:dyDescent="0.3">
      <c r="B287" s="3" t="str">
        <f>IF('User Interface'!$C$127&gt;(COUNT($B$7:B286)/96),B286+0.0104166666666667,"")</f>
        <v/>
      </c>
      <c r="G287" s="1"/>
      <c r="H287" s="1"/>
      <c r="I287" s="1"/>
      <c r="EG287" s="142"/>
    </row>
    <row r="288" spans="2:137" ht="14.25" customHeight="1" x14ac:dyDescent="0.3">
      <c r="B288" s="3" t="str">
        <f>IF('User Interface'!$C$127&gt;(COUNT($B$7:B287)/96),B287+0.0104166666666667,"")</f>
        <v/>
      </c>
      <c r="G288" s="1"/>
      <c r="H288" s="1"/>
      <c r="I288" s="1"/>
      <c r="EG288" s="142"/>
    </row>
    <row r="289" spans="2:137" ht="14.25" customHeight="1" x14ac:dyDescent="0.3">
      <c r="B289" s="3" t="str">
        <f>IF('User Interface'!$C$127&gt;(COUNT($B$7:B288)/96),B288+0.0104166666666667,"")</f>
        <v/>
      </c>
      <c r="G289" s="1"/>
      <c r="H289" s="1"/>
      <c r="I289" s="1"/>
      <c r="EG289" s="142"/>
    </row>
    <row r="290" spans="2:137" ht="14.25" customHeight="1" x14ac:dyDescent="0.3">
      <c r="B290" s="3" t="str">
        <f>IF('User Interface'!$C$127&gt;(COUNT($B$7:B289)/96),B289+0.0104166666666667,"")</f>
        <v/>
      </c>
      <c r="G290" s="1"/>
      <c r="H290" s="1"/>
      <c r="I290" s="1"/>
      <c r="EG290" s="142"/>
    </row>
    <row r="291" spans="2:137" ht="14.25" customHeight="1" x14ac:dyDescent="0.3">
      <c r="B291" s="3" t="str">
        <f>IF('User Interface'!$C$127&gt;(COUNT($B$7:B290)/96),B290+0.0104166666666667,"")</f>
        <v/>
      </c>
      <c r="G291" s="1"/>
      <c r="H291" s="1"/>
      <c r="I291" s="1"/>
      <c r="EG291" s="142"/>
    </row>
    <row r="292" spans="2:137" ht="14.25" customHeight="1" x14ac:dyDescent="0.3">
      <c r="B292" s="3" t="str">
        <f>IF('User Interface'!$C$127&gt;(COUNT($B$7:B291)/96),B291+0.0104166666666667,"")</f>
        <v/>
      </c>
      <c r="G292" s="1"/>
      <c r="H292" s="1"/>
      <c r="I292" s="1"/>
      <c r="EG292" s="142"/>
    </row>
    <row r="293" spans="2:137" ht="14.25" customHeight="1" x14ac:dyDescent="0.3">
      <c r="B293" s="3" t="str">
        <f>IF('User Interface'!$C$127&gt;(COUNT($B$7:B292)/96),B292+0.0104166666666667,"")</f>
        <v/>
      </c>
      <c r="G293" s="1"/>
      <c r="H293" s="1"/>
      <c r="I293" s="1"/>
      <c r="EG293" s="142"/>
    </row>
    <row r="294" spans="2:137" ht="14.25" customHeight="1" x14ac:dyDescent="0.3">
      <c r="B294" s="3" t="str">
        <f>IF('User Interface'!$C$127&gt;(COUNT($B$7:B293)/96),B293+0.0104166666666667,"")</f>
        <v/>
      </c>
      <c r="G294" s="1"/>
      <c r="H294" s="1"/>
      <c r="I294" s="1"/>
      <c r="EG294" s="142"/>
    </row>
    <row r="295" spans="2:137" ht="14.25" customHeight="1" x14ac:dyDescent="0.3">
      <c r="B295" s="3" t="str">
        <f>IF('User Interface'!$C$127&gt;(COUNT($B$7:B294)/96),B294+0.0104166666666667,"")</f>
        <v/>
      </c>
      <c r="EG295" s="142"/>
    </row>
    <row r="296" spans="2:137" ht="14.25" customHeight="1" x14ac:dyDescent="0.3">
      <c r="B296" s="3" t="str">
        <f>IF('User Interface'!$C$127&gt;(COUNT($B$7:B295)/96),B295+0.0104166666666667,"")</f>
        <v/>
      </c>
      <c r="EG296" s="142"/>
    </row>
    <row r="297" spans="2:137" ht="14.25" customHeight="1" x14ac:dyDescent="0.3">
      <c r="B297" s="3" t="str">
        <f>IF('User Interface'!$C$127&gt;(COUNT($B$7:B296)/96),B296+0.0104166666666667,"")</f>
        <v/>
      </c>
      <c r="EG297" s="142"/>
    </row>
    <row r="298" spans="2:137" ht="14.25" customHeight="1" x14ac:dyDescent="0.3">
      <c r="B298" s="3" t="str">
        <f>IF('User Interface'!$C$127&gt;(COUNT($B$7:B297)/96),B297+0.0104166666666667,"")</f>
        <v/>
      </c>
      <c r="EG298" s="142"/>
    </row>
    <row r="299" spans="2:137" ht="14.25" customHeight="1" x14ac:dyDescent="0.3">
      <c r="B299" s="3" t="str">
        <f>IF('User Interface'!$C$127&gt;(COUNT($B$7:B298)/96),B298+0.0104166666666667,"")</f>
        <v/>
      </c>
      <c r="EG299" s="142"/>
    </row>
    <row r="300" spans="2:137" ht="14.25" customHeight="1" x14ac:dyDescent="0.3">
      <c r="B300" s="3" t="str">
        <f>IF('User Interface'!$C$127&gt;(COUNT($B$7:B299)/96),B299+0.0104166666666667,"")</f>
        <v/>
      </c>
      <c r="EG300" s="142"/>
    </row>
    <row r="301" spans="2:137" ht="14.25" customHeight="1" x14ac:dyDescent="0.3">
      <c r="B301" s="3" t="str">
        <f>IF('User Interface'!$C$127&gt;(COUNT($B$7:B300)/96),B300+0.0104166666666667,"")</f>
        <v/>
      </c>
      <c r="EG301" s="142"/>
    </row>
    <row r="302" spans="2:137" ht="14.25" customHeight="1" x14ac:dyDescent="0.3">
      <c r="B302" s="3" t="str">
        <f>IF('User Interface'!$C$127&gt;(COUNT($B$7:B301)/96),B301+0.0104166666666667,"")</f>
        <v/>
      </c>
      <c r="EG302" s="142"/>
    </row>
    <row r="303" spans="2:137" ht="14.25" customHeight="1" x14ac:dyDescent="0.3">
      <c r="B303" s="3" t="str">
        <f>IF('User Interface'!$C$127&gt;(COUNT($B$7:B302)/96),B302+0.0104166666666667,"")</f>
        <v/>
      </c>
      <c r="EG303" s="142"/>
    </row>
    <row r="304" spans="2:137" ht="14.25" customHeight="1" x14ac:dyDescent="0.3">
      <c r="B304" s="3" t="str">
        <f>IF('User Interface'!$C$127&gt;(COUNT($B$7:B303)/96),B303+0.0104166666666667,"")</f>
        <v/>
      </c>
      <c r="EG304" s="142"/>
    </row>
    <row r="305" spans="2:137" ht="14.25" customHeight="1" x14ac:dyDescent="0.3">
      <c r="B305" s="3" t="str">
        <f>IF('User Interface'!$C$127&gt;(COUNT($B$7:B304)/96),B304+0.0104166666666667,"")</f>
        <v/>
      </c>
      <c r="EG305" s="142"/>
    </row>
    <row r="306" spans="2:137" ht="14.25" customHeight="1" x14ac:dyDescent="0.3">
      <c r="B306" s="3" t="str">
        <f>IF('User Interface'!$C$127&gt;(COUNT($B$7:B305)/96),B305+0.0104166666666667,"")</f>
        <v/>
      </c>
      <c r="EG306" s="142"/>
    </row>
    <row r="307" spans="2:137" ht="14.25" customHeight="1" x14ac:dyDescent="0.3">
      <c r="B307" s="3" t="str">
        <f>IF('User Interface'!$C$127&gt;(COUNT($B$7:B306)/96),B306+0.0104166666666667,"")</f>
        <v/>
      </c>
      <c r="EG307" s="142"/>
    </row>
    <row r="308" spans="2:137" ht="14.25" customHeight="1" x14ac:dyDescent="0.3">
      <c r="B308" s="3" t="str">
        <f>IF('User Interface'!$C$127&gt;(COUNT($B$7:B307)/96),B307+0.0104166666666667,"")</f>
        <v/>
      </c>
      <c r="EG308" s="142"/>
    </row>
    <row r="309" spans="2:137" ht="14.25" customHeight="1" x14ac:dyDescent="0.3">
      <c r="B309" s="3" t="str">
        <f>IF('User Interface'!$C$127&gt;(COUNT($B$7:B308)/96),B308+0.0104166666666667,"")</f>
        <v/>
      </c>
      <c r="EG309" s="142"/>
    </row>
    <row r="310" spans="2:137" ht="14.25" customHeight="1" x14ac:dyDescent="0.3">
      <c r="B310" s="3" t="str">
        <f>IF('User Interface'!$C$127&gt;(COUNT($B$7:B309)/96),B309+0.0104166666666667,"")</f>
        <v/>
      </c>
      <c r="EG310" s="142"/>
    </row>
    <row r="311" spans="2:137" ht="14.25" customHeight="1" x14ac:dyDescent="0.3">
      <c r="B311" s="3" t="str">
        <f>IF('User Interface'!$C$127&gt;(COUNT($B$7:B310)/96),B310+0.0104166666666667,"")</f>
        <v/>
      </c>
      <c r="EG311" s="142"/>
    </row>
    <row r="312" spans="2:137" ht="14.25" customHeight="1" x14ac:dyDescent="0.3">
      <c r="B312" s="3" t="str">
        <f>IF('User Interface'!$C$127&gt;(COUNT($B$7:B311)/96),B311+0.0104166666666667,"")</f>
        <v/>
      </c>
      <c r="EG312" s="142"/>
    </row>
    <row r="313" spans="2:137" ht="14.25" customHeight="1" x14ac:dyDescent="0.3">
      <c r="B313" s="3" t="str">
        <f>IF('User Interface'!$C$127&gt;(COUNT($B$7:B312)/96),B312+0.0104166666666667,"")</f>
        <v/>
      </c>
      <c r="EG313" s="142"/>
    </row>
    <row r="314" spans="2:137" ht="14.25" customHeight="1" x14ac:dyDescent="0.3">
      <c r="B314" s="3" t="str">
        <f>IF('User Interface'!$C$127&gt;(COUNT($B$7:B313)/96),B313+0.0104166666666667,"")</f>
        <v/>
      </c>
      <c r="EG314" s="142"/>
    </row>
    <row r="315" spans="2:137" ht="14.25" customHeight="1" x14ac:dyDescent="0.3">
      <c r="B315" s="3" t="str">
        <f>IF('User Interface'!$C$127&gt;(COUNT($B$7:B314)/96),B314+0.0104166666666667,"")</f>
        <v/>
      </c>
      <c r="EG315" s="142"/>
    </row>
    <row r="316" spans="2:137" ht="14.25" customHeight="1" x14ac:dyDescent="0.3">
      <c r="B316" s="3" t="str">
        <f>IF('User Interface'!$C$127&gt;(COUNT($B$7:B315)/96),B315+0.0104166666666667,"")</f>
        <v/>
      </c>
      <c r="EG316" s="142"/>
    </row>
    <row r="317" spans="2:137" ht="14.25" customHeight="1" x14ac:dyDescent="0.3">
      <c r="B317" s="3" t="str">
        <f>IF('User Interface'!$C$127&gt;(COUNT($B$7:B316)/96),B316+0.0104166666666667,"")</f>
        <v/>
      </c>
      <c r="EG317" s="142"/>
    </row>
    <row r="318" spans="2:137" ht="14.25" customHeight="1" x14ac:dyDescent="0.3">
      <c r="B318" s="3" t="str">
        <f>IF('User Interface'!$C$127&gt;(COUNT($B$7:B317)/96),B317+0.0104166666666667,"")</f>
        <v/>
      </c>
      <c r="EG318" s="142"/>
    </row>
    <row r="319" spans="2:137" ht="14.25" customHeight="1" x14ac:dyDescent="0.3">
      <c r="B319" s="3" t="str">
        <f>IF('User Interface'!$C$127&gt;(COUNT($B$7:B318)/96),B318+0.0104166666666667,"")</f>
        <v/>
      </c>
      <c r="EG319" s="142"/>
    </row>
    <row r="320" spans="2:137" ht="14.25" customHeight="1" x14ac:dyDescent="0.3">
      <c r="B320" s="3" t="str">
        <f>IF('User Interface'!$C$127&gt;(COUNT($B$7:B319)/96),B319+0.0104166666666667,"")</f>
        <v/>
      </c>
      <c r="EG320" s="142"/>
    </row>
    <row r="321" spans="2:137" ht="14.25" customHeight="1" x14ac:dyDescent="0.3">
      <c r="B321" s="3" t="str">
        <f>IF('User Interface'!$C$127&gt;(COUNT($B$7:B320)/96),B320+0.0104166666666667,"")</f>
        <v/>
      </c>
      <c r="EG321" s="142"/>
    </row>
    <row r="322" spans="2:137" ht="14.25" customHeight="1" x14ac:dyDescent="0.3">
      <c r="B322" s="3" t="str">
        <f>IF('User Interface'!$C$127&gt;(COUNT($B$7:B321)/96),B321+0.0104166666666667,"")</f>
        <v/>
      </c>
      <c r="EG322" s="142"/>
    </row>
    <row r="323" spans="2:137" ht="14.25" customHeight="1" x14ac:dyDescent="0.3">
      <c r="B323" s="3" t="str">
        <f>IF('User Interface'!$C$127&gt;(COUNT($B$7:B322)/96),B322+0.0104166666666667,"")</f>
        <v/>
      </c>
      <c r="EG323" s="142"/>
    </row>
    <row r="324" spans="2:137" ht="14.25" customHeight="1" x14ac:dyDescent="0.3">
      <c r="B324" s="3" t="str">
        <f>IF('User Interface'!$C$127&gt;(COUNT($B$7:B323)/96),B323+0.0104166666666667,"")</f>
        <v/>
      </c>
      <c r="EG324" s="142"/>
    </row>
    <row r="325" spans="2:137" ht="14.25" customHeight="1" x14ac:dyDescent="0.3">
      <c r="B325" s="3" t="str">
        <f>IF('User Interface'!$C$127&gt;(COUNT($B$7:B324)/96),B324+0.0104166666666667,"")</f>
        <v/>
      </c>
      <c r="EG325" s="142"/>
    </row>
    <row r="326" spans="2:137" ht="14.25" customHeight="1" x14ac:dyDescent="0.3">
      <c r="B326" s="3" t="str">
        <f>IF('User Interface'!$C$127&gt;(COUNT($B$7:B325)/96),B325+0.0104166666666667,"")</f>
        <v/>
      </c>
      <c r="EG326" s="142"/>
    </row>
    <row r="327" spans="2:137" ht="14.25" customHeight="1" x14ac:dyDescent="0.3">
      <c r="B327" s="3" t="str">
        <f>IF('User Interface'!$C$127&gt;(COUNT($B$7:B326)/96),B326+0.0104166666666667,"")</f>
        <v/>
      </c>
      <c r="EG327" s="142"/>
    </row>
    <row r="328" spans="2:137" ht="14.25" customHeight="1" x14ac:dyDescent="0.3">
      <c r="B328" s="3" t="str">
        <f>IF('User Interface'!$C$127&gt;(COUNT($B$7:B327)/96),B327+0.0104166666666667,"")</f>
        <v/>
      </c>
      <c r="EG328" s="142"/>
    </row>
    <row r="329" spans="2:137" ht="14.25" customHeight="1" x14ac:dyDescent="0.3">
      <c r="B329" s="3" t="str">
        <f>IF('User Interface'!$C$127&gt;(COUNT($B$7:B328)/96),B328+0.0104166666666667,"")</f>
        <v/>
      </c>
      <c r="EG329" s="142"/>
    </row>
    <row r="330" spans="2:137" ht="14.25" customHeight="1" x14ac:dyDescent="0.3">
      <c r="B330" s="3" t="str">
        <f>IF('User Interface'!$C$127&gt;(COUNT($B$7:B329)/96),B329+0.0104166666666667,"")</f>
        <v/>
      </c>
      <c r="EG330" s="142"/>
    </row>
    <row r="331" spans="2:137" ht="14.25" customHeight="1" x14ac:dyDescent="0.3">
      <c r="B331" s="3" t="str">
        <f>IF('User Interface'!$C$127&gt;(COUNT($B$7:B330)/96),B330+0.0104166666666667,"")</f>
        <v/>
      </c>
      <c r="EG331" s="142"/>
    </row>
    <row r="332" spans="2:137" ht="14.25" customHeight="1" x14ac:dyDescent="0.3">
      <c r="B332" s="3" t="str">
        <f>IF('User Interface'!$C$127&gt;(COUNT($B$7:B331)/96),B331+0.0104166666666667,"")</f>
        <v/>
      </c>
      <c r="EG332" s="142"/>
    </row>
    <row r="333" spans="2:137" ht="14.25" customHeight="1" x14ac:dyDescent="0.3">
      <c r="B333" s="3" t="str">
        <f>IF('User Interface'!$C$127&gt;(COUNT($B$7:B332)/96),B332+0.0104166666666667,"")</f>
        <v/>
      </c>
      <c r="EG333" s="142"/>
    </row>
    <row r="334" spans="2:137" ht="14.25" customHeight="1" x14ac:dyDescent="0.3">
      <c r="B334" s="3" t="str">
        <f>IF('User Interface'!$C$127&gt;(COUNT($B$7:B333)/96),B333+0.0104166666666667,"")</f>
        <v/>
      </c>
      <c r="EG334" s="142"/>
    </row>
    <row r="335" spans="2:137" ht="14.25" customHeight="1" x14ac:dyDescent="0.3">
      <c r="B335" s="3" t="str">
        <f>IF('User Interface'!$C$127&gt;(COUNT($B$7:B334)/96),B334+0.0104166666666667,"")</f>
        <v/>
      </c>
      <c r="EG335" s="142"/>
    </row>
    <row r="336" spans="2:137" ht="14.25" customHeight="1" x14ac:dyDescent="0.3">
      <c r="B336" s="3" t="str">
        <f>IF('User Interface'!$C$127&gt;(COUNT($B$7:B335)/96),B335+0.0104166666666667,"")</f>
        <v/>
      </c>
      <c r="EG336" s="142"/>
    </row>
    <row r="337" spans="2:137" ht="14.25" customHeight="1" x14ac:dyDescent="0.3">
      <c r="B337" s="3" t="str">
        <f>IF('User Interface'!$C$127&gt;(COUNT($B$7:B336)/96),B336+0.0104166666666667,"")</f>
        <v/>
      </c>
      <c r="EG337" s="142"/>
    </row>
    <row r="338" spans="2:137" ht="14.25" customHeight="1" x14ac:dyDescent="0.3">
      <c r="B338" s="3" t="str">
        <f>IF('User Interface'!$C$127&gt;(COUNT($B$7:B337)/96),B337+0.0104166666666667,"")</f>
        <v/>
      </c>
      <c r="EG338" s="142"/>
    </row>
    <row r="339" spans="2:137" ht="14.25" customHeight="1" x14ac:dyDescent="0.3">
      <c r="B339" s="3" t="str">
        <f>IF('User Interface'!$C$127&gt;(COUNT($B$7:B338)/96),B338+0.0104166666666667,"")</f>
        <v/>
      </c>
      <c r="EG339" s="142"/>
    </row>
    <row r="340" spans="2:137" ht="14.25" customHeight="1" x14ac:dyDescent="0.3">
      <c r="B340" s="3" t="str">
        <f>IF('User Interface'!$C$127&gt;(COUNT($B$7:B339)/96),B339+0.0104166666666667,"")</f>
        <v/>
      </c>
      <c r="EG340" s="142"/>
    </row>
    <row r="341" spans="2:137" ht="14.25" customHeight="1" x14ac:dyDescent="0.3">
      <c r="B341" s="3" t="str">
        <f>IF('User Interface'!$C$127&gt;(COUNT($B$7:B340)/96),B340+0.0104166666666667,"")</f>
        <v/>
      </c>
      <c r="EG341" s="142"/>
    </row>
    <row r="342" spans="2:137" ht="14.25" customHeight="1" x14ac:dyDescent="0.3">
      <c r="B342" s="3" t="str">
        <f>IF('User Interface'!$C$127&gt;(COUNT($B$7:B341)/96),B341+0.0104166666666667,"")</f>
        <v/>
      </c>
      <c r="EG342" s="142"/>
    </row>
    <row r="343" spans="2:137" ht="14.25" customHeight="1" x14ac:dyDescent="0.3">
      <c r="B343" s="3" t="str">
        <f>IF('User Interface'!$C$127&gt;(COUNT($B$7:B342)/96),B342+0.0104166666666667,"")</f>
        <v/>
      </c>
      <c r="EG343" s="142"/>
    </row>
    <row r="344" spans="2:137" ht="14.25" customHeight="1" x14ac:dyDescent="0.3">
      <c r="B344" s="3" t="str">
        <f>IF('User Interface'!$C$127&gt;(COUNT($B$7:B343)/96),B343+0.0104166666666667,"")</f>
        <v/>
      </c>
      <c r="EG344" s="142"/>
    </row>
    <row r="345" spans="2:137" ht="14.25" customHeight="1" x14ac:dyDescent="0.3">
      <c r="B345" s="3" t="str">
        <f>IF('User Interface'!$C$127&gt;(COUNT($B$7:B344)/96),B344+0.0104166666666667,"")</f>
        <v/>
      </c>
      <c r="EG345" s="142"/>
    </row>
    <row r="346" spans="2:137" ht="14.25" customHeight="1" x14ac:dyDescent="0.3">
      <c r="B346" s="3" t="str">
        <f>IF('User Interface'!$C$127&gt;(COUNT($B$7:B345)/96),B345+0.0104166666666667,"")</f>
        <v/>
      </c>
      <c r="EG346" s="142"/>
    </row>
    <row r="347" spans="2:137" ht="14.25" customHeight="1" x14ac:dyDescent="0.3">
      <c r="B347" s="3" t="str">
        <f>IF('User Interface'!$C$127&gt;(COUNT($B$7:B346)/96),B346+0.0104166666666667,"")</f>
        <v/>
      </c>
      <c r="EG347" s="142"/>
    </row>
    <row r="348" spans="2:137" ht="14.25" customHeight="1" x14ac:dyDescent="0.3">
      <c r="B348" s="3" t="str">
        <f>IF('User Interface'!$C$127&gt;(COUNT($B$7:B347)/96),B347+0.0104166666666667,"")</f>
        <v/>
      </c>
      <c r="EG348" s="142"/>
    </row>
    <row r="349" spans="2:137" ht="14.25" customHeight="1" x14ac:dyDescent="0.3">
      <c r="B349" s="3" t="str">
        <f>IF('User Interface'!$C$127&gt;(COUNT($B$7:B348)/96),B348+0.0104166666666667,"")</f>
        <v/>
      </c>
      <c r="EG349" s="142"/>
    </row>
    <row r="350" spans="2:137" ht="14.25" customHeight="1" x14ac:dyDescent="0.3">
      <c r="B350" s="3" t="str">
        <f>IF('User Interface'!$C$127&gt;(COUNT($B$7:B349)/96),B349+0.0104166666666667,"")</f>
        <v/>
      </c>
      <c r="EG350" s="142"/>
    </row>
    <row r="351" spans="2:137" ht="14.25" customHeight="1" x14ac:dyDescent="0.3">
      <c r="B351" s="3" t="str">
        <f>IF('User Interface'!$C$127&gt;(COUNT($B$7:B350)/96),B350+0.0104166666666667,"")</f>
        <v/>
      </c>
      <c r="EG351" s="142"/>
    </row>
    <row r="352" spans="2:137" ht="14.25" customHeight="1" x14ac:dyDescent="0.3">
      <c r="B352" s="3" t="str">
        <f>IF('User Interface'!$C$127&gt;(COUNT($B$7:B351)/96),B351+0.0104166666666667,"")</f>
        <v/>
      </c>
      <c r="EG352" s="142"/>
    </row>
    <row r="353" spans="2:137" ht="14.25" customHeight="1" x14ac:dyDescent="0.3">
      <c r="B353" s="3" t="str">
        <f>IF('User Interface'!$C$127&gt;(COUNT($B$7:B352)/96),B352+0.0104166666666667,"")</f>
        <v/>
      </c>
      <c r="EG353" s="142"/>
    </row>
    <row r="354" spans="2:137" ht="14.25" customHeight="1" x14ac:dyDescent="0.3">
      <c r="B354" s="3" t="str">
        <f>IF('User Interface'!$C$127&gt;(COUNT($B$7:B353)/96),B353+0.0104166666666667,"")</f>
        <v/>
      </c>
      <c r="EG354" s="142"/>
    </row>
    <row r="355" spans="2:137" ht="14.25" customHeight="1" x14ac:dyDescent="0.3">
      <c r="B355" s="3" t="str">
        <f>IF('User Interface'!$C$127&gt;(COUNT($B$7:B354)/96),B354+0.0104166666666667,"")</f>
        <v/>
      </c>
      <c r="EG355" s="142"/>
    </row>
    <row r="356" spans="2:137" ht="14.25" customHeight="1" x14ac:dyDescent="0.3">
      <c r="B356" s="3" t="str">
        <f>IF('User Interface'!$C$127&gt;(COUNT($B$7:B355)/96),B355+0.0104166666666667,"")</f>
        <v/>
      </c>
      <c r="EG356" s="142"/>
    </row>
    <row r="357" spans="2:137" ht="14.25" customHeight="1" x14ac:dyDescent="0.3">
      <c r="B357" s="3" t="str">
        <f>IF('User Interface'!$C$127&gt;(COUNT($B$7:B356)/96),B356+0.0104166666666667,"")</f>
        <v/>
      </c>
      <c r="EG357" s="142"/>
    </row>
    <row r="358" spans="2:137" ht="14.25" customHeight="1" x14ac:dyDescent="0.3">
      <c r="B358" s="3" t="str">
        <f>IF('User Interface'!$C$127&gt;(COUNT($B$7:B357)/96),B357+0.0104166666666667,"")</f>
        <v/>
      </c>
      <c r="EG358" s="142"/>
    </row>
    <row r="359" spans="2:137" ht="14.25" customHeight="1" x14ac:dyDescent="0.3">
      <c r="B359" s="3" t="str">
        <f>IF('User Interface'!$C$127&gt;(COUNT($B$7:B358)/96),B358+0.0104166666666667,"")</f>
        <v/>
      </c>
      <c r="EG359" s="142"/>
    </row>
    <row r="360" spans="2:137" ht="14.25" customHeight="1" x14ac:dyDescent="0.3">
      <c r="B360" s="3" t="str">
        <f>IF('User Interface'!$C$127&gt;(COUNT($B$7:B359)/96),B359+0.0104166666666667,"")</f>
        <v/>
      </c>
      <c r="EG360" s="142"/>
    </row>
    <row r="361" spans="2:137" ht="14.25" customHeight="1" x14ac:dyDescent="0.3">
      <c r="B361" s="3" t="str">
        <f>IF('User Interface'!$C$127&gt;(COUNT($B$7:B360)/96),B360+0.0104166666666667,"")</f>
        <v/>
      </c>
      <c r="EG361" s="142"/>
    </row>
    <row r="362" spans="2:137" ht="14.25" customHeight="1" x14ac:dyDescent="0.3">
      <c r="B362" s="3" t="str">
        <f>IF('User Interface'!$C$127&gt;(COUNT($B$7:B361)/96),B361+0.0104166666666667,"")</f>
        <v/>
      </c>
      <c r="EG362" s="142"/>
    </row>
    <row r="363" spans="2:137" ht="14.25" customHeight="1" x14ac:dyDescent="0.3">
      <c r="B363" s="3" t="str">
        <f>IF('User Interface'!$C$127&gt;(COUNT($B$7:B362)/96),B362+0.0104166666666667,"")</f>
        <v/>
      </c>
      <c r="EG363" s="142"/>
    </row>
    <row r="364" spans="2:137" ht="14.25" customHeight="1" x14ac:dyDescent="0.3">
      <c r="B364" s="3" t="str">
        <f>IF('User Interface'!$C$127&gt;(COUNT($B$7:B363)/96),B363+0.0104166666666667,"")</f>
        <v/>
      </c>
      <c r="EG364" s="142"/>
    </row>
    <row r="365" spans="2:137" ht="14.25" customHeight="1" x14ac:dyDescent="0.3">
      <c r="B365" s="3" t="str">
        <f>IF('User Interface'!$C$127&gt;(COUNT($B$7:B364)/96),B364+0.0104166666666667,"")</f>
        <v/>
      </c>
      <c r="EG365" s="142"/>
    </row>
    <row r="366" spans="2:137" ht="14.25" customHeight="1" x14ac:dyDescent="0.3">
      <c r="B366" s="3" t="str">
        <f>IF('User Interface'!$C$127&gt;(COUNT($B$7:B365)/96),B365+0.0104166666666667,"")</f>
        <v/>
      </c>
      <c r="EG366" s="142"/>
    </row>
    <row r="367" spans="2:137" ht="14.25" customHeight="1" x14ac:dyDescent="0.3">
      <c r="B367" s="3" t="str">
        <f>IF('User Interface'!$C$127&gt;(COUNT($B$7:B366)/96),B366+0.0104166666666667,"")</f>
        <v/>
      </c>
      <c r="EG367" s="142"/>
    </row>
    <row r="368" spans="2:137" ht="14.25" customHeight="1" x14ac:dyDescent="0.3">
      <c r="B368" s="3" t="str">
        <f>IF('User Interface'!$C$127&gt;(COUNT($B$7:B367)/96),B367+0.0104166666666667,"")</f>
        <v/>
      </c>
      <c r="EG368" s="142"/>
    </row>
    <row r="369" spans="2:137" ht="14.25" customHeight="1" x14ac:dyDescent="0.3">
      <c r="B369" s="3" t="str">
        <f>IF('User Interface'!$C$127&gt;(COUNT($B$7:B368)/96),B368+0.0104166666666667,"")</f>
        <v/>
      </c>
      <c r="EG369" s="142"/>
    </row>
    <row r="370" spans="2:137" ht="14.25" customHeight="1" x14ac:dyDescent="0.3">
      <c r="B370" s="3" t="str">
        <f>IF('User Interface'!$C$127&gt;(COUNT($B$7:B369)/96),B369+0.0104166666666667,"")</f>
        <v/>
      </c>
      <c r="EG370" s="142"/>
    </row>
    <row r="371" spans="2:137" ht="14.25" customHeight="1" x14ac:dyDescent="0.3">
      <c r="B371" s="3" t="str">
        <f>IF('User Interface'!$C$127&gt;(COUNT($B$7:B370)/96),B370+0.0104166666666667,"")</f>
        <v/>
      </c>
      <c r="EG371" s="142"/>
    </row>
    <row r="372" spans="2:137" ht="14.25" customHeight="1" x14ac:dyDescent="0.3">
      <c r="B372" s="3" t="str">
        <f>IF('User Interface'!$C$127&gt;(COUNT($B$7:B371)/96),B371+0.0104166666666667,"")</f>
        <v/>
      </c>
      <c r="EG372" s="142"/>
    </row>
    <row r="373" spans="2:137" ht="14.25" customHeight="1" x14ac:dyDescent="0.3">
      <c r="B373" s="3" t="str">
        <f>IF('User Interface'!$C$127&gt;(COUNT($B$7:B372)/96),B372+0.0104166666666667,"")</f>
        <v/>
      </c>
      <c r="EG373" s="142"/>
    </row>
    <row r="374" spans="2:137" ht="14.25" customHeight="1" x14ac:dyDescent="0.3">
      <c r="B374" s="3" t="str">
        <f>IF('User Interface'!$C$127&gt;(COUNT($B$7:B373)/96),B373+0.0104166666666667,"")</f>
        <v/>
      </c>
      <c r="EG374" s="142"/>
    </row>
    <row r="375" spans="2:137" ht="14.25" customHeight="1" x14ac:dyDescent="0.3">
      <c r="B375" s="3" t="str">
        <f>IF('User Interface'!$C$127&gt;(COUNT($B$7:B374)/96),B374+0.0104166666666667,"")</f>
        <v/>
      </c>
      <c r="EG375" s="142"/>
    </row>
    <row r="376" spans="2:137" ht="14.25" customHeight="1" x14ac:dyDescent="0.3">
      <c r="B376" s="3" t="str">
        <f>IF('User Interface'!$C$127&gt;(COUNT($B$7:B375)/96),B375+0.0104166666666667,"")</f>
        <v/>
      </c>
      <c r="EG376" s="142"/>
    </row>
    <row r="377" spans="2:137" ht="14.25" customHeight="1" x14ac:dyDescent="0.3">
      <c r="B377" s="3" t="str">
        <f>IF('User Interface'!$C$127&gt;(COUNT($B$7:B376)/96),B376+0.0104166666666667,"")</f>
        <v/>
      </c>
      <c r="EG377" s="142"/>
    </row>
    <row r="378" spans="2:137" ht="14.25" customHeight="1" x14ac:dyDescent="0.3">
      <c r="B378" s="3" t="str">
        <f>IF('User Interface'!$C$127&gt;(COUNT($B$7:B377)/96),B377+0.0104166666666667,"")</f>
        <v/>
      </c>
      <c r="EG378" s="142"/>
    </row>
    <row r="379" spans="2:137" ht="14.25" customHeight="1" x14ac:dyDescent="0.3">
      <c r="B379" s="3" t="str">
        <f>IF('User Interface'!$C$127&gt;(COUNT($B$7:B378)/96),B378+0.0104166666666667,"")</f>
        <v/>
      </c>
      <c r="EG379" s="142"/>
    </row>
    <row r="380" spans="2:137" ht="14.25" customHeight="1" x14ac:dyDescent="0.3">
      <c r="B380" s="3" t="str">
        <f>IF('User Interface'!$C$127&gt;(COUNT($B$7:B379)/96),B379+0.0104166666666667,"")</f>
        <v/>
      </c>
      <c r="EG380" s="142"/>
    </row>
    <row r="381" spans="2:137" ht="14.25" customHeight="1" x14ac:dyDescent="0.3">
      <c r="B381" s="3" t="str">
        <f>IF('User Interface'!$C$127&gt;(COUNT($B$7:B380)/96),B380+0.0104166666666667,"")</f>
        <v/>
      </c>
      <c r="EG381" s="142"/>
    </row>
    <row r="382" spans="2:137" ht="14.25" customHeight="1" x14ac:dyDescent="0.3">
      <c r="B382" s="3" t="str">
        <f>IF('User Interface'!$C$127&gt;(COUNT($B$7:B381)/96),B381+0.0104166666666667,"")</f>
        <v/>
      </c>
      <c r="EG382" s="142"/>
    </row>
    <row r="383" spans="2:137" ht="14.25" customHeight="1" x14ac:dyDescent="0.3">
      <c r="B383" s="3" t="str">
        <f>IF('User Interface'!$C$127&gt;(COUNT($B$7:B382)/96),B382+0.0104166666666667,"")</f>
        <v/>
      </c>
      <c r="EG383" s="142"/>
    </row>
    <row r="384" spans="2:137" ht="14.25" customHeight="1" x14ac:dyDescent="0.3">
      <c r="B384" s="3" t="str">
        <f>IF('User Interface'!$C$127&gt;(COUNT($B$7:B383)/96),B383+0.0104166666666667,"")</f>
        <v/>
      </c>
      <c r="EG384" s="142"/>
    </row>
    <row r="385" spans="2:137" ht="14.25" customHeight="1" x14ac:dyDescent="0.3">
      <c r="B385" s="3" t="str">
        <f>IF('User Interface'!$C$127&gt;(COUNT($B$7:B384)/96),B384+0.0104166666666667,"")</f>
        <v/>
      </c>
      <c r="EG385" s="142"/>
    </row>
    <row r="386" spans="2:137" ht="14.25" customHeight="1" x14ac:dyDescent="0.3">
      <c r="B386" s="3" t="str">
        <f>IF('User Interface'!$C$127&gt;(COUNT($B$7:B385)/96),B385+0.0104166666666667,"")</f>
        <v/>
      </c>
      <c r="EG386" s="142"/>
    </row>
    <row r="387" spans="2:137" ht="14.25" customHeight="1" x14ac:dyDescent="0.3">
      <c r="B387" s="3" t="str">
        <f>IF('User Interface'!$C$127&gt;(COUNT($B$7:B386)/96),B386+0.0104166666666667,"")</f>
        <v/>
      </c>
      <c r="EG387" s="142"/>
    </row>
    <row r="388" spans="2:137" ht="14.25" customHeight="1" x14ac:dyDescent="0.3">
      <c r="B388" s="3" t="str">
        <f>IF('User Interface'!$C$127&gt;(COUNT($B$7:B387)/96),B387+0.0104166666666667,"")</f>
        <v/>
      </c>
      <c r="EG388" s="142"/>
    </row>
    <row r="389" spans="2:137" ht="14.25" customHeight="1" x14ac:dyDescent="0.3">
      <c r="B389" s="3" t="str">
        <f>IF('User Interface'!$C$127&gt;(COUNT($B$7:B388)/96),B388+0.0104166666666667,"")</f>
        <v/>
      </c>
      <c r="EG389" s="142"/>
    </row>
    <row r="390" spans="2:137" ht="14.25" customHeight="1" x14ac:dyDescent="0.3">
      <c r="B390" s="3" t="str">
        <f>IF('User Interface'!$C$127&gt;(COUNT($B$7:B389)/96),B389+0.0104166666666667,"")</f>
        <v/>
      </c>
      <c r="EG390" s="142"/>
    </row>
    <row r="391" spans="2:137" ht="14.25" customHeight="1" x14ac:dyDescent="0.3">
      <c r="B391" s="3" t="str">
        <f>IF('User Interface'!$C$127&gt;(COUNT($B$7:B390)/96),B390+0.0104166666666667,"")</f>
        <v/>
      </c>
      <c r="EG391" s="142"/>
    </row>
    <row r="392" spans="2:137" ht="14.25" customHeight="1" x14ac:dyDescent="0.3">
      <c r="B392" s="3" t="str">
        <f>IF('User Interface'!$C$127&gt;(COUNT($B$7:B391)/96),B391+0.0104166666666667,"")</f>
        <v/>
      </c>
      <c r="EG392" s="142"/>
    </row>
    <row r="393" spans="2:137" ht="14.25" customHeight="1" x14ac:dyDescent="0.3">
      <c r="B393" s="3" t="str">
        <f>IF('User Interface'!$C$127&gt;(COUNT($B$7:B392)/96),B392+0.0104166666666667,"")</f>
        <v/>
      </c>
      <c r="EG393" s="142"/>
    </row>
    <row r="394" spans="2:137" ht="14.25" customHeight="1" x14ac:dyDescent="0.3">
      <c r="B394" s="3" t="str">
        <f>IF('User Interface'!$C$127&gt;(COUNT($B$7:B393)/96),B393+0.0104166666666667,"")</f>
        <v/>
      </c>
      <c r="EG394" s="142"/>
    </row>
    <row r="395" spans="2:137" ht="14.25" customHeight="1" x14ac:dyDescent="0.3">
      <c r="B395" s="3" t="str">
        <f>IF('User Interface'!$C$127&gt;(COUNT($B$7:B394)/96),B394+0.0104166666666667,"")</f>
        <v/>
      </c>
      <c r="EG395" s="142"/>
    </row>
    <row r="396" spans="2:137" ht="14.25" customHeight="1" x14ac:dyDescent="0.3">
      <c r="B396" s="3" t="str">
        <f>IF('User Interface'!$C$127&gt;(COUNT($B$7:B395)/96),B395+0.0104166666666667,"")</f>
        <v/>
      </c>
      <c r="EG396" s="142"/>
    </row>
    <row r="397" spans="2:137" ht="14.25" customHeight="1" x14ac:dyDescent="0.3">
      <c r="B397" s="3" t="str">
        <f>IF('User Interface'!$C$127&gt;(COUNT($B$7:B396)/96),B396+0.0104166666666667,"")</f>
        <v/>
      </c>
      <c r="EG397" s="142"/>
    </row>
    <row r="398" spans="2:137" ht="14.25" customHeight="1" x14ac:dyDescent="0.3">
      <c r="B398" s="3" t="str">
        <f>IF('User Interface'!$C$127&gt;(COUNT($B$7:B397)/96),B397+0.0104166666666667,"")</f>
        <v/>
      </c>
      <c r="EG398" s="142"/>
    </row>
    <row r="399" spans="2:137" ht="14.25" customHeight="1" x14ac:dyDescent="0.3">
      <c r="B399" s="3" t="str">
        <f>IF('User Interface'!$C$127&gt;(COUNT($B$7:B398)/96),B398+0.0104166666666667,"")</f>
        <v/>
      </c>
      <c r="EG399" s="142"/>
    </row>
    <row r="400" spans="2:137" ht="14.25" customHeight="1" x14ac:dyDescent="0.3">
      <c r="B400" s="3" t="str">
        <f>IF('User Interface'!$C$127&gt;(COUNT($B$7:B399)/96),B399+0.0104166666666667,"")</f>
        <v/>
      </c>
      <c r="EG400" s="142"/>
    </row>
    <row r="401" spans="2:137" ht="14.25" customHeight="1" x14ac:dyDescent="0.3">
      <c r="B401" s="3" t="str">
        <f>IF('User Interface'!$C$127&gt;(COUNT($B$7:B400)/96),B400+0.0104166666666667,"")</f>
        <v/>
      </c>
      <c r="EG401" s="142"/>
    </row>
    <row r="402" spans="2:137" ht="14.25" customHeight="1" x14ac:dyDescent="0.3">
      <c r="B402" s="3" t="str">
        <f>IF('User Interface'!$C$127&gt;(COUNT($B$7:B401)/96),B401+0.0104166666666667,"")</f>
        <v/>
      </c>
      <c r="EG402" s="142"/>
    </row>
    <row r="403" spans="2:137" ht="14.25" customHeight="1" x14ac:dyDescent="0.3">
      <c r="B403" s="3" t="str">
        <f>IF('User Interface'!$C$127&gt;(COUNT($B$7:B402)/96),B402+0.0104166666666667,"")</f>
        <v/>
      </c>
      <c r="EG403" s="142"/>
    </row>
    <row r="404" spans="2:137" ht="14.25" customHeight="1" x14ac:dyDescent="0.3">
      <c r="B404" s="3" t="str">
        <f>IF('User Interface'!$C$127&gt;(COUNT($B$7:B403)/96),B403+0.0104166666666667,"")</f>
        <v/>
      </c>
      <c r="EG404" s="142"/>
    </row>
    <row r="405" spans="2:137" ht="14.25" customHeight="1" x14ac:dyDescent="0.3">
      <c r="B405" s="3" t="str">
        <f>IF('User Interface'!$C$127&gt;(COUNT($B$7:B404)/96),B404+0.0104166666666667,"")</f>
        <v/>
      </c>
      <c r="EG405" s="142"/>
    </row>
    <row r="406" spans="2:137" ht="14.25" customHeight="1" x14ac:dyDescent="0.3">
      <c r="B406" s="3" t="str">
        <f>IF('User Interface'!$C$127&gt;(COUNT($B$7:B405)/96),B405+0.0104166666666667,"")</f>
        <v/>
      </c>
      <c r="EG406" s="142"/>
    </row>
    <row r="407" spans="2:137" ht="14.25" customHeight="1" x14ac:dyDescent="0.3">
      <c r="B407" s="3" t="str">
        <f>IF('User Interface'!$C$127&gt;(COUNT($B$7:B406)/96),B406+0.0104166666666667,"")</f>
        <v/>
      </c>
      <c r="EG407" s="142"/>
    </row>
    <row r="408" spans="2:137" ht="14.25" customHeight="1" x14ac:dyDescent="0.3">
      <c r="B408" s="3" t="str">
        <f>IF('User Interface'!$C$127&gt;(COUNT($B$7:B407)/96),B407+0.0104166666666667,"")</f>
        <v/>
      </c>
      <c r="EG408" s="142"/>
    </row>
    <row r="409" spans="2:137" ht="14.25" customHeight="1" x14ac:dyDescent="0.3">
      <c r="B409" s="3" t="str">
        <f>IF('User Interface'!$C$127&gt;(COUNT($B$7:B408)/96),B408+0.0104166666666667,"")</f>
        <v/>
      </c>
      <c r="EG409" s="142"/>
    </row>
    <row r="410" spans="2:137" ht="14.25" customHeight="1" x14ac:dyDescent="0.3">
      <c r="B410" s="3" t="str">
        <f>IF('User Interface'!$C$127&gt;(COUNT($B$7:B409)/96),B409+0.0104166666666667,"")</f>
        <v/>
      </c>
      <c r="EG410" s="142"/>
    </row>
    <row r="411" spans="2:137" ht="14.25" customHeight="1" x14ac:dyDescent="0.3">
      <c r="B411" s="3" t="str">
        <f>IF('User Interface'!$C$127&gt;(COUNT($B$7:B410)/96),B410+0.0104166666666667,"")</f>
        <v/>
      </c>
    </row>
    <row r="412" spans="2:137" ht="14.25" customHeight="1" x14ac:dyDescent="0.3">
      <c r="B412" s="3" t="str">
        <f>IF('User Interface'!$C$127&gt;(COUNT($B$7:B411)/96),B411+0.0104166666666667,"")</f>
        <v/>
      </c>
    </row>
    <row r="413" spans="2:137" ht="14.25" customHeight="1" x14ac:dyDescent="0.3">
      <c r="B413" s="3" t="str">
        <f>IF('User Interface'!$C$127&gt;(COUNT($B$7:B412)/96),B412+0.0104166666666667,"")</f>
        <v/>
      </c>
    </row>
    <row r="414" spans="2:137" ht="14.25" customHeight="1" x14ac:dyDescent="0.3">
      <c r="B414" s="3" t="str">
        <f>IF('User Interface'!$C$127&gt;(COUNT($B$7:B413)/96),B413+0.0104166666666667,"")</f>
        <v/>
      </c>
    </row>
    <row r="415" spans="2:137" ht="14.25" customHeight="1" x14ac:dyDescent="0.3">
      <c r="B415" s="3" t="str">
        <f>IF('User Interface'!$C$127&gt;(COUNT($B$7:B414)/96),B414+0.0104166666666667,"")</f>
        <v/>
      </c>
    </row>
    <row r="416" spans="2:137" ht="14.25" customHeight="1" x14ac:dyDescent="0.3">
      <c r="B416" s="3" t="str">
        <f>IF('User Interface'!$C$127&gt;(COUNT($B$7:B415)/96),B415+0.0104166666666667,"")</f>
        <v/>
      </c>
    </row>
    <row r="417" spans="2:2" ht="14.25" customHeight="1" x14ac:dyDescent="0.3">
      <c r="B417" s="3" t="str">
        <f>IF('User Interface'!$C$127&gt;(COUNT($B$7:B416)/96),B416+0.0104166666666667,"")</f>
        <v/>
      </c>
    </row>
    <row r="418" spans="2:2" ht="14.25" customHeight="1" x14ac:dyDescent="0.3">
      <c r="B418" s="3" t="str">
        <f>IF('User Interface'!$C$127&gt;(COUNT($B$7:B417)/96),B417+0.0104166666666667,"")</f>
        <v/>
      </c>
    </row>
    <row r="419" spans="2:2" ht="14.25" customHeight="1" x14ac:dyDescent="0.3">
      <c r="B419" s="3" t="str">
        <f>IF('User Interface'!$C$127&gt;(COUNT($B$7:B418)/96),B418+0.0104166666666667,"")</f>
        <v/>
      </c>
    </row>
    <row r="420" spans="2:2" ht="14.25" customHeight="1" x14ac:dyDescent="0.3">
      <c r="B420" s="3" t="str">
        <f>IF('User Interface'!$C$127&gt;(COUNT($B$7:B419)/96),B419+0.0104166666666667,"")</f>
        <v/>
      </c>
    </row>
    <row r="421" spans="2:2" ht="14.25" customHeight="1" x14ac:dyDescent="0.3">
      <c r="B421" s="3" t="str">
        <f>IF('User Interface'!$C$127&gt;(COUNT($B$7:B420)/96),B420+0.0104166666666667,"")</f>
        <v/>
      </c>
    </row>
    <row r="422" spans="2:2" ht="14.25" customHeight="1" x14ac:dyDescent="0.3">
      <c r="B422" s="3" t="str">
        <f>IF('User Interface'!$C$127&gt;(COUNT($B$7:B421)/96),B421+0.0104166666666667,"")</f>
        <v/>
      </c>
    </row>
    <row r="423" spans="2:2" ht="14.25" customHeight="1" x14ac:dyDescent="0.3">
      <c r="B423" s="3" t="str">
        <f>IF('User Interface'!$C$127&gt;(COUNT($B$7:B422)/96),B422+0.0104166666666667,"")</f>
        <v/>
      </c>
    </row>
    <row r="424" spans="2:2" ht="14.25" customHeight="1" x14ac:dyDescent="0.3">
      <c r="B424" s="3" t="str">
        <f>IF('User Interface'!$C$127&gt;(COUNT($B$7:B423)/96),B423+0.0104166666666667,"")</f>
        <v/>
      </c>
    </row>
    <row r="425" spans="2:2" ht="14.25" customHeight="1" x14ac:dyDescent="0.3">
      <c r="B425" s="3" t="str">
        <f>IF('User Interface'!$C$127&gt;(COUNT($B$7:B424)/96),B424+0.0104166666666667,"")</f>
        <v/>
      </c>
    </row>
    <row r="426" spans="2:2" ht="14.25" customHeight="1" x14ac:dyDescent="0.3">
      <c r="B426" s="3" t="str">
        <f>IF('User Interface'!$C$127&gt;(COUNT($B$7:B425)/96),B425+0.0104166666666667,"")</f>
        <v/>
      </c>
    </row>
    <row r="427" spans="2:2" ht="14.25" customHeight="1" x14ac:dyDescent="0.3">
      <c r="B427" s="3" t="str">
        <f>IF('User Interface'!$C$127&gt;(COUNT($B$7:B426)/96),B426+0.0104166666666667,"")</f>
        <v/>
      </c>
    </row>
    <row r="428" spans="2:2" ht="14.25" customHeight="1" x14ac:dyDescent="0.3">
      <c r="B428" s="3" t="str">
        <f>IF('User Interface'!$C$127&gt;(COUNT($B$7:B427)/96),B427+0.0104166666666667,"")</f>
        <v/>
      </c>
    </row>
    <row r="429" spans="2:2" ht="14.25" customHeight="1" x14ac:dyDescent="0.3">
      <c r="B429" s="3" t="str">
        <f>IF('User Interface'!$C$127&gt;(COUNT($B$7:B428)/96),B428+0.0104166666666667,"")</f>
        <v/>
      </c>
    </row>
    <row r="430" spans="2:2" ht="14.25" customHeight="1" x14ac:dyDescent="0.3">
      <c r="B430" s="3" t="str">
        <f>IF('User Interface'!$C$127&gt;(COUNT($B$7:B429)/96),B429+0.0104166666666667,"")</f>
        <v/>
      </c>
    </row>
    <row r="431" spans="2:2" ht="14.25" customHeight="1" x14ac:dyDescent="0.3">
      <c r="B431" s="3" t="str">
        <f>IF('User Interface'!$C$127&gt;(COUNT($B$7:B430)/96),B430+0.0104166666666667,"")</f>
        <v/>
      </c>
    </row>
    <row r="432" spans="2:2" ht="14.25" customHeight="1" x14ac:dyDescent="0.3">
      <c r="B432" s="3" t="str">
        <f>IF('User Interface'!$C$127&gt;(COUNT($B$7:B431)/96),B431+0.0104166666666667,"")</f>
        <v/>
      </c>
    </row>
    <row r="433" spans="2:2" ht="14.25" customHeight="1" x14ac:dyDescent="0.3">
      <c r="B433" s="3" t="str">
        <f>IF('User Interface'!$C$127&gt;(COUNT($B$7:B432)/96),B432+0.0104166666666667,"")</f>
        <v/>
      </c>
    </row>
    <row r="434" spans="2:2" ht="14.25" customHeight="1" x14ac:dyDescent="0.3">
      <c r="B434" s="3" t="str">
        <f>IF('User Interface'!$C$127&gt;(COUNT($B$7:B433)/96),B433+0.0104166666666667,"")</f>
        <v/>
      </c>
    </row>
    <row r="435" spans="2:2" ht="14.25" customHeight="1" x14ac:dyDescent="0.3">
      <c r="B435" s="3" t="str">
        <f>IF('User Interface'!$C$127&gt;(COUNT($B$7:B434)/96),B434+0.0104166666666667,"")</f>
        <v/>
      </c>
    </row>
    <row r="436" spans="2:2" ht="14.25" customHeight="1" x14ac:dyDescent="0.3">
      <c r="B436" s="3" t="str">
        <f>IF('User Interface'!$C$127&gt;(COUNT($B$7:B435)/96),B435+0.0104166666666667,"")</f>
        <v/>
      </c>
    </row>
    <row r="437" spans="2:2" ht="14.25" customHeight="1" x14ac:dyDescent="0.3">
      <c r="B437" s="3" t="str">
        <f>IF('User Interface'!$C$127&gt;(COUNT($B$7:B436)/96),B436+0.0104166666666667,"")</f>
        <v/>
      </c>
    </row>
    <row r="438" spans="2:2" ht="14.25" customHeight="1" x14ac:dyDescent="0.3">
      <c r="B438" s="3" t="str">
        <f>IF('User Interface'!$C$127&gt;(COUNT($B$7:B437)/96),B437+0.0104166666666667,"")</f>
        <v/>
      </c>
    </row>
    <row r="439" spans="2:2" ht="14.25" customHeight="1" x14ac:dyDescent="0.3">
      <c r="B439" s="3" t="str">
        <f>IF('User Interface'!$C$127&gt;(COUNT($B$7:B438)/96),B438+0.0104166666666667,"")</f>
        <v/>
      </c>
    </row>
    <row r="440" spans="2:2" ht="14.25" customHeight="1" x14ac:dyDescent="0.3">
      <c r="B440" s="3" t="str">
        <f>IF('User Interface'!$C$127&gt;(COUNT($B$7:B439)/96),B439+0.0104166666666667,"")</f>
        <v/>
      </c>
    </row>
    <row r="441" spans="2:2" ht="14.25" customHeight="1" x14ac:dyDescent="0.3">
      <c r="B441" s="3" t="str">
        <f>IF('User Interface'!$C$127&gt;(COUNT($B$7:B440)/96),B440+0.0104166666666667,"")</f>
        <v/>
      </c>
    </row>
    <row r="442" spans="2:2" ht="14.25" customHeight="1" x14ac:dyDescent="0.3">
      <c r="B442" s="3" t="str">
        <f>IF('User Interface'!$C$127&gt;(COUNT($B$7:B441)/96),B441+0.0104166666666667,"")</f>
        <v/>
      </c>
    </row>
    <row r="443" spans="2:2" ht="14.25" customHeight="1" x14ac:dyDescent="0.3">
      <c r="B443" s="3" t="str">
        <f>IF('User Interface'!$C$127&gt;(COUNT($B$7:B442)/96),B442+0.0104166666666667,"")</f>
        <v/>
      </c>
    </row>
    <row r="444" spans="2:2" ht="14.25" customHeight="1" x14ac:dyDescent="0.3">
      <c r="B444" s="3" t="str">
        <f>IF('User Interface'!$C$127&gt;(COUNT($B$7:B443)/96),B443+0.0104166666666667,"")</f>
        <v/>
      </c>
    </row>
    <row r="445" spans="2:2" ht="14.25" customHeight="1" x14ac:dyDescent="0.3">
      <c r="B445" s="3" t="str">
        <f>IF('User Interface'!$C$127&gt;(COUNT($B$7:B444)/96),B444+0.0104166666666667,"")</f>
        <v/>
      </c>
    </row>
    <row r="446" spans="2:2" ht="14.25" customHeight="1" x14ac:dyDescent="0.3">
      <c r="B446" s="3" t="str">
        <f>IF('User Interface'!$C$127&gt;(COUNT($B$7:B445)/96),B445+0.0104166666666667,"")</f>
        <v/>
      </c>
    </row>
    <row r="447" spans="2:2" ht="14.25" customHeight="1" x14ac:dyDescent="0.3">
      <c r="B447" s="3" t="str">
        <f>IF('User Interface'!$C$127&gt;(COUNT($B$7:B446)/96),B446+0.0104166666666667,"")</f>
        <v/>
      </c>
    </row>
    <row r="448" spans="2:2" ht="14.25" customHeight="1" x14ac:dyDescent="0.3">
      <c r="B448" s="3" t="str">
        <f>IF('User Interface'!$C$127&gt;(COUNT($B$7:B447)/96),B447+0.0104166666666667,"")</f>
        <v/>
      </c>
    </row>
    <row r="449" spans="2:2" ht="14.25" customHeight="1" x14ac:dyDescent="0.3">
      <c r="B449" s="3" t="str">
        <f>IF('User Interface'!$C$127&gt;(COUNT($B$7:B448)/96),B448+0.0104166666666667,"")</f>
        <v/>
      </c>
    </row>
    <row r="450" spans="2:2" ht="14.25" customHeight="1" x14ac:dyDescent="0.3">
      <c r="B450" s="3" t="str">
        <f>IF('User Interface'!$C$127&gt;(COUNT($B$7:B449)/96),B449+0.0104166666666667,"")</f>
        <v/>
      </c>
    </row>
    <row r="451" spans="2:2" ht="14.25" customHeight="1" x14ac:dyDescent="0.3">
      <c r="B451" s="3" t="str">
        <f>IF('User Interface'!$C$127&gt;(COUNT($B$7:B450)/96),B450+0.0104166666666667,"")</f>
        <v/>
      </c>
    </row>
    <row r="452" spans="2:2" ht="14.25" customHeight="1" x14ac:dyDescent="0.3">
      <c r="B452" s="3" t="str">
        <f>IF('User Interface'!$C$127&gt;(COUNT($B$7:B451)/96),B451+0.0104166666666667,"")</f>
        <v/>
      </c>
    </row>
    <row r="453" spans="2:2" ht="14.25" customHeight="1" x14ac:dyDescent="0.3">
      <c r="B453" s="3" t="str">
        <f>IF('User Interface'!$C$127&gt;(COUNT($B$7:B452)/96),B452+0.0104166666666667,"")</f>
        <v/>
      </c>
    </row>
    <row r="454" spans="2:2" ht="14.25" customHeight="1" x14ac:dyDescent="0.3">
      <c r="B454" s="3" t="str">
        <f>IF('User Interface'!$C$127&gt;(COUNT($B$7:B453)/96),B453+0.0104166666666667,"")</f>
        <v/>
      </c>
    </row>
    <row r="455" spans="2:2" ht="14.25" customHeight="1" x14ac:dyDescent="0.3">
      <c r="B455" s="3" t="str">
        <f>IF('User Interface'!$C$127&gt;(COUNT($B$7:B454)/96),B454+0.0104166666666667,"")</f>
        <v/>
      </c>
    </row>
    <row r="456" spans="2:2" ht="14.25" customHeight="1" x14ac:dyDescent="0.3">
      <c r="B456" s="3" t="str">
        <f>IF('User Interface'!$C$127&gt;(COUNT($B$7:B455)/96),B455+0.0104166666666667,"")</f>
        <v/>
      </c>
    </row>
    <row r="457" spans="2:2" ht="14.25" customHeight="1" x14ac:dyDescent="0.3">
      <c r="B457" s="3" t="str">
        <f>IF('User Interface'!$C$127&gt;(COUNT($B$7:B456)/96),B456+0.0104166666666667,"")</f>
        <v/>
      </c>
    </row>
    <row r="458" spans="2:2" ht="14.25" customHeight="1" x14ac:dyDescent="0.3">
      <c r="B458" s="3" t="str">
        <f>IF('User Interface'!$C$127&gt;(COUNT($B$7:B457)/96),B457+0.0104166666666667,"")</f>
        <v/>
      </c>
    </row>
    <row r="459" spans="2:2" ht="14.25" customHeight="1" x14ac:dyDescent="0.3">
      <c r="B459" s="3" t="str">
        <f>IF('User Interface'!$C$127&gt;(COUNT($B$7:B458)/96),B458+0.0104166666666667,"")</f>
        <v/>
      </c>
    </row>
    <row r="460" spans="2:2" ht="14.25" customHeight="1" x14ac:dyDescent="0.3">
      <c r="B460" s="3" t="str">
        <f>IF('User Interface'!$C$127&gt;(COUNT($B$7:B459)/96),B459+0.0104166666666667,"")</f>
        <v/>
      </c>
    </row>
    <row r="461" spans="2:2" ht="14.25" customHeight="1" x14ac:dyDescent="0.3">
      <c r="B461" s="3" t="str">
        <f>IF('User Interface'!$C$127&gt;(COUNT($B$7:B460)/96),B460+0.0104166666666667,"")</f>
        <v/>
      </c>
    </row>
    <row r="462" spans="2:2" ht="14.25" customHeight="1" x14ac:dyDescent="0.3">
      <c r="B462" s="3" t="str">
        <f>IF('User Interface'!$C$127&gt;(COUNT($B$7:B461)/96),B461+0.0104166666666667,"")</f>
        <v/>
      </c>
    </row>
    <row r="463" spans="2:2" ht="14.25" customHeight="1" x14ac:dyDescent="0.3">
      <c r="B463" s="3" t="str">
        <f>IF('User Interface'!$C$127&gt;(COUNT($B$7:B462)/96),B462+0.0104166666666667,"")</f>
        <v/>
      </c>
    </row>
    <row r="464" spans="2:2" ht="14.25" customHeight="1" x14ac:dyDescent="0.3">
      <c r="B464" s="3" t="str">
        <f>IF('User Interface'!$C$127&gt;(COUNT($B$7:B463)/96),B463+0.0104166666666667,"")</f>
        <v/>
      </c>
    </row>
    <row r="465" spans="2:2" ht="14.25" customHeight="1" x14ac:dyDescent="0.3">
      <c r="B465" s="3" t="str">
        <f>IF('User Interface'!$C$127&gt;(COUNT($B$7:B464)/96),B464+0.0104166666666667,"")</f>
        <v/>
      </c>
    </row>
    <row r="466" spans="2:2" ht="14.25" customHeight="1" x14ac:dyDescent="0.3">
      <c r="B466" s="3" t="str">
        <f>IF('User Interface'!$C$127&gt;(COUNT($B$7:B465)/96),B465+0.0104166666666667,"")</f>
        <v/>
      </c>
    </row>
    <row r="467" spans="2:2" ht="14.25" customHeight="1" x14ac:dyDescent="0.3">
      <c r="B467" s="3" t="str">
        <f>IF('User Interface'!$C$127&gt;(COUNT($B$7:B466)/96),B466+0.0104166666666667,"")</f>
        <v/>
      </c>
    </row>
    <row r="468" spans="2:2" ht="14.25" customHeight="1" x14ac:dyDescent="0.3">
      <c r="B468" s="3" t="str">
        <f>IF('User Interface'!$C$127&gt;(COUNT($B$7:B467)/96),B467+0.0104166666666667,"")</f>
        <v/>
      </c>
    </row>
    <row r="469" spans="2:2" ht="14.25" customHeight="1" x14ac:dyDescent="0.3">
      <c r="B469" s="3" t="str">
        <f>IF('User Interface'!$C$127&gt;(COUNT($B$7:B468)/96),B468+0.0104166666666667,"")</f>
        <v/>
      </c>
    </row>
    <row r="470" spans="2:2" ht="14.25" customHeight="1" x14ac:dyDescent="0.3">
      <c r="B470" s="3" t="str">
        <f>IF('User Interface'!$C$127&gt;(COUNT($B$7:B469)/96),B469+0.0104166666666667,"")</f>
        <v/>
      </c>
    </row>
    <row r="471" spans="2:2" ht="14.25" customHeight="1" x14ac:dyDescent="0.3">
      <c r="B471" s="3" t="str">
        <f>IF('User Interface'!$C$127&gt;(COUNT($B$7:B470)/96),B470+0.0104166666666667,"")</f>
        <v/>
      </c>
    </row>
    <row r="472" spans="2:2" ht="14.25" customHeight="1" x14ac:dyDescent="0.3">
      <c r="B472" s="3" t="str">
        <f>IF('User Interface'!$C$127&gt;(COUNT($B$7:B471)/96),B471+0.0104166666666667,"")</f>
        <v/>
      </c>
    </row>
    <row r="473" spans="2:2" ht="14.25" customHeight="1" x14ac:dyDescent="0.3">
      <c r="B473" s="3" t="str">
        <f>IF('User Interface'!$C$127&gt;(COUNT($B$7:B472)/96),B472+0.0104166666666667,"")</f>
        <v/>
      </c>
    </row>
    <row r="474" spans="2:2" ht="14.25" customHeight="1" x14ac:dyDescent="0.3">
      <c r="B474" s="3" t="str">
        <f>IF('User Interface'!$C$127&gt;(COUNT($B$7:B473)/96),B473+0.0104166666666667,"")</f>
        <v/>
      </c>
    </row>
    <row r="475" spans="2:2" ht="14.25" customHeight="1" x14ac:dyDescent="0.3">
      <c r="B475" s="3" t="str">
        <f>IF('User Interface'!$C$127&gt;(COUNT($B$7:B474)/96),B474+0.0104166666666667,"")</f>
        <v/>
      </c>
    </row>
    <row r="476" spans="2:2" ht="14.25" customHeight="1" x14ac:dyDescent="0.3">
      <c r="B476" s="3" t="str">
        <f>IF('User Interface'!$C$127&gt;(COUNT($B$7:B475)/96),B475+0.0104166666666667,"")</f>
        <v/>
      </c>
    </row>
    <row r="477" spans="2:2" ht="14.25" customHeight="1" x14ac:dyDescent="0.3">
      <c r="B477" s="3" t="str">
        <f>IF('User Interface'!$C$127&gt;(COUNT($B$7:B476)/96),B476+0.0104166666666667,"")</f>
        <v/>
      </c>
    </row>
    <row r="478" spans="2:2" ht="14.25" customHeight="1" x14ac:dyDescent="0.3">
      <c r="B478" s="3" t="str">
        <f>IF('User Interface'!$C$127&gt;(COUNT($B$7:B477)/96),B477+0.0104166666666667,"")</f>
        <v/>
      </c>
    </row>
    <row r="479" spans="2:2" ht="14.25" customHeight="1" x14ac:dyDescent="0.3">
      <c r="B479" s="3" t="str">
        <f>IF('User Interface'!$C$127&gt;(COUNT($B$7:B478)/96),B478+0.0104166666666667,"")</f>
        <v/>
      </c>
    </row>
    <row r="480" spans="2:2" ht="14.25" customHeight="1" x14ac:dyDescent="0.3">
      <c r="B480" s="3" t="str">
        <f>IF('User Interface'!$C$127&gt;(COUNT($B$7:B479)/96),B479+0.0104166666666667,"")</f>
        <v/>
      </c>
    </row>
    <row r="481" spans="2:2" ht="14.25" customHeight="1" x14ac:dyDescent="0.3">
      <c r="B481" s="3" t="str">
        <f>IF('User Interface'!$C$127&gt;(COUNT($B$7:B480)/96),B480+0.0104166666666667,"")</f>
        <v/>
      </c>
    </row>
    <row r="482" spans="2:2" ht="14.25" customHeight="1" x14ac:dyDescent="0.3">
      <c r="B482" s="3" t="str">
        <f>IF('User Interface'!$C$127&gt;(COUNT($B$7:B481)/96),B481+0.0104166666666667,"")</f>
        <v/>
      </c>
    </row>
    <row r="483" spans="2:2" ht="14.25" customHeight="1" x14ac:dyDescent="0.3">
      <c r="B483" s="3" t="str">
        <f>IF('User Interface'!$C$127&gt;(COUNT($B$7:B482)/96),B482+0.0104166666666667,"")</f>
        <v/>
      </c>
    </row>
    <row r="484" spans="2:2" ht="14.25" customHeight="1" x14ac:dyDescent="0.3">
      <c r="B484" s="3" t="str">
        <f>IF('User Interface'!$C$127&gt;(COUNT($B$7:B483)/96),B483+0.0104166666666667,"")</f>
        <v/>
      </c>
    </row>
    <row r="485" spans="2:2" ht="14.25" customHeight="1" x14ac:dyDescent="0.3">
      <c r="B485" s="3" t="str">
        <f>IF('User Interface'!$C$127&gt;(COUNT($B$7:B484)/96),B484+0.0104166666666667,"")</f>
        <v/>
      </c>
    </row>
    <row r="486" spans="2:2" ht="14.25" customHeight="1" x14ac:dyDescent="0.3">
      <c r="B486" s="3" t="str">
        <f>IF('User Interface'!$C$127&gt;(COUNT($B$7:B485)/96),B485+0.0104166666666667,"")</f>
        <v/>
      </c>
    </row>
    <row r="487" spans="2:2" ht="14.25" customHeight="1" x14ac:dyDescent="0.3">
      <c r="B487" s="3" t="str">
        <f>IF('User Interface'!$C$127&gt;(COUNT($B$7:B486)/96),B486+0.0104166666666667,"")</f>
        <v/>
      </c>
    </row>
    <row r="488" spans="2:2" ht="14.25" customHeight="1" x14ac:dyDescent="0.3">
      <c r="B488" s="3" t="str">
        <f>IF('User Interface'!$C$127&gt;(COUNT($B$7:B487)/96),B487+0.0104166666666667,"")</f>
        <v/>
      </c>
    </row>
    <row r="489" spans="2:2" ht="14.25" customHeight="1" x14ac:dyDescent="0.3">
      <c r="B489" s="3" t="str">
        <f>IF('User Interface'!$C$127&gt;(COUNT($B$7:B488)/96),B488+0.0104166666666667,"")</f>
        <v/>
      </c>
    </row>
    <row r="490" spans="2:2" ht="14.25" customHeight="1" x14ac:dyDescent="0.3">
      <c r="B490" s="3" t="str">
        <f>IF('User Interface'!$C$127&gt;(COUNT($B$7:B489)/96),B489+0.0104166666666667,"")</f>
        <v/>
      </c>
    </row>
    <row r="491" spans="2:2" ht="14.25" customHeight="1" x14ac:dyDescent="0.3">
      <c r="B491" s="3" t="str">
        <f>IF('User Interface'!$C$127&gt;(COUNT($B$7:B490)/96),B490+0.0104166666666667,"")</f>
        <v/>
      </c>
    </row>
    <row r="492" spans="2:2" ht="14.25" customHeight="1" x14ac:dyDescent="0.3">
      <c r="B492" s="3" t="str">
        <f>IF('User Interface'!$C$127&gt;(COUNT($B$7:B491)/96),B491+0.0104166666666667,"")</f>
        <v/>
      </c>
    </row>
    <row r="493" spans="2:2" ht="14.25" customHeight="1" x14ac:dyDescent="0.3">
      <c r="B493" s="3" t="str">
        <f>IF('User Interface'!$C$127&gt;(COUNT($B$7:B492)/96),B492+0.0104166666666667,"")</f>
        <v/>
      </c>
    </row>
    <row r="494" spans="2:2" ht="14.25" customHeight="1" x14ac:dyDescent="0.3">
      <c r="B494" s="3" t="str">
        <f>IF('User Interface'!$C$127&gt;(COUNT($B$7:B493)/96),B493+0.0104166666666667,"")</f>
        <v/>
      </c>
    </row>
    <row r="495" spans="2:2" ht="14.25" customHeight="1" x14ac:dyDescent="0.3">
      <c r="B495" s="3" t="str">
        <f>IF('User Interface'!$C$127&gt;(COUNT($B$7:B494)/96),B494+0.0104166666666667,"")</f>
        <v/>
      </c>
    </row>
    <row r="496" spans="2:2" ht="14.25" customHeight="1" x14ac:dyDescent="0.3">
      <c r="B496" s="3" t="str">
        <f>IF('User Interface'!$C$127&gt;(COUNT($B$7:B495)/96),B495+0.0104166666666667,"")</f>
        <v/>
      </c>
    </row>
    <row r="497" spans="2:2" ht="14.25" customHeight="1" x14ac:dyDescent="0.3">
      <c r="B497" s="3" t="str">
        <f>IF('User Interface'!$C$127&gt;(COUNT($B$7:B496)/96),B496+0.0104166666666667,"")</f>
        <v/>
      </c>
    </row>
    <row r="498" spans="2:2" ht="14.25" customHeight="1" x14ac:dyDescent="0.3">
      <c r="B498" s="3" t="str">
        <f>IF('User Interface'!$C$127&gt;(COUNT($B$7:B497)/96),B497+0.0104166666666667,"")</f>
        <v/>
      </c>
    </row>
    <row r="499" spans="2:2" ht="14.25" customHeight="1" x14ac:dyDescent="0.3">
      <c r="B499" s="3" t="str">
        <f>IF('User Interface'!$C$127&gt;(COUNT($B$7:B498)/96),B498+0.0104166666666667,"")</f>
        <v/>
      </c>
    </row>
    <row r="500" spans="2:2" ht="14.25" customHeight="1" x14ac:dyDescent="0.3">
      <c r="B500" s="3" t="str">
        <f>IF('User Interface'!$C$127&gt;(COUNT($B$7:B499)/96),B499+0.0104166666666667,"")</f>
        <v/>
      </c>
    </row>
    <row r="501" spans="2:2" ht="14.25" customHeight="1" x14ac:dyDescent="0.3">
      <c r="B501" s="3" t="str">
        <f>IF('User Interface'!$C$127&gt;(COUNT($B$7:B500)/96),B500+0.0104166666666667,"")</f>
        <v/>
      </c>
    </row>
    <row r="502" spans="2:2" ht="14.25" customHeight="1" x14ac:dyDescent="0.3">
      <c r="B502" s="3" t="str">
        <f>IF('User Interface'!$C$127&gt;(COUNT($B$7:B501)/96),B501+0.0104166666666667,"")</f>
        <v/>
      </c>
    </row>
    <row r="503" spans="2:2" ht="14.25" customHeight="1" x14ac:dyDescent="0.3">
      <c r="B503" s="3" t="str">
        <f>IF('User Interface'!$C$127&gt;(COUNT($B$7:B502)/96),B502+0.0104166666666667,"")</f>
        <v/>
      </c>
    </row>
    <row r="504" spans="2:2" ht="14.25" customHeight="1" x14ac:dyDescent="0.3">
      <c r="B504" s="3" t="str">
        <f>IF('User Interface'!$C$127&gt;(COUNT($B$7:B503)/96),B503+0.0104166666666667,"")</f>
        <v/>
      </c>
    </row>
    <row r="505" spans="2:2" ht="14.25" customHeight="1" x14ac:dyDescent="0.3">
      <c r="B505" s="3" t="str">
        <f>IF('User Interface'!$C$127&gt;(COUNT($B$7:B504)/96),B504+0.0104166666666667,"")</f>
        <v/>
      </c>
    </row>
    <row r="506" spans="2:2" ht="14.25" customHeight="1" x14ac:dyDescent="0.3">
      <c r="B506" s="3" t="str">
        <f>IF('User Interface'!$C$127&gt;(COUNT($B$7:B505)/96),B505+0.0104166666666667,"")</f>
        <v/>
      </c>
    </row>
    <row r="507" spans="2:2" ht="14.25" customHeight="1" x14ac:dyDescent="0.3">
      <c r="B507" s="3" t="str">
        <f>IF('User Interface'!$C$127&gt;(COUNT($B$7:B506)/96),B506+0.0104166666666667,"")</f>
        <v/>
      </c>
    </row>
    <row r="508" spans="2:2" ht="14.25" customHeight="1" x14ac:dyDescent="0.3">
      <c r="B508" s="3" t="str">
        <f>IF('User Interface'!$C$127&gt;(COUNT($B$7:B507)/96),B507+0.0104166666666667,"")</f>
        <v/>
      </c>
    </row>
    <row r="509" spans="2:2" ht="14.25" customHeight="1" x14ac:dyDescent="0.3">
      <c r="B509" s="3" t="str">
        <f>IF('User Interface'!$C$127&gt;(COUNT($B$7:B508)/96),B508+0.0104166666666667,"")</f>
        <v/>
      </c>
    </row>
    <row r="510" spans="2:2" ht="14.25" customHeight="1" x14ac:dyDescent="0.3">
      <c r="B510" s="3" t="str">
        <f>IF('User Interface'!$C$127&gt;(COUNT($B$7:B509)/96),B509+0.0104166666666667,"")</f>
        <v/>
      </c>
    </row>
    <row r="511" spans="2:2" ht="14.25" customHeight="1" x14ac:dyDescent="0.3">
      <c r="B511" s="3" t="str">
        <f>IF('User Interface'!$C$127&gt;(COUNT($B$7:B510)/96),B510+0.0104166666666667,"")</f>
        <v/>
      </c>
    </row>
    <row r="512" spans="2:2" ht="14.25" customHeight="1" x14ac:dyDescent="0.3">
      <c r="B512" s="3" t="str">
        <f>IF('User Interface'!$C$127&gt;(COUNT($B$7:B511)/96),B511+0.0104166666666667,"")</f>
        <v/>
      </c>
    </row>
    <row r="513" spans="2:2" ht="14.25" customHeight="1" x14ac:dyDescent="0.3">
      <c r="B513" s="3" t="str">
        <f>IF('User Interface'!$C$127&gt;(COUNT($B$7:B512)/96),B512+0.0104166666666667,"")</f>
        <v/>
      </c>
    </row>
    <row r="514" spans="2:2" ht="14.25" customHeight="1" x14ac:dyDescent="0.3">
      <c r="B514" s="3" t="str">
        <f>IF('User Interface'!$C$127&gt;(COUNT($B$7:B513)/96),B513+0.0104166666666667,"")</f>
        <v/>
      </c>
    </row>
    <row r="515" spans="2:2" ht="14.25" customHeight="1" x14ac:dyDescent="0.3">
      <c r="B515" s="3" t="str">
        <f>IF('User Interface'!$C$127&gt;(COUNT($B$7:B514)/96),B514+0.0104166666666667,"")</f>
        <v/>
      </c>
    </row>
    <row r="516" spans="2:2" ht="14.25" customHeight="1" x14ac:dyDescent="0.3">
      <c r="B516" s="3" t="str">
        <f>IF('User Interface'!$C$127&gt;(COUNT($B$7:B515)/96),B515+0.0104166666666667,"")</f>
        <v/>
      </c>
    </row>
    <row r="517" spans="2:2" ht="14.25" customHeight="1" x14ac:dyDescent="0.3">
      <c r="B517" s="3" t="str">
        <f>IF('User Interface'!$C$127&gt;(COUNT($B$7:B516)/96),B516+0.0104166666666667,"")</f>
        <v/>
      </c>
    </row>
    <row r="518" spans="2:2" ht="14.25" customHeight="1" x14ac:dyDescent="0.3">
      <c r="B518" s="3" t="str">
        <f>IF('User Interface'!$C$127&gt;(COUNT($B$7:B517)/96),B517+0.0104166666666667,"")</f>
        <v/>
      </c>
    </row>
    <row r="519" spans="2:2" ht="14.25" customHeight="1" x14ac:dyDescent="0.3">
      <c r="B519" s="3" t="str">
        <f>IF('User Interface'!$C$127&gt;(COUNT($B$7:B518)/96),B518+0.0104166666666667,"")</f>
        <v/>
      </c>
    </row>
    <row r="520" spans="2:2" ht="14.25" customHeight="1" x14ac:dyDescent="0.3">
      <c r="B520" s="3" t="str">
        <f>IF('User Interface'!$C$127&gt;(COUNT($B$7:B519)/96),B519+0.0104166666666667,"")</f>
        <v/>
      </c>
    </row>
    <row r="521" spans="2:2" ht="14.25" customHeight="1" x14ac:dyDescent="0.3">
      <c r="B521" s="3" t="str">
        <f>IF('User Interface'!$C$127&gt;(COUNT($B$7:B520)/96),B520+0.0104166666666667,"")</f>
        <v/>
      </c>
    </row>
    <row r="522" spans="2:2" ht="14.25" customHeight="1" x14ac:dyDescent="0.3">
      <c r="B522" s="3" t="str">
        <f>IF('User Interface'!$C$127&gt;(COUNT($B$7:B521)/96),B521+0.0104166666666667,"")</f>
        <v/>
      </c>
    </row>
    <row r="523" spans="2:2" ht="14.25" customHeight="1" x14ac:dyDescent="0.3">
      <c r="B523" s="3" t="str">
        <f>IF('User Interface'!$C$127&gt;(COUNT($B$7:B522)/96),B522+0.0104166666666667,"")</f>
        <v/>
      </c>
    </row>
    <row r="524" spans="2:2" ht="14.25" customHeight="1" x14ac:dyDescent="0.3">
      <c r="B524" s="3" t="str">
        <f>IF('User Interface'!$C$127&gt;(COUNT($B$7:B523)/96),B523+0.0104166666666667,"")</f>
        <v/>
      </c>
    </row>
    <row r="525" spans="2:2" ht="14.25" customHeight="1" x14ac:dyDescent="0.3">
      <c r="B525" s="3" t="str">
        <f>IF('User Interface'!$C$127&gt;(COUNT($B$7:B524)/96),B524+0.0104166666666667,"")</f>
        <v/>
      </c>
    </row>
    <row r="526" spans="2:2" ht="14.25" customHeight="1" x14ac:dyDescent="0.3">
      <c r="B526" s="3" t="str">
        <f>IF('User Interface'!$C$127&gt;(COUNT($B$7:B525)/96),B525+0.0104166666666667,"")</f>
        <v/>
      </c>
    </row>
    <row r="527" spans="2:2" ht="14.25" customHeight="1" x14ac:dyDescent="0.3">
      <c r="B527" s="3" t="str">
        <f>IF('User Interface'!$C$127&gt;(COUNT($B$7:B526)/96),B526+0.0104166666666667,"")</f>
        <v/>
      </c>
    </row>
    <row r="528" spans="2:2" ht="14.25" customHeight="1" x14ac:dyDescent="0.3">
      <c r="B528" s="3" t="str">
        <f>IF('User Interface'!$C$127&gt;(COUNT($B$7:B527)/96),B527+0.0104166666666667,"")</f>
        <v/>
      </c>
    </row>
    <row r="529" spans="2:2" ht="14.25" customHeight="1" x14ac:dyDescent="0.3">
      <c r="B529" s="3" t="str">
        <f>IF('User Interface'!$C$127&gt;(COUNT($B$7:B528)/96),B528+0.0104166666666667,"")</f>
        <v/>
      </c>
    </row>
    <row r="530" spans="2:2" ht="14.25" customHeight="1" x14ac:dyDescent="0.3">
      <c r="B530" s="3" t="str">
        <f>IF('User Interface'!$C$127&gt;(COUNT($B$7:B529)/96),B529+0.0104166666666667,"")</f>
        <v/>
      </c>
    </row>
    <row r="531" spans="2:2" ht="14.25" customHeight="1" x14ac:dyDescent="0.3">
      <c r="B531" s="3" t="str">
        <f>IF('User Interface'!$C$127&gt;(COUNT($B$7:B530)/96),B530+0.0104166666666667,"")</f>
        <v/>
      </c>
    </row>
    <row r="532" spans="2:2" ht="14.25" customHeight="1" x14ac:dyDescent="0.3">
      <c r="B532" s="3" t="str">
        <f>IF('User Interface'!$C$127&gt;(COUNT($B$7:B531)/96),B531+0.0104166666666667,"")</f>
        <v/>
      </c>
    </row>
    <row r="533" spans="2:2" ht="14.25" customHeight="1" x14ac:dyDescent="0.3">
      <c r="B533" s="3" t="str">
        <f>IF('User Interface'!$C$127&gt;(COUNT($B$7:B532)/96),B532+0.0104166666666667,"")</f>
        <v/>
      </c>
    </row>
    <row r="534" spans="2:2" ht="14.25" customHeight="1" x14ac:dyDescent="0.3">
      <c r="B534" s="3" t="str">
        <f>IF('User Interface'!$C$127&gt;(COUNT($B$7:B533)/96),B533+0.0104166666666667,"")</f>
        <v/>
      </c>
    </row>
    <row r="535" spans="2:2" ht="14.25" customHeight="1" x14ac:dyDescent="0.3">
      <c r="B535" s="3" t="str">
        <f>IF('User Interface'!$C$127&gt;(COUNT($B$7:B534)/96),B534+0.0104166666666667,"")</f>
        <v/>
      </c>
    </row>
    <row r="536" spans="2:2" ht="14.25" customHeight="1" x14ac:dyDescent="0.3">
      <c r="B536" s="3" t="str">
        <f>IF('User Interface'!$C$127&gt;(COUNT($B$7:B535)/96),B535+0.0104166666666667,"")</f>
        <v/>
      </c>
    </row>
    <row r="537" spans="2:2" ht="14.25" customHeight="1" x14ac:dyDescent="0.3">
      <c r="B537" s="3" t="str">
        <f>IF('User Interface'!$C$127&gt;(COUNT($B$7:B536)/96),B536+0.0104166666666667,"")</f>
        <v/>
      </c>
    </row>
    <row r="538" spans="2:2" ht="14.25" customHeight="1" x14ac:dyDescent="0.3">
      <c r="B538" s="3" t="str">
        <f>IF('User Interface'!$C$127&gt;(COUNT($B$7:B537)/96),B537+0.0104166666666667,"")</f>
        <v/>
      </c>
    </row>
    <row r="539" spans="2:2" ht="14.25" customHeight="1" x14ac:dyDescent="0.3">
      <c r="B539" s="3" t="str">
        <f>IF('User Interface'!$C$127&gt;(COUNT($B$7:B538)/96),B538+0.0104166666666667,"")</f>
        <v/>
      </c>
    </row>
    <row r="540" spans="2:2" ht="14.25" customHeight="1" x14ac:dyDescent="0.3">
      <c r="B540" s="3" t="str">
        <f>IF('User Interface'!$C$127&gt;(COUNT($B$7:B539)/96),B539+0.0104166666666667,"")</f>
        <v/>
      </c>
    </row>
    <row r="541" spans="2:2" ht="14.25" customHeight="1" x14ac:dyDescent="0.3">
      <c r="B541" s="3" t="str">
        <f>IF('User Interface'!$C$127&gt;(COUNT($B$7:B540)/96),B540+0.0104166666666667,"")</f>
        <v/>
      </c>
    </row>
    <row r="542" spans="2:2" ht="14.25" customHeight="1" x14ac:dyDescent="0.3">
      <c r="B542" s="3" t="str">
        <f>IF('User Interface'!$C$127&gt;(COUNT($B$7:B541)/96),B541+0.0104166666666667,"")</f>
        <v/>
      </c>
    </row>
    <row r="543" spans="2:2" ht="14.25" customHeight="1" x14ac:dyDescent="0.3">
      <c r="B543" s="3" t="str">
        <f>IF('User Interface'!$C$127&gt;(COUNT($B$7:B542)/96),B542+0.0104166666666667,"")</f>
        <v/>
      </c>
    </row>
    <row r="544" spans="2:2" ht="14.25" customHeight="1" x14ac:dyDescent="0.3">
      <c r="B544" s="3" t="str">
        <f>IF('User Interface'!$C$127&gt;(COUNT($B$7:B543)/96),B543+0.0104166666666667,"")</f>
        <v/>
      </c>
    </row>
    <row r="545" spans="2:2" ht="14.25" customHeight="1" x14ac:dyDescent="0.3">
      <c r="B545" s="3" t="str">
        <f>IF('User Interface'!$C$127&gt;(COUNT($B$7:B544)/96),B544+0.0104166666666667,"")</f>
        <v/>
      </c>
    </row>
    <row r="546" spans="2:2" ht="14.25" customHeight="1" x14ac:dyDescent="0.3">
      <c r="B546" s="3" t="str">
        <f>IF('User Interface'!$C$127&gt;(COUNT($B$7:B545)/96),B545+0.0104166666666667,"")</f>
        <v/>
      </c>
    </row>
    <row r="547" spans="2:2" ht="14.25" customHeight="1" x14ac:dyDescent="0.3">
      <c r="B547" s="3" t="str">
        <f>IF('User Interface'!$C$127&gt;(COUNT($B$7:B546)/96),B546+0.0104166666666667,"")</f>
        <v/>
      </c>
    </row>
    <row r="548" spans="2:2" ht="14.25" customHeight="1" x14ac:dyDescent="0.3">
      <c r="B548" s="3" t="str">
        <f>IF('User Interface'!$C$127&gt;(COUNT($B$7:B547)/96),B547+0.0104166666666667,"")</f>
        <v/>
      </c>
    </row>
    <row r="549" spans="2:2" ht="14.25" customHeight="1" x14ac:dyDescent="0.3">
      <c r="B549" s="3" t="str">
        <f>IF('User Interface'!$C$127&gt;(COUNT($B$7:B548)/96),B548+0.0104166666666667,"")</f>
        <v/>
      </c>
    </row>
    <row r="550" spans="2:2" ht="14.25" customHeight="1" x14ac:dyDescent="0.3">
      <c r="B550" s="3" t="str">
        <f>IF('User Interface'!$C$127&gt;(COUNT($B$7:B549)/96),B549+0.0104166666666667,"")</f>
        <v/>
      </c>
    </row>
    <row r="551" spans="2:2" ht="14.25" customHeight="1" x14ac:dyDescent="0.3">
      <c r="B551" s="3" t="str">
        <f>IF('User Interface'!$C$127&gt;(COUNT($B$7:B550)/96),B550+0.0104166666666667,"")</f>
        <v/>
      </c>
    </row>
    <row r="552" spans="2:2" ht="14.25" customHeight="1" x14ac:dyDescent="0.3">
      <c r="B552" s="3" t="str">
        <f>IF('User Interface'!$C$127&gt;(COUNT($B$7:B551)/96),B551+0.0104166666666667,"")</f>
        <v/>
      </c>
    </row>
    <row r="553" spans="2:2" ht="14.25" customHeight="1" x14ac:dyDescent="0.3">
      <c r="B553" s="3" t="str">
        <f>IF('User Interface'!$C$127&gt;(COUNT($B$7:B552)/96),B552+0.0104166666666667,"")</f>
        <v/>
      </c>
    </row>
    <row r="554" spans="2:2" ht="14.25" customHeight="1" x14ac:dyDescent="0.3">
      <c r="B554" s="3" t="str">
        <f>IF('User Interface'!$C$127&gt;(COUNT($B$7:B553)/96),B553+0.0104166666666667,"")</f>
        <v/>
      </c>
    </row>
    <row r="555" spans="2:2" ht="14.25" customHeight="1" x14ac:dyDescent="0.3">
      <c r="B555" s="3" t="str">
        <f>IF('User Interface'!$C$127&gt;(COUNT($B$7:B554)/96),B554+0.0104166666666667,"")</f>
        <v/>
      </c>
    </row>
    <row r="556" spans="2:2" ht="14.25" customHeight="1" x14ac:dyDescent="0.3">
      <c r="B556" s="3" t="str">
        <f>IF('User Interface'!$C$127&gt;(COUNT($B$7:B555)/96),B555+0.0104166666666667,"")</f>
        <v/>
      </c>
    </row>
    <row r="557" spans="2:2" ht="14.25" customHeight="1" x14ac:dyDescent="0.3">
      <c r="B557" s="3" t="str">
        <f>IF('User Interface'!$C$127&gt;(COUNT($B$7:B556)/96),B556+0.0104166666666667,"")</f>
        <v/>
      </c>
    </row>
    <row r="558" spans="2:2" ht="14.25" customHeight="1" x14ac:dyDescent="0.3">
      <c r="B558" s="3" t="str">
        <f>IF('User Interface'!$C$127&gt;(COUNT($B$7:B557)/96),B557+0.0104166666666667,"")</f>
        <v/>
      </c>
    </row>
    <row r="559" spans="2:2" ht="14.25" customHeight="1" x14ac:dyDescent="0.3">
      <c r="B559" s="3" t="str">
        <f>IF('User Interface'!$C$127&gt;(COUNT($B$7:B558)/96),B558+0.0104166666666667,"")</f>
        <v/>
      </c>
    </row>
    <row r="560" spans="2:2" ht="14.25" customHeight="1" x14ac:dyDescent="0.3">
      <c r="B560" s="3" t="str">
        <f>IF('User Interface'!$C$127&gt;(COUNT($B$7:B559)/96),B559+0.0104166666666667,"")</f>
        <v/>
      </c>
    </row>
    <row r="561" spans="2:2" ht="14.25" customHeight="1" x14ac:dyDescent="0.3">
      <c r="B561" s="3" t="str">
        <f>IF('User Interface'!$C$127&gt;(COUNT($B$7:B560)/96),B560+0.0104166666666667,"")</f>
        <v/>
      </c>
    </row>
    <row r="562" spans="2:2" ht="14.25" customHeight="1" x14ac:dyDescent="0.3">
      <c r="B562" s="3" t="str">
        <f>IF('User Interface'!$C$127&gt;(COUNT($B$7:B561)/96),B561+0.0104166666666667,"")</f>
        <v/>
      </c>
    </row>
    <row r="563" spans="2:2" ht="14.25" customHeight="1" x14ac:dyDescent="0.3">
      <c r="B563" s="3" t="str">
        <f>IF('User Interface'!$C$127&gt;(COUNT($B$7:B562)/96),B562+0.0104166666666667,"")</f>
        <v/>
      </c>
    </row>
    <row r="564" spans="2:2" ht="14.25" customHeight="1" x14ac:dyDescent="0.3">
      <c r="B564" s="3" t="str">
        <f>IF('User Interface'!$C$127&gt;(COUNT($B$7:B563)/96),B563+0.0104166666666667,"")</f>
        <v/>
      </c>
    </row>
    <row r="565" spans="2:2" ht="14.25" customHeight="1" x14ac:dyDescent="0.3">
      <c r="B565" s="3" t="str">
        <f>IF('User Interface'!$C$127&gt;(COUNT($B$7:B564)/96),B564+0.0104166666666667,"")</f>
        <v/>
      </c>
    </row>
    <row r="566" spans="2:2" ht="14.25" customHeight="1" x14ac:dyDescent="0.3">
      <c r="B566" s="3" t="str">
        <f>IF('User Interface'!$C$127&gt;(COUNT($B$7:B565)/96),B565+0.0104166666666667,"")</f>
        <v/>
      </c>
    </row>
    <row r="567" spans="2:2" ht="14.25" customHeight="1" x14ac:dyDescent="0.3">
      <c r="B567" s="3" t="str">
        <f>IF('User Interface'!$C$127&gt;(COUNT($B$7:B566)/96),B566+0.0104166666666667,"")</f>
        <v/>
      </c>
    </row>
    <row r="568" spans="2:2" ht="14.25" customHeight="1" x14ac:dyDescent="0.3">
      <c r="B568" s="3" t="str">
        <f>IF('User Interface'!$C$127&gt;(COUNT($B$7:B567)/96),B567+0.0104166666666667,"")</f>
        <v/>
      </c>
    </row>
    <row r="569" spans="2:2" ht="14.25" customHeight="1" x14ac:dyDescent="0.3">
      <c r="B569" s="3" t="str">
        <f>IF('User Interface'!$C$127&gt;(COUNT($B$7:B568)/96),B568+0.0104166666666667,"")</f>
        <v/>
      </c>
    </row>
    <row r="570" spans="2:2" ht="14.25" customHeight="1" x14ac:dyDescent="0.3">
      <c r="B570" s="3" t="str">
        <f>IF('User Interface'!$C$127&gt;(COUNT($B$7:B569)/96),B569+0.0104166666666667,"")</f>
        <v/>
      </c>
    </row>
    <row r="571" spans="2:2" ht="14.25" customHeight="1" x14ac:dyDescent="0.3">
      <c r="B571" s="3" t="str">
        <f>IF('User Interface'!$C$127&gt;(COUNT($B$7:B570)/96),B570+0.0104166666666667,"")</f>
        <v/>
      </c>
    </row>
    <row r="572" spans="2:2" ht="14.25" customHeight="1" x14ac:dyDescent="0.3">
      <c r="B572" s="3" t="str">
        <f>IF('User Interface'!$C$127&gt;(COUNT($B$7:B571)/96),B571+0.0104166666666667,"")</f>
        <v/>
      </c>
    </row>
    <row r="573" spans="2:2" ht="14.25" customHeight="1" x14ac:dyDescent="0.3">
      <c r="B573" s="3" t="str">
        <f>IF('User Interface'!$C$127&gt;(COUNT($B$7:B572)/96),B572+0.0104166666666667,"")</f>
        <v/>
      </c>
    </row>
    <row r="574" spans="2:2" ht="14.25" customHeight="1" x14ac:dyDescent="0.3">
      <c r="B574" s="3" t="str">
        <f>IF('User Interface'!$C$127&gt;(COUNT($B$7:B573)/96),B573+0.0104166666666667,"")</f>
        <v/>
      </c>
    </row>
    <row r="575" spans="2:2" ht="14.25" customHeight="1" x14ac:dyDescent="0.3">
      <c r="B575" s="3" t="str">
        <f>IF('User Interface'!$C$127&gt;(COUNT($B$7:B574)/96),B574+0.0104166666666667,"")</f>
        <v/>
      </c>
    </row>
    <row r="576" spans="2:2" ht="14.25" customHeight="1" x14ac:dyDescent="0.3">
      <c r="B576" s="3" t="str">
        <f>IF('User Interface'!$C$127&gt;(COUNT($B$7:B575)/96),B575+0.0104166666666667,"")</f>
        <v/>
      </c>
    </row>
    <row r="577" spans="2:2" ht="14.25" customHeight="1" x14ac:dyDescent="0.3">
      <c r="B577" s="3" t="str">
        <f>IF('User Interface'!$C$127&gt;(COUNT($B$7:B576)/96),B576+0.0104166666666667,"")</f>
        <v/>
      </c>
    </row>
    <row r="578" spans="2:2" ht="14.25" customHeight="1" x14ac:dyDescent="0.3">
      <c r="B578" s="3" t="str">
        <f>IF('User Interface'!$C$127&gt;(COUNT($B$7:B577)/96),B577+0.0104166666666667,"")</f>
        <v/>
      </c>
    </row>
    <row r="579" spans="2:2" ht="14.25" customHeight="1" x14ac:dyDescent="0.3">
      <c r="B579" s="3" t="str">
        <f>IF('User Interface'!$C$127&gt;(COUNT($B$7:B578)/96),B578+0.0104166666666667,"")</f>
        <v/>
      </c>
    </row>
    <row r="580" spans="2:2" ht="14.25" customHeight="1" x14ac:dyDescent="0.3">
      <c r="B580" s="3" t="str">
        <f>IF('User Interface'!$C$127&gt;(COUNT($B$7:B579)/96),B579+0.0104166666666667,"")</f>
        <v/>
      </c>
    </row>
    <row r="581" spans="2:2" ht="14.25" customHeight="1" x14ac:dyDescent="0.3">
      <c r="B581" s="3" t="str">
        <f>IF('User Interface'!$C$127&gt;(COUNT($B$7:B580)/96),B580+0.0104166666666667,"")</f>
        <v/>
      </c>
    </row>
    <row r="582" spans="2:2" ht="14.25" customHeight="1" x14ac:dyDescent="0.3">
      <c r="B582" s="3" t="str">
        <f>IF('User Interface'!$C$127&gt;(COUNT($B$7:B581)/96),B581+0.0104166666666667,"")</f>
        <v/>
      </c>
    </row>
    <row r="583" spans="2:2" ht="14.25" customHeight="1" x14ac:dyDescent="0.3">
      <c r="B583" s="3" t="str">
        <f>IF('User Interface'!$C$127&gt;(COUNT($B$7:B582)/96),B582+0.0104166666666667,"")</f>
        <v/>
      </c>
    </row>
    <row r="584" spans="2:2" ht="14.25" customHeight="1" x14ac:dyDescent="0.3">
      <c r="B584" s="3" t="str">
        <f>IF('User Interface'!$C$127&gt;(COUNT($B$7:B583)/96),B583+0.0104166666666667,"")</f>
        <v/>
      </c>
    </row>
    <row r="585" spans="2:2" ht="14.25" customHeight="1" x14ac:dyDescent="0.3">
      <c r="B585" s="3" t="str">
        <f>IF('User Interface'!$C$127&gt;(COUNT($B$7:B584)/96),B584+0.0104166666666667,"")</f>
        <v/>
      </c>
    </row>
    <row r="586" spans="2:2" ht="14.25" customHeight="1" x14ac:dyDescent="0.3">
      <c r="B586" s="3" t="str">
        <f>IF('User Interface'!$C$127&gt;(COUNT($B$7:B585)/96),B585+0.0104166666666667,"")</f>
        <v/>
      </c>
    </row>
    <row r="587" spans="2:2" ht="14.25" customHeight="1" x14ac:dyDescent="0.3">
      <c r="B587" s="3" t="str">
        <f>IF('User Interface'!$C$127&gt;(COUNT($B$7:B586)/96),B586+0.0104166666666667,"")</f>
        <v/>
      </c>
    </row>
    <row r="588" spans="2:2" ht="14.25" customHeight="1" x14ac:dyDescent="0.3">
      <c r="B588" s="3" t="str">
        <f>IF('User Interface'!$C$127&gt;(COUNT($B$7:B587)/96),B587+0.0104166666666667,"")</f>
        <v/>
      </c>
    </row>
    <row r="589" spans="2:2" ht="14.25" customHeight="1" x14ac:dyDescent="0.3">
      <c r="B589" s="3" t="str">
        <f>IF('User Interface'!$C$127&gt;(COUNT($B$7:B588)/96),B588+0.0104166666666667,"")</f>
        <v/>
      </c>
    </row>
    <row r="590" spans="2:2" ht="14.25" customHeight="1" x14ac:dyDescent="0.3">
      <c r="B590" s="3" t="str">
        <f>IF('User Interface'!$C$127&gt;(COUNT($B$7:B589)/96),B589+0.0104166666666667,"")</f>
        <v/>
      </c>
    </row>
    <row r="591" spans="2:2" ht="14.25" customHeight="1" x14ac:dyDescent="0.3">
      <c r="B591" s="3" t="str">
        <f>IF('User Interface'!$C$127&gt;(COUNT($B$7:B590)/96),B590+0.0104166666666667,"")</f>
        <v/>
      </c>
    </row>
    <row r="592" spans="2:2" ht="14.25" customHeight="1" x14ac:dyDescent="0.3">
      <c r="B592" s="3" t="str">
        <f>IF('User Interface'!$C$127&gt;(COUNT($B$7:B591)/96),B591+0.0104166666666667,"")</f>
        <v/>
      </c>
    </row>
    <row r="593" spans="2:2" ht="14.25" customHeight="1" x14ac:dyDescent="0.3">
      <c r="B593" s="3" t="str">
        <f>IF('User Interface'!$C$127&gt;(COUNT($B$7:B592)/96),B592+0.0104166666666667,"")</f>
        <v/>
      </c>
    </row>
    <row r="594" spans="2:2" ht="14.25" customHeight="1" x14ac:dyDescent="0.3">
      <c r="B594" s="3" t="str">
        <f>IF('User Interface'!$C$127&gt;(COUNT($B$7:B593)/96),B593+0.0104166666666667,"")</f>
        <v/>
      </c>
    </row>
    <row r="595" spans="2:2" ht="14.25" customHeight="1" x14ac:dyDescent="0.3">
      <c r="B595" s="3" t="str">
        <f>IF('User Interface'!$C$127&gt;(COUNT($B$7:B594)/96),B594+0.0104166666666667,"")</f>
        <v/>
      </c>
    </row>
    <row r="596" spans="2:2" ht="14.25" customHeight="1" x14ac:dyDescent="0.3">
      <c r="B596" s="3" t="str">
        <f>IF('User Interface'!$C$127&gt;(COUNT($B$7:B595)/96),B595+0.0104166666666667,"")</f>
        <v/>
      </c>
    </row>
    <row r="597" spans="2:2" ht="14.25" customHeight="1" x14ac:dyDescent="0.3">
      <c r="B597" s="3" t="str">
        <f>IF('User Interface'!$C$127&gt;(COUNT($B$7:B596)/96),B596+0.0104166666666667,"")</f>
        <v/>
      </c>
    </row>
    <row r="598" spans="2:2" ht="14.25" customHeight="1" x14ac:dyDescent="0.3">
      <c r="B598" s="3" t="str">
        <f>IF('User Interface'!$C$127&gt;(COUNT($B$7:B597)/96),B597+0.0104166666666667,"")</f>
        <v/>
      </c>
    </row>
    <row r="599" spans="2:2" ht="14.25" customHeight="1" x14ac:dyDescent="0.3">
      <c r="B599" s="3" t="str">
        <f>IF('User Interface'!$C$127&gt;(COUNT($B$7:B598)/96),B598+0.0104166666666667,"")</f>
        <v/>
      </c>
    </row>
    <row r="600" spans="2:2" ht="14.25" customHeight="1" x14ac:dyDescent="0.3">
      <c r="B600" s="3" t="str">
        <f>IF('User Interface'!$C$127&gt;(COUNT($B$7:B599)/96),B599+0.0104166666666667,"")</f>
        <v/>
      </c>
    </row>
    <row r="601" spans="2:2" ht="14.25" customHeight="1" x14ac:dyDescent="0.3">
      <c r="B601" s="3" t="str">
        <f>IF('User Interface'!$C$127&gt;(COUNT($B$7:B600)/96),B600+0.0104166666666667,"")</f>
        <v/>
      </c>
    </row>
    <row r="602" spans="2:2" ht="14.25" customHeight="1" x14ac:dyDescent="0.3">
      <c r="B602" s="3" t="str">
        <f>IF('User Interface'!$C$127&gt;(COUNT($B$7:B601)/96),B601+0.0104166666666667,"")</f>
        <v/>
      </c>
    </row>
    <row r="603" spans="2:2" ht="14.25" customHeight="1" x14ac:dyDescent="0.3">
      <c r="B603" s="3" t="str">
        <f>IF('User Interface'!$C$127&gt;(COUNT($B$7:B602)/96),B602+0.0104166666666667,"")</f>
        <v/>
      </c>
    </row>
    <row r="604" spans="2:2" ht="14.25" customHeight="1" x14ac:dyDescent="0.3">
      <c r="B604" s="3" t="str">
        <f>IF('User Interface'!$C$127&gt;(COUNT($B$7:B603)/96),B603+0.0104166666666667,"")</f>
        <v/>
      </c>
    </row>
    <row r="605" spans="2:2" ht="14.25" customHeight="1" x14ac:dyDescent="0.3">
      <c r="B605" s="3" t="str">
        <f>IF('User Interface'!$C$127&gt;(COUNT($B$7:B604)/96),B604+0.0104166666666667,"")</f>
        <v/>
      </c>
    </row>
    <row r="606" spans="2:2" ht="14.25" customHeight="1" x14ac:dyDescent="0.3">
      <c r="B606" s="3" t="str">
        <f>IF('User Interface'!$C$127&gt;(COUNT($B$7:B605)/96),B605+0.0104166666666667,"")</f>
        <v/>
      </c>
    </row>
    <row r="607" spans="2:2" ht="14.25" customHeight="1" x14ac:dyDescent="0.3">
      <c r="B607" s="3" t="str">
        <f>IF('User Interface'!$C$127&gt;(COUNT($B$7:B606)/96),B606+0.0104166666666667,"")</f>
        <v/>
      </c>
    </row>
    <row r="608" spans="2:2" ht="14.25" customHeight="1" x14ac:dyDescent="0.3">
      <c r="B608" s="3" t="str">
        <f>IF('User Interface'!$C$127&gt;(COUNT($B$7:B607)/96),B607+0.0104166666666667,"")</f>
        <v/>
      </c>
    </row>
    <row r="609" spans="2:2" ht="14.25" customHeight="1" x14ac:dyDescent="0.3">
      <c r="B609" s="3" t="str">
        <f>IF('User Interface'!$C$127&gt;(COUNT($B$7:B608)/96),B608+0.0104166666666667,"")</f>
        <v/>
      </c>
    </row>
    <row r="610" spans="2:2" ht="14.25" customHeight="1" x14ac:dyDescent="0.3">
      <c r="B610" s="3" t="str">
        <f>IF('User Interface'!$C$127&gt;(COUNT($B$7:B609)/96),B609+0.0104166666666667,"")</f>
        <v/>
      </c>
    </row>
    <row r="611" spans="2:2" ht="14.25" customHeight="1" x14ac:dyDescent="0.3">
      <c r="B611" s="3" t="str">
        <f>IF('User Interface'!$C$127&gt;(COUNT($B$7:B610)/96),B610+0.0104166666666667,"")</f>
        <v/>
      </c>
    </row>
    <row r="612" spans="2:2" ht="14.25" customHeight="1" x14ac:dyDescent="0.3">
      <c r="B612" s="3" t="str">
        <f>IF('User Interface'!$C$127&gt;(COUNT($B$7:B611)/96),B611+0.0104166666666667,"")</f>
        <v/>
      </c>
    </row>
    <row r="613" spans="2:2" ht="14.25" customHeight="1" x14ac:dyDescent="0.3">
      <c r="B613" s="3" t="str">
        <f>IF('User Interface'!$C$127&gt;(COUNT($B$7:B612)/96),B612+0.0104166666666667,"")</f>
        <v/>
      </c>
    </row>
    <row r="614" spans="2:2" ht="14.25" customHeight="1" x14ac:dyDescent="0.3">
      <c r="B614" s="3" t="str">
        <f>IF('User Interface'!$C$127&gt;(COUNT($B$7:B613)/96),B613+0.0104166666666667,"")</f>
        <v/>
      </c>
    </row>
    <row r="615" spans="2:2" ht="14.25" customHeight="1" x14ac:dyDescent="0.3">
      <c r="B615" s="3" t="str">
        <f>IF('User Interface'!$C$127&gt;(COUNT($B$7:B614)/96),B614+0.0104166666666667,"")</f>
        <v/>
      </c>
    </row>
    <row r="616" spans="2:2" ht="14.25" customHeight="1" x14ac:dyDescent="0.3">
      <c r="B616" s="3" t="str">
        <f>IF('User Interface'!$C$127&gt;(COUNT($B$7:B615)/96),B615+0.0104166666666667,"")</f>
        <v/>
      </c>
    </row>
    <row r="617" spans="2:2" ht="14.25" customHeight="1" x14ac:dyDescent="0.3">
      <c r="B617" s="3" t="str">
        <f>IF('User Interface'!$C$127&gt;(COUNT($B$7:B616)/96),B616+0.0104166666666667,"")</f>
        <v/>
      </c>
    </row>
    <row r="618" spans="2:2" ht="14.25" customHeight="1" x14ac:dyDescent="0.3">
      <c r="B618" s="3" t="str">
        <f>IF('User Interface'!$C$127&gt;(COUNT($B$7:B617)/96),B617+0.0104166666666667,"")</f>
        <v/>
      </c>
    </row>
    <row r="619" spans="2:2" ht="14.25" customHeight="1" x14ac:dyDescent="0.3">
      <c r="B619" s="3" t="str">
        <f>IF('User Interface'!$C$127&gt;(COUNT($B$7:B618)/96),B618+0.0104166666666667,"")</f>
        <v/>
      </c>
    </row>
    <row r="620" spans="2:2" ht="14.25" customHeight="1" x14ac:dyDescent="0.3">
      <c r="B620" s="3" t="str">
        <f>IF('User Interface'!$C$127&gt;(COUNT($B$7:B619)/96),B619+0.0104166666666667,"")</f>
        <v/>
      </c>
    </row>
    <row r="621" spans="2:2" ht="14.25" customHeight="1" x14ac:dyDescent="0.3">
      <c r="B621" s="3" t="str">
        <f>IF('User Interface'!$C$127&gt;(COUNT($B$7:B620)/96),B620+0.0104166666666667,"")</f>
        <v/>
      </c>
    </row>
    <row r="622" spans="2:2" ht="14.25" customHeight="1" x14ac:dyDescent="0.3">
      <c r="B622" s="3" t="str">
        <f>IF('User Interface'!$C$127&gt;(COUNT($B$7:B621)/96),B621+0.0104166666666667,"")</f>
        <v/>
      </c>
    </row>
    <row r="623" spans="2:2" ht="14.25" customHeight="1" x14ac:dyDescent="0.3">
      <c r="B623" s="3" t="str">
        <f>IF('User Interface'!$C$127&gt;(COUNT($B$7:B622)/96),B622+0.0104166666666667,"")</f>
        <v/>
      </c>
    </row>
    <row r="624" spans="2:2" ht="14.25" customHeight="1" x14ac:dyDescent="0.3">
      <c r="B624" s="3" t="str">
        <f>IF('User Interface'!$C$127&gt;(COUNT($B$7:B623)/96),B623+0.0104166666666667,"")</f>
        <v/>
      </c>
    </row>
    <row r="625" spans="2:2" ht="14.25" customHeight="1" x14ac:dyDescent="0.3">
      <c r="B625" s="3" t="str">
        <f>IF('User Interface'!$C$127&gt;(COUNT($B$7:B624)/96),B624+0.0104166666666667,"")</f>
        <v/>
      </c>
    </row>
    <row r="626" spans="2:2" ht="14.25" customHeight="1" x14ac:dyDescent="0.3">
      <c r="B626" s="3" t="str">
        <f>IF('User Interface'!$C$127&gt;(COUNT($B$7:B625)/96),B625+0.0104166666666667,"")</f>
        <v/>
      </c>
    </row>
    <row r="627" spans="2:2" ht="14.25" customHeight="1" x14ac:dyDescent="0.3">
      <c r="B627" s="3" t="str">
        <f>IF('User Interface'!$C$127&gt;(COUNT($B$7:B626)/96),B626+0.0104166666666667,"")</f>
        <v/>
      </c>
    </row>
    <row r="628" spans="2:2" ht="14.25" customHeight="1" x14ac:dyDescent="0.3">
      <c r="B628" s="3" t="str">
        <f>IF('User Interface'!$C$127&gt;(COUNT($B$7:B627)/96),B627+0.0104166666666667,"")</f>
        <v/>
      </c>
    </row>
    <row r="629" spans="2:2" ht="14.25" customHeight="1" x14ac:dyDescent="0.3">
      <c r="B629" s="3" t="str">
        <f>IF('User Interface'!$C$127&gt;(COUNT($B$7:B628)/96),B628+0.0104166666666667,"")</f>
        <v/>
      </c>
    </row>
    <row r="630" spans="2:2" ht="14.25" customHeight="1" x14ac:dyDescent="0.3">
      <c r="B630" s="3" t="str">
        <f>IF('User Interface'!$C$127&gt;(COUNT($B$7:B629)/96),B629+0.0104166666666667,"")</f>
        <v/>
      </c>
    </row>
    <row r="631" spans="2:2" ht="14.25" customHeight="1" x14ac:dyDescent="0.3">
      <c r="B631" s="3" t="str">
        <f>IF('User Interface'!$C$127&gt;(COUNT($B$7:B630)/96),B630+0.0104166666666667,"")</f>
        <v/>
      </c>
    </row>
    <row r="632" spans="2:2" ht="14.25" customHeight="1" x14ac:dyDescent="0.3">
      <c r="B632" s="3" t="str">
        <f>IF('User Interface'!$C$127&gt;(COUNT($B$7:B631)/96),B631+0.0104166666666667,"")</f>
        <v/>
      </c>
    </row>
    <row r="633" spans="2:2" ht="14.25" customHeight="1" x14ac:dyDescent="0.3">
      <c r="B633" s="3" t="str">
        <f>IF('User Interface'!$C$127&gt;(COUNT($B$7:B632)/96),B632+0.0104166666666667,"")</f>
        <v/>
      </c>
    </row>
    <row r="634" spans="2:2" ht="14.25" customHeight="1" x14ac:dyDescent="0.3">
      <c r="B634" s="3" t="str">
        <f>IF('User Interface'!$C$127&gt;(COUNT($B$7:B633)/96),B633+0.0104166666666667,"")</f>
        <v/>
      </c>
    </row>
    <row r="635" spans="2:2" ht="14.25" customHeight="1" x14ac:dyDescent="0.3">
      <c r="B635" s="3" t="str">
        <f>IF('User Interface'!$C$127&gt;(COUNT($B$7:B634)/96),B634+0.0104166666666667,"")</f>
        <v/>
      </c>
    </row>
    <row r="636" spans="2:2" ht="14.25" customHeight="1" x14ac:dyDescent="0.3">
      <c r="B636" s="3" t="str">
        <f>IF('User Interface'!$C$127&gt;(COUNT($B$7:B635)/96),B635+0.0104166666666667,"")</f>
        <v/>
      </c>
    </row>
    <row r="637" spans="2:2" ht="14.25" customHeight="1" x14ac:dyDescent="0.3">
      <c r="B637" s="3" t="str">
        <f>IF('User Interface'!$C$127&gt;(COUNT($B$7:B636)/96),B636+0.0104166666666667,"")</f>
        <v/>
      </c>
    </row>
    <row r="638" spans="2:2" ht="14.25" customHeight="1" x14ac:dyDescent="0.3">
      <c r="B638" s="3" t="str">
        <f>IF('User Interface'!$C$127&gt;(COUNT($B$7:B637)/96),B637+0.0104166666666667,"")</f>
        <v/>
      </c>
    </row>
    <row r="639" spans="2:2" ht="14.25" customHeight="1" x14ac:dyDescent="0.3">
      <c r="B639" s="3" t="str">
        <f>IF('User Interface'!$C$127&gt;(COUNT($B$7:B638)/96),B638+0.0104166666666667,"")</f>
        <v/>
      </c>
    </row>
    <row r="640" spans="2:2" ht="14.25" customHeight="1" x14ac:dyDescent="0.3">
      <c r="B640" s="3" t="str">
        <f>IF('User Interface'!$C$127&gt;(COUNT($B$7:B639)/96),B639+0.0104166666666667,"")</f>
        <v/>
      </c>
    </row>
    <row r="641" spans="2:2" ht="14.25" customHeight="1" x14ac:dyDescent="0.3">
      <c r="B641" s="3" t="str">
        <f>IF('User Interface'!$C$127&gt;(COUNT($B$7:B640)/96),B640+0.0104166666666667,"")</f>
        <v/>
      </c>
    </row>
    <row r="642" spans="2:2" ht="14.25" customHeight="1" x14ac:dyDescent="0.3">
      <c r="B642" s="3" t="str">
        <f>IF('User Interface'!$C$127&gt;(COUNT($B$7:B641)/96),B641+0.0104166666666667,"")</f>
        <v/>
      </c>
    </row>
    <row r="643" spans="2:2" ht="14.25" customHeight="1" x14ac:dyDescent="0.3">
      <c r="B643" s="3" t="str">
        <f>IF('User Interface'!$C$127&gt;(COUNT($B$7:B642)/96),B642+0.0104166666666667,"")</f>
        <v/>
      </c>
    </row>
    <row r="644" spans="2:2" ht="14.25" customHeight="1" x14ac:dyDescent="0.3">
      <c r="B644" s="3" t="str">
        <f>IF('User Interface'!$C$127&gt;(COUNT($B$7:B643)/96),B643+0.0104166666666667,"")</f>
        <v/>
      </c>
    </row>
    <row r="645" spans="2:2" ht="14.25" customHeight="1" x14ac:dyDescent="0.3">
      <c r="B645" s="3" t="str">
        <f>IF('User Interface'!$C$127&gt;(COUNT($B$7:B644)/96),B644+0.0104166666666667,"")</f>
        <v/>
      </c>
    </row>
    <row r="646" spans="2:2" ht="14.25" customHeight="1" x14ac:dyDescent="0.3">
      <c r="B646" s="3" t="str">
        <f>IF('User Interface'!$C$127&gt;(COUNT($B$7:B645)/96),B645+0.0104166666666667,"")</f>
        <v/>
      </c>
    </row>
    <row r="647" spans="2:2" ht="14.25" customHeight="1" x14ac:dyDescent="0.3">
      <c r="B647" s="3" t="str">
        <f>IF('User Interface'!$C$127&gt;(COUNT($B$7:B646)/96),B646+0.0104166666666667,"")</f>
        <v/>
      </c>
    </row>
    <row r="648" spans="2:2" ht="14.25" customHeight="1" x14ac:dyDescent="0.3">
      <c r="B648" s="3" t="str">
        <f>IF('User Interface'!$C$127&gt;(COUNT($B$7:B647)/96),B647+0.0104166666666667,"")</f>
        <v/>
      </c>
    </row>
    <row r="649" spans="2:2" ht="14.25" customHeight="1" x14ac:dyDescent="0.3">
      <c r="B649" s="3" t="str">
        <f>IF('User Interface'!$C$127&gt;(COUNT($B$7:B648)/96),B648+0.0104166666666667,"")</f>
        <v/>
      </c>
    </row>
    <row r="650" spans="2:2" ht="14.25" customHeight="1" x14ac:dyDescent="0.3">
      <c r="B650" s="3" t="str">
        <f>IF('User Interface'!$C$127&gt;(COUNT($B$7:B649)/96),B649+0.0104166666666667,"")</f>
        <v/>
      </c>
    </row>
    <row r="651" spans="2:2" ht="14.25" customHeight="1" x14ac:dyDescent="0.3">
      <c r="B651" s="3" t="str">
        <f>IF('User Interface'!$C$127&gt;(COUNT($B$7:B650)/96),B650+0.0104166666666667,"")</f>
        <v/>
      </c>
    </row>
    <row r="652" spans="2:2" ht="14.25" customHeight="1" x14ac:dyDescent="0.3">
      <c r="B652" s="3" t="str">
        <f>IF('User Interface'!$C$127&gt;(COUNT($B$7:B651)/96),B651+0.0104166666666667,"")</f>
        <v/>
      </c>
    </row>
    <row r="653" spans="2:2" ht="14.25" customHeight="1" x14ac:dyDescent="0.3">
      <c r="B653" s="3" t="str">
        <f>IF('User Interface'!$C$127&gt;(COUNT($B$7:B652)/96),B652+0.0104166666666667,"")</f>
        <v/>
      </c>
    </row>
    <row r="654" spans="2:2" ht="14.25" customHeight="1" x14ac:dyDescent="0.3">
      <c r="B654" s="3" t="str">
        <f>IF('User Interface'!$C$127&gt;(COUNT($B$7:B653)/96),B653+0.0104166666666667,"")</f>
        <v/>
      </c>
    </row>
    <row r="655" spans="2:2" ht="14.25" customHeight="1" x14ac:dyDescent="0.3">
      <c r="B655" s="3" t="str">
        <f>IF('User Interface'!$C$127&gt;(COUNT($B$7:B654)/96),B654+0.0104166666666667,"")</f>
        <v/>
      </c>
    </row>
    <row r="656" spans="2:2" ht="14.25" customHeight="1" x14ac:dyDescent="0.3">
      <c r="B656" s="3" t="str">
        <f>IF('User Interface'!$C$127&gt;(COUNT($B$7:B655)/96),B655+0.0104166666666667,"")</f>
        <v/>
      </c>
    </row>
    <row r="657" spans="2:2" ht="14.25" customHeight="1" x14ac:dyDescent="0.3">
      <c r="B657" s="3" t="str">
        <f>IF('User Interface'!$C$127&gt;(COUNT($B$7:B656)/96),B656+0.0104166666666667,"")</f>
        <v/>
      </c>
    </row>
    <row r="658" spans="2:2" ht="14.25" customHeight="1" x14ac:dyDescent="0.3">
      <c r="B658" s="3" t="str">
        <f>IF('User Interface'!$C$127&gt;(COUNT($B$7:B657)/96),B657+0.0104166666666667,"")</f>
        <v/>
      </c>
    </row>
    <row r="659" spans="2:2" ht="14.25" customHeight="1" x14ac:dyDescent="0.3">
      <c r="B659" s="3" t="str">
        <f>IF('User Interface'!$C$127&gt;(COUNT($B$7:B658)/96),B658+0.0104166666666667,"")</f>
        <v/>
      </c>
    </row>
    <row r="660" spans="2:2" ht="14.25" customHeight="1" x14ac:dyDescent="0.3">
      <c r="B660" s="3" t="str">
        <f>IF('User Interface'!$C$127&gt;(COUNT($B$7:B659)/96),B659+0.0104166666666667,"")</f>
        <v/>
      </c>
    </row>
    <row r="661" spans="2:2" ht="14.25" customHeight="1" x14ac:dyDescent="0.3">
      <c r="B661" s="3" t="str">
        <f>IF('User Interface'!$C$127&gt;(COUNT($B$7:B660)/96),B660+0.0104166666666667,"")</f>
        <v/>
      </c>
    </row>
    <row r="662" spans="2:2" ht="14.25" customHeight="1" x14ac:dyDescent="0.3">
      <c r="B662" s="3" t="str">
        <f>IF('User Interface'!$C$127&gt;(COUNT($B$7:B661)/96),B661+0.0104166666666667,"")</f>
        <v/>
      </c>
    </row>
    <row r="663" spans="2:2" ht="14.25" customHeight="1" x14ac:dyDescent="0.3">
      <c r="B663" s="3" t="str">
        <f>IF('User Interface'!$C$127&gt;(COUNT($B$7:B662)/96),B662+0.0104166666666667,"")</f>
        <v/>
      </c>
    </row>
    <row r="664" spans="2:2" ht="14.25" customHeight="1" x14ac:dyDescent="0.3">
      <c r="B664" s="3" t="str">
        <f>IF('User Interface'!$C$127&gt;(COUNT($B$7:B663)/96),B663+0.0104166666666667,"")</f>
        <v/>
      </c>
    </row>
    <row r="665" spans="2:2" ht="14.25" customHeight="1" x14ac:dyDescent="0.3">
      <c r="B665" s="3" t="str">
        <f>IF('User Interface'!$C$127&gt;(COUNT($B$7:B664)/96),B664+0.0104166666666667,"")</f>
        <v/>
      </c>
    </row>
    <row r="666" spans="2:2" ht="14.25" customHeight="1" x14ac:dyDescent="0.3">
      <c r="B666" s="3" t="str">
        <f>IF('User Interface'!$C$127&gt;(COUNT($B$7:B665)/96),B665+0.0104166666666667,"")</f>
        <v/>
      </c>
    </row>
    <row r="667" spans="2:2" ht="14.25" customHeight="1" x14ac:dyDescent="0.3">
      <c r="B667" s="3" t="str">
        <f>IF('User Interface'!$C$127&gt;(COUNT($B$7:B666)/96),B666+0.0104166666666667,"")</f>
        <v/>
      </c>
    </row>
    <row r="668" spans="2:2" ht="14.25" customHeight="1" x14ac:dyDescent="0.3">
      <c r="B668" s="3" t="str">
        <f>IF('User Interface'!$C$127&gt;(COUNT($B$7:B667)/96),B667+0.0104166666666667,"")</f>
        <v/>
      </c>
    </row>
    <row r="669" spans="2:2" ht="14.25" customHeight="1" x14ac:dyDescent="0.3">
      <c r="B669" s="3" t="str">
        <f>IF('User Interface'!$C$127&gt;(COUNT($B$7:B668)/96),B668+0.0104166666666667,"")</f>
        <v/>
      </c>
    </row>
    <row r="670" spans="2:2" ht="14.25" customHeight="1" x14ac:dyDescent="0.3">
      <c r="B670" s="3" t="str">
        <f>IF('User Interface'!$C$127&gt;(COUNT($B$7:B669)/96),B669+0.0104166666666667,"")</f>
        <v/>
      </c>
    </row>
    <row r="671" spans="2:2" ht="14.25" customHeight="1" x14ac:dyDescent="0.3">
      <c r="B671" s="3" t="str">
        <f>IF('User Interface'!$C$127&gt;(COUNT($B$7:B670)/96),B670+0.0104166666666667,"")</f>
        <v/>
      </c>
    </row>
    <row r="672" spans="2:2" ht="14.25" customHeight="1" x14ac:dyDescent="0.3">
      <c r="B672" s="3" t="str">
        <f>IF('User Interface'!$C$127&gt;(COUNT($B$7:B671)/96),B671+0.0104166666666667,"")</f>
        <v/>
      </c>
    </row>
    <row r="673" spans="2:2" ht="14.25" customHeight="1" x14ac:dyDescent="0.3">
      <c r="B673" s="3" t="str">
        <f>IF('User Interface'!$C$127&gt;(COUNT($B$7:B672)/96),B672+0.0104166666666667,"")</f>
        <v/>
      </c>
    </row>
    <row r="674" spans="2:2" ht="14.25" customHeight="1" x14ac:dyDescent="0.3">
      <c r="B674" s="3" t="str">
        <f>IF('User Interface'!$C$127&gt;(COUNT($B$7:B673)/96),B673+0.0104166666666667,"")</f>
        <v/>
      </c>
    </row>
    <row r="675" spans="2:2" ht="14.25" customHeight="1" x14ac:dyDescent="0.3">
      <c r="B675" s="3" t="str">
        <f>IF('User Interface'!$C$127&gt;(COUNT($B$7:B674)/96),B674+0.0104166666666667,"")</f>
        <v/>
      </c>
    </row>
    <row r="676" spans="2:2" ht="14.25" customHeight="1" x14ac:dyDescent="0.3">
      <c r="B676" s="3" t="str">
        <f>IF('User Interface'!$C$127&gt;(COUNT($B$7:B675)/96),B675+0.0104166666666667,"")</f>
        <v/>
      </c>
    </row>
    <row r="677" spans="2:2" ht="14.25" customHeight="1" x14ac:dyDescent="0.3">
      <c r="B677" s="3" t="str">
        <f>IF('User Interface'!$C$127&gt;(COUNT($B$7:B676)/96),B676+0.0104166666666667,"")</f>
        <v/>
      </c>
    </row>
    <row r="678" spans="2:2" ht="14.25" customHeight="1" x14ac:dyDescent="0.3">
      <c r="B678" s="3" t="str">
        <f>IF('User Interface'!$C$127&gt;(COUNT($B$7:B677)/96),B677+0.0104166666666667,"")</f>
        <v/>
      </c>
    </row>
    <row r="679" spans="2:2" ht="14.25" customHeight="1" x14ac:dyDescent="0.3">
      <c r="B679" s="3"/>
    </row>
    <row r="680" spans="2:2" ht="14.25" customHeight="1" x14ac:dyDescent="0.3"/>
    <row r="681" spans="2:2" ht="14.25" customHeight="1" x14ac:dyDescent="0.3"/>
    <row r="682" spans="2:2" ht="14.25" customHeight="1" x14ac:dyDescent="0.3"/>
    <row r="683" spans="2:2" ht="14.25" customHeight="1" x14ac:dyDescent="0.3"/>
    <row r="684" spans="2:2" ht="14.25" customHeight="1" x14ac:dyDescent="0.3"/>
    <row r="685" spans="2:2" ht="14.25" customHeight="1" x14ac:dyDescent="0.3"/>
    <row r="686" spans="2:2" ht="14.25" customHeight="1" x14ac:dyDescent="0.3"/>
    <row r="687" spans="2:2" ht="14.25" customHeight="1" x14ac:dyDescent="0.3"/>
    <row r="688" spans="2:2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</sheetData>
  <mergeCells count="4">
    <mergeCell ref="D5:J5"/>
    <mergeCell ref="EF5:EH5"/>
    <mergeCell ref="EJ5:EL5"/>
    <mergeCell ref="EM5:EO5"/>
  </mergeCells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C544-F1AB-402C-B20F-D7B81E4EA9E3}">
  <sheetPr codeName="Sheet21"/>
  <dimension ref="B2:CC1003"/>
  <sheetViews>
    <sheetView zoomScale="80" zoomScaleNormal="80" workbookViewId="0"/>
  </sheetViews>
  <sheetFormatPr defaultColWidth="14.44140625" defaultRowHeight="15" customHeight="1" x14ac:dyDescent="0.3"/>
  <cols>
    <col min="1" max="1" width="8.6640625" customWidth="1"/>
    <col min="2" max="2" width="12.77734375" customWidth="1"/>
    <col min="3" max="3" width="4.77734375" customWidth="1"/>
    <col min="4" max="4" width="12.77734375" customWidth="1"/>
    <col min="5" max="6" width="13.109375" customWidth="1"/>
    <col min="7" max="10" width="12.77734375" customWidth="1"/>
    <col min="11" max="11" width="4.77734375" customWidth="1"/>
    <col min="12" max="12" width="11.44140625" customWidth="1"/>
    <col min="13" max="13" width="8.33203125" customWidth="1"/>
    <col min="14" max="14" width="11.109375" customWidth="1"/>
    <col min="15" max="15" width="4.77734375" customWidth="1"/>
    <col min="16" max="17" width="8.77734375" customWidth="1"/>
    <col min="18" max="18" width="4.77734375" customWidth="1"/>
    <col min="19" max="75" width="10.77734375" customWidth="1"/>
    <col min="76" max="76" width="12.77734375" customWidth="1"/>
  </cols>
  <sheetData>
    <row r="2" spans="2:81" ht="15" customHeight="1" x14ac:dyDescent="0.3">
      <c r="U2" s="93"/>
    </row>
    <row r="3" spans="2:81" ht="15" customHeight="1" x14ac:dyDescent="0.3">
      <c r="U3" s="93"/>
    </row>
    <row r="4" spans="2:81" ht="14.25" customHeight="1" x14ac:dyDescent="0.3">
      <c r="U4" s="93"/>
    </row>
    <row r="5" spans="2:81" ht="14.4" x14ac:dyDescent="0.3">
      <c r="D5" s="356" t="s">
        <v>193</v>
      </c>
      <c r="E5" s="357"/>
      <c r="F5" s="357"/>
      <c r="G5" s="357"/>
      <c r="H5" s="357"/>
      <c r="I5" s="357"/>
      <c r="J5" s="364"/>
      <c r="L5" s="367" t="s">
        <v>209</v>
      </c>
      <c r="M5" s="368"/>
      <c r="N5" s="368"/>
      <c r="P5" s="1"/>
      <c r="S5" s="365" t="s">
        <v>197</v>
      </c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  <c r="AE5" s="366"/>
      <c r="AF5" s="366"/>
      <c r="AG5" s="366"/>
      <c r="AH5" s="366"/>
      <c r="AI5" s="366"/>
      <c r="AJ5" s="366"/>
      <c r="AK5" s="366"/>
      <c r="AL5" s="366"/>
      <c r="AM5" s="366"/>
      <c r="AN5" s="366"/>
      <c r="AO5" s="366"/>
      <c r="AP5" s="366"/>
      <c r="AQ5" s="366"/>
      <c r="AR5" s="366"/>
      <c r="AS5" s="366"/>
      <c r="AT5" s="366"/>
      <c r="AU5" s="366"/>
      <c r="AV5" s="366"/>
      <c r="AW5" s="366"/>
      <c r="AX5" s="366"/>
      <c r="AY5" s="366"/>
      <c r="AZ5" s="366"/>
      <c r="BA5" s="366"/>
      <c r="BB5" s="366"/>
      <c r="BC5" s="366"/>
      <c r="BD5" s="366"/>
      <c r="BE5" s="366"/>
      <c r="BF5" s="366"/>
      <c r="BG5" s="366"/>
      <c r="BH5" s="366"/>
      <c r="BI5" s="366"/>
      <c r="BJ5" s="366"/>
      <c r="BK5" s="366"/>
      <c r="BL5" s="366"/>
      <c r="BM5" s="366"/>
      <c r="BN5" s="366"/>
      <c r="BO5" s="366"/>
      <c r="BP5" s="366"/>
      <c r="BQ5" s="366"/>
      <c r="BR5" s="366"/>
      <c r="BS5" s="366"/>
      <c r="BT5" s="366"/>
      <c r="BU5" s="366"/>
      <c r="BV5" s="366"/>
      <c r="BW5" s="366"/>
      <c r="BX5" s="2"/>
    </row>
    <row r="6" spans="2:81" s="5" customFormat="1" ht="86.4" x14ac:dyDescent="0.3">
      <c r="B6" s="8" t="s">
        <v>48</v>
      </c>
      <c r="C6"/>
      <c r="D6" s="9" t="s">
        <v>3</v>
      </c>
      <c r="E6" s="9" t="s">
        <v>247</v>
      </c>
      <c r="F6" s="9" t="s">
        <v>248</v>
      </c>
      <c r="G6" s="10" t="s">
        <v>208</v>
      </c>
      <c r="H6" s="9" t="s">
        <v>5</v>
      </c>
      <c r="I6" s="9" t="s">
        <v>158</v>
      </c>
      <c r="J6" s="9" t="s">
        <v>211</v>
      </c>
      <c r="L6" s="9" t="s">
        <v>3</v>
      </c>
      <c r="M6" s="9" t="s">
        <v>4</v>
      </c>
      <c r="N6" s="10" t="s">
        <v>208</v>
      </c>
      <c r="O6" s="1"/>
      <c r="P6" s="1"/>
      <c r="Q6" s="1"/>
      <c r="S6" s="9" t="s">
        <v>307</v>
      </c>
      <c r="T6" s="9" t="s">
        <v>12</v>
      </c>
      <c r="U6" s="9" t="s">
        <v>19</v>
      </c>
      <c r="V6" s="9" t="s">
        <v>29</v>
      </c>
      <c r="W6" s="9" t="s">
        <v>98</v>
      </c>
      <c r="X6" s="9" t="s">
        <v>287</v>
      </c>
      <c r="Y6" s="9" t="s">
        <v>119</v>
      </c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2"/>
      <c r="BZ6"/>
      <c r="CC6"/>
    </row>
    <row r="7" spans="2:81" ht="14.25" customHeight="1" x14ac:dyDescent="0.3">
      <c r="B7" s="3">
        <f>'User Interface'!E127</f>
        <v>0</v>
      </c>
      <c r="D7">
        <v>0.54049999999999998</v>
      </c>
      <c r="G7">
        <v>0</v>
      </c>
      <c r="J7">
        <v>1</v>
      </c>
      <c r="L7">
        <v>0.9812326388888889</v>
      </c>
      <c r="N7">
        <v>1</v>
      </c>
      <c r="S7">
        <v>1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</row>
    <row r="8" spans="2:81" ht="14.25" customHeight="1" x14ac:dyDescent="0.3">
      <c r="B8" s="3">
        <f>B7+0.0104166666666667</f>
        <v>1.0416666666666701E-2</v>
      </c>
      <c r="D8">
        <v>0.54049999999999998</v>
      </c>
      <c r="G8">
        <v>0</v>
      </c>
      <c r="J8">
        <v>1</v>
      </c>
      <c r="L8">
        <v>0.96246527777777779</v>
      </c>
      <c r="N8">
        <v>1</v>
      </c>
      <c r="S8">
        <v>1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</row>
    <row r="9" spans="2:81" ht="14.25" customHeight="1" x14ac:dyDescent="0.3">
      <c r="B9" s="3">
        <f t="shared" ref="B9:B72" si="0">B8+0.0104166666666667</f>
        <v>2.0833333333333402E-2</v>
      </c>
      <c r="D9">
        <v>2.6116438356164381E-2</v>
      </c>
      <c r="G9">
        <v>0</v>
      </c>
      <c r="J9">
        <v>1</v>
      </c>
      <c r="L9">
        <v>0.96155845700152209</v>
      </c>
      <c r="N9">
        <v>1</v>
      </c>
      <c r="S9">
        <v>1</v>
      </c>
      <c r="T9">
        <v>0</v>
      </c>
      <c r="U9">
        <v>0</v>
      </c>
      <c r="V9">
        <v>1</v>
      </c>
      <c r="W9">
        <v>1</v>
      </c>
      <c r="X9">
        <v>0</v>
      </c>
      <c r="Y9">
        <v>0</v>
      </c>
    </row>
    <row r="10" spans="2:81" ht="14.25" customHeight="1" x14ac:dyDescent="0.3">
      <c r="B10" s="3">
        <f t="shared" si="0"/>
        <v>3.1250000000000104E-2</v>
      </c>
      <c r="D10">
        <v>2.6116438356164381E-2</v>
      </c>
      <c r="G10">
        <v>0</v>
      </c>
      <c r="J10">
        <v>1</v>
      </c>
      <c r="L10">
        <v>0.96065163622526639</v>
      </c>
      <c r="N10">
        <v>1</v>
      </c>
      <c r="S10">
        <v>1</v>
      </c>
      <c r="T10">
        <v>0</v>
      </c>
      <c r="U10">
        <v>0</v>
      </c>
      <c r="V10">
        <v>1</v>
      </c>
      <c r="W10">
        <v>1</v>
      </c>
      <c r="X10">
        <v>0</v>
      </c>
      <c r="Y10">
        <v>0</v>
      </c>
    </row>
    <row r="11" spans="2:81" ht="14.25" customHeight="1" x14ac:dyDescent="0.3">
      <c r="B11" s="3">
        <f t="shared" si="0"/>
        <v>4.1666666666666803E-2</v>
      </c>
      <c r="D11">
        <v>0.54049999999999998</v>
      </c>
      <c r="G11">
        <v>0</v>
      </c>
      <c r="J11">
        <v>1</v>
      </c>
      <c r="L11">
        <v>0.94188427511415529</v>
      </c>
      <c r="N11">
        <v>1</v>
      </c>
      <c r="S11">
        <v>1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</row>
    <row r="12" spans="2:81" ht="14.25" customHeight="1" x14ac:dyDescent="0.3">
      <c r="B12" s="3">
        <f t="shared" si="0"/>
        <v>5.2083333333333502E-2</v>
      </c>
      <c r="D12">
        <v>0.54049999999999998</v>
      </c>
      <c r="G12">
        <v>0</v>
      </c>
      <c r="J12">
        <v>1</v>
      </c>
      <c r="L12">
        <v>0.92311691400304419</v>
      </c>
      <c r="N12">
        <v>1</v>
      </c>
      <c r="S12">
        <v>1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</row>
    <row r="13" spans="2:81" ht="14.25" customHeight="1" x14ac:dyDescent="0.3">
      <c r="B13" s="3">
        <f t="shared" si="0"/>
        <v>6.2500000000000208E-2</v>
      </c>
      <c r="D13">
        <v>0.56611643835616443</v>
      </c>
      <c r="G13">
        <v>0</v>
      </c>
      <c r="J13">
        <v>1</v>
      </c>
      <c r="L13">
        <v>0.90346009322678844</v>
      </c>
      <c r="N13">
        <v>1</v>
      </c>
      <c r="S13">
        <v>1</v>
      </c>
      <c r="T13">
        <v>0</v>
      </c>
      <c r="U13">
        <v>0</v>
      </c>
      <c r="V13">
        <v>1</v>
      </c>
      <c r="W13">
        <v>1</v>
      </c>
      <c r="X13">
        <v>0</v>
      </c>
      <c r="Y13">
        <v>0</v>
      </c>
    </row>
    <row r="14" spans="2:81" ht="14.25" customHeight="1" x14ac:dyDescent="0.3">
      <c r="B14" s="3">
        <f t="shared" si="0"/>
        <v>7.2916666666666907E-2</v>
      </c>
      <c r="D14">
        <v>2.6116438356164381E-2</v>
      </c>
      <c r="G14">
        <v>0</v>
      </c>
      <c r="J14">
        <v>1</v>
      </c>
      <c r="L14">
        <v>0.90255327245053274</v>
      </c>
      <c r="N14">
        <v>1</v>
      </c>
      <c r="S14">
        <v>1</v>
      </c>
      <c r="T14">
        <v>0</v>
      </c>
      <c r="U14">
        <v>0</v>
      </c>
      <c r="V14">
        <v>1</v>
      </c>
      <c r="W14">
        <v>1</v>
      </c>
      <c r="X14">
        <v>0</v>
      </c>
      <c r="Y14">
        <v>0</v>
      </c>
    </row>
    <row r="15" spans="2:81" ht="14.25" customHeight="1" x14ac:dyDescent="0.3">
      <c r="B15" s="3">
        <f t="shared" si="0"/>
        <v>8.3333333333333606E-2</v>
      </c>
      <c r="D15">
        <v>0.54049999999999998</v>
      </c>
      <c r="G15">
        <v>0</v>
      </c>
      <c r="J15">
        <v>1</v>
      </c>
      <c r="L15">
        <v>0.88378591133942164</v>
      </c>
      <c r="N15">
        <v>1</v>
      </c>
      <c r="S15">
        <v>1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</row>
    <row r="16" spans="2:81" ht="14.25" customHeight="1" x14ac:dyDescent="0.3">
      <c r="B16" s="3">
        <f t="shared" si="0"/>
        <v>9.3750000000000305E-2</v>
      </c>
      <c r="D16">
        <v>0.54049999999999998</v>
      </c>
      <c r="G16">
        <v>0</v>
      </c>
      <c r="J16">
        <v>1</v>
      </c>
      <c r="L16">
        <v>0.86501855022831053</v>
      </c>
      <c r="N16">
        <v>1</v>
      </c>
      <c r="S16">
        <v>1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</row>
    <row r="17" spans="2:25" ht="14.25" customHeight="1" x14ac:dyDescent="0.3">
      <c r="B17" s="3">
        <f t="shared" si="0"/>
        <v>0.104166666666667</v>
      </c>
      <c r="D17">
        <v>0.56611643835616443</v>
      </c>
      <c r="G17">
        <v>0</v>
      </c>
      <c r="J17">
        <v>1</v>
      </c>
      <c r="L17">
        <v>0.84536172945205479</v>
      </c>
      <c r="N17">
        <v>1</v>
      </c>
      <c r="S17">
        <v>1</v>
      </c>
      <c r="T17">
        <v>0</v>
      </c>
      <c r="U17">
        <v>0</v>
      </c>
      <c r="V17">
        <v>1</v>
      </c>
      <c r="W17">
        <v>1</v>
      </c>
      <c r="X17">
        <v>0</v>
      </c>
      <c r="Y17">
        <v>0</v>
      </c>
    </row>
    <row r="18" spans="2:25" ht="14.25" customHeight="1" x14ac:dyDescent="0.3">
      <c r="B18" s="3">
        <f t="shared" si="0"/>
        <v>0.1145833333333337</v>
      </c>
      <c r="D18">
        <v>2.6116438356164381E-2</v>
      </c>
      <c r="G18">
        <v>0</v>
      </c>
      <c r="J18">
        <v>1</v>
      </c>
      <c r="L18">
        <v>0.84445490867579909</v>
      </c>
      <c r="N18">
        <v>1</v>
      </c>
      <c r="S18">
        <v>1</v>
      </c>
      <c r="T18">
        <v>0</v>
      </c>
      <c r="U18">
        <v>0</v>
      </c>
      <c r="V18">
        <v>1</v>
      </c>
      <c r="W18">
        <v>1</v>
      </c>
      <c r="X18">
        <v>0</v>
      </c>
      <c r="Y18">
        <v>0</v>
      </c>
    </row>
    <row r="19" spans="2:25" ht="14.25" customHeight="1" x14ac:dyDescent="0.3">
      <c r="B19" s="3">
        <f t="shared" si="0"/>
        <v>0.12500000000000042</v>
      </c>
      <c r="D19">
        <v>0.54049999999999998</v>
      </c>
      <c r="G19">
        <v>0</v>
      </c>
      <c r="J19">
        <v>1</v>
      </c>
      <c r="L19">
        <v>0.82568754756468798</v>
      </c>
      <c r="N19">
        <v>1</v>
      </c>
      <c r="S19">
        <v>1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</row>
    <row r="20" spans="2:25" ht="14.25" customHeight="1" x14ac:dyDescent="0.3">
      <c r="B20" s="3">
        <f t="shared" si="0"/>
        <v>0.13541666666666713</v>
      </c>
      <c r="D20">
        <v>0.54049999999999998</v>
      </c>
      <c r="G20">
        <v>0</v>
      </c>
      <c r="J20">
        <v>1</v>
      </c>
      <c r="L20">
        <v>0.80692018645357688</v>
      </c>
      <c r="N20">
        <v>1</v>
      </c>
      <c r="S20">
        <v>1</v>
      </c>
      <c r="T20">
        <v>0</v>
      </c>
      <c r="U20">
        <v>0</v>
      </c>
      <c r="V20">
        <v>1</v>
      </c>
      <c r="W20">
        <v>0</v>
      </c>
      <c r="X20">
        <v>0</v>
      </c>
      <c r="Y20">
        <v>0</v>
      </c>
    </row>
    <row r="21" spans="2:25" ht="14.25" customHeight="1" x14ac:dyDescent="0.3">
      <c r="B21" s="3">
        <f t="shared" si="0"/>
        <v>0.14583333333333384</v>
      </c>
      <c r="D21">
        <v>0.56611643835616443</v>
      </c>
      <c r="G21">
        <v>0</v>
      </c>
      <c r="J21">
        <v>1</v>
      </c>
      <c r="L21">
        <v>0.78726336567732114</v>
      </c>
      <c r="N21">
        <v>1</v>
      </c>
      <c r="S21">
        <v>1</v>
      </c>
      <c r="T21">
        <v>0</v>
      </c>
      <c r="U21">
        <v>0</v>
      </c>
      <c r="V21">
        <v>1</v>
      </c>
      <c r="W21">
        <v>1</v>
      </c>
      <c r="X21">
        <v>0</v>
      </c>
      <c r="Y21">
        <v>0</v>
      </c>
    </row>
    <row r="22" spans="2:25" ht="14.25" customHeight="1" x14ac:dyDescent="0.3">
      <c r="B22" s="3">
        <f t="shared" si="0"/>
        <v>0.15625000000000056</v>
      </c>
      <c r="D22">
        <v>2.6116438356164381E-2</v>
      </c>
      <c r="G22">
        <v>0</v>
      </c>
      <c r="J22">
        <v>1</v>
      </c>
      <c r="L22">
        <v>0.78635654490106544</v>
      </c>
      <c r="N22">
        <v>1</v>
      </c>
      <c r="S22">
        <v>1</v>
      </c>
      <c r="T22">
        <v>0</v>
      </c>
      <c r="U22">
        <v>0</v>
      </c>
      <c r="V22">
        <v>1</v>
      </c>
      <c r="W22">
        <v>1</v>
      </c>
      <c r="X22">
        <v>0</v>
      </c>
      <c r="Y22">
        <v>0</v>
      </c>
    </row>
    <row r="23" spans="2:25" ht="14.25" customHeight="1" x14ac:dyDescent="0.3">
      <c r="B23" s="3">
        <f t="shared" si="0"/>
        <v>0.16666666666666727</v>
      </c>
      <c r="D23">
        <v>0.54049999999999998</v>
      </c>
      <c r="G23">
        <v>0</v>
      </c>
      <c r="J23">
        <v>1</v>
      </c>
      <c r="L23">
        <v>0.76758918378995433</v>
      </c>
      <c r="N23">
        <v>1</v>
      </c>
      <c r="S23">
        <v>1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</row>
    <row r="24" spans="2:25" ht="14.25" customHeight="1" x14ac:dyDescent="0.3">
      <c r="B24" s="3">
        <f t="shared" si="0"/>
        <v>0.17708333333333398</v>
      </c>
      <c r="D24">
        <v>0.54049999999999998</v>
      </c>
      <c r="G24">
        <v>0</v>
      </c>
      <c r="J24">
        <v>1</v>
      </c>
      <c r="L24">
        <v>0.74882182267884323</v>
      </c>
      <c r="N24">
        <v>1</v>
      </c>
      <c r="S24">
        <v>1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</row>
    <row r="25" spans="2:25" ht="14.25" customHeight="1" x14ac:dyDescent="0.3">
      <c r="B25" s="3">
        <f t="shared" si="0"/>
        <v>0.18750000000000069</v>
      </c>
      <c r="D25">
        <v>0.56611643835616443</v>
      </c>
      <c r="G25">
        <v>0</v>
      </c>
      <c r="J25">
        <v>1</v>
      </c>
      <c r="L25">
        <v>0.72916500190258748</v>
      </c>
      <c r="N25">
        <v>1</v>
      </c>
      <c r="S25">
        <v>1</v>
      </c>
      <c r="T25">
        <v>0</v>
      </c>
      <c r="U25">
        <v>0</v>
      </c>
      <c r="V25">
        <v>1</v>
      </c>
      <c r="W25">
        <v>1</v>
      </c>
      <c r="X25">
        <v>0</v>
      </c>
      <c r="Y25">
        <v>0</v>
      </c>
    </row>
    <row r="26" spans="2:25" ht="14.25" customHeight="1" x14ac:dyDescent="0.3">
      <c r="B26" s="3">
        <f t="shared" si="0"/>
        <v>0.19791666666666741</v>
      </c>
      <c r="D26">
        <v>2.6116438356164381E-2</v>
      </c>
      <c r="G26">
        <v>0</v>
      </c>
      <c r="J26">
        <v>1</v>
      </c>
      <c r="L26">
        <v>0.72825818112633178</v>
      </c>
      <c r="N26">
        <v>1</v>
      </c>
      <c r="S26">
        <v>1</v>
      </c>
      <c r="T26">
        <v>0</v>
      </c>
      <c r="U26">
        <v>0</v>
      </c>
      <c r="V26">
        <v>1</v>
      </c>
      <c r="W26">
        <v>1</v>
      </c>
      <c r="X26">
        <v>0</v>
      </c>
      <c r="Y26">
        <v>0</v>
      </c>
    </row>
    <row r="27" spans="2:25" ht="14.25" customHeight="1" x14ac:dyDescent="0.3">
      <c r="B27" s="3">
        <f t="shared" si="0"/>
        <v>0.20833333333333412</v>
      </c>
      <c r="D27">
        <v>0.54049999999999998</v>
      </c>
      <c r="G27">
        <v>0</v>
      </c>
      <c r="J27">
        <v>1</v>
      </c>
      <c r="L27">
        <v>0.70949082001522068</v>
      </c>
      <c r="N27">
        <v>1</v>
      </c>
      <c r="S27">
        <v>1</v>
      </c>
      <c r="T27">
        <v>0</v>
      </c>
      <c r="U27">
        <v>0</v>
      </c>
      <c r="V27">
        <v>1</v>
      </c>
      <c r="W27">
        <v>0</v>
      </c>
      <c r="X27">
        <v>0</v>
      </c>
      <c r="Y27">
        <v>0</v>
      </c>
    </row>
    <row r="28" spans="2:25" ht="14.25" customHeight="1" x14ac:dyDescent="0.3">
      <c r="B28" s="3">
        <f t="shared" si="0"/>
        <v>0.21875000000000083</v>
      </c>
      <c r="D28">
        <v>0.54049999999999998</v>
      </c>
      <c r="G28">
        <v>0</v>
      </c>
      <c r="J28">
        <v>1</v>
      </c>
      <c r="L28">
        <v>0.69072345890410958</v>
      </c>
      <c r="N28">
        <v>1</v>
      </c>
      <c r="S28">
        <v>1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</row>
    <row r="29" spans="2:25" ht="14.25" customHeight="1" x14ac:dyDescent="0.3">
      <c r="B29" s="3">
        <f t="shared" si="0"/>
        <v>0.22916666666666755</v>
      </c>
      <c r="D29">
        <v>0.56611643835616443</v>
      </c>
      <c r="G29">
        <v>0</v>
      </c>
      <c r="J29">
        <v>1</v>
      </c>
      <c r="L29">
        <v>0.67106663812785383</v>
      </c>
      <c r="N29">
        <v>1</v>
      </c>
      <c r="S29">
        <v>1</v>
      </c>
      <c r="T29">
        <v>0</v>
      </c>
      <c r="U29">
        <v>0</v>
      </c>
      <c r="V29">
        <v>1</v>
      </c>
      <c r="W29">
        <v>1</v>
      </c>
      <c r="X29">
        <v>0</v>
      </c>
      <c r="Y29">
        <v>0</v>
      </c>
    </row>
    <row r="30" spans="2:25" ht="14.25" customHeight="1" x14ac:dyDescent="0.3">
      <c r="B30" s="3">
        <f t="shared" si="0"/>
        <v>0.23958333333333426</v>
      </c>
      <c r="D30">
        <v>2.6116438356164381E-2</v>
      </c>
      <c r="G30">
        <v>0</v>
      </c>
      <c r="J30">
        <v>1</v>
      </c>
      <c r="L30">
        <v>0.67015981735159813</v>
      </c>
      <c r="N30">
        <v>1</v>
      </c>
      <c r="S30">
        <v>1</v>
      </c>
      <c r="T30">
        <v>0</v>
      </c>
      <c r="U30">
        <v>0</v>
      </c>
      <c r="V30">
        <v>1</v>
      </c>
      <c r="W30">
        <v>1</v>
      </c>
      <c r="X30">
        <v>0</v>
      </c>
      <c r="Y30">
        <v>0</v>
      </c>
    </row>
    <row r="31" spans="2:25" ht="14.25" customHeight="1" x14ac:dyDescent="0.3">
      <c r="B31" s="3">
        <f t="shared" si="0"/>
        <v>0.25000000000000094</v>
      </c>
      <c r="D31">
        <v>0.54049999999999998</v>
      </c>
      <c r="G31">
        <v>0</v>
      </c>
      <c r="J31">
        <v>1</v>
      </c>
      <c r="L31">
        <v>0.65139245624048703</v>
      </c>
      <c r="N31">
        <v>1</v>
      </c>
      <c r="S31">
        <v>1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</row>
    <row r="32" spans="2:25" ht="14.25" customHeight="1" x14ac:dyDescent="0.3">
      <c r="B32" s="3">
        <f t="shared" si="0"/>
        <v>0.26041666666666763</v>
      </c>
      <c r="D32">
        <v>0.54049999999999998</v>
      </c>
      <c r="G32">
        <v>0</v>
      </c>
      <c r="J32">
        <v>1</v>
      </c>
      <c r="L32">
        <v>0.63262509512937593</v>
      </c>
      <c r="N32">
        <v>1</v>
      </c>
      <c r="S32">
        <v>1</v>
      </c>
      <c r="T32">
        <v>0</v>
      </c>
      <c r="U32">
        <v>0</v>
      </c>
      <c r="V32">
        <v>1</v>
      </c>
      <c r="W32">
        <v>0</v>
      </c>
      <c r="X32">
        <v>0</v>
      </c>
      <c r="Y32">
        <v>0</v>
      </c>
    </row>
    <row r="33" spans="2:25" ht="14.25" customHeight="1" x14ac:dyDescent="0.3">
      <c r="B33" s="3">
        <f t="shared" si="0"/>
        <v>0.27083333333333431</v>
      </c>
      <c r="D33">
        <v>0.56611643835616443</v>
      </c>
      <c r="G33">
        <v>0</v>
      </c>
      <c r="J33">
        <v>1</v>
      </c>
      <c r="L33">
        <v>0.61296827435312018</v>
      </c>
      <c r="N33">
        <v>1</v>
      </c>
      <c r="S33">
        <v>1</v>
      </c>
      <c r="T33">
        <v>0</v>
      </c>
      <c r="U33">
        <v>0</v>
      </c>
      <c r="V33">
        <v>1</v>
      </c>
      <c r="W33">
        <v>1</v>
      </c>
      <c r="X33">
        <v>0</v>
      </c>
      <c r="Y33">
        <v>0</v>
      </c>
    </row>
    <row r="34" spans="2:25" ht="14.25" customHeight="1" x14ac:dyDescent="0.3">
      <c r="B34" s="3">
        <f t="shared" si="0"/>
        <v>0.281250000000001</v>
      </c>
      <c r="D34">
        <v>2.6116438356164381E-2</v>
      </c>
      <c r="G34">
        <v>0</v>
      </c>
      <c r="J34">
        <v>1</v>
      </c>
      <c r="L34">
        <v>0.61206145357686448</v>
      </c>
      <c r="N34">
        <v>1</v>
      </c>
      <c r="S34">
        <v>1</v>
      </c>
      <c r="T34">
        <v>0</v>
      </c>
      <c r="U34">
        <v>0</v>
      </c>
      <c r="V34">
        <v>1</v>
      </c>
      <c r="W34">
        <v>1</v>
      </c>
      <c r="X34">
        <v>0</v>
      </c>
      <c r="Y34">
        <v>0</v>
      </c>
    </row>
    <row r="35" spans="2:25" ht="14.25" customHeight="1" x14ac:dyDescent="0.3">
      <c r="B35" s="3">
        <f t="shared" si="0"/>
        <v>0.29166666666666768</v>
      </c>
      <c r="D35">
        <v>0.54049999999999998</v>
      </c>
      <c r="G35">
        <v>0</v>
      </c>
      <c r="J35">
        <v>1</v>
      </c>
      <c r="L35">
        <v>0.59329409246575338</v>
      </c>
      <c r="N35">
        <v>1</v>
      </c>
      <c r="S35">
        <v>1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</row>
    <row r="36" spans="2:25" ht="14.25" customHeight="1" x14ac:dyDescent="0.3">
      <c r="B36" s="3">
        <f t="shared" si="0"/>
        <v>0.30208333333333437</v>
      </c>
      <c r="D36">
        <v>0.54049999999999998</v>
      </c>
      <c r="G36">
        <v>0</v>
      </c>
      <c r="J36">
        <v>1</v>
      </c>
      <c r="L36">
        <v>0.57452673135464227</v>
      </c>
      <c r="N36">
        <v>1</v>
      </c>
      <c r="S36">
        <v>1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</row>
    <row r="37" spans="2:25" ht="14.25" customHeight="1" x14ac:dyDescent="0.3">
      <c r="B37" s="3">
        <f t="shared" si="0"/>
        <v>0.31250000000000105</v>
      </c>
      <c r="D37">
        <v>0.56611643835616443</v>
      </c>
      <c r="G37">
        <v>0</v>
      </c>
      <c r="J37">
        <v>1</v>
      </c>
      <c r="L37">
        <v>0.55486991057838653</v>
      </c>
      <c r="N37">
        <v>1</v>
      </c>
      <c r="S37">
        <v>1</v>
      </c>
      <c r="T37">
        <v>0</v>
      </c>
      <c r="U37">
        <v>0</v>
      </c>
      <c r="V37">
        <v>1</v>
      </c>
      <c r="W37">
        <v>1</v>
      </c>
      <c r="X37">
        <v>0</v>
      </c>
      <c r="Y37">
        <v>0</v>
      </c>
    </row>
    <row r="38" spans="2:25" ht="14.25" customHeight="1" x14ac:dyDescent="0.3">
      <c r="B38" s="3">
        <f t="shared" si="0"/>
        <v>0.32291666666666774</v>
      </c>
      <c r="D38">
        <v>2.6116438356164381E-2</v>
      </c>
      <c r="G38">
        <v>0</v>
      </c>
      <c r="J38">
        <v>1</v>
      </c>
      <c r="L38">
        <v>0.55396308980213083</v>
      </c>
      <c r="N38">
        <v>1</v>
      </c>
      <c r="S38">
        <v>1</v>
      </c>
      <c r="T38">
        <v>0</v>
      </c>
      <c r="U38">
        <v>0</v>
      </c>
      <c r="V38">
        <v>1</v>
      </c>
      <c r="W38">
        <v>1</v>
      </c>
      <c r="X38">
        <v>0</v>
      </c>
      <c r="Y38">
        <v>0</v>
      </c>
    </row>
    <row r="39" spans="2:25" ht="14.25" customHeight="1" x14ac:dyDescent="0.3">
      <c r="B39" s="3">
        <f t="shared" si="0"/>
        <v>0.33333333333333443</v>
      </c>
      <c r="D39">
        <v>0</v>
      </c>
      <c r="G39">
        <v>0.90889676799999997</v>
      </c>
      <c r="J39">
        <v>1</v>
      </c>
      <c r="L39">
        <v>0.55396308980213083</v>
      </c>
      <c r="N39">
        <v>0.91324009469263079</v>
      </c>
      <c r="S39">
        <v>1</v>
      </c>
      <c r="T39">
        <v>0</v>
      </c>
      <c r="U39">
        <v>0</v>
      </c>
      <c r="V39">
        <v>1</v>
      </c>
      <c r="W39">
        <v>0</v>
      </c>
      <c r="X39">
        <v>0</v>
      </c>
      <c r="Y39">
        <v>0</v>
      </c>
    </row>
    <row r="40" spans="2:25" ht="14.25" customHeight="1" x14ac:dyDescent="0.3">
      <c r="B40" s="3">
        <f t="shared" si="0"/>
        <v>0.34375000000000111</v>
      </c>
      <c r="D40">
        <v>0</v>
      </c>
      <c r="G40">
        <v>0.90889676799999997</v>
      </c>
      <c r="J40">
        <v>1</v>
      </c>
      <c r="L40">
        <v>0.55396308980213083</v>
      </c>
      <c r="N40">
        <v>0.82648018938526158</v>
      </c>
      <c r="S40">
        <v>1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</row>
    <row r="41" spans="2:25" ht="14.25" customHeight="1" x14ac:dyDescent="0.3">
      <c r="B41" s="3">
        <f t="shared" si="0"/>
        <v>0.3541666666666678</v>
      </c>
      <c r="D41">
        <v>0</v>
      </c>
      <c r="G41">
        <v>0.11012964471232881</v>
      </c>
      <c r="J41">
        <v>1</v>
      </c>
      <c r="L41">
        <v>0.55396308980213083</v>
      </c>
      <c r="N41">
        <v>0.81596762307060633</v>
      </c>
      <c r="S41">
        <v>1</v>
      </c>
      <c r="T41">
        <v>1</v>
      </c>
      <c r="U41">
        <v>1</v>
      </c>
      <c r="V41">
        <v>1</v>
      </c>
      <c r="W41">
        <v>1</v>
      </c>
      <c r="X41">
        <v>0</v>
      </c>
      <c r="Y41">
        <v>0</v>
      </c>
    </row>
    <row r="42" spans="2:25" ht="14.25" customHeight="1" x14ac:dyDescent="0.3">
      <c r="B42" s="3">
        <f t="shared" si="0"/>
        <v>0.36458333333333448</v>
      </c>
      <c r="D42">
        <v>0</v>
      </c>
      <c r="G42">
        <v>0.11012964471232881</v>
      </c>
      <c r="J42">
        <v>1</v>
      </c>
      <c r="L42">
        <v>0.55396308980213083</v>
      </c>
      <c r="N42">
        <v>0.80545505675595108</v>
      </c>
      <c r="S42">
        <v>1</v>
      </c>
      <c r="T42">
        <v>1</v>
      </c>
      <c r="U42">
        <v>1</v>
      </c>
      <c r="V42">
        <v>1</v>
      </c>
      <c r="W42">
        <v>1</v>
      </c>
      <c r="X42">
        <v>0</v>
      </c>
      <c r="Y42">
        <v>0</v>
      </c>
    </row>
    <row r="43" spans="2:25" ht="14.25" customHeight="1" x14ac:dyDescent="0.3">
      <c r="B43" s="3">
        <f t="shared" si="0"/>
        <v>0.37500000000000117</v>
      </c>
      <c r="D43">
        <v>0</v>
      </c>
      <c r="G43">
        <v>0.30574720000000016</v>
      </c>
      <c r="J43">
        <v>1</v>
      </c>
      <c r="L43">
        <v>0.55396308980213083</v>
      </c>
      <c r="N43">
        <v>0.77626956611066655</v>
      </c>
      <c r="S43">
        <v>1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</row>
    <row r="44" spans="2:25" ht="14.25" customHeight="1" x14ac:dyDescent="0.3">
      <c r="B44" s="3">
        <f t="shared" si="0"/>
        <v>0.38541666666666785</v>
      </c>
      <c r="D44">
        <v>0</v>
      </c>
      <c r="G44">
        <v>0.30574720000000016</v>
      </c>
      <c r="J44">
        <v>1</v>
      </c>
      <c r="L44">
        <v>0.55396308980213083</v>
      </c>
      <c r="N44">
        <v>0.74708407546538202</v>
      </c>
      <c r="S44">
        <v>1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</row>
    <row r="45" spans="2:25" ht="14.25" customHeight="1" x14ac:dyDescent="0.3">
      <c r="B45" s="3">
        <f t="shared" si="0"/>
        <v>0.39583333333333454</v>
      </c>
      <c r="D45">
        <v>0</v>
      </c>
      <c r="G45">
        <v>0.17698007671232902</v>
      </c>
      <c r="J45">
        <v>1</v>
      </c>
      <c r="L45">
        <v>0.55396308980213083</v>
      </c>
      <c r="N45">
        <v>0.73019021552720631</v>
      </c>
      <c r="S45">
        <v>1</v>
      </c>
      <c r="T45">
        <v>0</v>
      </c>
      <c r="U45">
        <v>0</v>
      </c>
      <c r="V45">
        <v>1</v>
      </c>
      <c r="W45">
        <v>1</v>
      </c>
      <c r="X45">
        <v>0</v>
      </c>
      <c r="Y45">
        <v>1</v>
      </c>
    </row>
    <row r="46" spans="2:25" ht="14.25" customHeight="1" x14ac:dyDescent="0.3">
      <c r="B46" s="3">
        <f t="shared" si="0"/>
        <v>0.40625000000000122</v>
      </c>
      <c r="D46">
        <v>0</v>
      </c>
      <c r="G46">
        <v>-0.69301992328767104</v>
      </c>
      <c r="J46">
        <v>1</v>
      </c>
      <c r="L46">
        <v>0.55396308980213083</v>
      </c>
      <c r="N46">
        <v>0.79243367160026568</v>
      </c>
      <c r="S46">
        <v>1</v>
      </c>
      <c r="T46">
        <v>1</v>
      </c>
      <c r="U46">
        <v>0</v>
      </c>
      <c r="V46">
        <v>1</v>
      </c>
      <c r="W46">
        <v>1</v>
      </c>
      <c r="X46">
        <v>0</v>
      </c>
      <c r="Y46">
        <v>0</v>
      </c>
    </row>
    <row r="47" spans="2:25" ht="14.25" customHeight="1" x14ac:dyDescent="0.3">
      <c r="B47" s="3">
        <f t="shared" si="0"/>
        <v>0.41666666666666791</v>
      </c>
      <c r="D47">
        <v>0</v>
      </c>
      <c r="G47">
        <v>-0.14920127999999999</v>
      </c>
      <c r="J47">
        <v>1</v>
      </c>
      <c r="L47">
        <v>0.55396308980213083</v>
      </c>
      <c r="N47">
        <v>0.80583415693359906</v>
      </c>
      <c r="S47">
        <v>1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</row>
    <row r="48" spans="2:25" ht="14.25" customHeight="1" x14ac:dyDescent="0.3">
      <c r="B48" s="3">
        <f t="shared" si="0"/>
        <v>0.42708333333333459</v>
      </c>
      <c r="D48">
        <v>-9.9600639999999907E-2</v>
      </c>
      <c r="G48">
        <v>-1</v>
      </c>
      <c r="J48">
        <v>1</v>
      </c>
      <c r="L48">
        <v>0.5571503102821308</v>
      </c>
      <c r="N48">
        <v>0.89564897174841385</v>
      </c>
      <c r="S48">
        <v>1</v>
      </c>
      <c r="T48">
        <v>1</v>
      </c>
      <c r="U48">
        <v>0</v>
      </c>
      <c r="V48">
        <v>1</v>
      </c>
      <c r="W48">
        <v>0</v>
      </c>
      <c r="X48">
        <v>0</v>
      </c>
      <c r="Y48">
        <v>0</v>
      </c>
    </row>
    <row r="49" spans="2:25" ht="14.25" customHeight="1" x14ac:dyDescent="0.3">
      <c r="B49" s="3">
        <f t="shared" si="0"/>
        <v>0.43750000000000128</v>
      </c>
      <c r="D49">
        <v>-7.3984201643835568E-2</v>
      </c>
      <c r="G49">
        <v>-1</v>
      </c>
      <c r="J49">
        <v>1</v>
      </c>
      <c r="L49">
        <v>0.55951780473473356</v>
      </c>
      <c r="N49">
        <v>0.98546378656322864</v>
      </c>
      <c r="S49">
        <v>1</v>
      </c>
      <c r="T49">
        <v>1</v>
      </c>
      <c r="U49">
        <v>0</v>
      </c>
      <c r="V49">
        <v>1</v>
      </c>
      <c r="W49">
        <v>1</v>
      </c>
      <c r="X49">
        <v>0</v>
      </c>
      <c r="Y49">
        <v>0</v>
      </c>
    </row>
    <row r="50" spans="2:25" ht="14.25" customHeight="1" x14ac:dyDescent="0.3">
      <c r="B50" s="3">
        <f t="shared" si="0"/>
        <v>0.44791666666666796</v>
      </c>
      <c r="D50">
        <v>-0.49306095158345892</v>
      </c>
      <c r="G50">
        <v>-0.1618465001207533</v>
      </c>
      <c r="J50">
        <v>1</v>
      </c>
      <c r="L50">
        <v>0.57529575518540421</v>
      </c>
      <c r="N50">
        <v>1</v>
      </c>
      <c r="S50">
        <v>1</v>
      </c>
      <c r="T50">
        <v>1</v>
      </c>
      <c r="U50">
        <v>0</v>
      </c>
      <c r="V50">
        <v>1</v>
      </c>
      <c r="W50">
        <v>1</v>
      </c>
      <c r="X50">
        <v>0</v>
      </c>
      <c r="Y50">
        <v>0</v>
      </c>
    </row>
    <row r="51" spans="2:25" ht="14.25" customHeight="1" x14ac:dyDescent="0.3">
      <c r="B51" s="3">
        <f t="shared" si="0"/>
        <v>0.45833333333333465</v>
      </c>
      <c r="D51">
        <v>-0.41077007999999982</v>
      </c>
      <c r="G51">
        <v>0</v>
      </c>
      <c r="J51">
        <v>1</v>
      </c>
      <c r="L51">
        <v>0.58844039774540424</v>
      </c>
      <c r="N51">
        <v>1</v>
      </c>
      <c r="S51">
        <v>1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</row>
    <row r="52" spans="2:25" ht="14.25" customHeight="1" x14ac:dyDescent="0.3">
      <c r="B52" s="3">
        <f t="shared" si="0"/>
        <v>0.46875000000000133</v>
      </c>
      <c r="D52">
        <v>0</v>
      </c>
      <c r="G52">
        <v>7.8459840000000128E-2</v>
      </c>
      <c r="J52">
        <v>1</v>
      </c>
      <c r="L52">
        <v>0.58844039774540424</v>
      </c>
      <c r="N52">
        <v>0.99251051546391755</v>
      </c>
      <c r="S52">
        <v>1</v>
      </c>
      <c r="T52">
        <v>0</v>
      </c>
      <c r="U52">
        <v>0</v>
      </c>
      <c r="V52">
        <v>1</v>
      </c>
      <c r="W52">
        <v>0</v>
      </c>
      <c r="X52">
        <v>0</v>
      </c>
      <c r="Y52">
        <v>1</v>
      </c>
    </row>
    <row r="53" spans="2:25" ht="14.25" customHeight="1" x14ac:dyDescent="0.3">
      <c r="B53" s="3">
        <f t="shared" si="0"/>
        <v>0.47916666666666802</v>
      </c>
      <c r="D53">
        <v>0</v>
      </c>
      <c r="G53">
        <v>0.12969271671232918</v>
      </c>
      <c r="J53">
        <v>1</v>
      </c>
      <c r="L53">
        <v>0.58844039774540424</v>
      </c>
      <c r="N53">
        <v>0.98013053105075132</v>
      </c>
      <c r="S53">
        <v>1</v>
      </c>
      <c r="T53">
        <v>0</v>
      </c>
      <c r="U53">
        <v>0</v>
      </c>
      <c r="V53">
        <v>1</v>
      </c>
      <c r="W53">
        <v>1</v>
      </c>
      <c r="X53">
        <v>0</v>
      </c>
      <c r="Y53">
        <v>1</v>
      </c>
    </row>
    <row r="54" spans="2:25" ht="14.25" customHeight="1" x14ac:dyDescent="0.3">
      <c r="B54" s="3">
        <f t="shared" si="0"/>
        <v>0.4895833333333347</v>
      </c>
      <c r="D54">
        <v>0</v>
      </c>
      <c r="G54">
        <v>0.12969271671232918</v>
      </c>
      <c r="J54">
        <v>1</v>
      </c>
      <c r="L54">
        <v>0.58844039774540424</v>
      </c>
      <c r="N54">
        <v>0.96775054663758509</v>
      </c>
      <c r="S54">
        <v>1</v>
      </c>
      <c r="T54">
        <v>0</v>
      </c>
      <c r="U54">
        <v>0</v>
      </c>
      <c r="V54">
        <v>1</v>
      </c>
      <c r="W54">
        <v>1</v>
      </c>
      <c r="X54">
        <v>0</v>
      </c>
      <c r="Y54">
        <v>1</v>
      </c>
    </row>
    <row r="55" spans="2:25" ht="14.25" customHeight="1" x14ac:dyDescent="0.3">
      <c r="B55" s="3">
        <f t="shared" si="0"/>
        <v>0.50000000000000144</v>
      </c>
      <c r="D55">
        <v>0</v>
      </c>
      <c r="G55">
        <v>-0.11117855999999995</v>
      </c>
      <c r="J55">
        <v>1</v>
      </c>
      <c r="L55">
        <v>0.58844039774540424</v>
      </c>
      <c r="N55">
        <v>0.97773602841536289</v>
      </c>
      <c r="S55">
        <v>1</v>
      </c>
      <c r="T55">
        <v>0</v>
      </c>
      <c r="U55">
        <v>0</v>
      </c>
      <c r="V55">
        <v>1</v>
      </c>
      <c r="W55">
        <v>0</v>
      </c>
      <c r="X55">
        <v>0</v>
      </c>
      <c r="Y55">
        <v>1</v>
      </c>
    </row>
    <row r="56" spans="2:25" ht="14.25" customHeight="1" x14ac:dyDescent="0.3">
      <c r="B56" s="3">
        <f t="shared" si="0"/>
        <v>0.51041666666666818</v>
      </c>
      <c r="D56">
        <v>-0.38164552066284496</v>
      </c>
      <c r="G56">
        <v>-0.24788751867431014</v>
      </c>
      <c r="J56">
        <v>1</v>
      </c>
      <c r="L56">
        <v>0.60065305440661532</v>
      </c>
      <c r="N56">
        <v>1</v>
      </c>
      <c r="S56">
        <v>1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</row>
    <row r="57" spans="2:25" ht="14.25" customHeight="1" x14ac:dyDescent="0.3">
      <c r="B57" s="3">
        <f t="shared" si="0"/>
        <v>0.52083333333333492</v>
      </c>
      <c r="D57">
        <v>-0.47997284164383563</v>
      </c>
      <c r="G57">
        <v>0</v>
      </c>
      <c r="J57">
        <v>1</v>
      </c>
      <c r="L57">
        <v>0.61601218533921809</v>
      </c>
      <c r="N57">
        <v>1</v>
      </c>
      <c r="S57">
        <v>1</v>
      </c>
      <c r="T57">
        <v>0</v>
      </c>
      <c r="U57">
        <v>0</v>
      </c>
      <c r="V57">
        <v>1</v>
      </c>
      <c r="W57">
        <v>1</v>
      </c>
      <c r="X57">
        <v>0</v>
      </c>
      <c r="Y57">
        <v>0</v>
      </c>
    </row>
    <row r="58" spans="2:25" ht="14.25" customHeight="1" x14ac:dyDescent="0.3">
      <c r="B58" s="3">
        <f t="shared" si="0"/>
        <v>0.53125000000000167</v>
      </c>
      <c r="D58">
        <v>-0.47997284164383563</v>
      </c>
      <c r="G58">
        <v>0</v>
      </c>
      <c r="J58">
        <v>1</v>
      </c>
      <c r="L58">
        <v>0.63137131627182086</v>
      </c>
      <c r="N58">
        <v>1</v>
      </c>
      <c r="S58">
        <v>1</v>
      </c>
      <c r="T58">
        <v>0</v>
      </c>
      <c r="U58">
        <v>0</v>
      </c>
      <c r="V58">
        <v>1</v>
      </c>
      <c r="W58">
        <v>1</v>
      </c>
      <c r="X58">
        <v>0</v>
      </c>
      <c r="Y58">
        <v>0</v>
      </c>
    </row>
    <row r="59" spans="2:25" ht="14.25" customHeight="1" x14ac:dyDescent="0.3">
      <c r="B59" s="3">
        <f t="shared" si="0"/>
        <v>0.54166666666666841</v>
      </c>
      <c r="D59">
        <v>-0.50477391999999999</v>
      </c>
      <c r="G59">
        <v>0</v>
      </c>
      <c r="J59">
        <v>1</v>
      </c>
      <c r="L59">
        <v>0.64752408171182085</v>
      </c>
      <c r="N59">
        <v>1</v>
      </c>
      <c r="S59">
        <v>1</v>
      </c>
      <c r="T59">
        <v>0</v>
      </c>
      <c r="U59">
        <v>0</v>
      </c>
      <c r="V59">
        <v>1</v>
      </c>
      <c r="W59">
        <v>0</v>
      </c>
      <c r="X59">
        <v>0</v>
      </c>
      <c r="Y59">
        <v>0</v>
      </c>
    </row>
    <row r="60" spans="2:25" ht="14.25" customHeight="1" x14ac:dyDescent="0.3">
      <c r="B60" s="3">
        <f t="shared" si="0"/>
        <v>0.55208333333333515</v>
      </c>
      <c r="D60">
        <v>-0.50477391999999999</v>
      </c>
      <c r="G60">
        <v>0</v>
      </c>
      <c r="J60">
        <v>1</v>
      </c>
      <c r="L60">
        <v>0.66367684715182085</v>
      </c>
      <c r="N60">
        <v>1</v>
      </c>
      <c r="S60">
        <v>1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</row>
    <row r="61" spans="2:25" ht="14.25" customHeight="1" x14ac:dyDescent="0.3">
      <c r="B61" s="3">
        <f t="shared" si="0"/>
        <v>0.56250000000000189</v>
      </c>
      <c r="D61">
        <v>-0.47915748164383559</v>
      </c>
      <c r="G61">
        <v>0</v>
      </c>
      <c r="J61">
        <v>1</v>
      </c>
      <c r="L61">
        <v>0.67900988656442363</v>
      </c>
      <c r="N61">
        <v>1</v>
      </c>
      <c r="S61">
        <v>1</v>
      </c>
      <c r="T61">
        <v>0</v>
      </c>
      <c r="U61">
        <v>0</v>
      </c>
      <c r="V61">
        <v>1</v>
      </c>
      <c r="W61">
        <v>1</v>
      </c>
      <c r="X61">
        <v>0</v>
      </c>
      <c r="Y61">
        <v>0</v>
      </c>
    </row>
    <row r="62" spans="2:25" ht="14.25" customHeight="1" x14ac:dyDescent="0.3">
      <c r="B62" s="3">
        <f t="shared" si="0"/>
        <v>0.57291666666666863</v>
      </c>
      <c r="D62">
        <v>-0.47915748164383559</v>
      </c>
      <c r="G62">
        <v>0</v>
      </c>
      <c r="J62">
        <v>1</v>
      </c>
      <c r="L62">
        <v>0.6943429259770264</v>
      </c>
      <c r="N62">
        <v>1</v>
      </c>
      <c r="S62">
        <v>1</v>
      </c>
      <c r="T62">
        <v>0</v>
      </c>
      <c r="U62">
        <v>0</v>
      </c>
      <c r="V62">
        <v>1</v>
      </c>
      <c r="W62">
        <v>1</v>
      </c>
      <c r="X62">
        <v>0</v>
      </c>
      <c r="Y62">
        <v>0</v>
      </c>
    </row>
    <row r="63" spans="2:25" ht="14.25" customHeight="1" x14ac:dyDescent="0.3">
      <c r="B63" s="3">
        <f t="shared" si="0"/>
        <v>0.58333333333333537</v>
      </c>
      <c r="D63">
        <v>-0.42915198222222101</v>
      </c>
      <c r="G63">
        <v>0</v>
      </c>
      <c r="J63">
        <v>1</v>
      </c>
      <c r="L63">
        <v>0.70807578940813742</v>
      </c>
      <c r="N63">
        <v>1</v>
      </c>
      <c r="S63">
        <v>1</v>
      </c>
      <c r="T63">
        <v>1</v>
      </c>
      <c r="U63">
        <v>0</v>
      </c>
      <c r="V63">
        <v>1</v>
      </c>
      <c r="W63">
        <v>0</v>
      </c>
      <c r="X63">
        <v>0</v>
      </c>
      <c r="Y63">
        <v>0</v>
      </c>
    </row>
    <row r="64" spans="2:25" ht="14.25" customHeight="1" x14ac:dyDescent="0.3">
      <c r="B64" s="3">
        <f t="shared" si="0"/>
        <v>0.59375000000000211</v>
      </c>
      <c r="D64">
        <v>-0.42915198222222212</v>
      </c>
      <c r="G64">
        <v>0</v>
      </c>
      <c r="J64">
        <v>1</v>
      </c>
      <c r="L64">
        <v>0.72180865283924855</v>
      </c>
      <c r="N64">
        <v>1</v>
      </c>
      <c r="S64">
        <v>1</v>
      </c>
      <c r="T64">
        <v>1</v>
      </c>
      <c r="U64">
        <v>0</v>
      </c>
      <c r="V64">
        <v>1</v>
      </c>
      <c r="W64">
        <v>0</v>
      </c>
      <c r="X64">
        <v>0</v>
      </c>
      <c r="Y64">
        <v>0</v>
      </c>
    </row>
    <row r="65" spans="2:25" ht="14.25" customHeight="1" x14ac:dyDescent="0.3">
      <c r="B65" s="3">
        <f t="shared" si="0"/>
        <v>0.60416666666666885</v>
      </c>
      <c r="D65">
        <v>-0.40353554386605778</v>
      </c>
      <c r="G65">
        <v>0</v>
      </c>
      <c r="J65">
        <v>1</v>
      </c>
      <c r="L65">
        <v>0.73472179024296236</v>
      </c>
      <c r="N65">
        <v>1</v>
      </c>
      <c r="S65">
        <v>1</v>
      </c>
      <c r="T65">
        <v>1</v>
      </c>
      <c r="U65">
        <v>0</v>
      </c>
      <c r="V65">
        <v>1</v>
      </c>
      <c r="W65">
        <v>1</v>
      </c>
      <c r="X65">
        <v>0</v>
      </c>
      <c r="Y65">
        <v>0</v>
      </c>
    </row>
    <row r="66" spans="2:25" ht="14.25" customHeight="1" x14ac:dyDescent="0.3">
      <c r="B66" s="3">
        <f t="shared" si="0"/>
        <v>0.61458333333333559</v>
      </c>
      <c r="D66">
        <v>-0.40353554386605778</v>
      </c>
      <c r="G66">
        <v>0</v>
      </c>
      <c r="J66">
        <v>1</v>
      </c>
      <c r="L66">
        <v>0.74763492764667616</v>
      </c>
      <c r="N66">
        <v>1</v>
      </c>
      <c r="S66">
        <v>1</v>
      </c>
      <c r="T66">
        <v>1</v>
      </c>
      <c r="U66">
        <v>0</v>
      </c>
      <c r="V66">
        <v>1</v>
      </c>
      <c r="W66">
        <v>1</v>
      </c>
      <c r="X66">
        <v>0</v>
      </c>
      <c r="Y66">
        <v>0</v>
      </c>
    </row>
    <row r="67" spans="2:25" ht="14.25" customHeight="1" x14ac:dyDescent="0.3">
      <c r="B67" s="3">
        <f t="shared" si="0"/>
        <v>0.62500000000000233</v>
      </c>
      <c r="D67">
        <v>-0.29232141513888882</v>
      </c>
      <c r="G67">
        <v>0</v>
      </c>
      <c r="J67">
        <v>1</v>
      </c>
      <c r="L67">
        <v>0.75698921293112065</v>
      </c>
      <c r="N67">
        <v>1</v>
      </c>
      <c r="S67">
        <v>1</v>
      </c>
      <c r="T67">
        <v>1</v>
      </c>
      <c r="U67">
        <v>0</v>
      </c>
      <c r="V67">
        <v>1</v>
      </c>
      <c r="W67">
        <v>0</v>
      </c>
      <c r="X67">
        <v>0</v>
      </c>
      <c r="Y67">
        <v>0</v>
      </c>
    </row>
    <row r="68" spans="2:25" ht="14.25" customHeight="1" x14ac:dyDescent="0.3">
      <c r="B68" s="3">
        <f t="shared" si="0"/>
        <v>0.63541666666666907</v>
      </c>
      <c r="D68">
        <v>-0.29232141513888882</v>
      </c>
      <c r="G68">
        <v>0</v>
      </c>
      <c r="J68">
        <v>1</v>
      </c>
      <c r="L68">
        <v>0.76634349821556513</v>
      </c>
      <c r="N68">
        <v>1</v>
      </c>
      <c r="S68">
        <v>1</v>
      </c>
      <c r="T68">
        <v>1</v>
      </c>
      <c r="U68">
        <v>0</v>
      </c>
      <c r="V68">
        <v>1</v>
      </c>
      <c r="W68">
        <v>0</v>
      </c>
      <c r="X68">
        <v>0</v>
      </c>
      <c r="Y68">
        <v>0</v>
      </c>
    </row>
    <row r="69" spans="2:25" ht="14.25" customHeight="1" x14ac:dyDescent="0.3">
      <c r="B69" s="3">
        <f t="shared" si="0"/>
        <v>0.64583333333333581</v>
      </c>
      <c r="D69">
        <v>-0.26670497678272437</v>
      </c>
      <c r="G69">
        <v>0</v>
      </c>
      <c r="J69">
        <v>1</v>
      </c>
      <c r="L69">
        <v>0.77487805747261229</v>
      </c>
      <c r="N69">
        <v>1</v>
      </c>
      <c r="S69">
        <v>1</v>
      </c>
      <c r="T69">
        <v>1</v>
      </c>
      <c r="U69">
        <v>0</v>
      </c>
      <c r="V69">
        <v>1</v>
      </c>
      <c r="W69">
        <v>1</v>
      </c>
      <c r="X69">
        <v>0</v>
      </c>
      <c r="Y69">
        <v>0</v>
      </c>
    </row>
    <row r="70" spans="2:25" ht="14.25" customHeight="1" x14ac:dyDescent="0.3">
      <c r="B70" s="3">
        <f t="shared" si="0"/>
        <v>0.65625000000000255</v>
      </c>
      <c r="D70">
        <v>-0.26670497678272437</v>
      </c>
      <c r="G70">
        <v>0</v>
      </c>
      <c r="J70">
        <v>1</v>
      </c>
      <c r="L70">
        <v>0.78341261672965945</v>
      </c>
      <c r="N70">
        <v>1</v>
      </c>
      <c r="S70">
        <v>1</v>
      </c>
      <c r="T70">
        <v>1</v>
      </c>
      <c r="U70">
        <v>0</v>
      </c>
      <c r="V70">
        <v>1</v>
      </c>
      <c r="W70">
        <v>1</v>
      </c>
      <c r="X70">
        <v>0</v>
      </c>
      <c r="Y70">
        <v>0</v>
      </c>
    </row>
    <row r="71" spans="2:25" ht="14.25" customHeight="1" x14ac:dyDescent="0.3">
      <c r="B71" s="3">
        <f t="shared" si="0"/>
        <v>0.66666666666666929</v>
      </c>
      <c r="D71">
        <v>-6.9338808888888825E-2</v>
      </c>
      <c r="G71">
        <v>0</v>
      </c>
      <c r="J71">
        <v>1</v>
      </c>
      <c r="L71">
        <v>0.78563145861410388</v>
      </c>
      <c r="N71">
        <v>1</v>
      </c>
      <c r="S71">
        <v>1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</row>
    <row r="72" spans="2:25" ht="14.25" customHeight="1" x14ac:dyDescent="0.3">
      <c r="B72" s="3">
        <f t="shared" si="0"/>
        <v>0.67708333333333603</v>
      </c>
      <c r="D72">
        <v>-6.9338808888888825E-2</v>
      </c>
      <c r="G72">
        <v>0</v>
      </c>
      <c r="J72">
        <v>1</v>
      </c>
      <c r="L72">
        <v>0.78785030049854832</v>
      </c>
      <c r="N72">
        <v>1</v>
      </c>
      <c r="S72">
        <v>1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</row>
    <row r="73" spans="2:25" ht="14.25" customHeight="1" x14ac:dyDescent="0.3">
      <c r="B73" s="3">
        <f t="shared" ref="B73:B102" si="1">B72+0.0104166666666667</f>
        <v>0.68750000000000278</v>
      </c>
      <c r="D73">
        <v>-2.8722370532724417E-2</v>
      </c>
      <c r="G73">
        <v>0</v>
      </c>
      <c r="J73">
        <v>1</v>
      </c>
      <c r="L73">
        <v>0.7887694163555955</v>
      </c>
      <c r="N73">
        <v>1</v>
      </c>
      <c r="S73">
        <v>1</v>
      </c>
      <c r="T73">
        <v>1</v>
      </c>
      <c r="U73">
        <v>0</v>
      </c>
      <c r="V73">
        <v>1</v>
      </c>
      <c r="W73">
        <v>1</v>
      </c>
      <c r="X73">
        <v>0</v>
      </c>
      <c r="Y73">
        <v>0</v>
      </c>
    </row>
    <row r="74" spans="2:25" ht="14.25" customHeight="1" x14ac:dyDescent="0.3">
      <c r="B74" s="3">
        <f t="shared" si="1"/>
        <v>0.69791666666666952</v>
      </c>
      <c r="D74">
        <v>-2.8722370532724417E-2</v>
      </c>
      <c r="G74">
        <v>0</v>
      </c>
      <c r="J74">
        <v>1</v>
      </c>
      <c r="L74">
        <v>0.78968853221264268</v>
      </c>
      <c r="N74">
        <v>1</v>
      </c>
      <c r="S74">
        <v>1</v>
      </c>
      <c r="T74">
        <v>1</v>
      </c>
      <c r="U74">
        <v>0</v>
      </c>
      <c r="V74">
        <v>1</v>
      </c>
      <c r="W74">
        <v>1</v>
      </c>
      <c r="X74">
        <v>0</v>
      </c>
      <c r="Y74">
        <v>0</v>
      </c>
    </row>
    <row r="75" spans="2:25" ht="14.25" customHeight="1" x14ac:dyDescent="0.3">
      <c r="B75" s="3">
        <f t="shared" si="1"/>
        <v>0.70833333333333626</v>
      </c>
      <c r="D75">
        <v>0.29626059199999999</v>
      </c>
      <c r="G75">
        <v>0</v>
      </c>
      <c r="J75">
        <v>1</v>
      </c>
      <c r="L75">
        <v>0.77940170610153159</v>
      </c>
      <c r="N75">
        <v>1</v>
      </c>
      <c r="S75">
        <v>1</v>
      </c>
      <c r="T75">
        <v>0</v>
      </c>
      <c r="U75">
        <v>0</v>
      </c>
      <c r="V75">
        <v>1</v>
      </c>
      <c r="W75">
        <v>0</v>
      </c>
      <c r="X75">
        <v>1</v>
      </c>
      <c r="Y75">
        <v>0</v>
      </c>
    </row>
    <row r="76" spans="2:25" ht="14.25" customHeight="1" x14ac:dyDescent="0.3">
      <c r="B76" s="3">
        <f t="shared" si="1"/>
        <v>0.718750000000003</v>
      </c>
      <c r="D76">
        <v>0.29626059199999999</v>
      </c>
      <c r="G76">
        <v>0</v>
      </c>
      <c r="J76">
        <v>1</v>
      </c>
      <c r="L76">
        <v>0.7691148799904205</v>
      </c>
      <c r="N76">
        <v>1</v>
      </c>
      <c r="S76">
        <v>1</v>
      </c>
      <c r="T76">
        <v>0</v>
      </c>
      <c r="U76">
        <v>0</v>
      </c>
      <c r="V76">
        <v>1</v>
      </c>
      <c r="W76">
        <v>0</v>
      </c>
      <c r="X76">
        <v>1</v>
      </c>
      <c r="Y76">
        <v>0</v>
      </c>
    </row>
    <row r="77" spans="2:25" ht="14.25" customHeight="1" x14ac:dyDescent="0.3">
      <c r="B77" s="3">
        <f t="shared" si="1"/>
        <v>0.72916666666666974</v>
      </c>
      <c r="D77">
        <v>0.32187703035616438</v>
      </c>
      <c r="G77">
        <v>0</v>
      </c>
      <c r="J77">
        <v>1</v>
      </c>
      <c r="L77">
        <v>0.75793859421416476</v>
      </c>
      <c r="N77">
        <v>1</v>
      </c>
      <c r="S77">
        <v>1</v>
      </c>
      <c r="T77">
        <v>0</v>
      </c>
      <c r="U77">
        <v>0</v>
      </c>
      <c r="V77">
        <v>1</v>
      </c>
      <c r="W77">
        <v>1</v>
      </c>
      <c r="X77">
        <v>1</v>
      </c>
      <c r="Y77">
        <v>0</v>
      </c>
    </row>
    <row r="78" spans="2:25" ht="14.25" customHeight="1" x14ac:dyDescent="0.3">
      <c r="B78" s="3">
        <f t="shared" si="1"/>
        <v>0.73958333333333648</v>
      </c>
      <c r="D78">
        <v>0.32187703035616438</v>
      </c>
      <c r="G78">
        <v>0</v>
      </c>
      <c r="J78">
        <v>1</v>
      </c>
      <c r="L78">
        <v>0.74676230843790903</v>
      </c>
      <c r="N78">
        <v>1</v>
      </c>
      <c r="S78">
        <v>1</v>
      </c>
      <c r="T78">
        <v>0</v>
      </c>
      <c r="U78">
        <v>0</v>
      </c>
      <c r="V78">
        <v>1</v>
      </c>
      <c r="W78">
        <v>1</v>
      </c>
      <c r="X78">
        <v>1</v>
      </c>
      <c r="Y78">
        <v>0</v>
      </c>
    </row>
    <row r="79" spans="2:25" ht="14.25" customHeight="1" x14ac:dyDescent="0.3">
      <c r="B79" s="3">
        <f t="shared" si="1"/>
        <v>0.75000000000000322</v>
      </c>
      <c r="D79">
        <v>0.35149999999999998</v>
      </c>
      <c r="G79">
        <v>0</v>
      </c>
      <c r="J79">
        <v>1</v>
      </c>
      <c r="L79">
        <v>0.73455744732679795</v>
      </c>
      <c r="N79">
        <v>1</v>
      </c>
      <c r="S79">
        <v>1</v>
      </c>
      <c r="T79">
        <v>0</v>
      </c>
      <c r="U79">
        <v>0</v>
      </c>
      <c r="V79">
        <v>1</v>
      </c>
      <c r="W79">
        <v>0</v>
      </c>
      <c r="X79">
        <v>1</v>
      </c>
      <c r="Y79">
        <v>0</v>
      </c>
    </row>
    <row r="80" spans="2:25" ht="14.25" customHeight="1" x14ac:dyDescent="0.3">
      <c r="B80" s="3">
        <f t="shared" si="1"/>
        <v>0.76041666666666996</v>
      </c>
      <c r="D80">
        <v>0.35149999999999998</v>
      </c>
      <c r="G80">
        <v>0</v>
      </c>
      <c r="J80">
        <v>1</v>
      </c>
      <c r="L80">
        <v>0.72235258621568688</v>
      </c>
      <c r="N80">
        <v>1</v>
      </c>
      <c r="S80">
        <v>1</v>
      </c>
      <c r="T80">
        <v>0</v>
      </c>
      <c r="U80">
        <v>0</v>
      </c>
      <c r="V80">
        <v>1</v>
      </c>
      <c r="W80">
        <v>0</v>
      </c>
      <c r="X80">
        <v>1</v>
      </c>
      <c r="Y80">
        <v>0</v>
      </c>
    </row>
    <row r="81" spans="2:25" ht="14.25" customHeight="1" x14ac:dyDescent="0.3">
      <c r="B81" s="3">
        <f t="shared" si="1"/>
        <v>0.7708333333333367</v>
      </c>
      <c r="D81">
        <v>0.37711643835616437</v>
      </c>
      <c r="G81">
        <v>0</v>
      </c>
      <c r="J81">
        <v>1</v>
      </c>
      <c r="L81">
        <v>0.70925826543943116</v>
      </c>
      <c r="N81">
        <v>1</v>
      </c>
      <c r="S81">
        <v>1</v>
      </c>
      <c r="T81">
        <v>0</v>
      </c>
      <c r="U81">
        <v>0</v>
      </c>
      <c r="V81">
        <v>1</v>
      </c>
      <c r="W81">
        <v>1</v>
      </c>
      <c r="X81">
        <v>1</v>
      </c>
      <c r="Y81">
        <v>0</v>
      </c>
    </row>
    <row r="82" spans="2:25" ht="14.25" customHeight="1" x14ac:dyDescent="0.3">
      <c r="B82" s="3">
        <f t="shared" si="1"/>
        <v>0.78125000000000344</v>
      </c>
      <c r="D82">
        <v>0.37711643835616437</v>
      </c>
      <c r="G82">
        <v>0</v>
      </c>
      <c r="J82">
        <v>1</v>
      </c>
      <c r="L82">
        <v>0.69616394466317544</v>
      </c>
      <c r="N82">
        <v>1</v>
      </c>
      <c r="S82">
        <v>1</v>
      </c>
      <c r="T82">
        <v>0</v>
      </c>
      <c r="U82">
        <v>0</v>
      </c>
      <c r="V82">
        <v>1</v>
      </c>
      <c r="W82">
        <v>1</v>
      </c>
      <c r="X82">
        <v>1</v>
      </c>
      <c r="Y82">
        <v>0</v>
      </c>
    </row>
    <row r="83" spans="2:25" ht="14.25" customHeight="1" x14ac:dyDescent="0.3">
      <c r="B83" s="3">
        <f t="shared" si="1"/>
        <v>0.79166666666667018</v>
      </c>
      <c r="D83">
        <v>0.35149999999999998</v>
      </c>
      <c r="G83">
        <v>0</v>
      </c>
      <c r="J83">
        <v>1</v>
      </c>
      <c r="L83">
        <v>0.68395908355206436</v>
      </c>
      <c r="N83">
        <v>1</v>
      </c>
      <c r="S83">
        <v>1</v>
      </c>
      <c r="T83">
        <v>0</v>
      </c>
      <c r="U83">
        <v>0</v>
      </c>
      <c r="V83">
        <v>1</v>
      </c>
      <c r="W83">
        <v>0</v>
      </c>
      <c r="X83">
        <v>1</v>
      </c>
      <c r="Y83">
        <v>0</v>
      </c>
    </row>
    <row r="84" spans="2:25" ht="14.25" customHeight="1" x14ac:dyDescent="0.3">
      <c r="B84" s="3">
        <f t="shared" si="1"/>
        <v>0.80208333333333692</v>
      </c>
      <c r="D84">
        <v>0.35149999999999998</v>
      </c>
      <c r="G84">
        <v>0</v>
      </c>
      <c r="J84">
        <v>1</v>
      </c>
      <c r="L84">
        <v>0.67175422244095306</v>
      </c>
      <c r="N84">
        <v>1</v>
      </c>
      <c r="S84">
        <v>1</v>
      </c>
      <c r="T84">
        <v>0</v>
      </c>
      <c r="U84">
        <v>0</v>
      </c>
      <c r="V84">
        <v>1</v>
      </c>
      <c r="W84">
        <v>0</v>
      </c>
      <c r="X84">
        <v>1</v>
      </c>
      <c r="Y84">
        <v>0</v>
      </c>
    </row>
    <row r="85" spans="2:25" ht="14.25" customHeight="1" x14ac:dyDescent="0.3">
      <c r="B85" s="3">
        <f t="shared" si="1"/>
        <v>0.81250000000000366</v>
      </c>
      <c r="D85">
        <v>0.37711643835616437</v>
      </c>
      <c r="G85">
        <v>0</v>
      </c>
      <c r="J85">
        <v>1</v>
      </c>
      <c r="L85">
        <v>0.65865990166469734</v>
      </c>
      <c r="N85">
        <v>1</v>
      </c>
      <c r="S85">
        <v>1</v>
      </c>
      <c r="T85">
        <v>0</v>
      </c>
      <c r="U85">
        <v>0</v>
      </c>
      <c r="V85">
        <v>1</v>
      </c>
      <c r="W85">
        <v>1</v>
      </c>
      <c r="X85">
        <v>1</v>
      </c>
      <c r="Y85">
        <v>0</v>
      </c>
    </row>
    <row r="86" spans="2:25" ht="14.25" customHeight="1" x14ac:dyDescent="0.3">
      <c r="B86" s="3">
        <f t="shared" si="1"/>
        <v>0.8229166666666704</v>
      </c>
      <c r="D86">
        <v>0.37711643835616437</v>
      </c>
      <c r="G86">
        <v>0</v>
      </c>
      <c r="J86">
        <v>1</v>
      </c>
      <c r="L86">
        <v>0.64556558088844163</v>
      </c>
      <c r="N86">
        <v>1</v>
      </c>
      <c r="S86">
        <v>1</v>
      </c>
      <c r="T86">
        <v>0</v>
      </c>
      <c r="U86">
        <v>0</v>
      </c>
      <c r="V86">
        <v>1</v>
      </c>
      <c r="W86">
        <v>1</v>
      </c>
      <c r="X86">
        <v>1</v>
      </c>
      <c r="Y86">
        <v>0</v>
      </c>
    </row>
    <row r="87" spans="2:25" ht="14.25" customHeight="1" x14ac:dyDescent="0.3">
      <c r="B87" s="3">
        <f t="shared" si="1"/>
        <v>0.83333333333333715</v>
      </c>
      <c r="D87">
        <v>0.99999999999999978</v>
      </c>
      <c r="G87">
        <v>4.9999999999999966E-3</v>
      </c>
      <c r="J87">
        <v>1</v>
      </c>
      <c r="L87">
        <v>0.61084335866621942</v>
      </c>
      <c r="N87">
        <v>0.99952271859488351</v>
      </c>
      <c r="S87">
        <v>1</v>
      </c>
      <c r="T87">
        <v>0</v>
      </c>
      <c r="U87">
        <v>0</v>
      </c>
      <c r="V87">
        <v>1</v>
      </c>
      <c r="W87">
        <v>0</v>
      </c>
      <c r="X87">
        <v>1</v>
      </c>
      <c r="Y87">
        <v>1</v>
      </c>
    </row>
    <row r="88" spans="2:25" ht="14.25" customHeight="1" x14ac:dyDescent="0.3">
      <c r="B88" s="3">
        <f t="shared" si="1"/>
        <v>0.84375000000000389</v>
      </c>
      <c r="D88">
        <v>1.2500000000000001E-2</v>
      </c>
      <c r="G88">
        <v>0</v>
      </c>
      <c r="J88">
        <v>1</v>
      </c>
      <c r="L88">
        <v>0.61040933088844151</v>
      </c>
      <c r="N88">
        <v>0.99952271859488351</v>
      </c>
      <c r="S88">
        <v>1</v>
      </c>
      <c r="T88">
        <v>0</v>
      </c>
      <c r="U88">
        <v>0</v>
      </c>
      <c r="V88">
        <v>1</v>
      </c>
      <c r="W88">
        <v>0</v>
      </c>
      <c r="X88">
        <v>1</v>
      </c>
      <c r="Y88">
        <v>0</v>
      </c>
    </row>
    <row r="89" spans="2:25" ht="14.25" customHeight="1" x14ac:dyDescent="0.3">
      <c r="B89" s="3">
        <f t="shared" si="1"/>
        <v>0.85416666666667063</v>
      </c>
      <c r="D89">
        <v>3.8116438356164385E-2</v>
      </c>
      <c r="G89">
        <v>0</v>
      </c>
      <c r="J89">
        <v>1</v>
      </c>
      <c r="L89">
        <v>0.60908584344551919</v>
      </c>
      <c r="N89">
        <v>0.99952271859488351</v>
      </c>
      <c r="S89">
        <v>1</v>
      </c>
      <c r="T89">
        <v>0</v>
      </c>
      <c r="U89">
        <v>0</v>
      </c>
      <c r="V89">
        <v>1</v>
      </c>
      <c r="W89">
        <v>1</v>
      </c>
      <c r="X89">
        <v>1</v>
      </c>
      <c r="Y89">
        <v>0</v>
      </c>
    </row>
    <row r="90" spans="2:25" ht="14.25" customHeight="1" x14ac:dyDescent="0.3">
      <c r="B90" s="3">
        <f t="shared" si="1"/>
        <v>0.86458333333333737</v>
      </c>
      <c r="D90">
        <v>3.8116438356164385E-2</v>
      </c>
      <c r="G90">
        <v>0</v>
      </c>
      <c r="J90">
        <v>1</v>
      </c>
      <c r="L90">
        <v>0.60776235600259687</v>
      </c>
      <c r="N90">
        <v>0.99952271859488351</v>
      </c>
      <c r="S90">
        <v>1</v>
      </c>
      <c r="T90">
        <v>0</v>
      </c>
      <c r="U90">
        <v>0</v>
      </c>
      <c r="V90">
        <v>1</v>
      </c>
      <c r="W90">
        <v>1</v>
      </c>
      <c r="X90">
        <v>1</v>
      </c>
      <c r="Y90">
        <v>0</v>
      </c>
    </row>
    <row r="91" spans="2:25" ht="14.25" customHeight="1" x14ac:dyDescent="0.3">
      <c r="B91" s="3">
        <f t="shared" si="1"/>
        <v>0.87500000000000411</v>
      </c>
      <c r="D91">
        <v>0.55249999999999999</v>
      </c>
      <c r="G91">
        <v>0</v>
      </c>
      <c r="J91">
        <v>1</v>
      </c>
      <c r="L91">
        <v>0.58857832822481915</v>
      </c>
      <c r="N91">
        <v>0.99952271859488351</v>
      </c>
      <c r="S91">
        <v>1</v>
      </c>
      <c r="T91">
        <v>0</v>
      </c>
      <c r="U91">
        <v>0</v>
      </c>
      <c r="V91">
        <v>1</v>
      </c>
      <c r="W91">
        <v>0</v>
      </c>
      <c r="X91">
        <v>1</v>
      </c>
      <c r="Y91">
        <v>0</v>
      </c>
    </row>
    <row r="92" spans="2:25" ht="14.25" customHeight="1" x14ac:dyDescent="0.3">
      <c r="B92" s="3">
        <f t="shared" si="1"/>
        <v>0.88541666666667085</v>
      </c>
      <c r="D92">
        <v>1.2500000000000001E-2</v>
      </c>
      <c r="G92">
        <v>0</v>
      </c>
      <c r="J92">
        <v>1</v>
      </c>
      <c r="L92">
        <v>0.58814430044704136</v>
      </c>
      <c r="N92">
        <v>0.99952271859488351</v>
      </c>
      <c r="S92">
        <v>1</v>
      </c>
      <c r="T92">
        <v>0</v>
      </c>
      <c r="U92">
        <v>0</v>
      </c>
      <c r="V92">
        <v>1</v>
      </c>
      <c r="W92">
        <v>0</v>
      </c>
      <c r="X92">
        <v>1</v>
      </c>
      <c r="Y92">
        <v>0</v>
      </c>
    </row>
    <row r="93" spans="2:25" ht="14.25" customHeight="1" x14ac:dyDescent="0.3">
      <c r="B93" s="3">
        <f t="shared" si="1"/>
        <v>0.89583333333333759</v>
      </c>
      <c r="D93">
        <v>3.8116438356164385E-2</v>
      </c>
      <c r="G93">
        <v>0</v>
      </c>
      <c r="J93">
        <v>1</v>
      </c>
      <c r="L93">
        <v>0.58682081300411904</v>
      </c>
      <c r="N93">
        <v>0.99952271859488351</v>
      </c>
      <c r="S93">
        <v>1</v>
      </c>
      <c r="T93">
        <v>0</v>
      </c>
      <c r="U93">
        <v>0</v>
      </c>
      <c r="V93">
        <v>1</v>
      </c>
      <c r="W93">
        <v>1</v>
      </c>
      <c r="X93">
        <v>1</v>
      </c>
      <c r="Y93">
        <v>0</v>
      </c>
    </row>
    <row r="94" spans="2:25" ht="14.25" customHeight="1" x14ac:dyDescent="0.3">
      <c r="B94" s="3">
        <f t="shared" si="1"/>
        <v>0.90625000000000433</v>
      </c>
      <c r="D94">
        <v>3.8116438356164385E-2</v>
      </c>
      <c r="G94">
        <v>0</v>
      </c>
      <c r="J94">
        <v>1</v>
      </c>
      <c r="L94">
        <v>0.58549732556119671</v>
      </c>
      <c r="N94">
        <v>0.99952271859488351</v>
      </c>
      <c r="S94">
        <v>1</v>
      </c>
      <c r="T94">
        <v>0</v>
      </c>
      <c r="U94">
        <v>0</v>
      </c>
      <c r="V94">
        <v>1</v>
      </c>
      <c r="W94">
        <v>1</v>
      </c>
      <c r="X94">
        <v>1</v>
      </c>
      <c r="Y94">
        <v>0</v>
      </c>
    </row>
    <row r="95" spans="2:25" ht="14.25" customHeight="1" x14ac:dyDescent="0.3">
      <c r="B95" s="3">
        <f t="shared" si="1"/>
        <v>0.91666666666667107</v>
      </c>
      <c r="D95">
        <v>5.2499999999999977E-2</v>
      </c>
      <c r="G95">
        <v>1</v>
      </c>
      <c r="J95">
        <v>1</v>
      </c>
      <c r="L95">
        <v>0.58367440889453004</v>
      </c>
      <c r="N95">
        <v>0.90406643757159211</v>
      </c>
      <c r="S95">
        <v>1</v>
      </c>
      <c r="T95">
        <v>0</v>
      </c>
      <c r="U95">
        <v>0</v>
      </c>
      <c r="V95">
        <v>1</v>
      </c>
      <c r="W95">
        <v>0</v>
      </c>
      <c r="X95">
        <v>1</v>
      </c>
      <c r="Y95">
        <v>0</v>
      </c>
    </row>
    <row r="96" spans="2:25" ht="14.25" customHeight="1" x14ac:dyDescent="0.3">
      <c r="B96" s="3">
        <f t="shared" si="1"/>
        <v>0.92708333333333781</v>
      </c>
      <c r="D96">
        <v>0</v>
      </c>
      <c r="G96">
        <v>2.5000000000000001E-2</v>
      </c>
      <c r="J96">
        <v>1</v>
      </c>
      <c r="L96">
        <v>0.58367440889453004</v>
      </c>
      <c r="N96">
        <v>0.90168003054600998</v>
      </c>
      <c r="S96">
        <v>1</v>
      </c>
      <c r="T96">
        <v>0</v>
      </c>
      <c r="U96">
        <v>0</v>
      </c>
      <c r="V96">
        <v>1</v>
      </c>
      <c r="W96">
        <v>0</v>
      </c>
      <c r="X96">
        <v>1</v>
      </c>
      <c r="Y96">
        <v>0</v>
      </c>
    </row>
    <row r="97" spans="2:25" ht="14.25" customHeight="1" x14ac:dyDescent="0.3">
      <c r="B97" s="3">
        <f t="shared" si="1"/>
        <v>0.93750000000000455</v>
      </c>
      <c r="D97">
        <v>0</v>
      </c>
      <c r="G97">
        <v>7.623287671232877E-2</v>
      </c>
      <c r="J97">
        <v>1</v>
      </c>
      <c r="L97">
        <v>0.58367440889453004</v>
      </c>
      <c r="N97">
        <v>0.89440312364334396</v>
      </c>
      <c r="S97">
        <v>1</v>
      </c>
      <c r="T97">
        <v>0</v>
      </c>
      <c r="U97">
        <v>0</v>
      </c>
      <c r="V97">
        <v>1</v>
      </c>
      <c r="W97">
        <v>1</v>
      </c>
      <c r="X97">
        <v>1</v>
      </c>
      <c r="Y97">
        <v>0</v>
      </c>
    </row>
    <row r="98" spans="2:25" ht="14.25" customHeight="1" x14ac:dyDescent="0.3">
      <c r="B98" s="3">
        <f t="shared" si="1"/>
        <v>0.94791666666667129</v>
      </c>
      <c r="D98">
        <v>0</v>
      </c>
      <c r="G98">
        <v>7.623287671232877E-2</v>
      </c>
      <c r="J98">
        <v>1</v>
      </c>
      <c r="L98">
        <v>0.58367440889453004</v>
      </c>
      <c r="N98">
        <v>0.88712621674067804</v>
      </c>
      <c r="S98">
        <v>1</v>
      </c>
      <c r="T98">
        <v>0</v>
      </c>
      <c r="U98">
        <v>0</v>
      </c>
      <c r="V98">
        <v>1</v>
      </c>
      <c r="W98">
        <v>1</v>
      </c>
      <c r="X98">
        <v>1</v>
      </c>
      <c r="Y98">
        <v>0</v>
      </c>
    </row>
    <row r="99" spans="2:25" ht="14.25" customHeight="1" x14ac:dyDescent="0.3">
      <c r="B99" s="3">
        <f t="shared" si="1"/>
        <v>0.95833333333333803</v>
      </c>
      <c r="D99">
        <v>5.2499999999999977E-2</v>
      </c>
      <c r="G99">
        <v>1</v>
      </c>
      <c r="J99">
        <v>1</v>
      </c>
      <c r="L99">
        <v>0.58185149222786336</v>
      </c>
      <c r="N99">
        <v>0.79166993571738664</v>
      </c>
      <c r="S99">
        <v>1</v>
      </c>
      <c r="T99">
        <v>0</v>
      </c>
      <c r="U99">
        <v>0</v>
      </c>
      <c r="V99">
        <v>1</v>
      </c>
      <c r="W99">
        <v>0</v>
      </c>
      <c r="X99">
        <v>1</v>
      </c>
      <c r="Y99">
        <v>0</v>
      </c>
    </row>
    <row r="100" spans="2:25" ht="14.25" customHeight="1" x14ac:dyDescent="0.3">
      <c r="B100" s="3">
        <f t="shared" si="1"/>
        <v>0.96875000000000477</v>
      </c>
      <c r="D100">
        <v>0</v>
      </c>
      <c r="G100">
        <v>2.5000000000000001E-2</v>
      </c>
      <c r="J100">
        <v>1</v>
      </c>
      <c r="L100">
        <v>0.58185149222786336</v>
      </c>
      <c r="N100">
        <v>0.7892835286918044</v>
      </c>
      <c r="S100">
        <v>1</v>
      </c>
      <c r="T100">
        <v>0</v>
      </c>
      <c r="U100">
        <v>0</v>
      </c>
      <c r="V100">
        <v>1</v>
      </c>
      <c r="W100">
        <v>0</v>
      </c>
      <c r="X100">
        <v>1</v>
      </c>
      <c r="Y100">
        <v>0</v>
      </c>
    </row>
    <row r="101" spans="2:25" ht="14.25" customHeight="1" x14ac:dyDescent="0.3">
      <c r="B101" s="3">
        <f t="shared" si="1"/>
        <v>0.97916666666667151</v>
      </c>
      <c r="D101">
        <v>0</v>
      </c>
      <c r="G101">
        <v>7.623287671232877E-2</v>
      </c>
      <c r="J101">
        <v>1</v>
      </c>
      <c r="L101">
        <v>0.58185149222786336</v>
      </c>
      <c r="N101">
        <v>0.78200662178913838</v>
      </c>
      <c r="S101">
        <v>1</v>
      </c>
      <c r="T101">
        <v>0</v>
      </c>
      <c r="U101">
        <v>0</v>
      </c>
      <c r="V101">
        <v>1</v>
      </c>
      <c r="W101">
        <v>1</v>
      </c>
      <c r="X101">
        <v>1</v>
      </c>
      <c r="Y101">
        <v>0</v>
      </c>
    </row>
    <row r="102" spans="2:25" ht="14.25" customHeight="1" x14ac:dyDescent="0.3">
      <c r="B102" s="3">
        <f t="shared" si="1"/>
        <v>0.98958333333333826</v>
      </c>
      <c r="D102">
        <v>0</v>
      </c>
      <c r="G102">
        <v>7.623287671232877E-2</v>
      </c>
      <c r="J102">
        <v>1</v>
      </c>
      <c r="L102">
        <v>0.58185149222786336</v>
      </c>
      <c r="N102">
        <v>0.77472971488647235</v>
      </c>
      <c r="S102">
        <v>1</v>
      </c>
      <c r="T102">
        <v>0</v>
      </c>
      <c r="U102">
        <v>0</v>
      </c>
      <c r="V102">
        <v>1</v>
      </c>
      <c r="W102">
        <v>1</v>
      </c>
      <c r="X102">
        <v>1</v>
      </c>
      <c r="Y102">
        <v>0</v>
      </c>
    </row>
    <row r="103" spans="2:25" ht="14.25" customHeight="1" x14ac:dyDescent="0.3"/>
    <row r="104" spans="2:25" ht="14.25" customHeight="1" x14ac:dyDescent="0.3"/>
    <row r="105" spans="2:25" ht="14.25" customHeight="1" x14ac:dyDescent="0.3"/>
    <row r="106" spans="2:25" ht="14.25" customHeight="1" x14ac:dyDescent="0.3"/>
    <row r="107" spans="2:25" ht="14.25" customHeight="1" x14ac:dyDescent="0.3"/>
    <row r="108" spans="2:25" ht="14.25" customHeight="1" x14ac:dyDescent="0.3"/>
    <row r="109" spans="2:25" ht="14.25" customHeight="1" x14ac:dyDescent="0.3"/>
    <row r="110" spans="2:25" ht="14.25" customHeight="1" x14ac:dyDescent="0.3"/>
    <row r="111" spans="2:25" ht="14.25" customHeight="1" x14ac:dyDescent="0.3"/>
    <row r="112" spans="2:25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</sheetData>
  <mergeCells count="3">
    <mergeCell ref="D5:J5"/>
    <mergeCell ref="S5:BW5"/>
    <mergeCell ref="L5:N5"/>
  </mergeCells>
  <pageMargins left="0.7" right="0.7" top="0.75" bottom="0.7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E7CB4-42C3-42B0-82B8-78461A184837}">
  <sheetPr codeName="Sheet22"/>
  <dimension ref="A1:AJY103"/>
  <sheetViews>
    <sheetView zoomScale="85" zoomScaleNormal="85" workbookViewId="0"/>
  </sheetViews>
  <sheetFormatPr defaultColWidth="7.77734375" defaultRowHeight="14.4" x14ac:dyDescent="0.3"/>
  <sheetData>
    <row r="1" spans="1:96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  <c r="GO1">
        <v>195</v>
      </c>
      <c r="GP1">
        <v>196</v>
      </c>
      <c r="GQ1">
        <v>197</v>
      </c>
      <c r="GR1">
        <v>198</v>
      </c>
      <c r="GS1">
        <v>199</v>
      </c>
      <c r="GT1">
        <v>200</v>
      </c>
      <c r="GU1">
        <v>201</v>
      </c>
      <c r="GV1">
        <v>202</v>
      </c>
      <c r="GW1">
        <v>203</v>
      </c>
      <c r="GX1">
        <v>204</v>
      </c>
      <c r="GY1">
        <v>205</v>
      </c>
      <c r="GZ1">
        <v>206</v>
      </c>
      <c r="HA1">
        <v>207</v>
      </c>
      <c r="HB1">
        <v>208</v>
      </c>
      <c r="HC1">
        <v>209</v>
      </c>
      <c r="HD1">
        <v>210</v>
      </c>
      <c r="HE1">
        <v>211</v>
      </c>
      <c r="HF1">
        <v>212</v>
      </c>
      <c r="HG1">
        <v>213</v>
      </c>
      <c r="HH1">
        <v>214</v>
      </c>
      <c r="HI1">
        <v>215</v>
      </c>
      <c r="HJ1">
        <v>216</v>
      </c>
      <c r="HK1">
        <v>217</v>
      </c>
      <c r="HL1">
        <v>218</v>
      </c>
      <c r="HM1">
        <v>219</v>
      </c>
      <c r="HN1">
        <v>220</v>
      </c>
      <c r="HO1">
        <v>221</v>
      </c>
      <c r="HP1">
        <v>222</v>
      </c>
      <c r="HQ1">
        <v>223</v>
      </c>
      <c r="HR1">
        <v>224</v>
      </c>
      <c r="HS1">
        <v>225</v>
      </c>
      <c r="HT1">
        <v>226</v>
      </c>
      <c r="HU1">
        <v>227</v>
      </c>
      <c r="HV1">
        <v>228</v>
      </c>
      <c r="HW1">
        <v>229</v>
      </c>
      <c r="HX1">
        <v>230</v>
      </c>
      <c r="HY1">
        <v>231</v>
      </c>
      <c r="HZ1">
        <v>232</v>
      </c>
      <c r="IA1">
        <v>233</v>
      </c>
      <c r="IB1">
        <v>234</v>
      </c>
      <c r="IC1">
        <v>235</v>
      </c>
      <c r="ID1">
        <v>236</v>
      </c>
      <c r="IE1">
        <v>237</v>
      </c>
      <c r="IF1">
        <v>238</v>
      </c>
      <c r="IG1">
        <v>239</v>
      </c>
      <c r="IH1">
        <v>240</v>
      </c>
      <c r="II1">
        <v>241</v>
      </c>
      <c r="IJ1">
        <v>242</v>
      </c>
      <c r="IK1">
        <v>243</v>
      </c>
      <c r="IL1">
        <v>244</v>
      </c>
      <c r="IM1">
        <v>245</v>
      </c>
      <c r="IN1">
        <v>246</v>
      </c>
      <c r="IO1">
        <v>247</v>
      </c>
      <c r="IP1">
        <v>248</v>
      </c>
      <c r="IQ1">
        <v>249</v>
      </c>
      <c r="IR1">
        <v>250</v>
      </c>
      <c r="IS1">
        <v>251</v>
      </c>
      <c r="IT1">
        <v>252</v>
      </c>
      <c r="IU1">
        <v>253</v>
      </c>
      <c r="IV1">
        <v>254</v>
      </c>
      <c r="IW1">
        <v>255</v>
      </c>
      <c r="IX1">
        <v>256</v>
      </c>
      <c r="IY1">
        <v>257</v>
      </c>
      <c r="IZ1">
        <v>258</v>
      </c>
      <c r="JA1">
        <v>259</v>
      </c>
      <c r="JB1">
        <v>260</v>
      </c>
      <c r="JC1">
        <v>261</v>
      </c>
      <c r="JD1">
        <v>262</v>
      </c>
      <c r="JE1">
        <v>263</v>
      </c>
      <c r="JF1">
        <v>264</v>
      </c>
      <c r="JG1">
        <v>265</v>
      </c>
      <c r="JH1">
        <v>266</v>
      </c>
      <c r="JI1">
        <v>267</v>
      </c>
      <c r="JJ1">
        <v>268</v>
      </c>
      <c r="JK1">
        <v>269</v>
      </c>
      <c r="JL1">
        <v>270</v>
      </c>
      <c r="JM1">
        <v>271</v>
      </c>
      <c r="JN1">
        <v>272</v>
      </c>
      <c r="JO1">
        <v>273</v>
      </c>
      <c r="JP1">
        <v>274</v>
      </c>
      <c r="JQ1">
        <v>275</v>
      </c>
      <c r="JR1">
        <v>276</v>
      </c>
      <c r="JS1">
        <v>277</v>
      </c>
      <c r="JT1">
        <v>278</v>
      </c>
      <c r="JU1">
        <v>279</v>
      </c>
      <c r="JV1">
        <v>280</v>
      </c>
      <c r="JW1">
        <v>281</v>
      </c>
      <c r="JX1">
        <v>282</v>
      </c>
      <c r="JY1">
        <v>283</v>
      </c>
      <c r="JZ1">
        <v>284</v>
      </c>
      <c r="KA1">
        <v>285</v>
      </c>
      <c r="KB1">
        <v>286</v>
      </c>
      <c r="KC1">
        <v>287</v>
      </c>
      <c r="KD1">
        <v>288</v>
      </c>
      <c r="KE1">
        <v>289</v>
      </c>
      <c r="KF1">
        <v>290</v>
      </c>
      <c r="KG1">
        <v>291</v>
      </c>
      <c r="KH1">
        <v>292</v>
      </c>
      <c r="KI1">
        <v>293</v>
      </c>
      <c r="KJ1">
        <v>294</v>
      </c>
      <c r="KK1">
        <v>295</v>
      </c>
      <c r="KL1">
        <v>296</v>
      </c>
      <c r="KM1">
        <v>297</v>
      </c>
      <c r="KN1">
        <v>298</v>
      </c>
      <c r="KO1">
        <v>299</v>
      </c>
      <c r="KP1">
        <v>300</v>
      </c>
      <c r="KQ1">
        <v>301</v>
      </c>
      <c r="KR1">
        <v>302</v>
      </c>
      <c r="KS1">
        <v>303</v>
      </c>
      <c r="KT1">
        <v>304</v>
      </c>
      <c r="KU1">
        <v>305</v>
      </c>
      <c r="KV1">
        <v>306</v>
      </c>
      <c r="KW1">
        <v>307</v>
      </c>
      <c r="KX1">
        <v>308</v>
      </c>
      <c r="KY1">
        <v>309</v>
      </c>
      <c r="KZ1">
        <v>310</v>
      </c>
      <c r="LA1">
        <v>311</v>
      </c>
      <c r="LB1">
        <v>312</v>
      </c>
      <c r="LC1">
        <v>313</v>
      </c>
      <c r="LD1">
        <v>314</v>
      </c>
      <c r="LE1">
        <v>315</v>
      </c>
      <c r="LF1">
        <v>316</v>
      </c>
      <c r="LG1">
        <v>317</v>
      </c>
      <c r="LH1">
        <v>318</v>
      </c>
      <c r="LI1">
        <v>319</v>
      </c>
      <c r="LJ1">
        <v>320</v>
      </c>
      <c r="LK1">
        <v>321</v>
      </c>
      <c r="LL1">
        <v>322</v>
      </c>
      <c r="LM1">
        <v>323</v>
      </c>
      <c r="LN1">
        <v>324</v>
      </c>
      <c r="LO1">
        <v>325</v>
      </c>
      <c r="LP1">
        <v>326</v>
      </c>
      <c r="LQ1">
        <v>327</v>
      </c>
      <c r="LR1">
        <v>328</v>
      </c>
      <c r="LS1">
        <v>329</v>
      </c>
      <c r="LT1">
        <v>330</v>
      </c>
      <c r="LU1">
        <v>331</v>
      </c>
      <c r="LV1">
        <v>332</v>
      </c>
      <c r="LW1">
        <v>333</v>
      </c>
      <c r="LX1">
        <v>334</v>
      </c>
      <c r="LY1">
        <v>335</v>
      </c>
      <c r="LZ1">
        <v>336</v>
      </c>
      <c r="MA1">
        <v>337</v>
      </c>
      <c r="MB1">
        <v>338</v>
      </c>
      <c r="MC1">
        <v>339</v>
      </c>
      <c r="MD1">
        <v>340</v>
      </c>
      <c r="ME1">
        <v>341</v>
      </c>
      <c r="MF1">
        <v>342</v>
      </c>
      <c r="MG1">
        <v>343</v>
      </c>
      <c r="MH1">
        <v>344</v>
      </c>
      <c r="MI1">
        <v>345</v>
      </c>
      <c r="MJ1">
        <v>346</v>
      </c>
      <c r="MK1">
        <v>347</v>
      </c>
      <c r="ML1">
        <v>348</v>
      </c>
      <c r="MM1">
        <v>349</v>
      </c>
      <c r="MN1">
        <v>350</v>
      </c>
      <c r="MO1">
        <v>351</v>
      </c>
      <c r="MP1">
        <v>352</v>
      </c>
      <c r="MQ1">
        <v>353</v>
      </c>
      <c r="MR1">
        <v>354</v>
      </c>
      <c r="MS1">
        <v>355</v>
      </c>
      <c r="MT1">
        <v>356</v>
      </c>
      <c r="MU1">
        <v>357</v>
      </c>
      <c r="MV1">
        <v>358</v>
      </c>
      <c r="MW1">
        <v>359</v>
      </c>
      <c r="MX1">
        <v>360</v>
      </c>
      <c r="MY1">
        <v>361</v>
      </c>
      <c r="MZ1">
        <v>362</v>
      </c>
      <c r="NA1">
        <v>363</v>
      </c>
      <c r="NB1">
        <v>364</v>
      </c>
      <c r="NC1">
        <v>365</v>
      </c>
      <c r="ND1">
        <v>366</v>
      </c>
      <c r="NE1">
        <v>367</v>
      </c>
      <c r="NF1">
        <v>368</v>
      </c>
      <c r="NG1">
        <v>369</v>
      </c>
      <c r="NH1">
        <v>370</v>
      </c>
      <c r="NI1">
        <v>371</v>
      </c>
      <c r="NJ1">
        <v>372</v>
      </c>
      <c r="NK1">
        <v>373</v>
      </c>
      <c r="NL1">
        <v>374</v>
      </c>
      <c r="NM1">
        <v>375</v>
      </c>
      <c r="NN1">
        <v>376</v>
      </c>
      <c r="NO1">
        <v>377</v>
      </c>
      <c r="NP1">
        <v>378</v>
      </c>
      <c r="NQ1">
        <v>379</v>
      </c>
      <c r="NR1">
        <v>380</v>
      </c>
      <c r="NS1">
        <v>381</v>
      </c>
      <c r="NT1">
        <v>382</v>
      </c>
      <c r="NU1">
        <v>383</v>
      </c>
      <c r="NV1">
        <v>384</v>
      </c>
      <c r="NW1">
        <v>385</v>
      </c>
      <c r="NX1">
        <v>386</v>
      </c>
      <c r="NY1">
        <v>387</v>
      </c>
      <c r="NZ1">
        <v>388</v>
      </c>
      <c r="OA1">
        <v>389</v>
      </c>
      <c r="OB1">
        <v>390</v>
      </c>
      <c r="OC1">
        <v>391</v>
      </c>
      <c r="OD1">
        <v>392</v>
      </c>
      <c r="OE1">
        <v>393</v>
      </c>
      <c r="OF1">
        <v>394</v>
      </c>
      <c r="OG1">
        <v>395</v>
      </c>
      <c r="OH1">
        <v>396</v>
      </c>
      <c r="OI1">
        <v>397</v>
      </c>
      <c r="OJ1">
        <v>398</v>
      </c>
      <c r="OK1">
        <v>399</v>
      </c>
      <c r="OL1">
        <v>400</v>
      </c>
      <c r="OM1">
        <v>401</v>
      </c>
      <c r="ON1">
        <v>402</v>
      </c>
      <c r="OO1">
        <v>403</v>
      </c>
      <c r="OP1">
        <v>404</v>
      </c>
      <c r="OQ1">
        <v>405</v>
      </c>
      <c r="OR1">
        <v>406</v>
      </c>
      <c r="OS1">
        <v>407</v>
      </c>
      <c r="OT1">
        <v>408</v>
      </c>
      <c r="OU1">
        <v>409</v>
      </c>
      <c r="OV1">
        <v>410</v>
      </c>
      <c r="OW1">
        <v>411</v>
      </c>
      <c r="OX1">
        <v>412</v>
      </c>
      <c r="OY1">
        <v>413</v>
      </c>
      <c r="OZ1">
        <v>414</v>
      </c>
      <c r="PA1">
        <v>415</v>
      </c>
      <c r="PB1">
        <v>416</v>
      </c>
      <c r="PC1">
        <v>417</v>
      </c>
      <c r="PD1">
        <v>418</v>
      </c>
      <c r="PE1">
        <v>419</v>
      </c>
      <c r="PF1">
        <v>420</v>
      </c>
      <c r="PG1">
        <v>421</v>
      </c>
      <c r="PH1">
        <v>422</v>
      </c>
      <c r="PI1">
        <v>423</v>
      </c>
      <c r="PJ1">
        <v>424</v>
      </c>
      <c r="PK1">
        <v>425</v>
      </c>
      <c r="PL1">
        <v>426</v>
      </c>
      <c r="PM1">
        <v>427</v>
      </c>
      <c r="PN1">
        <v>428</v>
      </c>
      <c r="PO1">
        <v>429</v>
      </c>
      <c r="PP1">
        <v>430</v>
      </c>
      <c r="PQ1">
        <v>431</v>
      </c>
      <c r="PR1">
        <v>432</v>
      </c>
      <c r="PS1">
        <v>433</v>
      </c>
      <c r="PT1">
        <v>434</v>
      </c>
      <c r="PU1">
        <v>435</v>
      </c>
      <c r="PV1">
        <v>436</v>
      </c>
      <c r="PW1">
        <v>437</v>
      </c>
      <c r="PX1">
        <v>438</v>
      </c>
      <c r="PY1">
        <v>439</v>
      </c>
      <c r="PZ1">
        <v>440</v>
      </c>
      <c r="QA1">
        <v>441</v>
      </c>
      <c r="QB1">
        <v>442</v>
      </c>
      <c r="QC1">
        <v>443</v>
      </c>
      <c r="QD1">
        <v>444</v>
      </c>
      <c r="QE1">
        <v>445</v>
      </c>
      <c r="QF1">
        <v>446</v>
      </c>
      <c r="QG1">
        <v>447</v>
      </c>
      <c r="QH1">
        <v>448</v>
      </c>
      <c r="QI1">
        <v>449</v>
      </c>
      <c r="QJ1">
        <v>450</v>
      </c>
      <c r="QK1">
        <v>451</v>
      </c>
      <c r="QL1">
        <v>452</v>
      </c>
      <c r="QM1">
        <v>453</v>
      </c>
      <c r="QN1">
        <v>454</v>
      </c>
      <c r="QO1">
        <v>455</v>
      </c>
      <c r="QP1">
        <v>456</v>
      </c>
      <c r="QQ1">
        <v>457</v>
      </c>
      <c r="QR1">
        <v>458</v>
      </c>
      <c r="QS1">
        <v>459</v>
      </c>
      <c r="QT1">
        <v>460</v>
      </c>
      <c r="QU1">
        <v>461</v>
      </c>
      <c r="QV1">
        <v>462</v>
      </c>
      <c r="QW1">
        <v>463</v>
      </c>
      <c r="QX1">
        <v>464</v>
      </c>
      <c r="QY1">
        <v>465</v>
      </c>
      <c r="QZ1">
        <v>466</v>
      </c>
      <c r="RA1">
        <v>467</v>
      </c>
      <c r="RB1">
        <v>468</v>
      </c>
      <c r="RC1">
        <v>469</v>
      </c>
      <c r="RD1">
        <v>470</v>
      </c>
      <c r="RE1">
        <v>471</v>
      </c>
      <c r="RF1">
        <v>472</v>
      </c>
      <c r="RG1">
        <v>473</v>
      </c>
      <c r="RH1">
        <v>474</v>
      </c>
      <c r="RI1">
        <v>475</v>
      </c>
      <c r="RJ1">
        <v>476</v>
      </c>
      <c r="RK1">
        <v>477</v>
      </c>
      <c r="RL1">
        <v>478</v>
      </c>
      <c r="RM1">
        <v>479</v>
      </c>
      <c r="RN1">
        <v>480</v>
      </c>
      <c r="RO1">
        <v>481</v>
      </c>
      <c r="RP1">
        <v>482</v>
      </c>
      <c r="RQ1">
        <v>483</v>
      </c>
      <c r="RR1">
        <v>484</v>
      </c>
      <c r="RS1">
        <v>485</v>
      </c>
      <c r="RT1">
        <v>486</v>
      </c>
      <c r="RU1">
        <v>487</v>
      </c>
      <c r="RV1">
        <v>488</v>
      </c>
      <c r="RW1">
        <v>489</v>
      </c>
      <c r="RX1">
        <v>490</v>
      </c>
      <c r="RY1">
        <v>491</v>
      </c>
      <c r="RZ1">
        <v>492</v>
      </c>
      <c r="SA1">
        <v>493</v>
      </c>
      <c r="SB1">
        <v>494</v>
      </c>
      <c r="SC1">
        <v>495</v>
      </c>
      <c r="SD1">
        <v>496</v>
      </c>
      <c r="SE1">
        <v>497</v>
      </c>
      <c r="SF1">
        <v>498</v>
      </c>
      <c r="SG1">
        <v>499</v>
      </c>
      <c r="SH1">
        <v>500</v>
      </c>
      <c r="SI1">
        <v>501</v>
      </c>
      <c r="SJ1">
        <v>502</v>
      </c>
      <c r="SK1">
        <v>503</v>
      </c>
      <c r="SL1">
        <v>504</v>
      </c>
      <c r="SM1">
        <v>505</v>
      </c>
      <c r="SN1">
        <v>506</v>
      </c>
      <c r="SO1">
        <v>507</v>
      </c>
      <c r="SP1">
        <v>508</v>
      </c>
      <c r="SQ1">
        <v>509</v>
      </c>
      <c r="SR1">
        <v>510</v>
      </c>
      <c r="SS1">
        <v>511</v>
      </c>
      <c r="ST1">
        <v>512</v>
      </c>
      <c r="SU1">
        <v>513</v>
      </c>
      <c r="SV1">
        <v>514</v>
      </c>
      <c r="SW1">
        <v>515</v>
      </c>
      <c r="SX1">
        <v>516</v>
      </c>
      <c r="SY1">
        <v>517</v>
      </c>
      <c r="SZ1">
        <v>518</v>
      </c>
      <c r="TA1">
        <v>519</v>
      </c>
      <c r="TB1">
        <v>520</v>
      </c>
      <c r="TC1">
        <v>521</v>
      </c>
      <c r="TD1">
        <v>522</v>
      </c>
      <c r="TE1">
        <v>523</v>
      </c>
      <c r="TF1">
        <v>524</v>
      </c>
      <c r="TG1">
        <v>525</v>
      </c>
      <c r="TH1">
        <v>526</v>
      </c>
      <c r="TI1">
        <v>527</v>
      </c>
      <c r="TJ1">
        <v>528</v>
      </c>
      <c r="TK1">
        <v>529</v>
      </c>
      <c r="TL1">
        <v>530</v>
      </c>
      <c r="TM1">
        <v>531</v>
      </c>
      <c r="TN1">
        <v>532</v>
      </c>
      <c r="TO1">
        <v>533</v>
      </c>
      <c r="TP1">
        <v>534</v>
      </c>
      <c r="TQ1">
        <v>535</v>
      </c>
      <c r="TR1">
        <v>536</v>
      </c>
      <c r="TS1">
        <v>537</v>
      </c>
      <c r="TT1">
        <v>538</v>
      </c>
      <c r="TU1">
        <v>539</v>
      </c>
      <c r="TV1">
        <v>540</v>
      </c>
      <c r="TW1">
        <v>541</v>
      </c>
      <c r="TX1">
        <v>542</v>
      </c>
      <c r="TY1">
        <v>543</v>
      </c>
      <c r="TZ1">
        <v>544</v>
      </c>
      <c r="UA1">
        <v>545</v>
      </c>
      <c r="UB1">
        <v>546</v>
      </c>
      <c r="UC1">
        <v>547</v>
      </c>
      <c r="UD1">
        <v>548</v>
      </c>
      <c r="UE1">
        <v>549</v>
      </c>
      <c r="UF1">
        <v>550</v>
      </c>
      <c r="UG1">
        <v>551</v>
      </c>
      <c r="UH1">
        <v>552</v>
      </c>
      <c r="UI1">
        <v>553</v>
      </c>
      <c r="UJ1">
        <v>554</v>
      </c>
      <c r="UK1">
        <v>555</v>
      </c>
      <c r="UL1">
        <v>556</v>
      </c>
      <c r="UM1">
        <v>557</v>
      </c>
      <c r="UN1">
        <v>558</v>
      </c>
      <c r="UO1">
        <v>559</v>
      </c>
      <c r="UP1">
        <v>560</v>
      </c>
      <c r="UQ1">
        <v>561</v>
      </c>
      <c r="UR1">
        <v>562</v>
      </c>
      <c r="US1">
        <v>563</v>
      </c>
      <c r="UT1">
        <v>564</v>
      </c>
      <c r="UU1">
        <v>565</v>
      </c>
      <c r="UV1">
        <v>566</v>
      </c>
      <c r="UW1">
        <v>567</v>
      </c>
      <c r="UX1">
        <v>568</v>
      </c>
      <c r="UY1">
        <v>569</v>
      </c>
      <c r="UZ1">
        <v>570</v>
      </c>
      <c r="VA1">
        <v>571</v>
      </c>
      <c r="VB1">
        <v>572</v>
      </c>
      <c r="VC1">
        <v>573</v>
      </c>
      <c r="VD1">
        <v>574</v>
      </c>
      <c r="VE1">
        <v>575</v>
      </c>
      <c r="VF1">
        <v>576</v>
      </c>
      <c r="VG1">
        <v>577</v>
      </c>
      <c r="VH1">
        <v>578</v>
      </c>
      <c r="VI1">
        <v>579</v>
      </c>
      <c r="VJ1">
        <v>580</v>
      </c>
      <c r="VK1">
        <v>581</v>
      </c>
      <c r="VL1">
        <v>582</v>
      </c>
      <c r="VM1">
        <v>583</v>
      </c>
      <c r="VN1">
        <v>584</v>
      </c>
      <c r="VO1">
        <v>585</v>
      </c>
      <c r="VP1">
        <v>586</v>
      </c>
      <c r="VQ1">
        <v>587</v>
      </c>
      <c r="VR1">
        <v>588</v>
      </c>
      <c r="VS1">
        <v>589</v>
      </c>
      <c r="VT1">
        <v>590</v>
      </c>
      <c r="VU1">
        <v>591</v>
      </c>
      <c r="VV1">
        <v>592</v>
      </c>
      <c r="VW1">
        <v>593</v>
      </c>
      <c r="VX1">
        <v>594</v>
      </c>
      <c r="VY1">
        <v>595</v>
      </c>
      <c r="VZ1">
        <v>596</v>
      </c>
      <c r="WA1">
        <v>597</v>
      </c>
      <c r="WB1">
        <v>598</v>
      </c>
      <c r="WC1">
        <v>599</v>
      </c>
      <c r="WD1">
        <v>600</v>
      </c>
      <c r="WE1">
        <v>601</v>
      </c>
      <c r="WF1">
        <v>602</v>
      </c>
      <c r="WG1">
        <v>603</v>
      </c>
      <c r="WH1">
        <v>604</v>
      </c>
      <c r="WI1">
        <v>605</v>
      </c>
      <c r="WJ1">
        <v>606</v>
      </c>
      <c r="WK1">
        <v>607</v>
      </c>
      <c r="WL1">
        <v>608</v>
      </c>
      <c r="WM1">
        <v>609</v>
      </c>
      <c r="WN1">
        <v>610</v>
      </c>
      <c r="WO1">
        <v>611</v>
      </c>
      <c r="WP1">
        <v>612</v>
      </c>
      <c r="WQ1">
        <v>613</v>
      </c>
      <c r="WR1">
        <v>614</v>
      </c>
      <c r="WS1">
        <v>615</v>
      </c>
      <c r="WT1">
        <v>616</v>
      </c>
      <c r="WU1">
        <v>617</v>
      </c>
      <c r="WV1">
        <v>618</v>
      </c>
      <c r="WW1">
        <v>619</v>
      </c>
      <c r="WX1">
        <v>620</v>
      </c>
      <c r="WY1">
        <v>621</v>
      </c>
      <c r="WZ1">
        <v>622</v>
      </c>
      <c r="XA1">
        <v>623</v>
      </c>
      <c r="XB1">
        <v>624</v>
      </c>
      <c r="XC1">
        <v>625</v>
      </c>
      <c r="XD1">
        <v>626</v>
      </c>
      <c r="XE1">
        <v>627</v>
      </c>
      <c r="XF1">
        <v>628</v>
      </c>
      <c r="XG1">
        <v>629</v>
      </c>
      <c r="XH1">
        <v>630</v>
      </c>
      <c r="XI1">
        <v>631</v>
      </c>
      <c r="XJ1">
        <v>632</v>
      </c>
      <c r="XK1">
        <v>633</v>
      </c>
      <c r="XL1">
        <v>634</v>
      </c>
      <c r="XM1">
        <v>635</v>
      </c>
      <c r="XN1">
        <v>636</v>
      </c>
      <c r="XO1">
        <v>637</v>
      </c>
      <c r="XP1">
        <v>638</v>
      </c>
      <c r="XQ1">
        <v>639</v>
      </c>
      <c r="XR1">
        <v>640</v>
      </c>
      <c r="XS1">
        <v>641</v>
      </c>
      <c r="XT1">
        <v>642</v>
      </c>
      <c r="XU1">
        <v>643</v>
      </c>
      <c r="XV1">
        <v>644</v>
      </c>
      <c r="XW1">
        <v>645</v>
      </c>
      <c r="XX1">
        <v>646</v>
      </c>
      <c r="XY1">
        <v>647</v>
      </c>
      <c r="XZ1">
        <v>648</v>
      </c>
      <c r="YA1">
        <v>649</v>
      </c>
      <c r="YB1">
        <v>650</v>
      </c>
      <c r="YC1">
        <v>651</v>
      </c>
      <c r="YD1">
        <v>652</v>
      </c>
      <c r="YE1">
        <v>653</v>
      </c>
      <c r="YF1">
        <v>654</v>
      </c>
      <c r="YG1">
        <v>655</v>
      </c>
      <c r="YH1">
        <v>656</v>
      </c>
      <c r="YI1">
        <v>657</v>
      </c>
      <c r="YJ1">
        <v>658</v>
      </c>
      <c r="YK1">
        <v>659</v>
      </c>
      <c r="YL1">
        <v>660</v>
      </c>
      <c r="YM1">
        <v>661</v>
      </c>
      <c r="YN1">
        <v>662</v>
      </c>
      <c r="YO1">
        <v>663</v>
      </c>
      <c r="YP1">
        <v>664</v>
      </c>
      <c r="YQ1">
        <v>665</v>
      </c>
      <c r="YR1">
        <v>666</v>
      </c>
      <c r="YS1">
        <v>667</v>
      </c>
      <c r="YT1">
        <v>668</v>
      </c>
      <c r="YU1">
        <v>669</v>
      </c>
      <c r="YV1">
        <v>670</v>
      </c>
      <c r="YW1">
        <v>671</v>
      </c>
      <c r="YX1">
        <v>672</v>
      </c>
      <c r="YY1">
        <v>673</v>
      </c>
      <c r="YZ1">
        <v>674</v>
      </c>
      <c r="ZA1">
        <v>675</v>
      </c>
      <c r="ZB1">
        <v>676</v>
      </c>
      <c r="ZC1">
        <v>677</v>
      </c>
      <c r="ZD1">
        <v>678</v>
      </c>
      <c r="ZE1">
        <v>679</v>
      </c>
      <c r="ZF1">
        <v>680</v>
      </c>
      <c r="ZG1">
        <v>681</v>
      </c>
      <c r="ZH1">
        <v>682</v>
      </c>
      <c r="ZI1">
        <v>683</v>
      </c>
      <c r="ZJ1">
        <v>684</v>
      </c>
      <c r="ZK1">
        <v>685</v>
      </c>
      <c r="ZL1">
        <v>686</v>
      </c>
      <c r="ZM1">
        <v>687</v>
      </c>
      <c r="ZN1">
        <v>688</v>
      </c>
      <c r="ZO1">
        <v>689</v>
      </c>
      <c r="ZP1">
        <v>690</v>
      </c>
      <c r="ZQ1">
        <v>691</v>
      </c>
      <c r="ZR1">
        <v>692</v>
      </c>
      <c r="ZS1">
        <v>693</v>
      </c>
      <c r="ZT1">
        <v>694</v>
      </c>
      <c r="ZU1">
        <v>695</v>
      </c>
      <c r="ZV1">
        <v>696</v>
      </c>
      <c r="ZW1">
        <v>697</v>
      </c>
      <c r="ZX1">
        <v>698</v>
      </c>
      <c r="ZY1">
        <v>699</v>
      </c>
      <c r="ZZ1">
        <v>700</v>
      </c>
      <c r="AAA1">
        <v>701</v>
      </c>
      <c r="AAB1">
        <v>702</v>
      </c>
      <c r="AAC1">
        <v>703</v>
      </c>
      <c r="AAD1">
        <v>704</v>
      </c>
      <c r="AAE1">
        <v>705</v>
      </c>
      <c r="AAF1">
        <v>706</v>
      </c>
      <c r="AAG1">
        <v>707</v>
      </c>
      <c r="AAH1">
        <v>708</v>
      </c>
      <c r="AAI1">
        <v>709</v>
      </c>
      <c r="AAJ1">
        <v>710</v>
      </c>
      <c r="AAK1">
        <v>711</v>
      </c>
      <c r="AAL1">
        <v>712</v>
      </c>
      <c r="AAM1">
        <v>713</v>
      </c>
      <c r="AAN1">
        <v>714</v>
      </c>
      <c r="AAO1">
        <v>715</v>
      </c>
      <c r="AAP1">
        <v>716</v>
      </c>
      <c r="AAQ1">
        <v>717</v>
      </c>
      <c r="AAR1">
        <v>718</v>
      </c>
      <c r="AAS1">
        <v>719</v>
      </c>
      <c r="AAT1">
        <v>720</v>
      </c>
      <c r="AAU1">
        <v>721</v>
      </c>
      <c r="AAV1">
        <v>722</v>
      </c>
      <c r="AAW1">
        <v>723</v>
      </c>
      <c r="AAX1">
        <v>724</v>
      </c>
      <c r="AAY1">
        <v>725</v>
      </c>
      <c r="AAZ1">
        <v>726</v>
      </c>
      <c r="ABA1">
        <v>727</v>
      </c>
      <c r="ABB1">
        <v>728</v>
      </c>
      <c r="ABC1">
        <v>729</v>
      </c>
      <c r="ABD1">
        <v>730</v>
      </c>
      <c r="ABE1">
        <v>731</v>
      </c>
      <c r="ABF1">
        <v>732</v>
      </c>
      <c r="ABG1">
        <v>733</v>
      </c>
      <c r="ABH1">
        <v>734</v>
      </c>
      <c r="ABI1">
        <v>735</v>
      </c>
      <c r="ABJ1">
        <v>736</v>
      </c>
      <c r="ABK1">
        <v>737</v>
      </c>
      <c r="ABL1">
        <v>738</v>
      </c>
      <c r="ABM1">
        <v>739</v>
      </c>
      <c r="ABN1">
        <v>740</v>
      </c>
      <c r="ABO1">
        <v>741</v>
      </c>
      <c r="ABP1">
        <v>742</v>
      </c>
      <c r="ABQ1">
        <v>743</v>
      </c>
      <c r="ABR1">
        <v>744</v>
      </c>
      <c r="ABS1">
        <v>745</v>
      </c>
      <c r="ABT1">
        <v>746</v>
      </c>
      <c r="ABU1">
        <v>747</v>
      </c>
      <c r="ABV1">
        <v>748</v>
      </c>
      <c r="ABW1">
        <v>749</v>
      </c>
      <c r="ABX1">
        <v>750</v>
      </c>
      <c r="ABY1">
        <v>751</v>
      </c>
      <c r="ABZ1">
        <v>752</v>
      </c>
      <c r="ACA1">
        <v>753</v>
      </c>
      <c r="ACB1">
        <v>754</v>
      </c>
      <c r="ACC1">
        <v>755</v>
      </c>
      <c r="ACD1">
        <v>756</v>
      </c>
      <c r="ACE1">
        <v>757</v>
      </c>
      <c r="ACF1">
        <v>758</v>
      </c>
      <c r="ACG1">
        <v>759</v>
      </c>
      <c r="ACH1">
        <v>760</v>
      </c>
      <c r="ACI1">
        <v>761</v>
      </c>
      <c r="ACJ1">
        <v>762</v>
      </c>
      <c r="ACK1">
        <v>763</v>
      </c>
      <c r="ACL1">
        <v>764</v>
      </c>
      <c r="ACM1">
        <v>765</v>
      </c>
      <c r="ACN1">
        <v>766</v>
      </c>
      <c r="ACO1">
        <v>767</v>
      </c>
      <c r="ACP1">
        <v>768</v>
      </c>
      <c r="ACQ1">
        <v>769</v>
      </c>
      <c r="ACR1">
        <v>770</v>
      </c>
      <c r="ACS1">
        <v>771</v>
      </c>
      <c r="ACT1">
        <v>772</v>
      </c>
      <c r="ACU1">
        <v>773</v>
      </c>
      <c r="ACV1">
        <v>774</v>
      </c>
      <c r="ACW1">
        <v>775</v>
      </c>
      <c r="ACX1">
        <v>776</v>
      </c>
      <c r="ACY1">
        <v>777</v>
      </c>
      <c r="ACZ1">
        <v>778</v>
      </c>
      <c r="ADA1">
        <v>779</v>
      </c>
      <c r="ADB1">
        <v>780</v>
      </c>
      <c r="ADC1">
        <v>781</v>
      </c>
      <c r="ADD1">
        <v>782</v>
      </c>
      <c r="ADE1">
        <v>783</v>
      </c>
      <c r="ADF1">
        <v>784</v>
      </c>
      <c r="ADG1">
        <v>785</v>
      </c>
      <c r="ADH1">
        <v>786</v>
      </c>
      <c r="ADI1">
        <v>787</v>
      </c>
      <c r="ADJ1">
        <v>788</v>
      </c>
      <c r="ADK1">
        <v>789</v>
      </c>
      <c r="ADL1">
        <v>790</v>
      </c>
      <c r="ADM1">
        <v>791</v>
      </c>
      <c r="ADN1">
        <v>792</v>
      </c>
      <c r="ADO1">
        <v>793</v>
      </c>
      <c r="ADP1">
        <v>794</v>
      </c>
      <c r="ADQ1">
        <v>795</v>
      </c>
      <c r="ADR1">
        <v>796</v>
      </c>
      <c r="ADS1">
        <v>797</v>
      </c>
      <c r="ADT1">
        <v>798</v>
      </c>
      <c r="ADU1">
        <v>799</v>
      </c>
      <c r="ADV1">
        <v>800</v>
      </c>
      <c r="ADW1">
        <v>801</v>
      </c>
      <c r="ADX1">
        <v>802</v>
      </c>
      <c r="ADY1">
        <v>803</v>
      </c>
      <c r="ADZ1">
        <v>804</v>
      </c>
      <c r="AEA1">
        <v>805</v>
      </c>
      <c r="AEB1">
        <v>806</v>
      </c>
      <c r="AEC1">
        <v>807</v>
      </c>
      <c r="AED1">
        <v>808</v>
      </c>
      <c r="AEE1">
        <v>809</v>
      </c>
      <c r="AEF1">
        <v>810</v>
      </c>
      <c r="AEG1">
        <v>811</v>
      </c>
      <c r="AEH1">
        <v>812</v>
      </c>
      <c r="AEI1">
        <v>813</v>
      </c>
      <c r="AEJ1">
        <v>814</v>
      </c>
      <c r="AEK1">
        <v>815</v>
      </c>
      <c r="AEL1">
        <v>816</v>
      </c>
      <c r="AEM1">
        <v>817</v>
      </c>
      <c r="AEN1">
        <v>818</v>
      </c>
      <c r="AEO1">
        <v>819</v>
      </c>
      <c r="AEP1">
        <v>820</v>
      </c>
      <c r="AEQ1">
        <v>821</v>
      </c>
      <c r="AER1">
        <v>822</v>
      </c>
      <c r="AES1">
        <v>823</v>
      </c>
      <c r="AET1">
        <v>824</v>
      </c>
      <c r="AEU1">
        <v>825</v>
      </c>
      <c r="AEV1">
        <v>826</v>
      </c>
      <c r="AEW1">
        <v>827</v>
      </c>
      <c r="AEX1">
        <v>828</v>
      </c>
      <c r="AEY1">
        <v>829</v>
      </c>
      <c r="AEZ1">
        <v>830</v>
      </c>
      <c r="AFA1">
        <v>831</v>
      </c>
      <c r="AFB1">
        <v>832</v>
      </c>
      <c r="AFC1">
        <v>833</v>
      </c>
      <c r="AFD1">
        <v>834</v>
      </c>
      <c r="AFE1">
        <v>835</v>
      </c>
      <c r="AFF1">
        <v>836</v>
      </c>
      <c r="AFG1">
        <v>837</v>
      </c>
      <c r="AFH1">
        <v>838</v>
      </c>
      <c r="AFI1">
        <v>839</v>
      </c>
      <c r="AFJ1">
        <v>840</v>
      </c>
      <c r="AFK1">
        <v>841</v>
      </c>
      <c r="AFL1">
        <v>842</v>
      </c>
      <c r="AFM1">
        <v>843</v>
      </c>
      <c r="AFN1">
        <v>844</v>
      </c>
      <c r="AFO1">
        <v>845</v>
      </c>
      <c r="AFP1">
        <v>846</v>
      </c>
      <c r="AFQ1">
        <v>847</v>
      </c>
      <c r="AFR1">
        <v>848</v>
      </c>
      <c r="AFS1">
        <v>849</v>
      </c>
      <c r="AFT1">
        <v>850</v>
      </c>
      <c r="AFU1">
        <v>851</v>
      </c>
      <c r="AFV1">
        <v>852</v>
      </c>
      <c r="AFW1">
        <v>853</v>
      </c>
      <c r="AFX1">
        <v>854</v>
      </c>
      <c r="AFY1">
        <v>855</v>
      </c>
      <c r="AFZ1">
        <v>856</v>
      </c>
      <c r="AGA1">
        <v>857</v>
      </c>
      <c r="AGB1">
        <v>858</v>
      </c>
      <c r="AGC1">
        <v>859</v>
      </c>
      <c r="AGD1">
        <v>860</v>
      </c>
      <c r="AGE1">
        <v>861</v>
      </c>
      <c r="AGF1">
        <v>862</v>
      </c>
      <c r="AGG1">
        <v>863</v>
      </c>
      <c r="AGH1">
        <v>864</v>
      </c>
      <c r="AGI1">
        <v>865</v>
      </c>
      <c r="AGJ1">
        <v>866</v>
      </c>
      <c r="AGK1">
        <v>867</v>
      </c>
      <c r="AGL1">
        <v>868</v>
      </c>
      <c r="AGM1">
        <v>869</v>
      </c>
      <c r="AGN1">
        <v>870</v>
      </c>
      <c r="AGO1">
        <v>871</v>
      </c>
      <c r="AGP1">
        <v>872</v>
      </c>
      <c r="AGQ1">
        <v>873</v>
      </c>
      <c r="AGR1">
        <v>874</v>
      </c>
      <c r="AGS1">
        <v>875</v>
      </c>
      <c r="AGT1">
        <v>876</v>
      </c>
      <c r="AGU1">
        <v>877</v>
      </c>
      <c r="AGV1">
        <v>878</v>
      </c>
      <c r="AGW1">
        <v>879</v>
      </c>
      <c r="AGX1">
        <v>880</v>
      </c>
      <c r="AGY1">
        <v>881</v>
      </c>
      <c r="AGZ1">
        <v>882</v>
      </c>
      <c r="AHA1">
        <v>883</v>
      </c>
      <c r="AHB1">
        <v>884</v>
      </c>
      <c r="AHC1">
        <v>885</v>
      </c>
      <c r="AHD1">
        <v>886</v>
      </c>
      <c r="AHE1">
        <v>887</v>
      </c>
      <c r="AHF1">
        <v>888</v>
      </c>
      <c r="AHG1">
        <v>889</v>
      </c>
      <c r="AHH1">
        <v>890</v>
      </c>
      <c r="AHI1">
        <v>891</v>
      </c>
      <c r="AHJ1">
        <v>892</v>
      </c>
      <c r="AHK1">
        <v>893</v>
      </c>
      <c r="AHL1">
        <v>894</v>
      </c>
      <c r="AHM1">
        <v>895</v>
      </c>
      <c r="AHN1">
        <v>896</v>
      </c>
      <c r="AHO1">
        <v>897</v>
      </c>
      <c r="AHP1">
        <v>898</v>
      </c>
      <c r="AHQ1">
        <v>899</v>
      </c>
      <c r="AHR1">
        <v>900</v>
      </c>
      <c r="AHS1">
        <v>901</v>
      </c>
      <c r="AHT1">
        <v>902</v>
      </c>
      <c r="AHU1">
        <v>903</v>
      </c>
      <c r="AHV1">
        <v>904</v>
      </c>
      <c r="AHW1">
        <v>905</v>
      </c>
      <c r="AHX1">
        <v>906</v>
      </c>
      <c r="AHY1">
        <v>907</v>
      </c>
      <c r="AHZ1">
        <v>908</v>
      </c>
      <c r="AIA1">
        <v>909</v>
      </c>
      <c r="AIB1">
        <v>910</v>
      </c>
      <c r="AIC1">
        <v>911</v>
      </c>
      <c r="AID1">
        <v>912</v>
      </c>
      <c r="AIE1">
        <v>913</v>
      </c>
      <c r="AIF1">
        <v>914</v>
      </c>
      <c r="AIG1">
        <v>915</v>
      </c>
      <c r="AIH1">
        <v>916</v>
      </c>
      <c r="AII1">
        <v>917</v>
      </c>
      <c r="AIJ1">
        <v>918</v>
      </c>
      <c r="AIK1">
        <v>919</v>
      </c>
      <c r="AIL1">
        <v>920</v>
      </c>
      <c r="AIM1">
        <v>921</v>
      </c>
      <c r="AIN1">
        <v>922</v>
      </c>
      <c r="AIO1">
        <v>923</v>
      </c>
      <c r="AIP1">
        <v>924</v>
      </c>
      <c r="AIQ1">
        <v>925</v>
      </c>
      <c r="AIR1">
        <v>926</v>
      </c>
      <c r="AIS1">
        <v>927</v>
      </c>
      <c r="AIT1">
        <v>928</v>
      </c>
      <c r="AIU1">
        <v>929</v>
      </c>
      <c r="AIV1">
        <v>930</v>
      </c>
      <c r="AIW1">
        <v>931</v>
      </c>
      <c r="AIX1">
        <v>932</v>
      </c>
      <c r="AIY1">
        <v>933</v>
      </c>
      <c r="AIZ1">
        <v>934</v>
      </c>
      <c r="AJA1">
        <v>935</v>
      </c>
      <c r="AJB1">
        <v>936</v>
      </c>
      <c r="AJC1">
        <v>937</v>
      </c>
      <c r="AJD1">
        <v>938</v>
      </c>
      <c r="AJE1">
        <v>939</v>
      </c>
      <c r="AJF1">
        <v>940</v>
      </c>
      <c r="AJG1">
        <v>941</v>
      </c>
      <c r="AJH1">
        <v>942</v>
      </c>
      <c r="AJI1">
        <v>943</v>
      </c>
      <c r="AJJ1">
        <v>944</v>
      </c>
      <c r="AJK1">
        <v>945</v>
      </c>
      <c r="AJL1">
        <v>946</v>
      </c>
      <c r="AJM1">
        <v>947</v>
      </c>
      <c r="AJN1">
        <v>948</v>
      </c>
      <c r="AJO1">
        <v>949</v>
      </c>
      <c r="AJP1">
        <v>950</v>
      </c>
      <c r="AJQ1">
        <v>951</v>
      </c>
      <c r="AJR1">
        <v>952</v>
      </c>
      <c r="AJS1">
        <v>953</v>
      </c>
      <c r="AJT1">
        <v>954</v>
      </c>
      <c r="AJU1">
        <v>955</v>
      </c>
      <c r="AJV1">
        <v>956</v>
      </c>
      <c r="AJW1">
        <v>957</v>
      </c>
      <c r="AJX1">
        <v>958</v>
      </c>
      <c r="AJY1">
        <v>959</v>
      </c>
    </row>
    <row r="2" spans="1:961" x14ac:dyDescent="0.3">
      <c r="A2">
        <v>0</v>
      </c>
      <c r="B2">
        <v>10000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5000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-5400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-150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-1000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-5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-256.16438356164383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-120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  <c r="ADG2">
        <v>0</v>
      </c>
      <c r="ADH2">
        <v>0</v>
      </c>
      <c r="ADI2">
        <v>0</v>
      </c>
      <c r="ADJ2">
        <v>0</v>
      </c>
      <c r="ADK2">
        <v>0</v>
      </c>
      <c r="ADL2">
        <v>0</v>
      </c>
      <c r="ADM2">
        <v>0</v>
      </c>
      <c r="ADN2">
        <v>0</v>
      </c>
      <c r="ADO2">
        <v>0</v>
      </c>
      <c r="ADP2">
        <v>0</v>
      </c>
      <c r="ADQ2">
        <v>0</v>
      </c>
      <c r="ADR2">
        <v>0</v>
      </c>
      <c r="ADS2">
        <v>0</v>
      </c>
      <c r="ADT2">
        <v>0</v>
      </c>
      <c r="ADU2">
        <v>0</v>
      </c>
      <c r="ADV2">
        <v>0</v>
      </c>
      <c r="ADW2">
        <v>0</v>
      </c>
      <c r="ADX2">
        <v>0</v>
      </c>
      <c r="ADY2">
        <v>0</v>
      </c>
      <c r="ADZ2">
        <v>0</v>
      </c>
      <c r="AEA2">
        <v>0</v>
      </c>
      <c r="AEB2">
        <v>0</v>
      </c>
      <c r="AEC2">
        <v>0</v>
      </c>
      <c r="AED2">
        <v>0</v>
      </c>
      <c r="AEE2">
        <v>0</v>
      </c>
      <c r="AEF2">
        <v>0</v>
      </c>
      <c r="AEG2">
        <v>0</v>
      </c>
      <c r="AEH2">
        <v>0</v>
      </c>
      <c r="AEI2">
        <v>0</v>
      </c>
      <c r="AEJ2">
        <v>0</v>
      </c>
      <c r="AEK2">
        <v>0</v>
      </c>
      <c r="AEL2">
        <v>0</v>
      </c>
      <c r="AEM2">
        <v>0</v>
      </c>
      <c r="AEN2">
        <v>0</v>
      </c>
      <c r="AEO2">
        <v>0</v>
      </c>
      <c r="AEP2">
        <v>0</v>
      </c>
      <c r="AEQ2">
        <v>0</v>
      </c>
      <c r="AER2">
        <v>0</v>
      </c>
      <c r="AES2">
        <v>0</v>
      </c>
      <c r="AET2">
        <v>0</v>
      </c>
      <c r="AEU2">
        <v>0</v>
      </c>
      <c r="AEV2">
        <v>0</v>
      </c>
      <c r="AEW2">
        <v>0</v>
      </c>
      <c r="AEX2">
        <v>0</v>
      </c>
      <c r="AEY2">
        <v>0</v>
      </c>
      <c r="AEZ2">
        <v>0</v>
      </c>
      <c r="AFA2">
        <v>0</v>
      </c>
      <c r="AFB2">
        <v>0</v>
      </c>
      <c r="AFC2">
        <v>0</v>
      </c>
      <c r="AFD2">
        <v>0</v>
      </c>
      <c r="AFE2">
        <v>0</v>
      </c>
      <c r="AFF2">
        <v>0</v>
      </c>
      <c r="AFG2">
        <v>0</v>
      </c>
      <c r="AFH2">
        <v>0</v>
      </c>
      <c r="AFI2">
        <v>0</v>
      </c>
      <c r="AFJ2">
        <v>0</v>
      </c>
      <c r="AFK2">
        <v>0</v>
      </c>
      <c r="AFL2">
        <v>0</v>
      </c>
      <c r="AFM2">
        <v>0</v>
      </c>
      <c r="AFN2">
        <v>0</v>
      </c>
      <c r="AFO2">
        <v>0</v>
      </c>
      <c r="AFP2">
        <v>0</v>
      </c>
      <c r="AFQ2">
        <v>0</v>
      </c>
      <c r="AFR2">
        <v>0</v>
      </c>
      <c r="AFS2">
        <v>0</v>
      </c>
      <c r="AFT2">
        <v>0</v>
      </c>
      <c r="AFU2">
        <v>0</v>
      </c>
      <c r="AFV2">
        <v>0</v>
      </c>
      <c r="AFW2">
        <v>0</v>
      </c>
      <c r="AFX2">
        <v>0</v>
      </c>
      <c r="AFY2">
        <v>0</v>
      </c>
      <c r="AFZ2">
        <v>0</v>
      </c>
      <c r="AGA2">
        <v>0</v>
      </c>
      <c r="AGB2">
        <v>0</v>
      </c>
      <c r="AGC2">
        <v>0</v>
      </c>
      <c r="AGD2">
        <v>0</v>
      </c>
      <c r="AGE2">
        <v>0</v>
      </c>
      <c r="AGF2">
        <v>0</v>
      </c>
      <c r="AGG2">
        <v>0</v>
      </c>
      <c r="AGH2">
        <v>-4500</v>
      </c>
      <c r="AGI2">
        <v>0</v>
      </c>
      <c r="AGJ2">
        <v>0</v>
      </c>
      <c r="AGK2">
        <v>0</v>
      </c>
      <c r="AGL2">
        <v>0</v>
      </c>
      <c r="AGM2">
        <v>0</v>
      </c>
      <c r="AGN2">
        <v>0</v>
      </c>
      <c r="AGO2">
        <v>0</v>
      </c>
      <c r="AGP2">
        <v>0</v>
      </c>
      <c r="AGQ2">
        <v>0</v>
      </c>
      <c r="AGR2">
        <v>0</v>
      </c>
      <c r="AGS2">
        <v>0</v>
      </c>
      <c r="AGT2">
        <v>0</v>
      </c>
      <c r="AGU2">
        <v>0</v>
      </c>
      <c r="AGV2">
        <v>0</v>
      </c>
      <c r="AGW2">
        <v>0</v>
      </c>
      <c r="AGX2">
        <v>0</v>
      </c>
      <c r="AGY2">
        <v>0</v>
      </c>
      <c r="AGZ2">
        <v>0</v>
      </c>
      <c r="AHA2">
        <v>0</v>
      </c>
      <c r="AHB2">
        <v>0</v>
      </c>
      <c r="AHC2">
        <v>0</v>
      </c>
      <c r="AHD2">
        <v>0</v>
      </c>
      <c r="AHE2">
        <v>0</v>
      </c>
      <c r="AHF2">
        <v>0</v>
      </c>
      <c r="AHG2">
        <v>0</v>
      </c>
      <c r="AHH2">
        <v>0</v>
      </c>
      <c r="AHI2">
        <v>0</v>
      </c>
      <c r="AHJ2">
        <v>0</v>
      </c>
      <c r="AHK2">
        <v>0</v>
      </c>
      <c r="AHL2">
        <v>0</v>
      </c>
      <c r="AHM2">
        <v>0</v>
      </c>
      <c r="AHN2">
        <v>0</v>
      </c>
      <c r="AHO2">
        <v>0</v>
      </c>
      <c r="AHP2">
        <v>0</v>
      </c>
      <c r="AHQ2">
        <v>0</v>
      </c>
      <c r="AHR2">
        <v>0</v>
      </c>
      <c r="AHS2">
        <v>0</v>
      </c>
      <c r="AHT2">
        <v>0</v>
      </c>
      <c r="AHU2">
        <v>0</v>
      </c>
      <c r="AHV2">
        <v>0</v>
      </c>
      <c r="AHW2">
        <v>0</v>
      </c>
      <c r="AHX2">
        <v>0</v>
      </c>
      <c r="AHY2">
        <v>0</v>
      </c>
      <c r="AHZ2">
        <v>0</v>
      </c>
      <c r="AIA2">
        <v>0</v>
      </c>
      <c r="AIB2">
        <v>0</v>
      </c>
      <c r="AIC2">
        <v>0</v>
      </c>
      <c r="AID2">
        <v>0</v>
      </c>
      <c r="AIE2">
        <v>0</v>
      </c>
      <c r="AIF2">
        <v>0</v>
      </c>
      <c r="AIG2">
        <v>0</v>
      </c>
      <c r="AIH2">
        <v>0</v>
      </c>
      <c r="AII2">
        <v>0</v>
      </c>
      <c r="AIJ2">
        <v>0</v>
      </c>
      <c r="AIK2">
        <v>0</v>
      </c>
      <c r="AIL2">
        <v>0</v>
      </c>
      <c r="AIM2">
        <v>0</v>
      </c>
      <c r="AIN2">
        <v>0</v>
      </c>
      <c r="AIO2">
        <v>0</v>
      </c>
      <c r="AIP2">
        <v>0</v>
      </c>
      <c r="AIQ2">
        <v>0</v>
      </c>
      <c r="AIR2">
        <v>0</v>
      </c>
      <c r="AIS2">
        <v>0</v>
      </c>
      <c r="AIT2">
        <v>0</v>
      </c>
      <c r="AIU2">
        <v>0</v>
      </c>
      <c r="AIV2">
        <v>0</v>
      </c>
      <c r="AIW2">
        <v>0</v>
      </c>
      <c r="AIX2">
        <v>0</v>
      </c>
      <c r="AIY2">
        <v>0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0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0</v>
      </c>
      <c r="AJU2">
        <v>0</v>
      </c>
      <c r="AJV2">
        <v>0</v>
      </c>
      <c r="AJW2">
        <v>0</v>
      </c>
      <c r="AJX2">
        <v>0</v>
      </c>
      <c r="AJY2">
        <v>0</v>
      </c>
    </row>
    <row r="3" spans="1:961" x14ac:dyDescent="0.3">
      <c r="A3">
        <v>1</v>
      </c>
      <c r="B3">
        <v>0</v>
      </c>
      <c r="C3">
        <v>10000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5000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-5400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-150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-1000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-5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0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-256.16438356164383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-120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0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0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0</v>
      </c>
      <c r="AFG3">
        <v>0</v>
      </c>
      <c r="AFH3">
        <v>0</v>
      </c>
      <c r="AFI3">
        <v>0</v>
      </c>
      <c r="AFJ3">
        <v>0</v>
      </c>
      <c r="AFK3">
        <v>0</v>
      </c>
      <c r="AFL3">
        <v>0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0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-4500</v>
      </c>
      <c r="AGJ3">
        <v>0</v>
      </c>
      <c r="AGK3">
        <v>0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0</v>
      </c>
      <c r="AHB3">
        <v>0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0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0</v>
      </c>
      <c r="AIJ3">
        <v>0</v>
      </c>
      <c r="AIK3">
        <v>0</v>
      </c>
      <c r="AIL3">
        <v>0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0</v>
      </c>
      <c r="AIX3">
        <v>0</v>
      </c>
      <c r="AIY3">
        <v>0</v>
      </c>
      <c r="AIZ3">
        <v>0</v>
      </c>
      <c r="AJA3">
        <v>0</v>
      </c>
      <c r="AJB3">
        <v>0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0</v>
      </c>
      <c r="AJS3">
        <v>0</v>
      </c>
      <c r="AJT3">
        <v>0</v>
      </c>
      <c r="AJU3">
        <v>0</v>
      </c>
      <c r="AJV3">
        <v>0</v>
      </c>
      <c r="AJW3">
        <v>0</v>
      </c>
      <c r="AJX3">
        <v>0</v>
      </c>
      <c r="AJY3">
        <v>0</v>
      </c>
    </row>
    <row r="4" spans="1:961" x14ac:dyDescent="0.3">
      <c r="A4">
        <v>2</v>
      </c>
      <c r="B4">
        <v>0</v>
      </c>
      <c r="C4">
        <v>0</v>
      </c>
      <c r="D4">
        <v>10000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5000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-150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-1000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-5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-256.16438356164383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-120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-4500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</row>
    <row r="5" spans="1:961" x14ac:dyDescent="0.3">
      <c r="A5">
        <v>3</v>
      </c>
      <c r="B5">
        <v>0</v>
      </c>
      <c r="C5">
        <v>0</v>
      </c>
      <c r="D5">
        <v>0</v>
      </c>
      <c r="E5">
        <v>10000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5000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-150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-1000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-5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-256.16438356164383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-120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-4500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</row>
    <row r="6" spans="1:961" x14ac:dyDescent="0.3">
      <c r="A6">
        <v>4</v>
      </c>
      <c r="B6">
        <v>0</v>
      </c>
      <c r="C6">
        <v>0</v>
      </c>
      <c r="D6">
        <v>0</v>
      </c>
      <c r="E6">
        <v>0</v>
      </c>
      <c r="F6">
        <v>10000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5000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-5400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-150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-1000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-5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-256.16438356164383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-120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-4500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</row>
    <row r="7" spans="1:961" x14ac:dyDescent="0.3">
      <c r="A7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10000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5000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-5400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-150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-1000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-5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-256.16438356164383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-120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-4500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</row>
    <row r="8" spans="1:961" x14ac:dyDescent="0.3">
      <c r="A8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10000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5000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-5400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-150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-1000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-5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-256.16438356164383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-120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-4500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</row>
    <row r="9" spans="1:961" x14ac:dyDescent="0.3">
      <c r="A9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10000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5000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-150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-1000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-5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-256.16438356164383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-120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-4500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</row>
    <row r="10" spans="1:961" x14ac:dyDescent="0.3">
      <c r="A10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10000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5000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-5400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-150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-1000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-5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-256.16438356164383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-120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-4500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</row>
    <row r="11" spans="1:961" x14ac:dyDescent="0.3">
      <c r="A11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10000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5000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-5400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-150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-1000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-5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-256.16438356164383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-120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-4500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</row>
    <row r="12" spans="1:961" x14ac:dyDescent="0.3">
      <c r="A1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10000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5000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-5400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-150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-1000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-5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-256.16438356164383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-120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-4500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</row>
    <row r="13" spans="1:961" x14ac:dyDescent="0.3">
      <c r="A13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10000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5000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-150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-1000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-5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-256.16438356164383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-120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-4500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</row>
    <row r="14" spans="1:961" x14ac:dyDescent="0.3">
      <c r="A14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10000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5000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-5400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-150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-1000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-5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-256.16438356164383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-120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-4500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</row>
    <row r="15" spans="1:961" x14ac:dyDescent="0.3">
      <c r="A15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10000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5000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-5400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-150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-1000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-5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-256.16438356164383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-120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-4500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</row>
    <row r="16" spans="1:961" x14ac:dyDescent="0.3">
      <c r="A16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10000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5000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-5400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-150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-1000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-5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-256.16438356164383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-120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-4500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</row>
    <row r="17" spans="1:961" x14ac:dyDescent="0.3">
      <c r="A17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10000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5000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-150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-1000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-5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-256.16438356164383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-120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-4500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</row>
    <row r="18" spans="1:961" x14ac:dyDescent="0.3">
      <c r="A18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10000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5000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-5400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-150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-1000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-5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-256.16438356164383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-120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-4500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</row>
    <row r="19" spans="1:961" x14ac:dyDescent="0.3">
      <c r="A19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10000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5000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-5400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-150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-1000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-5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-256.16438356164383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-120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-4500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</row>
    <row r="20" spans="1:961" x14ac:dyDescent="0.3">
      <c r="A20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10000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5000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-5400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-150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-1000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-5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-256.16438356164383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-120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-4500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</row>
    <row r="21" spans="1:961" x14ac:dyDescent="0.3">
      <c r="A21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10000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5000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-150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-1000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-5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-256.16438356164383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-120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-4500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</row>
    <row r="22" spans="1:961" x14ac:dyDescent="0.3">
      <c r="A22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10000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5000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-5400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-150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-1000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-5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-256.16438356164383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-120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-4500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</row>
    <row r="23" spans="1:961" x14ac:dyDescent="0.3">
      <c r="A23">
        <v>21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10000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5000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-5400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-150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-1000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-5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-256.16438356164383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-120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0</v>
      </c>
      <c r="ADV23">
        <v>0</v>
      </c>
      <c r="ADW23">
        <v>0</v>
      </c>
      <c r="ADX23">
        <v>0</v>
      </c>
      <c r="ADY23">
        <v>0</v>
      </c>
      <c r="ADZ23">
        <v>0</v>
      </c>
      <c r="AEA23">
        <v>0</v>
      </c>
      <c r="AEB23">
        <v>0</v>
      </c>
      <c r="AEC23">
        <v>0</v>
      </c>
      <c r="AED23">
        <v>0</v>
      </c>
      <c r="AEE23">
        <v>0</v>
      </c>
      <c r="AEF23">
        <v>0</v>
      </c>
      <c r="AEG23">
        <v>0</v>
      </c>
      <c r="AEH23">
        <v>0</v>
      </c>
      <c r="AEI23">
        <v>0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0</v>
      </c>
      <c r="AER23">
        <v>0</v>
      </c>
      <c r="AES23">
        <v>0</v>
      </c>
      <c r="AET23">
        <v>0</v>
      </c>
      <c r="AEU23">
        <v>0</v>
      </c>
      <c r="AEV23">
        <v>0</v>
      </c>
      <c r="AEW23">
        <v>0</v>
      </c>
      <c r="AEX23">
        <v>0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0</v>
      </c>
      <c r="AFM23">
        <v>0</v>
      </c>
      <c r="AFN23">
        <v>0</v>
      </c>
      <c r="AFO23">
        <v>0</v>
      </c>
      <c r="AFP23">
        <v>0</v>
      </c>
      <c r="AFQ23">
        <v>0</v>
      </c>
      <c r="AFR23">
        <v>0</v>
      </c>
      <c r="AFS23">
        <v>0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0</v>
      </c>
      <c r="AGD23">
        <v>0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0</v>
      </c>
      <c r="AGY23">
        <v>0</v>
      </c>
      <c r="AGZ23">
        <v>0</v>
      </c>
      <c r="AHA23">
        <v>0</v>
      </c>
      <c r="AHB23">
        <v>0</v>
      </c>
      <c r="AHC23">
        <v>-4500</v>
      </c>
      <c r="AHD23">
        <v>0</v>
      </c>
      <c r="AHE23">
        <v>0</v>
      </c>
      <c r="AHF23">
        <v>0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  <c r="AIB23">
        <v>0</v>
      </c>
      <c r="AIC23">
        <v>0</v>
      </c>
      <c r="AID23">
        <v>0</v>
      </c>
      <c r="AIE23">
        <v>0</v>
      </c>
      <c r="AIF23">
        <v>0</v>
      </c>
      <c r="AIG23">
        <v>0</v>
      </c>
      <c r="AIH23">
        <v>0</v>
      </c>
      <c r="AII23">
        <v>0</v>
      </c>
      <c r="AIJ23">
        <v>0</v>
      </c>
      <c r="AIK23">
        <v>0</v>
      </c>
      <c r="AIL23">
        <v>0</v>
      </c>
      <c r="AIM23">
        <v>0</v>
      </c>
      <c r="AIN23">
        <v>0</v>
      </c>
      <c r="AIO23">
        <v>0</v>
      </c>
      <c r="AIP23">
        <v>0</v>
      </c>
      <c r="AIQ23">
        <v>0</v>
      </c>
      <c r="AIR23">
        <v>0</v>
      </c>
      <c r="AIS23">
        <v>0</v>
      </c>
      <c r="AIT23">
        <v>0</v>
      </c>
      <c r="AIU23">
        <v>0</v>
      </c>
      <c r="AIV23">
        <v>0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0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0</v>
      </c>
      <c r="AJW23">
        <v>0</v>
      </c>
      <c r="AJX23">
        <v>0</v>
      </c>
      <c r="AJY23">
        <v>0</v>
      </c>
    </row>
    <row r="24" spans="1:961" x14ac:dyDescent="0.3">
      <c r="A24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10000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5000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-5400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-150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-1000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-5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-256.16438356164383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0</v>
      </c>
      <c r="ADK24">
        <v>0</v>
      </c>
      <c r="ADL24">
        <v>-120</v>
      </c>
      <c r="ADM24">
        <v>0</v>
      </c>
      <c r="ADN24">
        <v>0</v>
      </c>
      <c r="ADO24">
        <v>0</v>
      </c>
      <c r="ADP24">
        <v>0</v>
      </c>
      <c r="ADQ24">
        <v>0</v>
      </c>
      <c r="ADR24">
        <v>0</v>
      </c>
      <c r="ADS24">
        <v>0</v>
      </c>
      <c r="ADT24">
        <v>0</v>
      </c>
      <c r="ADU24">
        <v>0</v>
      </c>
      <c r="ADV24">
        <v>0</v>
      </c>
      <c r="ADW24">
        <v>0</v>
      </c>
      <c r="ADX24">
        <v>0</v>
      </c>
      <c r="ADY24">
        <v>0</v>
      </c>
      <c r="ADZ24">
        <v>0</v>
      </c>
      <c r="AEA24">
        <v>0</v>
      </c>
      <c r="AEB24">
        <v>0</v>
      </c>
      <c r="AEC24">
        <v>0</v>
      </c>
      <c r="AED24">
        <v>0</v>
      </c>
      <c r="AEE24">
        <v>0</v>
      </c>
      <c r="AEF24">
        <v>0</v>
      </c>
      <c r="AEG24">
        <v>0</v>
      </c>
      <c r="AEH24">
        <v>0</v>
      </c>
      <c r="AEI24">
        <v>0</v>
      </c>
      <c r="AEJ24">
        <v>0</v>
      </c>
      <c r="AEK24">
        <v>0</v>
      </c>
      <c r="AEL24">
        <v>0</v>
      </c>
      <c r="AEM24">
        <v>0</v>
      </c>
      <c r="AEN24">
        <v>0</v>
      </c>
      <c r="AEO24">
        <v>0</v>
      </c>
      <c r="AEP24">
        <v>0</v>
      </c>
      <c r="AEQ24">
        <v>0</v>
      </c>
      <c r="AER24">
        <v>0</v>
      </c>
      <c r="AES24">
        <v>0</v>
      </c>
      <c r="AET24">
        <v>0</v>
      </c>
      <c r="AEU24">
        <v>0</v>
      </c>
      <c r="AEV24">
        <v>0</v>
      </c>
      <c r="AEW24">
        <v>0</v>
      </c>
      <c r="AEX24">
        <v>0</v>
      </c>
      <c r="AEY24">
        <v>0</v>
      </c>
      <c r="AEZ24">
        <v>0</v>
      </c>
      <c r="AFA24">
        <v>0</v>
      </c>
      <c r="AFB24">
        <v>0</v>
      </c>
      <c r="AFC24">
        <v>0</v>
      </c>
      <c r="AFD24">
        <v>0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0</v>
      </c>
      <c r="AFM24">
        <v>0</v>
      </c>
      <c r="AFN24">
        <v>0</v>
      </c>
      <c r="AFO24">
        <v>0</v>
      </c>
      <c r="AFP24">
        <v>0</v>
      </c>
      <c r="AFQ24">
        <v>0</v>
      </c>
      <c r="AFR24">
        <v>0</v>
      </c>
      <c r="AFS24">
        <v>0</v>
      </c>
      <c r="AFT24">
        <v>0</v>
      </c>
      <c r="AFU24">
        <v>0</v>
      </c>
      <c r="AFV24">
        <v>0</v>
      </c>
      <c r="AFW24">
        <v>0</v>
      </c>
      <c r="AFX24">
        <v>0</v>
      </c>
      <c r="AFY24">
        <v>0</v>
      </c>
      <c r="AFZ24">
        <v>0</v>
      </c>
      <c r="AGA24">
        <v>0</v>
      </c>
      <c r="AGB24">
        <v>0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0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0</v>
      </c>
      <c r="AGX24">
        <v>0</v>
      </c>
      <c r="AGY24">
        <v>0</v>
      </c>
      <c r="AGZ24">
        <v>0</v>
      </c>
      <c r="AHA24">
        <v>0</v>
      </c>
      <c r="AHB24">
        <v>0</v>
      </c>
      <c r="AHC24">
        <v>0</v>
      </c>
      <c r="AHD24">
        <v>-4500</v>
      </c>
      <c r="AHE24">
        <v>0</v>
      </c>
      <c r="AHF24">
        <v>0</v>
      </c>
      <c r="AHG24">
        <v>0</v>
      </c>
      <c r="AHH24">
        <v>0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0</v>
      </c>
      <c r="AHP24">
        <v>0</v>
      </c>
      <c r="AHQ24">
        <v>0</v>
      </c>
      <c r="AHR24">
        <v>0</v>
      </c>
      <c r="AHS24">
        <v>0</v>
      </c>
      <c r="AHT24">
        <v>0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0</v>
      </c>
      <c r="AIA24">
        <v>0</v>
      </c>
      <c r="AIB24">
        <v>0</v>
      </c>
      <c r="AIC24">
        <v>0</v>
      </c>
      <c r="AID24">
        <v>0</v>
      </c>
      <c r="AIE24">
        <v>0</v>
      </c>
      <c r="AIF24">
        <v>0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0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0</v>
      </c>
      <c r="AIW24">
        <v>0</v>
      </c>
      <c r="AIX24">
        <v>0</v>
      </c>
      <c r="AIY24">
        <v>0</v>
      </c>
      <c r="AIZ24">
        <v>0</v>
      </c>
      <c r="AJA24">
        <v>0</v>
      </c>
      <c r="AJB24">
        <v>0</v>
      </c>
      <c r="AJC24">
        <v>0</v>
      </c>
      <c r="AJD24">
        <v>0</v>
      </c>
      <c r="AJE24">
        <v>0</v>
      </c>
      <c r="AJF24">
        <v>0</v>
      </c>
      <c r="AJG24">
        <v>0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0</v>
      </c>
      <c r="AJO24">
        <v>0</v>
      </c>
      <c r="AJP24">
        <v>0</v>
      </c>
      <c r="AJQ24">
        <v>0</v>
      </c>
      <c r="AJR24">
        <v>0</v>
      </c>
      <c r="AJS24">
        <v>0</v>
      </c>
      <c r="AJT24">
        <v>0</v>
      </c>
      <c r="AJU24">
        <v>0</v>
      </c>
      <c r="AJV24">
        <v>0</v>
      </c>
      <c r="AJW24">
        <v>0</v>
      </c>
      <c r="AJX24">
        <v>0</v>
      </c>
      <c r="AJY24">
        <v>0</v>
      </c>
    </row>
    <row r="25" spans="1:961" x14ac:dyDescent="0.3">
      <c r="A25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10000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5000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-150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-1000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-5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-256.16438356164383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  <c r="ADG25">
        <v>0</v>
      </c>
      <c r="ADH25">
        <v>0</v>
      </c>
      <c r="ADI25">
        <v>0</v>
      </c>
      <c r="ADJ25">
        <v>0</v>
      </c>
      <c r="ADK25">
        <v>0</v>
      </c>
      <c r="ADL25">
        <v>0</v>
      </c>
      <c r="ADM25">
        <v>-120</v>
      </c>
      <c r="ADN25">
        <v>0</v>
      </c>
      <c r="ADO25">
        <v>0</v>
      </c>
      <c r="ADP25">
        <v>0</v>
      </c>
      <c r="ADQ25">
        <v>0</v>
      </c>
      <c r="ADR25">
        <v>0</v>
      </c>
      <c r="ADS25">
        <v>0</v>
      </c>
      <c r="ADT25">
        <v>0</v>
      </c>
      <c r="ADU25">
        <v>0</v>
      </c>
      <c r="ADV25">
        <v>0</v>
      </c>
      <c r="ADW25">
        <v>0</v>
      </c>
      <c r="ADX25">
        <v>0</v>
      </c>
      <c r="ADY25">
        <v>0</v>
      </c>
      <c r="ADZ25">
        <v>0</v>
      </c>
      <c r="AEA25">
        <v>0</v>
      </c>
      <c r="AEB25">
        <v>0</v>
      </c>
      <c r="AEC25">
        <v>0</v>
      </c>
      <c r="AED25">
        <v>0</v>
      </c>
      <c r="AEE25">
        <v>0</v>
      </c>
      <c r="AEF25">
        <v>0</v>
      </c>
      <c r="AEG25">
        <v>0</v>
      </c>
      <c r="AEH25">
        <v>0</v>
      </c>
      <c r="AEI25">
        <v>0</v>
      </c>
      <c r="AEJ25">
        <v>0</v>
      </c>
      <c r="AEK25">
        <v>0</v>
      </c>
      <c r="AEL25">
        <v>0</v>
      </c>
      <c r="AEM25">
        <v>0</v>
      </c>
      <c r="AEN25">
        <v>0</v>
      </c>
      <c r="AEO25">
        <v>0</v>
      </c>
      <c r="AEP25">
        <v>0</v>
      </c>
      <c r="AEQ25">
        <v>0</v>
      </c>
      <c r="AER25">
        <v>0</v>
      </c>
      <c r="AES25">
        <v>0</v>
      </c>
      <c r="AET25">
        <v>0</v>
      </c>
      <c r="AEU25">
        <v>0</v>
      </c>
      <c r="AEV25">
        <v>0</v>
      </c>
      <c r="AEW25">
        <v>0</v>
      </c>
      <c r="AEX25">
        <v>0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0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0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0</v>
      </c>
      <c r="AFT25">
        <v>0</v>
      </c>
      <c r="AFU25">
        <v>0</v>
      </c>
      <c r="AFV25">
        <v>0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0</v>
      </c>
      <c r="AGD25">
        <v>0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0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0</v>
      </c>
      <c r="AGZ25">
        <v>0</v>
      </c>
      <c r="AHA25">
        <v>0</v>
      </c>
      <c r="AHB25">
        <v>0</v>
      </c>
      <c r="AHC25">
        <v>0</v>
      </c>
      <c r="AHD25">
        <v>0</v>
      </c>
      <c r="AHE25">
        <v>-4500</v>
      </c>
      <c r="AHF25">
        <v>0</v>
      </c>
      <c r="AHG25">
        <v>0</v>
      </c>
      <c r="AHH25">
        <v>0</v>
      </c>
      <c r="AHI25">
        <v>0</v>
      </c>
      <c r="AHJ25">
        <v>0</v>
      </c>
      <c r="AHK25">
        <v>0</v>
      </c>
      <c r="AHL25">
        <v>0</v>
      </c>
      <c r="AHM25">
        <v>0</v>
      </c>
      <c r="AHN25">
        <v>0</v>
      </c>
      <c r="AHO25">
        <v>0</v>
      </c>
      <c r="AHP25">
        <v>0</v>
      </c>
      <c r="AHQ25">
        <v>0</v>
      </c>
      <c r="AHR25">
        <v>0</v>
      </c>
      <c r="AHS25">
        <v>0</v>
      </c>
      <c r="AHT25">
        <v>0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0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0</v>
      </c>
      <c r="AIG25">
        <v>0</v>
      </c>
      <c r="AIH25">
        <v>0</v>
      </c>
      <c r="AII25">
        <v>0</v>
      </c>
      <c r="AIJ25">
        <v>0</v>
      </c>
      <c r="AIK25">
        <v>0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0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0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0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0</v>
      </c>
      <c r="AJT25">
        <v>0</v>
      </c>
      <c r="AJU25">
        <v>0</v>
      </c>
      <c r="AJV25">
        <v>0</v>
      </c>
      <c r="AJW25">
        <v>0</v>
      </c>
      <c r="AJX25">
        <v>0</v>
      </c>
      <c r="AJY25">
        <v>0</v>
      </c>
    </row>
    <row r="26" spans="1:961" x14ac:dyDescent="0.3">
      <c r="A26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10000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5000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-5400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-150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-1000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-5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-256.16438356164383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0</v>
      </c>
      <c r="ADK26">
        <v>0</v>
      </c>
      <c r="ADL26">
        <v>0</v>
      </c>
      <c r="ADM26">
        <v>0</v>
      </c>
      <c r="ADN26">
        <v>-120</v>
      </c>
      <c r="ADO26">
        <v>0</v>
      </c>
      <c r="ADP26">
        <v>0</v>
      </c>
      <c r="ADQ26">
        <v>0</v>
      </c>
      <c r="ADR26">
        <v>0</v>
      </c>
      <c r="ADS26">
        <v>0</v>
      </c>
      <c r="ADT26">
        <v>0</v>
      </c>
      <c r="ADU26">
        <v>0</v>
      </c>
      <c r="ADV26">
        <v>0</v>
      </c>
      <c r="ADW26">
        <v>0</v>
      </c>
      <c r="ADX26">
        <v>0</v>
      </c>
      <c r="ADY26">
        <v>0</v>
      </c>
      <c r="ADZ26">
        <v>0</v>
      </c>
      <c r="AEA26">
        <v>0</v>
      </c>
      <c r="AEB26">
        <v>0</v>
      </c>
      <c r="AEC26">
        <v>0</v>
      </c>
      <c r="AED26">
        <v>0</v>
      </c>
      <c r="AEE26">
        <v>0</v>
      </c>
      <c r="AEF26">
        <v>0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0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0</v>
      </c>
      <c r="AET26">
        <v>0</v>
      </c>
      <c r="AEU26">
        <v>0</v>
      </c>
      <c r="AEV26">
        <v>0</v>
      </c>
      <c r="AEW26">
        <v>0</v>
      </c>
      <c r="AEX26">
        <v>0</v>
      </c>
      <c r="AEY26">
        <v>0</v>
      </c>
      <c r="AEZ26">
        <v>0</v>
      </c>
      <c r="AFA26">
        <v>0</v>
      </c>
      <c r="AFB26">
        <v>0</v>
      </c>
      <c r="AFC26">
        <v>0</v>
      </c>
      <c r="AFD26">
        <v>0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0</v>
      </c>
      <c r="AFL26">
        <v>0</v>
      </c>
      <c r="AFM26">
        <v>0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0</v>
      </c>
      <c r="AFT26">
        <v>0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0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0</v>
      </c>
      <c r="AGK26">
        <v>0</v>
      </c>
      <c r="AGL26">
        <v>0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0</v>
      </c>
      <c r="AGV26">
        <v>0</v>
      </c>
      <c r="AGW26">
        <v>0</v>
      </c>
      <c r="AGX26">
        <v>0</v>
      </c>
      <c r="AGY26">
        <v>0</v>
      </c>
      <c r="AGZ26">
        <v>0</v>
      </c>
      <c r="AHA26">
        <v>0</v>
      </c>
      <c r="AHB26">
        <v>0</v>
      </c>
      <c r="AHC26">
        <v>0</v>
      </c>
      <c r="AHD26">
        <v>0</v>
      </c>
      <c r="AHE26">
        <v>0</v>
      </c>
      <c r="AHF26">
        <v>-4500</v>
      </c>
      <c r="AHG26">
        <v>0</v>
      </c>
      <c r="AHH26">
        <v>0</v>
      </c>
      <c r="AHI26">
        <v>0</v>
      </c>
      <c r="AHJ26">
        <v>0</v>
      </c>
      <c r="AHK26">
        <v>0</v>
      </c>
      <c r="AHL26">
        <v>0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0</v>
      </c>
      <c r="AHT26">
        <v>0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0</v>
      </c>
      <c r="AIA26">
        <v>0</v>
      </c>
      <c r="AIB26">
        <v>0</v>
      </c>
      <c r="AIC26">
        <v>0</v>
      </c>
      <c r="AID26">
        <v>0</v>
      </c>
      <c r="AIE26">
        <v>0</v>
      </c>
      <c r="AIF26">
        <v>0</v>
      </c>
      <c r="AIG26">
        <v>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0</v>
      </c>
      <c r="AIP26">
        <v>0</v>
      </c>
      <c r="AIQ26">
        <v>0</v>
      </c>
      <c r="AIR26">
        <v>0</v>
      </c>
      <c r="AIS26">
        <v>0</v>
      </c>
      <c r="AIT26">
        <v>0</v>
      </c>
      <c r="AIU26">
        <v>0</v>
      </c>
      <c r="AIV26">
        <v>0</v>
      </c>
      <c r="AIW26">
        <v>0</v>
      </c>
      <c r="AIX26">
        <v>0</v>
      </c>
      <c r="AIY26">
        <v>0</v>
      </c>
      <c r="AIZ26">
        <v>0</v>
      </c>
      <c r="AJA26">
        <v>0</v>
      </c>
      <c r="AJB26">
        <v>0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0</v>
      </c>
      <c r="AJJ26">
        <v>0</v>
      </c>
      <c r="AJK26">
        <v>0</v>
      </c>
      <c r="AJL26">
        <v>0</v>
      </c>
      <c r="AJM26">
        <v>0</v>
      </c>
      <c r="AJN26">
        <v>0</v>
      </c>
      <c r="AJO26">
        <v>0</v>
      </c>
      <c r="AJP26">
        <v>0</v>
      </c>
      <c r="AJQ26">
        <v>0</v>
      </c>
      <c r="AJR26">
        <v>0</v>
      </c>
      <c r="AJS26">
        <v>0</v>
      </c>
      <c r="AJT26">
        <v>0</v>
      </c>
      <c r="AJU26">
        <v>0</v>
      </c>
      <c r="AJV26">
        <v>0</v>
      </c>
      <c r="AJW26">
        <v>0</v>
      </c>
      <c r="AJX26">
        <v>0</v>
      </c>
      <c r="AJY26">
        <v>0</v>
      </c>
    </row>
    <row r="27" spans="1:961" x14ac:dyDescent="0.3">
      <c r="A27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10000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5000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-5400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-150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-1000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-5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-256.16438356164383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0</v>
      </c>
      <c r="ADO27">
        <v>-120</v>
      </c>
      <c r="ADP27">
        <v>0</v>
      </c>
      <c r="ADQ27">
        <v>0</v>
      </c>
      <c r="ADR27">
        <v>0</v>
      </c>
      <c r="ADS27">
        <v>0</v>
      </c>
      <c r="ADT27">
        <v>0</v>
      </c>
      <c r="ADU27">
        <v>0</v>
      </c>
      <c r="ADV27">
        <v>0</v>
      </c>
      <c r="ADW27">
        <v>0</v>
      </c>
      <c r="ADX27">
        <v>0</v>
      </c>
      <c r="ADY27">
        <v>0</v>
      </c>
      <c r="ADZ27">
        <v>0</v>
      </c>
      <c r="AEA27">
        <v>0</v>
      </c>
      <c r="AEB27">
        <v>0</v>
      </c>
      <c r="AEC27">
        <v>0</v>
      </c>
      <c r="AED27">
        <v>0</v>
      </c>
      <c r="AEE27">
        <v>0</v>
      </c>
      <c r="AEF27">
        <v>0</v>
      </c>
      <c r="AEG27">
        <v>0</v>
      </c>
      <c r="AEH27">
        <v>0</v>
      </c>
      <c r="AEI27">
        <v>0</v>
      </c>
      <c r="AEJ27">
        <v>0</v>
      </c>
      <c r="AEK27">
        <v>0</v>
      </c>
      <c r="AEL27">
        <v>0</v>
      </c>
      <c r="AEM27">
        <v>0</v>
      </c>
      <c r="AEN27">
        <v>0</v>
      </c>
      <c r="AEO27">
        <v>0</v>
      </c>
      <c r="AEP27">
        <v>0</v>
      </c>
      <c r="AEQ27">
        <v>0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0</v>
      </c>
      <c r="AFG27">
        <v>0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0</v>
      </c>
      <c r="AFN27">
        <v>0</v>
      </c>
      <c r="AFO27">
        <v>0</v>
      </c>
      <c r="AFP27">
        <v>0</v>
      </c>
      <c r="AFQ27">
        <v>0</v>
      </c>
      <c r="AFR27">
        <v>0</v>
      </c>
      <c r="AFS27">
        <v>0</v>
      </c>
      <c r="AFT27">
        <v>0</v>
      </c>
      <c r="AFU27">
        <v>0</v>
      </c>
      <c r="AFV27">
        <v>0</v>
      </c>
      <c r="AFW27">
        <v>0</v>
      </c>
      <c r="AFX27">
        <v>0</v>
      </c>
      <c r="AFY27">
        <v>0</v>
      </c>
      <c r="AFZ27">
        <v>0</v>
      </c>
      <c r="AGA27">
        <v>0</v>
      </c>
      <c r="AGB27">
        <v>0</v>
      </c>
      <c r="AGC27">
        <v>0</v>
      </c>
      <c r="AGD27">
        <v>0</v>
      </c>
      <c r="AGE27">
        <v>0</v>
      </c>
      <c r="AGF27">
        <v>0</v>
      </c>
      <c r="AGG27">
        <v>0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0</v>
      </c>
      <c r="AGX27">
        <v>0</v>
      </c>
      <c r="AGY27">
        <v>0</v>
      </c>
      <c r="AGZ27">
        <v>0</v>
      </c>
      <c r="AHA27">
        <v>0</v>
      </c>
      <c r="AHB27">
        <v>0</v>
      </c>
      <c r="AHC27">
        <v>0</v>
      </c>
      <c r="AHD27">
        <v>0</v>
      </c>
      <c r="AHE27">
        <v>0</v>
      </c>
      <c r="AHF27">
        <v>0</v>
      </c>
      <c r="AHG27">
        <v>-4500</v>
      </c>
      <c r="AHH27">
        <v>0</v>
      </c>
      <c r="AHI27">
        <v>0</v>
      </c>
      <c r="AHJ27">
        <v>0</v>
      </c>
      <c r="AHK27">
        <v>0</v>
      </c>
      <c r="AHL27">
        <v>0</v>
      </c>
      <c r="AHM27">
        <v>0</v>
      </c>
      <c r="AHN27">
        <v>0</v>
      </c>
      <c r="AHO27">
        <v>0</v>
      </c>
      <c r="AHP27">
        <v>0</v>
      </c>
      <c r="AHQ27">
        <v>0</v>
      </c>
      <c r="AHR27">
        <v>0</v>
      </c>
      <c r="AHS27">
        <v>0</v>
      </c>
      <c r="AHT27">
        <v>0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0</v>
      </c>
      <c r="AIA27">
        <v>0</v>
      </c>
      <c r="AIB27">
        <v>0</v>
      </c>
      <c r="AIC27">
        <v>0</v>
      </c>
      <c r="AID27">
        <v>0</v>
      </c>
      <c r="AIE27">
        <v>0</v>
      </c>
      <c r="AIF27">
        <v>0</v>
      </c>
      <c r="AIG27">
        <v>0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0</v>
      </c>
      <c r="AIR27">
        <v>0</v>
      </c>
      <c r="AIS27">
        <v>0</v>
      </c>
      <c r="AIT27">
        <v>0</v>
      </c>
      <c r="AIU27">
        <v>0</v>
      </c>
      <c r="AIV27">
        <v>0</v>
      </c>
      <c r="AIW27">
        <v>0</v>
      </c>
      <c r="AIX27">
        <v>0</v>
      </c>
      <c r="AIY27">
        <v>0</v>
      </c>
      <c r="AIZ27">
        <v>0</v>
      </c>
      <c r="AJA27">
        <v>0</v>
      </c>
      <c r="AJB27">
        <v>0</v>
      </c>
      <c r="AJC27">
        <v>0</v>
      </c>
      <c r="AJD27">
        <v>0</v>
      </c>
      <c r="AJE27">
        <v>0</v>
      </c>
      <c r="AJF27">
        <v>0</v>
      </c>
      <c r="AJG27">
        <v>0</v>
      </c>
      <c r="AJH27">
        <v>0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0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0</v>
      </c>
      <c r="AJV27">
        <v>0</v>
      </c>
      <c r="AJW27">
        <v>0</v>
      </c>
      <c r="AJX27">
        <v>0</v>
      </c>
      <c r="AJY27">
        <v>0</v>
      </c>
    </row>
    <row r="28" spans="1:961" x14ac:dyDescent="0.3">
      <c r="A28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10000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5000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-5400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-150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-1000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-5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-256.16438356164383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-120</v>
      </c>
      <c r="ADQ28">
        <v>0</v>
      </c>
      <c r="ADR28">
        <v>0</v>
      </c>
      <c r="ADS28">
        <v>0</v>
      </c>
      <c r="ADT28">
        <v>0</v>
      </c>
      <c r="ADU28">
        <v>0</v>
      </c>
      <c r="ADV28">
        <v>0</v>
      </c>
      <c r="ADW28">
        <v>0</v>
      </c>
      <c r="ADX28">
        <v>0</v>
      </c>
      <c r="ADY28">
        <v>0</v>
      </c>
      <c r="ADZ28">
        <v>0</v>
      </c>
      <c r="AEA28">
        <v>0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0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-4500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0</v>
      </c>
      <c r="AIB28">
        <v>0</v>
      </c>
      <c r="AIC28">
        <v>0</v>
      </c>
      <c r="AID28">
        <v>0</v>
      </c>
      <c r="AIE28">
        <v>0</v>
      </c>
      <c r="AIF28">
        <v>0</v>
      </c>
      <c r="AIG28">
        <v>0</v>
      </c>
      <c r="AIH28">
        <v>0</v>
      </c>
      <c r="AII28">
        <v>0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0</v>
      </c>
    </row>
    <row r="29" spans="1:961" x14ac:dyDescent="0.3">
      <c r="A29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10000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5000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-150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-1000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-5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-256.16438356164383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-120</v>
      </c>
      <c r="ADR29">
        <v>0</v>
      </c>
      <c r="ADS29">
        <v>0</v>
      </c>
      <c r="ADT29">
        <v>0</v>
      </c>
      <c r="ADU29">
        <v>0</v>
      </c>
      <c r="ADV29">
        <v>0</v>
      </c>
      <c r="ADW29">
        <v>0</v>
      </c>
      <c r="ADX29">
        <v>0</v>
      </c>
      <c r="ADY29">
        <v>0</v>
      </c>
      <c r="ADZ29">
        <v>0</v>
      </c>
      <c r="AEA29">
        <v>0</v>
      </c>
      <c r="AEB29">
        <v>0</v>
      </c>
      <c r="AEC29">
        <v>0</v>
      </c>
      <c r="AED29">
        <v>0</v>
      </c>
      <c r="AEE29">
        <v>0</v>
      </c>
      <c r="AEF29">
        <v>0</v>
      </c>
      <c r="AEG29">
        <v>0</v>
      </c>
      <c r="AEH29">
        <v>0</v>
      </c>
      <c r="AEI29">
        <v>0</v>
      </c>
      <c r="AEJ29">
        <v>0</v>
      </c>
      <c r="AEK29">
        <v>0</v>
      </c>
      <c r="AEL29">
        <v>0</v>
      </c>
      <c r="AEM29">
        <v>0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0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0</v>
      </c>
      <c r="AFD29">
        <v>0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0</v>
      </c>
      <c r="AFK29">
        <v>0</v>
      </c>
      <c r="AFL29">
        <v>0</v>
      </c>
      <c r="AFM29">
        <v>0</v>
      </c>
      <c r="AFN29">
        <v>0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0</v>
      </c>
      <c r="AFY29">
        <v>0</v>
      </c>
      <c r="AFZ29">
        <v>0</v>
      </c>
      <c r="AGA29">
        <v>0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0</v>
      </c>
      <c r="AGW29">
        <v>0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0</v>
      </c>
      <c r="AHD29">
        <v>0</v>
      </c>
      <c r="AHE29">
        <v>0</v>
      </c>
      <c r="AHF29">
        <v>0</v>
      </c>
      <c r="AHG29">
        <v>0</v>
      </c>
      <c r="AHH29">
        <v>0</v>
      </c>
      <c r="AHI29">
        <v>-4500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0</v>
      </c>
      <c r="AHP29">
        <v>0</v>
      </c>
      <c r="AHQ29">
        <v>0</v>
      </c>
      <c r="AHR29">
        <v>0</v>
      </c>
      <c r="AHS29">
        <v>0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0</v>
      </c>
      <c r="AIC29">
        <v>0</v>
      </c>
      <c r="AID29">
        <v>0</v>
      </c>
      <c r="AIE29">
        <v>0</v>
      </c>
      <c r="AIF29">
        <v>0</v>
      </c>
      <c r="AIG29">
        <v>0</v>
      </c>
      <c r="AIH29">
        <v>0</v>
      </c>
      <c r="AII29">
        <v>0</v>
      </c>
      <c r="AIJ29">
        <v>0</v>
      </c>
      <c r="AIK29">
        <v>0</v>
      </c>
      <c r="AIL29">
        <v>0</v>
      </c>
      <c r="AIM29">
        <v>0</v>
      </c>
      <c r="AIN29">
        <v>0</v>
      </c>
      <c r="AIO29">
        <v>0</v>
      </c>
      <c r="AIP29">
        <v>0</v>
      </c>
      <c r="AIQ29">
        <v>0</v>
      </c>
      <c r="AIR29">
        <v>0</v>
      </c>
      <c r="AIS29">
        <v>0</v>
      </c>
      <c r="AIT29">
        <v>0</v>
      </c>
      <c r="AIU29">
        <v>0</v>
      </c>
      <c r="AIV29">
        <v>0</v>
      </c>
      <c r="AIW29">
        <v>0</v>
      </c>
      <c r="AIX29">
        <v>0</v>
      </c>
      <c r="AIY29">
        <v>0</v>
      </c>
      <c r="AIZ29">
        <v>0</v>
      </c>
      <c r="AJA29">
        <v>0</v>
      </c>
      <c r="AJB29">
        <v>0</v>
      </c>
      <c r="AJC29">
        <v>0</v>
      </c>
      <c r="AJD29">
        <v>0</v>
      </c>
      <c r="AJE29">
        <v>0</v>
      </c>
      <c r="AJF29">
        <v>0</v>
      </c>
      <c r="AJG29">
        <v>0</v>
      </c>
      <c r="AJH29">
        <v>0</v>
      </c>
      <c r="AJI29">
        <v>0</v>
      </c>
      <c r="AJJ29">
        <v>0</v>
      </c>
      <c r="AJK29">
        <v>0</v>
      </c>
      <c r="AJL29">
        <v>0</v>
      </c>
      <c r="AJM29">
        <v>0</v>
      </c>
      <c r="AJN29">
        <v>0</v>
      </c>
      <c r="AJO29">
        <v>0</v>
      </c>
      <c r="AJP29">
        <v>0</v>
      </c>
      <c r="AJQ29">
        <v>0</v>
      </c>
      <c r="AJR29">
        <v>0</v>
      </c>
      <c r="AJS29">
        <v>0</v>
      </c>
      <c r="AJT29">
        <v>0</v>
      </c>
      <c r="AJU29">
        <v>0</v>
      </c>
      <c r="AJV29">
        <v>0</v>
      </c>
      <c r="AJW29">
        <v>0</v>
      </c>
      <c r="AJX29">
        <v>0</v>
      </c>
      <c r="AJY29">
        <v>0</v>
      </c>
    </row>
    <row r="30" spans="1:961" x14ac:dyDescent="0.3">
      <c r="A30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10000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5000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-5400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-150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-1000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-5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-256.16438356164383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0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-120</v>
      </c>
      <c r="ADS30">
        <v>0</v>
      </c>
      <c r="ADT30">
        <v>0</v>
      </c>
      <c r="ADU30">
        <v>0</v>
      </c>
      <c r="ADV30">
        <v>0</v>
      </c>
      <c r="ADW30">
        <v>0</v>
      </c>
      <c r="ADX30">
        <v>0</v>
      </c>
      <c r="ADY30">
        <v>0</v>
      </c>
      <c r="ADZ30">
        <v>0</v>
      </c>
      <c r="AEA30">
        <v>0</v>
      </c>
      <c r="AEB30">
        <v>0</v>
      </c>
      <c r="AEC30">
        <v>0</v>
      </c>
      <c r="AED30">
        <v>0</v>
      </c>
      <c r="AEE30">
        <v>0</v>
      </c>
      <c r="AEF30">
        <v>0</v>
      </c>
      <c r="AEG30">
        <v>0</v>
      </c>
      <c r="AEH30">
        <v>0</v>
      </c>
      <c r="AEI30">
        <v>0</v>
      </c>
      <c r="AEJ30">
        <v>0</v>
      </c>
      <c r="AEK30">
        <v>0</v>
      </c>
      <c r="AEL30">
        <v>0</v>
      </c>
      <c r="AEM30">
        <v>0</v>
      </c>
      <c r="AEN30">
        <v>0</v>
      </c>
      <c r="AEO30">
        <v>0</v>
      </c>
      <c r="AEP30">
        <v>0</v>
      </c>
      <c r="AEQ30">
        <v>0</v>
      </c>
      <c r="AER30">
        <v>0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0</v>
      </c>
      <c r="AEY30">
        <v>0</v>
      </c>
      <c r="AEZ30">
        <v>0</v>
      </c>
      <c r="AFA30">
        <v>0</v>
      </c>
      <c r="AFB30">
        <v>0</v>
      </c>
      <c r="AFC30">
        <v>0</v>
      </c>
      <c r="AFD30">
        <v>0</v>
      </c>
      <c r="AFE30">
        <v>0</v>
      </c>
      <c r="AFF30">
        <v>0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0</v>
      </c>
      <c r="AFO30">
        <v>0</v>
      </c>
      <c r="AFP30">
        <v>0</v>
      </c>
      <c r="AFQ30">
        <v>0</v>
      </c>
      <c r="AFR30">
        <v>0</v>
      </c>
      <c r="AFS30">
        <v>0</v>
      </c>
      <c r="AFT30">
        <v>0</v>
      </c>
      <c r="AFU30">
        <v>0</v>
      </c>
      <c r="AFV30">
        <v>0</v>
      </c>
      <c r="AFW30">
        <v>0</v>
      </c>
      <c r="AFX30">
        <v>0</v>
      </c>
      <c r="AFY30">
        <v>0</v>
      </c>
      <c r="AFZ30">
        <v>0</v>
      </c>
      <c r="AGA30">
        <v>0</v>
      </c>
      <c r="AGB30">
        <v>0</v>
      </c>
      <c r="AGC30">
        <v>0</v>
      </c>
      <c r="AGD30">
        <v>0</v>
      </c>
      <c r="AGE30">
        <v>0</v>
      </c>
      <c r="AGF30">
        <v>0</v>
      </c>
      <c r="AGG30">
        <v>0</v>
      </c>
      <c r="AGH30">
        <v>0</v>
      </c>
      <c r="AGI30">
        <v>0</v>
      </c>
      <c r="AGJ30">
        <v>0</v>
      </c>
      <c r="AGK30">
        <v>0</v>
      </c>
      <c r="AGL30">
        <v>0</v>
      </c>
      <c r="AGM30">
        <v>0</v>
      </c>
      <c r="AGN30">
        <v>0</v>
      </c>
      <c r="AGO30">
        <v>0</v>
      </c>
      <c r="AGP30">
        <v>0</v>
      </c>
      <c r="AGQ30">
        <v>0</v>
      </c>
      <c r="AGR30">
        <v>0</v>
      </c>
      <c r="AGS30">
        <v>0</v>
      </c>
      <c r="AGT30">
        <v>0</v>
      </c>
      <c r="AGU30">
        <v>0</v>
      </c>
      <c r="AGV30">
        <v>0</v>
      </c>
      <c r="AGW30">
        <v>0</v>
      </c>
      <c r="AGX30">
        <v>0</v>
      </c>
      <c r="AGY30">
        <v>0</v>
      </c>
      <c r="AGZ30">
        <v>0</v>
      </c>
      <c r="AHA30">
        <v>0</v>
      </c>
      <c r="AHB30">
        <v>0</v>
      </c>
      <c r="AHC30">
        <v>0</v>
      </c>
      <c r="AHD30">
        <v>0</v>
      </c>
      <c r="AHE30">
        <v>0</v>
      </c>
      <c r="AHF30">
        <v>0</v>
      </c>
      <c r="AHG30">
        <v>0</v>
      </c>
      <c r="AHH30">
        <v>0</v>
      </c>
      <c r="AHI30">
        <v>0</v>
      </c>
      <c r="AHJ30">
        <v>-4500</v>
      </c>
      <c r="AHK30">
        <v>0</v>
      </c>
      <c r="AHL30">
        <v>0</v>
      </c>
      <c r="AHM30">
        <v>0</v>
      </c>
      <c r="AHN30">
        <v>0</v>
      </c>
      <c r="AHO30">
        <v>0</v>
      </c>
      <c r="AHP30">
        <v>0</v>
      </c>
      <c r="AHQ30">
        <v>0</v>
      </c>
      <c r="AHR30">
        <v>0</v>
      </c>
      <c r="AHS30">
        <v>0</v>
      </c>
      <c r="AHT30">
        <v>0</v>
      </c>
      <c r="AHU30">
        <v>0</v>
      </c>
      <c r="AHV30">
        <v>0</v>
      </c>
      <c r="AHW30">
        <v>0</v>
      </c>
      <c r="AHX30">
        <v>0</v>
      </c>
      <c r="AHY30">
        <v>0</v>
      </c>
      <c r="AHZ30">
        <v>0</v>
      </c>
      <c r="AIA30">
        <v>0</v>
      </c>
      <c r="AIB30">
        <v>0</v>
      </c>
      <c r="AIC30">
        <v>0</v>
      </c>
      <c r="AID30">
        <v>0</v>
      </c>
      <c r="AIE30">
        <v>0</v>
      </c>
      <c r="AIF30">
        <v>0</v>
      </c>
      <c r="AIG30">
        <v>0</v>
      </c>
      <c r="AIH30">
        <v>0</v>
      </c>
      <c r="AII30">
        <v>0</v>
      </c>
      <c r="AIJ30">
        <v>0</v>
      </c>
      <c r="AIK30">
        <v>0</v>
      </c>
      <c r="AIL30">
        <v>0</v>
      </c>
      <c r="AIM30">
        <v>0</v>
      </c>
      <c r="AIN30">
        <v>0</v>
      </c>
      <c r="AIO30">
        <v>0</v>
      </c>
      <c r="AIP30">
        <v>0</v>
      </c>
      <c r="AIQ30">
        <v>0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0</v>
      </c>
      <c r="AJO30">
        <v>0</v>
      </c>
      <c r="AJP30">
        <v>0</v>
      </c>
      <c r="AJQ30">
        <v>0</v>
      </c>
      <c r="AJR30">
        <v>0</v>
      </c>
      <c r="AJS30">
        <v>0</v>
      </c>
      <c r="AJT30">
        <v>0</v>
      </c>
      <c r="AJU30">
        <v>0</v>
      </c>
      <c r="AJV30">
        <v>0</v>
      </c>
      <c r="AJW30">
        <v>0</v>
      </c>
      <c r="AJX30">
        <v>0</v>
      </c>
      <c r="AJY30">
        <v>0</v>
      </c>
    </row>
    <row r="31" spans="1:961" x14ac:dyDescent="0.3">
      <c r="A31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10000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5000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-5400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-150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-1000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0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-5</v>
      </c>
      <c r="WJ31">
        <v>0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0</v>
      </c>
      <c r="ZM31">
        <v>0</v>
      </c>
      <c r="ZN31">
        <v>0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-256.16438356164383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0</v>
      </c>
      <c r="AAP31">
        <v>0</v>
      </c>
      <c r="AAQ31">
        <v>0</v>
      </c>
      <c r="AAR31">
        <v>0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0</v>
      </c>
      <c r="ABF31">
        <v>0</v>
      </c>
      <c r="ABG31">
        <v>0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0</v>
      </c>
      <c r="ABQ31">
        <v>0</v>
      </c>
      <c r="ABR31">
        <v>0</v>
      </c>
      <c r="ABS31">
        <v>0</v>
      </c>
      <c r="ABT31">
        <v>0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  <c r="ADF31">
        <v>0</v>
      </c>
      <c r="ADG31">
        <v>0</v>
      </c>
      <c r="ADH31">
        <v>0</v>
      </c>
      <c r="ADI31">
        <v>0</v>
      </c>
      <c r="ADJ31">
        <v>0</v>
      </c>
      <c r="ADK31">
        <v>0</v>
      </c>
      <c r="ADL31">
        <v>0</v>
      </c>
      <c r="ADM31">
        <v>0</v>
      </c>
      <c r="ADN31">
        <v>0</v>
      </c>
      <c r="ADO31">
        <v>0</v>
      </c>
      <c r="ADP31">
        <v>0</v>
      </c>
      <c r="ADQ31">
        <v>0</v>
      </c>
      <c r="ADR31">
        <v>0</v>
      </c>
      <c r="ADS31">
        <v>-120</v>
      </c>
      <c r="ADT31">
        <v>0</v>
      </c>
      <c r="ADU31">
        <v>0</v>
      </c>
      <c r="ADV31">
        <v>0</v>
      </c>
      <c r="ADW31">
        <v>0</v>
      </c>
      <c r="ADX31">
        <v>0</v>
      </c>
      <c r="ADY31">
        <v>0</v>
      </c>
      <c r="ADZ31">
        <v>0</v>
      </c>
      <c r="AEA31">
        <v>0</v>
      </c>
      <c r="AEB31">
        <v>0</v>
      </c>
      <c r="AEC31">
        <v>0</v>
      </c>
      <c r="AED31">
        <v>0</v>
      </c>
      <c r="AEE31">
        <v>0</v>
      </c>
      <c r="AEF31">
        <v>0</v>
      </c>
      <c r="AEG31">
        <v>0</v>
      </c>
      <c r="AEH31">
        <v>0</v>
      </c>
      <c r="AEI31">
        <v>0</v>
      </c>
      <c r="AEJ31">
        <v>0</v>
      </c>
      <c r="AEK31">
        <v>0</v>
      </c>
      <c r="AEL31">
        <v>0</v>
      </c>
      <c r="AEM31">
        <v>0</v>
      </c>
      <c r="AEN31">
        <v>0</v>
      </c>
      <c r="AEO31">
        <v>0</v>
      </c>
      <c r="AEP31">
        <v>0</v>
      </c>
      <c r="AEQ31">
        <v>0</v>
      </c>
      <c r="AER31">
        <v>0</v>
      </c>
      <c r="AES31">
        <v>0</v>
      </c>
      <c r="AET31">
        <v>0</v>
      </c>
      <c r="AEU31">
        <v>0</v>
      </c>
      <c r="AEV31">
        <v>0</v>
      </c>
      <c r="AEW31">
        <v>0</v>
      </c>
      <c r="AEX31">
        <v>0</v>
      </c>
      <c r="AEY31">
        <v>0</v>
      </c>
      <c r="AEZ31">
        <v>0</v>
      </c>
      <c r="AFA31">
        <v>0</v>
      </c>
      <c r="AFB31">
        <v>0</v>
      </c>
      <c r="AFC31">
        <v>0</v>
      </c>
      <c r="AFD31">
        <v>0</v>
      </c>
      <c r="AFE31">
        <v>0</v>
      </c>
      <c r="AFF31">
        <v>0</v>
      </c>
      <c r="AFG31">
        <v>0</v>
      </c>
      <c r="AFH31">
        <v>0</v>
      </c>
      <c r="AFI31">
        <v>0</v>
      </c>
      <c r="AFJ31">
        <v>0</v>
      </c>
      <c r="AFK31">
        <v>0</v>
      </c>
      <c r="AFL31">
        <v>0</v>
      </c>
      <c r="AFM31">
        <v>0</v>
      </c>
      <c r="AFN31">
        <v>0</v>
      </c>
      <c r="AFO31">
        <v>0</v>
      </c>
      <c r="AFP31">
        <v>0</v>
      </c>
      <c r="AFQ31">
        <v>0</v>
      </c>
      <c r="AFR31">
        <v>0</v>
      </c>
      <c r="AFS31">
        <v>0</v>
      </c>
      <c r="AFT31">
        <v>0</v>
      </c>
      <c r="AFU31">
        <v>0</v>
      </c>
      <c r="AFV31">
        <v>0</v>
      </c>
      <c r="AFW31">
        <v>0</v>
      </c>
      <c r="AFX31">
        <v>0</v>
      </c>
      <c r="AFY31">
        <v>0</v>
      </c>
      <c r="AFZ31">
        <v>0</v>
      </c>
      <c r="AGA31">
        <v>0</v>
      </c>
      <c r="AGB31">
        <v>0</v>
      </c>
      <c r="AGC31">
        <v>0</v>
      </c>
      <c r="AGD31">
        <v>0</v>
      </c>
      <c r="AGE31">
        <v>0</v>
      </c>
      <c r="AGF31">
        <v>0</v>
      </c>
      <c r="AGG31">
        <v>0</v>
      </c>
      <c r="AGH31">
        <v>0</v>
      </c>
      <c r="AGI31">
        <v>0</v>
      </c>
      <c r="AGJ31">
        <v>0</v>
      </c>
      <c r="AGK31">
        <v>0</v>
      </c>
      <c r="AGL31">
        <v>0</v>
      </c>
      <c r="AGM31">
        <v>0</v>
      </c>
      <c r="AGN31">
        <v>0</v>
      </c>
      <c r="AGO31">
        <v>0</v>
      </c>
      <c r="AGP31">
        <v>0</v>
      </c>
      <c r="AGQ31">
        <v>0</v>
      </c>
      <c r="AGR31">
        <v>0</v>
      </c>
      <c r="AGS31">
        <v>0</v>
      </c>
      <c r="AGT31">
        <v>0</v>
      </c>
      <c r="AGU31">
        <v>0</v>
      </c>
      <c r="AGV31">
        <v>0</v>
      </c>
      <c r="AGW31">
        <v>0</v>
      </c>
      <c r="AGX31">
        <v>0</v>
      </c>
      <c r="AGY31">
        <v>0</v>
      </c>
      <c r="AGZ31">
        <v>0</v>
      </c>
      <c r="AHA31">
        <v>0</v>
      </c>
      <c r="AHB31">
        <v>0</v>
      </c>
      <c r="AHC31">
        <v>0</v>
      </c>
      <c r="AHD31">
        <v>0</v>
      </c>
      <c r="AHE31">
        <v>0</v>
      </c>
      <c r="AHF31">
        <v>0</v>
      </c>
      <c r="AHG31">
        <v>0</v>
      </c>
      <c r="AHH31">
        <v>0</v>
      </c>
      <c r="AHI31">
        <v>0</v>
      </c>
      <c r="AHJ31">
        <v>0</v>
      </c>
      <c r="AHK31">
        <v>-4500</v>
      </c>
      <c r="AHL31">
        <v>0</v>
      </c>
      <c r="AHM31">
        <v>0</v>
      </c>
      <c r="AHN31">
        <v>0</v>
      </c>
      <c r="AHO31">
        <v>0</v>
      </c>
      <c r="AHP31">
        <v>0</v>
      </c>
      <c r="AHQ31">
        <v>0</v>
      </c>
      <c r="AHR31">
        <v>0</v>
      </c>
      <c r="AHS31">
        <v>0</v>
      </c>
      <c r="AHT31">
        <v>0</v>
      </c>
      <c r="AHU31">
        <v>0</v>
      </c>
      <c r="AHV31">
        <v>0</v>
      </c>
      <c r="AHW31">
        <v>0</v>
      </c>
      <c r="AHX31">
        <v>0</v>
      </c>
      <c r="AHY31">
        <v>0</v>
      </c>
      <c r="AHZ31">
        <v>0</v>
      </c>
      <c r="AIA31">
        <v>0</v>
      </c>
      <c r="AIB31">
        <v>0</v>
      </c>
      <c r="AIC31">
        <v>0</v>
      </c>
      <c r="AID31">
        <v>0</v>
      </c>
      <c r="AIE31">
        <v>0</v>
      </c>
      <c r="AIF31">
        <v>0</v>
      </c>
      <c r="AIG31">
        <v>0</v>
      </c>
      <c r="AIH31">
        <v>0</v>
      </c>
      <c r="AII31">
        <v>0</v>
      </c>
      <c r="AIJ31">
        <v>0</v>
      </c>
      <c r="AIK31">
        <v>0</v>
      </c>
      <c r="AIL31">
        <v>0</v>
      </c>
      <c r="AIM31">
        <v>0</v>
      </c>
      <c r="AIN31">
        <v>0</v>
      </c>
      <c r="AIO31">
        <v>0</v>
      </c>
      <c r="AIP31">
        <v>0</v>
      </c>
      <c r="AIQ31">
        <v>0</v>
      </c>
      <c r="AIR31">
        <v>0</v>
      </c>
      <c r="AIS31">
        <v>0</v>
      </c>
      <c r="AIT31">
        <v>0</v>
      </c>
      <c r="AIU31">
        <v>0</v>
      </c>
      <c r="AIV31">
        <v>0</v>
      </c>
      <c r="AIW31">
        <v>0</v>
      </c>
      <c r="AIX31">
        <v>0</v>
      </c>
      <c r="AIY31">
        <v>0</v>
      </c>
      <c r="AIZ31">
        <v>0</v>
      </c>
      <c r="AJA31">
        <v>0</v>
      </c>
      <c r="AJB31">
        <v>0</v>
      </c>
      <c r="AJC31">
        <v>0</v>
      </c>
      <c r="AJD31">
        <v>0</v>
      </c>
      <c r="AJE31">
        <v>0</v>
      </c>
      <c r="AJF31">
        <v>0</v>
      </c>
      <c r="AJG31">
        <v>0</v>
      </c>
      <c r="AJH31">
        <v>0</v>
      </c>
      <c r="AJI31">
        <v>0</v>
      </c>
      <c r="AJJ31">
        <v>0</v>
      </c>
      <c r="AJK31">
        <v>0</v>
      </c>
      <c r="AJL31">
        <v>0</v>
      </c>
      <c r="AJM31">
        <v>0</v>
      </c>
      <c r="AJN31">
        <v>0</v>
      </c>
      <c r="AJO31">
        <v>0</v>
      </c>
      <c r="AJP31">
        <v>0</v>
      </c>
      <c r="AJQ31">
        <v>0</v>
      </c>
      <c r="AJR31">
        <v>0</v>
      </c>
      <c r="AJS31">
        <v>0</v>
      </c>
      <c r="AJT31">
        <v>0</v>
      </c>
      <c r="AJU31">
        <v>0</v>
      </c>
      <c r="AJV31">
        <v>0</v>
      </c>
      <c r="AJW31">
        <v>0</v>
      </c>
      <c r="AJX31">
        <v>0</v>
      </c>
      <c r="AJY31">
        <v>0</v>
      </c>
    </row>
    <row r="32" spans="1:961" x14ac:dyDescent="0.3">
      <c r="A32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10000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5000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-5400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-150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-1000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>
        <v>0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-5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>
        <v>0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0</v>
      </c>
      <c r="YD32">
        <v>0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G32">
        <v>0</v>
      </c>
      <c r="ZH32">
        <v>0</v>
      </c>
      <c r="ZI32">
        <v>0</v>
      </c>
      <c r="ZJ32">
        <v>0</v>
      </c>
      <c r="ZK32">
        <v>0</v>
      </c>
      <c r="ZL32">
        <v>0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-256.16438356164383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0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0</v>
      </c>
      <c r="ADG32">
        <v>0</v>
      </c>
      <c r="ADH32">
        <v>0</v>
      </c>
      <c r="ADI32">
        <v>0</v>
      </c>
      <c r="ADJ32">
        <v>0</v>
      </c>
      <c r="ADK32">
        <v>0</v>
      </c>
      <c r="ADL32">
        <v>0</v>
      </c>
      <c r="ADM32">
        <v>0</v>
      </c>
      <c r="ADN32">
        <v>0</v>
      </c>
      <c r="ADO32">
        <v>0</v>
      </c>
      <c r="ADP32">
        <v>0</v>
      </c>
      <c r="ADQ32">
        <v>0</v>
      </c>
      <c r="ADR32">
        <v>0</v>
      </c>
      <c r="ADS32">
        <v>0</v>
      </c>
      <c r="ADT32">
        <v>-120</v>
      </c>
      <c r="ADU32">
        <v>0</v>
      </c>
      <c r="ADV32">
        <v>0</v>
      </c>
      <c r="ADW32">
        <v>0</v>
      </c>
      <c r="ADX32">
        <v>0</v>
      </c>
      <c r="ADY32">
        <v>0</v>
      </c>
      <c r="ADZ32">
        <v>0</v>
      </c>
      <c r="AEA32">
        <v>0</v>
      </c>
      <c r="AEB32">
        <v>0</v>
      </c>
      <c r="AEC32">
        <v>0</v>
      </c>
      <c r="AED32">
        <v>0</v>
      </c>
      <c r="AEE32">
        <v>0</v>
      </c>
      <c r="AEF32">
        <v>0</v>
      </c>
      <c r="AEG32">
        <v>0</v>
      </c>
      <c r="AEH32">
        <v>0</v>
      </c>
      <c r="AEI32">
        <v>0</v>
      </c>
      <c r="AEJ32">
        <v>0</v>
      </c>
      <c r="AEK32">
        <v>0</v>
      </c>
      <c r="AEL32">
        <v>0</v>
      </c>
      <c r="AEM32">
        <v>0</v>
      </c>
      <c r="AEN32">
        <v>0</v>
      </c>
      <c r="AEO32">
        <v>0</v>
      </c>
      <c r="AEP32">
        <v>0</v>
      </c>
      <c r="AEQ32">
        <v>0</v>
      </c>
      <c r="AER32">
        <v>0</v>
      </c>
      <c r="AES32">
        <v>0</v>
      </c>
      <c r="AET32">
        <v>0</v>
      </c>
      <c r="AEU32">
        <v>0</v>
      </c>
      <c r="AEV32">
        <v>0</v>
      </c>
      <c r="AEW32">
        <v>0</v>
      </c>
      <c r="AEX32">
        <v>0</v>
      </c>
      <c r="AEY32">
        <v>0</v>
      </c>
      <c r="AEZ32">
        <v>0</v>
      </c>
      <c r="AFA32">
        <v>0</v>
      </c>
      <c r="AFB32">
        <v>0</v>
      </c>
      <c r="AFC32">
        <v>0</v>
      </c>
      <c r="AFD32">
        <v>0</v>
      </c>
      <c r="AFE32">
        <v>0</v>
      </c>
      <c r="AFF32">
        <v>0</v>
      </c>
      <c r="AFG32">
        <v>0</v>
      </c>
      <c r="AFH32">
        <v>0</v>
      </c>
      <c r="AFI32">
        <v>0</v>
      </c>
      <c r="AFJ32">
        <v>0</v>
      </c>
      <c r="AFK32">
        <v>0</v>
      </c>
      <c r="AFL32">
        <v>0</v>
      </c>
      <c r="AFM32">
        <v>0</v>
      </c>
      <c r="AFN32">
        <v>0</v>
      </c>
      <c r="AFO32">
        <v>0</v>
      </c>
      <c r="AFP32">
        <v>0</v>
      </c>
      <c r="AFQ32">
        <v>0</v>
      </c>
      <c r="AFR32">
        <v>0</v>
      </c>
      <c r="AFS32">
        <v>0</v>
      </c>
      <c r="AFT32">
        <v>0</v>
      </c>
      <c r="AFU32">
        <v>0</v>
      </c>
      <c r="AFV32">
        <v>0</v>
      </c>
      <c r="AFW32">
        <v>0</v>
      </c>
      <c r="AFX32">
        <v>0</v>
      </c>
      <c r="AFY32">
        <v>0</v>
      </c>
      <c r="AFZ32">
        <v>0</v>
      </c>
      <c r="AGA32">
        <v>0</v>
      </c>
      <c r="AGB32">
        <v>0</v>
      </c>
      <c r="AGC32">
        <v>0</v>
      </c>
      <c r="AGD32">
        <v>0</v>
      </c>
      <c r="AGE32">
        <v>0</v>
      </c>
      <c r="AGF32">
        <v>0</v>
      </c>
      <c r="AGG32">
        <v>0</v>
      </c>
      <c r="AGH32">
        <v>0</v>
      </c>
      <c r="AGI32">
        <v>0</v>
      </c>
      <c r="AGJ32">
        <v>0</v>
      </c>
      <c r="AGK32">
        <v>0</v>
      </c>
      <c r="AGL32">
        <v>0</v>
      </c>
      <c r="AGM32">
        <v>0</v>
      </c>
      <c r="AGN32">
        <v>0</v>
      </c>
      <c r="AGO32">
        <v>0</v>
      </c>
      <c r="AGP32">
        <v>0</v>
      </c>
      <c r="AGQ32">
        <v>0</v>
      </c>
      <c r="AGR32">
        <v>0</v>
      </c>
      <c r="AGS32">
        <v>0</v>
      </c>
      <c r="AGT32">
        <v>0</v>
      </c>
      <c r="AGU32">
        <v>0</v>
      </c>
      <c r="AGV32">
        <v>0</v>
      </c>
      <c r="AGW32">
        <v>0</v>
      </c>
      <c r="AGX32">
        <v>0</v>
      </c>
      <c r="AGY32">
        <v>0</v>
      </c>
      <c r="AGZ32">
        <v>0</v>
      </c>
      <c r="AHA32">
        <v>0</v>
      </c>
      <c r="AHB32">
        <v>0</v>
      </c>
      <c r="AHC32">
        <v>0</v>
      </c>
      <c r="AHD32">
        <v>0</v>
      </c>
      <c r="AHE32">
        <v>0</v>
      </c>
      <c r="AHF32">
        <v>0</v>
      </c>
      <c r="AHG32">
        <v>0</v>
      </c>
      <c r="AHH32">
        <v>0</v>
      </c>
      <c r="AHI32">
        <v>0</v>
      </c>
      <c r="AHJ32">
        <v>0</v>
      </c>
      <c r="AHK32">
        <v>0</v>
      </c>
      <c r="AHL32">
        <v>-4500</v>
      </c>
      <c r="AHM32">
        <v>0</v>
      </c>
      <c r="AHN32">
        <v>0</v>
      </c>
      <c r="AHO32">
        <v>0</v>
      </c>
      <c r="AHP32">
        <v>0</v>
      </c>
      <c r="AHQ32">
        <v>0</v>
      </c>
      <c r="AHR32">
        <v>0</v>
      </c>
      <c r="AHS32">
        <v>0</v>
      </c>
      <c r="AHT32">
        <v>0</v>
      </c>
      <c r="AHU32">
        <v>0</v>
      </c>
      <c r="AHV32">
        <v>0</v>
      </c>
      <c r="AHW32">
        <v>0</v>
      </c>
      <c r="AHX32">
        <v>0</v>
      </c>
      <c r="AHY32">
        <v>0</v>
      </c>
      <c r="AHZ32">
        <v>0</v>
      </c>
      <c r="AIA32">
        <v>0</v>
      </c>
      <c r="AIB32">
        <v>0</v>
      </c>
      <c r="AIC32">
        <v>0</v>
      </c>
      <c r="AID32">
        <v>0</v>
      </c>
      <c r="AIE32">
        <v>0</v>
      </c>
      <c r="AIF32">
        <v>0</v>
      </c>
      <c r="AIG32">
        <v>0</v>
      </c>
      <c r="AIH32">
        <v>0</v>
      </c>
      <c r="AII32">
        <v>0</v>
      </c>
      <c r="AIJ32">
        <v>0</v>
      </c>
      <c r="AIK32">
        <v>0</v>
      </c>
      <c r="AIL32">
        <v>0</v>
      </c>
      <c r="AIM32">
        <v>0</v>
      </c>
      <c r="AIN32">
        <v>0</v>
      </c>
      <c r="AIO32">
        <v>0</v>
      </c>
      <c r="AIP32">
        <v>0</v>
      </c>
      <c r="AIQ32">
        <v>0</v>
      </c>
      <c r="AIR32">
        <v>0</v>
      </c>
      <c r="AIS32">
        <v>0</v>
      </c>
      <c r="AIT32">
        <v>0</v>
      </c>
      <c r="AIU32">
        <v>0</v>
      </c>
      <c r="AIV32">
        <v>0</v>
      </c>
      <c r="AIW32">
        <v>0</v>
      </c>
      <c r="AIX32">
        <v>0</v>
      </c>
      <c r="AIY32">
        <v>0</v>
      </c>
      <c r="AIZ32">
        <v>0</v>
      </c>
      <c r="AJA32">
        <v>0</v>
      </c>
      <c r="AJB32">
        <v>0</v>
      </c>
      <c r="AJC32">
        <v>0</v>
      </c>
      <c r="AJD32">
        <v>0</v>
      </c>
      <c r="AJE32">
        <v>0</v>
      </c>
      <c r="AJF32">
        <v>0</v>
      </c>
      <c r="AJG32">
        <v>0</v>
      </c>
      <c r="AJH32">
        <v>0</v>
      </c>
      <c r="AJI32">
        <v>0</v>
      </c>
      <c r="AJJ32">
        <v>0</v>
      </c>
      <c r="AJK32">
        <v>0</v>
      </c>
      <c r="AJL32">
        <v>0</v>
      </c>
      <c r="AJM32">
        <v>0</v>
      </c>
      <c r="AJN32">
        <v>0</v>
      </c>
      <c r="AJO32">
        <v>0</v>
      </c>
      <c r="AJP32">
        <v>0</v>
      </c>
      <c r="AJQ32">
        <v>0</v>
      </c>
      <c r="AJR32">
        <v>0</v>
      </c>
      <c r="AJS32">
        <v>0</v>
      </c>
      <c r="AJT32">
        <v>0</v>
      </c>
      <c r="AJU32">
        <v>0</v>
      </c>
      <c r="AJV32">
        <v>0</v>
      </c>
      <c r="AJW32">
        <v>0</v>
      </c>
      <c r="AJX32">
        <v>0</v>
      </c>
      <c r="AJY32">
        <v>0</v>
      </c>
    </row>
    <row r="33" spans="1:961" x14ac:dyDescent="0.3">
      <c r="A33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10000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5000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-150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-1000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-5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>
        <v>0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0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-256.16438356164383</v>
      </c>
      <c r="AAD33">
        <v>0</v>
      </c>
      <c r="AAE33">
        <v>0</v>
      </c>
      <c r="AAF33">
        <v>0</v>
      </c>
      <c r="AAG33">
        <v>0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0</v>
      </c>
      <c r="AAS33">
        <v>0</v>
      </c>
      <c r="AAT33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0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  <c r="ADG33">
        <v>0</v>
      </c>
      <c r="ADH33">
        <v>0</v>
      </c>
      <c r="ADI33">
        <v>0</v>
      </c>
      <c r="ADJ33">
        <v>0</v>
      </c>
      <c r="ADK33">
        <v>0</v>
      </c>
      <c r="ADL33">
        <v>0</v>
      </c>
      <c r="ADM33">
        <v>0</v>
      </c>
      <c r="ADN33">
        <v>0</v>
      </c>
      <c r="ADO33">
        <v>0</v>
      </c>
      <c r="ADP33">
        <v>0</v>
      </c>
      <c r="ADQ33">
        <v>0</v>
      </c>
      <c r="ADR33">
        <v>0</v>
      </c>
      <c r="ADS33">
        <v>0</v>
      </c>
      <c r="ADT33">
        <v>0</v>
      </c>
      <c r="ADU33">
        <v>-120</v>
      </c>
      <c r="ADV33">
        <v>0</v>
      </c>
      <c r="ADW33">
        <v>0</v>
      </c>
      <c r="ADX33">
        <v>0</v>
      </c>
      <c r="ADY33">
        <v>0</v>
      </c>
      <c r="ADZ33">
        <v>0</v>
      </c>
      <c r="AEA33">
        <v>0</v>
      </c>
      <c r="AEB33">
        <v>0</v>
      </c>
      <c r="AEC33">
        <v>0</v>
      </c>
      <c r="AED33">
        <v>0</v>
      </c>
      <c r="AEE33">
        <v>0</v>
      </c>
      <c r="AEF33">
        <v>0</v>
      </c>
      <c r="AEG33">
        <v>0</v>
      </c>
      <c r="AEH33">
        <v>0</v>
      </c>
      <c r="AEI33">
        <v>0</v>
      </c>
      <c r="AEJ33">
        <v>0</v>
      </c>
      <c r="AEK33">
        <v>0</v>
      </c>
      <c r="AEL33">
        <v>0</v>
      </c>
      <c r="AEM33">
        <v>0</v>
      </c>
      <c r="AEN33">
        <v>0</v>
      </c>
      <c r="AEO33">
        <v>0</v>
      </c>
      <c r="AEP33">
        <v>0</v>
      </c>
      <c r="AEQ33">
        <v>0</v>
      </c>
      <c r="AER33">
        <v>0</v>
      </c>
      <c r="AES33">
        <v>0</v>
      </c>
      <c r="AET33">
        <v>0</v>
      </c>
      <c r="AEU33">
        <v>0</v>
      </c>
      <c r="AEV33">
        <v>0</v>
      </c>
      <c r="AEW33">
        <v>0</v>
      </c>
      <c r="AEX33">
        <v>0</v>
      </c>
      <c r="AEY33">
        <v>0</v>
      </c>
      <c r="AEZ33">
        <v>0</v>
      </c>
      <c r="AFA33">
        <v>0</v>
      </c>
      <c r="AFB33">
        <v>0</v>
      </c>
      <c r="AFC33">
        <v>0</v>
      </c>
      <c r="AFD33">
        <v>0</v>
      </c>
      <c r="AFE33">
        <v>0</v>
      </c>
      <c r="AFF33">
        <v>0</v>
      </c>
      <c r="AFG33">
        <v>0</v>
      </c>
      <c r="AFH33">
        <v>0</v>
      </c>
      <c r="AFI33">
        <v>0</v>
      </c>
      <c r="AFJ33">
        <v>0</v>
      </c>
      <c r="AFK33">
        <v>0</v>
      </c>
      <c r="AFL33">
        <v>0</v>
      </c>
      <c r="AFM33">
        <v>0</v>
      </c>
      <c r="AFN33">
        <v>0</v>
      </c>
      <c r="AFO33">
        <v>0</v>
      </c>
      <c r="AFP33">
        <v>0</v>
      </c>
      <c r="AFQ33">
        <v>0</v>
      </c>
      <c r="AFR33">
        <v>0</v>
      </c>
      <c r="AFS33">
        <v>0</v>
      </c>
      <c r="AFT33">
        <v>0</v>
      </c>
      <c r="AFU33">
        <v>0</v>
      </c>
      <c r="AFV33">
        <v>0</v>
      </c>
      <c r="AFW33">
        <v>0</v>
      </c>
      <c r="AFX33">
        <v>0</v>
      </c>
      <c r="AFY33">
        <v>0</v>
      </c>
      <c r="AFZ33">
        <v>0</v>
      </c>
      <c r="AGA33">
        <v>0</v>
      </c>
      <c r="AGB33">
        <v>0</v>
      </c>
      <c r="AGC33">
        <v>0</v>
      </c>
      <c r="AGD33">
        <v>0</v>
      </c>
      <c r="AGE33">
        <v>0</v>
      </c>
      <c r="AGF33">
        <v>0</v>
      </c>
      <c r="AGG33">
        <v>0</v>
      </c>
      <c r="AGH33">
        <v>0</v>
      </c>
      <c r="AGI33">
        <v>0</v>
      </c>
      <c r="AGJ33">
        <v>0</v>
      </c>
      <c r="AGK33">
        <v>0</v>
      </c>
      <c r="AGL33">
        <v>0</v>
      </c>
      <c r="AGM33">
        <v>0</v>
      </c>
      <c r="AGN33">
        <v>0</v>
      </c>
      <c r="AGO33">
        <v>0</v>
      </c>
      <c r="AGP33">
        <v>0</v>
      </c>
      <c r="AGQ33">
        <v>0</v>
      </c>
      <c r="AGR33">
        <v>0</v>
      </c>
      <c r="AGS33">
        <v>0</v>
      </c>
      <c r="AGT33">
        <v>0</v>
      </c>
      <c r="AGU33">
        <v>0</v>
      </c>
      <c r="AGV33">
        <v>0</v>
      </c>
      <c r="AGW33">
        <v>0</v>
      </c>
      <c r="AGX33">
        <v>0</v>
      </c>
      <c r="AGY33">
        <v>0</v>
      </c>
      <c r="AGZ33">
        <v>0</v>
      </c>
      <c r="AHA33">
        <v>0</v>
      </c>
      <c r="AHB33">
        <v>0</v>
      </c>
      <c r="AHC33">
        <v>0</v>
      </c>
      <c r="AHD33">
        <v>0</v>
      </c>
      <c r="AHE33">
        <v>0</v>
      </c>
      <c r="AHF33">
        <v>0</v>
      </c>
      <c r="AHG33">
        <v>0</v>
      </c>
      <c r="AHH33">
        <v>0</v>
      </c>
      <c r="AHI33">
        <v>0</v>
      </c>
      <c r="AHJ33">
        <v>0</v>
      </c>
      <c r="AHK33">
        <v>0</v>
      </c>
      <c r="AHL33">
        <v>0</v>
      </c>
      <c r="AHM33">
        <v>-4500</v>
      </c>
      <c r="AHN33">
        <v>0</v>
      </c>
      <c r="AHO33">
        <v>0</v>
      </c>
      <c r="AHP33">
        <v>0</v>
      </c>
      <c r="AHQ33">
        <v>0</v>
      </c>
      <c r="AHR33">
        <v>0</v>
      </c>
      <c r="AHS33">
        <v>0</v>
      </c>
      <c r="AHT33">
        <v>0</v>
      </c>
      <c r="AHU33">
        <v>0</v>
      </c>
      <c r="AHV33">
        <v>0</v>
      </c>
      <c r="AHW33">
        <v>0</v>
      </c>
      <c r="AHX33">
        <v>0</v>
      </c>
      <c r="AHY33">
        <v>0</v>
      </c>
      <c r="AHZ33">
        <v>0</v>
      </c>
      <c r="AIA33">
        <v>0</v>
      </c>
      <c r="AIB33">
        <v>0</v>
      </c>
      <c r="AIC33">
        <v>0</v>
      </c>
      <c r="AID33">
        <v>0</v>
      </c>
      <c r="AIE33">
        <v>0</v>
      </c>
      <c r="AIF33">
        <v>0</v>
      </c>
      <c r="AIG33">
        <v>0</v>
      </c>
      <c r="AIH33">
        <v>0</v>
      </c>
      <c r="AII33">
        <v>0</v>
      </c>
      <c r="AIJ33">
        <v>0</v>
      </c>
      <c r="AIK33">
        <v>0</v>
      </c>
      <c r="AIL33">
        <v>0</v>
      </c>
      <c r="AIM33">
        <v>0</v>
      </c>
      <c r="AIN33">
        <v>0</v>
      </c>
      <c r="AIO33">
        <v>0</v>
      </c>
      <c r="AIP33">
        <v>0</v>
      </c>
      <c r="AIQ33">
        <v>0</v>
      </c>
      <c r="AIR33">
        <v>0</v>
      </c>
      <c r="AIS33">
        <v>0</v>
      </c>
      <c r="AIT33">
        <v>0</v>
      </c>
      <c r="AIU33">
        <v>0</v>
      </c>
      <c r="AIV33">
        <v>0</v>
      </c>
      <c r="AIW33">
        <v>0</v>
      </c>
      <c r="AIX33">
        <v>0</v>
      </c>
      <c r="AIY33">
        <v>0</v>
      </c>
      <c r="AIZ33">
        <v>0</v>
      </c>
      <c r="AJA33">
        <v>0</v>
      </c>
      <c r="AJB33">
        <v>0</v>
      </c>
      <c r="AJC33">
        <v>0</v>
      </c>
      <c r="AJD33">
        <v>0</v>
      </c>
      <c r="AJE33">
        <v>0</v>
      </c>
      <c r="AJF33">
        <v>0</v>
      </c>
      <c r="AJG33">
        <v>0</v>
      </c>
      <c r="AJH33">
        <v>0</v>
      </c>
      <c r="AJI33">
        <v>0</v>
      </c>
      <c r="AJJ33">
        <v>0</v>
      </c>
      <c r="AJK33">
        <v>0</v>
      </c>
      <c r="AJL33">
        <v>0</v>
      </c>
      <c r="AJM33">
        <v>0</v>
      </c>
      <c r="AJN33">
        <v>0</v>
      </c>
      <c r="AJO33">
        <v>0</v>
      </c>
      <c r="AJP33">
        <v>0</v>
      </c>
      <c r="AJQ33">
        <v>0</v>
      </c>
      <c r="AJR33">
        <v>0</v>
      </c>
      <c r="AJS33">
        <v>0</v>
      </c>
      <c r="AJT33">
        <v>0</v>
      </c>
      <c r="AJU33">
        <v>0</v>
      </c>
      <c r="AJV33">
        <v>0</v>
      </c>
      <c r="AJW33">
        <v>0</v>
      </c>
      <c r="AJX33">
        <v>0</v>
      </c>
      <c r="AJY33">
        <v>0</v>
      </c>
    </row>
    <row r="34" spans="1:961" x14ac:dyDescent="0.3">
      <c r="A34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10000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5000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860.51615999999979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-5400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-150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-1000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>
        <v>0</v>
      </c>
      <c r="WL34">
        <v>-5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0</v>
      </c>
      <c r="ZM34">
        <v>0</v>
      </c>
      <c r="ZN34">
        <v>0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-256.16438356164383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  <c r="ADF34">
        <v>0</v>
      </c>
      <c r="ADG34">
        <v>0</v>
      </c>
      <c r="ADH34">
        <v>0</v>
      </c>
      <c r="ADI34">
        <v>0</v>
      </c>
      <c r="ADJ34">
        <v>0</v>
      </c>
      <c r="ADK34">
        <v>0</v>
      </c>
      <c r="ADL34">
        <v>0</v>
      </c>
      <c r="ADM34">
        <v>0</v>
      </c>
      <c r="ADN34">
        <v>0</v>
      </c>
      <c r="ADO34">
        <v>0</v>
      </c>
      <c r="ADP34">
        <v>0</v>
      </c>
      <c r="ADQ34">
        <v>0</v>
      </c>
      <c r="ADR34">
        <v>0</v>
      </c>
      <c r="ADS34">
        <v>0</v>
      </c>
      <c r="ADT34">
        <v>0</v>
      </c>
      <c r="ADU34">
        <v>0</v>
      </c>
      <c r="ADV34">
        <v>-120</v>
      </c>
      <c r="ADW34">
        <v>0</v>
      </c>
      <c r="ADX34">
        <v>0</v>
      </c>
      <c r="ADY34">
        <v>0</v>
      </c>
      <c r="ADZ34">
        <v>0</v>
      </c>
      <c r="AEA34">
        <v>0</v>
      </c>
      <c r="AEB34">
        <v>0</v>
      </c>
      <c r="AEC34">
        <v>0</v>
      </c>
      <c r="AED34">
        <v>0</v>
      </c>
      <c r="AEE34">
        <v>0</v>
      </c>
      <c r="AEF34">
        <v>0</v>
      </c>
      <c r="AEG34">
        <v>0</v>
      </c>
      <c r="AEH34">
        <v>0</v>
      </c>
      <c r="AEI34">
        <v>0</v>
      </c>
      <c r="AEJ34">
        <v>0</v>
      </c>
      <c r="AEK34">
        <v>0</v>
      </c>
      <c r="AEL34">
        <v>0</v>
      </c>
      <c r="AEM34">
        <v>0</v>
      </c>
      <c r="AEN34">
        <v>0</v>
      </c>
      <c r="AEO34">
        <v>0</v>
      </c>
      <c r="AEP34">
        <v>0</v>
      </c>
      <c r="AEQ34">
        <v>0</v>
      </c>
      <c r="AER34">
        <v>0</v>
      </c>
      <c r="AES34">
        <v>0</v>
      </c>
      <c r="AET34">
        <v>0</v>
      </c>
      <c r="AEU34">
        <v>0</v>
      </c>
      <c r="AEV34">
        <v>0</v>
      </c>
      <c r="AEW34">
        <v>0</v>
      </c>
      <c r="AEX34">
        <v>0</v>
      </c>
      <c r="AEY34">
        <v>0</v>
      </c>
      <c r="AEZ34">
        <v>0</v>
      </c>
      <c r="AFA34">
        <v>0</v>
      </c>
      <c r="AFB34">
        <v>0</v>
      </c>
      <c r="AFC34">
        <v>0</v>
      </c>
      <c r="AFD34">
        <v>0</v>
      </c>
      <c r="AFE34">
        <v>0</v>
      </c>
      <c r="AFF34">
        <v>0</v>
      </c>
      <c r="AFG34">
        <v>0</v>
      </c>
      <c r="AFH34">
        <v>0</v>
      </c>
      <c r="AFI34">
        <v>0</v>
      </c>
      <c r="AFJ34">
        <v>0</v>
      </c>
      <c r="AFK34">
        <v>0</v>
      </c>
      <c r="AFL34">
        <v>0</v>
      </c>
      <c r="AFM34">
        <v>0</v>
      </c>
      <c r="AFN34">
        <v>0</v>
      </c>
      <c r="AFO34">
        <v>0</v>
      </c>
      <c r="AFP34">
        <v>0</v>
      </c>
      <c r="AFQ34">
        <v>0</v>
      </c>
      <c r="AFR34">
        <v>0</v>
      </c>
      <c r="AFS34">
        <v>0</v>
      </c>
      <c r="AFT34">
        <v>0</v>
      </c>
      <c r="AFU34">
        <v>0</v>
      </c>
      <c r="AFV34">
        <v>0</v>
      </c>
      <c r="AFW34">
        <v>0</v>
      </c>
      <c r="AFX34">
        <v>0</v>
      </c>
      <c r="AFY34">
        <v>0</v>
      </c>
      <c r="AFZ34">
        <v>0</v>
      </c>
      <c r="AGA34">
        <v>0</v>
      </c>
      <c r="AGB34">
        <v>0</v>
      </c>
      <c r="AGC34">
        <v>0</v>
      </c>
      <c r="AGD34">
        <v>0</v>
      </c>
      <c r="AGE34">
        <v>0</v>
      </c>
      <c r="AGF34">
        <v>0</v>
      </c>
      <c r="AGG34">
        <v>0</v>
      </c>
      <c r="AGH34">
        <v>0</v>
      </c>
      <c r="AGI34">
        <v>0</v>
      </c>
      <c r="AGJ34">
        <v>0</v>
      </c>
      <c r="AGK34">
        <v>0</v>
      </c>
      <c r="AGL34">
        <v>0</v>
      </c>
      <c r="AGM34">
        <v>0</v>
      </c>
      <c r="AGN34">
        <v>0</v>
      </c>
      <c r="AGO34">
        <v>0</v>
      </c>
      <c r="AGP34">
        <v>0</v>
      </c>
      <c r="AGQ34">
        <v>0</v>
      </c>
      <c r="AGR34">
        <v>0</v>
      </c>
      <c r="AGS34">
        <v>0</v>
      </c>
      <c r="AGT34">
        <v>0</v>
      </c>
      <c r="AGU34">
        <v>0</v>
      </c>
      <c r="AGV34">
        <v>0</v>
      </c>
      <c r="AGW34">
        <v>0</v>
      </c>
      <c r="AGX34">
        <v>0</v>
      </c>
      <c r="AGY34">
        <v>0</v>
      </c>
      <c r="AGZ34">
        <v>0</v>
      </c>
      <c r="AHA34">
        <v>0</v>
      </c>
      <c r="AHB34">
        <v>0</v>
      </c>
      <c r="AHC34">
        <v>0</v>
      </c>
      <c r="AHD34">
        <v>0</v>
      </c>
      <c r="AHE34">
        <v>0</v>
      </c>
      <c r="AHF34">
        <v>0</v>
      </c>
      <c r="AHG34">
        <v>0</v>
      </c>
      <c r="AHH34">
        <v>0</v>
      </c>
      <c r="AHI34">
        <v>0</v>
      </c>
      <c r="AHJ34">
        <v>0</v>
      </c>
      <c r="AHK34">
        <v>0</v>
      </c>
      <c r="AHL34">
        <v>0</v>
      </c>
      <c r="AHM34">
        <v>0</v>
      </c>
      <c r="AHN34">
        <v>-4500</v>
      </c>
      <c r="AHO34">
        <v>0</v>
      </c>
      <c r="AHP34">
        <v>0</v>
      </c>
      <c r="AHQ34">
        <v>0</v>
      </c>
      <c r="AHR34">
        <v>0</v>
      </c>
      <c r="AHS34">
        <v>0</v>
      </c>
      <c r="AHT34">
        <v>0</v>
      </c>
      <c r="AHU34">
        <v>0</v>
      </c>
      <c r="AHV34">
        <v>0</v>
      </c>
      <c r="AHW34">
        <v>0</v>
      </c>
      <c r="AHX34">
        <v>0</v>
      </c>
      <c r="AHY34">
        <v>0</v>
      </c>
      <c r="AHZ34">
        <v>0</v>
      </c>
      <c r="AIA34">
        <v>0</v>
      </c>
      <c r="AIB34">
        <v>0</v>
      </c>
      <c r="AIC34">
        <v>0</v>
      </c>
      <c r="AID34">
        <v>0</v>
      </c>
      <c r="AIE34">
        <v>0</v>
      </c>
      <c r="AIF34">
        <v>0</v>
      </c>
      <c r="AIG34">
        <v>0</v>
      </c>
      <c r="AIH34">
        <v>0</v>
      </c>
      <c r="AII34">
        <v>0</v>
      </c>
      <c r="AIJ34">
        <v>0</v>
      </c>
      <c r="AIK34">
        <v>0</v>
      </c>
      <c r="AIL34">
        <v>0</v>
      </c>
      <c r="AIM34">
        <v>0</v>
      </c>
      <c r="AIN34">
        <v>0</v>
      </c>
      <c r="AIO34">
        <v>0</v>
      </c>
      <c r="AIP34">
        <v>0</v>
      </c>
      <c r="AIQ34">
        <v>0</v>
      </c>
      <c r="AIR34">
        <v>0</v>
      </c>
      <c r="AIS34">
        <v>0</v>
      </c>
      <c r="AIT34">
        <v>0</v>
      </c>
      <c r="AIU34">
        <v>0</v>
      </c>
      <c r="AIV34">
        <v>0</v>
      </c>
      <c r="AIW34">
        <v>0</v>
      </c>
      <c r="AIX34">
        <v>0</v>
      </c>
      <c r="AIY34">
        <v>0</v>
      </c>
      <c r="AIZ34">
        <v>0</v>
      </c>
      <c r="AJA34">
        <v>0</v>
      </c>
      <c r="AJB34">
        <v>0</v>
      </c>
      <c r="AJC34">
        <v>0</v>
      </c>
      <c r="AJD34">
        <v>0</v>
      </c>
      <c r="AJE34">
        <v>0</v>
      </c>
      <c r="AJF34">
        <v>0</v>
      </c>
      <c r="AJG34">
        <v>0</v>
      </c>
      <c r="AJH34">
        <v>0</v>
      </c>
      <c r="AJI34">
        <v>0</v>
      </c>
      <c r="AJJ34">
        <v>0</v>
      </c>
      <c r="AJK34">
        <v>0</v>
      </c>
      <c r="AJL34">
        <v>0</v>
      </c>
      <c r="AJM34">
        <v>0</v>
      </c>
      <c r="AJN34">
        <v>0</v>
      </c>
      <c r="AJO34">
        <v>0</v>
      </c>
      <c r="AJP34">
        <v>0</v>
      </c>
      <c r="AJQ34">
        <v>0</v>
      </c>
      <c r="AJR34">
        <v>0</v>
      </c>
      <c r="AJS34">
        <v>0</v>
      </c>
      <c r="AJT34">
        <v>0</v>
      </c>
      <c r="AJU34">
        <v>0</v>
      </c>
      <c r="AJV34">
        <v>0</v>
      </c>
      <c r="AJW34">
        <v>0</v>
      </c>
      <c r="AJX34">
        <v>0</v>
      </c>
      <c r="AJY34">
        <v>0</v>
      </c>
    </row>
    <row r="35" spans="1:961" x14ac:dyDescent="0.3">
      <c r="A35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10000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5000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860.51615999999979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-5400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-150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-1000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-5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-256.16438356164383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  <c r="ADG35">
        <v>0</v>
      </c>
      <c r="ADH35">
        <v>0</v>
      </c>
      <c r="ADI35">
        <v>0</v>
      </c>
      <c r="ADJ35">
        <v>0</v>
      </c>
      <c r="ADK35">
        <v>0</v>
      </c>
      <c r="ADL35">
        <v>0</v>
      </c>
      <c r="ADM35">
        <v>0</v>
      </c>
      <c r="ADN35">
        <v>0</v>
      </c>
      <c r="ADO35">
        <v>0</v>
      </c>
      <c r="ADP35">
        <v>0</v>
      </c>
      <c r="ADQ35">
        <v>0</v>
      </c>
      <c r="ADR35">
        <v>0</v>
      </c>
      <c r="ADS35">
        <v>0</v>
      </c>
      <c r="ADT35">
        <v>0</v>
      </c>
      <c r="ADU35">
        <v>0</v>
      </c>
      <c r="ADV35">
        <v>0</v>
      </c>
      <c r="ADW35">
        <v>-120</v>
      </c>
      <c r="ADX35">
        <v>0</v>
      </c>
      <c r="ADY35">
        <v>0</v>
      </c>
      <c r="ADZ35">
        <v>0</v>
      </c>
      <c r="AEA35">
        <v>0</v>
      </c>
      <c r="AEB35">
        <v>0</v>
      </c>
      <c r="AEC35">
        <v>0</v>
      </c>
      <c r="AED35">
        <v>0</v>
      </c>
      <c r="AEE35">
        <v>0</v>
      </c>
      <c r="AEF35">
        <v>0</v>
      </c>
      <c r="AEG35">
        <v>0</v>
      </c>
      <c r="AEH35">
        <v>0</v>
      </c>
      <c r="AEI35">
        <v>0</v>
      </c>
      <c r="AEJ35">
        <v>0</v>
      </c>
      <c r="AEK35">
        <v>0</v>
      </c>
      <c r="AEL35">
        <v>0</v>
      </c>
      <c r="AEM35">
        <v>0</v>
      </c>
      <c r="AEN35">
        <v>0</v>
      </c>
      <c r="AEO35">
        <v>0</v>
      </c>
      <c r="AEP35">
        <v>0</v>
      </c>
      <c r="AEQ35">
        <v>0</v>
      </c>
      <c r="AER35">
        <v>0</v>
      </c>
      <c r="AES35">
        <v>0</v>
      </c>
      <c r="AET35">
        <v>0</v>
      </c>
      <c r="AEU35">
        <v>0</v>
      </c>
      <c r="AEV35">
        <v>0</v>
      </c>
      <c r="AEW35">
        <v>0</v>
      </c>
      <c r="AEX35">
        <v>0</v>
      </c>
      <c r="AEY35">
        <v>0</v>
      </c>
      <c r="AEZ35">
        <v>0</v>
      </c>
      <c r="AFA35">
        <v>0</v>
      </c>
      <c r="AFB35">
        <v>0</v>
      </c>
      <c r="AFC35">
        <v>0</v>
      </c>
      <c r="AFD35">
        <v>0</v>
      </c>
      <c r="AFE35">
        <v>0</v>
      </c>
      <c r="AFF35">
        <v>0</v>
      </c>
      <c r="AFG35">
        <v>0</v>
      </c>
      <c r="AFH35">
        <v>0</v>
      </c>
      <c r="AFI35">
        <v>0</v>
      </c>
      <c r="AFJ35">
        <v>0</v>
      </c>
      <c r="AFK35">
        <v>0</v>
      </c>
      <c r="AFL35">
        <v>0</v>
      </c>
      <c r="AFM35">
        <v>0</v>
      </c>
      <c r="AFN35">
        <v>0</v>
      </c>
      <c r="AFO35">
        <v>0</v>
      </c>
      <c r="AFP35">
        <v>0</v>
      </c>
      <c r="AFQ35">
        <v>0</v>
      </c>
      <c r="AFR35">
        <v>0</v>
      </c>
      <c r="AFS35">
        <v>0</v>
      </c>
      <c r="AFT35">
        <v>0</v>
      </c>
      <c r="AFU35">
        <v>0</v>
      </c>
      <c r="AFV35">
        <v>0</v>
      </c>
      <c r="AFW35">
        <v>0</v>
      </c>
      <c r="AFX35">
        <v>0</v>
      </c>
      <c r="AFY35">
        <v>0</v>
      </c>
      <c r="AFZ35">
        <v>0</v>
      </c>
      <c r="AGA35">
        <v>0</v>
      </c>
      <c r="AGB35">
        <v>0</v>
      </c>
      <c r="AGC35">
        <v>0</v>
      </c>
      <c r="AGD35">
        <v>0</v>
      </c>
      <c r="AGE35">
        <v>0</v>
      </c>
      <c r="AGF35">
        <v>0</v>
      </c>
      <c r="AGG35">
        <v>0</v>
      </c>
      <c r="AGH35">
        <v>0</v>
      </c>
      <c r="AGI35">
        <v>0</v>
      </c>
      <c r="AGJ35">
        <v>0</v>
      </c>
      <c r="AGK35">
        <v>0</v>
      </c>
      <c r="AGL35">
        <v>0</v>
      </c>
      <c r="AGM35">
        <v>0</v>
      </c>
      <c r="AGN35">
        <v>0</v>
      </c>
      <c r="AGO35">
        <v>0</v>
      </c>
      <c r="AGP35">
        <v>0</v>
      </c>
      <c r="AGQ35">
        <v>0</v>
      </c>
      <c r="AGR35">
        <v>0</v>
      </c>
      <c r="AGS35">
        <v>0</v>
      </c>
      <c r="AGT35">
        <v>0</v>
      </c>
      <c r="AGU35">
        <v>0</v>
      </c>
      <c r="AGV35">
        <v>0</v>
      </c>
      <c r="AGW35">
        <v>0</v>
      </c>
      <c r="AGX35">
        <v>0</v>
      </c>
      <c r="AGY35">
        <v>0</v>
      </c>
      <c r="AGZ35">
        <v>0</v>
      </c>
      <c r="AHA35">
        <v>0</v>
      </c>
      <c r="AHB35">
        <v>0</v>
      </c>
      <c r="AHC35">
        <v>0</v>
      </c>
      <c r="AHD35">
        <v>0</v>
      </c>
      <c r="AHE35">
        <v>0</v>
      </c>
      <c r="AHF35">
        <v>0</v>
      </c>
      <c r="AHG35">
        <v>0</v>
      </c>
      <c r="AHH35">
        <v>0</v>
      </c>
      <c r="AHI35">
        <v>0</v>
      </c>
      <c r="AHJ35">
        <v>0</v>
      </c>
      <c r="AHK35">
        <v>0</v>
      </c>
      <c r="AHL35">
        <v>0</v>
      </c>
      <c r="AHM35">
        <v>0</v>
      </c>
      <c r="AHN35">
        <v>0</v>
      </c>
      <c r="AHO35">
        <v>-4500</v>
      </c>
      <c r="AHP35">
        <v>0</v>
      </c>
      <c r="AHQ35">
        <v>0</v>
      </c>
      <c r="AHR35">
        <v>0</v>
      </c>
      <c r="AHS35">
        <v>0</v>
      </c>
      <c r="AHT35">
        <v>0</v>
      </c>
      <c r="AHU35">
        <v>0</v>
      </c>
      <c r="AHV35">
        <v>0</v>
      </c>
      <c r="AHW35">
        <v>0</v>
      </c>
      <c r="AHX35">
        <v>0</v>
      </c>
      <c r="AHY35">
        <v>0</v>
      </c>
      <c r="AHZ35">
        <v>0</v>
      </c>
      <c r="AIA35">
        <v>0</v>
      </c>
      <c r="AIB35">
        <v>0</v>
      </c>
      <c r="AIC35">
        <v>0</v>
      </c>
      <c r="AID35">
        <v>0</v>
      </c>
      <c r="AIE35">
        <v>0</v>
      </c>
      <c r="AIF35">
        <v>0</v>
      </c>
      <c r="AIG35">
        <v>0</v>
      </c>
      <c r="AIH35">
        <v>0</v>
      </c>
      <c r="AII35">
        <v>0</v>
      </c>
      <c r="AIJ35">
        <v>0</v>
      </c>
      <c r="AIK35">
        <v>0</v>
      </c>
      <c r="AIL35">
        <v>0</v>
      </c>
      <c r="AIM35">
        <v>0</v>
      </c>
      <c r="AIN35">
        <v>0</v>
      </c>
      <c r="AIO35">
        <v>0</v>
      </c>
      <c r="AIP35">
        <v>0</v>
      </c>
      <c r="AIQ35">
        <v>0</v>
      </c>
      <c r="AIR35">
        <v>0</v>
      </c>
      <c r="AIS35">
        <v>0</v>
      </c>
      <c r="AIT35">
        <v>0</v>
      </c>
      <c r="AIU35">
        <v>0</v>
      </c>
      <c r="AIV35">
        <v>0</v>
      </c>
      <c r="AIW35">
        <v>0</v>
      </c>
      <c r="AIX35">
        <v>0</v>
      </c>
      <c r="AIY35">
        <v>0</v>
      </c>
      <c r="AIZ35">
        <v>0</v>
      </c>
      <c r="AJA35">
        <v>0</v>
      </c>
      <c r="AJB35">
        <v>0</v>
      </c>
      <c r="AJC35">
        <v>0</v>
      </c>
      <c r="AJD35">
        <v>0</v>
      </c>
      <c r="AJE35">
        <v>0</v>
      </c>
      <c r="AJF35">
        <v>0</v>
      </c>
      <c r="AJG35">
        <v>0</v>
      </c>
      <c r="AJH35">
        <v>0</v>
      </c>
      <c r="AJI35">
        <v>0</v>
      </c>
      <c r="AJJ35">
        <v>0</v>
      </c>
      <c r="AJK35">
        <v>0</v>
      </c>
      <c r="AJL35">
        <v>0</v>
      </c>
      <c r="AJM35">
        <v>0</v>
      </c>
      <c r="AJN35">
        <v>0</v>
      </c>
      <c r="AJO35">
        <v>0</v>
      </c>
      <c r="AJP35">
        <v>0</v>
      </c>
      <c r="AJQ35">
        <v>0</v>
      </c>
      <c r="AJR35">
        <v>0</v>
      </c>
      <c r="AJS35">
        <v>0</v>
      </c>
      <c r="AJT35">
        <v>0</v>
      </c>
      <c r="AJU35">
        <v>0</v>
      </c>
      <c r="AJV35">
        <v>0</v>
      </c>
      <c r="AJW35">
        <v>0</v>
      </c>
      <c r="AJX35">
        <v>0</v>
      </c>
      <c r="AJY35">
        <v>0</v>
      </c>
    </row>
    <row r="36" spans="1:961" x14ac:dyDescent="0.3">
      <c r="A36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10000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5000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860.51615999999979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-150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-1000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-5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-256.16438356164383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  <c r="ADG36">
        <v>0</v>
      </c>
      <c r="ADH36">
        <v>0</v>
      </c>
      <c r="ADI36">
        <v>0</v>
      </c>
      <c r="ADJ36">
        <v>0</v>
      </c>
      <c r="ADK36">
        <v>0</v>
      </c>
      <c r="ADL36">
        <v>0</v>
      </c>
      <c r="ADM36">
        <v>0</v>
      </c>
      <c r="ADN36">
        <v>0</v>
      </c>
      <c r="ADO36">
        <v>0</v>
      </c>
      <c r="ADP36">
        <v>0</v>
      </c>
      <c r="ADQ36">
        <v>0</v>
      </c>
      <c r="ADR36">
        <v>0</v>
      </c>
      <c r="ADS36">
        <v>0</v>
      </c>
      <c r="ADT36">
        <v>0</v>
      </c>
      <c r="ADU36">
        <v>0</v>
      </c>
      <c r="ADV36">
        <v>0</v>
      </c>
      <c r="ADW36">
        <v>0</v>
      </c>
      <c r="ADX36">
        <v>-120</v>
      </c>
      <c r="ADY36">
        <v>0</v>
      </c>
      <c r="ADZ36">
        <v>0</v>
      </c>
      <c r="AEA36">
        <v>0</v>
      </c>
      <c r="AEB36">
        <v>0</v>
      </c>
      <c r="AEC36">
        <v>0</v>
      </c>
      <c r="AED36">
        <v>0</v>
      </c>
      <c r="AEE36">
        <v>0</v>
      </c>
      <c r="AEF36">
        <v>0</v>
      </c>
      <c r="AEG36">
        <v>0</v>
      </c>
      <c r="AEH36">
        <v>0</v>
      </c>
      <c r="AEI36">
        <v>0</v>
      </c>
      <c r="AEJ36">
        <v>0</v>
      </c>
      <c r="AEK36">
        <v>0</v>
      </c>
      <c r="AEL36">
        <v>0</v>
      </c>
      <c r="AEM36">
        <v>0</v>
      </c>
      <c r="AEN36">
        <v>0</v>
      </c>
      <c r="AEO36">
        <v>0</v>
      </c>
      <c r="AEP36">
        <v>0</v>
      </c>
      <c r="AEQ36">
        <v>0</v>
      </c>
      <c r="AER36">
        <v>0</v>
      </c>
      <c r="AES36">
        <v>0</v>
      </c>
      <c r="AET36">
        <v>0</v>
      </c>
      <c r="AEU36">
        <v>0</v>
      </c>
      <c r="AEV36">
        <v>0</v>
      </c>
      <c r="AEW36">
        <v>0</v>
      </c>
      <c r="AEX36">
        <v>0</v>
      </c>
      <c r="AEY36">
        <v>0</v>
      </c>
      <c r="AEZ36">
        <v>0</v>
      </c>
      <c r="AFA36">
        <v>0</v>
      </c>
      <c r="AFB36">
        <v>0</v>
      </c>
      <c r="AFC36">
        <v>0</v>
      </c>
      <c r="AFD36">
        <v>0</v>
      </c>
      <c r="AFE36">
        <v>0</v>
      </c>
      <c r="AFF36">
        <v>0</v>
      </c>
      <c r="AFG36">
        <v>0</v>
      </c>
      <c r="AFH36">
        <v>0</v>
      </c>
      <c r="AFI36">
        <v>0</v>
      </c>
      <c r="AFJ36">
        <v>0</v>
      </c>
      <c r="AFK36">
        <v>0</v>
      </c>
      <c r="AFL36">
        <v>0</v>
      </c>
      <c r="AFM36">
        <v>0</v>
      </c>
      <c r="AFN36">
        <v>0</v>
      </c>
      <c r="AFO36">
        <v>0</v>
      </c>
      <c r="AFP36">
        <v>0</v>
      </c>
      <c r="AFQ36">
        <v>0</v>
      </c>
      <c r="AFR36">
        <v>0</v>
      </c>
      <c r="AFS36">
        <v>0</v>
      </c>
      <c r="AFT36">
        <v>0</v>
      </c>
      <c r="AFU36">
        <v>0</v>
      </c>
      <c r="AFV36">
        <v>0</v>
      </c>
      <c r="AFW36">
        <v>0</v>
      </c>
      <c r="AFX36">
        <v>0</v>
      </c>
      <c r="AFY36">
        <v>0</v>
      </c>
      <c r="AFZ36">
        <v>0</v>
      </c>
      <c r="AGA36">
        <v>0</v>
      </c>
      <c r="AGB36">
        <v>0</v>
      </c>
      <c r="AGC36">
        <v>0</v>
      </c>
      <c r="AGD36">
        <v>0</v>
      </c>
      <c r="AGE36">
        <v>0</v>
      </c>
      <c r="AGF36">
        <v>0</v>
      </c>
      <c r="AGG36">
        <v>0</v>
      </c>
      <c r="AGH36">
        <v>0</v>
      </c>
      <c r="AGI36">
        <v>0</v>
      </c>
      <c r="AGJ36">
        <v>0</v>
      </c>
      <c r="AGK36">
        <v>0</v>
      </c>
      <c r="AGL36">
        <v>0</v>
      </c>
      <c r="AGM36">
        <v>0</v>
      </c>
      <c r="AGN36">
        <v>0</v>
      </c>
      <c r="AGO36">
        <v>0</v>
      </c>
      <c r="AGP36">
        <v>0</v>
      </c>
      <c r="AGQ36">
        <v>0</v>
      </c>
      <c r="AGR36">
        <v>0</v>
      </c>
      <c r="AGS36">
        <v>0</v>
      </c>
      <c r="AGT36">
        <v>0</v>
      </c>
      <c r="AGU36">
        <v>0</v>
      </c>
      <c r="AGV36">
        <v>0</v>
      </c>
      <c r="AGW36">
        <v>0</v>
      </c>
      <c r="AGX36">
        <v>0</v>
      </c>
      <c r="AGY36">
        <v>0</v>
      </c>
      <c r="AGZ36">
        <v>0</v>
      </c>
      <c r="AHA36">
        <v>0</v>
      </c>
      <c r="AHB36">
        <v>0</v>
      </c>
      <c r="AHC36">
        <v>0</v>
      </c>
      <c r="AHD36">
        <v>0</v>
      </c>
      <c r="AHE36">
        <v>0</v>
      </c>
      <c r="AHF36">
        <v>0</v>
      </c>
      <c r="AHG36">
        <v>0</v>
      </c>
      <c r="AHH36">
        <v>0</v>
      </c>
      <c r="AHI36">
        <v>0</v>
      </c>
      <c r="AHJ36">
        <v>0</v>
      </c>
      <c r="AHK36">
        <v>0</v>
      </c>
      <c r="AHL36">
        <v>0</v>
      </c>
      <c r="AHM36">
        <v>0</v>
      </c>
      <c r="AHN36">
        <v>0</v>
      </c>
      <c r="AHO36">
        <v>0</v>
      </c>
      <c r="AHP36">
        <v>-4500</v>
      </c>
      <c r="AHQ36">
        <v>0</v>
      </c>
      <c r="AHR36">
        <v>0</v>
      </c>
      <c r="AHS36">
        <v>0</v>
      </c>
      <c r="AHT36">
        <v>0</v>
      </c>
      <c r="AHU36">
        <v>0</v>
      </c>
      <c r="AHV36">
        <v>0</v>
      </c>
      <c r="AHW36">
        <v>0</v>
      </c>
      <c r="AHX36">
        <v>0</v>
      </c>
      <c r="AHY36">
        <v>0</v>
      </c>
      <c r="AHZ36">
        <v>0</v>
      </c>
      <c r="AIA36">
        <v>0</v>
      </c>
      <c r="AIB36">
        <v>0</v>
      </c>
      <c r="AIC36">
        <v>0</v>
      </c>
      <c r="AID36">
        <v>0</v>
      </c>
      <c r="AIE36">
        <v>0</v>
      </c>
      <c r="AIF36">
        <v>0</v>
      </c>
      <c r="AIG36">
        <v>0</v>
      </c>
      <c r="AIH36">
        <v>0</v>
      </c>
      <c r="AII36">
        <v>0</v>
      </c>
      <c r="AIJ36">
        <v>0</v>
      </c>
      <c r="AIK36">
        <v>0</v>
      </c>
      <c r="AIL36">
        <v>0</v>
      </c>
      <c r="AIM36">
        <v>0</v>
      </c>
      <c r="AIN36">
        <v>0</v>
      </c>
      <c r="AIO36">
        <v>0</v>
      </c>
      <c r="AIP36">
        <v>0</v>
      </c>
      <c r="AIQ36">
        <v>0</v>
      </c>
      <c r="AIR36">
        <v>0</v>
      </c>
      <c r="AIS36">
        <v>0</v>
      </c>
      <c r="AIT36">
        <v>0</v>
      </c>
      <c r="AIU36">
        <v>0</v>
      </c>
      <c r="AIV36">
        <v>0</v>
      </c>
      <c r="AIW36">
        <v>0</v>
      </c>
      <c r="AIX36">
        <v>0</v>
      </c>
      <c r="AIY36">
        <v>0</v>
      </c>
      <c r="AIZ36">
        <v>0</v>
      </c>
      <c r="AJA36">
        <v>0</v>
      </c>
      <c r="AJB36">
        <v>0</v>
      </c>
      <c r="AJC36">
        <v>0</v>
      </c>
      <c r="AJD36">
        <v>0</v>
      </c>
      <c r="AJE36">
        <v>0</v>
      </c>
      <c r="AJF36">
        <v>0</v>
      </c>
      <c r="AJG36">
        <v>0</v>
      </c>
      <c r="AJH36">
        <v>0</v>
      </c>
      <c r="AJI36">
        <v>0</v>
      </c>
      <c r="AJJ36">
        <v>0</v>
      </c>
      <c r="AJK36">
        <v>0</v>
      </c>
      <c r="AJL36">
        <v>0</v>
      </c>
      <c r="AJM36">
        <v>0</v>
      </c>
      <c r="AJN36">
        <v>0</v>
      </c>
      <c r="AJO36">
        <v>0</v>
      </c>
      <c r="AJP36">
        <v>0</v>
      </c>
      <c r="AJQ36">
        <v>0</v>
      </c>
      <c r="AJR36">
        <v>0</v>
      </c>
      <c r="AJS36">
        <v>0</v>
      </c>
      <c r="AJT36">
        <v>0</v>
      </c>
      <c r="AJU36">
        <v>0</v>
      </c>
      <c r="AJV36">
        <v>0</v>
      </c>
      <c r="AJW36">
        <v>0</v>
      </c>
      <c r="AJX36">
        <v>0</v>
      </c>
      <c r="AJY36">
        <v>0</v>
      </c>
    </row>
    <row r="37" spans="1:961" x14ac:dyDescent="0.3">
      <c r="A37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10000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5000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860.51615999999979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-150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-1000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0</v>
      </c>
      <c r="UC37">
        <v>0</v>
      </c>
      <c r="UD37">
        <v>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-5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0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-256.16438356164383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0</v>
      </c>
      <c r="AAT37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0</v>
      </c>
      <c r="ABE37">
        <v>0</v>
      </c>
      <c r="ABF37">
        <v>0</v>
      </c>
      <c r="ABG37">
        <v>0</v>
      </c>
      <c r="ABH37">
        <v>0</v>
      </c>
      <c r="ABI37">
        <v>0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0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  <c r="ADF37">
        <v>0</v>
      </c>
      <c r="ADG37">
        <v>0</v>
      </c>
      <c r="ADH37">
        <v>0</v>
      </c>
      <c r="ADI37">
        <v>0</v>
      </c>
      <c r="ADJ37">
        <v>0</v>
      </c>
      <c r="ADK37">
        <v>0</v>
      </c>
      <c r="ADL37">
        <v>0</v>
      </c>
      <c r="ADM37">
        <v>0</v>
      </c>
      <c r="ADN37">
        <v>0</v>
      </c>
      <c r="ADO37">
        <v>0</v>
      </c>
      <c r="ADP37">
        <v>0</v>
      </c>
      <c r="ADQ37">
        <v>0</v>
      </c>
      <c r="ADR37">
        <v>0</v>
      </c>
      <c r="ADS37">
        <v>0</v>
      </c>
      <c r="ADT37">
        <v>0</v>
      </c>
      <c r="ADU37">
        <v>0</v>
      </c>
      <c r="ADV37">
        <v>0</v>
      </c>
      <c r="ADW37">
        <v>0</v>
      </c>
      <c r="ADX37">
        <v>0</v>
      </c>
      <c r="ADY37">
        <v>-120</v>
      </c>
      <c r="ADZ37">
        <v>0</v>
      </c>
      <c r="AEA37">
        <v>0</v>
      </c>
      <c r="AEB37">
        <v>0</v>
      </c>
      <c r="AEC37">
        <v>0</v>
      </c>
      <c r="AED37">
        <v>0</v>
      </c>
      <c r="AEE37">
        <v>0</v>
      </c>
      <c r="AEF37">
        <v>0</v>
      </c>
      <c r="AEG37">
        <v>0</v>
      </c>
      <c r="AEH37">
        <v>0</v>
      </c>
      <c r="AEI37">
        <v>0</v>
      </c>
      <c r="AEJ37">
        <v>0</v>
      </c>
      <c r="AEK37">
        <v>0</v>
      </c>
      <c r="AEL37">
        <v>0</v>
      </c>
      <c r="AEM37">
        <v>0</v>
      </c>
      <c r="AEN37">
        <v>0</v>
      </c>
      <c r="AEO37">
        <v>0</v>
      </c>
      <c r="AEP37">
        <v>0</v>
      </c>
      <c r="AEQ37">
        <v>0</v>
      </c>
      <c r="AER37">
        <v>0</v>
      </c>
      <c r="AES37">
        <v>0</v>
      </c>
      <c r="AET37">
        <v>0</v>
      </c>
      <c r="AEU37">
        <v>0</v>
      </c>
      <c r="AEV37">
        <v>0</v>
      </c>
      <c r="AEW37">
        <v>0</v>
      </c>
      <c r="AEX37">
        <v>0</v>
      </c>
      <c r="AEY37">
        <v>0</v>
      </c>
      <c r="AEZ37">
        <v>0</v>
      </c>
      <c r="AFA37">
        <v>0</v>
      </c>
      <c r="AFB37">
        <v>0</v>
      </c>
      <c r="AFC37">
        <v>0</v>
      </c>
      <c r="AFD37">
        <v>0</v>
      </c>
      <c r="AFE37">
        <v>0</v>
      </c>
      <c r="AFF37">
        <v>0</v>
      </c>
      <c r="AFG37">
        <v>0</v>
      </c>
      <c r="AFH37">
        <v>0</v>
      </c>
      <c r="AFI37">
        <v>0</v>
      </c>
      <c r="AFJ37">
        <v>0</v>
      </c>
      <c r="AFK37">
        <v>0</v>
      </c>
      <c r="AFL37">
        <v>0</v>
      </c>
      <c r="AFM37">
        <v>0</v>
      </c>
      <c r="AFN37">
        <v>0</v>
      </c>
      <c r="AFO37">
        <v>0</v>
      </c>
      <c r="AFP37">
        <v>0</v>
      </c>
      <c r="AFQ37">
        <v>0</v>
      </c>
      <c r="AFR37">
        <v>0</v>
      </c>
      <c r="AFS37">
        <v>0</v>
      </c>
      <c r="AFT37">
        <v>0</v>
      </c>
      <c r="AFU37">
        <v>0</v>
      </c>
      <c r="AFV37">
        <v>0</v>
      </c>
      <c r="AFW37">
        <v>0</v>
      </c>
      <c r="AFX37">
        <v>0</v>
      </c>
      <c r="AFY37">
        <v>0</v>
      </c>
      <c r="AFZ37">
        <v>0</v>
      </c>
      <c r="AGA37">
        <v>0</v>
      </c>
      <c r="AGB37">
        <v>0</v>
      </c>
      <c r="AGC37">
        <v>0</v>
      </c>
      <c r="AGD37">
        <v>0</v>
      </c>
      <c r="AGE37">
        <v>0</v>
      </c>
      <c r="AGF37">
        <v>0</v>
      </c>
      <c r="AGG37">
        <v>0</v>
      </c>
      <c r="AGH37">
        <v>0</v>
      </c>
      <c r="AGI37">
        <v>0</v>
      </c>
      <c r="AGJ37">
        <v>0</v>
      </c>
      <c r="AGK37">
        <v>0</v>
      </c>
      <c r="AGL37">
        <v>0</v>
      </c>
      <c r="AGM37">
        <v>0</v>
      </c>
      <c r="AGN37">
        <v>0</v>
      </c>
      <c r="AGO37">
        <v>0</v>
      </c>
      <c r="AGP37">
        <v>0</v>
      </c>
      <c r="AGQ37">
        <v>0</v>
      </c>
      <c r="AGR37">
        <v>0</v>
      </c>
      <c r="AGS37">
        <v>0</v>
      </c>
      <c r="AGT37">
        <v>0</v>
      </c>
      <c r="AGU37">
        <v>0</v>
      </c>
      <c r="AGV37">
        <v>0</v>
      </c>
      <c r="AGW37">
        <v>0</v>
      </c>
      <c r="AGX37">
        <v>0</v>
      </c>
      <c r="AGY37">
        <v>0</v>
      </c>
      <c r="AGZ37">
        <v>0</v>
      </c>
      <c r="AHA37">
        <v>0</v>
      </c>
      <c r="AHB37">
        <v>0</v>
      </c>
      <c r="AHC37">
        <v>0</v>
      </c>
      <c r="AHD37">
        <v>0</v>
      </c>
      <c r="AHE37">
        <v>0</v>
      </c>
      <c r="AHF37">
        <v>0</v>
      </c>
      <c r="AHG37">
        <v>0</v>
      </c>
      <c r="AHH37">
        <v>0</v>
      </c>
      <c r="AHI37">
        <v>0</v>
      </c>
      <c r="AHJ37">
        <v>0</v>
      </c>
      <c r="AHK37">
        <v>0</v>
      </c>
      <c r="AHL37">
        <v>0</v>
      </c>
      <c r="AHM37">
        <v>0</v>
      </c>
      <c r="AHN37">
        <v>0</v>
      </c>
      <c r="AHO37">
        <v>0</v>
      </c>
      <c r="AHP37">
        <v>0</v>
      </c>
      <c r="AHQ37">
        <v>-4500</v>
      </c>
      <c r="AHR37">
        <v>0</v>
      </c>
      <c r="AHS37">
        <v>0</v>
      </c>
      <c r="AHT37">
        <v>0</v>
      </c>
      <c r="AHU37">
        <v>0</v>
      </c>
      <c r="AHV37">
        <v>0</v>
      </c>
      <c r="AHW37">
        <v>0</v>
      </c>
      <c r="AHX37">
        <v>0</v>
      </c>
      <c r="AHY37">
        <v>0</v>
      </c>
      <c r="AHZ37">
        <v>0</v>
      </c>
      <c r="AIA37">
        <v>0</v>
      </c>
      <c r="AIB37">
        <v>0</v>
      </c>
      <c r="AIC37">
        <v>0</v>
      </c>
      <c r="AID37">
        <v>0</v>
      </c>
      <c r="AIE37">
        <v>0</v>
      </c>
      <c r="AIF37">
        <v>0</v>
      </c>
      <c r="AIG37">
        <v>0</v>
      </c>
      <c r="AIH37">
        <v>0</v>
      </c>
      <c r="AII37">
        <v>0</v>
      </c>
      <c r="AIJ37">
        <v>0</v>
      </c>
      <c r="AIK37">
        <v>0</v>
      </c>
      <c r="AIL37">
        <v>0</v>
      </c>
      <c r="AIM37">
        <v>0</v>
      </c>
      <c r="AIN37">
        <v>0</v>
      </c>
      <c r="AIO37">
        <v>0</v>
      </c>
      <c r="AIP37">
        <v>0</v>
      </c>
      <c r="AIQ37">
        <v>0</v>
      </c>
      <c r="AIR37">
        <v>0</v>
      </c>
      <c r="AIS37">
        <v>0</v>
      </c>
      <c r="AIT37">
        <v>0</v>
      </c>
      <c r="AIU37">
        <v>0</v>
      </c>
      <c r="AIV37">
        <v>0</v>
      </c>
      <c r="AIW37">
        <v>0</v>
      </c>
      <c r="AIX37">
        <v>0</v>
      </c>
      <c r="AIY37">
        <v>0</v>
      </c>
      <c r="AIZ37">
        <v>0</v>
      </c>
      <c r="AJA37">
        <v>0</v>
      </c>
      <c r="AJB37">
        <v>0</v>
      </c>
      <c r="AJC37">
        <v>0</v>
      </c>
      <c r="AJD37">
        <v>0</v>
      </c>
      <c r="AJE37">
        <v>0</v>
      </c>
      <c r="AJF37">
        <v>0</v>
      </c>
      <c r="AJG37">
        <v>0</v>
      </c>
      <c r="AJH37">
        <v>0</v>
      </c>
      <c r="AJI37">
        <v>0</v>
      </c>
      <c r="AJJ37">
        <v>0</v>
      </c>
      <c r="AJK37">
        <v>0</v>
      </c>
      <c r="AJL37">
        <v>0</v>
      </c>
      <c r="AJM37">
        <v>0</v>
      </c>
      <c r="AJN37">
        <v>0</v>
      </c>
      <c r="AJO37">
        <v>0</v>
      </c>
      <c r="AJP37">
        <v>0</v>
      </c>
      <c r="AJQ37">
        <v>0</v>
      </c>
      <c r="AJR37">
        <v>0</v>
      </c>
      <c r="AJS37">
        <v>0</v>
      </c>
      <c r="AJT37">
        <v>0</v>
      </c>
      <c r="AJU37">
        <v>0</v>
      </c>
      <c r="AJV37">
        <v>0</v>
      </c>
      <c r="AJW37">
        <v>0</v>
      </c>
      <c r="AJX37">
        <v>0</v>
      </c>
      <c r="AJY37">
        <v>0</v>
      </c>
    </row>
    <row r="38" spans="1:961" x14ac:dyDescent="0.3">
      <c r="A38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10000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5000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3876.2639999999992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-5400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-150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-1000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-5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0</v>
      </c>
      <c r="ZH38">
        <v>0</v>
      </c>
      <c r="ZI38">
        <v>0</v>
      </c>
      <c r="ZJ38">
        <v>0</v>
      </c>
      <c r="ZK38">
        <v>0</v>
      </c>
      <c r="ZL38">
        <v>0</v>
      </c>
      <c r="ZM38">
        <v>0</v>
      </c>
      <c r="ZN38">
        <v>0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-256.16438356164383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0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0</v>
      </c>
      <c r="ADG38">
        <v>0</v>
      </c>
      <c r="ADH38">
        <v>0</v>
      </c>
      <c r="ADI38">
        <v>0</v>
      </c>
      <c r="ADJ38">
        <v>0</v>
      </c>
      <c r="ADK38">
        <v>0</v>
      </c>
      <c r="ADL38">
        <v>0</v>
      </c>
      <c r="ADM38">
        <v>0</v>
      </c>
      <c r="ADN38">
        <v>0</v>
      </c>
      <c r="ADO38">
        <v>0</v>
      </c>
      <c r="ADP38">
        <v>0</v>
      </c>
      <c r="ADQ38">
        <v>0</v>
      </c>
      <c r="ADR38">
        <v>0</v>
      </c>
      <c r="ADS38">
        <v>0</v>
      </c>
      <c r="ADT38">
        <v>0</v>
      </c>
      <c r="ADU38">
        <v>0</v>
      </c>
      <c r="ADV38">
        <v>0</v>
      </c>
      <c r="ADW38">
        <v>0</v>
      </c>
      <c r="ADX38">
        <v>0</v>
      </c>
      <c r="ADY38">
        <v>0</v>
      </c>
      <c r="ADZ38">
        <v>-120</v>
      </c>
      <c r="AEA38">
        <v>0</v>
      </c>
      <c r="AEB38">
        <v>0</v>
      </c>
      <c r="AEC38">
        <v>0</v>
      </c>
      <c r="AED38">
        <v>0</v>
      </c>
      <c r="AEE38">
        <v>0</v>
      </c>
      <c r="AEF38">
        <v>0</v>
      </c>
      <c r="AEG38">
        <v>0</v>
      </c>
      <c r="AEH38">
        <v>0</v>
      </c>
      <c r="AEI38">
        <v>0</v>
      </c>
      <c r="AEJ38">
        <v>0</v>
      </c>
      <c r="AEK38">
        <v>0</v>
      </c>
      <c r="AEL38">
        <v>0</v>
      </c>
      <c r="AEM38">
        <v>0</v>
      </c>
      <c r="AEN38">
        <v>0</v>
      </c>
      <c r="AEO38">
        <v>0</v>
      </c>
      <c r="AEP38">
        <v>0</v>
      </c>
      <c r="AEQ38">
        <v>0</v>
      </c>
      <c r="AER38">
        <v>0</v>
      </c>
      <c r="AES38">
        <v>0</v>
      </c>
      <c r="AET38">
        <v>0</v>
      </c>
      <c r="AEU38">
        <v>0</v>
      </c>
      <c r="AEV38">
        <v>0</v>
      </c>
      <c r="AEW38">
        <v>0</v>
      </c>
      <c r="AEX38">
        <v>0</v>
      </c>
      <c r="AEY38">
        <v>0</v>
      </c>
      <c r="AEZ38">
        <v>0</v>
      </c>
      <c r="AFA38">
        <v>0</v>
      </c>
      <c r="AFB38">
        <v>0</v>
      </c>
      <c r="AFC38">
        <v>0</v>
      </c>
      <c r="AFD38">
        <v>0</v>
      </c>
      <c r="AFE38">
        <v>0</v>
      </c>
      <c r="AFF38">
        <v>0</v>
      </c>
      <c r="AFG38">
        <v>0</v>
      </c>
      <c r="AFH38">
        <v>0</v>
      </c>
      <c r="AFI38">
        <v>0</v>
      </c>
      <c r="AFJ38">
        <v>0</v>
      </c>
      <c r="AFK38">
        <v>0</v>
      </c>
      <c r="AFL38">
        <v>0</v>
      </c>
      <c r="AFM38">
        <v>0</v>
      </c>
      <c r="AFN38">
        <v>0</v>
      </c>
      <c r="AFO38">
        <v>0</v>
      </c>
      <c r="AFP38">
        <v>0</v>
      </c>
      <c r="AFQ38">
        <v>0</v>
      </c>
      <c r="AFR38">
        <v>0</v>
      </c>
      <c r="AFS38">
        <v>0</v>
      </c>
      <c r="AFT38">
        <v>0</v>
      </c>
      <c r="AFU38">
        <v>0</v>
      </c>
      <c r="AFV38">
        <v>0</v>
      </c>
      <c r="AFW38">
        <v>0</v>
      </c>
      <c r="AFX38">
        <v>0</v>
      </c>
      <c r="AFY38">
        <v>0</v>
      </c>
      <c r="AFZ38">
        <v>0</v>
      </c>
      <c r="AGA38">
        <v>0</v>
      </c>
      <c r="AGB38">
        <v>0</v>
      </c>
      <c r="AGC38">
        <v>0</v>
      </c>
      <c r="AGD38">
        <v>0</v>
      </c>
      <c r="AGE38">
        <v>0</v>
      </c>
      <c r="AGF38">
        <v>0</v>
      </c>
      <c r="AGG38">
        <v>0</v>
      </c>
      <c r="AGH38">
        <v>0</v>
      </c>
      <c r="AGI38">
        <v>0</v>
      </c>
      <c r="AGJ38">
        <v>0</v>
      </c>
      <c r="AGK38">
        <v>0</v>
      </c>
      <c r="AGL38">
        <v>0</v>
      </c>
      <c r="AGM38">
        <v>0</v>
      </c>
      <c r="AGN38">
        <v>0</v>
      </c>
      <c r="AGO38">
        <v>0</v>
      </c>
      <c r="AGP38">
        <v>0</v>
      </c>
      <c r="AGQ38">
        <v>0</v>
      </c>
      <c r="AGR38">
        <v>0</v>
      </c>
      <c r="AGS38">
        <v>0</v>
      </c>
      <c r="AGT38">
        <v>0</v>
      </c>
      <c r="AGU38">
        <v>0</v>
      </c>
      <c r="AGV38">
        <v>0</v>
      </c>
      <c r="AGW38">
        <v>0</v>
      </c>
      <c r="AGX38">
        <v>0</v>
      </c>
      <c r="AGY38">
        <v>0</v>
      </c>
      <c r="AGZ38">
        <v>0</v>
      </c>
      <c r="AHA38">
        <v>0</v>
      </c>
      <c r="AHB38">
        <v>0</v>
      </c>
      <c r="AHC38">
        <v>0</v>
      </c>
      <c r="AHD38">
        <v>0</v>
      </c>
      <c r="AHE38">
        <v>0</v>
      </c>
      <c r="AHF38">
        <v>0</v>
      </c>
      <c r="AHG38">
        <v>0</v>
      </c>
      <c r="AHH38">
        <v>0</v>
      </c>
      <c r="AHI38">
        <v>0</v>
      </c>
      <c r="AHJ38">
        <v>0</v>
      </c>
      <c r="AHK38">
        <v>0</v>
      </c>
      <c r="AHL38">
        <v>0</v>
      </c>
      <c r="AHM38">
        <v>0</v>
      </c>
      <c r="AHN38">
        <v>0</v>
      </c>
      <c r="AHO38">
        <v>0</v>
      </c>
      <c r="AHP38">
        <v>0</v>
      </c>
      <c r="AHQ38">
        <v>0</v>
      </c>
      <c r="AHR38">
        <v>-4500</v>
      </c>
      <c r="AHS38">
        <v>0</v>
      </c>
      <c r="AHT38">
        <v>0</v>
      </c>
      <c r="AHU38">
        <v>0</v>
      </c>
      <c r="AHV38">
        <v>0</v>
      </c>
      <c r="AHW38">
        <v>0</v>
      </c>
      <c r="AHX38">
        <v>0</v>
      </c>
      <c r="AHY38">
        <v>0</v>
      </c>
      <c r="AHZ38">
        <v>0</v>
      </c>
      <c r="AIA38">
        <v>0</v>
      </c>
      <c r="AIB38">
        <v>0</v>
      </c>
      <c r="AIC38">
        <v>0</v>
      </c>
      <c r="AID38">
        <v>0</v>
      </c>
      <c r="AIE38">
        <v>0</v>
      </c>
      <c r="AIF38">
        <v>0</v>
      </c>
      <c r="AIG38">
        <v>0</v>
      </c>
      <c r="AIH38">
        <v>0</v>
      </c>
      <c r="AII38">
        <v>0</v>
      </c>
      <c r="AIJ38">
        <v>0</v>
      </c>
      <c r="AIK38">
        <v>0</v>
      </c>
      <c r="AIL38">
        <v>0</v>
      </c>
      <c r="AIM38">
        <v>0</v>
      </c>
      <c r="AIN38">
        <v>0</v>
      </c>
      <c r="AIO38">
        <v>0</v>
      </c>
      <c r="AIP38">
        <v>0</v>
      </c>
      <c r="AIQ38">
        <v>0</v>
      </c>
      <c r="AIR38">
        <v>0</v>
      </c>
      <c r="AIS38">
        <v>0</v>
      </c>
      <c r="AIT38">
        <v>0</v>
      </c>
      <c r="AIU38">
        <v>0</v>
      </c>
      <c r="AIV38">
        <v>0</v>
      </c>
      <c r="AIW38">
        <v>0</v>
      </c>
      <c r="AIX38">
        <v>0</v>
      </c>
      <c r="AIY38">
        <v>0</v>
      </c>
      <c r="AIZ38">
        <v>0</v>
      </c>
      <c r="AJA38">
        <v>0</v>
      </c>
      <c r="AJB38">
        <v>0</v>
      </c>
      <c r="AJC38">
        <v>0</v>
      </c>
      <c r="AJD38">
        <v>0</v>
      </c>
      <c r="AJE38">
        <v>0</v>
      </c>
      <c r="AJF38">
        <v>0</v>
      </c>
      <c r="AJG38">
        <v>0</v>
      </c>
      <c r="AJH38">
        <v>0</v>
      </c>
      <c r="AJI38">
        <v>0</v>
      </c>
      <c r="AJJ38">
        <v>0</v>
      </c>
      <c r="AJK38">
        <v>0</v>
      </c>
      <c r="AJL38">
        <v>0</v>
      </c>
      <c r="AJM38">
        <v>0</v>
      </c>
      <c r="AJN38">
        <v>0</v>
      </c>
      <c r="AJO38">
        <v>0</v>
      </c>
      <c r="AJP38">
        <v>0</v>
      </c>
      <c r="AJQ38">
        <v>0</v>
      </c>
      <c r="AJR38">
        <v>0</v>
      </c>
      <c r="AJS38">
        <v>0</v>
      </c>
      <c r="AJT38">
        <v>0</v>
      </c>
      <c r="AJU38">
        <v>0</v>
      </c>
      <c r="AJV38">
        <v>0</v>
      </c>
      <c r="AJW38">
        <v>0</v>
      </c>
      <c r="AJX38">
        <v>0</v>
      </c>
      <c r="AJY38">
        <v>0</v>
      </c>
    </row>
    <row r="39" spans="1:961" x14ac:dyDescent="0.3">
      <c r="A39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10000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5000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3876.2639999999992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-5400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-150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-1000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-5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-256.16438356164383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0</v>
      </c>
      <c r="AAT3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  <c r="ADG39">
        <v>0</v>
      </c>
      <c r="ADH39">
        <v>0</v>
      </c>
      <c r="ADI39">
        <v>0</v>
      </c>
      <c r="ADJ39">
        <v>0</v>
      </c>
      <c r="ADK39">
        <v>0</v>
      </c>
      <c r="ADL39">
        <v>0</v>
      </c>
      <c r="ADM39">
        <v>0</v>
      </c>
      <c r="ADN39">
        <v>0</v>
      </c>
      <c r="ADO39">
        <v>0</v>
      </c>
      <c r="ADP39">
        <v>0</v>
      </c>
      <c r="ADQ39">
        <v>0</v>
      </c>
      <c r="ADR39">
        <v>0</v>
      </c>
      <c r="ADS39">
        <v>0</v>
      </c>
      <c r="ADT39">
        <v>0</v>
      </c>
      <c r="ADU39">
        <v>0</v>
      </c>
      <c r="ADV39">
        <v>0</v>
      </c>
      <c r="ADW39">
        <v>0</v>
      </c>
      <c r="ADX39">
        <v>0</v>
      </c>
      <c r="ADY39">
        <v>0</v>
      </c>
      <c r="ADZ39">
        <v>0</v>
      </c>
      <c r="AEA39">
        <v>-120</v>
      </c>
      <c r="AEB39">
        <v>0</v>
      </c>
      <c r="AEC39">
        <v>0</v>
      </c>
      <c r="AED39">
        <v>0</v>
      </c>
      <c r="AEE39">
        <v>0</v>
      </c>
      <c r="AEF39">
        <v>0</v>
      </c>
      <c r="AEG39">
        <v>0</v>
      </c>
      <c r="AEH39">
        <v>0</v>
      </c>
      <c r="AEI39">
        <v>0</v>
      </c>
      <c r="AEJ39">
        <v>0</v>
      </c>
      <c r="AEK39">
        <v>0</v>
      </c>
      <c r="AEL39">
        <v>0</v>
      </c>
      <c r="AEM39">
        <v>0</v>
      </c>
      <c r="AEN39">
        <v>0</v>
      </c>
      <c r="AEO39">
        <v>0</v>
      </c>
      <c r="AEP39">
        <v>0</v>
      </c>
      <c r="AEQ39">
        <v>0</v>
      </c>
      <c r="AER39">
        <v>0</v>
      </c>
      <c r="AES39">
        <v>0</v>
      </c>
      <c r="AET39">
        <v>0</v>
      </c>
      <c r="AEU39">
        <v>0</v>
      </c>
      <c r="AEV39">
        <v>0</v>
      </c>
      <c r="AEW39">
        <v>0</v>
      </c>
      <c r="AEX39">
        <v>0</v>
      </c>
      <c r="AEY39">
        <v>0</v>
      </c>
      <c r="AEZ39">
        <v>0</v>
      </c>
      <c r="AFA39">
        <v>0</v>
      </c>
      <c r="AFB39">
        <v>0</v>
      </c>
      <c r="AFC39">
        <v>0</v>
      </c>
      <c r="AFD39">
        <v>0</v>
      </c>
      <c r="AFE39">
        <v>0</v>
      </c>
      <c r="AFF39">
        <v>0</v>
      </c>
      <c r="AFG39">
        <v>0</v>
      </c>
      <c r="AFH39">
        <v>0</v>
      </c>
      <c r="AFI39">
        <v>0</v>
      </c>
      <c r="AFJ39">
        <v>0</v>
      </c>
      <c r="AFK39">
        <v>0</v>
      </c>
      <c r="AFL39">
        <v>0</v>
      </c>
      <c r="AFM39">
        <v>0</v>
      </c>
      <c r="AFN39">
        <v>0</v>
      </c>
      <c r="AFO39">
        <v>0</v>
      </c>
      <c r="AFP39">
        <v>0</v>
      </c>
      <c r="AFQ39">
        <v>0</v>
      </c>
      <c r="AFR39">
        <v>0</v>
      </c>
      <c r="AFS39">
        <v>0</v>
      </c>
      <c r="AFT39">
        <v>0</v>
      </c>
      <c r="AFU39">
        <v>0</v>
      </c>
      <c r="AFV39">
        <v>0</v>
      </c>
      <c r="AFW39">
        <v>0</v>
      </c>
      <c r="AFX39">
        <v>0</v>
      </c>
      <c r="AFY39">
        <v>0</v>
      </c>
      <c r="AFZ39">
        <v>0</v>
      </c>
      <c r="AGA39">
        <v>0</v>
      </c>
      <c r="AGB39">
        <v>0</v>
      </c>
      <c r="AGC39">
        <v>0</v>
      </c>
      <c r="AGD39">
        <v>0</v>
      </c>
      <c r="AGE39">
        <v>0</v>
      </c>
      <c r="AGF39">
        <v>0</v>
      </c>
      <c r="AGG39">
        <v>0</v>
      </c>
      <c r="AGH39">
        <v>0</v>
      </c>
      <c r="AGI39">
        <v>0</v>
      </c>
      <c r="AGJ39">
        <v>0</v>
      </c>
      <c r="AGK39">
        <v>0</v>
      </c>
      <c r="AGL39">
        <v>0</v>
      </c>
      <c r="AGM39">
        <v>0</v>
      </c>
      <c r="AGN39">
        <v>0</v>
      </c>
      <c r="AGO39">
        <v>0</v>
      </c>
      <c r="AGP39">
        <v>0</v>
      </c>
      <c r="AGQ39">
        <v>0</v>
      </c>
      <c r="AGR39">
        <v>0</v>
      </c>
      <c r="AGS39">
        <v>0</v>
      </c>
      <c r="AGT39">
        <v>0</v>
      </c>
      <c r="AGU39">
        <v>0</v>
      </c>
      <c r="AGV39">
        <v>0</v>
      </c>
      <c r="AGW39">
        <v>0</v>
      </c>
      <c r="AGX39">
        <v>0</v>
      </c>
      <c r="AGY39">
        <v>0</v>
      </c>
      <c r="AGZ39">
        <v>0</v>
      </c>
      <c r="AHA39">
        <v>0</v>
      </c>
      <c r="AHB39">
        <v>0</v>
      </c>
      <c r="AHC39">
        <v>0</v>
      </c>
      <c r="AHD39">
        <v>0</v>
      </c>
      <c r="AHE39">
        <v>0</v>
      </c>
      <c r="AHF39">
        <v>0</v>
      </c>
      <c r="AHG39">
        <v>0</v>
      </c>
      <c r="AHH39">
        <v>0</v>
      </c>
      <c r="AHI39">
        <v>0</v>
      </c>
      <c r="AHJ39">
        <v>0</v>
      </c>
      <c r="AHK39">
        <v>0</v>
      </c>
      <c r="AHL39">
        <v>0</v>
      </c>
      <c r="AHM39">
        <v>0</v>
      </c>
      <c r="AHN39">
        <v>0</v>
      </c>
      <c r="AHO39">
        <v>0</v>
      </c>
      <c r="AHP39">
        <v>0</v>
      </c>
      <c r="AHQ39">
        <v>0</v>
      </c>
      <c r="AHR39">
        <v>0</v>
      </c>
      <c r="AHS39">
        <v>-4500</v>
      </c>
      <c r="AHT39">
        <v>0</v>
      </c>
      <c r="AHU39">
        <v>0</v>
      </c>
      <c r="AHV39">
        <v>0</v>
      </c>
      <c r="AHW39">
        <v>0</v>
      </c>
      <c r="AHX39">
        <v>0</v>
      </c>
      <c r="AHY39">
        <v>0</v>
      </c>
      <c r="AHZ39">
        <v>0</v>
      </c>
      <c r="AIA39">
        <v>0</v>
      </c>
      <c r="AIB39">
        <v>0</v>
      </c>
      <c r="AIC39">
        <v>0</v>
      </c>
      <c r="AID39">
        <v>0</v>
      </c>
      <c r="AIE39">
        <v>0</v>
      </c>
      <c r="AIF39">
        <v>0</v>
      </c>
      <c r="AIG39">
        <v>0</v>
      </c>
      <c r="AIH39">
        <v>0</v>
      </c>
      <c r="AII39">
        <v>0</v>
      </c>
      <c r="AIJ39">
        <v>0</v>
      </c>
      <c r="AIK39">
        <v>0</v>
      </c>
      <c r="AIL39">
        <v>0</v>
      </c>
      <c r="AIM39">
        <v>0</v>
      </c>
      <c r="AIN39">
        <v>0</v>
      </c>
      <c r="AIO39">
        <v>0</v>
      </c>
      <c r="AIP39">
        <v>0</v>
      </c>
      <c r="AIQ39">
        <v>0</v>
      </c>
      <c r="AIR39">
        <v>0</v>
      </c>
      <c r="AIS39">
        <v>0</v>
      </c>
      <c r="AIT39">
        <v>0</v>
      </c>
      <c r="AIU39">
        <v>0</v>
      </c>
      <c r="AIV39">
        <v>0</v>
      </c>
      <c r="AIW39">
        <v>0</v>
      </c>
      <c r="AIX39">
        <v>0</v>
      </c>
      <c r="AIY39">
        <v>0</v>
      </c>
      <c r="AIZ39">
        <v>0</v>
      </c>
      <c r="AJA39">
        <v>0</v>
      </c>
      <c r="AJB39">
        <v>0</v>
      </c>
      <c r="AJC39">
        <v>0</v>
      </c>
      <c r="AJD39">
        <v>0</v>
      </c>
      <c r="AJE39">
        <v>0</v>
      </c>
      <c r="AJF39">
        <v>0</v>
      </c>
      <c r="AJG39">
        <v>0</v>
      </c>
      <c r="AJH39">
        <v>0</v>
      </c>
      <c r="AJI39">
        <v>0</v>
      </c>
      <c r="AJJ39">
        <v>0</v>
      </c>
      <c r="AJK39">
        <v>0</v>
      </c>
      <c r="AJL39">
        <v>0</v>
      </c>
      <c r="AJM39">
        <v>0</v>
      </c>
      <c r="AJN39">
        <v>0</v>
      </c>
      <c r="AJO39">
        <v>0</v>
      </c>
      <c r="AJP39">
        <v>0</v>
      </c>
      <c r="AJQ39">
        <v>0</v>
      </c>
      <c r="AJR39">
        <v>0</v>
      </c>
      <c r="AJS39">
        <v>0</v>
      </c>
      <c r="AJT39">
        <v>0</v>
      </c>
      <c r="AJU39">
        <v>0</v>
      </c>
      <c r="AJV39">
        <v>0</v>
      </c>
      <c r="AJW39">
        <v>0</v>
      </c>
      <c r="AJX39">
        <v>0</v>
      </c>
      <c r="AJY39">
        <v>0</v>
      </c>
    </row>
    <row r="40" spans="1:961" x14ac:dyDescent="0.3">
      <c r="A40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10000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5000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3876.2639999999992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-150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-1000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-5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-256.16438356164383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0</v>
      </c>
      <c r="ABE40">
        <v>0</v>
      </c>
      <c r="ABF40">
        <v>0</v>
      </c>
      <c r="ABG40">
        <v>0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  <c r="ADG40">
        <v>0</v>
      </c>
      <c r="ADH40">
        <v>0</v>
      </c>
      <c r="ADI40">
        <v>0</v>
      </c>
      <c r="ADJ40">
        <v>0</v>
      </c>
      <c r="ADK40">
        <v>0</v>
      </c>
      <c r="ADL40">
        <v>0</v>
      </c>
      <c r="ADM40">
        <v>0</v>
      </c>
      <c r="ADN40">
        <v>0</v>
      </c>
      <c r="ADO40">
        <v>0</v>
      </c>
      <c r="ADP40">
        <v>0</v>
      </c>
      <c r="ADQ40">
        <v>0</v>
      </c>
      <c r="ADR40">
        <v>0</v>
      </c>
      <c r="ADS40">
        <v>0</v>
      </c>
      <c r="ADT40">
        <v>0</v>
      </c>
      <c r="ADU40">
        <v>0</v>
      </c>
      <c r="ADV40">
        <v>0</v>
      </c>
      <c r="ADW40">
        <v>0</v>
      </c>
      <c r="ADX40">
        <v>0</v>
      </c>
      <c r="ADY40">
        <v>0</v>
      </c>
      <c r="ADZ40">
        <v>0</v>
      </c>
      <c r="AEA40">
        <v>0</v>
      </c>
      <c r="AEB40">
        <v>-120</v>
      </c>
      <c r="AEC40">
        <v>0</v>
      </c>
      <c r="AED40">
        <v>0</v>
      </c>
      <c r="AEE40">
        <v>0</v>
      </c>
      <c r="AEF40">
        <v>0</v>
      </c>
      <c r="AEG40">
        <v>0</v>
      </c>
      <c r="AEH40">
        <v>0</v>
      </c>
      <c r="AEI40">
        <v>0</v>
      </c>
      <c r="AEJ40">
        <v>0</v>
      </c>
      <c r="AEK40">
        <v>0</v>
      </c>
      <c r="AEL40">
        <v>0</v>
      </c>
      <c r="AEM40">
        <v>0</v>
      </c>
      <c r="AEN40">
        <v>0</v>
      </c>
      <c r="AEO40">
        <v>0</v>
      </c>
      <c r="AEP40">
        <v>0</v>
      </c>
      <c r="AEQ40">
        <v>0</v>
      </c>
      <c r="AER40">
        <v>0</v>
      </c>
      <c r="AES40">
        <v>0</v>
      </c>
      <c r="AET40">
        <v>0</v>
      </c>
      <c r="AEU40">
        <v>0</v>
      </c>
      <c r="AEV40">
        <v>0</v>
      </c>
      <c r="AEW40">
        <v>0</v>
      </c>
      <c r="AEX40">
        <v>0</v>
      </c>
      <c r="AEY40">
        <v>0</v>
      </c>
      <c r="AEZ40">
        <v>0</v>
      </c>
      <c r="AFA40">
        <v>0</v>
      </c>
      <c r="AFB40">
        <v>0</v>
      </c>
      <c r="AFC40">
        <v>0</v>
      </c>
      <c r="AFD40">
        <v>0</v>
      </c>
      <c r="AFE40">
        <v>0</v>
      </c>
      <c r="AFF40">
        <v>0</v>
      </c>
      <c r="AFG40">
        <v>0</v>
      </c>
      <c r="AFH40">
        <v>0</v>
      </c>
      <c r="AFI40">
        <v>0</v>
      </c>
      <c r="AFJ40">
        <v>0</v>
      </c>
      <c r="AFK40">
        <v>0</v>
      </c>
      <c r="AFL40">
        <v>0</v>
      </c>
      <c r="AFM40">
        <v>0</v>
      </c>
      <c r="AFN40">
        <v>0</v>
      </c>
      <c r="AFO40">
        <v>0</v>
      </c>
      <c r="AFP40">
        <v>0</v>
      </c>
      <c r="AFQ40">
        <v>0</v>
      </c>
      <c r="AFR40">
        <v>0</v>
      </c>
      <c r="AFS40">
        <v>0</v>
      </c>
      <c r="AFT40">
        <v>0</v>
      </c>
      <c r="AFU40">
        <v>0</v>
      </c>
      <c r="AFV40">
        <v>0</v>
      </c>
      <c r="AFW40">
        <v>0</v>
      </c>
      <c r="AFX40">
        <v>0</v>
      </c>
      <c r="AFY40">
        <v>0</v>
      </c>
      <c r="AFZ40">
        <v>0</v>
      </c>
      <c r="AGA40">
        <v>0</v>
      </c>
      <c r="AGB40">
        <v>0</v>
      </c>
      <c r="AGC40">
        <v>0</v>
      </c>
      <c r="AGD40">
        <v>0</v>
      </c>
      <c r="AGE40">
        <v>0</v>
      </c>
      <c r="AGF40">
        <v>0</v>
      </c>
      <c r="AGG40">
        <v>0</v>
      </c>
      <c r="AGH40">
        <v>0</v>
      </c>
      <c r="AGI40">
        <v>0</v>
      </c>
      <c r="AGJ40">
        <v>0</v>
      </c>
      <c r="AGK40">
        <v>0</v>
      </c>
      <c r="AGL40">
        <v>0</v>
      </c>
      <c r="AGM40">
        <v>0</v>
      </c>
      <c r="AGN40">
        <v>0</v>
      </c>
      <c r="AGO40">
        <v>0</v>
      </c>
      <c r="AGP40">
        <v>0</v>
      </c>
      <c r="AGQ40">
        <v>0</v>
      </c>
      <c r="AGR40">
        <v>0</v>
      </c>
      <c r="AGS40">
        <v>0</v>
      </c>
      <c r="AGT40">
        <v>0</v>
      </c>
      <c r="AGU40">
        <v>0</v>
      </c>
      <c r="AGV40">
        <v>0</v>
      </c>
      <c r="AGW40">
        <v>0</v>
      </c>
      <c r="AGX40">
        <v>0</v>
      </c>
      <c r="AGY40">
        <v>0</v>
      </c>
      <c r="AGZ40">
        <v>0</v>
      </c>
      <c r="AHA40">
        <v>0</v>
      </c>
      <c r="AHB40">
        <v>0</v>
      </c>
      <c r="AHC40">
        <v>0</v>
      </c>
      <c r="AHD40">
        <v>0</v>
      </c>
      <c r="AHE40">
        <v>0</v>
      </c>
      <c r="AHF40">
        <v>0</v>
      </c>
      <c r="AHG40">
        <v>0</v>
      </c>
      <c r="AHH40">
        <v>0</v>
      </c>
      <c r="AHI40">
        <v>0</v>
      </c>
      <c r="AHJ40">
        <v>0</v>
      </c>
      <c r="AHK40">
        <v>0</v>
      </c>
      <c r="AHL40">
        <v>0</v>
      </c>
      <c r="AHM40">
        <v>0</v>
      </c>
      <c r="AHN40">
        <v>0</v>
      </c>
      <c r="AHO40">
        <v>0</v>
      </c>
      <c r="AHP40">
        <v>0</v>
      </c>
      <c r="AHQ40">
        <v>0</v>
      </c>
      <c r="AHR40">
        <v>0</v>
      </c>
      <c r="AHS40">
        <v>0</v>
      </c>
      <c r="AHT40">
        <v>-4500</v>
      </c>
      <c r="AHU40">
        <v>0</v>
      </c>
      <c r="AHV40">
        <v>0</v>
      </c>
      <c r="AHW40">
        <v>0</v>
      </c>
      <c r="AHX40">
        <v>0</v>
      </c>
      <c r="AHY40">
        <v>0</v>
      </c>
      <c r="AHZ40">
        <v>0</v>
      </c>
      <c r="AIA40">
        <v>0</v>
      </c>
      <c r="AIB40">
        <v>0</v>
      </c>
      <c r="AIC40">
        <v>0</v>
      </c>
      <c r="AID40">
        <v>0</v>
      </c>
      <c r="AIE40">
        <v>0</v>
      </c>
      <c r="AIF40">
        <v>0</v>
      </c>
      <c r="AIG40">
        <v>0</v>
      </c>
      <c r="AIH40">
        <v>0</v>
      </c>
      <c r="AII40">
        <v>0</v>
      </c>
      <c r="AIJ40">
        <v>0</v>
      </c>
      <c r="AIK40">
        <v>0</v>
      </c>
      <c r="AIL40">
        <v>0</v>
      </c>
      <c r="AIM40">
        <v>0</v>
      </c>
      <c r="AIN40">
        <v>0</v>
      </c>
      <c r="AIO40">
        <v>0</v>
      </c>
      <c r="AIP40">
        <v>0</v>
      </c>
      <c r="AIQ40">
        <v>0</v>
      </c>
      <c r="AIR40">
        <v>0</v>
      </c>
      <c r="AIS40">
        <v>0</v>
      </c>
      <c r="AIT40">
        <v>0</v>
      </c>
      <c r="AIU40">
        <v>0</v>
      </c>
      <c r="AIV40">
        <v>0</v>
      </c>
      <c r="AIW40">
        <v>0</v>
      </c>
      <c r="AIX40">
        <v>0</v>
      </c>
      <c r="AIY40">
        <v>0</v>
      </c>
      <c r="AIZ40">
        <v>0</v>
      </c>
      <c r="AJA40">
        <v>0</v>
      </c>
      <c r="AJB40">
        <v>0</v>
      </c>
      <c r="AJC40">
        <v>0</v>
      </c>
      <c r="AJD40">
        <v>0</v>
      </c>
      <c r="AJE40">
        <v>0</v>
      </c>
      <c r="AJF40">
        <v>0</v>
      </c>
      <c r="AJG40">
        <v>0</v>
      </c>
      <c r="AJH40">
        <v>0</v>
      </c>
      <c r="AJI40">
        <v>0</v>
      </c>
      <c r="AJJ40">
        <v>0</v>
      </c>
      <c r="AJK40">
        <v>0</v>
      </c>
      <c r="AJL40">
        <v>0</v>
      </c>
      <c r="AJM40">
        <v>0</v>
      </c>
      <c r="AJN40">
        <v>0</v>
      </c>
      <c r="AJO40">
        <v>0</v>
      </c>
      <c r="AJP40">
        <v>0</v>
      </c>
      <c r="AJQ40">
        <v>0</v>
      </c>
      <c r="AJR40">
        <v>0</v>
      </c>
      <c r="AJS40">
        <v>0</v>
      </c>
      <c r="AJT40">
        <v>0</v>
      </c>
      <c r="AJU40">
        <v>0</v>
      </c>
      <c r="AJV40">
        <v>0</v>
      </c>
      <c r="AJW40">
        <v>0</v>
      </c>
      <c r="AJX40">
        <v>0</v>
      </c>
      <c r="AJY40">
        <v>0</v>
      </c>
    </row>
    <row r="41" spans="1:961" x14ac:dyDescent="0.3">
      <c r="A41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10000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5000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3876.2639999999992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-150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-1000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-5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0</v>
      </c>
      <c r="YK41">
        <v>0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0</v>
      </c>
      <c r="ZI41">
        <v>0</v>
      </c>
      <c r="ZJ41">
        <v>0</v>
      </c>
      <c r="ZK41">
        <v>0</v>
      </c>
      <c r="ZL41">
        <v>0</v>
      </c>
      <c r="ZM41">
        <v>0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0</v>
      </c>
      <c r="AAI41">
        <v>0</v>
      </c>
      <c r="AAJ41">
        <v>0</v>
      </c>
      <c r="AAK41">
        <v>-256.16438356164383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0</v>
      </c>
      <c r="ABJ41">
        <v>0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  <c r="ADF41">
        <v>0</v>
      </c>
      <c r="ADG41">
        <v>0</v>
      </c>
      <c r="ADH41">
        <v>0</v>
      </c>
      <c r="ADI41">
        <v>0</v>
      </c>
      <c r="ADJ41">
        <v>0</v>
      </c>
      <c r="ADK41">
        <v>0</v>
      </c>
      <c r="ADL41">
        <v>0</v>
      </c>
      <c r="ADM41">
        <v>0</v>
      </c>
      <c r="ADN41">
        <v>0</v>
      </c>
      <c r="ADO41">
        <v>0</v>
      </c>
      <c r="ADP41">
        <v>0</v>
      </c>
      <c r="ADQ41">
        <v>0</v>
      </c>
      <c r="ADR41">
        <v>0</v>
      </c>
      <c r="ADS41">
        <v>0</v>
      </c>
      <c r="ADT41">
        <v>0</v>
      </c>
      <c r="ADU41">
        <v>0</v>
      </c>
      <c r="ADV41">
        <v>0</v>
      </c>
      <c r="ADW41">
        <v>0</v>
      </c>
      <c r="ADX41">
        <v>0</v>
      </c>
      <c r="ADY41">
        <v>0</v>
      </c>
      <c r="ADZ41">
        <v>0</v>
      </c>
      <c r="AEA41">
        <v>0</v>
      </c>
      <c r="AEB41">
        <v>0</v>
      </c>
      <c r="AEC41">
        <v>-120</v>
      </c>
      <c r="AED41">
        <v>0</v>
      </c>
      <c r="AEE41">
        <v>0</v>
      </c>
      <c r="AEF41">
        <v>0</v>
      </c>
      <c r="AEG41">
        <v>0</v>
      </c>
      <c r="AEH41">
        <v>0</v>
      </c>
      <c r="AEI41">
        <v>0</v>
      </c>
      <c r="AEJ41">
        <v>0</v>
      </c>
      <c r="AEK41">
        <v>0</v>
      </c>
      <c r="AEL41">
        <v>0</v>
      </c>
      <c r="AEM41">
        <v>0</v>
      </c>
      <c r="AEN41">
        <v>0</v>
      </c>
      <c r="AEO41">
        <v>0</v>
      </c>
      <c r="AEP41">
        <v>0</v>
      </c>
      <c r="AEQ41">
        <v>0</v>
      </c>
      <c r="AER41">
        <v>0</v>
      </c>
      <c r="AES41">
        <v>0</v>
      </c>
      <c r="AET41">
        <v>0</v>
      </c>
      <c r="AEU41">
        <v>0</v>
      </c>
      <c r="AEV41">
        <v>0</v>
      </c>
      <c r="AEW41">
        <v>0</v>
      </c>
      <c r="AEX41">
        <v>0</v>
      </c>
      <c r="AEY41">
        <v>0</v>
      </c>
      <c r="AEZ41">
        <v>0</v>
      </c>
      <c r="AFA41">
        <v>0</v>
      </c>
      <c r="AFB41">
        <v>0</v>
      </c>
      <c r="AFC41">
        <v>0</v>
      </c>
      <c r="AFD41">
        <v>0</v>
      </c>
      <c r="AFE41">
        <v>0</v>
      </c>
      <c r="AFF41">
        <v>0</v>
      </c>
      <c r="AFG41">
        <v>0</v>
      </c>
      <c r="AFH41">
        <v>0</v>
      </c>
      <c r="AFI41">
        <v>0</v>
      </c>
      <c r="AFJ41">
        <v>0</v>
      </c>
      <c r="AFK41">
        <v>0</v>
      </c>
      <c r="AFL41">
        <v>0</v>
      </c>
      <c r="AFM41">
        <v>0</v>
      </c>
      <c r="AFN41">
        <v>0</v>
      </c>
      <c r="AFO41">
        <v>0</v>
      </c>
      <c r="AFP41">
        <v>0</v>
      </c>
      <c r="AFQ41">
        <v>0</v>
      </c>
      <c r="AFR41">
        <v>0</v>
      </c>
      <c r="AFS41">
        <v>0</v>
      </c>
      <c r="AFT41">
        <v>0</v>
      </c>
      <c r="AFU41">
        <v>0</v>
      </c>
      <c r="AFV41">
        <v>0</v>
      </c>
      <c r="AFW41">
        <v>0</v>
      </c>
      <c r="AFX41">
        <v>0</v>
      </c>
      <c r="AFY41">
        <v>0</v>
      </c>
      <c r="AFZ41">
        <v>0</v>
      </c>
      <c r="AGA41">
        <v>0</v>
      </c>
      <c r="AGB41">
        <v>0</v>
      </c>
      <c r="AGC41">
        <v>0</v>
      </c>
      <c r="AGD41">
        <v>0</v>
      </c>
      <c r="AGE41">
        <v>0</v>
      </c>
      <c r="AGF41">
        <v>0</v>
      </c>
      <c r="AGG41">
        <v>0</v>
      </c>
      <c r="AGH41">
        <v>0</v>
      </c>
      <c r="AGI41">
        <v>0</v>
      </c>
      <c r="AGJ41">
        <v>0</v>
      </c>
      <c r="AGK41">
        <v>0</v>
      </c>
      <c r="AGL41">
        <v>0</v>
      </c>
      <c r="AGM41">
        <v>0</v>
      </c>
      <c r="AGN41">
        <v>0</v>
      </c>
      <c r="AGO41">
        <v>0</v>
      </c>
      <c r="AGP41">
        <v>0</v>
      </c>
      <c r="AGQ41">
        <v>0</v>
      </c>
      <c r="AGR41">
        <v>0</v>
      </c>
      <c r="AGS41">
        <v>0</v>
      </c>
      <c r="AGT41">
        <v>0</v>
      </c>
      <c r="AGU41">
        <v>0</v>
      </c>
      <c r="AGV41">
        <v>0</v>
      </c>
      <c r="AGW41">
        <v>0</v>
      </c>
      <c r="AGX41">
        <v>0</v>
      </c>
      <c r="AGY41">
        <v>0</v>
      </c>
      <c r="AGZ41">
        <v>0</v>
      </c>
      <c r="AHA41">
        <v>0</v>
      </c>
      <c r="AHB41">
        <v>0</v>
      </c>
      <c r="AHC41">
        <v>0</v>
      </c>
      <c r="AHD41">
        <v>0</v>
      </c>
      <c r="AHE41">
        <v>0</v>
      </c>
      <c r="AHF41">
        <v>0</v>
      </c>
      <c r="AHG41">
        <v>0</v>
      </c>
      <c r="AHH41">
        <v>0</v>
      </c>
      <c r="AHI41">
        <v>0</v>
      </c>
      <c r="AHJ41">
        <v>0</v>
      </c>
      <c r="AHK41">
        <v>0</v>
      </c>
      <c r="AHL41">
        <v>0</v>
      </c>
      <c r="AHM41">
        <v>0</v>
      </c>
      <c r="AHN41">
        <v>0</v>
      </c>
      <c r="AHO41">
        <v>0</v>
      </c>
      <c r="AHP41">
        <v>0</v>
      </c>
      <c r="AHQ41">
        <v>0</v>
      </c>
      <c r="AHR41">
        <v>0</v>
      </c>
      <c r="AHS41">
        <v>0</v>
      </c>
      <c r="AHT41">
        <v>0</v>
      </c>
      <c r="AHU41">
        <v>-4500</v>
      </c>
      <c r="AHV41">
        <v>0</v>
      </c>
      <c r="AHW41">
        <v>0</v>
      </c>
      <c r="AHX41">
        <v>0</v>
      </c>
      <c r="AHY41">
        <v>0</v>
      </c>
      <c r="AHZ41">
        <v>0</v>
      </c>
      <c r="AIA41">
        <v>0</v>
      </c>
      <c r="AIB41">
        <v>0</v>
      </c>
      <c r="AIC41">
        <v>0</v>
      </c>
      <c r="AID41">
        <v>0</v>
      </c>
      <c r="AIE41">
        <v>0</v>
      </c>
      <c r="AIF41">
        <v>0</v>
      </c>
      <c r="AIG41">
        <v>0</v>
      </c>
      <c r="AIH41">
        <v>0</v>
      </c>
      <c r="AII41">
        <v>0</v>
      </c>
      <c r="AIJ41">
        <v>0</v>
      </c>
      <c r="AIK41">
        <v>0</v>
      </c>
      <c r="AIL41">
        <v>0</v>
      </c>
      <c r="AIM41">
        <v>0</v>
      </c>
      <c r="AIN41">
        <v>0</v>
      </c>
      <c r="AIO41">
        <v>0</v>
      </c>
      <c r="AIP41">
        <v>0</v>
      </c>
      <c r="AIQ41">
        <v>0</v>
      </c>
      <c r="AIR41">
        <v>0</v>
      </c>
      <c r="AIS41">
        <v>0</v>
      </c>
      <c r="AIT41">
        <v>0</v>
      </c>
      <c r="AIU41">
        <v>0</v>
      </c>
      <c r="AIV41">
        <v>0</v>
      </c>
      <c r="AIW41">
        <v>0</v>
      </c>
      <c r="AIX41">
        <v>0</v>
      </c>
      <c r="AIY41">
        <v>0</v>
      </c>
      <c r="AIZ41">
        <v>0</v>
      </c>
      <c r="AJA41">
        <v>0</v>
      </c>
      <c r="AJB41">
        <v>0</v>
      </c>
      <c r="AJC41">
        <v>0</v>
      </c>
      <c r="AJD41">
        <v>0</v>
      </c>
      <c r="AJE41">
        <v>0</v>
      </c>
      <c r="AJF41">
        <v>0</v>
      </c>
      <c r="AJG41">
        <v>0</v>
      </c>
      <c r="AJH41">
        <v>0</v>
      </c>
      <c r="AJI41">
        <v>0</v>
      </c>
      <c r="AJJ41">
        <v>0</v>
      </c>
      <c r="AJK41">
        <v>0</v>
      </c>
      <c r="AJL41">
        <v>0</v>
      </c>
      <c r="AJM41">
        <v>0</v>
      </c>
      <c r="AJN41">
        <v>0</v>
      </c>
      <c r="AJO41">
        <v>0</v>
      </c>
      <c r="AJP41">
        <v>0</v>
      </c>
      <c r="AJQ41">
        <v>0</v>
      </c>
      <c r="AJR41">
        <v>0</v>
      </c>
      <c r="AJS41">
        <v>0</v>
      </c>
      <c r="AJT41">
        <v>0</v>
      </c>
      <c r="AJU41">
        <v>0</v>
      </c>
      <c r="AJV41">
        <v>0</v>
      </c>
      <c r="AJW41">
        <v>0</v>
      </c>
      <c r="AJX41">
        <v>0</v>
      </c>
      <c r="AJY41">
        <v>0</v>
      </c>
    </row>
    <row r="42" spans="1:961" x14ac:dyDescent="0.3">
      <c r="A42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5000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6151.0063999999993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-5400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-150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-1000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-5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</v>
      </c>
      <c r="YI42">
        <v>0</v>
      </c>
      <c r="YJ42">
        <v>0</v>
      </c>
      <c r="YK42">
        <v>0</v>
      </c>
      <c r="YL42">
        <v>0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0</v>
      </c>
      <c r="ZH42">
        <v>0</v>
      </c>
      <c r="ZI42">
        <v>0</v>
      </c>
      <c r="ZJ42">
        <v>0</v>
      </c>
      <c r="ZK42">
        <v>0</v>
      </c>
      <c r="ZL42">
        <v>0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-256.16438356164383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0</v>
      </c>
      <c r="ABA42">
        <v>0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0</v>
      </c>
      <c r="ABK42">
        <v>0</v>
      </c>
      <c r="ABL42">
        <v>0</v>
      </c>
      <c r="ABM42">
        <v>0</v>
      </c>
      <c r="ABN42">
        <v>0</v>
      </c>
      <c r="ABO42">
        <v>0</v>
      </c>
      <c r="ABP42">
        <v>0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0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  <c r="ADF42">
        <v>0</v>
      </c>
      <c r="ADG42">
        <v>0</v>
      </c>
      <c r="ADH42">
        <v>0</v>
      </c>
      <c r="ADI42">
        <v>0</v>
      </c>
      <c r="ADJ42">
        <v>0</v>
      </c>
      <c r="ADK42">
        <v>0</v>
      </c>
      <c r="ADL42">
        <v>0</v>
      </c>
      <c r="ADM42">
        <v>0</v>
      </c>
      <c r="ADN42">
        <v>0</v>
      </c>
      <c r="ADO42">
        <v>0</v>
      </c>
      <c r="ADP42">
        <v>0</v>
      </c>
      <c r="ADQ42">
        <v>0</v>
      </c>
      <c r="ADR42">
        <v>0</v>
      </c>
      <c r="ADS42">
        <v>0</v>
      </c>
      <c r="ADT42">
        <v>0</v>
      </c>
      <c r="ADU42">
        <v>0</v>
      </c>
      <c r="ADV42">
        <v>0</v>
      </c>
      <c r="ADW42">
        <v>0</v>
      </c>
      <c r="ADX42">
        <v>0</v>
      </c>
      <c r="ADY42">
        <v>0</v>
      </c>
      <c r="ADZ42">
        <v>0</v>
      </c>
      <c r="AEA42">
        <v>0</v>
      </c>
      <c r="AEB42">
        <v>0</v>
      </c>
      <c r="AEC42">
        <v>0</v>
      </c>
      <c r="AED42">
        <v>-120</v>
      </c>
      <c r="AEE42">
        <v>0</v>
      </c>
      <c r="AEF42">
        <v>0</v>
      </c>
      <c r="AEG42">
        <v>0</v>
      </c>
      <c r="AEH42">
        <v>0</v>
      </c>
      <c r="AEI42">
        <v>0</v>
      </c>
      <c r="AEJ42">
        <v>0</v>
      </c>
      <c r="AEK42">
        <v>0</v>
      </c>
      <c r="AEL42">
        <v>0</v>
      </c>
      <c r="AEM42">
        <v>0</v>
      </c>
      <c r="AEN42">
        <v>0</v>
      </c>
      <c r="AEO42">
        <v>0</v>
      </c>
      <c r="AEP42">
        <v>0</v>
      </c>
      <c r="AEQ42">
        <v>0</v>
      </c>
      <c r="AER42">
        <v>0</v>
      </c>
      <c r="AES42">
        <v>0</v>
      </c>
      <c r="AET42">
        <v>0</v>
      </c>
      <c r="AEU42">
        <v>0</v>
      </c>
      <c r="AEV42">
        <v>0</v>
      </c>
      <c r="AEW42">
        <v>0</v>
      </c>
      <c r="AEX42">
        <v>0</v>
      </c>
      <c r="AEY42">
        <v>0</v>
      </c>
      <c r="AEZ42">
        <v>0</v>
      </c>
      <c r="AFA42">
        <v>0</v>
      </c>
      <c r="AFB42">
        <v>0</v>
      </c>
      <c r="AFC42">
        <v>0</v>
      </c>
      <c r="AFD42">
        <v>0</v>
      </c>
      <c r="AFE42">
        <v>0</v>
      </c>
      <c r="AFF42">
        <v>0</v>
      </c>
      <c r="AFG42">
        <v>0</v>
      </c>
      <c r="AFH42">
        <v>0</v>
      </c>
      <c r="AFI42">
        <v>0</v>
      </c>
      <c r="AFJ42">
        <v>0</v>
      </c>
      <c r="AFK42">
        <v>0</v>
      </c>
      <c r="AFL42">
        <v>0</v>
      </c>
      <c r="AFM42">
        <v>0</v>
      </c>
      <c r="AFN42">
        <v>0</v>
      </c>
      <c r="AFO42">
        <v>0</v>
      </c>
      <c r="AFP42">
        <v>0</v>
      </c>
      <c r="AFQ42">
        <v>0</v>
      </c>
      <c r="AFR42">
        <v>0</v>
      </c>
      <c r="AFS42">
        <v>0</v>
      </c>
      <c r="AFT42">
        <v>0</v>
      </c>
      <c r="AFU42">
        <v>0</v>
      </c>
      <c r="AFV42">
        <v>0</v>
      </c>
      <c r="AFW42">
        <v>0</v>
      </c>
      <c r="AFX42">
        <v>0</v>
      </c>
      <c r="AFY42">
        <v>0</v>
      </c>
      <c r="AFZ42">
        <v>0</v>
      </c>
      <c r="AGA42">
        <v>0</v>
      </c>
      <c r="AGB42">
        <v>0</v>
      </c>
      <c r="AGC42">
        <v>0</v>
      </c>
      <c r="AGD42">
        <v>0</v>
      </c>
      <c r="AGE42">
        <v>0</v>
      </c>
      <c r="AGF42">
        <v>0</v>
      </c>
      <c r="AGG42">
        <v>0</v>
      </c>
      <c r="AGH42">
        <v>0</v>
      </c>
      <c r="AGI42">
        <v>0</v>
      </c>
      <c r="AGJ42">
        <v>0</v>
      </c>
      <c r="AGK42">
        <v>0</v>
      </c>
      <c r="AGL42">
        <v>0</v>
      </c>
      <c r="AGM42">
        <v>0</v>
      </c>
      <c r="AGN42">
        <v>0</v>
      </c>
      <c r="AGO42">
        <v>0</v>
      </c>
      <c r="AGP42">
        <v>0</v>
      </c>
      <c r="AGQ42">
        <v>0</v>
      </c>
      <c r="AGR42">
        <v>0</v>
      </c>
      <c r="AGS42">
        <v>0</v>
      </c>
      <c r="AGT42">
        <v>0</v>
      </c>
      <c r="AGU42">
        <v>0</v>
      </c>
      <c r="AGV42">
        <v>0</v>
      </c>
      <c r="AGW42">
        <v>0</v>
      </c>
      <c r="AGX42">
        <v>0</v>
      </c>
      <c r="AGY42">
        <v>0</v>
      </c>
      <c r="AGZ42">
        <v>0</v>
      </c>
      <c r="AHA42">
        <v>0</v>
      </c>
      <c r="AHB42">
        <v>0</v>
      </c>
      <c r="AHC42">
        <v>0</v>
      </c>
      <c r="AHD42">
        <v>0</v>
      </c>
      <c r="AHE42">
        <v>0</v>
      </c>
      <c r="AHF42">
        <v>0</v>
      </c>
      <c r="AHG42">
        <v>0</v>
      </c>
      <c r="AHH42">
        <v>0</v>
      </c>
      <c r="AHI42">
        <v>0</v>
      </c>
      <c r="AHJ42">
        <v>0</v>
      </c>
      <c r="AHK42">
        <v>0</v>
      </c>
      <c r="AHL42">
        <v>0</v>
      </c>
      <c r="AHM42">
        <v>0</v>
      </c>
      <c r="AHN42">
        <v>0</v>
      </c>
      <c r="AHO42">
        <v>0</v>
      </c>
      <c r="AHP42">
        <v>0</v>
      </c>
      <c r="AHQ42">
        <v>0</v>
      </c>
      <c r="AHR42">
        <v>0</v>
      </c>
      <c r="AHS42">
        <v>0</v>
      </c>
      <c r="AHT42">
        <v>0</v>
      </c>
      <c r="AHU42">
        <v>0</v>
      </c>
      <c r="AHV42">
        <v>-4500</v>
      </c>
      <c r="AHW42">
        <v>0</v>
      </c>
      <c r="AHX42">
        <v>0</v>
      </c>
      <c r="AHY42">
        <v>0</v>
      </c>
      <c r="AHZ42">
        <v>0</v>
      </c>
      <c r="AIA42">
        <v>0</v>
      </c>
      <c r="AIB42">
        <v>0</v>
      </c>
      <c r="AIC42">
        <v>0</v>
      </c>
      <c r="AID42">
        <v>0</v>
      </c>
      <c r="AIE42">
        <v>0</v>
      </c>
      <c r="AIF42">
        <v>0</v>
      </c>
      <c r="AIG42">
        <v>0</v>
      </c>
      <c r="AIH42">
        <v>0</v>
      </c>
      <c r="AII42">
        <v>0</v>
      </c>
      <c r="AIJ42">
        <v>0</v>
      </c>
      <c r="AIK42">
        <v>0</v>
      </c>
      <c r="AIL42">
        <v>0</v>
      </c>
      <c r="AIM42">
        <v>0</v>
      </c>
      <c r="AIN42">
        <v>0</v>
      </c>
      <c r="AIO42">
        <v>0</v>
      </c>
      <c r="AIP42">
        <v>0</v>
      </c>
      <c r="AIQ42">
        <v>0</v>
      </c>
      <c r="AIR42">
        <v>0</v>
      </c>
      <c r="AIS42">
        <v>0</v>
      </c>
      <c r="AIT42">
        <v>0</v>
      </c>
      <c r="AIU42">
        <v>0</v>
      </c>
      <c r="AIV42">
        <v>0</v>
      </c>
      <c r="AIW42">
        <v>0</v>
      </c>
      <c r="AIX42">
        <v>0</v>
      </c>
      <c r="AIY42">
        <v>0</v>
      </c>
      <c r="AIZ42">
        <v>0</v>
      </c>
      <c r="AJA42">
        <v>0</v>
      </c>
      <c r="AJB42">
        <v>0</v>
      </c>
      <c r="AJC42">
        <v>0</v>
      </c>
      <c r="AJD42">
        <v>0</v>
      </c>
      <c r="AJE42">
        <v>0</v>
      </c>
      <c r="AJF42">
        <v>0</v>
      </c>
      <c r="AJG42">
        <v>0</v>
      </c>
      <c r="AJH42">
        <v>0</v>
      </c>
      <c r="AJI42">
        <v>0</v>
      </c>
      <c r="AJJ42">
        <v>0</v>
      </c>
      <c r="AJK42">
        <v>0</v>
      </c>
      <c r="AJL42">
        <v>0</v>
      </c>
      <c r="AJM42">
        <v>0</v>
      </c>
      <c r="AJN42">
        <v>0</v>
      </c>
      <c r="AJO42">
        <v>0</v>
      </c>
      <c r="AJP42">
        <v>0</v>
      </c>
      <c r="AJQ42">
        <v>0</v>
      </c>
      <c r="AJR42">
        <v>0</v>
      </c>
      <c r="AJS42">
        <v>0</v>
      </c>
      <c r="AJT42">
        <v>0</v>
      </c>
      <c r="AJU42">
        <v>0</v>
      </c>
      <c r="AJV42">
        <v>0</v>
      </c>
      <c r="AJW42">
        <v>0</v>
      </c>
      <c r="AJX42">
        <v>0</v>
      </c>
      <c r="AJY42">
        <v>0</v>
      </c>
    </row>
    <row r="43" spans="1:961" x14ac:dyDescent="0.3">
      <c r="A43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10000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5000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6151.0063999999993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-150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0</v>
      </c>
      <c r="RY43">
        <v>0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-1000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-5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0</v>
      </c>
      <c r="YJ43">
        <v>0</v>
      </c>
      <c r="YK43">
        <v>0</v>
      </c>
      <c r="YL43">
        <v>0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-256.16438356164383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0</v>
      </c>
      <c r="ABD43">
        <v>0</v>
      </c>
      <c r="ABE43">
        <v>0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  <c r="ADF43">
        <v>0</v>
      </c>
      <c r="ADG43">
        <v>0</v>
      </c>
      <c r="ADH43">
        <v>0</v>
      </c>
      <c r="ADI43">
        <v>0</v>
      </c>
      <c r="ADJ43">
        <v>0</v>
      </c>
      <c r="ADK43">
        <v>0</v>
      </c>
      <c r="ADL43">
        <v>0</v>
      </c>
      <c r="ADM43">
        <v>0</v>
      </c>
      <c r="ADN43">
        <v>0</v>
      </c>
      <c r="ADO43">
        <v>0</v>
      </c>
      <c r="ADP43">
        <v>0</v>
      </c>
      <c r="ADQ43">
        <v>0</v>
      </c>
      <c r="ADR43">
        <v>0</v>
      </c>
      <c r="ADS43">
        <v>0</v>
      </c>
      <c r="ADT43">
        <v>0</v>
      </c>
      <c r="ADU43">
        <v>0</v>
      </c>
      <c r="ADV43">
        <v>0</v>
      </c>
      <c r="ADW43">
        <v>0</v>
      </c>
      <c r="ADX43">
        <v>0</v>
      </c>
      <c r="ADY43">
        <v>0</v>
      </c>
      <c r="ADZ43">
        <v>0</v>
      </c>
      <c r="AEA43">
        <v>0</v>
      </c>
      <c r="AEB43">
        <v>0</v>
      </c>
      <c r="AEC43">
        <v>0</v>
      </c>
      <c r="AED43">
        <v>0</v>
      </c>
      <c r="AEE43">
        <v>-120</v>
      </c>
      <c r="AEF43">
        <v>0</v>
      </c>
      <c r="AEG43">
        <v>0</v>
      </c>
      <c r="AEH43">
        <v>0</v>
      </c>
      <c r="AEI43">
        <v>0</v>
      </c>
      <c r="AEJ43">
        <v>0</v>
      </c>
      <c r="AEK43">
        <v>0</v>
      </c>
      <c r="AEL43">
        <v>0</v>
      </c>
      <c r="AEM43">
        <v>0</v>
      </c>
      <c r="AEN43">
        <v>0</v>
      </c>
      <c r="AEO43">
        <v>0</v>
      </c>
      <c r="AEP43">
        <v>0</v>
      </c>
      <c r="AEQ43">
        <v>0</v>
      </c>
      <c r="AER43">
        <v>0</v>
      </c>
      <c r="AES43">
        <v>0</v>
      </c>
      <c r="AET43">
        <v>0</v>
      </c>
      <c r="AEU43">
        <v>0</v>
      </c>
      <c r="AEV43">
        <v>0</v>
      </c>
      <c r="AEW43">
        <v>0</v>
      </c>
      <c r="AEX43">
        <v>0</v>
      </c>
      <c r="AEY43">
        <v>0</v>
      </c>
      <c r="AEZ43">
        <v>0</v>
      </c>
      <c r="AFA43">
        <v>0</v>
      </c>
      <c r="AFB43">
        <v>0</v>
      </c>
      <c r="AFC43">
        <v>0</v>
      </c>
      <c r="AFD43">
        <v>0</v>
      </c>
      <c r="AFE43">
        <v>0</v>
      </c>
      <c r="AFF43">
        <v>0</v>
      </c>
      <c r="AFG43">
        <v>0</v>
      </c>
      <c r="AFH43">
        <v>0</v>
      </c>
      <c r="AFI43">
        <v>0</v>
      </c>
      <c r="AFJ43">
        <v>0</v>
      </c>
      <c r="AFK43">
        <v>0</v>
      </c>
      <c r="AFL43">
        <v>0</v>
      </c>
      <c r="AFM43">
        <v>0</v>
      </c>
      <c r="AFN43">
        <v>0</v>
      </c>
      <c r="AFO43">
        <v>0</v>
      </c>
      <c r="AFP43">
        <v>0</v>
      </c>
      <c r="AFQ43">
        <v>0</v>
      </c>
      <c r="AFR43">
        <v>0</v>
      </c>
      <c r="AFS43">
        <v>0</v>
      </c>
      <c r="AFT43">
        <v>0</v>
      </c>
      <c r="AFU43">
        <v>0</v>
      </c>
      <c r="AFV43">
        <v>0</v>
      </c>
      <c r="AFW43">
        <v>0</v>
      </c>
      <c r="AFX43">
        <v>0</v>
      </c>
      <c r="AFY43">
        <v>0</v>
      </c>
      <c r="AFZ43">
        <v>0</v>
      </c>
      <c r="AGA43">
        <v>0</v>
      </c>
      <c r="AGB43">
        <v>0</v>
      </c>
      <c r="AGC43">
        <v>0</v>
      </c>
      <c r="AGD43">
        <v>0</v>
      </c>
      <c r="AGE43">
        <v>0</v>
      </c>
      <c r="AGF43">
        <v>0</v>
      </c>
      <c r="AGG43">
        <v>0</v>
      </c>
      <c r="AGH43">
        <v>0</v>
      </c>
      <c r="AGI43">
        <v>0</v>
      </c>
      <c r="AGJ43">
        <v>0</v>
      </c>
      <c r="AGK43">
        <v>0</v>
      </c>
      <c r="AGL43">
        <v>0</v>
      </c>
      <c r="AGM43">
        <v>0</v>
      </c>
      <c r="AGN43">
        <v>0</v>
      </c>
      <c r="AGO43">
        <v>0</v>
      </c>
      <c r="AGP43">
        <v>0</v>
      </c>
      <c r="AGQ43">
        <v>0</v>
      </c>
      <c r="AGR43">
        <v>0</v>
      </c>
      <c r="AGS43">
        <v>0</v>
      </c>
      <c r="AGT43">
        <v>0</v>
      </c>
      <c r="AGU43">
        <v>0</v>
      </c>
      <c r="AGV43">
        <v>0</v>
      </c>
      <c r="AGW43">
        <v>0</v>
      </c>
      <c r="AGX43">
        <v>0</v>
      </c>
      <c r="AGY43">
        <v>0</v>
      </c>
      <c r="AGZ43">
        <v>0</v>
      </c>
      <c r="AHA43">
        <v>0</v>
      </c>
      <c r="AHB43">
        <v>0</v>
      </c>
      <c r="AHC43">
        <v>0</v>
      </c>
      <c r="AHD43">
        <v>0</v>
      </c>
      <c r="AHE43">
        <v>0</v>
      </c>
      <c r="AHF43">
        <v>0</v>
      </c>
      <c r="AHG43">
        <v>0</v>
      </c>
      <c r="AHH43">
        <v>0</v>
      </c>
      <c r="AHI43">
        <v>0</v>
      </c>
      <c r="AHJ43">
        <v>0</v>
      </c>
      <c r="AHK43">
        <v>0</v>
      </c>
      <c r="AHL43">
        <v>0</v>
      </c>
      <c r="AHM43">
        <v>0</v>
      </c>
      <c r="AHN43">
        <v>0</v>
      </c>
      <c r="AHO43">
        <v>0</v>
      </c>
      <c r="AHP43">
        <v>0</v>
      </c>
      <c r="AHQ43">
        <v>0</v>
      </c>
      <c r="AHR43">
        <v>0</v>
      </c>
      <c r="AHS43">
        <v>0</v>
      </c>
      <c r="AHT43">
        <v>0</v>
      </c>
      <c r="AHU43">
        <v>0</v>
      </c>
      <c r="AHV43">
        <v>0</v>
      </c>
      <c r="AHW43">
        <v>-4500</v>
      </c>
      <c r="AHX43">
        <v>0</v>
      </c>
      <c r="AHY43">
        <v>0</v>
      </c>
      <c r="AHZ43">
        <v>0</v>
      </c>
      <c r="AIA43">
        <v>0</v>
      </c>
      <c r="AIB43">
        <v>0</v>
      </c>
      <c r="AIC43">
        <v>0</v>
      </c>
      <c r="AID43">
        <v>0</v>
      </c>
      <c r="AIE43">
        <v>0</v>
      </c>
      <c r="AIF43">
        <v>0</v>
      </c>
      <c r="AIG43">
        <v>0</v>
      </c>
      <c r="AIH43">
        <v>0</v>
      </c>
      <c r="AII43">
        <v>0</v>
      </c>
      <c r="AIJ43">
        <v>0</v>
      </c>
      <c r="AIK43">
        <v>0</v>
      </c>
      <c r="AIL43">
        <v>0</v>
      </c>
      <c r="AIM43">
        <v>0</v>
      </c>
      <c r="AIN43">
        <v>0</v>
      </c>
      <c r="AIO43">
        <v>0</v>
      </c>
      <c r="AIP43">
        <v>0</v>
      </c>
      <c r="AIQ43">
        <v>0</v>
      </c>
      <c r="AIR43">
        <v>0</v>
      </c>
      <c r="AIS43">
        <v>0</v>
      </c>
      <c r="AIT43">
        <v>0</v>
      </c>
      <c r="AIU43">
        <v>0</v>
      </c>
      <c r="AIV43">
        <v>0</v>
      </c>
      <c r="AIW43">
        <v>0</v>
      </c>
      <c r="AIX43">
        <v>0</v>
      </c>
      <c r="AIY43">
        <v>0</v>
      </c>
      <c r="AIZ43">
        <v>0</v>
      </c>
      <c r="AJA43">
        <v>0</v>
      </c>
      <c r="AJB43">
        <v>0</v>
      </c>
      <c r="AJC43">
        <v>0</v>
      </c>
      <c r="AJD43">
        <v>0</v>
      </c>
      <c r="AJE43">
        <v>0</v>
      </c>
      <c r="AJF43">
        <v>0</v>
      </c>
      <c r="AJG43">
        <v>0</v>
      </c>
      <c r="AJH43">
        <v>0</v>
      </c>
      <c r="AJI43">
        <v>0</v>
      </c>
      <c r="AJJ43">
        <v>0</v>
      </c>
      <c r="AJK43">
        <v>0</v>
      </c>
      <c r="AJL43">
        <v>0</v>
      </c>
      <c r="AJM43">
        <v>0</v>
      </c>
      <c r="AJN43">
        <v>0</v>
      </c>
      <c r="AJO43">
        <v>0</v>
      </c>
      <c r="AJP43">
        <v>0</v>
      </c>
      <c r="AJQ43">
        <v>0</v>
      </c>
      <c r="AJR43">
        <v>0</v>
      </c>
      <c r="AJS43">
        <v>0</v>
      </c>
      <c r="AJT43">
        <v>0</v>
      </c>
      <c r="AJU43">
        <v>0</v>
      </c>
      <c r="AJV43">
        <v>0</v>
      </c>
      <c r="AJW43">
        <v>0</v>
      </c>
      <c r="AJX43">
        <v>0</v>
      </c>
      <c r="AJY43">
        <v>0</v>
      </c>
    </row>
    <row r="44" spans="1:961" x14ac:dyDescent="0.3">
      <c r="A44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10000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5000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6151.0063999999993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-150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-1000</v>
      </c>
      <c r="TE44">
        <v>0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-5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0</v>
      </c>
      <c r="YM44">
        <v>0</v>
      </c>
      <c r="YN44">
        <v>0</v>
      </c>
      <c r="YO44">
        <v>0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0</v>
      </c>
      <c r="ZO44">
        <v>0</v>
      </c>
      <c r="ZP44">
        <v>0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-256.16438356164383</v>
      </c>
      <c r="AAO44">
        <v>0</v>
      </c>
      <c r="AAP44">
        <v>0</v>
      </c>
      <c r="AAQ44">
        <v>0</v>
      </c>
      <c r="AAR44">
        <v>0</v>
      </c>
      <c r="AAS44">
        <v>0</v>
      </c>
      <c r="AAT44">
        <v>0</v>
      </c>
      <c r="AAU44">
        <v>0</v>
      </c>
      <c r="AAV44">
        <v>0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  <c r="ADF44">
        <v>0</v>
      </c>
      <c r="ADG44">
        <v>0</v>
      </c>
      <c r="ADH44">
        <v>0</v>
      </c>
      <c r="ADI44">
        <v>0</v>
      </c>
      <c r="ADJ44">
        <v>0</v>
      </c>
      <c r="ADK44">
        <v>0</v>
      </c>
      <c r="ADL44">
        <v>0</v>
      </c>
      <c r="ADM44">
        <v>0</v>
      </c>
      <c r="ADN44">
        <v>0</v>
      </c>
      <c r="ADO44">
        <v>0</v>
      </c>
      <c r="ADP44">
        <v>0</v>
      </c>
      <c r="ADQ44">
        <v>0</v>
      </c>
      <c r="ADR44">
        <v>0</v>
      </c>
      <c r="ADS44">
        <v>0</v>
      </c>
      <c r="ADT44">
        <v>0</v>
      </c>
      <c r="ADU44">
        <v>0</v>
      </c>
      <c r="ADV44">
        <v>0</v>
      </c>
      <c r="ADW44">
        <v>0</v>
      </c>
      <c r="ADX44">
        <v>0</v>
      </c>
      <c r="ADY44">
        <v>0</v>
      </c>
      <c r="ADZ44">
        <v>0</v>
      </c>
      <c r="AEA44">
        <v>0</v>
      </c>
      <c r="AEB44">
        <v>0</v>
      </c>
      <c r="AEC44">
        <v>0</v>
      </c>
      <c r="AED44">
        <v>0</v>
      </c>
      <c r="AEE44">
        <v>0</v>
      </c>
      <c r="AEF44">
        <v>-120</v>
      </c>
      <c r="AEG44">
        <v>0</v>
      </c>
      <c r="AEH44">
        <v>0</v>
      </c>
      <c r="AEI44">
        <v>0</v>
      </c>
      <c r="AEJ44">
        <v>0</v>
      </c>
      <c r="AEK44">
        <v>0</v>
      </c>
      <c r="AEL44">
        <v>0</v>
      </c>
      <c r="AEM44">
        <v>0</v>
      </c>
      <c r="AEN44">
        <v>0</v>
      </c>
      <c r="AEO44">
        <v>0</v>
      </c>
      <c r="AEP44">
        <v>0</v>
      </c>
      <c r="AEQ44">
        <v>0</v>
      </c>
      <c r="AER44">
        <v>0</v>
      </c>
      <c r="AES44">
        <v>0</v>
      </c>
      <c r="AET44">
        <v>0</v>
      </c>
      <c r="AEU44">
        <v>0</v>
      </c>
      <c r="AEV44">
        <v>0</v>
      </c>
      <c r="AEW44">
        <v>0</v>
      </c>
      <c r="AEX44">
        <v>0</v>
      </c>
      <c r="AEY44">
        <v>0</v>
      </c>
      <c r="AEZ44">
        <v>0</v>
      </c>
      <c r="AFA44">
        <v>0</v>
      </c>
      <c r="AFB44">
        <v>0</v>
      </c>
      <c r="AFC44">
        <v>0</v>
      </c>
      <c r="AFD44">
        <v>0</v>
      </c>
      <c r="AFE44">
        <v>0</v>
      </c>
      <c r="AFF44">
        <v>0</v>
      </c>
      <c r="AFG44">
        <v>0</v>
      </c>
      <c r="AFH44">
        <v>0</v>
      </c>
      <c r="AFI44">
        <v>0</v>
      </c>
      <c r="AFJ44">
        <v>0</v>
      </c>
      <c r="AFK44">
        <v>0</v>
      </c>
      <c r="AFL44">
        <v>0</v>
      </c>
      <c r="AFM44">
        <v>0</v>
      </c>
      <c r="AFN44">
        <v>0</v>
      </c>
      <c r="AFO44">
        <v>0</v>
      </c>
      <c r="AFP44">
        <v>0</v>
      </c>
      <c r="AFQ44">
        <v>0</v>
      </c>
      <c r="AFR44">
        <v>0</v>
      </c>
      <c r="AFS44">
        <v>0</v>
      </c>
      <c r="AFT44">
        <v>0</v>
      </c>
      <c r="AFU44">
        <v>0</v>
      </c>
      <c r="AFV44">
        <v>0</v>
      </c>
      <c r="AFW44">
        <v>0</v>
      </c>
      <c r="AFX44">
        <v>0</v>
      </c>
      <c r="AFY44">
        <v>0</v>
      </c>
      <c r="AFZ44">
        <v>0</v>
      </c>
      <c r="AGA44">
        <v>0</v>
      </c>
      <c r="AGB44">
        <v>0</v>
      </c>
      <c r="AGC44">
        <v>0</v>
      </c>
      <c r="AGD44">
        <v>0</v>
      </c>
      <c r="AGE44">
        <v>0</v>
      </c>
      <c r="AGF44">
        <v>0</v>
      </c>
      <c r="AGG44">
        <v>0</v>
      </c>
      <c r="AGH44">
        <v>0</v>
      </c>
      <c r="AGI44">
        <v>0</v>
      </c>
      <c r="AGJ44">
        <v>0</v>
      </c>
      <c r="AGK44">
        <v>0</v>
      </c>
      <c r="AGL44">
        <v>0</v>
      </c>
      <c r="AGM44">
        <v>0</v>
      </c>
      <c r="AGN44">
        <v>0</v>
      </c>
      <c r="AGO44">
        <v>0</v>
      </c>
      <c r="AGP44">
        <v>0</v>
      </c>
      <c r="AGQ44">
        <v>0</v>
      </c>
      <c r="AGR44">
        <v>0</v>
      </c>
      <c r="AGS44">
        <v>0</v>
      </c>
      <c r="AGT44">
        <v>0</v>
      </c>
      <c r="AGU44">
        <v>0</v>
      </c>
      <c r="AGV44">
        <v>0</v>
      </c>
      <c r="AGW44">
        <v>0</v>
      </c>
      <c r="AGX44">
        <v>0</v>
      </c>
      <c r="AGY44">
        <v>0</v>
      </c>
      <c r="AGZ44">
        <v>0</v>
      </c>
      <c r="AHA44">
        <v>0</v>
      </c>
      <c r="AHB44">
        <v>0</v>
      </c>
      <c r="AHC44">
        <v>0</v>
      </c>
      <c r="AHD44">
        <v>0</v>
      </c>
      <c r="AHE44">
        <v>0</v>
      </c>
      <c r="AHF44">
        <v>0</v>
      </c>
      <c r="AHG44">
        <v>0</v>
      </c>
      <c r="AHH44">
        <v>0</v>
      </c>
      <c r="AHI44">
        <v>0</v>
      </c>
      <c r="AHJ44">
        <v>0</v>
      </c>
      <c r="AHK44">
        <v>0</v>
      </c>
      <c r="AHL44">
        <v>0</v>
      </c>
      <c r="AHM44">
        <v>0</v>
      </c>
      <c r="AHN44">
        <v>0</v>
      </c>
      <c r="AHO44">
        <v>0</v>
      </c>
      <c r="AHP44">
        <v>0</v>
      </c>
      <c r="AHQ44">
        <v>0</v>
      </c>
      <c r="AHR44">
        <v>0</v>
      </c>
      <c r="AHS44">
        <v>0</v>
      </c>
      <c r="AHT44">
        <v>0</v>
      </c>
      <c r="AHU44">
        <v>0</v>
      </c>
      <c r="AHV44">
        <v>0</v>
      </c>
      <c r="AHW44">
        <v>0</v>
      </c>
      <c r="AHX44">
        <v>-4500</v>
      </c>
      <c r="AHY44">
        <v>0</v>
      </c>
      <c r="AHZ44">
        <v>0</v>
      </c>
      <c r="AIA44">
        <v>0</v>
      </c>
      <c r="AIB44">
        <v>0</v>
      </c>
      <c r="AIC44">
        <v>0</v>
      </c>
      <c r="AID44">
        <v>0</v>
      </c>
      <c r="AIE44">
        <v>0</v>
      </c>
      <c r="AIF44">
        <v>0</v>
      </c>
      <c r="AIG44">
        <v>0</v>
      </c>
      <c r="AIH44">
        <v>0</v>
      </c>
      <c r="AII44">
        <v>0</v>
      </c>
      <c r="AIJ44">
        <v>0</v>
      </c>
      <c r="AIK44">
        <v>0</v>
      </c>
      <c r="AIL44">
        <v>0</v>
      </c>
      <c r="AIM44">
        <v>0</v>
      </c>
      <c r="AIN44">
        <v>0</v>
      </c>
      <c r="AIO44">
        <v>0</v>
      </c>
      <c r="AIP44">
        <v>0</v>
      </c>
      <c r="AIQ44">
        <v>0</v>
      </c>
      <c r="AIR44">
        <v>0</v>
      </c>
      <c r="AIS44">
        <v>0</v>
      </c>
      <c r="AIT44">
        <v>0</v>
      </c>
      <c r="AIU44">
        <v>0</v>
      </c>
      <c r="AIV44">
        <v>0</v>
      </c>
      <c r="AIW44">
        <v>0</v>
      </c>
      <c r="AIX44">
        <v>0</v>
      </c>
      <c r="AIY44">
        <v>0</v>
      </c>
      <c r="AIZ44">
        <v>0</v>
      </c>
      <c r="AJA44">
        <v>0</v>
      </c>
      <c r="AJB44">
        <v>0</v>
      </c>
      <c r="AJC44">
        <v>0</v>
      </c>
      <c r="AJD44">
        <v>0</v>
      </c>
      <c r="AJE44">
        <v>0</v>
      </c>
      <c r="AJF44">
        <v>0</v>
      </c>
      <c r="AJG44">
        <v>0</v>
      </c>
      <c r="AJH44">
        <v>0</v>
      </c>
      <c r="AJI44">
        <v>0</v>
      </c>
      <c r="AJJ44">
        <v>0</v>
      </c>
      <c r="AJK44">
        <v>0</v>
      </c>
      <c r="AJL44">
        <v>0</v>
      </c>
      <c r="AJM44">
        <v>0</v>
      </c>
      <c r="AJN44">
        <v>0</v>
      </c>
      <c r="AJO44">
        <v>0</v>
      </c>
      <c r="AJP44">
        <v>0</v>
      </c>
      <c r="AJQ44">
        <v>0</v>
      </c>
      <c r="AJR44">
        <v>0</v>
      </c>
      <c r="AJS44">
        <v>0</v>
      </c>
      <c r="AJT44">
        <v>0</v>
      </c>
      <c r="AJU44">
        <v>0</v>
      </c>
      <c r="AJV44">
        <v>0</v>
      </c>
      <c r="AJW44">
        <v>0</v>
      </c>
      <c r="AJX44">
        <v>0</v>
      </c>
      <c r="AJY44">
        <v>0</v>
      </c>
    </row>
    <row r="45" spans="1:961" x14ac:dyDescent="0.3">
      <c r="A45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10000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5000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6151.0063999999993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-150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-1000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0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-5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0</v>
      </c>
      <c r="YK45">
        <v>0</v>
      </c>
      <c r="YL45">
        <v>0</v>
      </c>
      <c r="YM45">
        <v>0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0</v>
      </c>
      <c r="ZM45">
        <v>0</v>
      </c>
      <c r="ZN45">
        <v>0</v>
      </c>
      <c r="ZO45">
        <v>0</v>
      </c>
      <c r="ZP45">
        <v>0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-256.16438356164383</v>
      </c>
      <c r="AAP45">
        <v>0</v>
      </c>
      <c r="AAQ45">
        <v>0</v>
      </c>
      <c r="AAR45">
        <v>0</v>
      </c>
      <c r="AAS45">
        <v>0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0</v>
      </c>
      <c r="ABH45">
        <v>0</v>
      </c>
      <c r="ABI45">
        <v>0</v>
      </c>
      <c r="ABJ45">
        <v>0</v>
      </c>
      <c r="ABK45">
        <v>0</v>
      </c>
      <c r="ABL45">
        <v>0</v>
      </c>
      <c r="ABM45">
        <v>0</v>
      </c>
      <c r="ABN45">
        <v>0</v>
      </c>
      <c r="ABO45">
        <v>0</v>
      </c>
      <c r="ABP45">
        <v>0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  <c r="ADF45">
        <v>0</v>
      </c>
      <c r="ADG45">
        <v>0</v>
      </c>
      <c r="ADH45">
        <v>0</v>
      </c>
      <c r="ADI45">
        <v>0</v>
      </c>
      <c r="ADJ45">
        <v>0</v>
      </c>
      <c r="ADK45">
        <v>0</v>
      </c>
      <c r="ADL45">
        <v>0</v>
      </c>
      <c r="ADM45">
        <v>0</v>
      </c>
      <c r="ADN45">
        <v>0</v>
      </c>
      <c r="ADO45">
        <v>0</v>
      </c>
      <c r="ADP45">
        <v>0</v>
      </c>
      <c r="ADQ45">
        <v>0</v>
      </c>
      <c r="ADR45">
        <v>0</v>
      </c>
      <c r="ADS45">
        <v>0</v>
      </c>
      <c r="ADT45">
        <v>0</v>
      </c>
      <c r="ADU45">
        <v>0</v>
      </c>
      <c r="ADV45">
        <v>0</v>
      </c>
      <c r="ADW45">
        <v>0</v>
      </c>
      <c r="ADX45">
        <v>0</v>
      </c>
      <c r="ADY45">
        <v>0</v>
      </c>
      <c r="ADZ45">
        <v>0</v>
      </c>
      <c r="AEA45">
        <v>0</v>
      </c>
      <c r="AEB45">
        <v>0</v>
      </c>
      <c r="AEC45">
        <v>0</v>
      </c>
      <c r="AED45">
        <v>0</v>
      </c>
      <c r="AEE45">
        <v>0</v>
      </c>
      <c r="AEF45">
        <v>0</v>
      </c>
      <c r="AEG45">
        <v>-120</v>
      </c>
      <c r="AEH45">
        <v>0</v>
      </c>
      <c r="AEI45">
        <v>0</v>
      </c>
      <c r="AEJ45">
        <v>0</v>
      </c>
      <c r="AEK45">
        <v>0</v>
      </c>
      <c r="AEL45">
        <v>0</v>
      </c>
      <c r="AEM45">
        <v>0</v>
      </c>
      <c r="AEN45">
        <v>0</v>
      </c>
      <c r="AEO45">
        <v>0</v>
      </c>
      <c r="AEP45">
        <v>0</v>
      </c>
      <c r="AEQ45">
        <v>0</v>
      </c>
      <c r="AER45">
        <v>0</v>
      </c>
      <c r="AES45">
        <v>0</v>
      </c>
      <c r="AET45">
        <v>0</v>
      </c>
      <c r="AEU45">
        <v>0</v>
      </c>
      <c r="AEV45">
        <v>0</v>
      </c>
      <c r="AEW45">
        <v>0</v>
      </c>
      <c r="AEX45">
        <v>0</v>
      </c>
      <c r="AEY45">
        <v>0</v>
      </c>
      <c r="AEZ45">
        <v>0</v>
      </c>
      <c r="AFA45">
        <v>0</v>
      </c>
      <c r="AFB45">
        <v>0</v>
      </c>
      <c r="AFC45">
        <v>0</v>
      </c>
      <c r="AFD45">
        <v>0</v>
      </c>
      <c r="AFE45">
        <v>0</v>
      </c>
      <c r="AFF45">
        <v>0</v>
      </c>
      <c r="AFG45">
        <v>0</v>
      </c>
      <c r="AFH45">
        <v>0</v>
      </c>
      <c r="AFI45">
        <v>0</v>
      </c>
      <c r="AFJ45">
        <v>0</v>
      </c>
      <c r="AFK45">
        <v>0</v>
      </c>
      <c r="AFL45">
        <v>0</v>
      </c>
      <c r="AFM45">
        <v>0</v>
      </c>
      <c r="AFN45">
        <v>0</v>
      </c>
      <c r="AFO45">
        <v>0</v>
      </c>
      <c r="AFP45">
        <v>0</v>
      </c>
      <c r="AFQ45">
        <v>0</v>
      </c>
      <c r="AFR45">
        <v>0</v>
      </c>
      <c r="AFS45">
        <v>0</v>
      </c>
      <c r="AFT45">
        <v>0</v>
      </c>
      <c r="AFU45">
        <v>0</v>
      </c>
      <c r="AFV45">
        <v>0</v>
      </c>
      <c r="AFW45">
        <v>0</v>
      </c>
      <c r="AFX45">
        <v>0</v>
      </c>
      <c r="AFY45">
        <v>0</v>
      </c>
      <c r="AFZ45">
        <v>0</v>
      </c>
      <c r="AGA45">
        <v>0</v>
      </c>
      <c r="AGB45">
        <v>0</v>
      </c>
      <c r="AGC45">
        <v>0</v>
      </c>
      <c r="AGD45">
        <v>0</v>
      </c>
      <c r="AGE45">
        <v>0</v>
      </c>
      <c r="AGF45">
        <v>0</v>
      </c>
      <c r="AGG45">
        <v>0</v>
      </c>
      <c r="AGH45">
        <v>0</v>
      </c>
      <c r="AGI45">
        <v>0</v>
      </c>
      <c r="AGJ45">
        <v>0</v>
      </c>
      <c r="AGK45">
        <v>0</v>
      </c>
      <c r="AGL45">
        <v>0</v>
      </c>
      <c r="AGM45">
        <v>0</v>
      </c>
      <c r="AGN45">
        <v>0</v>
      </c>
      <c r="AGO45">
        <v>0</v>
      </c>
      <c r="AGP45">
        <v>0</v>
      </c>
      <c r="AGQ45">
        <v>0</v>
      </c>
      <c r="AGR45">
        <v>0</v>
      </c>
      <c r="AGS45">
        <v>0</v>
      </c>
      <c r="AGT45">
        <v>0</v>
      </c>
      <c r="AGU45">
        <v>0</v>
      </c>
      <c r="AGV45">
        <v>0</v>
      </c>
      <c r="AGW45">
        <v>0</v>
      </c>
      <c r="AGX45">
        <v>0</v>
      </c>
      <c r="AGY45">
        <v>0</v>
      </c>
      <c r="AGZ45">
        <v>0</v>
      </c>
      <c r="AHA45">
        <v>0</v>
      </c>
      <c r="AHB45">
        <v>0</v>
      </c>
      <c r="AHC45">
        <v>0</v>
      </c>
      <c r="AHD45">
        <v>0</v>
      </c>
      <c r="AHE45">
        <v>0</v>
      </c>
      <c r="AHF45">
        <v>0</v>
      </c>
      <c r="AHG45">
        <v>0</v>
      </c>
      <c r="AHH45">
        <v>0</v>
      </c>
      <c r="AHI45">
        <v>0</v>
      </c>
      <c r="AHJ45">
        <v>0</v>
      </c>
      <c r="AHK45">
        <v>0</v>
      </c>
      <c r="AHL45">
        <v>0</v>
      </c>
      <c r="AHM45">
        <v>0</v>
      </c>
      <c r="AHN45">
        <v>0</v>
      </c>
      <c r="AHO45">
        <v>0</v>
      </c>
      <c r="AHP45">
        <v>0</v>
      </c>
      <c r="AHQ45">
        <v>0</v>
      </c>
      <c r="AHR45">
        <v>0</v>
      </c>
      <c r="AHS45">
        <v>0</v>
      </c>
      <c r="AHT45">
        <v>0</v>
      </c>
      <c r="AHU45">
        <v>0</v>
      </c>
      <c r="AHV45">
        <v>0</v>
      </c>
      <c r="AHW45">
        <v>0</v>
      </c>
      <c r="AHX45">
        <v>0</v>
      </c>
      <c r="AHY45">
        <v>-4500</v>
      </c>
      <c r="AHZ45">
        <v>0</v>
      </c>
      <c r="AIA45">
        <v>0</v>
      </c>
      <c r="AIB45">
        <v>0</v>
      </c>
      <c r="AIC45">
        <v>0</v>
      </c>
      <c r="AID45">
        <v>0</v>
      </c>
      <c r="AIE45">
        <v>0</v>
      </c>
      <c r="AIF45">
        <v>0</v>
      </c>
      <c r="AIG45">
        <v>0</v>
      </c>
      <c r="AIH45">
        <v>0</v>
      </c>
      <c r="AII45">
        <v>0</v>
      </c>
      <c r="AIJ45">
        <v>0</v>
      </c>
      <c r="AIK45">
        <v>0</v>
      </c>
      <c r="AIL45">
        <v>0</v>
      </c>
      <c r="AIM45">
        <v>0</v>
      </c>
      <c r="AIN45">
        <v>0</v>
      </c>
      <c r="AIO45">
        <v>0</v>
      </c>
      <c r="AIP45">
        <v>0</v>
      </c>
      <c r="AIQ45">
        <v>0</v>
      </c>
      <c r="AIR45">
        <v>0</v>
      </c>
      <c r="AIS45">
        <v>0</v>
      </c>
      <c r="AIT45">
        <v>0</v>
      </c>
      <c r="AIU45">
        <v>0</v>
      </c>
      <c r="AIV45">
        <v>0</v>
      </c>
      <c r="AIW45">
        <v>0</v>
      </c>
      <c r="AIX45">
        <v>0</v>
      </c>
      <c r="AIY45">
        <v>0</v>
      </c>
      <c r="AIZ45">
        <v>0</v>
      </c>
      <c r="AJA45">
        <v>0</v>
      </c>
      <c r="AJB45">
        <v>0</v>
      </c>
      <c r="AJC45">
        <v>0</v>
      </c>
      <c r="AJD45">
        <v>0</v>
      </c>
      <c r="AJE45">
        <v>0</v>
      </c>
      <c r="AJF45">
        <v>0</v>
      </c>
      <c r="AJG45">
        <v>0</v>
      </c>
      <c r="AJH45">
        <v>0</v>
      </c>
      <c r="AJI45">
        <v>0</v>
      </c>
      <c r="AJJ45">
        <v>0</v>
      </c>
      <c r="AJK45">
        <v>0</v>
      </c>
      <c r="AJL45">
        <v>0</v>
      </c>
      <c r="AJM45">
        <v>0</v>
      </c>
      <c r="AJN45">
        <v>0</v>
      </c>
      <c r="AJO45">
        <v>0</v>
      </c>
      <c r="AJP45">
        <v>0</v>
      </c>
      <c r="AJQ45">
        <v>0</v>
      </c>
      <c r="AJR45">
        <v>0</v>
      </c>
      <c r="AJS45">
        <v>0</v>
      </c>
      <c r="AJT45">
        <v>0</v>
      </c>
      <c r="AJU45">
        <v>0</v>
      </c>
      <c r="AJV45">
        <v>0</v>
      </c>
      <c r="AJW45">
        <v>0</v>
      </c>
      <c r="AJX45">
        <v>0</v>
      </c>
      <c r="AJY45">
        <v>0</v>
      </c>
    </row>
    <row r="46" spans="1:961" x14ac:dyDescent="0.3">
      <c r="A46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10000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5000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7502.7007999999987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-3390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-150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-1000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-5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0</v>
      </c>
      <c r="ZQ46">
        <v>0</v>
      </c>
      <c r="ZR46">
        <v>0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0</v>
      </c>
      <c r="AAH46">
        <v>0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0</v>
      </c>
      <c r="AAP46">
        <v>-256.16438356164383</v>
      </c>
      <c r="AAQ46">
        <v>0</v>
      </c>
      <c r="AAR46">
        <v>0</v>
      </c>
      <c r="AAS46">
        <v>0</v>
      </c>
      <c r="AAT46">
        <v>0</v>
      </c>
      <c r="AAU46">
        <v>0</v>
      </c>
      <c r="AAV46">
        <v>0</v>
      </c>
      <c r="AAW46">
        <v>0</v>
      </c>
      <c r="AAX46">
        <v>0</v>
      </c>
      <c r="AAY46">
        <v>0</v>
      </c>
      <c r="AAZ46">
        <v>0</v>
      </c>
      <c r="ABA46">
        <v>0</v>
      </c>
      <c r="ABB46">
        <v>0</v>
      </c>
      <c r="ABC46">
        <v>0</v>
      </c>
      <c r="ABD46">
        <v>0</v>
      </c>
      <c r="ABE46">
        <v>0</v>
      </c>
      <c r="ABF46">
        <v>0</v>
      </c>
      <c r="ABG46">
        <v>0</v>
      </c>
      <c r="ABH46">
        <v>0</v>
      </c>
      <c r="ABI46">
        <v>0</v>
      </c>
      <c r="ABJ46">
        <v>0</v>
      </c>
      <c r="ABK46">
        <v>0</v>
      </c>
      <c r="ABL46">
        <v>0</v>
      </c>
      <c r="ABM46">
        <v>0</v>
      </c>
      <c r="ABN46">
        <v>0</v>
      </c>
      <c r="ABO46">
        <v>0</v>
      </c>
      <c r="ABP46">
        <v>0</v>
      </c>
      <c r="ABQ46">
        <v>0</v>
      </c>
      <c r="ABR46">
        <v>0</v>
      </c>
      <c r="ABS46">
        <v>0</v>
      </c>
      <c r="ABT46">
        <v>0</v>
      </c>
      <c r="ABU46">
        <v>0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0</v>
      </c>
      <c r="ACN46">
        <v>0</v>
      </c>
      <c r="ACO46">
        <v>0</v>
      </c>
      <c r="ACP46">
        <v>0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  <c r="ADF46">
        <v>0</v>
      </c>
      <c r="ADG46">
        <v>0</v>
      </c>
      <c r="ADH46">
        <v>0</v>
      </c>
      <c r="ADI46">
        <v>0</v>
      </c>
      <c r="ADJ46">
        <v>0</v>
      </c>
      <c r="ADK46">
        <v>0</v>
      </c>
      <c r="ADL46">
        <v>0</v>
      </c>
      <c r="ADM46">
        <v>0</v>
      </c>
      <c r="ADN46">
        <v>0</v>
      </c>
      <c r="ADO46">
        <v>0</v>
      </c>
      <c r="ADP46">
        <v>0</v>
      </c>
      <c r="ADQ46">
        <v>0</v>
      </c>
      <c r="ADR46">
        <v>0</v>
      </c>
      <c r="ADS46">
        <v>0</v>
      </c>
      <c r="ADT46">
        <v>0</v>
      </c>
      <c r="ADU46">
        <v>0</v>
      </c>
      <c r="ADV46">
        <v>0</v>
      </c>
      <c r="ADW46">
        <v>0</v>
      </c>
      <c r="ADX46">
        <v>0</v>
      </c>
      <c r="ADY46">
        <v>0</v>
      </c>
      <c r="ADZ46">
        <v>0</v>
      </c>
      <c r="AEA46">
        <v>0</v>
      </c>
      <c r="AEB46">
        <v>0</v>
      </c>
      <c r="AEC46">
        <v>0</v>
      </c>
      <c r="AED46">
        <v>0</v>
      </c>
      <c r="AEE46">
        <v>0</v>
      </c>
      <c r="AEF46">
        <v>0</v>
      </c>
      <c r="AEG46">
        <v>0</v>
      </c>
      <c r="AEH46">
        <v>-120</v>
      </c>
      <c r="AEI46">
        <v>0</v>
      </c>
      <c r="AEJ46">
        <v>0</v>
      </c>
      <c r="AEK46">
        <v>0</v>
      </c>
      <c r="AEL46">
        <v>0</v>
      </c>
      <c r="AEM46">
        <v>0</v>
      </c>
      <c r="AEN46">
        <v>0</v>
      </c>
      <c r="AEO46">
        <v>0</v>
      </c>
      <c r="AEP46">
        <v>0</v>
      </c>
      <c r="AEQ46">
        <v>0</v>
      </c>
      <c r="AER46">
        <v>0</v>
      </c>
      <c r="AES46">
        <v>0</v>
      </c>
      <c r="AET46">
        <v>0</v>
      </c>
      <c r="AEU46">
        <v>0</v>
      </c>
      <c r="AEV46">
        <v>0</v>
      </c>
      <c r="AEW46">
        <v>0</v>
      </c>
      <c r="AEX46">
        <v>0</v>
      </c>
      <c r="AEY46">
        <v>0</v>
      </c>
      <c r="AEZ46">
        <v>0</v>
      </c>
      <c r="AFA46">
        <v>0</v>
      </c>
      <c r="AFB46">
        <v>0</v>
      </c>
      <c r="AFC46">
        <v>0</v>
      </c>
      <c r="AFD46">
        <v>0</v>
      </c>
      <c r="AFE46">
        <v>0</v>
      </c>
      <c r="AFF46">
        <v>0</v>
      </c>
      <c r="AFG46">
        <v>0</v>
      </c>
      <c r="AFH46">
        <v>0</v>
      </c>
      <c r="AFI46">
        <v>0</v>
      </c>
      <c r="AFJ46">
        <v>0</v>
      </c>
      <c r="AFK46">
        <v>0</v>
      </c>
      <c r="AFL46">
        <v>0</v>
      </c>
      <c r="AFM46">
        <v>0</v>
      </c>
      <c r="AFN46">
        <v>0</v>
      </c>
      <c r="AFO46">
        <v>0</v>
      </c>
      <c r="AFP46">
        <v>0</v>
      </c>
      <c r="AFQ46">
        <v>0</v>
      </c>
      <c r="AFR46">
        <v>0</v>
      </c>
      <c r="AFS46">
        <v>0</v>
      </c>
      <c r="AFT46">
        <v>0</v>
      </c>
      <c r="AFU46">
        <v>0</v>
      </c>
      <c r="AFV46">
        <v>0</v>
      </c>
      <c r="AFW46">
        <v>0</v>
      </c>
      <c r="AFX46">
        <v>0</v>
      </c>
      <c r="AFY46">
        <v>0</v>
      </c>
      <c r="AFZ46">
        <v>0</v>
      </c>
      <c r="AGA46">
        <v>0</v>
      </c>
      <c r="AGB46">
        <v>0</v>
      </c>
      <c r="AGC46">
        <v>0</v>
      </c>
      <c r="AGD46">
        <v>0</v>
      </c>
      <c r="AGE46">
        <v>0</v>
      </c>
      <c r="AGF46">
        <v>0</v>
      </c>
      <c r="AGG46">
        <v>0</v>
      </c>
      <c r="AGH46">
        <v>0</v>
      </c>
      <c r="AGI46">
        <v>0</v>
      </c>
      <c r="AGJ46">
        <v>0</v>
      </c>
      <c r="AGK46">
        <v>0</v>
      </c>
      <c r="AGL46">
        <v>0</v>
      </c>
      <c r="AGM46">
        <v>0</v>
      </c>
      <c r="AGN46">
        <v>0</v>
      </c>
      <c r="AGO46">
        <v>0</v>
      </c>
      <c r="AGP46">
        <v>0</v>
      </c>
      <c r="AGQ46">
        <v>0</v>
      </c>
      <c r="AGR46">
        <v>0</v>
      </c>
      <c r="AGS46">
        <v>0</v>
      </c>
      <c r="AGT46">
        <v>0</v>
      </c>
      <c r="AGU46">
        <v>0</v>
      </c>
      <c r="AGV46">
        <v>0</v>
      </c>
      <c r="AGW46">
        <v>0</v>
      </c>
      <c r="AGX46">
        <v>0</v>
      </c>
      <c r="AGY46">
        <v>0</v>
      </c>
      <c r="AGZ46">
        <v>0</v>
      </c>
      <c r="AHA46">
        <v>0</v>
      </c>
      <c r="AHB46">
        <v>0</v>
      </c>
      <c r="AHC46">
        <v>0</v>
      </c>
      <c r="AHD46">
        <v>0</v>
      </c>
      <c r="AHE46">
        <v>0</v>
      </c>
      <c r="AHF46">
        <v>0</v>
      </c>
      <c r="AHG46">
        <v>0</v>
      </c>
      <c r="AHH46">
        <v>0</v>
      </c>
      <c r="AHI46">
        <v>0</v>
      </c>
      <c r="AHJ46">
        <v>0</v>
      </c>
      <c r="AHK46">
        <v>0</v>
      </c>
      <c r="AHL46">
        <v>0</v>
      </c>
      <c r="AHM46">
        <v>0</v>
      </c>
      <c r="AHN46">
        <v>0</v>
      </c>
      <c r="AHO46">
        <v>0</v>
      </c>
      <c r="AHP46">
        <v>0</v>
      </c>
      <c r="AHQ46">
        <v>0</v>
      </c>
      <c r="AHR46">
        <v>0</v>
      </c>
      <c r="AHS46">
        <v>0</v>
      </c>
      <c r="AHT46">
        <v>0</v>
      </c>
      <c r="AHU46">
        <v>0</v>
      </c>
      <c r="AHV46">
        <v>0</v>
      </c>
      <c r="AHW46">
        <v>0</v>
      </c>
      <c r="AHX46">
        <v>0</v>
      </c>
      <c r="AHY46">
        <v>0</v>
      </c>
      <c r="AHZ46">
        <v>-4500</v>
      </c>
      <c r="AIA46">
        <v>0</v>
      </c>
      <c r="AIB46">
        <v>0</v>
      </c>
      <c r="AIC46">
        <v>0</v>
      </c>
      <c r="AID46">
        <v>0</v>
      </c>
      <c r="AIE46">
        <v>0</v>
      </c>
      <c r="AIF46">
        <v>0</v>
      </c>
      <c r="AIG46">
        <v>0</v>
      </c>
      <c r="AIH46">
        <v>0</v>
      </c>
      <c r="AII46">
        <v>0</v>
      </c>
      <c r="AIJ46">
        <v>0</v>
      </c>
      <c r="AIK46">
        <v>0</v>
      </c>
      <c r="AIL46">
        <v>0</v>
      </c>
      <c r="AIM46">
        <v>0</v>
      </c>
      <c r="AIN46">
        <v>0</v>
      </c>
      <c r="AIO46">
        <v>0</v>
      </c>
      <c r="AIP46">
        <v>0</v>
      </c>
      <c r="AIQ46">
        <v>0</v>
      </c>
      <c r="AIR46">
        <v>0</v>
      </c>
      <c r="AIS46">
        <v>0</v>
      </c>
      <c r="AIT46">
        <v>0</v>
      </c>
      <c r="AIU46">
        <v>0</v>
      </c>
      <c r="AIV46">
        <v>0</v>
      </c>
      <c r="AIW46">
        <v>0</v>
      </c>
      <c r="AIX46">
        <v>0</v>
      </c>
      <c r="AIY46">
        <v>0</v>
      </c>
      <c r="AIZ46">
        <v>0</v>
      </c>
      <c r="AJA46">
        <v>0</v>
      </c>
      <c r="AJB46">
        <v>0</v>
      </c>
      <c r="AJC46">
        <v>0</v>
      </c>
      <c r="AJD46">
        <v>0</v>
      </c>
      <c r="AJE46">
        <v>0</v>
      </c>
      <c r="AJF46">
        <v>0</v>
      </c>
      <c r="AJG46">
        <v>0</v>
      </c>
      <c r="AJH46">
        <v>0</v>
      </c>
      <c r="AJI46">
        <v>0</v>
      </c>
      <c r="AJJ46">
        <v>0</v>
      </c>
      <c r="AJK46">
        <v>0</v>
      </c>
      <c r="AJL46">
        <v>0</v>
      </c>
      <c r="AJM46">
        <v>0</v>
      </c>
      <c r="AJN46">
        <v>0</v>
      </c>
      <c r="AJO46">
        <v>0</v>
      </c>
      <c r="AJP46">
        <v>0</v>
      </c>
      <c r="AJQ46">
        <v>0</v>
      </c>
      <c r="AJR46">
        <v>0</v>
      </c>
      <c r="AJS46">
        <v>0</v>
      </c>
      <c r="AJT46">
        <v>0</v>
      </c>
      <c r="AJU46">
        <v>0</v>
      </c>
      <c r="AJV46">
        <v>0</v>
      </c>
      <c r="AJW46">
        <v>0</v>
      </c>
      <c r="AJX46">
        <v>0</v>
      </c>
      <c r="AJY46">
        <v>0</v>
      </c>
    </row>
    <row r="47" spans="1:961" x14ac:dyDescent="0.3">
      <c r="A47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10000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5000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7502.7007999999987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-3390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0</v>
      </c>
      <c r="OU47">
        <v>0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-150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0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</v>
      </c>
      <c r="SD47">
        <v>0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</v>
      </c>
      <c r="TC47">
        <v>0</v>
      </c>
      <c r="TD47">
        <v>0</v>
      </c>
      <c r="TE47">
        <v>0</v>
      </c>
      <c r="TF47">
        <v>0</v>
      </c>
      <c r="TG47">
        <v>-1000</v>
      </c>
      <c r="TH47">
        <v>0</v>
      </c>
      <c r="TI47">
        <v>0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0</v>
      </c>
      <c r="UF47">
        <v>0</v>
      </c>
      <c r="UG47">
        <v>0</v>
      </c>
      <c r="UH47">
        <v>0</v>
      </c>
      <c r="UI47">
        <v>0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0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0</v>
      </c>
      <c r="UZ47">
        <v>0</v>
      </c>
      <c r="VA47">
        <v>0</v>
      </c>
      <c r="VB47">
        <v>0</v>
      </c>
      <c r="VC47">
        <v>0</v>
      </c>
      <c r="VD47">
        <v>0</v>
      </c>
      <c r="VE47">
        <v>0</v>
      </c>
      <c r="VF47">
        <v>0</v>
      </c>
      <c r="VG47">
        <v>0</v>
      </c>
      <c r="VH47">
        <v>0</v>
      </c>
      <c r="VI47">
        <v>0</v>
      </c>
      <c r="VJ47">
        <v>0</v>
      </c>
      <c r="VK47">
        <v>0</v>
      </c>
      <c r="VL47">
        <v>0</v>
      </c>
      <c r="VM47">
        <v>0</v>
      </c>
      <c r="VN47">
        <v>0</v>
      </c>
      <c r="VO47">
        <v>0</v>
      </c>
      <c r="VP47">
        <v>0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</v>
      </c>
      <c r="WE47">
        <v>0</v>
      </c>
      <c r="WF47">
        <v>0</v>
      </c>
      <c r="WG47">
        <v>0</v>
      </c>
      <c r="WH47">
        <v>0</v>
      </c>
      <c r="WI47">
        <v>0</v>
      </c>
      <c r="WJ47">
        <v>0</v>
      </c>
      <c r="WK47">
        <v>0</v>
      </c>
      <c r="WL47">
        <v>0</v>
      </c>
      <c r="WM47">
        <v>0</v>
      </c>
      <c r="WN47">
        <v>0</v>
      </c>
      <c r="WO47">
        <v>0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-5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0</v>
      </c>
      <c r="XP47">
        <v>0</v>
      </c>
      <c r="XQ47">
        <v>0</v>
      </c>
      <c r="XR47">
        <v>0</v>
      </c>
      <c r="XS47">
        <v>0</v>
      </c>
      <c r="XT47">
        <v>0</v>
      </c>
      <c r="XU47">
        <v>0</v>
      </c>
      <c r="XV47">
        <v>0</v>
      </c>
      <c r="XW47">
        <v>0</v>
      </c>
      <c r="XX47">
        <v>0</v>
      </c>
      <c r="XY47">
        <v>0</v>
      </c>
      <c r="XZ47">
        <v>0</v>
      </c>
      <c r="YA47">
        <v>0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0</v>
      </c>
      <c r="YI47">
        <v>0</v>
      </c>
      <c r="YJ47">
        <v>0</v>
      </c>
      <c r="YK47">
        <v>0</v>
      </c>
      <c r="YL47">
        <v>0</v>
      </c>
      <c r="YM47">
        <v>0</v>
      </c>
      <c r="YN47">
        <v>0</v>
      </c>
      <c r="YO47">
        <v>0</v>
      </c>
      <c r="YP47">
        <v>0</v>
      </c>
      <c r="YQ47">
        <v>0</v>
      </c>
      <c r="YR47">
        <v>0</v>
      </c>
      <c r="YS47">
        <v>0</v>
      </c>
      <c r="YT47">
        <v>0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0</v>
      </c>
      <c r="ZK47">
        <v>0</v>
      </c>
      <c r="ZL47">
        <v>0</v>
      </c>
      <c r="ZM47">
        <v>0</v>
      </c>
      <c r="ZN47">
        <v>0</v>
      </c>
      <c r="ZO47">
        <v>0</v>
      </c>
      <c r="ZP47">
        <v>0</v>
      </c>
      <c r="ZQ47">
        <v>0</v>
      </c>
      <c r="ZR47">
        <v>0</v>
      </c>
      <c r="ZS47">
        <v>0</v>
      </c>
      <c r="ZT47">
        <v>0</v>
      </c>
      <c r="ZU47">
        <v>0</v>
      </c>
      <c r="ZV47">
        <v>0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0</v>
      </c>
      <c r="AAI47">
        <v>0</v>
      </c>
      <c r="AAJ47">
        <v>0</v>
      </c>
      <c r="AAK47">
        <v>0</v>
      </c>
      <c r="AAL47">
        <v>0</v>
      </c>
      <c r="AAM47">
        <v>0</v>
      </c>
      <c r="AAN47">
        <v>0</v>
      </c>
      <c r="AAO47">
        <v>0</v>
      </c>
      <c r="AAP47">
        <v>0</v>
      </c>
      <c r="AAQ47">
        <v>-256.16438356164383</v>
      </c>
      <c r="AAR47">
        <v>0</v>
      </c>
      <c r="AAS47">
        <v>0</v>
      </c>
      <c r="AAT47">
        <v>0</v>
      </c>
      <c r="AAU47">
        <v>0</v>
      </c>
      <c r="AAV47">
        <v>0</v>
      </c>
      <c r="AAW47">
        <v>0</v>
      </c>
      <c r="AAX47">
        <v>0</v>
      </c>
      <c r="AAY47">
        <v>0</v>
      </c>
      <c r="AAZ47">
        <v>0</v>
      </c>
      <c r="ABA47">
        <v>0</v>
      </c>
      <c r="ABB47">
        <v>0</v>
      </c>
      <c r="ABC47">
        <v>0</v>
      </c>
      <c r="ABD47">
        <v>0</v>
      </c>
      <c r="ABE47">
        <v>0</v>
      </c>
      <c r="ABF47">
        <v>0</v>
      </c>
      <c r="ABG47">
        <v>0</v>
      </c>
      <c r="ABH47">
        <v>0</v>
      </c>
      <c r="ABI47">
        <v>0</v>
      </c>
      <c r="ABJ47">
        <v>0</v>
      </c>
      <c r="ABK47">
        <v>0</v>
      </c>
      <c r="ABL47">
        <v>0</v>
      </c>
      <c r="ABM47">
        <v>0</v>
      </c>
      <c r="ABN47">
        <v>0</v>
      </c>
      <c r="ABO47">
        <v>0</v>
      </c>
      <c r="ABP47">
        <v>0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0</v>
      </c>
      <c r="ABX47">
        <v>0</v>
      </c>
      <c r="ABY47">
        <v>0</v>
      </c>
      <c r="ABZ47">
        <v>0</v>
      </c>
      <c r="ACA47">
        <v>0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0</v>
      </c>
      <c r="ADB47">
        <v>0</v>
      </c>
      <c r="ADC47">
        <v>0</v>
      </c>
      <c r="ADD47">
        <v>0</v>
      </c>
      <c r="ADE47">
        <v>0</v>
      </c>
      <c r="ADF47">
        <v>0</v>
      </c>
      <c r="ADG47">
        <v>0</v>
      </c>
      <c r="ADH47">
        <v>0</v>
      </c>
      <c r="ADI47">
        <v>0</v>
      </c>
      <c r="ADJ47">
        <v>0</v>
      </c>
      <c r="ADK47">
        <v>0</v>
      </c>
      <c r="ADL47">
        <v>0</v>
      </c>
      <c r="ADM47">
        <v>0</v>
      </c>
      <c r="ADN47">
        <v>0</v>
      </c>
      <c r="ADO47">
        <v>0</v>
      </c>
      <c r="ADP47">
        <v>0</v>
      </c>
      <c r="ADQ47">
        <v>0</v>
      </c>
      <c r="ADR47">
        <v>0</v>
      </c>
      <c r="ADS47">
        <v>0</v>
      </c>
      <c r="ADT47">
        <v>0</v>
      </c>
      <c r="ADU47">
        <v>0</v>
      </c>
      <c r="ADV47">
        <v>0</v>
      </c>
      <c r="ADW47">
        <v>0</v>
      </c>
      <c r="ADX47">
        <v>0</v>
      </c>
      <c r="ADY47">
        <v>0</v>
      </c>
      <c r="ADZ47">
        <v>0</v>
      </c>
      <c r="AEA47">
        <v>0</v>
      </c>
      <c r="AEB47">
        <v>0</v>
      </c>
      <c r="AEC47">
        <v>0</v>
      </c>
      <c r="AED47">
        <v>0</v>
      </c>
      <c r="AEE47">
        <v>0</v>
      </c>
      <c r="AEF47">
        <v>0</v>
      </c>
      <c r="AEG47">
        <v>0</v>
      </c>
      <c r="AEH47">
        <v>0</v>
      </c>
      <c r="AEI47">
        <v>-120</v>
      </c>
      <c r="AEJ47">
        <v>0</v>
      </c>
      <c r="AEK47">
        <v>0</v>
      </c>
      <c r="AEL47">
        <v>0</v>
      </c>
      <c r="AEM47">
        <v>0</v>
      </c>
      <c r="AEN47">
        <v>0</v>
      </c>
      <c r="AEO47">
        <v>0</v>
      </c>
      <c r="AEP47">
        <v>0</v>
      </c>
      <c r="AEQ47">
        <v>0</v>
      </c>
      <c r="AER47">
        <v>0</v>
      </c>
      <c r="AES47">
        <v>0</v>
      </c>
      <c r="AET47">
        <v>0</v>
      </c>
      <c r="AEU47">
        <v>0</v>
      </c>
      <c r="AEV47">
        <v>0</v>
      </c>
      <c r="AEW47">
        <v>0</v>
      </c>
      <c r="AEX47">
        <v>0</v>
      </c>
      <c r="AEY47">
        <v>0</v>
      </c>
      <c r="AEZ47">
        <v>0</v>
      </c>
      <c r="AFA47">
        <v>0</v>
      </c>
      <c r="AFB47">
        <v>0</v>
      </c>
      <c r="AFC47">
        <v>0</v>
      </c>
      <c r="AFD47">
        <v>0</v>
      </c>
      <c r="AFE47">
        <v>0</v>
      </c>
      <c r="AFF47">
        <v>0</v>
      </c>
      <c r="AFG47">
        <v>0</v>
      </c>
      <c r="AFH47">
        <v>0</v>
      </c>
      <c r="AFI47">
        <v>0</v>
      </c>
      <c r="AFJ47">
        <v>0</v>
      </c>
      <c r="AFK47">
        <v>0</v>
      </c>
      <c r="AFL47">
        <v>0</v>
      </c>
      <c r="AFM47">
        <v>0</v>
      </c>
      <c r="AFN47">
        <v>0</v>
      </c>
      <c r="AFO47">
        <v>0</v>
      </c>
      <c r="AFP47">
        <v>0</v>
      </c>
      <c r="AFQ47">
        <v>0</v>
      </c>
      <c r="AFR47">
        <v>0</v>
      </c>
      <c r="AFS47">
        <v>0</v>
      </c>
      <c r="AFT47">
        <v>0</v>
      </c>
      <c r="AFU47">
        <v>0</v>
      </c>
      <c r="AFV47">
        <v>0</v>
      </c>
      <c r="AFW47">
        <v>0</v>
      </c>
      <c r="AFX47">
        <v>0</v>
      </c>
      <c r="AFY47">
        <v>0</v>
      </c>
      <c r="AFZ47">
        <v>0</v>
      </c>
      <c r="AGA47">
        <v>0</v>
      </c>
      <c r="AGB47">
        <v>0</v>
      </c>
      <c r="AGC47">
        <v>0</v>
      </c>
      <c r="AGD47">
        <v>0</v>
      </c>
      <c r="AGE47">
        <v>0</v>
      </c>
      <c r="AGF47">
        <v>0</v>
      </c>
      <c r="AGG47">
        <v>0</v>
      </c>
      <c r="AGH47">
        <v>0</v>
      </c>
      <c r="AGI47">
        <v>0</v>
      </c>
      <c r="AGJ47">
        <v>0</v>
      </c>
      <c r="AGK47">
        <v>0</v>
      </c>
      <c r="AGL47">
        <v>0</v>
      </c>
      <c r="AGM47">
        <v>0</v>
      </c>
      <c r="AGN47">
        <v>0</v>
      </c>
      <c r="AGO47">
        <v>0</v>
      </c>
      <c r="AGP47">
        <v>0</v>
      </c>
      <c r="AGQ47">
        <v>0</v>
      </c>
      <c r="AGR47">
        <v>0</v>
      </c>
      <c r="AGS47">
        <v>0</v>
      </c>
      <c r="AGT47">
        <v>0</v>
      </c>
      <c r="AGU47">
        <v>0</v>
      </c>
      <c r="AGV47">
        <v>0</v>
      </c>
      <c r="AGW47">
        <v>0</v>
      </c>
      <c r="AGX47">
        <v>0</v>
      </c>
      <c r="AGY47">
        <v>0</v>
      </c>
      <c r="AGZ47">
        <v>0</v>
      </c>
      <c r="AHA47">
        <v>0</v>
      </c>
      <c r="AHB47">
        <v>0</v>
      </c>
      <c r="AHC47">
        <v>0</v>
      </c>
      <c r="AHD47">
        <v>0</v>
      </c>
      <c r="AHE47">
        <v>0</v>
      </c>
      <c r="AHF47">
        <v>0</v>
      </c>
      <c r="AHG47">
        <v>0</v>
      </c>
      <c r="AHH47">
        <v>0</v>
      </c>
      <c r="AHI47">
        <v>0</v>
      </c>
      <c r="AHJ47">
        <v>0</v>
      </c>
      <c r="AHK47">
        <v>0</v>
      </c>
      <c r="AHL47">
        <v>0</v>
      </c>
      <c r="AHM47">
        <v>0</v>
      </c>
      <c r="AHN47">
        <v>0</v>
      </c>
      <c r="AHO47">
        <v>0</v>
      </c>
      <c r="AHP47">
        <v>0</v>
      </c>
      <c r="AHQ47">
        <v>0</v>
      </c>
      <c r="AHR47">
        <v>0</v>
      </c>
      <c r="AHS47">
        <v>0</v>
      </c>
      <c r="AHT47">
        <v>0</v>
      </c>
      <c r="AHU47">
        <v>0</v>
      </c>
      <c r="AHV47">
        <v>0</v>
      </c>
      <c r="AHW47">
        <v>0</v>
      </c>
      <c r="AHX47">
        <v>0</v>
      </c>
      <c r="AHY47">
        <v>0</v>
      </c>
      <c r="AHZ47">
        <v>0</v>
      </c>
      <c r="AIA47">
        <v>-4500</v>
      </c>
      <c r="AIB47">
        <v>0</v>
      </c>
      <c r="AIC47">
        <v>0</v>
      </c>
      <c r="AID47">
        <v>0</v>
      </c>
      <c r="AIE47">
        <v>0</v>
      </c>
      <c r="AIF47">
        <v>0</v>
      </c>
      <c r="AIG47">
        <v>0</v>
      </c>
      <c r="AIH47">
        <v>0</v>
      </c>
      <c r="AII47">
        <v>0</v>
      </c>
      <c r="AIJ47">
        <v>0</v>
      </c>
      <c r="AIK47">
        <v>0</v>
      </c>
      <c r="AIL47">
        <v>0</v>
      </c>
      <c r="AIM47">
        <v>0</v>
      </c>
      <c r="AIN47">
        <v>0</v>
      </c>
      <c r="AIO47">
        <v>0</v>
      </c>
      <c r="AIP47">
        <v>0</v>
      </c>
      <c r="AIQ47">
        <v>0</v>
      </c>
      <c r="AIR47">
        <v>0</v>
      </c>
      <c r="AIS47">
        <v>0</v>
      </c>
      <c r="AIT47">
        <v>0</v>
      </c>
      <c r="AIU47">
        <v>0</v>
      </c>
      <c r="AIV47">
        <v>0</v>
      </c>
      <c r="AIW47">
        <v>0</v>
      </c>
      <c r="AIX47">
        <v>0</v>
      </c>
      <c r="AIY47">
        <v>0</v>
      </c>
      <c r="AIZ47">
        <v>0</v>
      </c>
      <c r="AJA47">
        <v>0</v>
      </c>
      <c r="AJB47">
        <v>0</v>
      </c>
      <c r="AJC47">
        <v>0</v>
      </c>
      <c r="AJD47">
        <v>0</v>
      </c>
      <c r="AJE47">
        <v>0</v>
      </c>
      <c r="AJF47">
        <v>0</v>
      </c>
      <c r="AJG47">
        <v>0</v>
      </c>
      <c r="AJH47">
        <v>0</v>
      </c>
      <c r="AJI47">
        <v>0</v>
      </c>
      <c r="AJJ47">
        <v>0</v>
      </c>
      <c r="AJK47">
        <v>0</v>
      </c>
      <c r="AJL47">
        <v>0</v>
      </c>
      <c r="AJM47">
        <v>0</v>
      </c>
      <c r="AJN47">
        <v>0</v>
      </c>
      <c r="AJO47">
        <v>0</v>
      </c>
      <c r="AJP47">
        <v>0</v>
      </c>
      <c r="AJQ47">
        <v>0</v>
      </c>
      <c r="AJR47">
        <v>0</v>
      </c>
      <c r="AJS47">
        <v>0</v>
      </c>
      <c r="AJT47">
        <v>0</v>
      </c>
      <c r="AJU47">
        <v>0</v>
      </c>
      <c r="AJV47">
        <v>0</v>
      </c>
      <c r="AJW47">
        <v>0</v>
      </c>
      <c r="AJX47">
        <v>0</v>
      </c>
      <c r="AJY47">
        <v>0</v>
      </c>
    </row>
    <row r="48" spans="1:961" x14ac:dyDescent="0.3">
      <c r="A48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10000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5000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7502.7007999999987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-3390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0</v>
      </c>
      <c r="PP48">
        <v>-150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0</v>
      </c>
      <c r="TD48">
        <v>0</v>
      </c>
      <c r="TE48">
        <v>0</v>
      </c>
      <c r="TF48">
        <v>0</v>
      </c>
      <c r="TG48">
        <v>0</v>
      </c>
      <c r="TH48">
        <v>-1000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0</v>
      </c>
      <c r="UG48">
        <v>0</v>
      </c>
      <c r="UH48">
        <v>0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0</v>
      </c>
      <c r="VI48">
        <v>0</v>
      </c>
      <c r="VJ48">
        <v>0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0</v>
      </c>
      <c r="WA48">
        <v>0</v>
      </c>
      <c r="WB48">
        <v>0</v>
      </c>
      <c r="WC48">
        <v>0</v>
      </c>
      <c r="WD48">
        <v>0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0</v>
      </c>
      <c r="WK48">
        <v>0</v>
      </c>
      <c r="WL48">
        <v>0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-5</v>
      </c>
      <c r="XA48">
        <v>0</v>
      </c>
      <c r="XB48">
        <v>0</v>
      </c>
      <c r="XC48">
        <v>0</v>
      </c>
      <c r="XD48">
        <v>0</v>
      </c>
      <c r="XE48">
        <v>0</v>
      </c>
      <c r="XF48">
        <v>0</v>
      </c>
      <c r="XG48">
        <v>0</v>
      </c>
      <c r="XH48">
        <v>0</v>
      </c>
      <c r="XI48">
        <v>0</v>
      </c>
      <c r="XJ48">
        <v>0</v>
      </c>
      <c r="XK48">
        <v>0</v>
      </c>
      <c r="XL48">
        <v>0</v>
      </c>
      <c r="XM48">
        <v>0</v>
      </c>
      <c r="XN48">
        <v>0</v>
      </c>
      <c r="XO48">
        <v>0</v>
      </c>
      <c r="XP48">
        <v>0</v>
      </c>
      <c r="XQ48">
        <v>0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0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0</v>
      </c>
      <c r="YF48">
        <v>0</v>
      </c>
      <c r="YG48">
        <v>0</v>
      </c>
      <c r="YH48">
        <v>0</v>
      </c>
      <c r="YI48">
        <v>0</v>
      </c>
      <c r="YJ48">
        <v>0</v>
      </c>
      <c r="YK48">
        <v>0</v>
      </c>
      <c r="YL48">
        <v>0</v>
      </c>
      <c r="YM48">
        <v>0</v>
      </c>
      <c r="YN48">
        <v>0</v>
      </c>
      <c r="YO48">
        <v>0</v>
      </c>
      <c r="YP48">
        <v>0</v>
      </c>
      <c r="YQ48">
        <v>0</v>
      </c>
      <c r="YR48">
        <v>0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0</v>
      </c>
      <c r="ZI48">
        <v>0</v>
      </c>
      <c r="ZJ48">
        <v>0</v>
      </c>
      <c r="ZK48">
        <v>0</v>
      </c>
      <c r="ZL48">
        <v>0</v>
      </c>
      <c r="ZM48">
        <v>0</v>
      </c>
      <c r="ZN48">
        <v>0</v>
      </c>
      <c r="ZO48">
        <v>0</v>
      </c>
      <c r="ZP48">
        <v>0</v>
      </c>
      <c r="ZQ48">
        <v>0</v>
      </c>
      <c r="ZR48">
        <v>0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0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-256.16438356164383</v>
      </c>
      <c r="AAS48">
        <v>0</v>
      </c>
      <c r="AAT48">
        <v>0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0</v>
      </c>
      <c r="ABD48">
        <v>0</v>
      </c>
      <c r="ABE48">
        <v>0</v>
      </c>
      <c r="ABF48">
        <v>0</v>
      </c>
      <c r="ABG48">
        <v>0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0</v>
      </c>
      <c r="ABN48">
        <v>0</v>
      </c>
      <c r="ABO48">
        <v>0</v>
      </c>
      <c r="ABP48">
        <v>0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0</v>
      </c>
      <c r="ABW48">
        <v>0</v>
      </c>
      <c r="ABX48">
        <v>0</v>
      </c>
      <c r="ABY48">
        <v>0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  <c r="ADF48">
        <v>0</v>
      </c>
      <c r="ADG48">
        <v>0</v>
      </c>
      <c r="ADH48">
        <v>0</v>
      </c>
      <c r="ADI48">
        <v>0</v>
      </c>
      <c r="ADJ48">
        <v>0</v>
      </c>
      <c r="ADK48">
        <v>0</v>
      </c>
      <c r="ADL48">
        <v>0</v>
      </c>
      <c r="ADM48">
        <v>0</v>
      </c>
      <c r="ADN48">
        <v>0</v>
      </c>
      <c r="ADO48">
        <v>0</v>
      </c>
      <c r="ADP48">
        <v>0</v>
      </c>
      <c r="ADQ48">
        <v>0</v>
      </c>
      <c r="ADR48">
        <v>0</v>
      </c>
      <c r="ADS48">
        <v>0</v>
      </c>
      <c r="ADT48">
        <v>0</v>
      </c>
      <c r="ADU48">
        <v>0</v>
      </c>
      <c r="ADV48">
        <v>0</v>
      </c>
      <c r="ADW48">
        <v>0</v>
      </c>
      <c r="ADX48">
        <v>0</v>
      </c>
      <c r="ADY48">
        <v>0</v>
      </c>
      <c r="ADZ48">
        <v>0</v>
      </c>
      <c r="AEA48">
        <v>0</v>
      </c>
      <c r="AEB48">
        <v>0</v>
      </c>
      <c r="AEC48">
        <v>0</v>
      </c>
      <c r="AED48">
        <v>0</v>
      </c>
      <c r="AEE48">
        <v>0</v>
      </c>
      <c r="AEF48">
        <v>0</v>
      </c>
      <c r="AEG48">
        <v>0</v>
      </c>
      <c r="AEH48">
        <v>0</v>
      </c>
      <c r="AEI48">
        <v>0</v>
      </c>
      <c r="AEJ48">
        <v>-120</v>
      </c>
      <c r="AEK48">
        <v>0</v>
      </c>
      <c r="AEL48">
        <v>0</v>
      </c>
      <c r="AEM48">
        <v>0</v>
      </c>
      <c r="AEN48">
        <v>0</v>
      </c>
      <c r="AEO48">
        <v>0</v>
      </c>
      <c r="AEP48">
        <v>0</v>
      </c>
      <c r="AEQ48">
        <v>0</v>
      </c>
      <c r="AER48">
        <v>0</v>
      </c>
      <c r="AES48">
        <v>0</v>
      </c>
      <c r="AET48">
        <v>0</v>
      </c>
      <c r="AEU48">
        <v>0</v>
      </c>
      <c r="AEV48">
        <v>0</v>
      </c>
      <c r="AEW48">
        <v>0</v>
      </c>
      <c r="AEX48">
        <v>0</v>
      </c>
      <c r="AEY48">
        <v>0</v>
      </c>
      <c r="AEZ48">
        <v>0</v>
      </c>
      <c r="AFA48">
        <v>0</v>
      </c>
      <c r="AFB48">
        <v>0</v>
      </c>
      <c r="AFC48">
        <v>0</v>
      </c>
      <c r="AFD48">
        <v>0</v>
      </c>
      <c r="AFE48">
        <v>0</v>
      </c>
      <c r="AFF48">
        <v>0</v>
      </c>
      <c r="AFG48">
        <v>0</v>
      </c>
      <c r="AFH48">
        <v>0</v>
      </c>
      <c r="AFI48">
        <v>0</v>
      </c>
      <c r="AFJ48">
        <v>0</v>
      </c>
      <c r="AFK48">
        <v>0</v>
      </c>
      <c r="AFL48">
        <v>0</v>
      </c>
      <c r="AFM48">
        <v>0</v>
      </c>
      <c r="AFN48">
        <v>0</v>
      </c>
      <c r="AFO48">
        <v>0</v>
      </c>
      <c r="AFP48">
        <v>0</v>
      </c>
      <c r="AFQ48">
        <v>0</v>
      </c>
      <c r="AFR48">
        <v>0</v>
      </c>
      <c r="AFS48">
        <v>0</v>
      </c>
      <c r="AFT48">
        <v>0</v>
      </c>
      <c r="AFU48">
        <v>0</v>
      </c>
      <c r="AFV48">
        <v>0</v>
      </c>
      <c r="AFW48">
        <v>0</v>
      </c>
      <c r="AFX48">
        <v>0</v>
      </c>
      <c r="AFY48">
        <v>0</v>
      </c>
      <c r="AFZ48">
        <v>0</v>
      </c>
      <c r="AGA48">
        <v>0</v>
      </c>
      <c r="AGB48">
        <v>0</v>
      </c>
      <c r="AGC48">
        <v>0</v>
      </c>
      <c r="AGD48">
        <v>0</v>
      </c>
      <c r="AGE48">
        <v>0</v>
      </c>
      <c r="AGF48">
        <v>0</v>
      </c>
      <c r="AGG48">
        <v>0</v>
      </c>
      <c r="AGH48">
        <v>0</v>
      </c>
      <c r="AGI48">
        <v>0</v>
      </c>
      <c r="AGJ48">
        <v>0</v>
      </c>
      <c r="AGK48">
        <v>0</v>
      </c>
      <c r="AGL48">
        <v>0</v>
      </c>
      <c r="AGM48">
        <v>0</v>
      </c>
      <c r="AGN48">
        <v>0</v>
      </c>
      <c r="AGO48">
        <v>0</v>
      </c>
      <c r="AGP48">
        <v>0</v>
      </c>
      <c r="AGQ48">
        <v>0</v>
      </c>
      <c r="AGR48">
        <v>0</v>
      </c>
      <c r="AGS48">
        <v>0</v>
      </c>
      <c r="AGT48">
        <v>0</v>
      </c>
      <c r="AGU48">
        <v>0</v>
      </c>
      <c r="AGV48">
        <v>0</v>
      </c>
      <c r="AGW48">
        <v>0</v>
      </c>
      <c r="AGX48">
        <v>0</v>
      </c>
      <c r="AGY48">
        <v>0</v>
      </c>
      <c r="AGZ48">
        <v>0</v>
      </c>
      <c r="AHA48">
        <v>0</v>
      </c>
      <c r="AHB48">
        <v>0</v>
      </c>
      <c r="AHC48">
        <v>0</v>
      </c>
      <c r="AHD48">
        <v>0</v>
      </c>
      <c r="AHE48">
        <v>0</v>
      </c>
      <c r="AHF48">
        <v>0</v>
      </c>
      <c r="AHG48">
        <v>0</v>
      </c>
      <c r="AHH48">
        <v>0</v>
      </c>
      <c r="AHI48">
        <v>0</v>
      </c>
      <c r="AHJ48">
        <v>0</v>
      </c>
      <c r="AHK48">
        <v>0</v>
      </c>
      <c r="AHL48">
        <v>0</v>
      </c>
      <c r="AHM48">
        <v>0</v>
      </c>
      <c r="AHN48">
        <v>0</v>
      </c>
      <c r="AHO48">
        <v>0</v>
      </c>
      <c r="AHP48">
        <v>0</v>
      </c>
      <c r="AHQ48">
        <v>0</v>
      </c>
      <c r="AHR48">
        <v>0</v>
      </c>
      <c r="AHS48">
        <v>0</v>
      </c>
      <c r="AHT48">
        <v>0</v>
      </c>
      <c r="AHU48">
        <v>0</v>
      </c>
      <c r="AHV48">
        <v>0</v>
      </c>
      <c r="AHW48">
        <v>0</v>
      </c>
      <c r="AHX48">
        <v>0</v>
      </c>
      <c r="AHY48">
        <v>0</v>
      </c>
      <c r="AHZ48">
        <v>0</v>
      </c>
      <c r="AIA48">
        <v>0</v>
      </c>
      <c r="AIB48">
        <v>-4500</v>
      </c>
      <c r="AIC48">
        <v>0</v>
      </c>
      <c r="AID48">
        <v>0</v>
      </c>
      <c r="AIE48">
        <v>0</v>
      </c>
      <c r="AIF48">
        <v>0</v>
      </c>
      <c r="AIG48">
        <v>0</v>
      </c>
      <c r="AIH48">
        <v>0</v>
      </c>
      <c r="AII48">
        <v>0</v>
      </c>
      <c r="AIJ48">
        <v>0</v>
      </c>
      <c r="AIK48">
        <v>0</v>
      </c>
      <c r="AIL48">
        <v>0</v>
      </c>
      <c r="AIM48">
        <v>0</v>
      </c>
      <c r="AIN48">
        <v>0</v>
      </c>
      <c r="AIO48">
        <v>0</v>
      </c>
      <c r="AIP48">
        <v>0</v>
      </c>
      <c r="AIQ48">
        <v>0</v>
      </c>
      <c r="AIR48">
        <v>0</v>
      </c>
      <c r="AIS48">
        <v>0</v>
      </c>
      <c r="AIT48">
        <v>0</v>
      </c>
      <c r="AIU48">
        <v>0</v>
      </c>
      <c r="AIV48">
        <v>0</v>
      </c>
      <c r="AIW48">
        <v>0</v>
      </c>
      <c r="AIX48">
        <v>0</v>
      </c>
      <c r="AIY48">
        <v>0</v>
      </c>
      <c r="AIZ48">
        <v>0</v>
      </c>
      <c r="AJA48">
        <v>0</v>
      </c>
      <c r="AJB48">
        <v>0</v>
      </c>
      <c r="AJC48">
        <v>0</v>
      </c>
      <c r="AJD48">
        <v>0</v>
      </c>
      <c r="AJE48">
        <v>0</v>
      </c>
      <c r="AJF48">
        <v>0</v>
      </c>
      <c r="AJG48">
        <v>0</v>
      </c>
      <c r="AJH48">
        <v>0</v>
      </c>
      <c r="AJI48">
        <v>0</v>
      </c>
      <c r="AJJ48">
        <v>0</v>
      </c>
      <c r="AJK48">
        <v>0</v>
      </c>
      <c r="AJL48">
        <v>0</v>
      </c>
      <c r="AJM48">
        <v>0</v>
      </c>
      <c r="AJN48">
        <v>0</v>
      </c>
      <c r="AJO48">
        <v>0</v>
      </c>
      <c r="AJP48">
        <v>0</v>
      </c>
      <c r="AJQ48">
        <v>0</v>
      </c>
      <c r="AJR48">
        <v>0</v>
      </c>
      <c r="AJS48">
        <v>0</v>
      </c>
      <c r="AJT48">
        <v>0</v>
      </c>
      <c r="AJU48">
        <v>0</v>
      </c>
      <c r="AJV48">
        <v>0</v>
      </c>
      <c r="AJW48">
        <v>0</v>
      </c>
      <c r="AJX48">
        <v>0</v>
      </c>
      <c r="AJY48">
        <v>0</v>
      </c>
    </row>
    <row r="49" spans="1:961" x14ac:dyDescent="0.3">
      <c r="A49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10000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5000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7502.7007999999987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-3390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-150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</v>
      </c>
      <c r="SF49">
        <v>0</v>
      </c>
      <c r="SG49">
        <v>0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-1000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0</v>
      </c>
      <c r="UD49">
        <v>0</v>
      </c>
      <c r="UE49">
        <v>0</v>
      </c>
      <c r="UF49">
        <v>0</v>
      </c>
      <c r="UG49">
        <v>0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0</v>
      </c>
      <c r="VE49">
        <v>0</v>
      </c>
      <c r="VF49">
        <v>0</v>
      </c>
      <c r="VG49">
        <v>0</v>
      </c>
      <c r="VH49">
        <v>0</v>
      </c>
      <c r="VI49">
        <v>0</v>
      </c>
      <c r="VJ49">
        <v>0</v>
      </c>
      <c r="VK49">
        <v>0</v>
      </c>
      <c r="VL49">
        <v>0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0</v>
      </c>
      <c r="WG49">
        <v>0</v>
      </c>
      <c r="WH49">
        <v>0</v>
      </c>
      <c r="WI49">
        <v>0</v>
      </c>
      <c r="WJ49">
        <v>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-5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0</v>
      </c>
      <c r="XI49">
        <v>0</v>
      </c>
      <c r="XJ49">
        <v>0</v>
      </c>
      <c r="XK49">
        <v>0</v>
      </c>
      <c r="XL49">
        <v>0</v>
      </c>
      <c r="XM49">
        <v>0</v>
      </c>
      <c r="XN49">
        <v>0</v>
      </c>
      <c r="XO49">
        <v>0</v>
      </c>
      <c r="XP49">
        <v>0</v>
      </c>
      <c r="XQ49">
        <v>0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0</v>
      </c>
      <c r="YD49">
        <v>0</v>
      </c>
      <c r="YE49">
        <v>0</v>
      </c>
      <c r="YF49">
        <v>0</v>
      </c>
      <c r="YG49">
        <v>0</v>
      </c>
      <c r="YH49">
        <v>0</v>
      </c>
      <c r="YI49">
        <v>0</v>
      </c>
      <c r="YJ49">
        <v>0</v>
      </c>
      <c r="YK49">
        <v>0</v>
      </c>
      <c r="YL49">
        <v>0</v>
      </c>
      <c r="YM49">
        <v>0</v>
      </c>
      <c r="YN49">
        <v>0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0</v>
      </c>
      <c r="ZF49">
        <v>0</v>
      </c>
      <c r="ZG49">
        <v>0</v>
      </c>
      <c r="ZH49">
        <v>0</v>
      </c>
      <c r="ZI49">
        <v>0</v>
      </c>
      <c r="ZJ49">
        <v>0</v>
      </c>
      <c r="ZK49">
        <v>0</v>
      </c>
      <c r="ZL49">
        <v>0</v>
      </c>
      <c r="ZM49">
        <v>0</v>
      </c>
      <c r="ZN49">
        <v>0</v>
      </c>
      <c r="ZO49">
        <v>0</v>
      </c>
      <c r="ZP49">
        <v>0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0</v>
      </c>
      <c r="ZY49">
        <v>0</v>
      </c>
      <c r="ZZ49">
        <v>0</v>
      </c>
      <c r="AAA49">
        <v>0</v>
      </c>
      <c r="AAB49">
        <v>0</v>
      </c>
      <c r="AAC49">
        <v>0</v>
      </c>
      <c r="AAD49">
        <v>0</v>
      </c>
      <c r="AAE49">
        <v>0</v>
      </c>
      <c r="AAF49">
        <v>0</v>
      </c>
      <c r="AAG49">
        <v>0</v>
      </c>
      <c r="AAH49">
        <v>0</v>
      </c>
      <c r="AAI49">
        <v>0</v>
      </c>
      <c r="AAJ49">
        <v>0</v>
      </c>
      <c r="AAK49">
        <v>0</v>
      </c>
      <c r="AAL49">
        <v>0</v>
      </c>
      <c r="AAM49">
        <v>0</v>
      </c>
      <c r="AAN49">
        <v>0</v>
      </c>
      <c r="AAO49">
        <v>0</v>
      </c>
      <c r="AAP49">
        <v>0</v>
      </c>
      <c r="AAQ49">
        <v>0</v>
      </c>
      <c r="AAR49">
        <v>0</v>
      </c>
      <c r="AAS49">
        <v>-256.16438356164383</v>
      </c>
      <c r="AAT49">
        <v>0</v>
      </c>
      <c r="AAU49">
        <v>0</v>
      </c>
      <c r="AAV49">
        <v>0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0</v>
      </c>
      <c r="ABG49">
        <v>0</v>
      </c>
      <c r="ABH49">
        <v>0</v>
      </c>
      <c r="ABI49">
        <v>0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0</v>
      </c>
      <c r="ABP49">
        <v>0</v>
      </c>
      <c r="ABQ49">
        <v>0</v>
      </c>
      <c r="ABR49">
        <v>0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0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  <c r="ADF49">
        <v>0</v>
      </c>
      <c r="ADG49">
        <v>0</v>
      </c>
      <c r="ADH49">
        <v>0</v>
      </c>
      <c r="ADI49">
        <v>0</v>
      </c>
      <c r="ADJ49">
        <v>0</v>
      </c>
      <c r="ADK49">
        <v>0</v>
      </c>
      <c r="ADL49">
        <v>0</v>
      </c>
      <c r="ADM49">
        <v>0</v>
      </c>
      <c r="ADN49">
        <v>0</v>
      </c>
      <c r="ADO49">
        <v>0</v>
      </c>
      <c r="ADP49">
        <v>0</v>
      </c>
      <c r="ADQ49">
        <v>0</v>
      </c>
      <c r="ADR49">
        <v>0</v>
      </c>
      <c r="ADS49">
        <v>0</v>
      </c>
      <c r="ADT49">
        <v>0</v>
      </c>
      <c r="ADU49">
        <v>0</v>
      </c>
      <c r="ADV49">
        <v>0</v>
      </c>
      <c r="ADW49">
        <v>0</v>
      </c>
      <c r="ADX49">
        <v>0</v>
      </c>
      <c r="ADY49">
        <v>0</v>
      </c>
      <c r="ADZ49">
        <v>0</v>
      </c>
      <c r="AEA49">
        <v>0</v>
      </c>
      <c r="AEB49">
        <v>0</v>
      </c>
      <c r="AEC49">
        <v>0</v>
      </c>
      <c r="AED49">
        <v>0</v>
      </c>
      <c r="AEE49">
        <v>0</v>
      </c>
      <c r="AEF49">
        <v>0</v>
      </c>
      <c r="AEG49">
        <v>0</v>
      </c>
      <c r="AEH49">
        <v>0</v>
      </c>
      <c r="AEI49">
        <v>0</v>
      </c>
      <c r="AEJ49">
        <v>0</v>
      </c>
      <c r="AEK49">
        <v>-120</v>
      </c>
      <c r="AEL49">
        <v>0</v>
      </c>
      <c r="AEM49">
        <v>0</v>
      </c>
      <c r="AEN49">
        <v>0</v>
      </c>
      <c r="AEO49">
        <v>0</v>
      </c>
      <c r="AEP49">
        <v>0</v>
      </c>
      <c r="AEQ49">
        <v>0</v>
      </c>
      <c r="AER49">
        <v>0</v>
      </c>
      <c r="AES49">
        <v>0</v>
      </c>
      <c r="AET49">
        <v>0</v>
      </c>
      <c r="AEU49">
        <v>0</v>
      </c>
      <c r="AEV49">
        <v>0</v>
      </c>
      <c r="AEW49">
        <v>0</v>
      </c>
      <c r="AEX49">
        <v>0</v>
      </c>
      <c r="AEY49">
        <v>0</v>
      </c>
      <c r="AEZ49">
        <v>0</v>
      </c>
      <c r="AFA49">
        <v>0</v>
      </c>
      <c r="AFB49">
        <v>0</v>
      </c>
      <c r="AFC49">
        <v>0</v>
      </c>
      <c r="AFD49">
        <v>0</v>
      </c>
      <c r="AFE49">
        <v>0</v>
      </c>
      <c r="AFF49">
        <v>0</v>
      </c>
      <c r="AFG49">
        <v>0</v>
      </c>
      <c r="AFH49">
        <v>0</v>
      </c>
      <c r="AFI49">
        <v>0</v>
      </c>
      <c r="AFJ49">
        <v>0</v>
      </c>
      <c r="AFK49">
        <v>0</v>
      </c>
      <c r="AFL49">
        <v>0</v>
      </c>
      <c r="AFM49">
        <v>0</v>
      </c>
      <c r="AFN49">
        <v>0</v>
      </c>
      <c r="AFO49">
        <v>0</v>
      </c>
      <c r="AFP49">
        <v>0</v>
      </c>
      <c r="AFQ49">
        <v>0</v>
      </c>
      <c r="AFR49">
        <v>0</v>
      </c>
      <c r="AFS49">
        <v>0</v>
      </c>
      <c r="AFT49">
        <v>0</v>
      </c>
      <c r="AFU49">
        <v>0</v>
      </c>
      <c r="AFV49">
        <v>0</v>
      </c>
      <c r="AFW49">
        <v>0</v>
      </c>
      <c r="AFX49">
        <v>0</v>
      </c>
      <c r="AFY49">
        <v>0</v>
      </c>
      <c r="AFZ49">
        <v>0</v>
      </c>
      <c r="AGA49">
        <v>0</v>
      </c>
      <c r="AGB49">
        <v>0</v>
      </c>
      <c r="AGC49">
        <v>0</v>
      </c>
      <c r="AGD49">
        <v>0</v>
      </c>
      <c r="AGE49">
        <v>0</v>
      </c>
      <c r="AGF49">
        <v>0</v>
      </c>
      <c r="AGG49">
        <v>0</v>
      </c>
      <c r="AGH49">
        <v>0</v>
      </c>
      <c r="AGI49">
        <v>0</v>
      </c>
      <c r="AGJ49">
        <v>0</v>
      </c>
      <c r="AGK49">
        <v>0</v>
      </c>
      <c r="AGL49">
        <v>0</v>
      </c>
      <c r="AGM49">
        <v>0</v>
      </c>
      <c r="AGN49">
        <v>0</v>
      </c>
      <c r="AGO49">
        <v>0</v>
      </c>
      <c r="AGP49">
        <v>0</v>
      </c>
      <c r="AGQ49">
        <v>0</v>
      </c>
      <c r="AGR49">
        <v>0</v>
      </c>
      <c r="AGS49">
        <v>0</v>
      </c>
      <c r="AGT49">
        <v>0</v>
      </c>
      <c r="AGU49">
        <v>0</v>
      </c>
      <c r="AGV49">
        <v>0</v>
      </c>
      <c r="AGW49">
        <v>0</v>
      </c>
      <c r="AGX49">
        <v>0</v>
      </c>
      <c r="AGY49">
        <v>0</v>
      </c>
      <c r="AGZ49">
        <v>0</v>
      </c>
      <c r="AHA49">
        <v>0</v>
      </c>
      <c r="AHB49">
        <v>0</v>
      </c>
      <c r="AHC49">
        <v>0</v>
      </c>
      <c r="AHD49">
        <v>0</v>
      </c>
      <c r="AHE49">
        <v>0</v>
      </c>
      <c r="AHF49">
        <v>0</v>
      </c>
      <c r="AHG49">
        <v>0</v>
      </c>
      <c r="AHH49">
        <v>0</v>
      </c>
      <c r="AHI49">
        <v>0</v>
      </c>
      <c r="AHJ49">
        <v>0</v>
      </c>
      <c r="AHK49">
        <v>0</v>
      </c>
      <c r="AHL49">
        <v>0</v>
      </c>
      <c r="AHM49">
        <v>0</v>
      </c>
      <c r="AHN49">
        <v>0</v>
      </c>
      <c r="AHO49">
        <v>0</v>
      </c>
      <c r="AHP49">
        <v>0</v>
      </c>
      <c r="AHQ49">
        <v>0</v>
      </c>
      <c r="AHR49">
        <v>0</v>
      </c>
      <c r="AHS49">
        <v>0</v>
      </c>
      <c r="AHT49">
        <v>0</v>
      </c>
      <c r="AHU49">
        <v>0</v>
      </c>
      <c r="AHV49">
        <v>0</v>
      </c>
      <c r="AHW49">
        <v>0</v>
      </c>
      <c r="AHX49">
        <v>0</v>
      </c>
      <c r="AHY49">
        <v>0</v>
      </c>
      <c r="AHZ49">
        <v>0</v>
      </c>
      <c r="AIA49">
        <v>0</v>
      </c>
      <c r="AIB49">
        <v>0</v>
      </c>
      <c r="AIC49">
        <v>-4500</v>
      </c>
      <c r="AID49">
        <v>0</v>
      </c>
      <c r="AIE49">
        <v>0</v>
      </c>
      <c r="AIF49">
        <v>0</v>
      </c>
      <c r="AIG49">
        <v>0</v>
      </c>
      <c r="AIH49">
        <v>0</v>
      </c>
      <c r="AII49">
        <v>0</v>
      </c>
      <c r="AIJ49">
        <v>0</v>
      </c>
      <c r="AIK49">
        <v>0</v>
      </c>
      <c r="AIL49">
        <v>0</v>
      </c>
      <c r="AIM49">
        <v>0</v>
      </c>
      <c r="AIN49">
        <v>0</v>
      </c>
      <c r="AIO49">
        <v>0</v>
      </c>
      <c r="AIP49">
        <v>0</v>
      </c>
      <c r="AIQ49">
        <v>0</v>
      </c>
      <c r="AIR49">
        <v>0</v>
      </c>
      <c r="AIS49">
        <v>0</v>
      </c>
      <c r="AIT49">
        <v>0</v>
      </c>
      <c r="AIU49">
        <v>0</v>
      </c>
      <c r="AIV49">
        <v>0</v>
      </c>
      <c r="AIW49">
        <v>0</v>
      </c>
      <c r="AIX49">
        <v>0</v>
      </c>
      <c r="AIY49">
        <v>0</v>
      </c>
      <c r="AIZ49">
        <v>0</v>
      </c>
      <c r="AJA49">
        <v>0</v>
      </c>
      <c r="AJB49">
        <v>0</v>
      </c>
      <c r="AJC49">
        <v>0</v>
      </c>
      <c r="AJD49">
        <v>0</v>
      </c>
      <c r="AJE49">
        <v>0</v>
      </c>
      <c r="AJF49">
        <v>0</v>
      </c>
      <c r="AJG49">
        <v>0</v>
      </c>
      <c r="AJH49">
        <v>0</v>
      </c>
      <c r="AJI49">
        <v>0</v>
      </c>
      <c r="AJJ49">
        <v>0</v>
      </c>
      <c r="AJK49">
        <v>0</v>
      </c>
      <c r="AJL49">
        <v>0</v>
      </c>
      <c r="AJM49">
        <v>0</v>
      </c>
      <c r="AJN49">
        <v>0</v>
      </c>
      <c r="AJO49">
        <v>0</v>
      </c>
      <c r="AJP49">
        <v>0</v>
      </c>
      <c r="AJQ49">
        <v>0</v>
      </c>
      <c r="AJR49">
        <v>0</v>
      </c>
      <c r="AJS49">
        <v>0</v>
      </c>
      <c r="AJT49">
        <v>0</v>
      </c>
      <c r="AJU49">
        <v>0</v>
      </c>
      <c r="AJV49">
        <v>0</v>
      </c>
      <c r="AJW49">
        <v>0</v>
      </c>
      <c r="AJX49">
        <v>0</v>
      </c>
      <c r="AJY49">
        <v>0</v>
      </c>
    </row>
    <row r="50" spans="1:961" x14ac:dyDescent="0.3">
      <c r="A50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10000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5000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8450.8927999999996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-3390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-150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0</v>
      </c>
      <c r="SA50">
        <v>0</v>
      </c>
      <c r="SB50">
        <v>0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-1000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0</v>
      </c>
      <c r="VD50">
        <v>0</v>
      </c>
      <c r="VE50">
        <v>0</v>
      </c>
      <c r="VF50">
        <v>0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-5</v>
      </c>
      <c r="XC50">
        <v>0</v>
      </c>
      <c r="XD50">
        <v>0</v>
      </c>
      <c r="XE50">
        <v>0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0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0</v>
      </c>
      <c r="YE50">
        <v>0</v>
      </c>
      <c r="YF50">
        <v>0</v>
      </c>
      <c r="YG50">
        <v>0</v>
      </c>
      <c r="YH50">
        <v>0</v>
      </c>
      <c r="YI50">
        <v>0</v>
      </c>
      <c r="YJ50">
        <v>0</v>
      </c>
      <c r="YK50">
        <v>0</v>
      </c>
      <c r="YL50">
        <v>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0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0</v>
      </c>
      <c r="ZH50">
        <v>0</v>
      </c>
      <c r="ZI50">
        <v>0</v>
      </c>
      <c r="ZJ50">
        <v>0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0</v>
      </c>
      <c r="AAI50">
        <v>0</v>
      </c>
      <c r="AAJ50">
        <v>0</v>
      </c>
      <c r="AAK50">
        <v>0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0</v>
      </c>
      <c r="AAT50">
        <v>-256.16438356164383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0</v>
      </c>
      <c r="ABA50">
        <v>0</v>
      </c>
      <c r="ABB50">
        <v>0</v>
      </c>
      <c r="ABC50">
        <v>0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0</v>
      </c>
      <c r="ABK50">
        <v>0</v>
      </c>
      <c r="ABL50">
        <v>0</v>
      </c>
      <c r="ABM50">
        <v>0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  <c r="ADF50">
        <v>0</v>
      </c>
      <c r="ADG50">
        <v>0</v>
      </c>
      <c r="ADH50">
        <v>0</v>
      </c>
      <c r="ADI50">
        <v>0</v>
      </c>
      <c r="ADJ50">
        <v>0</v>
      </c>
      <c r="ADK50">
        <v>0</v>
      </c>
      <c r="ADL50">
        <v>0</v>
      </c>
      <c r="ADM50">
        <v>0</v>
      </c>
      <c r="ADN50">
        <v>0</v>
      </c>
      <c r="ADO50">
        <v>0</v>
      </c>
      <c r="ADP50">
        <v>0</v>
      </c>
      <c r="ADQ50">
        <v>0</v>
      </c>
      <c r="ADR50">
        <v>0</v>
      </c>
      <c r="ADS50">
        <v>0</v>
      </c>
      <c r="ADT50">
        <v>0</v>
      </c>
      <c r="ADU50">
        <v>0</v>
      </c>
      <c r="ADV50">
        <v>0</v>
      </c>
      <c r="ADW50">
        <v>0</v>
      </c>
      <c r="ADX50">
        <v>0</v>
      </c>
      <c r="ADY50">
        <v>0</v>
      </c>
      <c r="ADZ50">
        <v>0</v>
      </c>
      <c r="AEA50">
        <v>0</v>
      </c>
      <c r="AEB50">
        <v>0</v>
      </c>
      <c r="AEC50">
        <v>0</v>
      </c>
      <c r="AED50">
        <v>0</v>
      </c>
      <c r="AEE50">
        <v>0</v>
      </c>
      <c r="AEF50">
        <v>0</v>
      </c>
      <c r="AEG50">
        <v>0</v>
      </c>
      <c r="AEH50">
        <v>0</v>
      </c>
      <c r="AEI50">
        <v>0</v>
      </c>
      <c r="AEJ50">
        <v>0</v>
      </c>
      <c r="AEK50">
        <v>0</v>
      </c>
      <c r="AEL50">
        <v>-120</v>
      </c>
      <c r="AEM50">
        <v>0</v>
      </c>
      <c r="AEN50">
        <v>0</v>
      </c>
      <c r="AEO50">
        <v>0</v>
      </c>
      <c r="AEP50">
        <v>0</v>
      </c>
      <c r="AEQ50">
        <v>0</v>
      </c>
      <c r="AER50">
        <v>0</v>
      </c>
      <c r="AES50">
        <v>0</v>
      </c>
      <c r="AET50">
        <v>0</v>
      </c>
      <c r="AEU50">
        <v>0</v>
      </c>
      <c r="AEV50">
        <v>0</v>
      </c>
      <c r="AEW50">
        <v>0</v>
      </c>
      <c r="AEX50">
        <v>0</v>
      </c>
      <c r="AEY50">
        <v>0</v>
      </c>
      <c r="AEZ50">
        <v>0</v>
      </c>
      <c r="AFA50">
        <v>0</v>
      </c>
      <c r="AFB50">
        <v>0</v>
      </c>
      <c r="AFC50">
        <v>0</v>
      </c>
      <c r="AFD50">
        <v>0</v>
      </c>
      <c r="AFE50">
        <v>0</v>
      </c>
      <c r="AFF50">
        <v>0</v>
      </c>
      <c r="AFG50">
        <v>0</v>
      </c>
      <c r="AFH50">
        <v>0</v>
      </c>
      <c r="AFI50">
        <v>0</v>
      </c>
      <c r="AFJ50">
        <v>0</v>
      </c>
      <c r="AFK50">
        <v>0</v>
      </c>
      <c r="AFL50">
        <v>0</v>
      </c>
      <c r="AFM50">
        <v>0</v>
      </c>
      <c r="AFN50">
        <v>0</v>
      </c>
      <c r="AFO50">
        <v>0</v>
      </c>
      <c r="AFP50">
        <v>0</v>
      </c>
      <c r="AFQ50">
        <v>0</v>
      </c>
      <c r="AFR50">
        <v>0</v>
      </c>
      <c r="AFS50">
        <v>0</v>
      </c>
      <c r="AFT50">
        <v>0</v>
      </c>
      <c r="AFU50">
        <v>0</v>
      </c>
      <c r="AFV50">
        <v>0</v>
      </c>
      <c r="AFW50">
        <v>0</v>
      </c>
      <c r="AFX50">
        <v>0</v>
      </c>
      <c r="AFY50">
        <v>0</v>
      </c>
      <c r="AFZ50">
        <v>0</v>
      </c>
      <c r="AGA50">
        <v>0</v>
      </c>
      <c r="AGB50">
        <v>0</v>
      </c>
      <c r="AGC50">
        <v>0</v>
      </c>
      <c r="AGD50">
        <v>0</v>
      </c>
      <c r="AGE50">
        <v>0</v>
      </c>
      <c r="AGF50">
        <v>0</v>
      </c>
      <c r="AGG50">
        <v>0</v>
      </c>
      <c r="AGH50">
        <v>0</v>
      </c>
      <c r="AGI50">
        <v>0</v>
      </c>
      <c r="AGJ50">
        <v>0</v>
      </c>
      <c r="AGK50">
        <v>0</v>
      </c>
      <c r="AGL50">
        <v>0</v>
      </c>
      <c r="AGM50">
        <v>0</v>
      </c>
      <c r="AGN50">
        <v>0</v>
      </c>
      <c r="AGO50">
        <v>0</v>
      </c>
      <c r="AGP50">
        <v>0</v>
      </c>
      <c r="AGQ50">
        <v>0</v>
      </c>
      <c r="AGR50">
        <v>0</v>
      </c>
      <c r="AGS50">
        <v>0</v>
      </c>
      <c r="AGT50">
        <v>0</v>
      </c>
      <c r="AGU50">
        <v>0</v>
      </c>
      <c r="AGV50">
        <v>0</v>
      </c>
      <c r="AGW50">
        <v>0</v>
      </c>
      <c r="AGX50">
        <v>0</v>
      </c>
      <c r="AGY50">
        <v>0</v>
      </c>
      <c r="AGZ50">
        <v>0</v>
      </c>
      <c r="AHA50">
        <v>0</v>
      </c>
      <c r="AHB50">
        <v>0</v>
      </c>
      <c r="AHC50">
        <v>0</v>
      </c>
      <c r="AHD50">
        <v>0</v>
      </c>
      <c r="AHE50">
        <v>0</v>
      </c>
      <c r="AHF50">
        <v>0</v>
      </c>
      <c r="AHG50">
        <v>0</v>
      </c>
      <c r="AHH50">
        <v>0</v>
      </c>
      <c r="AHI50">
        <v>0</v>
      </c>
      <c r="AHJ50">
        <v>0</v>
      </c>
      <c r="AHK50">
        <v>0</v>
      </c>
      <c r="AHL50">
        <v>0</v>
      </c>
      <c r="AHM50">
        <v>0</v>
      </c>
      <c r="AHN50">
        <v>0</v>
      </c>
      <c r="AHO50">
        <v>0</v>
      </c>
      <c r="AHP50">
        <v>0</v>
      </c>
      <c r="AHQ50">
        <v>0</v>
      </c>
      <c r="AHR50">
        <v>0</v>
      </c>
      <c r="AHS50">
        <v>0</v>
      </c>
      <c r="AHT50">
        <v>0</v>
      </c>
      <c r="AHU50">
        <v>0</v>
      </c>
      <c r="AHV50">
        <v>0</v>
      </c>
      <c r="AHW50">
        <v>0</v>
      </c>
      <c r="AHX50">
        <v>0</v>
      </c>
      <c r="AHY50">
        <v>0</v>
      </c>
      <c r="AHZ50">
        <v>0</v>
      </c>
      <c r="AIA50">
        <v>0</v>
      </c>
      <c r="AIB50">
        <v>0</v>
      </c>
      <c r="AIC50">
        <v>0</v>
      </c>
      <c r="AID50">
        <v>-4500</v>
      </c>
      <c r="AIE50">
        <v>0</v>
      </c>
      <c r="AIF50">
        <v>0</v>
      </c>
      <c r="AIG50">
        <v>0</v>
      </c>
      <c r="AIH50">
        <v>0</v>
      </c>
      <c r="AII50">
        <v>0</v>
      </c>
      <c r="AIJ50">
        <v>0</v>
      </c>
      <c r="AIK50">
        <v>0</v>
      </c>
      <c r="AIL50">
        <v>0</v>
      </c>
      <c r="AIM50">
        <v>0</v>
      </c>
      <c r="AIN50">
        <v>0</v>
      </c>
      <c r="AIO50">
        <v>0</v>
      </c>
      <c r="AIP50">
        <v>0</v>
      </c>
      <c r="AIQ50">
        <v>0</v>
      </c>
      <c r="AIR50">
        <v>0</v>
      </c>
      <c r="AIS50">
        <v>0</v>
      </c>
      <c r="AIT50">
        <v>0</v>
      </c>
      <c r="AIU50">
        <v>0</v>
      </c>
      <c r="AIV50">
        <v>0</v>
      </c>
      <c r="AIW50">
        <v>0</v>
      </c>
      <c r="AIX50">
        <v>0</v>
      </c>
      <c r="AIY50">
        <v>0</v>
      </c>
      <c r="AIZ50">
        <v>0</v>
      </c>
      <c r="AJA50">
        <v>0</v>
      </c>
      <c r="AJB50">
        <v>0</v>
      </c>
      <c r="AJC50">
        <v>0</v>
      </c>
      <c r="AJD50">
        <v>0</v>
      </c>
      <c r="AJE50">
        <v>0</v>
      </c>
      <c r="AJF50">
        <v>0</v>
      </c>
      <c r="AJG50">
        <v>0</v>
      </c>
      <c r="AJH50">
        <v>0</v>
      </c>
      <c r="AJI50">
        <v>0</v>
      </c>
      <c r="AJJ50">
        <v>0</v>
      </c>
      <c r="AJK50">
        <v>0</v>
      </c>
      <c r="AJL50">
        <v>0</v>
      </c>
      <c r="AJM50">
        <v>0</v>
      </c>
      <c r="AJN50">
        <v>0</v>
      </c>
      <c r="AJO50">
        <v>0</v>
      </c>
      <c r="AJP50">
        <v>0</v>
      </c>
      <c r="AJQ50">
        <v>0</v>
      </c>
      <c r="AJR50">
        <v>0</v>
      </c>
      <c r="AJS50">
        <v>0</v>
      </c>
      <c r="AJT50">
        <v>0</v>
      </c>
      <c r="AJU50">
        <v>0</v>
      </c>
      <c r="AJV50">
        <v>0</v>
      </c>
      <c r="AJW50">
        <v>0</v>
      </c>
      <c r="AJX50">
        <v>0</v>
      </c>
      <c r="AJY50">
        <v>0</v>
      </c>
    </row>
    <row r="51" spans="1:961" x14ac:dyDescent="0.3">
      <c r="A51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10000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5000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8450.8927999999996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-3390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</v>
      </c>
      <c r="OV51">
        <v>0</v>
      </c>
      <c r="OW51">
        <v>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-150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</v>
      </c>
      <c r="RW51">
        <v>0</v>
      </c>
      <c r="RX51">
        <v>0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-1000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0</v>
      </c>
      <c r="WF51">
        <v>0</v>
      </c>
      <c r="WG51">
        <v>0</v>
      </c>
      <c r="WH51">
        <v>0</v>
      </c>
      <c r="WI51">
        <v>0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-5</v>
      </c>
      <c r="XD51">
        <v>0</v>
      </c>
      <c r="XE51">
        <v>0</v>
      </c>
      <c r="XF51">
        <v>0</v>
      </c>
      <c r="XG51">
        <v>0</v>
      </c>
      <c r="XH51">
        <v>0</v>
      </c>
      <c r="XI51">
        <v>0</v>
      </c>
      <c r="XJ51">
        <v>0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0</v>
      </c>
      <c r="YH51">
        <v>0</v>
      </c>
      <c r="YI51">
        <v>0</v>
      </c>
      <c r="YJ51">
        <v>0</v>
      </c>
      <c r="YK51">
        <v>0</v>
      </c>
      <c r="YL51">
        <v>0</v>
      </c>
      <c r="YM51">
        <v>0</v>
      </c>
      <c r="YN51">
        <v>0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0</v>
      </c>
      <c r="ZL51">
        <v>0</v>
      </c>
      <c r="ZM51">
        <v>0</v>
      </c>
      <c r="ZN51">
        <v>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0</v>
      </c>
      <c r="AAI51">
        <v>0</v>
      </c>
      <c r="AAJ51">
        <v>0</v>
      </c>
      <c r="AAK51">
        <v>0</v>
      </c>
      <c r="AAL51">
        <v>0</v>
      </c>
      <c r="AAM51">
        <v>0</v>
      </c>
      <c r="AAN51">
        <v>0</v>
      </c>
      <c r="AAO51">
        <v>0</v>
      </c>
      <c r="AAP51">
        <v>0</v>
      </c>
      <c r="AAQ51">
        <v>0</v>
      </c>
      <c r="AAR51">
        <v>0</v>
      </c>
      <c r="AAS51">
        <v>0</v>
      </c>
      <c r="AAT51">
        <v>0</v>
      </c>
      <c r="AAU51">
        <v>-256.16438356164383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0</v>
      </c>
      <c r="ABJ51">
        <v>0</v>
      </c>
      <c r="ABK51">
        <v>0</v>
      </c>
      <c r="ABL51">
        <v>0</v>
      </c>
      <c r="ABM51">
        <v>0</v>
      </c>
      <c r="ABN51">
        <v>0</v>
      </c>
      <c r="ABO51">
        <v>0</v>
      </c>
      <c r="ABP51">
        <v>0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0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  <c r="ADF51">
        <v>0</v>
      </c>
      <c r="ADG51">
        <v>0</v>
      </c>
      <c r="ADH51">
        <v>0</v>
      </c>
      <c r="ADI51">
        <v>0</v>
      </c>
      <c r="ADJ51">
        <v>0</v>
      </c>
      <c r="ADK51">
        <v>0</v>
      </c>
      <c r="ADL51">
        <v>0</v>
      </c>
      <c r="ADM51">
        <v>0</v>
      </c>
      <c r="ADN51">
        <v>0</v>
      </c>
      <c r="ADO51">
        <v>0</v>
      </c>
      <c r="ADP51">
        <v>0</v>
      </c>
      <c r="ADQ51">
        <v>0</v>
      </c>
      <c r="ADR51">
        <v>0</v>
      </c>
      <c r="ADS51">
        <v>0</v>
      </c>
      <c r="ADT51">
        <v>0</v>
      </c>
      <c r="ADU51">
        <v>0</v>
      </c>
      <c r="ADV51">
        <v>0</v>
      </c>
      <c r="ADW51">
        <v>0</v>
      </c>
      <c r="ADX51">
        <v>0</v>
      </c>
      <c r="ADY51">
        <v>0</v>
      </c>
      <c r="ADZ51">
        <v>0</v>
      </c>
      <c r="AEA51">
        <v>0</v>
      </c>
      <c r="AEB51">
        <v>0</v>
      </c>
      <c r="AEC51">
        <v>0</v>
      </c>
      <c r="AED51">
        <v>0</v>
      </c>
      <c r="AEE51">
        <v>0</v>
      </c>
      <c r="AEF51">
        <v>0</v>
      </c>
      <c r="AEG51">
        <v>0</v>
      </c>
      <c r="AEH51">
        <v>0</v>
      </c>
      <c r="AEI51">
        <v>0</v>
      </c>
      <c r="AEJ51">
        <v>0</v>
      </c>
      <c r="AEK51">
        <v>0</v>
      </c>
      <c r="AEL51">
        <v>0</v>
      </c>
      <c r="AEM51">
        <v>-120</v>
      </c>
      <c r="AEN51">
        <v>0</v>
      </c>
      <c r="AEO51">
        <v>0</v>
      </c>
      <c r="AEP51">
        <v>0</v>
      </c>
      <c r="AEQ51">
        <v>0</v>
      </c>
      <c r="AER51">
        <v>0</v>
      </c>
      <c r="AES51">
        <v>0</v>
      </c>
      <c r="AET51">
        <v>0</v>
      </c>
      <c r="AEU51">
        <v>0</v>
      </c>
      <c r="AEV51">
        <v>0</v>
      </c>
      <c r="AEW51">
        <v>0</v>
      </c>
      <c r="AEX51">
        <v>0</v>
      </c>
      <c r="AEY51">
        <v>0</v>
      </c>
      <c r="AEZ51">
        <v>0</v>
      </c>
      <c r="AFA51">
        <v>0</v>
      </c>
      <c r="AFB51">
        <v>0</v>
      </c>
      <c r="AFC51">
        <v>0</v>
      </c>
      <c r="AFD51">
        <v>0</v>
      </c>
      <c r="AFE51">
        <v>0</v>
      </c>
      <c r="AFF51">
        <v>0</v>
      </c>
      <c r="AFG51">
        <v>0</v>
      </c>
      <c r="AFH51">
        <v>0</v>
      </c>
      <c r="AFI51">
        <v>0</v>
      </c>
      <c r="AFJ51">
        <v>0</v>
      </c>
      <c r="AFK51">
        <v>0</v>
      </c>
      <c r="AFL51">
        <v>0</v>
      </c>
      <c r="AFM51">
        <v>0</v>
      </c>
      <c r="AFN51">
        <v>0</v>
      </c>
      <c r="AFO51">
        <v>0</v>
      </c>
      <c r="AFP51">
        <v>0</v>
      </c>
      <c r="AFQ51">
        <v>0</v>
      </c>
      <c r="AFR51">
        <v>0</v>
      </c>
      <c r="AFS51">
        <v>0</v>
      </c>
      <c r="AFT51">
        <v>0</v>
      </c>
      <c r="AFU51">
        <v>0</v>
      </c>
      <c r="AFV51">
        <v>0</v>
      </c>
      <c r="AFW51">
        <v>0</v>
      </c>
      <c r="AFX51">
        <v>0</v>
      </c>
      <c r="AFY51">
        <v>0</v>
      </c>
      <c r="AFZ51">
        <v>0</v>
      </c>
      <c r="AGA51">
        <v>0</v>
      </c>
      <c r="AGB51">
        <v>0</v>
      </c>
      <c r="AGC51">
        <v>0</v>
      </c>
      <c r="AGD51">
        <v>0</v>
      </c>
      <c r="AGE51">
        <v>0</v>
      </c>
      <c r="AGF51">
        <v>0</v>
      </c>
      <c r="AGG51">
        <v>0</v>
      </c>
      <c r="AGH51">
        <v>0</v>
      </c>
      <c r="AGI51">
        <v>0</v>
      </c>
      <c r="AGJ51">
        <v>0</v>
      </c>
      <c r="AGK51">
        <v>0</v>
      </c>
      <c r="AGL51">
        <v>0</v>
      </c>
      <c r="AGM51">
        <v>0</v>
      </c>
      <c r="AGN51">
        <v>0</v>
      </c>
      <c r="AGO51">
        <v>0</v>
      </c>
      <c r="AGP51">
        <v>0</v>
      </c>
      <c r="AGQ51">
        <v>0</v>
      </c>
      <c r="AGR51">
        <v>0</v>
      </c>
      <c r="AGS51">
        <v>0</v>
      </c>
      <c r="AGT51">
        <v>0</v>
      </c>
      <c r="AGU51">
        <v>0</v>
      </c>
      <c r="AGV51">
        <v>0</v>
      </c>
      <c r="AGW51">
        <v>0</v>
      </c>
      <c r="AGX51">
        <v>0</v>
      </c>
      <c r="AGY51">
        <v>0</v>
      </c>
      <c r="AGZ51">
        <v>0</v>
      </c>
      <c r="AHA51">
        <v>0</v>
      </c>
      <c r="AHB51">
        <v>0</v>
      </c>
      <c r="AHC51">
        <v>0</v>
      </c>
      <c r="AHD51">
        <v>0</v>
      </c>
      <c r="AHE51">
        <v>0</v>
      </c>
      <c r="AHF51">
        <v>0</v>
      </c>
      <c r="AHG51">
        <v>0</v>
      </c>
      <c r="AHH51">
        <v>0</v>
      </c>
      <c r="AHI51">
        <v>0</v>
      </c>
      <c r="AHJ51">
        <v>0</v>
      </c>
      <c r="AHK51">
        <v>0</v>
      </c>
      <c r="AHL51">
        <v>0</v>
      </c>
      <c r="AHM51">
        <v>0</v>
      </c>
      <c r="AHN51">
        <v>0</v>
      </c>
      <c r="AHO51">
        <v>0</v>
      </c>
      <c r="AHP51">
        <v>0</v>
      </c>
      <c r="AHQ51">
        <v>0</v>
      </c>
      <c r="AHR51">
        <v>0</v>
      </c>
      <c r="AHS51">
        <v>0</v>
      </c>
      <c r="AHT51">
        <v>0</v>
      </c>
      <c r="AHU51">
        <v>0</v>
      </c>
      <c r="AHV51">
        <v>0</v>
      </c>
      <c r="AHW51">
        <v>0</v>
      </c>
      <c r="AHX51">
        <v>0</v>
      </c>
      <c r="AHY51">
        <v>0</v>
      </c>
      <c r="AHZ51">
        <v>0</v>
      </c>
      <c r="AIA51">
        <v>0</v>
      </c>
      <c r="AIB51">
        <v>0</v>
      </c>
      <c r="AIC51">
        <v>0</v>
      </c>
      <c r="AID51">
        <v>0</v>
      </c>
      <c r="AIE51">
        <v>-4500</v>
      </c>
      <c r="AIF51">
        <v>0</v>
      </c>
      <c r="AIG51">
        <v>0</v>
      </c>
      <c r="AIH51">
        <v>0</v>
      </c>
      <c r="AII51">
        <v>0</v>
      </c>
      <c r="AIJ51">
        <v>0</v>
      </c>
      <c r="AIK51">
        <v>0</v>
      </c>
      <c r="AIL51">
        <v>0</v>
      </c>
      <c r="AIM51">
        <v>0</v>
      </c>
      <c r="AIN51">
        <v>0</v>
      </c>
      <c r="AIO51">
        <v>0</v>
      </c>
      <c r="AIP51">
        <v>0</v>
      </c>
      <c r="AIQ51">
        <v>0</v>
      </c>
      <c r="AIR51">
        <v>0</v>
      </c>
      <c r="AIS51">
        <v>0</v>
      </c>
      <c r="AIT51">
        <v>0</v>
      </c>
      <c r="AIU51">
        <v>0</v>
      </c>
      <c r="AIV51">
        <v>0</v>
      </c>
      <c r="AIW51">
        <v>0</v>
      </c>
      <c r="AIX51">
        <v>0</v>
      </c>
      <c r="AIY51">
        <v>0</v>
      </c>
      <c r="AIZ51">
        <v>0</v>
      </c>
      <c r="AJA51">
        <v>0</v>
      </c>
      <c r="AJB51">
        <v>0</v>
      </c>
      <c r="AJC51">
        <v>0</v>
      </c>
      <c r="AJD51">
        <v>0</v>
      </c>
      <c r="AJE51">
        <v>0</v>
      </c>
      <c r="AJF51">
        <v>0</v>
      </c>
      <c r="AJG51">
        <v>0</v>
      </c>
      <c r="AJH51">
        <v>0</v>
      </c>
      <c r="AJI51">
        <v>0</v>
      </c>
      <c r="AJJ51">
        <v>0</v>
      </c>
      <c r="AJK51">
        <v>0</v>
      </c>
      <c r="AJL51">
        <v>0</v>
      </c>
      <c r="AJM51">
        <v>0</v>
      </c>
      <c r="AJN51">
        <v>0</v>
      </c>
      <c r="AJO51">
        <v>0</v>
      </c>
      <c r="AJP51">
        <v>0</v>
      </c>
      <c r="AJQ51">
        <v>0</v>
      </c>
      <c r="AJR51">
        <v>0</v>
      </c>
      <c r="AJS51">
        <v>0</v>
      </c>
      <c r="AJT51">
        <v>0</v>
      </c>
      <c r="AJU51">
        <v>0</v>
      </c>
      <c r="AJV51">
        <v>0</v>
      </c>
      <c r="AJW51">
        <v>0</v>
      </c>
      <c r="AJX51">
        <v>0</v>
      </c>
      <c r="AJY51">
        <v>0</v>
      </c>
    </row>
    <row r="52" spans="1:961" x14ac:dyDescent="0.3">
      <c r="A52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10000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5000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8450.8927999999996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-3390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-150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-1000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0</v>
      </c>
      <c r="WI52">
        <v>0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-5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0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0</v>
      </c>
      <c r="YI52">
        <v>0</v>
      </c>
      <c r="YJ52">
        <v>0</v>
      </c>
      <c r="YK52">
        <v>0</v>
      </c>
      <c r="YL52">
        <v>0</v>
      </c>
      <c r="YM52">
        <v>0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0</v>
      </c>
      <c r="ZN52">
        <v>0</v>
      </c>
      <c r="ZO52">
        <v>0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0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0</v>
      </c>
      <c r="AAP52">
        <v>0</v>
      </c>
      <c r="AAQ52">
        <v>0</v>
      </c>
      <c r="AAR52">
        <v>0</v>
      </c>
      <c r="AAS52">
        <v>0</v>
      </c>
      <c r="AAT52">
        <v>0</v>
      </c>
      <c r="AAU52">
        <v>0</v>
      </c>
      <c r="AAV52">
        <v>-256.16438356164383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0</v>
      </c>
      <c r="ABF52">
        <v>0</v>
      </c>
      <c r="ABG52">
        <v>0</v>
      </c>
      <c r="ABH52">
        <v>0</v>
      </c>
      <c r="ABI52">
        <v>0</v>
      </c>
      <c r="ABJ52">
        <v>0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0</v>
      </c>
      <c r="ABR52">
        <v>0</v>
      </c>
      <c r="ABS52">
        <v>0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  <c r="ADF52">
        <v>0</v>
      </c>
      <c r="ADG52">
        <v>0</v>
      </c>
      <c r="ADH52">
        <v>0</v>
      </c>
      <c r="ADI52">
        <v>0</v>
      </c>
      <c r="ADJ52">
        <v>0</v>
      </c>
      <c r="ADK52">
        <v>0</v>
      </c>
      <c r="ADL52">
        <v>0</v>
      </c>
      <c r="ADM52">
        <v>0</v>
      </c>
      <c r="ADN52">
        <v>0</v>
      </c>
      <c r="ADO52">
        <v>0</v>
      </c>
      <c r="ADP52">
        <v>0</v>
      </c>
      <c r="ADQ52">
        <v>0</v>
      </c>
      <c r="ADR52">
        <v>0</v>
      </c>
      <c r="ADS52">
        <v>0</v>
      </c>
      <c r="ADT52">
        <v>0</v>
      </c>
      <c r="ADU52">
        <v>0</v>
      </c>
      <c r="ADV52">
        <v>0</v>
      </c>
      <c r="ADW52">
        <v>0</v>
      </c>
      <c r="ADX52">
        <v>0</v>
      </c>
      <c r="ADY52">
        <v>0</v>
      </c>
      <c r="ADZ52">
        <v>0</v>
      </c>
      <c r="AEA52">
        <v>0</v>
      </c>
      <c r="AEB52">
        <v>0</v>
      </c>
      <c r="AEC52">
        <v>0</v>
      </c>
      <c r="AED52">
        <v>0</v>
      </c>
      <c r="AEE52">
        <v>0</v>
      </c>
      <c r="AEF52">
        <v>0</v>
      </c>
      <c r="AEG52">
        <v>0</v>
      </c>
      <c r="AEH52">
        <v>0</v>
      </c>
      <c r="AEI52">
        <v>0</v>
      </c>
      <c r="AEJ52">
        <v>0</v>
      </c>
      <c r="AEK52">
        <v>0</v>
      </c>
      <c r="AEL52">
        <v>0</v>
      </c>
      <c r="AEM52">
        <v>0</v>
      </c>
      <c r="AEN52">
        <v>-120</v>
      </c>
      <c r="AEO52">
        <v>0</v>
      </c>
      <c r="AEP52">
        <v>0</v>
      </c>
      <c r="AEQ52">
        <v>0</v>
      </c>
      <c r="AER52">
        <v>0</v>
      </c>
      <c r="AES52">
        <v>0</v>
      </c>
      <c r="AET52">
        <v>0</v>
      </c>
      <c r="AEU52">
        <v>0</v>
      </c>
      <c r="AEV52">
        <v>0</v>
      </c>
      <c r="AEW52">
        <v>0</v>
      </c>
      <c r="AEX52">
        <v>0</v>
      </c>
      <c r="AEY52">
        <v>0</v>
      </c>
      <c r="AEZ52">
        <v>0</v>
      </c>
      <c r="AFA52">
        <v>0</v>
      </c>
      <c r="AFB52">
        <v>0</v>
      </c>
      <c r="AFC52">
        <v>0</v>
      </c>
      <c r="AFD52">
        <v>0</v>
      </c>
      <c r="AFE52">
        <v>0</v>
      </c>
      <c r="AFF52">
        <v>0</v>
      </c>
      <c r="AFG52">
        <v>0</v>
      </c>
      <c r="AFH52">
        <v>0</v>
      </c>
      <c r="AFI52">
        <v>0</v>
      </c>
      <c r="AFJ52">
        <v>0</v>
      </c>
      <c r="AFK52">
        <v>0</v>
      </c>
      <c r="AFL52">
        <v>0</v>
      </c>
      <c r="AFM52">
        <v>0</v>
      </c>
      <c r="AFN52">
        <v>0</v>
      </c>
      <c r="AFO52">
        <v>0</v>
      </c>
      <c r="AFP52">
        <v>0</v>
      </c>
      <c r="AFQ52">
        <v>0</v>
      </c>
      <c r="AFR52">
        <v>0</v>
      </c>
      <c r="AFS52">
        <v>0</v>
      </c>
      <c r="AFT52">
        <v>0</v>
      </c>
      <c r="AFU52">
        <v>0</v>
      </c>
      <c r="AFV52">
        <v>0</v>
      </c>
      <c r="AFW52">
        <v>0</v>
      </c>
      <c r="AFX52">
        <v>0</v>
      </c>
      <c r="AFY52">
        <v>0</v>
      </c>
      <c r="AFZ52">
        <v>0</v>
      </c>
      <c r="AGA52">
        <v>0</v>
      </c>
      <c r="AGB52">
        <v>0</v>
      </c>
      <c r="AGC52">
        <v>0</v>
      </c>
      <c r="AGD52">
        <v>0</v>
      </c>
      <c r="AGE52">
        <v>0</v>
      </c>
      <c r="AGF52">
        <v>0</v>
      </c>
      <c r="AGG52">
        <v>0</v>
      </c>
      <c r="AGH52">
        <v>0</v>
      </c>
      <c r="AGI52">
        <v>0</v>
      </c>
      <c r="AGJ52">
        <v>0</v>
      </c>
      <c r="AGK52">
        <v>0</v>
      </c>
      <c r="AGL52">
        <v>0</v>
      </c>
      <c r="AGM52">
        <v>0</v>
      </c>
      <c r="AGN52">
        <v>0</v>
      </c>
      <c r="AGO52">
        <v>0</v>
      </c>
      <c r="AGP52">
        <v>0</v>
      </c>
      <c r="AGQ52">
        <v>0</v>
      </c>
      <c r="AGR52">
        <v>0</v>
      </c>
      <c r="AGS52">
        <v>0</v>
      </c>
      <c r="AGT52">
        <v>0</v>
      </c>
      <c r="AGU52">
        <v>0</v>
      </c>
      <c r="AGV52">
        <v>0</v>
      </c>
      <c r="AGW52">
        <v>0</v>
      </c>
      <c r="AGX52">
        <v>0</v>
      </c>
      <c r="AGY52">
        <v>0</v>
      </c>
      <c r="AGZ52">
        <v>0</v>
      </c>
      <c r="AHA52">
        <v>0</v>
      </c>
      <c r="AHB52">
        <v>0</v>
      </c>
      <c r="AHC52">
        <v>0</v>
      </c>
      <c r="AHD52">
        <v>0</v>
      </c>
      <c r="AHE52">
        <v>0</v>
      </c>
      <c r="AHF52">
        <v>0</v>
      </c>
      <c r="AHG52">
        <v>0</v>
      </c>
      <c r="AHH52">
        <v>0</v>
      </c>
      <c r="AHI52">
        <v>0</v>
      </c>
      <c r="AHJ52">
        <v>0</v>
      </c>
      <c r="AHK52">
        <v>0</v>
      </c>
      <c r="AHL52">
        <v>0</v>
      </c>
      <c r="AHM52">
        <v>0</v>
      </c>
      <c r="AHN52">
        <v>0</v>
      </c>
      <c r="AHO52">
        <v>0</v>
      </c>
      <c r="AHP52">
        <v>0</v>
      </c>
      <c r="AHQ52">
        <v>0</v>
      </c>
      <c r="AHR52">
        <v>0</v>
      </c>
      <c r="AHS52">
        <v>0</v>
      </c>
      <c r="AHT52">
        <v>0</v>
      </c>
      <c r="AHU52">
        <v>0</v>
      </c>
      <c r="AHV52">
        <v>0</v>
      </c>
      <c r="AHW52">
        <v>0</v>
      </c>
      <c r="AHX52">
        <v>0</v>
      </c>
      <c r="AHY52">
        <v>0</v>
      </c>
      <c r="AHZ52">
        <v>0</v>
      </c>
      <c r="AIA52">
        <v>0</v>
      </c>
      <c r="AIB52">
        <v>0</v>
      </c>
      <c r="AIC52">
        <v>0</v>
      </c>
      <c r="AID52">
        <v>0</v>
      </c>
      <c r="AIE52">
        <v>0</v>
      </c>
      <c r="AIF52">
        <v>-4500</v>
      </c>
      <c r="AIG52">
        <v>0</v>
      </c>
      <c r="AIH52">
        <v>0</v>
      </c>
      <c r="AII52">
        <v>0</v>
      </c>
      <c r="AIJ52">
        <v>0</v>
      </c>
      <c r="AIK52">
        <v>0</v>
      </c>
      <c r="AIL52">
        <v>0</v>
      </c>
      <c r="AIM52">
        <v>0</v>
      </c>
      <c r="AIN52">
        <v>0</v>
      </c>
      <c r="AIO52">
        <v>0</v>
      </c>
      <c r="AIP52">
        <v>0</v>
      </c>
      <c r="AIQ52">
        <v>0</v>
      </c>
      <c r="AIR52">
        <v>0</v>
      </c>
      <c r="AIS52">
        <v>0</v>
      </c>
      <c r="AIT52">
        <v>0</v>
      </c>
      <c r="AIU52">
        <v>0</v>
      </c>
      <c r="AIV52">
        <v>0</v>
      </c>
      <c r="AIW52">
        <v>0</v>
      </c>
      <c r="AIX52">
        <v>0</v>
      </c>
      <c r="AIY52">
        <v>0</v>
      </c>
      <c r="AIZ52">
        <v>0</v>
      </c>
      <c r="AJA52">
        <v>0</v>
      </c>
      <c r="AJB52">
        <v>0</v>
      </c>
      <c r="AJC52">
        <v>0</v>
      </c>
      <c r="AJD52">
        <v>0</v>
      </c>
      <c r="AJE52">
        <v>0</v>
      </c>
      <c r="AJF52">
        <v>0</v>
      </c>
      <c r="AJG52">
        <v>0</v>
      </c>
      <c r="AJH52">
        <v>0</v>
      </c>
      <c r="AJI52">
        <v>0</v>
      </c>
      <c r="AJJ52">
        <v>0</v>
      </c>
      <c r="AJK52">
        <v>0</v>
      </c>
      <c r="AJL52">
        <v>0</v>
      </c>
      <c r="AJM52">
        <v>0</v>
      </c>
      <c r="AJN52">
        <v>0</v>
      </c>
      <c r="AJO52">
        <v>0</v>
      </c>
      <c r="AJP52">
        <v>0</v>
      </c>
      <c r="AJQ52">
        <v>0</v>
      </c>
      <c r="AJR52">
        <v>0</v>
      </c>
      <c r="AJS52">
        <v>0</v>
      </c>
      <c r="AJT52">
        <v>0</v>
      </c>
      <c r="AJU52">
        <v>0</v>
      </c>
      <c r="AJV52">
        <v>0</v>
      </c>
      <c r="AJW52">
        <v>0</v>
      </c>
      <c r="AJX52">
        <v>0</v>
      </c>
      <c r="AJY52">
        <v>0</v>
      </c>
    </row>
    <row r="53" spans="1:961" x14ac:dyDescent="0.3">
      <c r="A53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10000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5000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8450.8927999999996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-3390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-150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0</v>
      </c>
      <c r="SV53">
        <v>0</v>
      </c>
      <c r="SW53">
        <v>0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-1000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0</v>
      </c>
      <c r="TV53">
        <v>0</v>
      </c>
      <c r="TW53">
        <v>0</v>
      </c>
      <c r="TX53">
        <v>0</v>
      </c>
      <c r="TY53">
        <v>0</v>
      </c>
      <c r="TZ53">
        <v>0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0</v>
      </c>
      <c r="UM53">
        <v>0</v>
      </c>
      <c r="UN53">
        <v>0</v>
      </c>
      <c r="UO53">
        <v>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0</v>
      </c>
      <c r="UZ53">
        <v>0</v>
      </c>
      <c r="VA53">
        <v>0</v>
      </c>
      <c r="VB53">
        <v>0</v>
      </c>
      <c r="VC53">
        <v>0</v>
      </c>
      <c r="VD53">
        <v>0</v>
      </c>
      <c r="VE53">
        <v>0</v>
      </c>
      <c r="VF53">
        <v>0</v>
      </c>
      <c r="VG53">
        <v>0</v>
      </c>
      <c r="VH53">
        <v>0</v>
      </c>
      <c r="VI53">
        <v>0</v>
      </c>
      <c r="VJ53">
        <v>0</v>
      </c>
      <c r="VK53">
        <v>0</v>
      </c>
      <c r="VL53">
        <v>0</v>
      </c>
      <c r="VM53">
        <v>0</v>
      </c>
      <c r="VN53">
        <v>0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0</v>
      </c>
      <c r="WB53">
        <v>0</v>
      </c>
      <c r="WC53">
        <v>0</v>
      </c>
      <c r="WD53">
        <v>0</v>
      </c>
      <c r="WE53">
        <v>0</v>
      </c>
      <c r="WF53">
        <v>0</v>
      </c>
      <c r="WG53">
        <v>0</v>
      </c>
      <c r="WH53">
        <v>0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-5</v>
      </c>
      <c r="XF53">
        <v>0</v>
      </c>
      <c r="XG53">
        <v>0</v>
      </c>
      <c r="XH53">
        <v>0</v>
      </c>
      <c r="XI53">
        <v>0</v>
      </c>
      <c r="XJ53">
        <v>0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  <c r="XQ53">
        <v>0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0</v>
      </c>
      <c r="YH53">
        <v>0</v>
      </c>
      <c r="YI53">
        <v>0</v>
      </c>
      <c r="YJ53">
        <v>0</v>
      </c>
      <c r="YK53">
        <v>0</v>
      </c>
      <c r="YL53">
        <v>0</v>
      </c>
      <c r="YM53">
        <v>0</v>
      </c>
      <c r="YN53">
        <v>0</v>
      </c>
      <c r="YO53">
        <v>0</v>
      </c>
      <c r="YP53">
        <v>0</v>
      </c>
      <c r="YQ53">
        <v>0</v>
      </c>
      <c r="YR53">
        <v>0</v>
      </c>
      <c r="YS53">
        <v>0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-256.16438356164383</v>
      </c>
      <c r="AAX53">
        <v>0</v>
      </c>
      <c r="AAY53">
        <v>0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0</v>
      </c>
      <c r="ABO53">
        <v>0</v>
      </c>
      <c r="ABP53">
        <v>0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  <c r="ADF53">
        <v>0</v>
      </c>
      <c r="ADG53">
        <v>0</v>
      </c>
      <c r="ADH53">
        <v>0</v>
      </c>
      <c r="ADI53">
        <v>0</v>
      </c>
      <c r="ADJ53">
        <v>0</v>
      </c>
      <c r="ADK53">
        <v>0</v>
      </c>
      <c r="ADL53">
        <v>0</v>
      </c>
      <c r="ADM53">
        <v>0</v>
      </c>
      <c r="ADN53">
        <v>0</v>
      </c>
      <c r="ADO53">
        <v>0</v>
      </c>
      <c r="ADP53">
        <v>0</v>
      </c>
      <c r="ADQ53">
        <v>0</v>
      </c>
      <c r="ADR53">
        <v>0</v>
      </c>
      <c r="ADS53">
        <v>0</v>
      </c>
      <c r="ADT53">
        <v>0</v>
      </c>
      <c r="ADU53">
        <v>0</v>
      </c>
      <c r="ADV53">
        <v>0</v>
      </c>
      <c r="ADW53">
        <v>0</v>
      </c>
      <c r="ADX53">
        <v>0</v>
      </c>
      <c r="ADY53">
        <v>0</v>
      </c>
      <c r="ADZ53">
        <v>0</v>
      </c>
      <c r="AEA53">
        <v>0</v>
      </c>
      <c r="AEB53">
        <v>0</v>
      </c>
      <c r="AEC53">
        <v>0</v>
      </c>
      <c r="AED53">
        <v>0</v>
      </c>
      <c r="AEE53">
        <v>0</v>
      </c>
      <c r="AEF53">
        <v>0</v>
      </c>
      <c r="AEG53">
        <v>0</v>
      </c>
      <c r="AEH53">
        <v>0</v>
      </c>
      <c r="AEI53">
        <v>0</v>
      </c>
      <c r="AEJ53">
        <v>0</v>
      </c>
      <c r="AEK53">
        <v>0</v>
      </c>
      <c r="AEL53">
        <v>0</v>
      </c>
      <c r="AEM53">
        <v>0</v>
      </c>
      <c r="AEN53">
        <v>0</v>
      </c>
      <c r="AEO53">
        <v>-120</v>
      </c>
      <c r="AEP53">
        <v>0</v>
      </c>
      <c r="AEQ53">
        <v>0</v>
      </c>
      <c r="AER53">
        <v>0</v>
      </c>
      <c r="AES53">
        <v>0</v>
      </c>
      <c r="AET53">
        <v>0</v>
      </c>
      <c r="AEU53">
        <v>0</v>
      </c>
      <c r="AEV53">
        <v>0</v>
      </c>
      <c r="AEW53">
        <v>0</v>
      </c>
      <c r="AEX53">
        <v>0</v>
      </c>
      <c r="AEY53">
        <v>0</v>
      </c>
      <c r="AEZ53">
        <v>0</v>
      </c>
      <c r="AFA53">
        <v>0</v>
      </c>
      <c r="AFB53">
        <v>0</v>
      </c>
      <c r="AFC53">
        <v>0</v>
      </c>
      <c r="AFD53">
        <v>0</v>
      </c>
      <c r="AFE53">
        <v>0</v>
      </c>
      <c r="AFF53">
        <v>0</v>
      </c>
      <c r="AFG53">
        <v>0</v>
      </c>
      <c r="AFH53">
        <v>0</v>
      </c>
      <c r="AFI53">
        <v>0</v>
      </c>
      <c r="AFJ53">
        <v>0</v>
      </c>
      <c r="AFK53">
        <v>0</v>
      </c>
      <c r="AFL53">
        <v>0</v>
      </c>
      <c r="AFM53">
        <v>0</v>
      </c>
      <c r="AFN53">
        <v>0</v>
      </c>
      <c r="AFO53">
        <v>0</v>
      </c>
      <c r="AFP53">
        <v>0</v>
      </c>
      <c r="AFQ53">
        <v>0</v>
      </c>
      <c r="AFR53">
        <v>0</v>
      </c>
      <c r="AFS53">
        <v>0</v>
      </c>
      <c r="AFT53">
        <v>0</v>
      </c>
      <c r="AFU53">
        <v>0</v>
      </c>
      <c r="AFV53">
        <v>0</v>
      </c>
      <c r="AFW53">
        <v>0</v>
      </c>
      <c r="AFX53">
        <v>0</v>
      </c>
      <c r="AFY53">
        <v>0</v>
      </c>
      <c r="AFZ53">
        <v>0</v>
      </c>
      <c r="AGA53">
        <v>0</v>
      </c>
      <c r="AGB53">
        <v>0</v>
      </c>
      <c r="AGC53">
        <v>0</v>
      </c>
      <c r="AGD53">
        <v>0</v>
      </c>
      <c r="AGE53">
        <v>0</v>
      </c>
      <c r="AGF53">
        <v>0</v>
      </c>
      <c r="AGG53">
        <v>0</v>
      </c>
      <c r="AGH53">
        <v>0</v>
      </c>
      <c r="AGI53">
        <v>0</v>
      </c>
      <c r="AGJ53">
        <v>0</v>
      </c>
      <c r="AGK53">
        <v>0</v>
      </c>
      <c r="AGL53">
        <v>0</v>
      </c>
      <c r="AGM53">
        <v>0</v>
      </c>
      <c r="AGN53">
        <v>0</v>
      </c>
      <c r="AGO53">
        <v>0</v>
      </c>
      <c r="AGP53">
        <v>0</v>
      </c>
      <c r="AGQ53">
        <v>0</v>
      </c>
      <c r="AGR53">
        <v>0</v>
      </c>
      <c r="AGS53">
        <v>0</v>
      </c>
      <c r="AGT53">
        <v>0</v>
      </c>
      <c r="AGU53">
        <v>0</v>
      </c>
      <c r="AGV53">
        <v>0</v>
      </c>
      <c r="AGW53">
        <v>0</v>
      </c>
      <c r="AGX53">
        <v>0</v>
      </c>
      <c r="AGY53">
        <v>0</v>
      </c>
      <c r="AGZ53">
        <v>0</v>
      </c>
      <c r="AHA53">
        <v>0</v>
      </c>
      <c r="AHB53">
        <v>0</v>
      </c>
      <c r="AHC53">
        <v>0</v>
      </c>
      <c r="AHD53">
        <v>0</v>
      </c>
      <c r="AHE53">
        <v>0</v>
      </c>
      <c r="AHF53">
        <v>0</v>
      </c>
      <c r="AHG53">
        <v>0</v>
      </c>
      <c r="AHH53">
        <v>0</v>
      </c>
      <c r="AHI53">
        <v>0</v>
      </c>
      <c r="AHJ53">
        <v>0</v>
      </c>
      <c r="AHK53">
        <v>0</v>
      </c>
      <c r="AHL53">
        <v>0</v>
      </c>
      <c r="AHM53">
        <v>0</v>
      </c>
      <c r="AHN53">
        <v>0</v>
      </c>
      <c r="AHO53">
        <v>0</v>
      </c>
      <c r="AHP53">
        <v>0</v>
      </c>
      <c r="AHQ53">
        <v>0</v>
      </c>
      <c r="AHR53">
        <v>0</v>
      </c>
      <c r="AHS53">
        <v>0</v>
      </c>
      <c r="AHT53">
        <v>0</v>
      </c>
      <c r="AHU53">
        <v>0</v>
      </c>
      <c r="AHV53">
        <v>0</v>
      </c>
      <c r="AHW53">
        <v>0</v>
      </c>
      <c r="AHX53">
        <v>0</v>
      </c>
      <c r="AHY53">
        <v>0</v>
      </c>
      <c r="AHZ53">
        <v>0</v>
      </c>
      <c r="AIA53">
        <v>0</v>
      </c>
      <c r="AIB53">
        <v>0</v>
      </c>
      <c r="AIC53">
        <v>0</v>
      </c>
      <c r="AID53">
        <v>0</v>
      </c>
      <c r="AIE53">
        <v>0</v>
      </c>
      <c r="AIF53">
        <v>0</v>
      </c>
      <c r="AIG53">
        <v>-4500</v>
      </c>
      <c r="AIH53">
        <v>0</v>
      </c>
      <c r="AII53">
        <v>0</v>
      </c>
      <c r="AIJ53">
        <v>0</v>
      </c>
      <c r="AIK53">
        <v>0</v>
      </c>
      <c r="AIL53">
        <v>0</v>
      </c>
      <c r="AIM53">
        <v>0</v>
      </c>
      <c r="AIN53">
        <v>0</v>
      </c>
      <c r="AIO53">
        <v>0</v>
      </c>
      <c r="AIP53">
        <v>0</v>
      </c>
      <c r="AIQ53">
        <v>0</v>
      </c>
      <c r="AIR53">
        <v>0</v>
      </c>
      <c r="AIS53">
        <v>0</v>
      </c>
      <c r="AIT53">
        <v>0</v>
      </c>
      <c r="AIU53">
        <v>0</v>
      </c>
      <c r="AIV53">
        <v>0</v>
      </c>
      <c r="AIW53">
        <v>0</v>
      </c>
      <c r="AIX53">
        <v>0</v>
      </c>
      <c r="AIY53">
        <v>0</v>
      </c>
      <c r="AIZ53">
        <v>0</v>
      </c>
      <c r="AJA53">
        <v>0</v>
      </c>
      <c r="AJB53">
        <v>0</v>
      </c>
      <c r="AJC53">
        <v>0</v>
      </c>
      <c r="AJD53">
        <v>0</v>
      </c>
      <c r="AJE53">
        <v>0</v>
      </c>
      <c r="AJF53">
        <v>0</v>
      </c>
      <c r="AJG53">
        <v>0</v>
      </c>
      <c r="AJH53">
        <v>0</v>
      </c>
      <c r="AJI53">
        <v>0</v>
      </c>
      <c r="AJJ53">
        <v>0</v>
      </c>
      <c r="AJK53">
        <v>0</v>
      </c>
      <c r="AJL53">
        <v>0</v>
      </c>
      <c r="AJM53">
        <v>0</v>
      </c>
      <c r="AJN53">
        <v>0</v>
      </c>
      <c r="AJO53">
        <v>0</v>
      </c>
      <c r="AJP53">
        <v>0</v>
      </c>
      <c r="AJQ53">
        <v>0</v>
      </c>
      <c r="AJR53">
        <v>0</v>
      </c>
      <c r="AJS53">
        <v>0</v>
      </c>
      <c r="AJT53">
        <v>0</v>
      </c>
      <c r="AJU53">
        <v>0</v>
      </c>
      <c r="AJV53">
        <v>0</v>
      </c>
      <c r="AJW53">
        <v>0</v>
      </c>
      <c r="AJX53">
        <v>0</v>
      </c>
      <c r="AJY53">
        <v>0</v>
      </c>
    </row>
    <row r="54" spans="1:961" x14ac:dyDescent="0.3">
      <c r="A54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10000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5000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8442.7392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-3390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-150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</v>
      </c>
      <c r="SZ54">
        <v>0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-1000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0</v>
      </c>
      <c r="VH54">
        <v>0</v>
      </c>
      <c r="VI54">
        <v>0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-5</v>
      </c>
      <c r="XG54">
        <v>0</v>
      </c>
      <c r="XH54">
        <v>0</v>
      </c>
      <c r="XI54">
        <v>0</v>
      </c>
      <c r="XJ54">
        <v>0</v>
      </c>
      <c r="XK54">
        <v>0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0</v>
      </c>
      <c r="YK54">
        <v>0</v>
      </c>
      <c r="YL54">
        <v>0</v>
      </c>
      <c r="YM54">
        <v>0</v>
      </c>
      <c r="YN54">
        <v>0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-256.16438356164383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  <c r="ADG54">
        <v>0</v>
      </c>
      <c r="ADH54">
        <v>0</v>
      </c>
      <c r="ADI54">
        <v>0</v>
      </c>
      <c r="ADJ54">
        <v>0</v>
      </c>
      <c r="ADK54">
        <v>0</v>
      </c>
      <c r="ADL54">
        <v>0</v>
      </c>
      <c r="ADM54">
        <v>0</v>
      </c>
      <c r="ADN54">
        <v>0</v>
      </c>
      <c r="ADO54">
        <v>0</v>
      </c>
      <c r="ADP54">
        <v>0</v>
      </c>
      <c r="ADQ54">
        <v>0</v>
      </c>
      <c r="ADR54">
        <v>0</v>
      </c>
      <c r="ADS54">
        <v>0</v>
      </c>
      <c r="ADT54">
        <v>0</v>
      </c>
      <c r="ADU54">
        <v>0</v>
      </c>
      <c r="ADV54">
        <v>0</v>
      </c>
      <c r="ADW54">
        <v>0</v>
      </c>
      <c r="ADX54">
        <v>0</v>
      </c>
      <c r="ADY54">
        <v>0</v>
      </c>
      <c r="ADZ54">
        <v>0</v>
      </c>
      <c r="AEA54">
        <v>0</v>
      </c>
      <c r="AEB54">
        <v>0</v>
      </c>
      <c r="AEC54">
        <v>0</v>
      </c>
      <c r="AED54">
        <v>0</v>
      </c>
      <c r="AEE54">
        <v>0</v>
      </c>
      <c r="AEF54">
        <v>0</v>
      </c>
      <c r="AEG54">
        <v>0</v>
      </c>
      <c r="AEH54">
        <v>0</v>
      </c>
      <c r="AEI54">
        <v>0</v>
      </c>
      <c r="AEJ54">
        <v>0</v>
      </c>
      <c r="AEK54">
        <v>0</v>
      </c>
      <c r="AEL54">
        <v>0</v>
      </c>
      <c r="AEM54">
        <v>0</v>
      </c>
      <c r="AEN54">
        <v>0</v>
      </c>
      <c r="AEO54">
        <v>0</v>
      </c>
      <c r="AEP54">
        <v>-120</v>
      </c>
      <c r="AEQ54">
        <v>0</v>
      </c>
      <c r="AER54">
        <v>0</v>
      </c>
      <c r="AES54">
        <v>0</v>
      </c>
      <c r="AET54">
        <v>0</v>
      </c>
      <c r="AEU54">
        <v>0</v>
      </c>
      <c r="AEV54">
        <v>0</v>
      </c>
      <c r="AEW54">
        <v>0</v>
      </c>
      <c r="AEX54">
        <v>0</v>
      </c>
      <c r="AEY54">
        <v>0</v>
      </c>
      <c r="AEZ54">
        <v>0</v>
      </c>
      <c r="AFA54">
        <v>0</v>
      </c>
      <c r="AFB54">
        <v>0</v>
      </c>
      <c r="AFC54">
        <v>0</v>
      </c>
      <c r="AFD54">
        <v>0</v>
      </c>
      <c r="AFE54">
        <v>0</v>
      </c>
      <c r="AFF54">
        <v>0</v>
      </c>
      <c r="AFG54">
        <v>0</v>
      </c>
      <c r="AFH54">
        <v>0</v>
      </c>
      <c r="AFI54">
        <v>0</v>
      </c>
      <c r="AFJ54">
        <v>0</v>
      </c>
      <c r="AFK54">
        <v>0</v>
      </c>
      <c r="AFL54">
        <v>0</v>
      </c>
      <c r="AFM54">
        <v>0</v>
      </c>
      <c r="AFN54">
        <v>0</v>
      </c>
      <c r="AFO54">
        <v>0</v>
      </c>
      <c r="AFP54">
        <v>0</v>
      </c>
      <c r="AFQ54">
        <v>0</v>
      </c>
      <c r="AFR54">
        <v>0</v>
      </c>
      <c r="AFS54">
        <v>0</v>
      </c>
      <c r="AFT54">
        <v>0</v>
      </c>
      <c r="AFU54">
        <v>0</v>
      </c>
      <c r="AFV54">
        <v>0</v>
      </c>
      <c r="AFW54">
        <v>0</v>
      </c>
      <c r="AFX54">
        <v>0</v>
      </c>
      <c r="AFY54">
        <v>0</v>
      </c>
      <c r="AFZ54">
        <v>0</v>
      </c>
      <c r="AGA54">
        <v>0</v>
      </c>
      <c r="AGB54">
        <v>0</v>
      </c>
      <c r="AGC54">
        <v>0</v>
      </c>
      <c r="AGD54">
        <v>0</v>
      </c>
      <c r="AGE54">
        <v>0</v>
      </c>
      <c r="AGF54">
        <v>0</v>
      </c>
      <c r="AGG54">
        <v>0</v>
      </c>
      <c r="AGH54">
        <v>0</v>
      </c>
      <c r="AGI54">
        <v>0</v>
      </c>
      <c r="AGJ54">
        <v>0</v>
      </c>
      <c r="AGK54">
        <v>0</v>
      </c>
      <c r="AGL54">
        <v>0</v>
      </c>
      <c r="AGM54">
        <v>0</v>
      </c>
      <c r="AGN54">
        <v>0</v>
      </c>
      <c r="AGO54">
        <v>0</v>
      </c>
      <c r="AGP54">
        <v>0</v>
      </c>
      <c r="AGQ54">
        <v>0</v>
      </c>
      <c r="AGR54">
        <v>0</v>
      </c>
      <c r="AGS54">
        <v>0</v>
      </c>
      <c r="AGT54">
        <v>0</v>
      </c>
      <c r="AGU54">
        <v>0</v>
      </c>
      <c r="AGV54">
        <v>0</v>
      </c>
      <c r="AGW54">
        <v>0</v>
      </c>
      <c r="AGX54">
        <v>0</v>
      </c>
      <c r="AGY54">
        <v>0</v>
      </c>
      <c r="AGZ54">
        <v>0</v>
      </c>
      <c r="AHA54">
        <v>0</v>
      </c>
      <c r="AHB54">
        <v>0</v>
      </c>
      <c r="AHC54">
        <v>0</v>
      </c>
      <c r="AHD54">
        <v>0</v>
      </c>
      <c r="AHE54">
        <v>0</v>
      </c>
      <c r="AHF54">
        <v>0</v>
      </c>
      <c r="AHG54">
        <v>0</v>
      </c>
      <c r="AHH54">
        <v>0</v>
      </c>
      <c r="AHI54">
        <v>0</v>
      </c>
      <c r="AHJ54">
        <v>0</v>
      </c>
      <c r="AHK54">
        <v>0</v>
      </c>
      <c r="AHL54">
        <v>0</v>
      </c>
      <c r="AHM54">
        <v>0</v>
      </c>
      <c r="AHN54">
        <v>0</v>
      </c>
      <c r="AHO54">
        <v>0</v>
      </c>
      <c r="AHP54">
        <v>0</v>
      </c>
      <c r="AHQ54">
        <v>0</v>
      </c>
      <c r="AHR54">
        <v>0</v>
      </c>
      <c r="AHS54">
        <v>0</v>
      </c>
      <c r="AHT54">
        <v>0</v>
      </c>
      <c r="AHU54">
        <v>0</v>
      </c>
      <c r="AHV54">
        <v>0</v>
      </c>
      <c r="AHW54">
        <v>0</v>
      </c>
      <c r="AHX54">
        <v>0</v>
      </c>
      <c r="AHY54">
        <v>0</v>
      </c>
      <c r="AHZ54">
        <v>0</v>
      </c>
      <c r="AIA54">
        <v>0</v>
      </c>
      <c r="AIB54">
        <v>0</v>
      </c>
      <c r="AIC54">
        <v>0</v>
      </c>
      <c r="AID54">
        <v>0</v>
      </c>
      <c r="AIE54">
        <v>0</v>
      </c>
      <c r="AIF54">
        <v>0</v>
      </c>
      <c r="AIG54">
        <v>0</v>
      </c>
      <c r="AIH54">
        <v>-4500</v>
      </c>
      <c r="AII54">
        <v>0</v>
      </c>
      <c r="AIJ54">
        <v>0</v>
      </c>
      <c r="AIK54">
        <v>0</v>
      </c>
      <c r="AIL54">
        <v>0</v>
      </c>
      <c r="AIM54">
        <v>0</v>
      </c>
      <c r="AIN54">
        <v>0</v>
      </c>
      <c r="AIO54">
        <v>0</v>
      </c>
      <c r="AIP54">
        <v>0</v>
      </c>
      <c r="AIQ54">
        <v>0</v>
      </c>
      <c r="AIR54">
        <v>0</v>
      </c>
      <c r="AIS54">
        <v>0</v>
      </c>
      <c r="AIT54">
        <v>0</v>
      </c>
      <c r="AIU54">
        <v>0</v>
      </c>
      <c r="AIV54">
        <v>0</v>
      </c>
      <c r="AIW54">
        <v>0</v>
      </c>
      <c r="AIX54">
        <v>0</v>
      </c>
      <c r="AIY54">
        <v>0</v>
      </c>
      <c r="AIZ54">
        <v>0</v>
      </c>
      <c r="AJA54">
        <v>0</v>
      </c>
      <c r="AJB54">
        <v>0</v>
      </c>
      <c r="AJC54">
        <v>0</v>
      </c>
      <c r="AJD54">
        <v>0</v>
      </c>
      <c r="AJE54">
        <v>0</v>
      </c>
      <c r="AJF54">
        <v>0</v>
      </c>
      <c r="AJG54">
        <v>0</v>
      </c>
      <c r="AJH54">
        <v>0</v>
      </c>
      <c r="AJI54">
        <v>0</v>
      </c>
      <c r="AJJ54">
        <v>0</v>
      </c>
      <c r="AJK54">
        <v>0</v>
      </c>
      <c r="AJL54">
        <v>0</v>
      </c>
      <c r="AJM54">
        <v>0</v>
      </c>
      <c r="AJN54">
        <v>0</v>
      </c>
      <c r="AJO54">
        <v>0</v>
      </c>
      <c r="AJP54">
        <v>0</v>
      </c>
      <c r="AJQ54">
        <v>0</v>
      </c>
      <c r="AJR54">
        <v>0</v>
      </c>
      <c r="AJS54">
        <v>0</v>
      </c>
      <c r="AJT54">
        <v>0</v>
      </c>
      <c r="AJU54">
        <v>0</v>
      </c>
      <c r="AJV54">
        <v>0</v>
      </c>
      <c r="AJW54">
        <v>0</v>
      </c>
      <c r="AJX54">
        <v>0</v>
      </c>
      <c r="AJY54">
        <v>0</v>
      </c>
    </row>
    <row r="55" spans="1:961" x14ac:dyDescent="0.3">
      <c r="A55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10000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5000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8442.7392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-3390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</v>
      </c>
      <c r="OV55">
        <v>0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0</v>
      </c>
      <c r="PS55">
        <v>0</v>
      </c>
      <c r="PT55">
        <v>0</v>
      </c>
      <c r="PU55">
        <v>0</v>
      </c>
      <c r="PV55">
        <v>0</v>
      </c>
      <c r="PW55">
        <v>-150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0</v>
      </c>
      <c r="RZ55">
        <v>0</v>
      </c>
      <c r="SA55">
        <v>0</v>
      </c>
      <c r="SB55">
        <v>0</v>
      </c>
      <c r="SC55">
        <v>0</v>
      </c>
      <c r="SD55">
        <v>0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0</v>
      </c>
      <c r="TD55">
        <v>0</v>
      </c>
      <c r="TE55">
        <v>0</v>
      </c>
      <c r="TF55">
        <v>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-1000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-5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0</v>
      </c>
      <c r="YO55">
        <v>0</v>
      </c>
      <c r="YP55">
        <v>0</v>
      </c>
      <c r="YQ55">
        <v>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0</v>
      </c>
      <c r="ZQ55">
        <v>0</v>
      </c>
      <c r="ZR55">
        <v>0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0</v>
      </c>
      <c r="AAS55">
        <v>0</v>
      </c>
      <c r="AAT55">
        <v>0</v>
      </c>
      <c r="AAU55">
        <v>0</v>
      </c>
      <c r="AAV55">
        <v>0</v>
      </c>
      <c r="AAW55">
        <v>0</v>
      </c>
      <c r="AAX55">
        <v>0</v>
      </c>
      <c r="AAY55">
        <v>-256.16438356164383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0</v>
      </c>
      <c r="ABF55">
        <v>0</v>
      </c>
      <c r="ABG55">
        <v>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  <c r="ADF55">
        <v>0</v>
      </c>
      <c r="ADG55">
        <v>0</v>
      </c>
      <c r="ADH55">
        <v>0</v>
      </c>
      <c r="ADI55">
        <v>0</v>
      </c>
      <c r="ADJ55">
        <v>0</v>
      </c>
      <c r="ADK55">
        <v>0</v>
      </c>
      <c r="ADL55">
        <v>0</v>
      </c>
      <c r="ADM55">
        <v>0</v>
      </c>
      <c r="ADN55">
        <v>0</v>
      </c>
      <c r="ADO55">
        <v>0</v>
      </c>
      <c r="ADP55">
        <v>0</v>
      </c>
      <c r="ADQ55">
        <v>0</v>
      </c>
      <c r="ADR55">
        <v>0</v>
      </c>
      <c r="ADS55">
        <v>0</v>
      </c>
      <c r="ADT55">
        <v>0</v>
      </c>
      <c r="ADU55">
        <v>0</v>
      </c>
      <c r="ADV55">
        <v>0</v>
      </c>
      <c r="ADW55">
        <v>0</v>
      </c>
      <c r="ADX55">
        <v>0</v>
      </c>
      <c r="ADY55">
        <v>0</v>
      </c>
      <c r="ADZ55">
        <v>0</v>
      </c>
      <c r="AEA55">
        <v>0</v>
      </c>
      <c r="AEB55">
        <v>0</v>
      </c>
      <c r="AEC55">
        <v>0</v>
      </c>
      <c r="AED55">
        <v>0</v>
      </c>
      <c r="AEE55">
        <v>0</v>
      </c>
      <c r="AEF55">
        <v>0</v>
      </c>
      <c r="AEG55">
        <v>0</v>
      </c>
      <c r="AEH55">
        <v>0</v>
      </c>
      <c r="AEI55">
        <v>0</v>
      </c>
      <c r="AEJ55">
        <v>0</v>
      </c>
      <c r="AEK55">
        <v>0</v>
      </c>
      <c r="AEL55">
        <v>0</v>
      </c>
      <c r="AEM55">
        <v>0</v>
      </c>
      <c r="AEN55">
        <v>0</v>
      </c>
      <c r="AEO55">
        <v>0</v>
      </c>
      <c r="AEP55">
        <v>0</v>
      </c>
      <c r="AEQ55">
        <v>-120</v>
      </c>
      <c r="AER55">
        <v>0</v>
      </c>
      <c r="AES55">
        <v>0</v>
      </c>
      <c r="AET55">
        <v>0</v>
      </c>
      <c r="AEU55">
        <v>0</v>
      </c>
      <c r="AEV55">
        <v>0</v>
      </c>
      <c r="AEW55">
        <v>0</v>
      </c>
      <c r="AEX55">
        <v>0</v>
      </c>
      <c r="AEY55">
        <v>0</v>
      </c>
      <c r="AEZ55">
        <v>0</v>
      </c>
      <c r="AFA55">
        <v>0</v>
      </c>
      <c r="AFB55">
        <v>0</v>
      </c>
      <c r="AFC55">
        <v>0</v>
      </c>
      <c r="AFD55">
        <v>0</v>
      </c>
      <c r="AFE55">
        <v>0</v>
      </c>
      <c r="AFF55">
        <v>0</v>
      </c>
      <c r="AFG55">
        <v>0</v>
      </c>
      <c r="AFH55">
        <v>0</v>
      </c>
      <c r="AFI55">
        <v>0</v>
      </c>
      <c r="AFJ55">
        <v>0</v>
      </c>
      <c r="AFK55">
        <v>0</v>
      </c>
      <c r="AFL55">
        <v>0</v>
      </c>
      <c r="AFM55">
        <v>0</v>
      </c>
      <c r="AFN55">
        <v>0</v>
      </c>
      <c r="AFO55">
        <v>0</v>
      </c>
      <c r="AFP55">
        <v>0</v>
      </c>
      <c r="AFQ55">
        <v>0</v>
      </c>
      <c r="AFR55">
        <v>0</v>
      </c>
      <c r="AFS55">
        <v>0</v>
      </c>
      <c r="AFT55">
        <v>0</v>
      </c>
      <c r="AFU55">
        <v>0</v>
      </c>
      <c r="AFV55">
        <v>0</v>
      </c>
      <c r="AFW55">
        <v>0</v>
      </c>
      <c r="AFX55">
        <v>0</v>
      </c>
      <c r="AFY55">
        <v>0</v>
      </c>
      <c r="AFZ55">
        <v>0</v>
      </c>
      <c r="AGA55">
        <v>0</v>
      </c>
      <c r="AGB55">
        <v>0</v>
      </c>
      <c r="AGC55">
        <v>0</v>
      </c>
      <c r="AGD55">
        <v>0</v>
      </c>
      <c r="AGE55">
        <v>0</v>
      </c>
      <c r="AGF55">
        <v>0</v>
      </c>
      <c r="AGG55">
        <v>0</v>
      </c>
      <c r="AGH55">
        <v>0</v>
      </c>
      <c r="AGI55">
        <v>0</v>
      </c>
      <c r="AGJ55">
        <v>0</v>
      </c>
      <c r="AGK55">
        <v>0</v>
      </c>
      <c r="AGL55">
        <v>0</v>
      </c>
      <c r="AGM55">
        <v>0</v>
      </c>
      <c r="AGN55">
        <v>0</v>
      </c>
      <c r="AGO55">
        <v>0</v>
      </c>
      <c r="AGP55">
        <v>0</v>
      </c>
      <c r="AGQ55">
        <v>0</v>
      </c>
      <c r="AGR55">
        <v>0</v>
      </c>
      <c r="AGS55">
        <v>0</v>
      </c>
      <c r="AGT55">
        <v>0</v>
      </c>
      <c r="AGU55">
        <v>0</v>
      </c>
      <c r="AGV55">
        <v>0</v>
      </c>
      <c r="AGW55">
        <v>0</v>
      </c>
      <c r="AGX55">
        <v>0</v>
      </c>
      <c r="AGY55">
        <v>0</v>
      </c>
      <c r="AGZ55">
        <v>0</v>
      </c>
      <c r="AHA55">
        <v>0</v>
      </c>
      <c r="AHB55">
        <v>0</v>
      </c>
      <c r="AHC55">
        <v>0</v>
      </c>
      <c r="AHD55">
        <v>0</v>
      </c>
      <c r="AHE55">
        <v>0</v>
      </c>
      <c r="AHF55">
        <v>0</v>
      </c>
      <c r="AHG55">
        <v>0</v>
      </c>
      <c r="AHH55">
        <v>0</v>
      </c>
      <c r="AHI55">
        <v>0</v>
      </c>
      <c r="AHJ55">
        <v>0</v>
      </c>
      <c r="AHK55">
        <v>0</v>
      </c>
      <c r="AHL55">
        <v>0</v>
      </c>
      <c r="AHM55">
        <v>0</v>
      </c>
      <c r="AHN55">
        <v>0</v>
      </c>
      <c r="AHO55">
        <v>0</v>
      </c>
      <c r="AHP55">
        <v>0</v>
      </c>
      <c r="AHQ55">
        <v>0</v>
      </c>
      <c r="AHR55">
        <v>0</v>
      </c>
      <c r="AHS55">
        <v>0</v>
      </c>
      <c r="AHT55">
        <v>0</v>
      </c>
      <c r="AHU55">
        <v>0</v>
      </c>
      <c r="AHV55">
        <v>0</v>
      </c>
      <c r="AHW55">
        <v>0</v>
      </c>
      <c r="AHX55">
        <v>0</v>
      </c>
      <c r="AHY55">
        <v>0</v>
      </c>
      <c r="AHZ55">
        <v>0</v>
      </c>
      <c r="AIA55">
        <v>0</v>
      </c>
      <c r="AIB55">
        <v>0</v>
      </c>
      <c r="AIC55">
        <v>0</v>
      </c>
      <c r="AID55">
        <v>0</v>
      </c>
      <c r="AIE55">
        <v>0</v>
      </c>
      <c r="AIF55">
        <v>0</v>
      </c>
      <c r="AIG55">
        <v>0</v>
      </c>
      <c r="AIH55">
        <v>0</v>
      </c>
      <c r="AII55">
        <v>-4500</v>
      </c>
      <c r="AIJ55">
        <v>0</v>
      </c>
      <c r="AIK55">
        <v>0</v>
      </c>
      <c r="AIL55">
        <v>0</v>
      </c>
      <c r="AIM55">
        <v>0</v>
      </c>
      <c r="AIN55">
        <v>0</v>
      </c>
      <c r="AIO55">
        <v>0</v>
      </c>
      <c r="AIP55">
        <v>0</v>
      </c>
      <c r="AIQ55">
        <v>0</v>
      </c>
      <c r="AIR55">
        <v>0</v>
      </c>
      <c r="AIS55">
        <v>0</v>
      </c>
      <c r="AIT55">
        <v>0</v>
      </c>
      <c r="AIU55">
        <v>0</v>
      </c>
      <c r="AIV55">
        <v>0</v>
      </c>
      <c r="AIW55">
        <v>0</v>
      </c>
      <c r="AIX55">
        <v>0</v>
      </c>
      <c r="AIY55">
        <v>0</v>
      </c>
      <c r="AIZ55">
        <v>0</v>
      </c>
      <c r="AJA55">
        <v>0</v>
      </c>
      <c r="AJB55">
        <v>0</v>
      </c>
      <c r="AJC55">
        <v>0</v>
      </c>
      <c r="AJD55">
        <v>0</v>
      </c>
      <c r="AJE55">
        <v>0</v>
      </c>
      <c r="AJF55">
        <v>0</v>
      </c>
      <c r="AJG55">
        <v>0</v>
      </c>
      <c r="AJH55">
        <v>0</v>
      </c>
      <c r="AJI55">
        <v>0</v>
      </c>
      <c r="AJJ55">
        <v>0</v>
      </c>
      <c r="AJK55">
        <v>0</v>
      </c>
      <c r="AJL55">
        <v>0</v>
      </c>
      <c r="AJM55">
        <v>0</v>
      </c>
      <c r="AJN55">
        <v>0</v>
      </c>
      <c r="AJO55">
        <v>0</v>
      </c>
      <c r="AJP55">
        <v>0</v>
      </c>
      <c r="AJQ55">
        <v>0</v>
      </c>
      <c r="AJR55">
        <v>0</v>
      </c>
      <c r="AJS55">
        <v>0</v>
      </c>
      <c r="AJT55">
        <v>0</v>
      </c>
      <c r="AJU55">
        <v>0</v>
      </c>
      <c r="AJV55">
        <v>0</v>
      </c>
      <c r="AJW55">
        <v>0</v>
      </c>
      <c r="AJX55">
        <v>0</v>
      </c>
      <c r="AJY55">
        <v>0</v>
      </c>
    </row>
    <row r="56" spans="1:961" x14ac:dyDescent="0.3">
      <c r="A56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10000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5000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8442.7392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-3390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-150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-1000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0</v>
      </c>
      <c r="UF56">
        <v>0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0</v>
      </c>
      <c r="VD56">
        <v>0</v>
      </c>
      <c r="VE56">
        <v>0</v>
      </c>
      <c r="VF56">
        <v>0</v>
      </c>
      <c r="VG56">
        <v>0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</v>
      </c>
      <c r="WH56">
        <v>0</v>
      </c>
      <c r="WI56">
        <v>0</v>
      </c>
      <c r="WJ56">
        <v>0</v>
      </c>
      <c r="WK56">
        <v>0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0</v>
      </c>
      <c r="XG56">
        <v>0</v>
      </c>
      <c r="XH56">
        <v>-5</v>
      </c>
      <c r="XI56">
        <v>0</v>
      </c>
      <c r="XJ56">
        <v>0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0</v>
      </c>
      <c r="YI56">
        <v>0</v>
      </c>
      <c r="YJ56">
        <v>0</v>
      </c>
      <c r="YK56">
        <v>0</v>
      </c>
      <c r="YL56">
        <v>0</v>
      </c>
      <c r="YM56">
        <v>0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-256.16438356164383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  <c r="ADG56">
        <v>0</v>
      </c>
      <c r="ADH56">
        <v>0</v>
      </c>
      <c r="ADI56">
        <v>0</v>
      </c>
      <c r="ADJ56">
        <v>0</v>
      </c>
      <c r="ADK56">
        <v>0</v>
      </c>
      <c r="ADL56">
        <v>0</v>
      </c>
      <c r="ADM56">
        <v>0</v>
      </c>
      <c r="ADN56">
        <v>0</v>
      </c>
      <c r="ADO56">
        <v>0</v>
      </c>
      <c r="ADP56">
        <v>0</v>
      </c>
      <c r="ADQ56">
        <v>0</v>
      </c>
      <c r="ADR56">
        <v>0</v>
      </c>
      <c r="ADS56">
        <v>0</v>
      </c>
      <c r="ADT56">
        <v>0</v>
      </c>
      <c r="ADU56">
        <v>0</v>
      </c>
      <c r="ADV56">
        <v>0</v>
      </c>
      <c r="ADW56">
        <v>0</v>
      </c>
      <c r="ADX56">
        <v>0</v>
      </c>
      <c r="ADY56">
        <v>0</v>
      </c>
      <c r="ADZ56">
        <v>0</v>
      </c>
      <c r="AEA56">
        <v>0</v>
      </c>
      <c r="AEB56">
        <v>0</v>
      </c>
      <c r="AEC56">
        <v>0</v>
      </c>
      <c r="AED56">
        <v>0</v>
      </c>
      <c r="AEE56">
        <v>0</v>
      </c>
      <c r="AEF56">
        <v>0</v>
      </c>
      <c r="AEG56">
        <v>0</v>
      </c>
      <c r="AEH56">
        <v>0</v>
      </c>
      <c r="AEI56">
        <v>0</v>
      </c>
      <c r="AEJ56">
        <v>0</v>
      </c>
      <c r="AEK56">
        <v>0</v>
      </c>
      <c r="AEL56">
        <v>0</v>
      </c>
      <c r="AEM56">
        <v>0</v>
      </c>
      <c r="AEN56">
        <v>0</v>
      </c>
      <c r="AEO56">
        <v>0</v>
      </c>
      <c r="AEP56">
        <v>0</v>
      </c>
      <c r="AEQ56">
        <v>0</v>
      </c>
      <c r="AER56">
        <v>-120</v>
      </c>
      <c r="AES56">
        <v>0</v>
      </c>
      <c r="AET56">
        <v>0</v>
      </c>
      <c r="AEU56">
        <v>0</v>
      </c>
      <c r="AEV56">
        <v>0</v>
      </c>
      <c r="AEW56">
        <v>0</v>
      </c>
      <c r="AEX56">
        <v>0</v>
      </c>
      <c r="AEY56">
        <v>0</v>
      </c>
      <c r="AEZ56">
        <v>0</v>
      </c>
      <c r="AFA56">
        <v>0</v>
      </c>
      <c r="AFB56">
        <v>0</v>
      </c>
      <c r="AFC56">
        <v>0</v>
      </c>
      <c r="AFD56">
        <v>0</v>
      </c>
      <c r="AFE56">
        <v>0</v>
      </c>
      <c r="AFF56">
        <v>0</v>
      </c>
      <c r="AFG56">
        <v>0</v>
      </c>
      <c r="AFH56">
        <v>0</v>
      </c>
      <c r="AFI56">
        <v>0</v>
      </c>
      <c r="AFJ56">
        <v>0</v>
      </c>
      <c r="AFK56">
        <v>0</v>
      </c>
      <c r="AFL56">
        <v>0</v>
      </c>
      <c r="AFM56">
        <v>0</v>
      </c>
      <c r="AFN56">
        <v>0</v>
      </c>
      <c r="AFO56">
        <v>0</v>
      </c>
      <c r="AFP56">
        <v>0</v>
      </c>
      <c r="AFQ56">
        <v>0</v>
      </c>
      <c r="AFR56">
        <v>0</v>
      </c>
      <c r="AFS56">
        <v>0</v>
      </c>
      <c r="AFT56">
        <v>0</v>
      </c>
      <c r="AFU56">
        <v>0</v>
      </c>
      <c r="AFV56">
        <v>0</v>
      </c>
      <c r="AFW56">
        <v>0</v>
      </c>
      <c r="AFX56">
        <v>0</v>
      </c>
      <c r="AFY56">
        <v>0</v>
      </c>
      <c r="AFZ56">
        <v>0</v>
      </c>
      <c r="AGA56">
        <v>0</v>
      </c>
      <c r="AGB56">
        <v>0</v>
      </c>
      <c r="AGC56">
        <v>0</v>
      </c>
      <c r="AGD56">
        <v>0</v>
      </c>
      <c r="AGE56">
        <v>0</v>
      </c>
      <c r="AGF56">
        <v>0</v>
      </c>
      <c r="AGG56">
        <v>0</v>
      </c>
      <c r="AGH56">
        <v>0</v>
      </c>
      <c r="AGI56">
        <v>0</v>
      </c>
      <c r="AGJ56">
        <v>0</v>
      </c>
      <c r="AGK56">
        <v>0</v>
      </c>
      <c r="AGL56">
        <v>0</v>
      </c>
      <c r="AGM56">
        <v>0</v>
      </c>
      <c r="AGN56">
        <v>0</v>
      </c>
      <c r="AGO56">
        <v>0</v>
      </c>
      <c r="AGP56">
        <v>0</v>
      </c>
      <c r="AGQ56">
        <v>0</v>
      </c>
      <c r="AGR56">
        <v>0</v>
      </c>
      <c r="AGS56">
        <v>0</v>
      </c>
      <c r="AGT56">
        <v>0</v>
      </c>
      <c r="AGU56">
        <v>0</v>
      </c>
      <c r="AGV56">
        <v>0</v>
      </c>
      <c r="AGW56">
        <v>0</v>
      </c>
      <c r="AGX56">
        <v>0</v>
      </c>
      <c r="AGY56">
        <v>0</v>
      </c>
      <c r="AGZ56">
        <v>0</v>
      </c>
      <c r="AHA56">
        <v>0</v>
      </c>
      <c r="AHB56">
        <v>0</v>
      </c>
      <c r="AHC56">
        <v>0</v>
      </c>
      <c r="AHD56">
        <v>0</v>
      </c>
      <c r="AHE56">
        <v>0</v>
      </c>
      <c r="AHF56">
        <v>0</v>
      </c>
      <c r="AHG56">
        <v>0</v>
      </c>
      <c r="AHH56">
        <v>0</v>
      </c>
      <c r="AHI56">
        <v>0</v>
      </c>
      <c r="AHJ56">
        <v>0</v>
      </c>
      <c r="AHK56">
        <v>0</v>
      </c>
      <c r="AHL56">
        <v>0</v>
      </c>
      <c r="AHM56">
        <v>0</v>
      </c>
      <c r="AHN56">
        <v>0</v>
      </c>
      <c r="AHO56">
        <v>0</v>
      </c>
      <c r="AHP56">
        <v>0</v>
      </c>
      <c r="AHQ56">
        <v>0</v>
      </c>
      <c r="AHR56">
        <v>0</v>
      </c>
      <c r="AHS56">
        <v>0</v>
      </c>
      <c r="AHT56">
        <v>0</v>
      </c>
      <c r="AHU56">
        <v>0</v>
      </c>
      <c r="AHV56">
        <v>0</v>
      </c>
      <c r="AHW56">
        <v>0</v>
      </c>
      <c r="AHX56">
        <v>0</v>
      </c>
      <c r="AHY56">
        <v>0</v>
      </c>
      <c r="AHZ56">
        <v>0</v>
      </c>
      <c r="AIA56">
        <v>0</v>
      </c>
      <c r="AIB56">
        <v>0</v>
      </c>
      <c r="AIC56">
        <v>0</v>
      </c>
      <c r="AID56">
        <v>0</v>
      </c>
      <c r="AIE56">
        <v>0</v>
      </c>
      <c r="AIF56">
        <v>0</v>
      </c>
      <c r="AIG56">
        <v>0</v>
      </c>
      <c r="AIH56">
        <v>0</v>
      </c>
      <c r="AII56">
        <v>0</v>
      </c>
      <c r="AIJ56">
        <v>-4500</v>
      </c>
      <c r="AIK56">
        <v>0</v>
      </c>
      <c r="AIL56">
        <v>0</v>
      </c>
      <c r="AIM56">
        <v>0</v>
      </c>
      <c r="AIN56">
        <v>0</v>
      </c>
      <c r="AIO56">
        <v>0</v>
      </c>
      <c r="AIP56">
        <v>0</v>
      </c>
      <c r="AIQ56">
        <v>0</v>
      </c>
      <c r="AIR56">
        <v>0</v>
      </c>
      <c r="AIS56">
        <v>0</v>
      </c>
      <c r="AIT56">
        <v>0</v>
      </c>
      <c r="AIU56">
        <v>0</v>
      </c>
      <c r="AIV56">
        <v>0</v>
      </c>
      <c r="AIW56">
        <v>0</v>
      </c>
      <c r="AIX56">
        <v>0</v>
      </c>
      <c r="AIY56">
        <v>0</v>
      </c>
      <c r="AIZ56">
        <v>0</v>
      </c>
      <c r="AJA56">
        <v>0</v>
      </c>
      <c r="AJB56">
        <v>0</v>
      </c>
      <c r="AJC56">
        <v>0</v>
      </c>
      <c r="AJD56">
        <v>0</v>
      </c>
      <c r="AJE56">
        <v>0</v>
      </c>
      <c r="AJF56">
        <v>0</v>
      </c>
      <c r="AJG56">
        <v>0</v>
      </c>
      <c r="AJH56">
        <v>0</v>
      </c>
      <c r="AJI56">
        <v>0</v>
      </c>
      <c r="AJJ56">
        <v>0</v>
      </c>
      <c r="AJK56">
        <v>0</v>
      </c>
      <c r="AJL56">
        <v>0</v>
      </c>
      <c r="AJM56">
        <v>0</v>
      </c>
      <c r="AJN56">
        <v>0</v>
      </c>
      <c r="AJO56">
        <v>0</v>
      </c>
      <c r="AJP56">
        <v>0</v>
      </c>
      <c r="AJQ56">
        <v>0</v>
      </c>
      <c r="AJR56">
        <v>0</v>
      </c>
      <c r="AJS56">
        <v>0</v>
      </c>
      <c r="AJT56">
        <v>0</v>
      </c>
      <c r="AJU56">
        <v>0</v>
      </c>
      <c r="AJV56">
        <v>0</v>
      </c>
      <c r="AJW56">
        <v>0</v>
      </c>
      <c r="AJX56">
        <v>0</v>
      </c>
      <c r="AJY56">
        <v>0</v>
      </c>
    </row>
    <row r="57" spans="1:961" x14ac:dyDescent="0.3">
      <c r="A57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10000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5000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8442.7392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-3390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-150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-1000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-5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-256.16438356164383</v>
      </c>
      <c r="ABB57">
        <v>0</v>
      </c>
      <c r="ABC57">
        <v>0</v>
      </c>
      <c r="ABD57">
        <v>0</v>
      </c>
      <c r="ABE57">
        <v>0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  <c r="ADF57">
        <v>0</v>
      </c>
      <c r="ADG57">
        <v>0</v>
      </c>
      <c r="ADH57">
        <v>0</v>
      </c>
      <c r="ADI57">
        <v>0</v>
      </c>
      <c r="ADJ57">
        <v>0</v>
      </c>
      <c r="ADK57">
        <v>0</v>
      </c>
      <c r="ADL57">
        <v>0</v>
      </c>
      <c r="ADM57">
        <v>0</v>
      </c>
      <c r="ADN57">
        <v>0</v>
      </c>
      <c r="ADO57">
        <v>0</v>
      </c>
      <c r="ADP57">
        <v>0</v>
      </c>
      <c r="ADQ57">
        <v>0</v>
      </c>
      <c r="ADR57">
        <v>0</v>
      </c>
      <c r="ADS57">
        <v>0</v>
      </c>
      <c r="ADT57">
        <v>0</v>
      </c>
      <c r="ADU57">
        <v>0</v>
      </c>
      <c r="ADV57">
        <v>0</v>
      </c>
      <c r="ADW57">
        <v>0</v>
      </c>
      <c r="ADX57">
        <v>0</v>
      </c>
      <c r="ADY57">
        <v>0</v>
      </c>
      <c r="ADZ57">
        <v>0</v>
      </c>
      <c r="AEA57">
        <v>0</v>
      </c>
      <c r="AEB57">
        <v>0</v>
      </c>
      <c r="AEC57">
        <v>0</v>
      </c>
      <c r="AED57">
        <v>0</v>
      </c>
      <c r="AEE57">
        <v>0</v>
      </c>
      <c r="AEF57">
        <v>0</v>
      </c>
      <c r="AEG57">
        <v>0</v>
      </c>
      <c r="AEH57">
        <v>0</v>
      </c>
      <c r="AEI57">
        <v>0</v>
      </c>
      <c r="AEJ57">
        <v>0</v>
      </c>
      <c r="AEK57">
        <v>0</v>
      </c>
      <c r="AEL57">
        <v>0</v>
      </c>
      <c r="AEM57">
        <v>0</v>
      </c>
      <c r="AEN57">
        <v>0</v>
      </c>
      <c r="AEO57">
        <v>0</v>
      </c>
      <c r="AEP57">
        <v>0</v>
      </c>
      <c r="AEQ57">
        <v>0</v>
      </c>
      <c r="AER57">
        <v>0</v>
      </c>
      <c r="AES57">
        <v>-120</v>
      </c>
      <c r="AET57">
        <v>0</v>
      </c>
      <c r="AEU57">
        <v>0</v>
      </c>
      <c r="AEV57">
        <v>0</v>
      </c>
      <c r="AEW57">
        <v>0</v>
      </c>
      <c r="AEX57">
        <v>0</v>
      </c>
      <c r="AEY57">
        <v>0</v>
      </c>
      <c r="AEZ57">
        <v>0</v>
      </c>
      <c r="AFA57">
        <v>0</v>
      </c>
      <c r="AFB57">
        <v>0</v>
      </c>
      <c r="AFC57">
        <v>0</v>
      </c>
      <c r="AFD57">
        <v>0</v>
      </c>
      <c r="AFE57">
        <v>0</v>
      </c>
      <c r="AFF57">
        <v>0</v>
      </c>
      <c r="AFG57">
        <v>0</v>
      </c>
      <c r="AFH57">
        <v>0</v>
      </c>
      <c r="AFI57">
        <v>0</v>
      </c>
      <c r="AFJ57">
        <v>0</v>
      </c>
      <c r="AFK57">
        <v>0</v>
      </c>
      <c r="AFL57">
        <v>0</v>
      </c>
      <c r="AFM57">
        <v>0</v>
      </c>
      <c r="AFN57">
        <v>0</v>
      </c>
      <c r="AFO57">
        <v>0</v>
      </c>
      <c r="AFP57">
        <v>0</v>
      </c>
      <c r="AFQ57">
        <v>0</v>
      </c>
      <c r="AFR57">
        <v>0</v>
      </c>
      <c r="AFS57">
        <v>0</v>
      </c>
      <c r="AFT57">
        <v>0</v>
      </c>
      <c r="AFU57">
        <v>0</v>
      </c>
      <c r="AFV57">
        <v>0</v>
      </c>
      <c r="AFW57">
        <v>0</v>
      </c>
      <c r="AFX57">
        <v>0</v>
      </c>
      <c r="AFY57">
        <v>0</v>
      </c>
      <c r="AFZ57">
        <v>0</v>
      </c>
      <c r="AGA57">
        <v>0</v>
      </c>
      <c r="AGB57">
        <v>0</v>
      </c>
      <c r="AGC57">
        <v>0</v>
      </c>
      <c r="AGD57">
        <v>0</v>
      </c>
      <c r="AGE57">
        <v>0</v>
      </c>
      <c r="AGF57">
        <v>0</v>
      </c>
      <c r="AGG57">
        <v>0</v>
      </c>
      <c r="AGH57">
        <v>0</v>
      </c>
      <c r="AGI57">
        <v>0</v>
      </c>
      <c r="AGJ57">
        <v>0</v>
      </c>
      <c r="AGK57">
        <v>0</v>
      </c>
      <c r="AGL57">
        <v>0</v>
      </c>
      <c r="AGM57">
        <v>0</v>
      </c>
      <c r="AGN57">
        <v>0</v>
      </c>
      <c r="AGO57">
        <v>0</v>
      </c>
      <c r="AGP57">
        <v>0</v>
      </c>
      <c r="AGQ57">
        <v>0</v>
      </c>
      <c r="AGR57">
        <v>0</v>
      </c>
      <c r="AGS57">
        <v>0</v>
      </c>
      <c r="AGT57">
        <v>0</v>
      </c>
      <c r="AGU57">
        <v>0</v>
      </c>
      <c r="AGV57">
        <v>0</v>
      </c>
      <c r="AGW57">
        <v>0</v>
      </c>
      <c r="AGX57">
        <v>0</v>
      </c>
      <c r="AGY57">
        <v>0</v>
      </c>
      <c r="AGZ57">
        <v>0</v>
      </c>
      <c r="AHA57">
        <v>0</v>
      </c>
      <c r="AHB57">
        <v>0</v>
      </c>
      <c r="AHC57">
        <v>0</v>
      </c>
      <c r="AHD57">
        <v>0</v>
      </c>
      <c r="AHE57">
        <v>0</v>
      </c>
      <c r="AHF57">
        <v>0</v>
      </c>
      <c r="AHG57">
        <v>0</v>
      </c>
      <c r="AHH57">
        <v>0</v>
      </c>
      <c r="AHI57">
        <v>0</v>
      </c>
      <c r="AHJ57">
        <v>0</v>
      </c>
      <c r="AHK57">
        <v>0</v>
      </c>
      <c r="AHL57">
        <v>0</v>
      </c>
      <c r="AHM57">
        <v>0</v>
      </c>
      <c r="AHN57">
        <v>0</v>
      </c>
      <c r="AHO57">
        <v>0</v>
      </c>
      <c r="AHP57">
        <v>0</v>
      </c>
      <c r="AHQ57">
        <v>0</v>
      </c>
      <c r="AHR57">
        <v>0</v>
      </c>
      <c r="AHS57">
        <v>0</v>
      </c>
      <c r="AHT57">
        <v>0</v>
      </c>
      <c r="AHU57">
        <v>0</v>
      </c>
      <c r="AHV57">
        <v>0</v>
      </c>
      <c r="AHW57">
        <v>0</v>
      </c>
      <c r="AHX57">
        <v>0</v>
      </c>
      <c r="AHY57">
        <v>0</v>
      </c>
      <c r="AHZ57">
        <v>0</v>
      </c>
      <c r="AIA57">
        <v>0</v>
      </c>
      <c r="AIB57">
        <v>0</v>
      </c>
      <c r="AIC57">
        <v>0</v>
      </c>
      <c r="AID57">
        <v>0</v>
      </c>
      <c r="AIE57">
        <v>0</v>
      </c>
      <c r="AIF57">
        <v>0</v>
      </c>
      <c r="AIG57">
        <v>0</v>
      </c>
      <c r="AIH57">
        <v>0</v>
      </c>
      <c r="AII57">
        <v>0</v>
      </c>
      <c r="AIJ57">
        <v>0</v>
      </c>
      <c r="AIK57">
        <v>-4500</v>
      </c>
      <c r="AIL57">
        <v>0</v>
      </c>
      <c r="AIM57">
        <v>0</v>
      </c>
      <c r="AIN57">
        <v>0</v>
      </c>
      <c r="AIO57">
        <v>0</v>
      </c>
      <c r="AIP57">
        <v>0</v>
      </c>
      <c r="AIQ57">
        <v>0</v>
      </c>
      <c r="AIR57">
        <v>0</v>
      </c>
      <c r="AIS57">
        <v>0</v>
      </c>
      <c r="AIT57">
        <v>0</v>
      </c>
      <c r="AIU57">
        <v>0</v>
      </c>
      <c r="AIV57">
        <v>0</v>
      </c>
      <c r="AIW57">
        <v>0</v>
      </c>
      <c r="AIX57">
        <v>0</v>
      </c>
      <c r="AIY57">
        <v>0</v>
      </c>
      <c r="AIZ57">
        <v>0</v>
      </c>
      <c r="AJA57">
        <v>0</v>
      </c>
      <c r="AJB57">
        <v>0</v>
      </c>
      <c r="AJC57">
        <v>0</v>
      </c>
      <c r="AJD57">
        <v>0</v>
      </c>
      <c r="AJE57">
        <v>0</v>
      </c>
      <c r="AJF57">
        <v>0</v>
      </c>
      <c r="AJG57">
        <v>0</v>
      </c>
      <c r="AJH57">
        <v>0</v>
      </c>
      <c r="AJI57">
        <v>0</v>
      </c>
      <c r="AJJ57">
        <v>0</v>
      </c>
      <c r="AJK57">
        <v>0</v>
      </c>
      <c r="AJL57">
        <v>0</v>
      </c>
      <c r="AJM57">
        <v>0</v>
      </c>
      <c r="AJN57">
        <v>0</v>
      </c>
      <c r="AJO57">
        <v>0</v>
      </c>
      <c r="AJP57">
        <v>0</v>
      </c>
      <c r="AJQ57">
        <v>0</v>
      </c>
      <c r="AJR57">
        <v>0</v>
      </c>
      <c r="AJS57">
        <v>0</v>
      </c>
      <c r="AJT57">
        <v>0</v>
      </c>
      <c r="AJU57">
        <v>0</v>
      </c>
      <c r="AJV57">
        <v>0</v>
      </c>
      <c r="AJW57">
        <v>0</v>
      </c>
      <c r="AJX57">
        <v>0</v>
      </c>
      <c r="AJY57">
        <v>0</v>
      </c>
    </row>
    <row r="58" spans="1:961" x14ac:dyDescent="0.3">
      <c r="A58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10000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5000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7749.3135999999995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-3302.7937777777779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0</v>
      </c>
      <c r="OU58">
        <v>0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-150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0</v>
      </c>
      <c r="TB58">
        <v>0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-1000</v>
      </c>
      <c r="TS58">
        <v>0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</v>
      </c>
      <c r="UB58">
        <v>0</v>
      </c>
      <c r="UC58">
        <v>0</v>
      </c>
      <c r="UD58">
        <v>0</v>
      </c>
      <c r="UE58">
        <v>0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0</v>
      </c>
      <c r="UM58">
        <v>0</v>
      </c>
      <c r="UN58">
        <v>0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</v>
      </c>
      <c r="VC58">
        <v>0</v>
      </c>
      <c r="VD58">
        <v>0</v>
      </c>
      <c r="VE58">
        <v>0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0</v>
      </c>
      <c r="XI58">
        <v>0</v>
      </c>
      <c r="XJ58">
        <v>-5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0</v>
      </c>
      <c r="YK58">
        <v>0</v>
      </c>
      <c r="YL58">
        <v>0</v>
      </c>
      <c r="YM58">
        <v>0</v>
      </c>
      <c r="YN58">
        <v>0</v>
      </c>
      <c r="YO58">
        <v>0</v>
      </c>
      <c r="YP58">
        <v>0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0</v>
      </c>
      <c r="ZM58">
        <v>0</v>
      </c>
      <c r="ZN58">
        <v>0</v>
      </c>
      <c r="ZO58">
        <v>0</v>
      </c>
      <c r="ZP58">
        <v>0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0</v>
      </c>
      <c r="AAL58">
        <v>0</v>
      </c>
      <c r="AAM58">
        <v>0</v>
      </c>
      <c r="AAN58">
        <v>0</v>
      </c>
      <c r="AAO58">
        <v>0</v>
      </c>
      <c r="AAP58">
        <v>0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-256.16438356164383</v>
      </c>
      <c r="ABC58">
        <v>0</v>
      </c>
      <c r="ABD58">
        <v>0</v>
      </c>
      <c r="ABE58">
        <v>0</v>
      </c>
      <c r="ABF58">
        <v>0</v>
      </c>
      <c r="ABG58">
        <v>0</v>
      </c>
      <c r="ABH58">
        <v>0</v>
      </c>
      <c r="ABI58">
        <v>0</v>
      </c>
      <c r="ABJ58">
        <v>0</v>
      </c>
      <c r="ABK58">
        <v>0</v>
      </c>
      <c r="ABL58">
        <v>0</v>
      </c>
      <c r="ABM58">
        <v>0</v>
      </c>
      <c r="ABN58">
        <v>0</v>
      </c>
      <c r="ABO58">
        <v>0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0</v>
      </c>
      <c r="ACG58">
        <v>0</v>
      </c>
      <c r="ACH58">
        <v>0</v>
      </c>
      <c r="ACI58">
        <v>0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  <c r="ADF58">
        <v>0</v>
      </c>
      <c r="ADG58">
        <v>0</v>
      </c>
      <c r="ADH58">
        <v>0</v>
      </c>
      <c r="ADI58">
        <v>0</v>
      </c>
      <c r="ADJ58">
        <v>0</v>
      </c>
      <c r="ADK58">
        <v>0</v>
      </c>
      <c r="ADL58">
        <v>0</v>
      </c>
      <c r="ADM58">
        <v>0</v>
      </c>
      <c r="ADN58">
        <v>0</v>
      </c>
      <c r="ADO58">
        <v>0</v>
      </c>
      <c r="ADP58">
        <v>0</v>
      </c>
      <c r="ADQ58">
        <v>0</v>
      </c>
      <c r="ADR58">
        <v>0</v>
      </c>
      <c r="ADS58">
        <v>0</v>
      </c>
      <c r="ADT58">
        <v>0</v>
      </c>
      <c r="ADU58">
        <v>0</v>
      </c>
      <c r="ADV58">
        <v>0</v>
      </c>
      <c r="ADW58">
        <v>0</v>
      </c>
      <c r="ADX58">
        <v>0</v>
      </c>
      <c r="ADY58">
        <v>0</v>
      </c>
      <c r="ADZ58">
        <v>0</v>
      </c>
      <c r="AEA58">
        <v>0</v>
      </c>
      <c r="AEB58">
        <v>0</v>
      </c>
      <c r="AEC58">
        <v>0</v>
      </c>
      <c r="AED58">
        <v>0</v>
      </c>
      <c r="AEE58">
        <v>0</v>
      </c>
      <c r="AEF58">
        <v>0</v>
      </c>
      <c r="AEG58">
        <v>0</v>
      </c>
      <c r="AEH58">
        <v>0</v>
      </c>
      <c r="AEI58">
        <v>0</v>
      </c>
      <c r="AEJ58">
        <v>0</v>
      </c>
      <c r="AEK58">
        <v>0</v>
      </c>
      <c r="AEL58">
        <v>0</v>
      </c>
      <c r="AEM58">
        <v>0</v>
      </c>
      <c r="AEN58">
        <v>0</v>
      </c>
      <c r="AEO58">
        <v>0</v>
      </c>
      <c r="AEP58">
        <v>0</v>
      </c>
      <c r="AEQ58">
        <v>0</v>
      </c>
      <c r="AER58">
        <v>0</v>
      </c>
      <c r="AES58">
        <v>0</v>
      </c>
      <c r="AET58">
        <v>-120</v>
      </c>
      <c r="AEU58">
        <v>0</v>
      </c>
      <c r="AEV58">
        <v>0</v>
      </c>
      <c r="AEW58">
        <v>0</v>
      </c>
      <c r="AEX58">
        <v>0</v>
      </c>
      <c r="AEY58">
        <v>0</v>
      </c>
      <c r="AEZ58">
        <v>0</v>
      </c>
      <c r="AFA58">
        <v>0</v>
      </c>
      <c r="AFB58">
        <v>0</v>
      </c>
      <c r="AFC58">
        <v>0</v>
      </c>
      <c r="AFD58">
        <v>0</v>
      </c>
      <c r="AFE58">
        <v>0</v>
      </c>
      <c r="AFF58">
        <v>0</v>
      </c>
      <c r="AFG58">
        <v>0</v>
      </c>
      <c r="AFH58">
        <v>0</v>
      </c>
      <c r="AFI58">
        <v>0</v>
      </c>
      <c r="AFJ58">
        <v>0</v>
      </c>
      <c r="AFK58">
        <v>0</v>
      </c>
      <c r="AFL58">
        <v>0</v>
      </c>
      <c r="AFM58">
        <v>0</v>
      </c>
      <c r="AFN58">
        <v>0</v>
      </c>
      <c r="AFO58">
        <v>0</v>
      </c>
      <c r="AFP58">
        <v>0</v>
      </c>
      <c r="AFQ58">
        <v>0</v>
      </c>
      <c r="AFR58">
        <v>0</v>
      </c>
      <c r="AFS58">
        <v>0</v>
      </c>
      <c r="AFT58">
        <v>0</v>
      </c>
      <c r="AFU58">
        <v>0</v>
      </c>
      <c r="AFV58">
        <v>0</v>
      </c>
      <c r="AFW58">
        <v>0</v>
      </c>
      <c r="AFX58">
        <v>0</v>
      </c>
      <c r="AFY58">
        <v>0</v>
      </c>
      <c r="AFZ58">
        <v>0</v>
      </c>
      <c r="AGA58">
        <v>0</v>
      </c>
      <c r="AGB58">
        <v>0</v>
      </c>
      <c r="AGC58">
        <v>0</v>
      </c>
      <c r="AGD58">
        <v>0</v>
      </c>
      <c r="AGE58">
        <v>0</v>
      </c>
      <c r="AGF58">
        <v>0</v>
      </c>
      <c r="AGG58">
        <v>0</v>
      </c>
      <c r="AGH58">
        <v>0</v>
      </c>
      <c r="AGI58">
        <v>0</v>
      </c>
      <c r="AGJ58">
        <v>0</v>
      </c>
      <c r="AGK58">
        <v>0</v>
      </c>
      <c r="AGL58">
        <v>0</v>
      </c>
      <c r="AGM58">
        <v>0</v>
      </c>
      <c r="AGN58">
        <v>0</v>
      </c>
      <c r="AGO58">
        <v>0</v>
      </c>
      <c r="AGP58">
        <v>0</v>
      </c>
      <c r="AGQ58">
        <v>0</v>
      </c>
      <c r="AGR58">
        <v>0</v>
      </c>
      <c r="AGS58">
        <v>0</v>
      </c>
      <c r="AGT58">
        <v>0</v>
      </c>
      <c r="AGU58">
        <v>0</v>
      </c>
      <c r="AGV58">
        <v>0</v>
      </c>
      <c r="AGW58">
        <v>0</v>
      </c>
      <c r="AGX58">
        <v>0</v>
      </c>
      <c r="AGY58">
        <v>0</v>
      </c>
      <c r="AGZ58">
        <v>0</v>
      </c>
      <c r="AHA58">
        <v>0</v>
      </c>
      <c r="AHB58">
        <v>0</v>
      </c>
      <c r="AHC58">
        <v>0</v>
      </c>
      <c r="AHD58">
        <v>0</v>
      </c>
      <c r="AHE58">
        <v>0</v>
      </c>
      <c r="AHF58">
        <v>0</v>
      </c>
      <c r="AHG58">
        <v>0</v>
      </c>
      <c r="AHH58">
        <v>0</v>
      </c>
      <c r="AHI58">
        <v>0</v>
      </c>
      <c r="AHJ58">
        <v>0</v>
      </c>
      <c r="AHK58">
        <v>0</v>
      </c>
      <c r="AHL58">
        <v>0</v>
      </c>
      <c r="AHM58">
        <v>0</v>
      </c>
      <c r="AHN58">
        <v>0</v>
      </c>
      <c r="AHO58">
        <v>0</v>
      </c>
      <c r="AHP58">
        <v>0</v>
      </c>
      <c r="AHQ58">
        <v>0</v>
      </c>
      <c r="AHR58">
        <v>0</v>
      </c>
      <c r="AHS58">
        <v>0</v>
      </c>
      <c r="AHT58">
        <v>0</v>
      </c>
      <c r="AHU58">
        <v>0</v>
      </c>
      <c r="AHV58">
        <v>0</v>
      </c>
      <c r="AHW58">
        <v>0</v>
      </c>
      <c r="AHX58">
        <v>0</v>
      </c>
      <c r="AHY58">
        <v>0</v>
      </c>
      <c r="AHZ58">
        <v>0</v>
      </c>
      <c r="AIA58">
        <v>0</v>
      </c>
      <c r="AIB58">
        <v>0</v>
      </c>
      <c r="AIC58">
        <v>0</v>
      </c>
      <c r="AID58">
        <v>0</v>
      </c>
      <c r="AIE58">
        <v>0</v>
      </c>
      <c r="AIF58">
        <v>0</v>
      </c>
      <c r="AIG58">
        <v>0</v>
      </c>
      <c r="AIH58">
        <v>0</v>
      </c>
      <c r="AII58">
        <v>0</v>
      </c>
      <c r="AIJ58">
        <v>0</v>
      </c>
      <c r="AIK58">
        <v>0</v>
      </c>
      <c r="AIL58">
        <v>-4500</v>
      </c>
      <c r="AIM58">
        <v>0</v>
      </c>
      <c r="AIN58">
        <v>0</v>
      </c>
      <c r="AIO58">
        <v>0</v>
      </c>
      <c r="AIP58">
        <v>0</v>
      </c>
      <c r="AIQ58">
        <v>0</v>
      </c>
      <c r="AIR58">
        <v>0</v>
      </c>
      <c r="AIS58">
        <v>0</v>
      </c>
      <c r="AIT58">
        <v>0</v>
      </c>
      <c r="AIU58">
        <v>0</v>
      </c>
      <c r="AIV58">
        <v>0</v>
      </c>
      <c r="AIW58">
        <v>0</v>
      </c>
      <c r="AIX58">
        <v>0</v>
      </c>
      <c r="AIY58">
        <v>0</v>
      </c>
      <c r="AIZ58">
        <v>0</v>
      </c>
      <c r="AJA58">
        <v>0</v>
      </c>
      <c r="AJB58">
        <v>0</v>
      </c>
      <c r="AJC58">
        <v>0</v>
      </c>
      <c r="AJD58">
        <v>0</v>
      </c>
      <c r="AJE58">
        <v>0</v>
      </c>
      <c r="AJF58">
        <v>0</v>
      </c>
      <c r="AJG58">
        <v>0</v>
      </c>
      <c r="AJH58">
        <v>0</v>
      </c>
      <c r="AJI58">
        <v>0</v>
      </c>
      <c r="AJJ58">
        <v>0</v>
      </c>
      <c r="AJK58">
        <v>0</v>
      </c>
      <c r="AJL58">
        <v>0</v>
      </c>
      <c r="AJM58">
        <v>0</v>
      </c>
      <c r="AJN58">
        <v>0</v>
      </c>
      <c r="AJO58">
        <v>0</v>
      </c>
      <c r="AJP58">
        <v>0</v>
      </c>
      <c r="AJQ58">
        <v>0</v>
      </c>
      <c r="AJR58">
        <v>0</v>
      </c>
      <c r="AJS58">
        <v>0</v>
      </c>
      <c r="AJT58">
        <v>0</v>
      </c>
      <c r="AJU58">
        <v>0</v>
      </c>
      <c r="AJV58">
        <v>0</v>
      </c>
      <c r="AJW58">
        <v>0</v>
      </c>
      <c r="AJX58">
        <v>0</v>
      </c>
      <c r="AJY58">
        <v>0</v>
      </c>
    </row>
    <row r="59" spans="1:961" x14ac:dyDescent="0.3">
      <c r="A59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10000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5000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7749.3135999999995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-3302.7937777777779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  <c r="OQ59">
        <v>0</v>
      </c>
      <c r="OR59">
        <v>0</v>
      </c>
      <c r="OS59">
        <v>0</v>
      </c>
      <c r="OT59">
        <v>0</v>
      </c>
      <c r="OU59">
        <v>0</v>
      </c>
      <c r="OV59">
        <v>0</v>
      </c>
      <c r="OW59">
        <v>0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0</v>
      </c>
      <c r="PS59">
        <v>0</v>
      </c>
      <c r="PT59">
        <v>0</v>
      </c>
      <c r="PU59">
        <v>0</v>
      </c>
      <c r="PV59">
        <v>0</v>
      </c>
      <c r="PW59">
        <v>0</v>
      </c>
      <c r="PX59">
        <v>0</v>
      </c>
      <c r="PY59">
        <v>0</v>
      </c>
      <c r="PZ59">
        <v>0</v>
      </c>
      <c r="QA59">
        <v>-150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0</v>
      </c>
      <c r="RB59">
        <v>0</v>
      </c>
      <c r="RC59">
        <v>0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0</v>
      </c>
      <c r="SC59">
        <v>0</v>
      </c>
      <c r="SD59">
        <v>0</v>
      </c>
      <c r="SE59">
        <v>0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0</v>
      </c>
      <c r="TE59">
        <v>0</v>
      </c>
      <c r="TF59">
        <v>0</v>
      </c>
      <c r="TG59">
        <v>0</v>
      </c>
      <c r="TH59">
        <v>0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-1000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</v>
      </c>
      <c r="UA59">
        <v>0</v>
      </c>
      <c r="UB59">
        <v>0</v>
      </c>
      <c r="UC59">
        <v>0</v>
      </c>
      <c r="UD59">
        <v>0</v>
      </c>
      <c r="UE59">
        <v>0</v>
      </c>
      <c r="UF59">
        <v>0</v>
      </c>
      <c r="UG59">
        <v>0</v>
      </c>
      <c r="UH59">
        <v>0</v>
      </c>
      <c r="UI59">
        <v>0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0</v>
      </c>
      <c r="VG59">
        <v>0</v>
      </c>
      <c r="VH59">
        <v>0</v>
      </c>
      <c r="VI59">
        <v>0</v>
      </c>
      <c r="VJ59">
        <v>0</v>
      </c>
      <c r="VK59">
        <v>0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0</v>
      </c>
      <c r="WG59">
        <v>0</v>
      </c>
      <c r="WH59">
        <v>0</v>
      </c>
      <c r="WI59">
        <v>0</v>
      </c>
      <c r="WJ59">
        <v>0</v>
      </c>
      <c r="WK59">
        <v>0</v>
      </c>
      <c r="WL59">
        <v>0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0</v>
      </c>
      <c r="XA59">
        <v>0</v>
      </c>
      <c r="XB59">
        <v>0</v>
      </c>
      <c r="XC59">
        <v>0</v>
      </c>
      <c r="XD59">
        <v>0</v>
      </c>
      <c r="XE59">
        <v>0</v>
      </c>
      <c r="XF59">
        <v>0</v>
      </c>
      <c r="XG59">
        <v>0</v>
      </c>
      <c r="XH59">
        <v>0</v>
      </c>
      <c r="XI59">
        <v>0</v>
      </c>
      <c r="XJ59">
        <v>0</v>
      </c>
      <c r="XK59">
        <v>-5</v>
      </c>
      <c r="XL59">
        <v>0</v>
      </c>
      <c r="XM59">
        <v>0</v>
      </c>
      <c r="XN59">
        <v>0</v>
      </c>
      <c r="XO59">
        <v>0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0</v>
      </c>
      <c r="YC59">
        <v>0</v>
      </c>
      <c r="YD59">
        <v>0</v>
      </c>
      <c r="YE59">
        <v>0</v>
      </c>
      <c r="YF59">
        <v>0</v>
      </c>
      <c r="YG59">
        <v>0</v>
      </c>
      <c r="YH59">
        <v>0</v>
      </c>
      <c r="YI59">
        <v>0</v>
      </c>
      <c r="YJ59">
        <v>0</v>
      </c>
      <c r="YK59">
        <v>0</v>
      </c>
      <c r="YL59">
        <v>0</v>
      </c>
      <c r="YM59">
        <v>0</v>
      </c>
      <c r="YN59">
        <v>0</v>
      </c>
      <c r="YO59">
        <v>0</v>
      </c>
      <c r="YP59">
        <v>0</v>
      </c>
      <c r="YQ59">
        <v>0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0</v>
      </c>
      <c r="ZE59">
        <v>0</v>
      </c>
      <c r="ZF59">
        <v>0</v>
      </c>
      <c r="ZG59">
        <v>0</v>
      </c>
      <c r="ZH59">
        <v>0</v>
      </c>
      <c r="ZI59">
        <v>0</v>
      </c>
      <c r="ZJ59">
        <v>0</v>
      </c>
      <c r="ZK59">
        <v>0</v>
      </c>
      <c r="ZL59">
        <v>0</v>
      </c>
      <c r="ZM59">
        <v>0</v>
      </c>
      <c r="ZN59">
        <v>0</v>
      </c>
      <c r="ZO59">
        <v>0</v>
      </c>
      <c r="ZP59">
        <v>0</v>
      </c>
      <c r="ZQ59">
        <v>0</v>
      </c>
      <c r="ZR59">
        <v>0</v>
      </c>
      <c r="ZS59">
        <v>0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0</v>
      </c>
      <c r="AAJ59">
        <v>0</v>
      </c>
      <c r="AAK59">
        <v>0</v>
      </c>
      <c r="AAL59">
        <v>0</v>
      </c>
      <c r="AAM59">
        <v>0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0</v>
      </c>
      <c r="AAU59">
        <v>0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-256.16438356164383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0</v>
      </c>
      <c r="ABW59">
        <v>0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  <c r="ADF59">
        <v>0</v>
      </c>
      <c r="ADG59">
        <v>0</v>
      </c>
      <c r="ADH59">
        <v>0</v>
      </c>
      <c r="ADI59">
        <v>0</v>
      </c>
      <c r="ADJ59">
        <v>0</v>
      </c>
      <c r="ADK59">
        <v>0</v>
      </c>
      <c r="ADL59">
        <v>0</v>
      </c>
      <c r="ADM59">
        <v>0</v>
      </c>
      <c r="ADN59">
        <v>0</v>
      </c>
      <c r="ADO59">
        <v>0</v>
      </c>
      <c r="ADP59">
        <v>0</v>
      </c>
      <c r="ADQ59">
        <v>0</v>
      </c>
      <c r="ADR59">
        <v>0</v>
      </c>
      <c r="ADS59">
        <v>0</v>
      </c>
      <c r="ADT59">
        <v>0</v>
      </c>
      <c r="ADU59">
        <v>0</v>
      </c>
      <c r="ADV59">
        <v>0</v>
      </c>
      <c r="ADW59">
        <v>0</v>
      </c>
      <c r="ADX59">
        <v>0</v>
      </c>
      <c r="ADY59">
        <v>0</v>
      </c>
      <c r="ADZ59">
        <v>0</v>
      </c>
      <c r="AEA59">
        <v>0</v>
      </c>
      <c r="AEB59">
        <v>0</v>
      </c>
      <c r="AEC59">
        <v>0</v>
      </c>
      <c r="AED59">
        <v>0</v>
      </c>
      <c r="AEE59">
        <v>0</v>
      </c>
      <c r="AEF59">
        <v>0</v>
      </c>
      <c r="AEG59">
        <v>0</v>
      </c>
      <c r="AEH59">
        <v>0</v>
      </c>
      <c r="AEI59">
        <v>0</v>
      </c>
      <c r="AEJ59">
        <v>0</v>
      </c>
      <c r="AEK59">
        <v>0</v>
      </c>
      <c r="AEL59">
        <v>0</v>
      </c>
      <c r="AEM59">
        <v>0</v>
      </c>
      <c r="AEN59">
        <v>0</v>
      </c>
      <c r="AEO59">
        <v>0</v>
      </c>
      <c r="AEP59">
        <v>0</v>
      </c>
      <c r="AEQ59">
        <v>0</v>
      </c>
      <c r="AER59">
        <v>0</v>
      </c>
      <c r="AES59">
        <v>0</v>
      </c>
      <c r="AET59">
        <v>0</v>
      </c>
      <c r="AEU59">
        <v>-120</v>
      </c>
      <c r="AEV59">
        <v>0</v>
      </c>
      <c r="AEW59">
        <v>0</v>
      </c>
      <c r="AEX59">
        <v>0</v>
      </c>
      <c r="AEY59">
        <v>0</v>
      </c>
      <c r="AEZ59">
        <v>0</v>
      </c>
      <c r="AFA59">
        <v>0</v>
      </c>
      <c r="AFB59">
        <v>0</v>
      </c>
      <c r="AFC59">
        <v>0</v>
      </c>
      <c r="AFD59">
        <v>0</v>
      </c>
      <c r="AFE59">
        <v>0</v>
      </c>
      <c r="AFF59">
        <v>0</v>
      </c>
      <c r="AFG59">
        <v>0</v>
      </c>
      <c r="AFH59">
        <v>0</v>
      </c>
      <c r="AFI59">
        <v>0</v>
      </c>
      <c r="AFJ59">
        <v>0</v>
      </c>
      <c r="AFK59">
        <v>0</v>
      </c>
      <c r="AFL59">
        <v>0</v>
      </c>
      <c r="AFM59">
        <v>0</v>
      </c>
      <c r="AFN59">
        <v>0</v>
      </c>
      <c r="AFO59">
        <v>0</v>
      </c>
      <c r="AFP59">
        <v>0</v>
      </c>
      <c r="AFQ59">
        <v>0</v>
      </c>
      <c r="AFR59">
        <v>0</v>
      </c>
      <c r="AFS59">
        <v>0</v>
      </c>
      <c r="AFT59">
        <v>0</v>
      </c>
      <c r="AFU59">
        <v>0</v>
      </c>
      <c r="AFV59">
        <v>0</v>
      </c>
      <c r="AFW59">
        <v>0</v>
      </c>
      <c r="AFX59">
        <v>0</v>
      </c>
      <c r="AFY59">
        <v>0</v>
      </c>
      <c r="AFZ59">
        <v>0</v>
      </c>
      <c r="AGA59">
        <v>0</v>
      </c>
      <c r="AGB59">
        <v>0</v>
      </c>
      <c r="AGC59">
        <v>0</v>
      </c>
      <c r="AGD59">
        <v>0</v>
      </c>
      <c r="AGE59">
        <v>0</v>
      </c>
      <c r="AGF59">
        <v>0</v>
      </c>
      <c r="AGG59">
        <v>0</v>
      </c>
      <c r="AGH59">
        <v>0</v>
      </c>
      <c r="AGI59">
        <v>0</v>
      </c>
      <c r="AGJ59">
        <v>0</v>
      </c>
      <c r="AGK59">
        <v>0</v>
      </c>
      <c r="AGL59">
        <v>0</v>
      </c>
      <c r="AGM59">
        <v>0</v>
      </c>
      <c r="AGN59">
        <v>0</v>
      </c>
      <c r="AGO59">
        <v>0</v>
      </c>
      <c r="AGP59">
        <v>0</v>
      </c>
      <c r="AGQ59">
        <v>0</v>
      </c>
      <c r="AGR59">
        <v>0</v>
      </c>
      <c r="AGS59">
        <v>0</v>
      </c>
      <c r="AGT59">
        <v>0</v>
      </c>
      <c r="AGU59">
        <v>0</v>
      </c>
      <c r="AGV59">
        <v>0</v>
      </c>
      <c r="AGW59">
        <v>0</v>
      </c>
      <c r="AGX59">
        <v>0</v>
      </c>
      <c r="AGY59">
        <v>0</v>
      </c>
      <c r="AGZ59">
        <v>0</v>
      </c>
      <c r="AHA59">
        <v>0</v>
      </c>
      <c r="AHB59">
        <v>0</v>
      </c>
      <c r="AHC59">
        <v>0</v>
      </c>
      <c r="AHD59">
        <v>0</v>
      </c>
      <c r="AHE59">
        <v>0</v>
      </c>
      <c r="AHF59">
        <v>0</v>
      </c>
      <c r="AHG59">
        <v>0</v>
      </c>
      <c r="AHH59">
        <v>0</v>
      </c>
      <c r="AHI59">
        <v>0</v>
      </c>
      <c r="AHJ59">
        <v>0</v>
      </c>
      <c r="AHK59">
        <v>0</v>
      </c>
      <c r="AHL59">
        <v>0</v>
      </c>
      <c r="AHM59">
        <v>0</v>
      </c>
      <c r="AHN59">
        <v>0</v>
      </c>
      <c r="AHO59">
        <v>0</v>
      </c>
      <c r="AHP59">
        <v>0</v>
      </c>
      <c r="AHQ59">
        <v>0</v>
      </c>
      <c r="AHR59">
        <v>0</v>
      </c>
      <c r="AHS59">
        <v>0</v>
      </c>
      <c r="AHT59">
        <v>0</v>
      </c>
      <c r="AHU59">
        <v>0</v>
      </c>
      <c r="AHV59">
        <v>0</v>
      </c>
      <c r="AHW59">
        <v>0</v>
      </c>
      <c r="AHX59">
        <v>0</v>
      </c>
      <c r="AHY59">
        <v>0</v>
      </c>
      <c r="AHZ59">
        <v>0</v>
      </c>
      <c r="AIA59">
        <v>0</v>
      </c>
      <c r="AIB59">
        <v>0</v>
      </c>
      <c r="AIC59">
        <v>0</v>
      </c>
      <c r="AID59">
        <v>0</v>
      </c>
      <c r="AIE59">
        <v>0</v>
      </c>
      <c r="AIF59">
        <v>0</v>
      </c>
      <c r="AIG59">
        <v>0</v>
      </c>
      <c r="AIH59">
        <v>0</v>
      </c>
      <c r="AII59">
        <v>0</v>
      </c>
      <c r="AIJ59">
        <v>0</v>
      </c>
      <c r="AIK59">
        <v>0</v>
      </c>
      <c r="AIL59">
        <v>0</v>
      </c>
      <c r="AIM59">
        <v>-4500</v>
      </c>
      <c r="AIN59">
        <v>0</v>
      </c>
      <c r="AIO59">
        <v>0</v>
      </c>
      <c r="AIP59">
        <v>0</v>
      </c>
      <c r="AIQ59">
        <v>0</v>
      </c>
      <c r="AIR59">
        <v>0</v>
      </c>
      <c r="AIS59">
        <v>0</v>
      </c>
      <c r="AIT59">
        <v>0</v>
      </c>
      <c r="AIU59">
        <v>0</v>
      </c>
      <c r="AIV59">
        <v>0</v>
      </c>
      <c r="AIW59">
        <v>0</v>
      </c>
      <c r="AIX59">
        <v>0</v>
      </c>
      <c r="AIY59">
        <v>0</v>
      </c>
      <c r="AIZ59">
        <v>0</v>
      </c>
      <c r="AJA59">
        <v>0</v>
      </c>
      <c r="AJB59">
        <v>0</v>
      </c>
      <c r="AJC59">
        <v>0</v>
      </c>
      <c r="AJD59">
        <v>0</v>
      </c>
      <c r="AJE59">
        <v>0</v>
      </c>
      <c r="AJF59">
        <v>0</v>
      </c>
      <c r="AJG59">
        <v>0</v>
      </c>
      <c r="AJH59">
        <v>0</v>
      </c>
      <c r="AJI59">
        <v>0</v>
      </c>
      <c r="AJJ59">
        <v>0</v>
      </c>
      <c r="AJK59">
        <v>0</v>
      </c>
      <c r="AJL59">
        <v>0</v>
      </c>
      <c r="AJM59">
        <v>0</v>
      </c>
      <c r="AJN59">
        <v>0</v>
      </c>
      <c r="AJO59">
        <v>0</v>
      </c>
      <c r="AJP59">
        <v>0</v>
      </c>
      <c r="AJQ59">
        <v>0</v>
      </c>
      <c r="AJR59">
        <v>0</v>
      </c>
      <c r="AJS59">
        <v>0</v>
      </c>
      <c r="AJT59">
        <v>0</v>
      </c>
      <c r="AJU59">
        <v>0</v>
      </c>
      <c r="AJV59">
        <v>0</v>
      </c>
      <c r="AJW59">
        <v>0</v>
      </c>
      <c r="AJX59">
        <v>0</v>
      </c>
      <c r="AJY59">
        <v>0</v>
      </c>
    </row>
    <row r="60" spans="1:961" x14ac:dyDescent="0.3">
      <c r="A60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10000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5000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7749.3135999999995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-3302.7937777777779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  <c r="OQ60">
        <v>0</v>
      </c>
      <c r="OR60">
        <v>0</v>
      </c>
      <c r="OS60">
        <v>0</v>
      </c>
      <c r="OT60">
        <v>0</v>
      </c>
      <c r="OU60">
        <v>0</v>
      </c>
      <c r="OV60">
        <v>0</v>
      </c>
      <c r="OW60">
        <v>0</v>
      </c>
      <c r="OX60">
        <v>0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0</v>
      </c>
      <c r="PS60">
        <v>0</v>
      </c>
      <c r="PT60">
        <v>0</v>
      </c>
      <c r="PU60">
        <v>0</v>
      </c>
      <c r="PV60">
        <v>0</v>
      </c>
      <c r="PW60">
        <v>0</v>
      </c>
      <c r="PX60">
        <v>0</v>
      </c>
      <c r="PY60">
        <v>0</v>
      </c>
      <c r="PZ60">
        <v>0</v>
      </c>
      <c r="QA60">
        <v>0</v>
      </c>
      <c r="QB60">
        <v>-150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0</v>
      </c>
      <c r="QY60">
        <v>0</v>
      </c>
      <c r="QZ60">
        <v>0</v>
      </c>
      <c r="RA60">
        <v>0</v>
      </c>
      <c r="RB60">
        <v>0</v>
      </c>
      <c r="RC60">
        <v>0</v>
      </c>
      <c r="RD60">
        <v>0</v>
      </c>
      <c r="RE60">
        <v>0</v>
      </c>
      <c r="RF60">
        <v>0</v>
      </c>
      <c r="RG60">
        <v>0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0</v>
      </c>
      <c r="RO60">
        <v>0</v>
      </c>
      <c r="RP60">
        <v>0</v>
      </c>
      <c r="RQ60">
        <v>0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0</v>
      </c>
      <c r="RX60">
        <v>0</v>
      </c>
      <c r="RY60">
        <v>0</v>
      </c>
      <c r="RZ60">
        <v>0</v>
      </c>
      <c r="SA60">
        <v>0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>
        <v>0</v>
      </c>
      <c r="SX60">
        <v>0</v>
      </c>
      <c r="SY60">
        <v>0</v>
      </c>
      <c r="SZ60">
        <v>0</v>
      </c>
      <c r="TA60">
        <v>0</v>
      </c>
      <c r="TB60">
        <v>0</v>
      </c>
      <c r="TC60">
        <v>0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0</v>
      </c>
      <c r="TS60">
        <v>0</v>
      </c>
      <c r="TT60">
        <v>-1000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0</v>
      </c>
      <c r="UA60">
        <v>0</v>
      </c>
      <c r="UB60">
        <v>0</v>
      </c>
      <c r="UC60">
        <v>0</v>
      </c>
      <c r="UD60">
        <v>0</v>
      </c>
      <c r="UE60">
        <v>0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0</v>
      </c>
      <c r="UM60">
        <v>0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0</v>
      </c>
      <c r="VB60">
        <v>0</v>
      </c>
      <c r="VC60">
        <v>0</v>
      </c>
      <c r="VD60">
        <v>0</v>
      </c>
      <c r="VE60">
        <v>0</v>
      </c>
      <c r="VF60">
        <v>0</v>
      </c>
      <c r="VG60">
        <v>0</v>
      </c>
      <c r="VH60">
        <v>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0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0</v>
      </c>
      <c r="WD60">
        <v>0</v>
      </c>
      <c r="WE60">
        <v>0</v>
      </c>
      <c r="WF60">
        <v>0</v>
      </c>
      <c r="WG60">
        <v>0</v>
      </c>
      <c r="WH60">
        <v>0</v>
      </c>
      <c r="WI60">
        <v>0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0</v>
      </c>
      <c r="XF60">
        <v>0</v>
      </c>
      <c r="XG60">
        <v>0</v>
      </c>
      <c r="XH60">
        <v>0</v>
      </c>
      <c r="XI60">
        <v>0</v>
      </c>
      <c r="XJ60">
        <v>0</v>
      </c>
      <c r="XK60">
        <v>0</v>
      </c>
      <c r="XL60">
        <v>-5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0</v>
      </c>
      <c r="XS60">
        <v>0</v>
      </c>
      <c r="XT60">
        <v>0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0</v>
      </c>
      <c r="YG60">
        <v>0</v>
      </c>
      <c r="YH60">
        <v>0</v>
      </c>
      <c r="YI60">
        <v>0</v>
      </c>
      <c r="YJ60">
        <v>0</v>
      </c>
      <c r="YK60">
        <v>0</v>
      </c>
      <c r="YL60">
        <v>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0</v>
      </c>
      <c r="YU60">
        <v>0</v>
      </c>
      <c r="YV60">
        <v>0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0</v>
      </c>
      <c r="ZI60">
        <v>0</v>
      </c>
      <c r="ZJ60">
        <v>0</v>
      </c>
      <c r="ZK60">
        <v>0</v>
      </c>
      <c r="ZL60">
        <v>0</v>
      </c>
      <c r="ZM60">
        <v>0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0</v>
      </c>
      <c r="ZW60">
        <v>0</v>
      </c>
      <c r="ZX60">
        <v>0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0</v>
      </c>
      <c r="AAK60">
        <v>0</v>
      </c>
      <c r="AAL60">
        <v>0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0</v>
      </c>
      <c r="AAY60">
        <v>0</v>
      </c>
      <c r="AAZ60">
        <v>0</v>
      </c>
      <c r="ABA60">
        <v>0</v>
      </c>
      <c r="ABB60">
        <v>0</v>
      </c>
      <c r="ABC60">
        <v>0</v>
      </c>
      <c r="ABD60">
        <v>-256.16438356164383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0</v>
      </c>
      <c r="ABM60">
        <v>0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0</v>
      </c>
      <c r="ACA60">
        <v>0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  <c r="ADF60">
        <v>0</v>
      </c>
      <c r="ADG60">
        <v>0</v>
      </c>
      <c r="ADH60">
        <v>0</v>
      </c>
      <c r="ADI60">
        <v>0</v>
      </c>
      <c r="ADJ60">
        <v>0</v>
      </c>
      <c r="ADK60">
        <v>0</v>
      </c>
      <c r="ADL60">
        <v>0</v>
      </c>
      <c r="ADM60">
        <v>0</v>
      </c>
      <c r="ADN60">
        <v>0</v>
      </c>
      <c r="ADO60">
        <v>0</v>
      </c>
      <c r="ADP60">
        <v>0</v>
      </c>
      <c r="ADQ60">
        <v>0</v>
      </c>
      <c r="ADR60">
        <v>0</v>
      </c>
      <c r="ADS60">
        <v>0</v>
      </c>
      <c r="ADT60">
        <v>0</v>
      </c>
      <c r="ADU60">
        <v>0</v>
      </c>
      <c r="ADV60">
        <v>0</v>
      </c>
      <c r="ADW60">
        <v>0</v>
      </c>
      <c r="ADX60">
        <v>0</v>
      </c>
      <c r="ADY60">
        <v>0</v>
      </c>
      <c r="ADZ60">
        <v>0</v>
      </c>
      <c r="AEA60">
        <v>0</v>
      </c>
      <c r="AEB60">
        <v>0</v>
      </c>
      <c r="AEC60">
        <v>0</v>
      </c>
      <c r="AED60">
        <v>0</v>
      </c>
      <c r="AEE60">
        <v>0</v>
      </c>
      <c r="AEF60">
        <v>0</v>
      </c>
      <c r="AEG60">
        <v>0</v>
      </c>
      <c r="AEH60">
        <v>0</v>
      </c>
      <c r="AEI60">
        <v>0</v>
      </c>
      <c r="AEJ60">
        <v>0</v>
      </c>
      <c r="AEK60">
        <v>0</v>
      </c>
      <c r="AEL60">
        <v>0</v>
      </c>
      <c r="AEM60">
        <v>0</v>
      </c>
      <c r="AEN60">
        <v>0</v>
      </c>
      <c r="AEO60">
        <v>0</v>
      </c>
      <c r="AEP60">
        <v>0</v>
      </c>
      <c r="AEQ60">
        <v>0</v>
      </c>
      <c r="AER60">
        <v>0</v>
      </c>
      <c r="AES60">
        <v>0</v>
      </c>
      <c r="AET60">
        <v>0</v>
      </c>
      <c r="AEU60">
        <v>0</v>
      </c>
      <c r="AEV60">
        <v>-120</v>
      </c>
      <c r="AEW60">
        <v>0</v>
      </c>
      <c r="AEX60">
        <v>0</v>
      </c>
      <c r="AEY60">
        <v>0</v>
      </c>
      <c r="AEZ60">
        <v>0</v>
      </c>
      <c r="AFA60">
        <v>0</v>
      </c>
      <c r="AFB60">
        <v>0</v>
      </c>
      <c r="AFC60">
        <v>0</v>
      </c>
      <c r="AFD60">
        <v>0</v>
      </c>
      <c r="AFE60">
        <v>0</v>
      </c>
      <c r="AFF60">
        <v>0</v>
      </c>
      <c r="AFG60">
        <v>0</v>
      </c>
      <c r="AFH60">
        <v>0</v>
      </c>
      <c r="AFI60">
        <v>0</v>
      </c>
      <c r="AFJ60">
        <v>0</v>
      </c>
      <c r="AFK60">
        <v>0</v>
      </c>
      <c r="AFL60">
        <v>0</v>
      </c>
      <c r="AFM60">
        <v>0</v>
      </c>
      <c r="AFN60">
        <v>0</v>
      </c>
      <c r="AFO60">
        <v>0</v>
      </c>
      <c r="AFP60">
        <v>0</v>
      </c>
      <c r="AFQ60">
        <v>0</v>
      </c>
      <c r="AFR60">
        <v>0</v>
      </c>
      <c r="AFS60">
        <v>0</v>
      </c>
      <c r="AFT60">
        <v>0</v>
      </c>
      <c r="AFU60">
        <v>0</v>
      </c>
      <c r="AFV60">
        <v>0</v>
      </c>
      <c r="AFW60">
        <v>0</v>
      </c>
      <c r="AFX60">
        <v>0</v>
      </c>
      <c r="AFY60">
        <v>0</v>
      </c>
      <c r="AFZ60">
        <v>0</v>
      </c>
      <c r="AGA60">
        <v>0</v>
      </c>
      <c r="AGB60">
        <v>0</v>
      </c>
      <c r="AGC60">
        <v>0</v>
      </c>
      <c r="AGD60">
        <v>0</v>
      </c>
      <c r="AGE60">
        <v>0</v>
      </c>
      <c r="AGF60">
        <v>0</v>
      </c>
      <c r="AGG60">
        <v>0</v>
      </c>
      <c r="AGH60">
        <v>0</v>
      </c>
      <c r="AGI60">
        <v>0</v>
      </c>
      <c r="AGJ60">
        <v>0</v>
      </c>
      <c r="AGK60">
        <v>0</v>
      </c>
      <c r="AGL60">
        <v>0</v>
      </c>
      <c r="AGM60">
        <v>0</v>
      </c>
      <c r="AGN60">
        <v>0</v>
      </c>
      <c r="AGO60">
        <v>0</v>
      </c>
      <c r="AGP60">
        <v>0</v>
      </c>
      <c r="AGQ60">
        <v>0</v>
      </c>
      <c r="AGR60">
        <v>0</v>
      </c>
      <c r="AGS60">
        <v>0</v>
      </c>
      <c r="AGT60">
        <v>0</v>
      </c>
      <c r="AGU60">
        <v>0</v>
      </c>
      <c r="AGV60">
        <v>0</v>
      </c>
      <c r="AGW60">
        <v>0</v>
      </c>
      <c r="AGX60">
        <v>0</v>
      </c>
      <c r="AGY60">
        <v>0</v>
      </c>
      <c r="AGZ60">
        <v>0</v>
      </c>
      <c r="AHA60">
        <v>0</v>
      </c>
      <c r="AHB60">
        <v>0</v>
      </c>
      <c r="AHC60">
        <v>0</v>
      </c>
      <c r="AHD60">
        <v>0</v>
      </c>
      <c r="AHE60">
        <v>0</v>
      </c>
      <c r="AHF60">
        <v>0</v>
      </c>
      <c r="AHG60">
        <v>0</v>
      </c>
      <c r="AHH60">
        <v>0</v>
      </c>
      <c r="AHI60">
        <v>0</v>
      </c>
      <c r="AHJ60">
        <v>0</v>
      </c>
      <c r="AHK60">
        <v>0</v>
      </c>
      <c r="AHL60">
        <v>0</v>
      </c>
      <c r="AHM60">
        <v>0</v>
      </c>
      <c r="AHN60">
        <v>0</v>
      </c>
      <c r="AHO60">
        <v>0</v>
      </c>
      <c r="AHP60">
        <v>0</v>
      </c>
      <c r="AHQ60">
        <v>0</v>
      </c>
      <c r="AHR60">
        <v>0</v>
      </c>
      <c r="AHS60">
        <v>0</v>
      </c>
      <c r="AHT60">
        <v>0</v>
      </c>
      <c r="AHU60">
        <v>0</v>
      </c>
      <c r="AHV60">
        <v>0</v>
      </c>
      <c r="AHW60">
        <v>0</v>
      </c>
      <c r="AHX60">
        <v>0</v>
      </c>
      <c r="AHY60">
        <v>0</v>
      </c>
      <c r="AHZ60">
        <v>0</v>
      </c>
      <c r="AIA60">
        <v>0</v>
      </c>
      <c r="AIB60">
        <v>0</v>
      </c>
      <c r="AIC60">
        <v>0</v>
      </c>
      <c r="AID60">
        <v>0</v>
      </c>
      <c r="AIE60">
        <v>0</v>
      </c>
      <c r="AIF60">
        <v>0</v>
      </c>
      <c r="AIG60">
        <v>0</v>
      </c>
      <c r="AIH60">
        <v>0</v>
      </c>
      <c r="AII60">
        <v>0</v>
      </c>
      <c r="AIJ60">
        <v>0</v>
      </c>
      <c r="AIK60">
        <v>0</v>
      </c>
      <c r="AIL60">
        <v>0</v>
      </c>
      <c r="AIM60">
        <v>0</v>
      </c>
      <c r="AIN60">
        <v>-4500</v>
      </c>
      <c r="AIO60">
        <v>0</v>
      </c>
      <c r="AIP60">
        <v>0</v>
      </c>
      <c r="AIQ60">
        <v>0</v>
      </c>
      <c r="AIR60">
        <v>0</v>
      </c>
      <c r="AIS60">
        <v>0</v>
      </c>
      <c r="AIT60">
        <v>0</v>
      </c>
      <c r="AIU60">
        <v>0</v>
      </c>
      <c r="AIV60">
        <v>0</v>
      </c>
      <c r="AIW60">
        <v>0</v>
      </c>
      <c r="AIX60">
        <v>0</v>
      </c>
      <c r="AIY60">
        <v>0</v>
      </c>
      <c r="AIZ60">
        <v>0</v>
      </c>
      <c r="AJA60">
        <v>0</v>
      </c>
      <c r="AJB60">
        <v>0</v>
      </c>
      <c r="AJC60">
        <v>0</v>
      </c>
      <c r="AJD60">
        <v>0</v>
      </c>
      <c r="AJE60">
        <v>0</v>
      </c>
      <c r="AJF60">
        <v>0</v>
      </c>
      <c r="AJG60">
        <v>0</v>
      </c>
      <c r="AJH60">
        <v>0</v>
      </c>
      <c r="AJI60">
        <v>0</v>
      </c>
      <c r="AJJ60">
        <v>0</v>
      </c>
      <c r="AJK60">
        <v>0</v>
      </c>
      <c r="AJL60">
        <v>0</v>
      </c>
      <c r="AJM60">
        <v>0</v>
      </c>
      <c r="AJN60">
        <v>0</v>
      </c>
      <c r="AJO60">
        <v>0</v>
      </c>
      <c r="AJP60">
        <v>0</v>
      </c>
      <c r="AJQ60">
        <v>0</v>
      </c>
      <c r="AJR60">
        <v>0</v>
      </c>
      <c r="AJS60">
        <v>0</v>
      </c>
      <c r="AJT60">
        <v>0</v>
      </c>
      <c r="AJU60">
        <v>0</v>
      </c>
      <c r="AJV60">
        <v>0</v>
      </c>
      <c r="AJW60">
        <v>0</v>
      </c>
      <c r="AJX60">
        <v>0</v>
      </c>
      <c r="AJY60">
        <v>0</v>
      </c>
    </row>
    <row r="61" spans="1:961" x14ac:dyDescent="0.3">
      <c r="A61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10000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5000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7749.3135999999995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-3302.7937777777779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-150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0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0</v>
      </c>
      <c r="SY61">
        <v>0</v>
      </c>
      <c r="SZ61">
        <v>0</v>
      </c>
      <c r="TA61">
        <v>0</v>
      </c>
      <c r="TB61">
        <v>0</v>
      </c>
      <c r="TC61">
        <v>0</v>
      </c>
      <c r="TD61">
        <v>0</v>
      </c>
      <c r="TE61">
        <v>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-1000</v>
      </c>
      <c r="TV61">
        <v>0</v>
      </c>
      <c r="TW61">
        <v>0</v>
      </c>
      <c r="TX61">
        <v>0</v>
      </c>
      <c r="TY61">
        <v>0</v>
      </c>
      <c r="TZ61">
        <v>0</v>
      </c>
      <c r="UA61">
        <v>0</v>
      </c>
      <c r="UB61">
        <v>0</v>
      </c>
      <c r="UC61">
        <v>0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0</v>
      </c>
      <c r="VC61">
        <v>0</v>
      </c>
      <c r="VD61">
        <v>0</v>
      </c>
      <c r="VE61">
        <v>0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0</v>
      </c>
      <c r="WE61">
        <v>0</v>
      </c>
      <c r="WF61">
        <v>0</v>
      </c>
      <c r="WG61">
        <v>0</v>
      </c>
      <c r="WH61">
        <v>0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0</v>
      </c>
      <c r="XG61">
        <v>0</v>
      </c>
      <c r="XH61">
        <v>0</v>
      </c>
      <c r="XI61">
        <v>0</v>
      </c>
      <c r="XJ61">
        <v>0</v>
      </c>
      <c r="XK61">
        <v>0</v>
      </c>
      <c r="XL61">
        <v>0</v>
      </c>
      <c r="XM61">
        <v>-5</v>
      </c>
      <c r="XN61">
        <v>0</v>
      </c>
      <c r="XO61">
        <v>0</v>
      </c>
      <c r="XP61">
        <v>0</v>
      </c>
      <c r="XQ61">
        <v>0</v>
      </c>
      <c r="XR61">
        <v>0</v>
      </c>
      <c r="XS61">
        <v>0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0</v>
      </c>
      <c r="YI61">
        <v>0</v>
      </c>
      <c r="YJ61">
        <v>0</v>
      </c>
      <c r="YK61">
        <v>0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0</v>
      </c>
      <c r="YT61">
        <v>0</v>
      </c>
      <c r="YU61">
        <v>0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0</v>
      </c>
      <c r="ZK61">
        <v>0</v>
      </c>
      <c r="ZL61">
        <v>0</v>
      </c>
      <c r="ZM61">
        <v>0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0</v>
      </c>
      <c r="ZV61">
        <v>0</v>
      </c>
      <c r="ZW61">
        <v>0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0</v>
      </c>
      <c r="AAT61">
        <v>0</v>
      </c>
      <c r="AAU61">
        <v>0</v>
      </c>
      <c r="AAV61">
        <v>0</v>
      </c>
      <c r="AAW61">
        <v>0</v>
      </c>
      <c r="AAX61">
        <v>0</v>
      </c>
      <c r="AAY61">
        <v>0</v>
      </c>
      <c r="AAZ61">
        <v>0</v>
      </c>
      <c r="ABA61">
        <v>0</v>
      </c>
      <c r="ABB61">
        <v>0</v>
      </c>
      <c r="ABC61">
        <v>0</v>
      </c>
      <c r="ABD61">
        <v>0</v>
      </c>
      <c r="ABE61">
        <v>-256.16438356164383</v>
      </c>
      <c r="ABF61">
        <v>0</v>
      </c>
      <c r="ABG61">
        <v>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0</v>
      </c>
      <c r="ABZ61">
        <v>0</v>
      </c>
      <c r="ACA61">
        <v>0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0</v>
      </c>
      <c r="ADB61">
        <v>0</v>
      </c>
      <c r="ADC61">
        <v>0</v>
      </c>
      <c r="ADD61">
        <v>0</v>
      </c>
      <c r="ADE61">
        <v>0</v>
      </c>
      <c r="ADF61">
        <v>0</v>
      </c>
      <c r="ADG61">
        <v>0</v>
      </c>
      <c r="ADH61">
        <v>0</v>
      </c>
      <c r="ADI61">
        <v>0</v>
      </c>
      <c r="ADJ61">
        <v>0</v>
      </c>
      <c r="ADK61">
        <v>0</v>
      </c>
      <c r="ADL61">
        <v>0</v>
      </c>
      <c r="ADM61">
        <v>0</v>
      </c>
      <c r="ADN61">
        <v>0</v>
      </c>
      <c r="ADO61">
        <v>0</v>
      </c>
      <c r="ADP61">
        <v>0</v>
      </c>
      <c r="ADQ61">
        <v>0</v>
      </c>
      <c r="ADR61">
        <v>0</v>
      </c>
      <c r="ADS61">
        <v>0</v>
      </c>
      <c r="ADT61">
        <v>0</v>
      </c>
      <c r="ADU61">
        <v>0</v>
      </c>
      <c r="ADV61">
        <v>0</v>
      </c>
      <c r="ADW61">
        <v>0</v>
      </c>
      <c r="ADX61">
        <v>0</v>
      </c>
      <c r="ADY61">
        <v>0</v>
      </c>
      <c r="ADZ61">
        <v>0</v>
      </c>
      <c r="AEA61">
        <v>0</v>
      </c>
      <c r="AEB61">
        <v>0</v>
      </c>
      <c r="AEC61">
        <v>0</v>
      </c>
      <c r="AED61">
        <v>0</v>
      </c>
      <c r="AEE61">
        <v>0</v>
      </c>
      <c r="AEF61">
        <v>0</v>
      </c>
      <c r="AEG61">
        <v>0</v>
      </c>
      <c r="AEH61">
        <v>0</v>
      </c>
      <c r="AEI61">
        <v>0</v>
      </c>
      <c r="AEJ61">
        <v>0</v>
      </c>
      <c r="AEK61">
        <v>0</v>
      </c>
      <c r="AEL61">
        <v>0</v>
      </c>
      <c r="AEM61">
        <v>0</v>
      </c>
      <c r="AEN61">
        <v>0</v>
      </c>
      <c r="AEO61">
        <v>0</v>
      </c>
      <c r="AEP61">
        <v>0</v>
      </c>
      <c r="AEQ61">
        <v>0</v>
      </c>
      <c r="AER61">
        <v>0</v>
      </c>
      <c r="AES61">
        <v>0</v>
      </c>
      <c r="AET61">
        <v>0</v>
      </c>
      <c r="AEU61">
        <v>0</v>
      </c>
      <c r="AEV61">
        <v>0</v>
      </c>
      <c r="AEW61">
        <v>-120</v>
      </c>
      <c r="AEX61">
        <v>0</v>
      </c>
      <c r="AEY61">
        <v>0</v>
      </c>
      <c r="AEZ61">
        <v>0</v>
      </c>
      <c r="AFA61">
        <v>0</v>
      </c>
      <c r="AFB61">
        <v>0</v>
      </c>
      <c r="AFC61">
        <v>0</v>
      </c>
      <c r="AFD61">
        <v>0</v>
      </c>
      <c r="AFE61">
        <v>0</v>
      </c>
      <c r="AFF61">
        <v>0</v>
      </c>
      <c r="AFG61">
        <v>0</v>
      </c>
      <c r="AFH61">
        <v>0</v>
      </c>
      <c r="AFI61">
        <v>0</v>
      </c>
      <c r="AFJ61">
        <v>0</v>
      </c>
      <c r="AFK61">
        <v>0</v>
      </c>
      <c r="AFL61">
        <v>0</v>
      </c>
      <c r="AFM61">
        <v>0</v>
      </c>
      <c r="AFN61">
        <v>0</v>
      </c>
      <c r="AFO61">
        <v>0</v>
      </c>
      <c r="AFP61">
        <v>0</v>
      </c>
      <c r="AFQ61">
        <v>0</v>
      </c>
      <c r="AFR61">
        <v>0</v>
      </c>
      <c r="AFS61">
        <v>0</v>
      </c>
      <c r="AFT61">
        <v>0</v>
      </c>
      <c r="AFU61">
        <v>0</v>
      </c>
      <c r="AFV61">
        <v>0</v>
      </c>
      <c r="AFW61">
        <v>0</v>
      </c>
      <c r="AFX61">
        <v>0</v>
      </c>
      <c r="AFY61">
        <v>0</v>
      </c>
      <c r="AFZ61">
        <v>0</v>
      </c>
      <c r="AGA61">
        <v>0</v>
      </c>
      <c r="AGB61">
        <v>0</v>
      </c>
      <c r="AGC61">
        <v>0</v>
      </c>
      <c r="AGD61">
        <v>0</v>
      </c>
      <c r="AGE61">
        <v>0</v>
      </c>
      <c r="AGF61">
        <v>0</v>
      </c>
      <c r="AGG61">
        <v>0</v>
      </c>
      <c r="AGH61">
        <v>0</v>
      </c>
      <c r="AGI61">
        <v>0</v>
      </c>
      <c r="AGJ61">
        <v>0</v>
      </c>
      <c r="AGK61">
        <v>0</v>
      </c>
      <c r="AGL61">
        <v>0</v>
      </c>
      <c r="AGM61">
        <v>0</v>
      </c>
      <c r="AGN61">
        <v>0</v>
      </c>
      <c r="AGO61">
        <v>0</v>
      </c>
      <c r="AGP61">
        <v>0</v>
      </c>
      <c r="AGQ61">
        <v>0</v>
      </c>
      <c r="AGR61">
        <v>0</v>
      </c>
      <c r="AGS61">
        <v>0</v>
      </c>
      <c r="AGT61">
        <v>0</v>
      </c>
      <c r="AGU61">
        <v>0</v>
      </c>
      <c r="AGV61">
        <v>0</v>
      </c>
      <c r="AGW61">
        <v>0</v>
      </c>
      <c r="AGX61">
        <v>0</v>
      </c>
      <c r="AGY61">
        <v>0</v>
      </c>
      <c r="AGZ61">
        <v>0</v>
      </c>
      <c r="AHA61">
        <v>0</v>
      </c>
      <c r="AHB61">
        <v>0</v>
      </c>
      <c r="AHC61">
        <v>0</v>
      </c>
      <c r="AHD61">
        <v>0</v>
      </c>
      <c r="AHE61">
        <v>0</v>
      </c>
      <c r="AHF61">
        <v>0</v>
      </c>
      <c r="AHG61">
        <v>0</v>
      </c>
      <c r="AHH61">
        <v>0</v>
      </c>
      <c r="AHI61">
        <v>0</v>
      </c>
      <c r="AHJ61">
        <v>0</v>
      </c>
      <c r="AHK61">
        <v>0</v>
      </c>
      <c r="AHL61">
        <v>0</v>
      </c>
      <c r="AHM61">
        <v>0</v>
      </c>
      <c r="AHN61">
        <v>0</v>
      </c>
      <c r="AHO61">
        <v>0</v>
      </c>
      <c r="AHP61">
        <v>0</v>
      </c>
      <c r="AHQ61">
        <v>0</v>
      </c>
      <c r="AHR61">
        <v>0</v>
      </c>
      <c r="AHS61">
        <v>0</v>
      </c>
      <c r="AHT61">
        <v>0</v>
      </c>
      <c r="AHU61">
        <v>0</v>
      </c>
      <c r="AHV61">
        <v>0</v>
      </c>
      <c r="AHW61">
        <v>0</v>
      </c>
      <c r="AHX61">
        <v>0</v>
      </c>
      <c r="AHY61">
        <v>0</v>
      </c>
      <c r="AHZ61">
        <v>0</v>
      </c>
      <c r="AIA61">
        <v>0</v>
      </c>
      <c r="AIB61">
        <v>0</v>
      </c>
      <c r="AIC61">
        <v>0</v>
      </c>
      <c r="AID61">
        <v>0</v>
      </c>
      <c r="AIE61">
        <v>0</v>
      </c>
      <c r="AIF61">
        <v>0</v>
      </c>
      <c r="AIG61">
        <v>0</v>
      </c>
      <c r="AIH61">
        <v>0</v>
      </c>
      <c r="AII61">
        <v>0</v>
      </c>
      <c r="AIJ61">
        <v>0</v>
      </c>
      <c r="AIK61">
        <v>0</v>
      </c>
      <c r="AIL61">
        <v>0</v>
      </c>
      <c r="AIM61">
        <v>0</v>
      </c>
      <c r="AIN61">
        <v>0</v>
      </c>
      <c r="AIO61">
        <v>-4500</v>
      </c>
      <c r="AIP61">
        <v>0</v>
      </c>
      <c r="AIQ61">
        <v>0</v>
      </c>
      <c r="AIR61">
        <v>0</v>
      </c>
      <c r="AIS61">
        <v>0</v>
      </c>
      <c r="AIT61">
        <v>0</v>
      </c>
      <c r="AIU61">
        <v>0</v>
      </c>
      <c r="AIV61">
        <v>0</v>
      </c>
      <c r="AIW61">
        <v>0</v>
      </c>
      <c r="AIX61">
        <v>0</v>
      </c>
      <c r="AIY61">
        <v>0</v>
      </c>
      <c r="AIZ61">
        <v>0</v>
      </c>
      <c r="AJA61">
        <v>0</v>
      </c>
      <c r="AJB61">
        <v>0</v>
      </c>
      <c r="AJC61">
        <v>0</v>
      </c>
      <c r="AJD61">
        <v>0</v>
      </c>
      <c r="AJE61">
        <v>0</v>
      </c>
      <c r="AJF61">
        <v>0</v>
      </c>
      <c r="AJG61">
        <v>0</v>
      </c>
      <c r="AJH61">
        <v>0</v>
      </c>
      <c r="AJI61">
        <v>0</v>
      </c>
      <c r="AJJ61">
        <v>0</v>
      </c>
      <c r="AJK61">
        <v>0</v>
      </c>
      <c r="AJL61">
        <v>0</v>
      </c>
      <c r="AJM61">
        <v>0</v>
      </c>
      <c r="AJN61">
        <v>0</v>
      </c>
      <c r="AJO61">
        <v>0</v>
      </c>
      <c r="AJP61">
        <v>0</v>
      </c>
      <c r="AJQ61">
        <v>0</v>
      </c>
      <c r="AJR61">
        <v>0</v>
      </c>
      <c r="AJS61">
        <v>0</v>
      </c>
      <c r="AJT61">
        <v>0</v>
      </c>
      <c r="AJU61">
        <v>0</v>
      </c>
      <c r="AJV61">
        <v>0</v>
      </c>
      <c r="AJW61">
        <v>0</v>
      </c>
      <c r="AJX61">
        <v>0</v>
      </c>
      <c r="AJY61">
        <v>0</v>
      </c>
    </row>
    <row r="62" spans="1:961" x14ac:dyDescent="0.3">
      <c r="A62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10000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5000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6277.1071999999995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-3198.8930486111117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0</v>
      </c>
      <c r="PU62">
        <v>0</v>
      </c>
      <c r="PV62">
        <v>0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-150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0</v>
      </c>
      <c r="QY62">
        <v>0</v>
      </c>
      <c r="QZ62">
        <v>0</v>
      </c>
      <c r="RA62">
        <v>0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0</v>
      </c>
      <c r="RO62">
        <v>0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0</v>
      </c>
      <c r="SB62">
        <v>0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0</v>
      </c>
      <c r="SR62">
        <v>0</v>
      </c>
      <c r="SS62">
        <v>0</v>
      </c>
      <c r="ST62">
        <v>0</v>
      </c>
      <c r="SU62">
        <v>0</v>
      </c>
      <c r="SV62">
        <v>0</v>
      </c>
      <c r="SW62">
        <v>0</v>
      </c>
      <c r="SX62">
        <v>0</v>
      </c>
      <c r="SY62">
        <v>0</v>
      </c>
      <c r="SZ62">
        <v>0</v>
      </c>
      <c r="TA62">
        <v>0</v>
      </c>
      <c r="TB62">
        <v>0</v>
      </c>
      <c r="TC62">
        <v>0</v>
      </c>
      <c r="TD62">
        <v>0</v>
      </c>
      <c r="TE62">
        <v>0</v>
      </c>
      <c r="TF62">
        <v>0</v>
      </c>
      <c r="TG62">
        <v>0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-1000</v>
      </c>
      <c r="TW62">
        <v>0</v>
      </c>
      <c r="TX62">
        <v>0</v>
      </c>
      <c r="TY62">
        <v>0</v>
      </c>
      <c r="TZ62">
        <v>0</v>
      </c>
      <c r="UA62">
        <v>0</v>
      </c>
      <c r="UB62">
        <v>0</v>
      </c>
      <c r="UC62">
        <v>0</v>
      </c>
      <c r="UD62">
        <v>0</v>
      </c>
      <c r="UE62">
        <v>0</v>
      </c>
      <c r="UF62">
        <v>0</v>
      </c>
      <c r="UG62">
        <v>0</v>
      </c>
      <c r="UH62">
        <v>0</v>
      </c>
      <c r="UI62">
        <v>0</v>
      </c>
      <c r="UJ62">
        <v>0</v>
      </c>
      <c r="UK62">
        <v>0</v>
      </c>
      <c r="UL62">
        <v>0</v>
      </c>
      <c r="UM62">
        <v>0</v>
      </c>
      <c r="UN62">
        <v>0</v>
      </c>
      <c r="UO62">
        <v>0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</v>
      </c>
      <c r="UZ62">
        <v>0</v>
      </c>
      <c r="VA62">
        <v>0</v>
      </c>
      <c r="VB62">
        <v>0</v>
      </c>
      <c r="VC62">
        <v>0</v>
      </c>
      <c r="VD62">
        <v>0</v>
      </c>
      <c r="VE62">
        <v>0</v>
      </c>
      <c r="VF62">
        <v>0</v>
      </c>
      <c r="VG62">
        <v>0</v>
      </c>
      <c r="VH62">
        <v>0</v>
      </c>
      <c r="VI62">
        <v>0</v>
      </c>
      <c r="VJ62">
        <v>0</v>
      </c>
      <c r="VK62">
        <v>0</v>
      </c>
      <c r="VL62">
        <v>0</v>
      </c>
      <c r="VM62">
        <v>0</v>
      </c>
      <c r="VN62">
        <v>0</v>
      </c>
      <c r="VO62">
        <v>0</v>
      </c>
      <c r="VP62">
        <v>0</v>
      </c>
      <c r="VQ62">
        <v>0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0</v>
      </c>
      <c r="WD62">
        <v>0</v>
      </c>
      <c r="WE62">
        <v>0</v>
      </c>
      <c r="WF62">
        <v>0</v>
      </c>
      <c r="WG62">
        <v>0</v>
      </c>
      <c r="WH62">
        <v>0</v>
      </c>
      <c r="WI62">
        <v>0</v>
      </c>
      <c r="WJ62">
        <v>0</v>
      </c>
      <c r="WK62">
        <v>0</v>
      </c>
      <c r="WL62">
        <v>0</v>
      </c>
      <c r="WM62">
        <v>0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0</v>
      </c>
      <c r="XG62">
        <v>0</v>
      </c>
      <c r="XH62">
        <v>0</v>
      </c>
      <c r="XI62">
        <v>0</v>
      </c>
      <c r="XJ62">
        <v>0</v>
      </c>
      <c r="XK62">
        <v>0</v>
      </c>
      <c r="XL62">
        <v>0</v>
      </c>
      <c r="XM62">
        <v>0</v>
      </c>
      <c r="XN62">
        <v>-5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0</v>
      </c>
      <c r="XU62">
        <v>0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</v>
      </c>
      <c r="YI62">
        <v>0</v>
      </c>
      <c r="YJ62">
        <v>0</v>
      </c>
      <c r="YK62">
        <v>0</v>
      </c>
      <c r="YL62">
        <v>0</v>
      </c>
      <c r="YM62">
        <v>0</v>
      </c>
      <c r="YN62">
        <v>0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0</v>
      </c>
      <c r="YW62">
        <v>0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0</v>
      </c>
      <c r="ZI62">
        <v>0</v>
      </c>
      <c r="ZJ62">
        <v>0</v>
      </c>
      <c r="ZK62">
        <v>0</v>
      </c>
      <c r="ZL62">
        <v>0</v>
      </c>
      <c r="ZM62">
        <v>0</v>
      </c>
      <c r="ZN62">
        <v>0</v>
      </c>
      <c r="ZO62">
        <v>0</v>
      </c>
      <c r="ZP62">
        <v>0</v>
      </c>
      <c r="ZQ62">
        <v>0</v>
      </c>
      <c r="ZR62">
        <v>0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0</v>
      </c>
      <c r="ZY62">
        <v>0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0</v>
      </c>
      <c r="AAT62">
        <v>0</v>
      </c>
      <c r="AAU62">
        <v>0</v>
      </c>
      <c r="AAV62">
        <v>0</v>
      </c>
      <c r="AAW62">
        <v>0</v>
      </c>
      <c r="AAX62">
        <v>0</v>
      </c>
      <c r="AAY62">
        <v>0</v>
      </c>
      <c r="AAZ62">
        <v>0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-256.16438356164383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0</v>
      </c>
      <c r="ABX62">
        <v>0</v>
      </c>
      <c r="ABY62">
        <v>0</v>
      </c>
      <c r="ABZ62">
        <v>0</v>
      </c>
      <c r="ACA62">
        <v>0</v>
      </c>
      <c r="ACB62">
        <v>0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0</v>
      </c>
      <c r="ADB62">
        <v>0</v>
      </c>
      <c r="ADC62">
        <v>0</v>
      </c>
      <c r="ADD62">
        <v>0</v>
      </c>
      <c r="ADE62">
        <v>0</v>
      </c>
      <c r="ADF62">
        <v>0</v>
      </c>
      <c r="ADG62">
        <v>0</v>
      </c>
      <c r="ADH62">
        <v>0</v>
      </c>
      <c r="ADI62">
        <v>0</v>
      </c>
      <c r="ADJ62">
        <v>0</v>
      </c>
      <c r="ADK62">
        <v>0</v>
      </c>
      <c r="ADL62">
        <v>0</v>
      </c>
      <c r="ADM62">
        <v>0</v>
      </c>
      <c r="ADN62">
        <v>0</v>
      </c>
      <c r="ADO62">
        <v>0</v>
      </c>
      <c r="ADP62">
        <v>0</v>
      </c>
      <c r="ADQ62">
        <v>0</v>
      </c>
      <c r="ADR62">
        <v>0</v>
      </c>
      <c r="ADS62">
        <v>0</v>
      </c>
      <c r="ADT62">
        <v>0</v>
      </c>
      <c r="ADU62">
        <v>0</v>
      </c>
      <c r="ADV62">
        <v>0</v>
      </c>
      <c r="ADW62">
        <v>0</v>
      </c>
      <c r="ADX62">
        <v>0</v>
      </c>
      <c r="ADY62">
        <v>0</v>
      </c>
      <c r="ADZ62">
        <v>0</v>
      </c>
      <c r="AEA62">
        <v>0</v>
      </c>
      <c r="AEB62">
        <v>0</v>
      </c>
      <c r="AEC62">
        <v>0</v>
      </c>
      <c r="AED62">
        <v>0</v>
      </c>
      <c r="AEE62">
        <v>0</v>
      </c>
      <c r="AEF62">
        <v>0</v>
      </c>
      <c r="AEG62">
        <v>0</v>
      </c>
      <c r="AEH62">
        <v>0</v>
      </c>
      <c r="AEI62">
        <v>0</v>
      </c>
      <c r="AEJ62">
        <v>0</v>
      </c>
      <c r="AEK62">
        <v>0</v>
      </c>
      <c r="AEL62">
        <v>0</v>
      </c>
      <c r="AEM62">
        <v>0</v>
      </c>
      <c r="AEN62">
        <v>0</v>
      </c>
      <c r="AEO62">
        <v>0</v>
      </c>
      <c r="AEP62">
        <v>0</v>
      </c>
      <c r="AEQ62">
        <v>0</v>
      </c>
      <c r="AER62">
        <v>0</v>
      </c>
      <c r="AES62">
        <v>0</v>
      </c>
      <c r="AET62">
        <v>0</v>
      </c>
      <c r="AEU62">
        <v>0</v>
      </c>
      <c r="AEV62">
        <v>0</v>
      </c>
      <c r="AEW62">
        <v>0</v>
      </c>
      <c r="AEX62">
        <v>-120</v>
      </c>
      <c r="AEY62">
        <v>0</v>
      </c>
      <c r="AEZ62">
        <v>0</v>
      </c>
      <c r="AFA62">
        <v>0</v>
      </c>
      <c r="AFB62">
        <v>0</v>
      </c>
      <c r="AFC62">
        <v>0</v>
      </c>
      <c r="AFD62">
        <v>0</v>
      </c>
      <c r="AFE62">
        <v>0</v>
      </c>
      <c r="AFF62">
        <v>0</v>
      </c>
      <c r="AFG62">
        <v>0</v>
      </c>
      <c r="AFH62">
        <v>0</v>
      </c>
      <c r="AFI62">
        <v>0</v>
      </c>
      <c r="AFJ62">
        <v>0</v>
      </c>
      <c r="AFK62">
        <v>0</v>
      </c>
      <c r="AFL62">
        <v>0</v>
      </c>
      <c r="AFM62">
        <v>0</v>
      </c>
      <c r="AFN62">
        <v>0</v>
      </c>
      <c r="AFO62">
        <v>0</v>
      </c>
      <c r="AFP62">
        <v>0</v>
      </c>
      <c r="AFQ62">
        <v>0</v>
      </c>
      <c r="AFR62">
        <v>0</v>
      </c>
      <c r="AFS62">
        <v>0</v>
      </c>
      <c r="AFT62">
        <v>0</v>
      </c>
      <c r="AFU62">
        <v>0</v>
      </c>
      <c r="AFV62">
        <v>0</v>
      </c>
      <c r="AFW62">
        <v>0</v>
      </c>
      <c r="AFX62">
        <v>0</v>
      </c>
      <c r="AFY62">
        <v>0</v>
      </c>
      <c r="AFZ62">
        <v>0</v>
      </c>
      <c r="AGA62">
        <v>0</v>
      </c>
      <c r="AGB62">
        <v>0</v>
      </c>
      <c r="AGC62">
        <v>0</v>
      </c>
      <c r="AGD62">
        <v>0</v>
      </c>
      <c r="AGE62">
        <v>0</v>
      </c>
      <c r="AGF62">
        <v>0</v>
      </c>
      <c r="AGG62">
        <v>0</v>
      </c>
      <c r="AGH62">
        <v>0</v>
      </c>
      <c r="AGI62">
        <v>0</v>
      </c>
      <c r="AGJ62">
        <v>0</v>
      </c>
      <c r="AGK62">
        <v>0</v>
      </c>
      <c r="AGL62">
        <v>0</v>
      </c>
      <c r="AGM62">
        <v>0</v>
      </c>
      <c r="AGN62">
        <v>0</v>
      </c>
      <c r="AGO62">
        <v>0</v>
      </c>
      <c r="AGP62">
        <v>0</v>
      </c>
      <c r="AGQ62">
        <v>0</v>
      </c>
      <c r="AGR62">
        <v>0</v>
      </c>
      <c r="AGS62">
        <v>0</v>
      </c>
      <c r="AGT62">
        <v>0</v>
      </c>
      <c r="AGU62">
        <v>0</v>
      </c>
      <c r="AGV62">
        <v>0</v>
      </c>
      <c r="AGW62">
        <v>0</v>
      </c>
      <c r="AGX62">
        <v>0</v>
      </c>
      <c r="AGY62">
        <v>0</v>
      </c>
      <c r="AGZ62">
        <v>0</v>
      </c>
      <c r="AHA62">
        <v>0</v>
      </c>
      <c r="AHB62">
        <v>0</v>
      </c>
      <c r="AHC62">
        <v>0</v>
      </c>
      <c r="AHD62">
        <v>0</v>
      </c>
      <c r="AHE62">
        <v>0</v>
      </c>
      <c r="AHF62">
        <v>0</v>
      </c>
      <c r="AHG62">
        <v>0</v>
      </c>
      <c r="AHH62">
        <v>0</v>
      </c>
      <c r="AHI62">
        <v>0</v>
      </c>
      <c r="AHJ62">
        <v>0</v>
      </c>
      <c r="AHK62">
        <v>0</v>
      </c>
      <c r="AHL62">
        <v>0</v>
      </c>
      <c r="AHM62">
        <v>0</v>
      </c>
      <c r="AHN62">
        <v>0</v>
      </c>
      <c r="AHO62">
        <v>0</v>
      </c>
      <c r="AHP62">
        <v>0</v>
      </c>
      <c r="AHQ62">
        <v>0</v>
      </c>
      <c r="AHR62">
        <v>0</v>
      </c>
      <c r="AHS62">
        <v>0</v>
      </c>
      <c r="AHT62">
        <v>0</v>
      </c>
      <c r="AHU62">
        <v>0</v>
      </c>
      <c r="AHV62">
        <v>0</v>
      </c>
      <c r="AHW62">
        <v>0</v>
      </c>
      <c r="AHX62">
        <v>0</v>
      </c>
      <c r="AHY62">
        <v>0</v>
      </c>
      <c r="AHZ62">
        <v>0</v>
      </c>
      <c r="AIA62">
        <v>0</v>
      </c>
      <c r="AIB62">
        <v>0</v>
      </c>
      <c r="AIC62">
        <v>0</v>
      </c>
      <c r="AID62">
        <v>0</v>
      </c>
      <c r="AIE62">
        <v>0</v>
      </c>
      <c r="AIF62">
        <v>0</v>
      </c>
      <c r="AIG62">
        <v>0</v>
      </c>
      <c r="AIH62">
        <v>0</v>
      </c>
      <c r="AII62">
        <v>0</v>
      </c>
      <c r="AIJ62">
        <v>0</v>
      </c>
      <c r="AIK62">
        <v>0</v>
      </c>
      <c r="AIL62">
        <v>0</v>
      </c>
      <c r="AIM62">
        <v>0</v>
      </c>
      <c r="AIN62">
        <v>0</v>
      </c>
      <c r="AIO62">
        <v>0</v>
      </c>
      <c r="AIP62">
        <v>-4500</v>
      </c>
      <c r="AIQ62">
        <v>0</v>
      </c>
      <c r="AIR62">
        <v>0</v>
      </c>
      <c r="AIS62">
        <v>0</v>
      </c>
      <c r="AIT62">
        <v>0</v>
      </c>
      <c r="AIU62">
        <v>0</v>
      </c>
      <c r="AIV62">
        <v>0</v>
      </c>
      <c r="AIW62">
        <v>0</v>
      </c>
      <c r="AIX62">
        <v>0</v>
      </c>
      <c r="AIY62">
        <v>0</v>
      </c>
      <c r="AIZ62">
        <v>0</v>
      </c>
      <c r="AJA62">
        <v>0</v>
      </c>
      <c r="AJB62">
        <v>0</v>
      </c>
      <c r="AJC62">
        <v>0</v>
      </c>
      <c r="AJD62">
        <v>0</v>
      </c>
      <c r="AJE62">
        <v>0</v>
      </c>
      <c r="AJF62">
        <v>0</v>
      </c>
      <c r="AJG62">
        <v>0</v>
      </c>
      <c r="AJH62">
        <v>0</v>
      </c>
      <c r="AJI62">
        <v>0</v>
      </c>
      <c r="AJJ62">
        <v>0</v>
      </c>
      <c r="AJK62">
        <v>0</v>
      </c>
      <c r="AJL62">
        <v>0</v>
      </c>
      <c r="AJM62">
        <v>0</v>
      </c>
      <c r="AJN62">
        <v>0</v>
      </c>
      <c r="AJO62">
        <v>0</v>
      </c>
      <c r="AJP62">
        <v>0</v>
      </c>
      <c r="AJQ62">
        <v>0</v>
      </c>
      <c r="AJR62">
        <v>0</v>
      </c>
      <c r="AJS62">
        <v>0</v>
      </c>
      <c r="AJT62">
        <v>0</v>
      </c>
      <c r="AJU62">
        <v>0</v>
      </c>
      <c r="AJV62">
        <v>0</v>
      </c>
      <c r="AJW62">
        <v>0</v>
      </c>
      <c r="AJX62">
        <v>0</v>
      </c>
      <c r="AJY62">
        <v>0</v>
      </c>
    </row>
    <row r="63" spans="1:961" x14ac:dyDescent="0.3">
      <c r="A63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10000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5000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6277.1071999999995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-3198.8930486111117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</v>
      </c>
      <c r="OV63">
        <v>0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-150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0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0</v>
      </c>
      <c r="TV63">
        <v>0</v>
      </c>
      <c r="TW63">
        <v>-1000</v>
      </c>
      <c r="TX63">
        <v>0</v>
      </c>
      <c r="TY63">
        <v>0</v>
      </c>
      <c r="TZ63">
        <v>0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0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0</v>
      </c>
      <c r="UX63">
        <v>0</v>
      </c>
      <c r="UY63">
        <v>0</v>
      </c>
      <c r="UZ63">
        <v>0</v>
      </c>
      <c r="VA63">
        <v>0</v>
      </c>
      <c r="VB63">
        <v>0</v>
      </c>
      <c r="VC63">
        <v>0</v>
      </c>
      <c r="VD63">
        <v>0</v>
      </c>
      <c r="VE63">
        <v>0</v>
      </c>
      <c r="VF63">
        <v>0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0</v>
      </c>
      <c r="VX63">
        <v>0</v>
      </c>
      <c r="VY63">
        <v>0</v>
      </c>
      <c r="VZ63">
        <v>0</v>
      </c>
      <c r="WA63">
        <v>0</v>
      </c>
      <c r="WB63">
        <v>0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0</v>
      </c>
      <c r="WL63">
        <v>0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0</v>
      </c>
      <c r="WZ63">
        <v>0</v>
      </c>
      <c r="XA63">
        <v>0</v>
      </c>
      <c r="XB63">
        <v>0</v>
      </c>
      <c r="XC63">
        <v>0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</v>
      </c>
      <c r="XJ63">
        <v>0</v>
      </c>
      <c r="XK63">
        <v>0</v>
      </c>
      <c r="XL63">
        <v>0</v>
      </c>
      <c r="XM63">
        <v>0</v>
      </c>
      <c r="XN63">
        <v>0</v>
      </c>
      <c r="XO63">
        <v>-5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</v>
      </c>
      <c r="YI63">
        <v>0</v>
      </c>
      <c r="YJ63">
        <v>0</v>
      </c>
      <c r="YK63">
        <v>0</v>
      </c>
      <c r="YL63">
        <v>0</v>
      </c>
      <c r="YM63">
        <v>0</v>
      </c>
      <c r="YN63">
        <v>0</v>
      </c>
      <c r="YO63">
        <v>0</v>
      </c>
      <c r="YP63">
        <v>0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0</v>
      </c>
      <c r="ZJ63">
        <v>0</v>
      </c>
      <c r="ZK63">
        <v>0</v>
      </c>
      <c r="ZL63">
        <v>0</v>
      </c>
      <c r="ZM63">
        <v>0</v>
      </c>
      <c r="ZN63">
        <v>0</v>
      </c>
      <c r="ZO63">
        <v>0</v>
      </c>
      <c r="ZP63">
        <v>0</v>
      </c>
      <c r="ZQ63">
        <v>0</v>
      </c>
      <c r="ZR63">
        <v>0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0</v>
      </c>
      <c r="AAT63">
        <v>0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-256.16438356164383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0</v>
      </c>
      <c r="ABV63">
        <v>0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  <c r="ADF63">
        <v>0</v>
      </c>
      <c r="ADG63">
        <v>0</v>
      </c>
      <c r="ADH63">
        <v>0</v>
      </c>
      <c r="ADI63">
        <v>0</v>
      </c>
      <c r="ADJ63">
        <v>0</v>
      </c>
      <c r="ADK63">
        <v>0</v>
      </c>
      <c r="ADL63">
        <v>0</v>
      </c>
      <c r="ADM63">
        <v>0</v>
      </c>
      <c r="ADN63">
        <v>0</v>
      </c>
      <c r="ADO63">
        <v>0</v>
      </c>
      <c r="ADP63">
        <v>0</v>
      </c>
      <c r="ADQ63">
        <v>0</v>
      </c>
      <c r="ADR63">
        <v>0</v>
      </c>
      <c r="ADS63">
        <v>0</v>
      </c>
      <c r="ADT63">
        <v>0</v>
      </c>
      <c r="ADU63">
        <v>0</v>
      </c>
      <c r="ADV63">
        <v>0</v>
      </c>
      <c r="ADW63">
        <v>0</v>
      </c>
      <c r="ADX63">
        <v>0</v>
      </c>
      <c r="ADY63">
        <v>0</v>
      </c>
      <c r="ADZ63">
        <v>0</v>
      </c>
      <c r="AEA63">
        <v>0</v>
      </c>
      <c r="AEB63">
        <v>0</v>
      </c>
      <c r="AEC63">
        <v>0</v>
      </c>
      <c r="AED63">
        <v>0</v>
      </c>
      <c r="AEE63">
        <v>0</v>
      </c>
      <c r="AEF63">
        <v>0</v>
      </c>
      <c r="AEG63">
        <v>0</v>
      </c>
      <c r="AEH63">
        <v>0</v>
      </c>
      <c r="AEI63">
        <v>0</v>
      </c>
      <c r="AEJ63">
        <v>0</v>
      </c>
      <c r="AEK63">
        <v>0</v>
      </c>
      <c r="AEL63">
        <v>0</v>
      </c>
      <c r="AEM63">
        <v>0</v>
      </c>
      <c r="AEN63">
        <v>0</v>
      </c>
      <c r="AEO63">
        <v>0</v>
      </c>
      <c r="AEP63">
        <v>0</v>
      </c>
      <c r="AEQ63">
        <v>0</v>
      </c>
      <c r="AER63">
        <v>0</v>
      </c>
      <c r="AES63">
        <v>0</v>
      </c>
      <c r="AET63">
        <v>0</v>
      </c>
      <c r="AEU63">
        <v>0</v>
      </c>
      <c r="AEV63">
        <v>0</v>
      </c>
      <c r="AEW63">
        <v>0</v>
      </c>
      <c r="AEX63">
        <v>0</v>
      </c>
      <c r="AEY63">
        <v>-120</v>
      </c>
      <c r="AEZ63">
        <v>0</v>
      </c>
      <c r="AFA63">
        <v>0</v>
      </c>
      <c r="AFB63">
        <v>0</v>
      </c>
      <c r="AFC63">
        <v>0</v>
      </c>
      <c r="AFD63">
        <v>0</v>
      </c>
      <c r="AFE63">
        <v>0</v>
      </c>
      <c r="AFF63">
        <v>0</v>
      </c>
      <c r="AFG63">
        <v>0</v>
      </c>
      <c r="AFH63">
        <v>0</v>
      </c>
      <c r="AFI63">
        <v>0</v>
      </c>
      <c r="AFJ63">
        <v>0</v>
      </c>
      <c r="AFK63">
        <v>0</v>
      </c>
      <c r="AFL63">
        <v>0</v>
      </c>
      <c r="AFM63">
        <v>0</v>
      </c>
      <c r="AFN63">
        <v>0</v>
      </c>
      <c r="AFO63">
        <v>0</v>
      </c>
      <c r="AFP63">
        <v>0</v>
      </c>
      <c r="AFQ63">
        <v>0</v>
      </c>
      <c r="AFR63">
        <v>0</v>
      </c>
      <c r="AFS63">
        <v>0</v>
      </c>
      <c r="AFT63">
        <v>0</v>
      </c>
      <c r="AFU63">
        <v>0</v>
      </c>
      <c r="AFV63">
        <v>0</v>
      </c>
      <c r="AFW63">
        <v>0</v>
      </c>
      <c r="AFX63">
        <v>0</v>
      </c>
      <c r="AFY63">
        <v>0</v>
      </c>
      <c r="AFZ63">
        <v>0</v>
      </c>
      <c r="AGA63">
        <v>0</v>
      </c>
      <c r="AGB63">
        <v>0</v>
      </c>
      <c r="AGC63">
        <v>0</v>
      </c>
      <c r="AGD63">
        <v>0</v>
      </c>
      <c r="AGE63">
        <v>0</v>
      </c>
      <c r="AGF63">
        <v>0</v>
      </c>
      <c r="AGG63">
        <v>0</v>
      </c>
      <c r="AGH63">
        <v>0</v>
      </c>
      <c r="AGI63">
        <v>0</v>
      </c>
      <c r="AGJ63">
        <v>0</v>
      </c>
      <c r="AGK63">
        <v>0</v>
      </c>
      <c r="AGL63">
        <v>0</v>
      </c>
      <c r="AGM63">
        <v>0</v>
      </c>
      <c r="AGN63">
        <v>0</v>
      </c>
      <c r="AGO63">
        <v>0</v>
      </c>
      <c r="AGP63">
        <v>0</v>
      </c>
      <c r="AGQ63">
        <v>0</v>
      </c>
      <c r="AGR63">
        <v>0</v>
      </c>
      <c r="AGS63">
        <v>0</v>
      </c>
      <c r="AGT63">
        <v>0</v>
      </c>
      <c r="AGU63">
        <v>0</v>
      </c>
      <c r="AGV63">
        <v>0</v>
      </c>
      <c r="AGW63">
        <v>0</v>
      </c>
      <c r="AGX63">
        <v>0</v>
      </c>
      <c r="AGY63">
        <v>0</v>
      </c>
      <c r="AGZ63">
        <v>0</v>
      </c>
      <c r="AHA63">
        <v>0</v>
      </c>
      <c r="AHB63">
        <v>0</v>
      </c>
      <c r="AHC63">
        <v>0</v>
      </c>
      <c r="AHD63">
        <v>0</v>
      </c>
      <c r="AHE63">
        <v>0</v>
      </c>
      <c r="AHF63">
        <v>0</v>
      </c>
      <c r="AHG63">
        <v>0</v>
      </c>
      <c r="AHH63">
        <v>0</v>
      </c>
      <c r="AHI63">
        <v>0</v>
      </c>
      <c r="AHJ63">
        <v>0</v>
      </c>
      <c r="AHK63">
        <v>0</v>
      </c>
      <c r="AHL63">
        <v>0</v>
      </c>
      <c r="AHM63">
        <v>0</v>
      </c>
      <c r="AHN63">
        <v>0</v>
      </c>
      <c r="AHO63">
        <v>0</v>
      </c>
      <c r="AHP63">
        <v>0</v>
      </c>
      <c r="AHQ63">
        <v>0</v>
      </c>
      <c r="AHR63">
        <v>0</v>
      </c>
      <c r="AHS63">
        <v>0</v>
      </c>
      <c r="AHT63">
        <v>0</v>
      </c>
      <c r="AHU63">
        <v>0</v>
      </c>
      <c r="AHV63">
        <v>0</v>
      </c>
      <c r="AHW63">
        <v>0</v>
      </c>
      <c r="AHX63">
        <v>0</v>
      </c>
      <c r="AHY63">
        <v>0</v>
      </c>
      <c r="AHZ63">
        <v>0</v>
      </c>
      <c r="AIA63">
        <v>0</v>
      </c>
      <c r="AIB63">
        <v>0</v>
      </c>
      <c r="AIC63">
        <v>0</v>
      </c>
      <c r="AID63">
        <v>0</v>
      </c>
      <c r="AIE63">
        <v>0</v>
      </c>
      <c r="AIF63">
        <v>0</v>
      </c>
      <c r="AIG63">
        <v>0</v>
      </c>
      <c r="AIH63">
        <v>0</v>
      </c>
      <c r="AII63">
        <v>0</v>
      </c>
      <c r="AIJ63">
        <v>0</v>
      </c>
      <c r="AIK63">
        <v>0</v>
      </c>
      <c r="AIL63">
        <v>0</v>
      </c>
      <c r="AIM63">
        <v>0</v>
      </c>
      <c r="AIN63">
        <v>0</v>
      </c>
      <c r="AIO63">
        <v>0</v>
      </c>
      <c r="AIP63">
        <v>0</v>
      </c>
      <c r="AIQ63">
        <v>-4500</v>
      </c>
      <c r="AIR63">
        <v>0</v>
      </c>
      <c r="AIS63">
        <v>0</v>
      </c>
      <c r="AIT63">
        <v>0</v>
      </c>
      <c r="AIU63">
        <v>0</v>
      </c>
      <c r="AIV63">
        <v>0</v>
      </c>
      <c r="AIW63">
        <v>0</v>
      </c>
      <c r="AIX63">
        <v>0</v>
      </c>
      <c r="AIY63">
        <v>0</v>
      </c>
      <c r="AIZ63">
        <v>0</v>
      </c>
      <c r="AJA63">
        <v>0</v>
      </c>
      <c r="AJB63">
        <v>0</v>
      </c>
      <c r="AJC63">
        <v>0</v>
      </c>
      <c r="AJD63">
        <v>0</v>
      </c>
      <c r="AJE63">
        <v>0</v>
      </c>
      <c r="AJF63">
        <v>0</v>
      </c>
      <c r="AJG63">
        <v>0</v>
      </c>
      <c r="AJH63">
        <v>0</v>
      </c>
      <c r="AJI63">
        <v>0</v>
      </c>
      <c r="AJJ63">
        <v>0</v>
      </c>
      <c r="AJK63">
        <v>0</v>
      </c>
      <c r="AJL63">
        <v>0</v>
      </c>
      <c r="AJM63">
        <v>0</v>
      </c>
      <c r="AJN63">
        <v>0</v>
      </c>
      <c r="AJO63">
        <v>0</v>
      </c>
      <c r="AJP63">
        <v>0</v>
      </c>
      <c r="AJQ63">
        <v>0</v>
      </c>
      <c r="AJR63">
        <v>0</v>
      </c>
      <c r="AJS63">
        <v>0</v>
      </c>
      <c r="AJT63">
        <v>0</v>
      </c>
      <c r="AJU63">
        <v>0</v>
      </c>
      <c r="AJV63">
        <v>0</v>
      </c>
      <c r="AJW63">
        <v>0</v>
      </c>
      <c r="AJX63">
        <v>0</v>
      </c>
      <c r="AJY63">
        <v>0</v>
      </c>
    </row>
    <row r="64" spans="1:961" x14ac:dyDescent="0.3">
      <c r="A64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10000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5000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6277.1071999999995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-3198.8930486111117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-150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0</v>
      </c>
      <c r="SW64">
        <v>0</v>
      </c>
      <c r="SX64">
        <v>0</v>
      </c>
      <c r="SY64">
        <v>0</v>
      </c>
      <c r="SZ64">
        <v>0</v>
      </c>
      <c r="TA64">
        <v>0</v>
      </c>
      <c r="TB64">
        <v>0</v>
      </c>
      <c r="TC64">
        <v>0</v>
      </c>
      <c r="TD64">
        <v>0</v>
      </c>
      <c r="TE64">
        <v>0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</v>
      </c>
      <c r="TS64">
        <v>0</v>
      </c>
      <c r="TT64">
        <v>0</v>
      </c>
      <c r="TU64">
        <v>0</v>
      </c>
      <c r="TV64">
        <v>0</v>
      </c>
      <c r="TW64">
        <v>0</v>
      </c>
      <c r="TX64">
        <v>-1000</v>
      </c>
      <c r="TY64">
        <v>0</v>
      </c>
      <c r="TZ64">
        <v>0</v>
      </c>
      <c r="UA64">
        <v>0</v>
      </c>
      <c r="UB64">
        <v>0</v>
      </c>
      <c r="UC64">
        <v>0</v>
      </c>
      <c r="UD64">
        <v>0</v>
      </c>
      <c r="UE64">
        <v>0</v>
      </c>
      <c r="UF64">
        <v>0</v>
      </c>
      <c r="UG64">
        <v>0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</v>
      </c>
      <c r="UP64">
        <v>0</v>
      </c>
      <c r="UQ64">
        <v>0</v>
      </c>
      <c r="UR64">
        <v>0</v>
      </c>
      <c r="US64">
        <v>0</v>
      </c>
      <c r="UT64">
        <v>0</v>
      </c>
      <c r="UU64">
        <v>0</v>
      </c>
      <c r="UV64">
        <v>0</v>
      </c>
      <c r="UW64">
        <v>0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0</v>
      </c>
      <c r="VG64">
        <v>0</v>
      </c>
      <c r="VH64">
        <v>0</v>
      </c>
      <c r="VI64">
        <v>0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0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0</v>
      </c>
      <c r="WH64">
        <v>0</v>
      </c>
      <c r="WI64">
        <v>0</v>
      </c>
      <c r="WJ64">
        <v>0</v>
      </c>
      <c r="WK64">
        <v>0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</v>
      </c>
      <c r="WU64">
        <v>0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0</v>
      </c>
      <c r="XI64">
        <v>0</v>
      </c>
      <c r="XJ64">
        <v>0</v>
      </c>
      <c r="XK64">
        <v>0</v>
      </c>
      <c r="XL64">
        <v>0</v>
      </c>
      <c r="XM64">
        <v>0</v>
      </c>
      <c r="XN64">
        <v>0</v>
      </c>
      <c r="XO64">
        <v>0</v>
      </c>
      <c r="XP64">
        <v>-5</v>
      </c>
      <c r="XQ64">
        <v>0</v>
      </c>
      <c r="XR64">
        <v>0</v>
      </c>
      <c r="XS64">
        <v>0</v>
      </c>
      <c r="XT64">
        <v>0</v>
      </c>
      <c r="XU64">
        <v>0</v>
      </c>
      <c r="XV64">
        <v>0</v>
      </c>
      <c r="XW64">
        <v>0</v>
      </c>
      <c r="XX64">
        <v>0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0</v>
      </c>
      <c r="YI64">
        <v>0</v>
      </c>
      <c r="YJ64">
        <v>0</v>
      </c>
      <c r="YK64">
        <v>0</v>
      </c>
      <c r="YL64">
        <v>0</v>
      </c>
      <c r="YM64">
        <v>0</v>
      </c>
      <c r="YN64">
        <v>0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0</v>
      </c>
      <c r="YU64">
        <v>0</v>
      </c>
      <c r="YV64">
        <v>0</v>
      </c>
      <c r="YW64">
        <v>0</v>
      </c>
      <c r="YX64">
        <v>0</v>
      </c>
      <c r="YY64">
        <v>0</v>
      </c>
      <c r="YZ64">
        <v>0</v>
      </c>
      <c r="ZA64">
        <v>0</v>
      </c>
      <c r="ZB64">
        <v>0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0</v>
      </c>
      <c r="ZI64">
        <v>0</v>
      </c>
      <c r="ZJ64">
        <v>0</v>
      </c>
      <c r="ZK64">
        <v>0</v>
      </c>
      <c r="ZL64">
        <v>0</v>
      </c>
      <c r="ZM64">
        <v>0</v>
      </c>
      <c r="ZN64">
        <v>0</v>
      </c>
      <c r="ZO64">
        <v>0</v>
      </c>
      <c r="ZP64">
        <v>0</v>
      </c>
      <c r="ZQ64">
        <v>0</v>
      </c>
      <c r="ZR64">
        <v>0</v>
      </c>
      <c r="ZS64">
        <v>0</v>
      </c>
      <c r="ZT64">
        <v>0</v>
      </c>
      <c r="ZU64">
        <v>0</v>
      </c>
      <c r="ZV64">
        <v>0</v>
      </c>
      <c r="ZW64">
        <v>0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0</v>
      </c>
      <c r="AAD64">
        <v>0</v>
      </c>
      <c r="AAE64">
        <v>0</v>
      </c>
      <c r="AAF64">
        <v>0</v>
      </c>
      <c r="AAG64">
        <v>0</v>
      </c>
      <c r="AAH64">
        <v>0</v>
      </c>
      <c r="AAI64">
        <v>0</v>
      </c>
      <c r="AAJ64">
        <v>0</v>
      </c>
      <c r="AAK64">
        <v>0</v>
      </c>
      <c r="AAL64">
        <v>0</v>
      </c>
      <c r="AAM64">
        <v>0</v>
      </c>
      <c r="AAN64">
        <v>0</v>
      </c>
      <c r="AAO64">
        <v>0</v>
      </c>
      <c r="AAP64">
        <v>0</v>
      </c>
      <c r="AAQ64">
        <v>0</v>
      </c>
      <c r="AAR64">
        <v>0</v>
      </c>
      <c r="AAS64">
        <v>0</v>
      </c>
      <c r="AAT64">
        <v>0</v>
      </c>
      <c r="AAU64">
        <v>0</v>
      </c>
      <c r="AAV64">
        <v>0</v>
      </c>
      <c r="AAW64">
        <v>0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0</v>
      </c>
      <c r="ABH64">
        <v>-256.16438356164383</v>
      </c>
      <c r="ABI64">
        <v>0</v>
      </c>
      <c r="ABJ64">
        <v>0</v>
      </c>
      <c r="ABK64">
        <v>0</v>
      </c>
      <c r="ABL64">
        <v>0</v>
      </c>
      <c r="ABM64">
        <v>0</v>
      </c>
      <c r="ABN64">
        <v>0</v>
      </c>
      <c r="ABO64">
        <v>0</v>
      </c>
      <c r="ABP64">
        <v>0</v>
      </c>
      <c r="ABQ64">
        <v>0</v>
      </c>
      <c r="ABR64">
        <v>0</v>
      </c>
      <c r="ABS64">
        <v>0</v>
      </c>
      <c r="ABT64">
        <v>0</v>
      </c>
      <c r="ABU64">
        <v>0</v>
      </c>
      <c r="ABV64">
        <v>0</v>
      </c>
      <c r="ABW64">
        <v>0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0</v>
      </c>
      <c r="ACP64">
        <v>0</v>
      </c>
      <c r="ACQ64">
        <v>0</v>
      </c>
      <c r="ACR64">
        <v>0</v>
      </c>
      <c r="ACS64">
        <v>0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  <c r="ADF64">
        <v>0</v>
      </c>
      <c r="ADG64">
        <v>0</v>
      </c>
      <c r="ADH64">
        <v>0</v>
      </c>
      <c r="ADI64">
        <v>0</v>
      </c>
      <c r="ADJ64">
        <v>0</v>
      </c>
      <c r="ADK64">
        <v>0</v>
      </c>
      <c r="ADL64">
        <v>0</v>
      </c>
      <c r="ADM64">
        <v>0</v>
      </c>
      <c r="ADN64">
        <v>0</v>
      </c>
      <c r="ADO64">
        <v>0</v>
      </c>
      <c r="ADP64">
        <v>0</v>
      </c>
      <c r="ADQ64">
        <v>0</v>
      </c>
      <c r="ADR64">
        <v>0</v>
      </c>
      <c r="ADS64">
        <v>0</v>
      </c>
      <c r="ADT64">
        <v>0</v>
      </c>
      <c r="ADU64">
        <v>0</v>
      </c>
      <c r="ADV64">
        <v>0</v>
      </c>
      <c r="ADW64">
        <v>0</v>
      </c>
      <c r="ADX64">
        <v>0</v>
      </c>
      <c r="ADY64">
        <v>0</v>
      </c>
      <c r="ADZ64">
        <v>0</v>
      </c>
      <c r="AEA64">
        <v>0</v>
      </c>
      <c r="AEB64">
        <v>0</v>
      </c>
      <c r="AEC64">
        <v>0</v>
      </c>
      <c r="AED64">
        <v>0</v>
      </c>
      <c r="AEE64">
        <v>0</v>
      </c>
      <c r="AEF64">
        <v>0</v>
      </c>
      <c r="AEG64">
        <v>0</v>
      </c>
      <c r="AEH64">
        <v>0</v>
      </c>
      <c r="AEI64">
        <v>0</v>
      </c>
      <c r="AEJ64">
        <v>0</v>
      </c>
      <c r="AEK64">
        <v>0</v>
      </c>
      <c r="AEL64">
        <v>0</v>
      </c>
      <c r="AEM64">
        <v>0</v>
      </c>
      <c r="AEN64">
        <v>0</v>
      </c>
      <c r="AEO64">
        <v>0</v>
      </c>
      <c r="AEP64">
        <v>0</v>
      </c>
      <c r="AEQ64">
        <v>0</v>
      </c>
      <c r="AER64">
        <v>0</v>
      </c>
      <c r="AES64">
        <v>0</v>
      </c>
      <c r="AET64">
        <v>0</v>
      </c>
      <c r="AEU64">
        <v>0</v>
      </c>
      <c r="AEV64">
        <v>0</v>
      </c>
      <c r="AEW64">
        <v>0</v>
      </c>
      <c r="AEX64">
        <v>0</v>
      </c>
      <c r="AEY64">
        <v>0</v>
      </c>
      <c r="AEZ64">
        <v>-120</v>
      </c>
      <c r="AFA64">
        <v>0</v>
      </c>
      <c r="AFB64">
        <v>0</v>
      </c>
      <c r="AFC64">
        <v>0</v>
      </c>
      <c r="AFD64">
        <v>0</v>
      </c>
      <c r="AFE64">
        <v>0</v>
      </c>
      <c r="AFF64">
        <v>0</v>
      </c>
      <c r="AFG64">
        <v>0</v>
      </c>
      <c r="AFH64">
        <v>0</v>
      </c>
      <c r="AFI64">
        <v>0</v>
      </c>
      <c r="AFJ64">
        <v>0</v>
      </c>
      <c r="AFK64">
        <v>0</v>
      </c>
      <c r="AFL64">
        <v>0</v>
      </c>
      <c r="AFM64">
        <v>0</v>
      </c>
      <c r="AFN64">
        <v>0</v>
      </c>
      <c r="AFO64">
        <v>0</v>
      </c>
      <c r="AFP64">
        <v>0</v>
      </c>
      <c r="AFQ64">
        <v>0</v>
      </c>
      <c r="AFR64">
        <v>0</v>
      </c>
      <c r="AFS64">
        <v>0</v>
      </c>
      <c r="AFT64">
        <v>0</v>
      </c>
      <c r="AFU64">
        <v>0</v>
      </c>
      <c r="AFV64">
        <v>0</v>
      </c>
      <c r="AFW64">
        <v>0</v>
      </c>
      <c r="AFX64">
        <v>0</v>
      </c>
      <c r="AFY64">
        <v>0</v>
      </c>
      <c r="AFZ64">
        <v>0</v>
      </c>
      <c r="AGA64">
        <v>0</v>
      </c>
      <c r="AGB64">
        <v>0</v>
      </c>
      <c r="AGC64">
        <v>0</v>
      </c>
      <c r="AGD64">
        <v>0</v>
      </c>
      <c r="AGE64">
        <v>0</v>
      </c>
      <c r="AGF64">
        <v>0</v>
      </c>
      <c r="AGG64">
        <v>0</v>
      </c>
      <c r="AGH64">
        <v>0</v>
      </c>
      <c r="AGI64">
        <v>0</v>
      </c>
      <c r="AGJ64">
        <v>0</v>
      </c>
      <c r="AGK64">
        <v>0</v>
      </c>
      <c r="AGL64">
        <v>0</v>
      </c>
      <c r="AGM64">
        <v>0</v>
      </c>
      <c r="AGN64">
        <v>0</v>
      </c>
      <c r="AGO64">
        <v>0</v>
      </c>
      <c r="AGP64">
        <v>0</v>
      </c>
      <c r="AGQ64">
        <v>0</v>
      </c>
      <c r="AGR64">
        <v>0</v>
      </c>
      <c r="AGS64">
        <v>0</v>
      </c>
      <c r="AGT64">
        <v>0</v>
      </c>
      <c r="AGU64">
        <v>0</v>
      </c>
      <c r="AGV64">
        <v>0</v>
      </c>
      <c r="AGW64">
        <v>0</v>
      </c>
      <c r="AGX64">
        <v>0</v>
      </c>
      <c r="AGY64">
        <v>0</v>
      </c>
      <c r="AGZ64">
        <v>0</v>
      </c>
      <c r="AHA64">
        <v>0</v>
      </c>
      <c r="AHB64">
        <v>0</v>
      </c>
      <c r="AHC64">
        <v>0</v>
      </c>
      <c r="AHD64">
        <v>0</v>
      </c>
      <c r="AHE64">
        <v>0</v>
      </c>
      <c r="AHF64">
        <v>0</v>
      </c>
      <c r="AHG64">
        <v>0</v>
      </c>
      <c r="AHH64">
        <v>0</v>
      </c>
      <c r="AHI64">
        <v>0</v>
      </c>
      <c r="AHJ64">
        <v>0</v>
      </c>
      <c r="AHK64">
        <v>0</v>
      </c>
      <c r="AHL64">
        <v>0</v>
      </c>
      <c r="AHM64">
        <v>0</v>
      </c>
      <c r="AHN64">
        <v>0</v>
      </c>
      <c r="AHO64">
        <v>0</v>
      </c>
      <c r="AHP64">
        <v>0</v>
      </c>
      <c r="AHQ64">
        <v>0</v>
      </c>
      <c r="AHR64">
        <v>0</v>
      </c>
      <c r="AHS64">
        <v>0</v>
      </c>
      <c r="AHT64">
        <v>0</v>
      </c>
      <c r="AHU64">
        <v>0</v>
      </c>
      <c r="AHV64">
        <v>0</v>
      </c>
      <c r="AHW64">
        <v>0</v>
      </c>
      <c r="AHX64">
        <v>0</v>
      </c>
      <c r="AHY64">
        <v>0</v>
      </c>
      <c r="AHZ64">
        <v>0</v>
      </c>
      <c r="AIA64">
        <v>0</v>
      </c>
      <c r="AIB64">
        <v>0</v>
      </c>
      <c r="AIC64">
        <v>0</v>
      </c>
      <c r="AID64">
        <v>0</v>
      </c>
      <c r="AIE64">
        <v>0</v>
      </c>
      <c r="AIF64">
        <v>0</v>
      </c>
      <c r="AIG64">
        <v>0</v>
      </c>
      <c r="AIH64">
        <v>0</v>
      </c>
      <c r="AII64">
        <v>0</v>
      </c>
      <c r="AIJ64">
        <v>0</v>
      </c>
      <c r="AIK64">
        <v>0</v>
      </c>
      <c r="AIL64">
        <v>0</v>
      </c>
      <c r="AIM64">
        <v>0</v>
      </c>
      <c r="AIN64">
        <v>0</v>
      </c>
      <c r="AIO64">
        <v>0</v>
      </c>
      <c r="AIP64">
        <v>0</v>
      </c>
      <c r="AIQ64">
        <v>0</v>
      </c>
      <c r="AIR64">
        <v>-4500</v>
      </c>
      <c r="AIS64">
        <v>0</v>
      </c>
      <c r="AIT64">
        <v>0</v>
      </c>
      <c r="AIU64">
        <v>0</v>
      </c>
      <c r="AIV64">
        <v>0</v>
      </c>
      <c r="AIW64">
        <v>0</v>
      </c>
      <c r="AIX64">
        <v>0</v>
      </c>
      <c r="AIY64">
        <v>0</v>
      </c>
      <c r="AIZ64">
        <v>0</v>
      </c>
      <c r="AJA64">
        <v>0</v>
      </c>
      <c r="AJB64">
        <v>0</v>
      </c>
      <c r="AJC64">
        <v>0</v>
      </c>
      <c r="AJD64">
        <v>0</v>
      </c>
      <c r="AJE64">
        <v>0</v>
      </c>
      <c r="AJF64">
        <v>0</v>
      </c>
      <c r="AJG64">
        <v>0</v>
      </c>
      <c r="AJH64">
        <v>0</v>
      </c>
      <c r="AJI64">
        <v>0</v>
      </c>
      <c r="AJJ64">
        <v>0</v>
      </c>
      <c r="AJK64">
        <v>0</v>
      </c>
      <c r="AJL64">
        <v>0</v>
      </c>
      <c r="AJM64">
        <v>0</v>
      </c>
      <c r="AJN64">
        <v>0</v>
      </c>
      <c r="AJO64">
        <v>0</v>
      </c>
      <c r="AJP64">
        <v>0</v>
      </c>
      <c r="AJQ64">
        <v>0</v>
      </c>
      <c r="AJR64">
        <v>0</v>
      </c>
      <c r="AJS64">
        <v>0</v>
      </c>
      <c r="AJT64">
        <v>0</v>
      </c>
      <c r="AJU64">
        <v>0</v>
      </c>
      <c r="AJV64">
        <v>0</v>
      </c>
      <c r="AJW64">
        <v>0</v>
      </c>
      <c r="AJX64">
        <v>0</v>
      </c>
      <c r="AJY64">
        <v>0</v>
      </c>
    </row>
    <row r="65" spans="1:961" x14ac:dyDescent="0.3">
      <c r="A65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10000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5000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6277.1071999999995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0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-3198.8930486111117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0</v>
      </c>
      <c r="PQ65">
        <v>0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-150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0</v>
      </c>
      <c r="RA65">
        <v>0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0</v>
      </c>
      <c r="SB65">
        <v>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0</v>
      </c>
      <c r="SS65">
        <v>0</v>
      </c>
      <c r="ST65">
        <v>0</v>
      </c>
      <c r="SU65">
        <v>0</v>
      </c>
      <c r="SV65">
        <v>0</v>
      </c>
      <c r="SW65">
        <v>0</v>
      </c>
      <c r="SX65">
        <v>0</v>
      </c>
      <c r="SY65">
        <v>0</v>
      </c>
      <c r="SZ65">
        <v>0</v>
      </c>
      <c r="TA65">
        <v>0</v>
      </c>
      <c r="TB65">
        <v>0</v>
      </c>
      <c r="TC65">
        <v>0</v>
      </c>
      <c r="TD65">
        <v>0</v>
      </c>
      <c r="TE65">
        <v>0</v>
      </c>
      <c r="TF65">
        <v>0</v>
      </c>
      <c r="TG65">
        <v>0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0</v>
      </c>
      <c r="TU65">
        <v>0</v>
      </c>
      <c r="TV65">
        <v>0</v>
      </c>
      <c r="TW65">
        <v>0</v>
      </c>
      <c r="TX65">
        <v>0</v>
      </c>
      <c r="TY65">
        <v>-1000</v>
      </c>
      <c r="TZ65">
        <v>0</v>
      </c>
      <c r="UA65">
        <v>0</v>
      </c>
      <c r="UB65">
        <v>0</v>
      </c>
      <c r="UC65">
        <v>0</v>
      </c>
      <c r="UD65">
        <v>0</v>
      </c>
      <c r="UE65">
        <v>0</v>
      </c>
      <c r="UF65">
        <v>0</v>
      </c>
      <c r="UG65">
        <v>0</v>
      </c>
      <c r="UH65">
        <v>0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</v>
      </c>
      <c r="UV65">
        <v>0</v>
      </c>
      <c r="UW65">
        <v>0</v>
      </c>
      <c r="UX65">
        <v>0</v>
      </c>
      <c r="UY65">
        <v>0</v>
      </c>
      <c r="UZ65">
        <v>0</v>
      </c>
      <c r="VA65">
        <v>0</v>
      </c>
      <c r="VB65">
        <v>0</v>
      </c>
      <c r="VC65">
        <v>0</v>
      </c>
      <c r="VD65">
        <v>0</v>
      </c>
      <c r="VE65">
        <v>0</v>
      </c>
      <c r="VF65">
        <v>0</v>
      </c>
      <c r="VG65">
        <v>0</v>
      </c>
      <c r="VH65">
        <v>0</v>
      </c>
      <c r="VI65">
        <v>0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0</v>
      </c>
      <c r="WA65">
        <v>0</v>
      </c>
      <c r="WB65">
        <v>0</v>
      </c>
      <c r="WC65">
        <v>0</v>
      </c>
      <c r="WD65">
        <v>0</v>
      </c>
      <c r="WE65">
        <v>0</v>
      </c>
      <c r="WF65">
        <v>0</v>
      </c>
      <c r="WG65">
        <v>0</v>
      </c>
      <c r="WH65">
        <v>0</v>
      </c>
      <c r="WI65">
        <v>0</v>
      </c>
      <c r="WJ65">
        <v>0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</v>
      </c>
      <c r="XN65">
        <v>0</v>
      </c>
      <c r="XO65">
        <v>0</v>
      </c>
      <c r="XP65">
        <v>0</v>
      </c>
      <c r="XQ65">
        <v>-5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0</v>
      </c>
      <c r="XY65">
        <v>0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</v>
      </c>
      <c r="YI65">
        <v>0</v>
      </c>
      <c r="YJ65">
        <v>0</v>
      </c>
      <c r="YK65">
        <v>0</v>
      </c>
      <c r="YL65">
        <v>0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0</v>
      </c>
      <c r="ZA65">
        <v>0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0</v>
      </c>
      <c r="ZJ65">
        <v>0</v>
      </c>
      <c r="ZK65">
        <v>0</v>
      </c>
      <c r="ZL65">
        <v>0</v>
      </c>
      <c r="ZM65">
        <v>0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0</v>
      </c>
      <c r="AAB65">
        <v>0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0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-256.16438356164383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  <c r="ADF65">
        <v>0</v>
      </c>
      <c r="ADG65">
        <v>0</v>
      </c>
      <c r="ADH65">
        <v>0</v>
      </c>
      <c r="ADI65">
        <v>0</v>
      </c>
      <c r="ADJ65">
        <v>0</v>
      </c>
      <c r="ADK65">
        <v>0</v>
      </c>
      <c r="ADL65">
        <v>0</v>
      </c>
      <c r="ADM65">
        <v>0</v>
      </c>
      <c r="ADN65">
        <v>0</v>
      </c>
      <c r="ADO65">
        <v>0</v>
      </c>
      <c r="ADP65">
        <v>0</v>
      </c>
      <c r="ADQ65">
        <v>0</v>
      </c>
      <c r="ADR65">
        <v>0</v>
      </c>
      <c r="ADS65">
        <v>0</v>
      </c>
      <c r="ADT65">
        <v>0</v>
      </c>
      <c r="ADU65">
        <v>0</v>
      </c>
      <c r="ADV65">
        <v>0</v>
      </c>
      <c r="ADW65">
        <v>0</v>
      </c>
      <c r="ADX65">
        <v>0</v>
      </c>
      <c r="ADY65">
        <v>0</v>
      </c>
      <c r="ADZ65">
        <v>0</v>
      </c>
      <c r="AEA65">
        <v>0</v>
      </c>
      <c r="AEB65">
        <v>0</v>
      </c>
      <c r="AEC65">
        <v>0</v>
      </c>
      <c r="AED65">
        <v>0</v>
      </c>
      <c r="AEE65">
        <v>0</v>
      </c>
      <c r="AEF65">
        <v>0</v>
      </c>
      <c r="AEG65">
        <v>0</v>
      </c>
      <c r="AEH65">
        <v>0</v>
      </c>
      <c r="AEI65">
        <v>0</v>
      </c>
      <c r="AEJ65">
        <v>0</v>
      </c>
      <c r="AEK65">
        <v>0</v>
      </c>
      <c r="AEL65">
        <v>0</v>
      </c>
      <c r="AEM65">
        <v>0</v>
      </c>
      <c r="AEN65">
        <v>0</v>
      </c>
      <c r="AEO65">
        <v>0</v>
      </c>
      <c r="AEP65">
        <v>0</v>
      </c>
      <c r="AEQ65">
        <v>0</v>
      </c>
      <c r="AER65">
        <v>0</v>
      </c>
      <c r="AES65">
        <v>0</v>
      </c>
      <c r="AET65">
        <v>0</v>
      </c>
      <c r="AEU65">
        <v>0</v>
      </c>
      <c r="AEV65">
        <v>0</v>
      </c>
      <c r="AEW65">
        <v>0</v>
      </c>
      <c r="AEX65">
        <v>0</v>
      </c>
      <c r="AEY65">
        <v>0</v>
      </c>
      <c r="AEZ65">
        <v>0</v>
      </c>
      <c r="AFA65">
        <v>-120</v>
      </c>
      <c r="AFB65">
        <v>0</v>
      </c>
      <c r="AFC65">
        <v>0</v>
      </c>
      <c r="AFD65">
        <v>0</v>
      </c>
      <c r="AFE65">
        <v>0</v>
      </c>
      <c r="AFF65">
        <v>0</v>
      </c>
      <c r="AFG65">
        <v>0</v>
      </c>
      <c r="AFH65">
        <v>0</v>
      </c>
      <c r="AFI65">
        <v>0</v>
      </c>
      <c r="AFJ65">
        <v>0</v>
      </c>
      <c r="AFK65">
        <v>0</v>
      </c>
      <c r="AFL65">
        <v>0</v>
      </c>
      <c r="AFM65">
        <v>0</v>
      </c>
      <c r="AFN65">
        <v>0</v>
      </c>
      <c r="AFO65">
        <v>0</v>
      </c>
      <c r="AFP65">
        <v>0</v>
      </c>
      <c r="AFQ65">
        <v>0</v>
      </c>
      <c r="AFR65">
        <v>0</v>
      </c>
      <c r="AFS65">
        <v>0</v>
      </c>
      <c r="AFT65">
        <v>0</v>
      </c>
      <c r="AFU65">
        <v>0</v>
      </c>
      <c r="AFV65">
        <v>0</v>
      </c>
      <c r="AFW65">
        <v>0</v>
      </c>
      <c r="AFX65">
        <v>0</v>
      </c>
      <c r="AFY65">
        <v>0</v>
      </c>
      <c r="AFZ65">
        <v>0</v>
      </c>
      <c r="AGA65">
        <v>0</v>
      </c>
      <c r="AGB65">
        <v>0</v>
      </c>
      <c r="AGC65">
        <v>0</v>
      </c>
      <c r="AGD65">
        <v>0</v>
      </c>
      <c r="AGE65">
        <v>0</v>
      </c>
      <c r="AGF65">
        <v>0</v>
      </c>
      <c r="AGG65">
        <v>0</v>
      </c>
      <c r="AGH65">
        <v>0</v>
      </c>
      <c r="AGI65">
        <v>0</v>
      </c>
      <c r="AGJ65">
        <v>0</v>
      </c>
      <c r="AGK65">
        <v>0</v>
      </c>
      <c r="AGL65">
        <v>0</v>
      </c>
      <c r="AGM65">
        <v>0</v>
      </c>
      <c r="AGN65">
        <v>0</v>
      </c>
      <c r="AGO65">
        <v>0</v>
      </c>
      <c r="AGP65">
        <v>0</v>
      </c>
      <c r="AGQ65">
        <v>0</v>
      </c>
      <c r="AGR65">
        <v>0</v>
      </c>
      <c r="AGS65">
        <v>0</v>
      </c>
      <c r="AGT65">
        <v>0</v>
      </c>
      <c r="AGU65">
        <v>0</v>
      </c>
      <c r="AGV65">
        <v>0</v>
      </c>
      <c r="AGW65">
        <v>0</v>
      </c>
      <c r="AGX65">
        <v>0</v>
      </c>
      <c r="AGY65">
        <v>0</v>
      </c>
      <c r="AGZ65">
        <v>0</v>
      </c>
      <c r="AHA65">
        <v>0</v>
      </c>
      <c r="AHB65">
        <v>0</v>
      </c>
      <c r="AHC65">
        <v>0</v>
      </c>
      <c r="AHD65">
        <v>0</v>
      </c>
      <c r="AHE65">
        <v>0</v>
      </c>
      <c r="AHF65">
        <v>0</v>
      </c>
      <c r="AHG65">
        <v>0</v>
      </c>
      <c r="AHH65">
        <v>0</v>
      </c>
      <c r="AHI65">
        <v>0</v>
      </c>
      <c r="AHJ65">
        <v>0</v>
      </c>
      <c r="AHK65">
        <v>0</v>
      </c>
      <c r="AHL65">
        <v>0</v>
      </c>
      <c r="AHM65">
        <v>0</v>
      </c>
      <c r="AHN65">
        <v>0</v>
      </c>
      <c r="AHO65">
        <v>0</v>
      </c>
      <c r="AHP65">
        <v>0</v>
      </c>
      <c r="AHQ65">
        <v>0</v>
      </c>
      <c r="AHR65">
        <v>0</v>
      </c>
      <c r="AHS65">
        <v>0</v>
      </c>
      <c r="AHT65">
        <v>0</v>
      </c>
      <c r="AHU65">
        <v>0</v>
      </c>
      <c r="AHV65">
        <v>0</v>
      </c>
      <c r="AHW65">
        <v>0</v>
      </c>
      <c r="AHX65">
        <v>0</v>
      </c>
      <c r="AHY65">
        <v>0</v>
      </c>
      <c r="AHZ65">
        <v>0</v>
      </c>
      <c r="AIA65">
        <v>0</v>
      </c>
      <c r="AIB65">
        <v>0</v>
      </c>
      <c r="AIC65">
        <v>0</v>
      </c>
      <c r="AID65">
        <v>0</v>
      </c>
      <c r="AIE65">
        <v>0</v>
      </c>
      <c r="AIF65">
        <v>0</v>
      </c>
      <c r="AIG65">
        <v>0</v>
      </c>
      <c r="AIH65">
        <v>0</v>
      </c>
      <c r="AII65">
        <v>0</v>
      </c>
      <c r="AIJ65">
        <v>0</v>
      </c>
      <c r="AIK65">
        <v>0</v>
      </c>
      <c r="AIL65">
        <v>0</v>
      </c>
      <c r="AIM65">
        <v>0</v>
      </c>
      <c r="AIN65">
        <v>0</v>
      </c>
      <c r="AIO65">
        <v>0</v>
      </c>
      <c r="AIP65">
        <v>0</v>
      </c>
      <c r="AIQ65">
        <v>0</v>
      </c>
      <c r="AIR65">
        <v>0</v>
      </c>
      <c r="AIS65">
        <v>-4500</v>
      </c>
      <c r="AIT65">
        <v>0</v>
      </c>
      <c r="AIU65">
        <v>0</v>
      </c>
      <c r="AIV65">
        <v>0</v>
      </c>
      <c r="AIW65">
        <v>0</v>
      </c>
      <c r="AIX65">
        <v>0</v>
      </c>
      <c r="AIY65">
        <v>0</v>
      </c>
      <c r="AIZ65">
        <v>0</v>
      </c>
      <c r="AJA65">
        <v>0</v>
      </c>
      <c r="AJB65">
        <v>0</v>
      </c>
      <c r="AJC65">
        <v>0</v>
      </c>
      <c r="AJD65">
        <v>0</v>
      </c>
      <c r="AJE65">
        <v>0</v>
      </c>
      <c r="AJF65">
        <v>0</v>
      </c>
      <c r="AJG65">
        <v>0</v>
      </c>
      <c r="AJH65">
        <v>0</v>
      </c>
      <c r="AJI65">
        <v>0</v>
      </c>
      <c r="AJJ65">
        <v>0</v>
      </c>
      <c r="AJK65">
        <v>0</v>
      </c>
      <c r="AJL65">
        <v>0</v>
      </c>
      <c r="AJM65">
        <v>0</v>
      </c>
      <c r="AJN65">
        <v>0</v>
      </c>
      <c r="AJO65">
        <v>0</v>
      </c>
      <c r="AJP65">
        <v>0</v>
      </c>
      <c r="AJQ65">
        <v>0</v>
      </c>
      <c r="AJR65">
        <v>0</v>
      </c>
      <c r="AJS65">
        <v>0</v>
      </c>
      <c r="AJT65">
        <v>0</v>
      </c>
      <c r="AJU65">
        <v>0</v>
      </c>
      <c r="AJV65">
        <v>0</v>
      </c>
      <c r="AJW65">
        <v>0</v>
      </c>
      <c r="AJX65">
        <v>0</v>
      </c>
      <c r="AJY65">
        <v>0</v>
      </c>
    </row>
    <row r="66" spans="1:961" x14ac:dyDescent="0.3">
      <c r="A66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10000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5000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3955.6831999999995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-3257.2951111111115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0</v>
      </c>
      <c r="PS66">
        <v>0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-150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0</v>
      </c>
      <c r="QY66">
        <v>0</v>
      </c>
      <c r="QZ66">
        <v>0</v>
      </c>
      <c r="RA66">
        <v>0</v>
      </c>
      <c r="RB66">
        <v>0</v>
      </c>
      <c r="RC66">
        <v>0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0</v>
      </c>
      <c r="SW66">
        <v>0</v>
      </c>
      <c r="SX66">
        <v>0</v>
      </c>
      <c r="SY66">
        <v>0</v>
      </c>
      <c r="SZ66">
        <v>0</v>
      </c>
      <c r="TA66">
        <v>0</v>
      </c>
      <c r="TB66">
        <v>0</v>
      </c>
      <c r="TC66">
        <v>0</v>
      </c>
      <c r="TD66">
        <v>0</v>
      </c>
      <c r="TE66">
        <v>0</v>
      </c>
      <c r="TF66">
        <v>0</v>
      </c>
      <c r="TG66">
        <v>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0</v>
      </c>
      <c r="TY66">
        <v>0</v>
      </c>
      <c r="TZ66">
        <v>-1000</v>
      </c>
      <c r="UA66">
        <v>0</v>
      </c>
      <c r="UB66">
        <v>0</v>
      </c>
      <c r="UC66">
        <v>0</v>
      </c>
      <c r="UD66">
        <v>0</v>
      </c>
      <c r="UE66">
        <v>0</v>
      </c>
      <c r="UF66">
        <v>0</v>
      </c>
      <c r="UG66">
        <v>0</v>
      </c>
      <c r="UH66">
        <v>0</v>
      </c>
      <c r="UI66">
        <v>0</v>
      </c>
      <c r="UJ66">
        <v>0</v>
      </c>
      <c r="UK66">
        <v>0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0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0</v>
      </c>
      <c r="VB66">
        <v>0</v>
      </c>
      <c r="VC66">
        <v>0</v>
      </c>
      <c r="VD66">
        <v>0</v>
      </c>
      <c r="VE66">
        <v>0</v>
      </c>
      <c r="VF66">
        <v>0</v>
      </c>
      <c r="VG66">
        <v>0</v>
      </c>
      <c r="VH66">
        <v>0</v>
      </c>
      <c r="VI66">
        <v>0</v>
      </c>
      <c r="VJ66">
        <v>0</v>
      </c>
      <c r="VK66">
        <v>0</v>
      </c>
      <c r="VL66">
        <v>0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0</v>
      </c>
      <c r="WF66">
        <v>0</v>
      </c>
      <c r="WG66">
        <v>0</v>
      </c>
      <c r="WH66">
        <v>0</v>
      </c>
      <c r="WI66">
        <v>0</v>
      </c>
      <c r="WJ66">
        <v>0</v>
      </c>
      <c r="WK66">
        <v>0</v>
      </c>
      <c r="WL66">
        <v>0</v>
      </c>
      <c r="WM66">
        <v>0</v>
      </c>
      <c r="WN66">
        <v>0</v>
      </c>
      <c r="WO66">
        <v>0</v>
      </c>
      <c r="WP66">
        <v>0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</v>
      </c>
      <c r="XD66">
        <v>0</v>
      </c>
      <c r="XE66">
        <v>0</v>
      </c>
      <c r="XF66">
        <v>0</v>
      </c>
      <c r="XG66">
        <v>0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</v>
      </c>
      <c r="XQ66">
        <v>0</v>
      </c>
      <c r="XR66">
        <v>-5</v>
      </c>
      <c r="XS66">
        <v>0</v>
      </c>
      <c r="XT66">
        <v>0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0</v>
      </c>
      <c r="YH66">
        <v>0</v>
      </c>
      <c r="YI66">
        <v>0</v>
      </c>
      <c r="YJ66">
        <v>0</v>
      </c>
      <c r="YK66">
        <v>0</v>
      </c>
      <c r="YL66">
        <v>0</v>
      </c>
      <c r="YM66">
        <v>0</v>
      </c>
      <c r="YN66">
        <v>0</v>
      </c>
      <c r="YO66">
        <v>0</v>
      </c>
      <c r="YP66">
        <v>0</v>
      </c>
      <c r="YQ66">
        <v>0</v>
      </c>
      <c r="YR66">
        <v>0</v>
      </c>
      <c r="YS66">
        <v>0</v>
      </c>
      <c r="YT66">
        <v>0</v>
      </c>
      <c r="YU66">
        <v>0</v>
      </c>
      <c r="YV66">
        <v>0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0</v>
      </c>
      <c r="ZH66">
        <v>0</v>
      </c>
      <c r="ZI66">
        <v>0</v>
      </c>
      <c r="ZJ66">
        <v>0</v>
      </c>
      <c r="ZK66">
        <v>0</v>
      </c>
      <c r="ZL66">
        <v>0</v>
      </c>
      <c r="ZM66">
        <v>0</v>
      </c>
      <c r="ZN66">
        <v>0</v>
      </c>
      <c r="ZO66">
        <v>0</v>
      </c>
      <c r="ZP66">
        <v>0</v>
      </c>
      <c r="ZQ66">
        <v>0</v>
      </c>
      <c r="ZR66">
        <v>0</v>
      </c>
      <c r="ZS66">
        <v>0</v>
      </c>
      <c r="ZT66">
        <v>0</v>
      </c>
      <c r="ZU66">
        <v>0</v>
      </c>
      <c r="ZV66">
        <v>0</v>
      </c>
      <c r="ZW66">
        <v>0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0</v>
      </c>
      <c r="AAM66">
        <v>0</v>
      </c>
      <c r="AAN66">
        <v>0</v>
      </c>
      <c r="AAO66">
        <v>0</v>
      </c>
      <c r="AAP66">
        <v>0</v>
      </c>
      <c r="AAQ66">
        <v>0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0</v>
      </c>
      <c r="AAX66">
        <v>0</v>
      </c>
      <c r="AAY66">
        <v>0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-256.16438356164383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0</v>
      </c>
      <c r="ABR66">
        <v>0</v>
      </c>
      <c r="ABS66">
        <v>0</v>
      </c>
      <c r="ABT66">
        <v>0</v>
      </c>
      <c r="ABU66">
        <v>0</v>
      </c>
      <c r="ABV66">
        <v>0</v>
      </c>
      <c r="ABW66">
        <v>0</v>
      </c>
      <c r="ABX66">
        <v>0</v>
      </c>
      <c r="ABY66">
        <v>0</v>
      </c>
      <c r="ABZ66">
        <v>0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0</v>
      </c>
      <c r="ACX66">
        <v>0</v>
      </c>
      <c r="ACY66">
        <v>0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  <c r="ADF66">
        <v>0</v>
      </c>
      <c r="ADG66">
        <v>0</v>
      </c>
      <c r="ADH66">
        <v>0</v>
      </c>
      <c r="ADI66">
        <v>0</v>
      </c>
      <c r="ADJ66">
        <v>0</v>
      </c>
      <c r="ADK66">
        <v>0</v>
      </c>
      <c r="ADL66">
        <v>0</v>
      </c>
      <c r="ADM66">
        <v>0</v>
      </c>
      <c r="ADN66">
        <v>0</v>
      </c>
      <c r="ADO66">
        <v>0</v>
      </c>
      <c r="ADP66">
        <v>0</v>
      </c>
      <c r="ADQ66">
        <v>0</v>
      </c>
      <c r="ADR66">
        <v>0</v>
      </c>
      <c r="ADS66">
        <v>0</v>
      </c>
      <c r="ADT66">
        <v>0</v>
      </c>
      <c r="ADU66">
        <v>0</v>
      </c>
      <c r="ADV66">
        <v>0</v>
      </c>
      <c r="ADW66">
        <v>0</v>
      </c>
      <c r="ADX66">
        <v>0</v>
      </c>
      <c r="ADY66">
        <v>0</v>
      </c>
      <c r="ADZ66">
        <v>0</v>
      </c>
      <c r="AEA66">
        <v>0</v>
      </c>
      <c r="AEB66">
        <v>0</v>
      </c>
      <c r="AEC66">
        <v>0</v>
      </c>
      <c r="AED66">
        <v>0</v>
      </c>
      <c r="AEE66">
        <v>0</v>
      </c>
      <c r="AEF66">
        <v>0</v>
      </c>
      <c r="AEG66">
        <v>0</v>
      </c>
      <c r="AEH66">
        <v>0</v>
      </c>
      <c r="AEI66">
        <v>0</v>
      </c>
      <c r="AEJ66">
        <v>0</v>
      </c>
      <c r="AEK66">
        <v>0</v>
      </c>
      <c r="AEL66">
        <v>0</v>
      </c>
      <c r="AEM66">
        <v>0</v>
      </c>
      <c r="AEN66">
        <v>0</v>
      </c>
      <c r="AEO66">
        <v>0</v>
      </c>
      <c r="AEP66">
        <v>0</v>
      </c>
      <c r="AEQ66">
        <v>0</v>
      </c>
      <c r="AER66">
        <v>0</v>
      </c>
      <c r="AES66">
        <v>0</v>
      </c>
      <c r="AET66">
        <v>0</v>
      </c>
      <c r="AEU66">
        <v>0</v>
      </c>
      <c r="AEV66">
        <v>0</v>
      </c>
      <c r="AEW66">
        <v>0</v>
      </c>
      <c r="AEX66">
        <v>0</v>
      </c>
      <c r="AEY66">
        <v>0</v>
      </c>
      <c r="AEZ66">
        <v>0</v>
      </c>
      <c r="AFA66">
        <v>0</v>
      </c>
      <c r="AFB66">
        <v>-120</v>
      </c>
      <c r="AFC66">
        <v>0</v>
      </c>
      <c r="AFD66">
        <v>0</v>
      </c>
      <c r="AFE66">
        <v>0</v>
      </c>
      <c r="AFF66">
        <v>0</v>
      </c>
      <c r="AFG66">
        <v>0</v>
      </c>
      <c r="AFH66">
        <v>0</v>
      </c>
      <c r="AFI66">
        <v>0</v>
      </c>
      <c r="AFJ66">
        <v>0</v>
      </c>
      <c r="AFK66">
        <v>0</v>
      </c>
      <c r="AFL66">
        <v>0</v>
      </c>
      <c r="AFM66">
        <v>0</v>
      </c>
      <c r="AFN66">
        <v>0</v>
      </c>
      <c r="AFO66">
        <v>0</v>
      </c>
      <c r="AFP66">
        <v>0</v>
      </c>
      <c r="AFQ66">
        <v>0</v>
      </c>
      <c r="AFR66">
        <v>0</v>
      </c>
      <c r="AFS66">
        <v>0</v>
      </c>
      <c r="AFT66">
        <v>0</v>
      </c>
      <c r="AFU66">
        <v>0</v>
      </c>
      <c r="AFV66">
        <v>0</v>
      </c>
      <c r="AFW66">
        <v>0</v>
      </c>
      <c r="AFX66">
        <v>0</v>
      </c>
      <c r="AFY66">
        <v>0</v>
      </c>
      <c r="AFZ66">
        <v>0</v>
      </c>
      <c r="AGA66">
        <v>0</v>
      </c>
      <c r="AGB66">
        <v>0</v>
      </c>
      <c r="AGC66">
        <v>0</v>
      </c>
      <c r="AGD66">
        <v>0</v>
      </c>
      <c r="AGE66">
        <v>0</v>
      </c>
      <c r="AGF66">
        <v>0</v>
      </c>
      <c r="AGG66">
        <v>0</v>
      </c>
      <c r="AGH66">
        <v>0</v>
      </c>
      <c r="AGI66">
        <v>0</v>
      </c>
      <c r="AGJ66">
        <v>0</v>
      </c>
      <c r="AGK66">
        <v>0</v>
      </c>
      <c r="AGL66">
        <v>0</v>
      </c>
      <c r="AGM66">
        <v>0</v>
      </c>
      <c r="AGN66">
        <v>0</v>
      </c>
      <c r="AGO66">
        <v>0</v>
      </c>
      <c r="AGP66">
        <v>0</v>
      </c>
      <c r="AGQ66">
        <v>0</v>
      </c>
      <c r="AGR66">
        <v>0</v>
      </c>
      <c r="AGS66">
        <v>0</v>
      </c>
      <c r="AGT66">
        <v>0</v>
      </c>
      <c r="AGU66">
        <v>0</v>
      </c>
      <c r="AGV66">
        <v>0</v>
      </c>
      <c r="AGW66">
        <v>0</v>
      </c>
      <c r="AGX66">
        <v>0</v>
      </c>
      <c r="AGY66">
        <v>0</v>
      </c>
      <c r="AGZ66">
        <v>0</v>
      </c>
      <c r="AHA66">
        <v>0</v>
      </c>
      <c r="AHB66">
        <v>0</v>
      </c>
      <c r="AHC66">
        <v>0</v>
      </c>
      <c r="AHD66">
        <v>0</v>
      </c>
      <c r="AHE66">
        <v>0</v>
      </c>
      <c r="AHF66">
        <v>0</v>
      </c>
      <c r="AHG66">
        <v>0</v>
      </c>
      <c r="AHH66">
        <v>0</v>
      </c>
      <c r="AHI66">
        <v>0</v>
      </c>
      <c r="AHJ66">
        <v>0</v>
      </c>
      <c r="AHK66">
        <v>0</v>
      </c>
      <c r="AHL66">
        <v>0</v>
      </c>
      <c r="AHM66">
        <v>0</v>
      </c>
      <c r="AHN66">
        <v>0</v>
      </c>
      <c r="AHO66">
        <v>0</v>
      </c>
      <c r="AHP66">
        <v>0</v>
      </c>
      <c r="AHQ66">
        <v>0</v>
      </c>
      <c r="AHR66">
        <v>0</v>
      </c>
      <c r="AHS66">
        <v>0</v>
      </c>
      <c r="AHT66">
        <v>0</v>
      </c>
      <c r="AHU66">
        <v>0</v>
      </c>
      <c r="AHV66">
        <v>0</v>
      </c>
      <c r="AHW66">
        <v>0</v>
      </c>
      <c r="AHX66">
        <v>0</v>
      </c>
      <c r="AHY66">
        <v>0</v>
      </c>
      <c r="AHZ66">
        <v>0</v>
      </c>
      <c r="AIA66">
        <v>0</v>
      </c>
      <c r="AIB66">
        <v>0</v>
      </c>
      <c r="AIC66">
        <v>0</v>
      </c>
      <c r="AID66">
        <v>0</v>
      </c>
      <c r="AIE66">
        <v>0</v>
      </c>
      <c r="AIF66">
        <v>0</v>
      </c>
      <c r="AIG66">
        <v>0</v>
      </c>
      <c r="AIH66">
        <v>0</v>
      </c>
      <c r="AII66">
        <v>0</v>
      </c>
      <c r="AIJ66">
        <v>0</v>
      </c>
      <c r="AIK66">
        <v>0</v>
      </c>
      <c r="AIL66">
        <v>0</v>
      </c>
      <c r="AIM66">
        <v>0</v>
      </c>
      <c r="AIN66">
        <v>0</v>
      </c>
      <c r="AIO66">
        <v>0</v>
      </c>
      <c r="AIP66">
        <v>0</v>
      </c>
      <c r="AIQ66">
        <v>0</v>
      </c>
      <c r="AIR66">
        <v>0</v>
      </c>
      <c r="AIS66">
        <v>0</v>
      </c>
      <c r="AIT66">
        <v>-4500</v>
      </c>
      <c r="AIU66">
        <v>0</v>
      </c>
      <c r="AIV66">
        <v>0</v>
      </c>
      <c r="AIW66">
        <v>0</v>
      </c>
      <c r="AIX66">
        <v>0</v>
      </c>
      <c r="AIY66">
        <v>0</v>
      </c>
      <c r="AIZ66">
        <v>0</v>
      </c>
      <c r="AJA66">
        <v>0</v>
      </c>
      <c r="AJB66">
        <v>0</v>
      </c>
      <c r="AJC66">
        <v>0</v>
      </c>
      <c r="AJD66">
        <v>0</v>
      </c>
      <c r="AJE66">
        <v>0</v>
      </c>
      <c r="AJF66">
        <v>0</v>
      </c>
      <c r="AJG66">
        <v>0</v>
      </c>
      <c r="AJH66">
        <v>0</v>
      </c>
      <c r="AJI66">
        <v>0</v>
      </c>
      <c r="AJJ66">
        <v>0</v>
      </c>
      <c r="AJK66">
        <v>0</v>
      </c>
      <c r="AJL66">
        <v>0</v>
      </c>
      <c r="AJM66">
        <v>0</v>
      </c>
      <c r="AJN66">
        <v>0</v>
      </c>
      <c r="AJO66">
        <v>0</v>
      </c>
      <c r="AJP66">
        <v>0</v>
      </c>
      <c r="AJQ66">
        <v>0</v>
      </c>
      <c r="AJR66">
        <v>0</v>
      </c>
      <c r="AJS66">
        <v>0</v>
      </c>
      <c r="AJT66">
        <v>0</v>
      </c>
      <c r="AJU66">
        <v>0</v>
      </c>
      <c r="AJV66">
        <v>0</v>
      </c>
      <c r="AJW66">
        <v>0</v>
      </c>
      <c r="AJX66">
        <v>0</v>
      </c>
      <c r="AJY66">
        <v>0</v>
      </c>
    </row>
    <row r="67" spans="1:961" x14ac:dyDescent="0.3">
      <c r="A67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10000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5000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3955.6831999999995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-3257.2951111111115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0</v>
      </c>
      <c r="NO67">
        <v>0</v>
      </c>
      <c r="NP67">
        <v>0</v>
      </c>
      <c r="NQ67">
        <v>0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0</v>
      </c>
      <c r="OP67">
        <v>0</v>
      </c>
      <c r="OQ67">
        <v>0</v>
      </c>
      <c r="OR67">
        <v>0</v>
      </c>
      <c r="OS67">
        <v>0</v>
      </c>
      <c r="OT67">
        <v>0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0</v>
      </c>
      <c r="PQ67">
        <v>0</v>
      </c>
      <c r="PR67">
        <v>0</v>
      </c>
      <c r="PS67">
        <v>0</v>
      </c>
      <c r="PT67">
        <v>0</v>
      </c>
      <c r="PU67">
        <v>0</v>
      </c>
      <c r="PV67">
        <v>0</v>
      </c>
      <c r="PW67">
        <v>0</v>
      </c>
      <c r="PX67">
        <v>0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-150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0</v>
      </c>
      <c r="QS67">
        <v>0</v>
      </c>
      <c r="QT67">
        <v>0</v>
      </c>
      <c r="QU67">
        <v>0</v>
      </c>
      <c r="QV67">
        <v>0</v>
      </c>
      <c r="QW67">
        <v>0</v>
      </c>
      <c r="QX67">
        <v>0</v>
      </c>
      <c r="QY67">
        <v>0</v>
      </c>
      <c r="QZ67">
        <v>0</v>
      </c>
      <c r="RA67">
        <v>0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0</v>
      </c>
      <c r="RZ67">
        <v>0</v>
      </c>
      <c r="SA67">
        <v>0</v>
      </c>
      <c r="SB67">
        <v>0</v>
      </c>
      <c r="SC67">
        <v>0</v>
      </c>
      <c r="SD67">
        <v>0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</v>
      </c>
      <c r="SX67">
        <v>0</v>
      </c>
      <c r="SY67">
        <v>0</v>
      </c>
      <c r="SZ67">
        <v>0</v>
      </c>
      <c r="TA67">
        <v>0</v>
      </c>
      <c r="TB67">
        <v>0</v>
      </c>
      <c r="TC67">
        <v>0</v>
      </c>
      <c r="TD67">
        <v>0</v>
      </c>
      <c r="TE67">
        <v>0</v>
      </c>
      <c r="TF67">
        <v>0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</v>
      </c>
      <c r="TR67">
        <v>0</v>
      </c>
      <c r="TS67">
        <v>0</v>
      </c>
      <c r="TT67">
        <v>0</v>
      </c>
      <c r="TU67">
        <v>0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-1000</v>
      </c>
      <c r="UB67">
        <v>0</v>
      </c>
      <c r="UC67">
        <v>0</v>
      </c>
      <c r="UD67">
        <v>0</v>
      </c>
      <c r="UE67">
        <v>0</v>
      </c>
      <c r="UF67">
        <v>0</v>
      </c>
      <c r="UG67">
        <v>0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</v>
      </c>
      <c r="UP67">
        <v>0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0</v>
      </c>
      <c r="VE67">
        <v>0</v>
      </c>
      <c r="VF67">
        <v>0</v>
      </c>
      <c r="VG67">
        <v>0</v>
      </c>
      <c r="VH67">
        <v>0</v>
      </c>
      <c r="VI67">
        <v>0</v>
      </c>
      <c r="VJ67">
        <v>0</v>
      </c>
      <c r="VK67">
        <v>0</v>
      </c>
      <c r="VL67">
        <v>0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0</v>
      </c>
      <c r="WA67">
        <v>0</v>
      </c>
      <c r="WB67">
        <v>0</v>
      </c>
      <c r="WC67">
        <v>0</v>
      </c>
      <c r="WD67">
        <v>0</v>
      </c>
      <c r="WE67">
        <v>0</v>
      </c>
      <c r="WF67">
        <v>0</v>
      </c>
      <c r="WG67">
        <v>0</v>
      </c>
      <c r="WH67">
        <v>0</v>
      </c>
      <c r="WI67">
        <v>0</v>
      </c>
      <c r="WJ67">
        <v>0</v>
      </c>
      <c r="WK67">
        <v>0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</v>
      </c>
      <c r="WT67">
        <v>0</v>
      </c>
      <c r="WU67">
        <v>0</v>
      </c>
      <c r="WV67">
        <v>0</v>
      </c>
      <c r="WW67">
        <v>0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0</v>
      </c>
      <c r="XD67">
        <v>0</v>
      </c>
      <c r="XE67">
        <v>0</v>
      </c>
      <c r="XF67">
        <v>0</v>
      </c>
      <c r="XG67">
        <v>0</v>
      </c>
      <c r="XH67">
        <v>0</v>
      </c>
      <c r="XI67">
        <v>0</v>
      </c>
      <c r="XJ67">
        <v>0</v>
      </c>
      <c r="XK67">
        <v>0</v>
      </c>
      <c r="XL67">
        <v>0</v>
      </c>
      <c r="XM67">
        <v>0</v>
      </c>
      <c r="XN67">
        <v>0</v>
      </c>
      <c r="XO67">
        <v>0</v>
      </c>
      <c r="XP67">
        <v>0</v>
      </c>
      <c r="XQ67">
        <v>0</v>
      </c>
      <c r="XR67">
        <v>0</v>
      </c>
      <c r="XS67">
        <v>-5</v>
      </c>
      <c r="XT67">
        <v>0</v>
      </c>
      <c r="XU67">
        <v>0</v>
      </c>
      <c r="XV67">
        <v>0</v>
      </c>
      <c r="XW67">
        <v>0</v>
      </c>
      <c r="XX67">
        <v>0</v>
      </c>
      <c r="XY67">
        <v>0</v>
      </c>
      <c r="XZ67">
        <v>0</v>
      </c>
      <c r="YA67">
        <v>0</v>
      </c>
      <c r="YB67">
        <v>0</v>
      </c>
      <c r="YC67">
        <v>0</v>
      </c>
      <c r="YD67">
        <v>0</v>
      </c>
      <c r="YE67">
        <v>0</v>
      </c>
      <c r="YF67">
        <v>0</v>
      </c>
      <c r="YG67">
        <v>0</v>
      </c>
      <c r="YH67">
        <v>0</v>
      </c>
      <c r="YI67">
        <v>0</v>
      </c>
      <c r="YJ67">
        <v>0</v>
      </c>
      <c r="YK67">
        <v>0</v>
      </c>
      <c r="YL67">
        <v>0</v>
      </c>
      <c r="YM67">
        <v>0</v>
      </c>
      <c r="YN67">
        <v>0</v>
      </c>
      <c r="YO67">
        <v>0</v>
      </c>
      <c r="YP67">
        <v>0</v>
      </c>
      <c r="YQ67">
        <v>0</v>
      </c>
      <c r="YR67">
        <v>0</v>
      </c>
      <c r="YS67">
        <v>0</v>
      </c>
      <c r="YT67">
        <v>0</v>
      </c>
      <c r="YU67">
        <v>0</v>
      </c>
      <c r="YV67">
        <v>0</v>
      </c>
      <c r="YW67">
        <v>0</v>
      </c>
      <c r="YX67">
        <v>0</v>
      </c>
      <c r="YY67">
        <v>0</v>
      </c>
      <c r="YZ67">
        <v>0</v>
      </c>
      <c r="ZA67">
        <v>0</v>
      </c>
      <c r="ZB67">
        <v>0</v>
      </c>
      <c r="ZC67">
        <v>0</v>
      </c>
      <c r="ZD67">
        <v>0</v>
      </c>
      <c r="ZE67">
        <v>0</v>
      </c>
      <c r="ZF67">
        <v>0</v>
      </c>
      <c r="ZG67">
        <v>0</v>
      </c>
      <c r="ZH67">
        <v>0</v>
      </c>
      <c r="ZI67">
        <v>0</v>
      </c>
      <c r="ZJ67">
        <v>0</v>
      </c>
      <c r="ZK67">
        <v>0</v>
      </c>
      <c r="ZL67">
        <v>0</v>
      </c>
      <c r="ZM67">
        <v>0</v>
      </c>
      <c r="ZN67">
        <v>0</v>
      </c>
      <c r="ZO67">
        <v>0</v>
      </c>
      <c r="ZP67">
        <v>0</v>
      </c>
      <c r="ZQ67">
        <v>0</v>
      </c>
      <c r="ZR67">
        <v>0</v>
      </c>
      <c r="ZS67">
        <v>0</v>
      </c>
      <c r="ZT67">
        <v>0</v>
      </c>
      <c r="ZU67">
        <v>0</v>
      </c>
      <c r="ZV67">
        <v>0</v>
      </c>
      <c r="ZW67">
        <v>0</v>
      </c>
      <c r="ZX67">
        <v>0</v>
      </c>
      <c r="ZY67">
        <v>0</v>
      </c>
      <c r="ZZ67">
        <v>0</v>
      </c>
      <c r="AAA67">
        <v>0</v>
      </c>
      <c r="AAB67">
        <v>0</v>
      </c>
      <c r="AAC67">
        <v>0</v>
      </c>
      <c r="AAD67">
        <v>0</v>
      </c>
      <c r="AAE67">
        <v>0</v>
      </c>
      <c r="AAF67">
        <v>0</v>
      </c>
      <c r="AAG67">
        <v>0</v>
      </c>
      <c r="AAH67">
        <v>0</v>
      </c>
      <c r="AAI67">
        <v>0</v>
      </c>
      <c r="AAJ67">
        <v>0</v>
      </c>
      <c r="AAK67">
        <v>0</v>
      </c>
      <c r="AAL67">
        <v>0</v>
      </c>
      <c r="AAM67">
        <v>0</v>
      </c>
      <c r="AAN67">
        <v>0</v>
      </c>
      <c r="AAO67">
        <v>0</v>
      </c>
      <c r="AAP67">
        <v>0</v>
      </c>
      <c r="AAQ67">
        <v>0</v>
      </c>
      <c r="AAR67">
        <v>0</v>
      </c>
      <c r="AAS67">
        <v>0</v>
      </c>
      <c r="AAT67">
        <v>0</v>
      </c>
      <c r="AAU67">
        <v>0</v>
      </c>
      <c r="AAV67">
        <v>0</v>
      </c>
      <c r="AAW67">
        <v>0</v>
      </c>
      <c r="AAX67">
        <v>0</v>
      </c>
      <c r="AAY67">
        <v>0</v>
      </c>
      <c r="AAZ67">
        <v>0</v>
      </c>
      <c r="ABA67">
        <v>0</v>
      </c>
      <c r="ABB67">
        <v>0</v>
      </c>
      <c r="ABC67">
        <v>0</v>
      </c>
      <c r="ABD67">
        <v>0</v>
      </c>
      <c r="ABE67">
        <v>0</v>
      </c>
      <c r="ABF67">
        <v>0</v>
      </c>
      <c r="ABG67">
        <v>0</v>
      </c>
      <c r="ABH67">
        <v>0</v>
      </c>
      <c r="ABI67">
        <v>0</v>
      </c>
      <c r="ABJ67">
        <v>0</v>
      </c>
      <c r="ABK67">
        <v>-256.16438356164383</v>
      </c>
      <c r="ABL67">
        <v>0</v>
      </c>
      <c r="ABM67">
        <v>0</v>
      </c>
      <c r="ABN67">
        <v>0</v>
      </c>
      <c r="ABO67">
        <v>0</v>
      </c>
      <c r="ABP67">
        <v>0</v>
      </c>
      <c r="ABQ67">
        <v>0</v>
      </c>
      <c r="ABR67">
        <v>0</v>
      </c>
      <c r="ABS67">
        <v>0</v>
      </c>
      <c r="ABT67">
        <v>0</v>
      </c>
      <c r="ABU67">
        <v>0</v>
      </c>
      <c r="ABV67">
        <v>0</v>
      </c>
      <c r="ABW67">
        <v>0</v>
      </c>
      <c r="ABX67">
        <v>0</v>
      </c>
      <c r="ABY67">
        <v>0</v>
      </c>
      <c r="ABZ67">
        <v>0</v>
      </c>
      <c r="ACA67">
        <v>0</v>
      </c>
      <c r="ACB67">
        <v>0</v>
      </c>
      <c r="ACC67">
        <v>0</v>
      </c>
      <c r="ACD67">
        <v>0</v>
      </c>
      <c r="ACE67">
        <v>0</v>
      </c>
      <c r="ACF67">
        <v>0</v>
      </c>
      <c r="ACG67">
        <v>0</v>
      </c>
      <c r="ACH67">
        <v>0</v>
      </c>
      <c r="ACI67">
        <v>0</v>
      </c>
      <c r="ACJ67">
        <v>0</v>
      </c>
      <c r="ACK67">
        <v>0</v>
      </c>
      <c r="ACL67">
        <v>0</v>
      </c>
      <c r="ACM67">
        <v>0</v>
      </c>
      <c r="ACN67">
        <v>0</v>
      </c>
      <c r="ACO67">
        <v>0</v>
      </c>
      <c r="ACP67">
        <v>0</v>
      </c>
      <c r="ACQ67">
        <v>0</v>
      </c>
      <c r="ACR67">
        <v>0</v>
      </c>
      <c r="ACS67">
        <v>0</v>
      </c>
      <c r="ACT67">
        <v>0</v>
      </c>
      <c r="ACU67">
        <v>0</v>
      </c>
      <c r="ACV67">
        <v>0</v>
      </c>
      <c r="ACW67">
        <v>0</v>
      </c>
      <c r="ACX67">
        <v>0</v>
      </c>
      <c r="ACY67">
        <v>0</v>
      </c>
      <c r="ACZ67">
        <v>0</v>
      </c>
      <c r="ADA67">
        <v>0</v>
      </c>
      <c r="ADB67">
        <v>0</v>
      </c>
      <c r="ADC67">
        <v>0</v>
      </c>
      <c r="ADD67">
        <v>0</v>
      </c>
      <c r="ADE67">
        <v>0</v>
      </c>
      <c r="ADF67">
        <v>0</v>
      </c>
      <c r="ADG67">
        <v>0</v>
      </c>
      <c r="ADH67">
        <v>0</v>
      </c>
      <c r="ADI67">
        <v>0</v>
      </c>
      <c r="ADJ67">
        <v>0</v>
      </c>
      <c r="ADK67">
        <v>0</v>
      </c>
      <c r="ADL67">
        <v>0</v>
      </c>
      <c r="ADM67">
        <v>0</v>
      </c>
      <c r="ADN67">
        <v>0</v>
      </c>
      <c r="ADO67">
        <v>0</v>
      </c>
      <c r="ADP67">
        <v>0</v>
      </c>
      <c r="ADQ67">
        <v>0</v>
      </c>
      <c r="ADR67">
        <v>0</v>
      </c>
      <c r="ADS67">
        <v>0</v>
      </c>
      <c r="ADT67">
        <v>0</v>
      </c>
      <c r="ADU67">
        <v>0</v>
      </c>
      <c r="ADV67">
        <v>0</v>
      </c>
      <c r="ADW67">
        <v>0</v>
      </c>
      <c r="ADX67">
        <v>0</v>
      </c>
      <c r="ADY67">
        <v>0</v>
      </c>
      <c r="ADZ67">
        <v>0</v>
      </c>
      <c r="AEA67">
        <v>0</v>
      </c>
      <c r="AEB67">
        <v>0</v>
      </c>
      <c r="AEC67">
        <v>0</v>
      </c>
      <c r="AED67">
        <v>0</v>
      </c>
      <c r="AEE67">
        <v>0</v>
      </c>
      <c r="AEF67">
        <v>0</v>
      </c>
      <c r="AEG67">
        <v>0</v>
      </c>
      <c r="AEH67">
        <v>0</v>
      </c>
      <c r="AEI67">
        <v>0</v>
      </c>
      <c r="AEJ67">
        <v>0</v>
      </c>
      <c r="AEK67">
        <v>0</v>
      </c>
      <c r="AEL67">
        <v>0</v>
      </c>
      <c r="AEM67">
        <v>0</v>
      </c>
      <c r="AEN67">
        <v>0</v>
      </c>
      <c r="AEO67">
        <v>0</v>
      </c>
      <c r="AEP67">
        <v>0</v>
      </c>
      <c r="AEQ67">
        <v>0</v>
      </c>
      <c r="AER67">
        <v>0</v>
      </c>
      <c r="AES67">
        <v>0</v>
      </c>
      <c r="AET67">
        <v>0</v>
      </c>
      <c r="AEU67">
        <v>0</v>
      </c>
      <c r="AEV67">
        <v>0</v>
      </c>
      <c r="AEW67">
        <v>0</v>
      </c>
      <c r="AEX67">
        <v>0</v>
      </c>
      <c r="AEY67">
        <v>0</v>
      </c>
      <c r="AEZ67">
        <v>0</v>
      </c>
      <c r="AFA67">
        <v>0</v>
      </c>
      <c r="AFB67">
        <v>0</v>
      </c>
      <c r="AFC67">
        <v>-120</v>
      </c>
      <c r="AFD67">
        <v>0</v>
      </c>
      <c r="AFE67">
        <v>0</v>
      </c>
      <c r="AFF67">
        <v>0</v>
      </c>
      <c r="AFG67">
        <v>0</v>
      </c>
      <c r="AFH67">
        <v>0</v>
      </c>
      <c r="AFI67">
        <v>0</v>
      </c>
      <c r="AFJ67">
        <v>0</v>
      </c>
      <c r="AFK67">
        <v>0</v>
      </c>
      <c r="AFL67">
        <v>0</v>
      </c>
      <c r="AFM67">
        <v>0</v>
      </c>
      <c r="AFN67">
        <v>0</v>
      </c>
      <c r="AFO67">
        <v>0</v>
      </c>
      <c r="AFP67">
        <v>0</v>
      </c>
      <c r="AFQ67">
        <v>0</v>
      </c>
      <c r="AFR67">
        <v>0</v>
      </c>
      <c r="AFS67">
        <v>0</v>
      </c>
      <c r="AFT67">
        <v>0</v>
      </c>
      <c r="AFU67">
        <v>0</v>
      </c>
      <c r="AFV67">
        <v>0</v>
      </c>
      <c r="AFW67">
        <v>0</v>
      </c>
      <c r="AFX67">
        <v>0</v>
      </c>
      <c r="AFY67">
        <v>0</v>
      </c>
      <c r="AFZ67">
        <v>0</v>
      </c>
      <c r="AGA67">
        <v>0</v>
      </c>
      <c r="AGB67">
        <v>0</v>
      </c>
      <c r="AGC67">
        <v>0</v>
      </c>
      <c r="AGD67">
        <v>0</v>
      </c>
      <c r="AGE67">
        <v>0</v>
      </c>
      <c r="AGF67">
        <v>0</v>
      </c>
      <c r="AGG67">
        <v>0</v>
      </c>
      <c r="AGH67">
        <v>0</v>
      </c>
      <c r="AGI67">
        <v>0</v>
      </c>
      <c r="AGJ67">
        <v>0</v>
      </c>
      <c r="AGK67">
        <v>0</v>
      </c>
      <c r="AGL67">
        <v>0</v>
      </c>
      <c r="AGM67">
        <v>0</v>
      </c>
      <c r="AGN67">
        <v>0</v>
      </c>
      <c r="AGO67">
        <v>0</v>
      </c>
      <c r="AGP67">
        <v>0</v>
      </c>
      <c r="AGQ67">
        <v>0</v>
      </c>
      <c r="AGR67">
        <v>0</v>
      </c>
      <c r="AGS67">
        <v>0</v>
      </c>
      <c r="AGT67">
        <v>0</v>
      </c>
      <c r="AGU67">
        <v>0</v>
      </c>
      <c r="AGV67">
        <v>0</v>
      </c>
      <c r="AGW67">
        <v>0</v>
      </c>
      <c r="AGX67">
        <v>0</v>
      </c>
      <c r="AGY67">
        <v>0</v>
      </c>
      <c r="AGZ67">
        <v>0</v>
      </c>
      <c r="AHA67">
        <v>0</v>
      </c>
      <c r="AHB67">
        <v>0</v>
      </c>
      <c r="AHC67">
        <v>0</v>
      </c>
      <c r="AHD67">
        <v>0</v>
      </c>
      <c r="AHE67">
        <v>0</v>
      </c>
      <c r="AHF67">
        <v>0</v>
      </c>
      <c r="AHG67">
        <v>0</v>
      </c>
      <c r="AHH67">
        <v>0</v>
      </c>
      <c r="AHI67">
        <v>0</v>
      </c>
      <c r="AHJ67">
        <v>0</v>
      </c>
      <c r="AHK67">
        <v>0</v>
      </c>
      <c r="AHL67">
        <v>0</v>
      </c>
      <c r="AHM67">
        <v>0</v>
      </c>
      <c r="AHN67">
        <v>0</v>
      </c>
      <c r="AHO67">
        <v>0</v>
      </c>
      <c r="AHP67">
        <v>0</v>
      </c>
      <c r="AHQ67">
        <v>0</v>
      </c>
      <c r="AHR67">
        <v>0</v>
      </c>
      <c r="AHS67">
        <v>0</v>
      </c>
      <c r="AHT67">
        <v>0</v>
      </c>
      <c r="AHU67">
        <v>0</v>
      </c>
      <c r="AHV67">
        <v>0</v>
      </c>
      <c r="AHW67">
        <v>0</v>
      </c>
      <c r="AHX67">
        <v>0</v>
      </c>
      <c r="AHY67">
        <v>0</v>
      </c>
      <c r="AHZ67">
        <v>0</v>
      </c>
      <c r="AIA67">
        <v>0</v>
      </c>
      <c r="AIB67">
        <v>0</v>
      </c>
      <c r="AIC67">
        <v>0</v>
      </c>
      <c r="AID67">
        <v>0</v>
      </c>
      <c r="AIE67">
        <v>0</v>
      </c>
      <c r="AIF67">
        <v>0</v>
      </c>
      <c r="AIG67">
        <v>0</v>
      </c>
      <c r="AIH67">
        <v>0</v>
      </c>
      <c r="AII67">
        <v>0</v>
      </c>
      <c r="AIJ67">
        <v>0</v>
      </c>
      <c r="AIK67">
        <v>0</v>
      </c>
      <c r="AIL67">
        <v>0</v>
      </c>
      <c r="AIM67">
        <v>0</v>
      </c>
      <c r="AIN67">
        <v>0</v>
      </c>
      <c r="AIO67">
        <v>0</v>
      </c>
      <c r="AIP67">
        <v>0</v>
      </c>
      <c r="AIQ67">
        <v>0</v>
      </c>
      <c r="AIR67">
        <v>0</v>
      </c>
      <c r="AIS67">
        <v>0</v>
      </c>
      <c r="AIT67">
        <v>0</v>
      </c>
      <c r="AIU67">
        <v>-4500</v>
      </c>
      <c r="AIV67">
        <v>0</v>
      </c>
      <c r="AIW67">
        <v>0</v>
      </c>
      <c r="AIX67">
        <v>0</v>
      </c>
      <c r="AIY67">
        <v>0</v>
      </c>
      <c r="AIZ67">
        <v>0</v>
      </c>
      <c r="AJA67">
        <v>0</v>
      </c>
      <c r="AJB67">
        <v>0</v>
      </c>
      <c r="AJC67">
        <v>0</v>
      </c>
      <c r="AJD67">
        <v>0</v>
      </c>
      <c r="AJE67">
        <v>0</v>
      </c>
      <c r="AJF67">
        <v>0</v>
      </c>
      <c r="AJG67">
        <v>0</v>
      </c>
      <c r="AJH67">
        <v>0</v>
      </c>
      <c r="AJI67">
        <v>0</v>
      </c>
      <c r="AJJ67">
        <v>0</v>
      </c>
      <c r="AJK67">
        <v>0</v>
      </c>
      <c r="AJL67">
        <v>0</v>
      </c>
      <c r="AJM67">
        <v>0</v>
      </c>
      <c r="AJN67">
        <v>0</v>
      </c>
      <c r="AJO67">
        <v>0</v>
      </c>
      <c r="AJP67">
        <v>0</v>
      </c>
      <c r="AJQ67">
        <v>0</v>
      </c>
      <c r="AJR67">
        <v>0</v>
      </c>
      <c r="AJS67">
        <v>0</v>
      </c>
      <c r="AJT67">
        <v>0</v>
      </c>
      <c r="AJU67">
        <v>0</v>
      </c>
      <c r="AJV67">
        <v>0</v>
      </c>
      <c r="AJW67">
        <v>0</v>
      </c>
      <c r="AJX67">
        <v>0</v>
      </c>
      <c r="AJY67">
        <v>0</v>
      </c>
    </row>
    <row r="68" spans="1:961" x14ac:dyDescent="0.3">
      <c r="A68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10000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5000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3955.6831999999995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0</v>
      </c>
      <c r="LF68">
        <v>0</v>
      </c>
      <c r="LG68">
        <v>0</v>
      </c>
      <c r="LH68">
        <v>0</v>
      </c>
      <c r="LI68">
        <v>0</v>
      </c>
      <c r="LJ68">
        <v>0</v>
      </c>
      <c r="LK68">
        <v>0</v>
      </c>
      <c r="LL68">
        <v>0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-3257.2951111111115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0</v>
      </c>
      <c r="NN68">
        <v>0</v>
      </c>
      <c r="NO68">
        <v>0</v>
      </c>
      <c r="NP68">
        <v>0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  <c r="OQ68">
        <v>0</v>
      </c>
      <c r="OR68">
        <v>0</v>
      </c>
      <c r="OS68">
        <v>0</v>
      </c>
      <c r="OT68">
        <v>0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0</v>
      </c>
      <c r="PQ68">
        <v>0</v>
      </c>
      <c r="PR68">
        <v>0</v>
      </c>
      <c r="PS68">
        <v>0</v>
      </c>
      <c r="PT68">
        <v>0</v>
      </c>
      <c r="PU68">
        <v>0</v>
      </c>
      <c r="PV68">
        <v>0</v>
      </c>
      <c r="PW68">
        <v>0</v>
      </c>
      <c r="PX68">
        <v>0</v>
      </c>
      <c r="PY68">
        <v>0</v>
      </c>
      <c r="PZ68">
        <v>0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-150</v>
      </c>
      <c r="QK68">
        <v>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0</v>
      </c>
      <c r="QS68">
        <v>0</v>
      </c>
      <c r="QT68">
        <v>0</v>
      </c>
      <c r="QU68">
        <v>0</v>
      </c>
      <c r="QV68">
        <v>0</v>
      </c>
      <c r="QW68">
        <v>0</v>
      </c>
      <c r="QX68">
        <v>0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0</v>
      </c>
      <c r="RQ68">
        <v>0</v>
      </c>
      <c r="RR68">
        <v>0</v>
      </c>
      <c r="RS68">
        <v>0</v>
      </c>
      <c r="RT68">
        <v>0</v>
      </c>
      <c r="RU68">
        <v>0</v>
      </c>
      <c r="RV68">
        <v>0</v>
      </c>
      <c r="RW68">
        <v>0</v>
      </c>
      <c r="RX68">
        <v>0</v>
      </c>
      <c r="RY68">
        <v>0</v>
      </c>
      <c r="RZ68">
        <v>0</v>
      </c>
      <c r="SA68">
        <v>0</v>
      </c>
      <c r="SB68">
        <v>0</v>
      </c>
      <c r="SC68">
        <v>0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0</v>
      </c>
      <c r="SS68">
        <v>0</v>
      </c>
      <c r="ST68">
        <v>0</v>
      </c>
      <c r="SU68">
        <v>0</v>
      </c>
      <c r="SV68">
        <v>0</v>
      </c>
      <c r="SW68">
        <v>0</v>
      </c>
      <c r="SX68">
        <v>0</v>
      </c>
      <c r="SY68">
        <v>0</v>
      </c>
      <c r="SZ68">
        <v>0</v>
      </c>
      <c r="TA68">
        <v>0</v>
      </c>
      <c r="TB68">
        <v>0</v>
      </c>
      <c r="TC68">
        <v>0</v>
      </c>
      <c r="TD68">
        <v>0</v>
      </c>
      <c r="TE68">
        <v>0</v>
      </c>
      <c r="TF68">
        <v>0</v>
      </c>
      <c r="TG68">
        <v>0</v>
      </c>
      <c r="TH68">
        <v>0</v>
      </c>
      <c r="TI68">
        <v>0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0</v>
      </c>
      <c r="TU68">
        <v>0</v>
      </c>
      <c r="TV68">
        <v>0</v>
      </c>
      <c r="TW68">
        <v>0</v>
      </c>
      <c r="TX68">
        <v>0</v>
      </c>
      <c r="TY68">
        <v>0</v>
      </c>
      <c r="TZ68">
        <v>0</v>
      </c>
      <c r="UA68">
        <v>0</v>
      </c>
      <c r="UB68">
        <v>-1000</v>
      </c>
      <c r="UC68">
        <v>0</v>
      </c>
      <c r="UD68">
        <v>0</v>
      </c>
      <c r="UE68">
        <v>0</v>
      </c>
      <c r="UF68">
        <v>0</v>
      </c>
      <c r="UG68">
        <v>0</v>
      </c>
      <c r="UH68">
        <v>0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</v>
      </c>
      <c r="UP68">
        <v>0</v>
      </c>
      <c r="UQ68">
        <v>0</v>
      </c>
      <c r="UR68">
        <v>0</v>
      </c>
      <c r="US68">
        <v>0</v>
      </c>
      <c r="UT68">
        <v>0</v>
      </c>
      <c r="UU68">
        <v>0</v>
      </c>
      <c r="UV68">
        <v>0</v>
      </c>
      <c r="UW68">
        <v>0</v>
      </c>
      <c r="UX68">
        <v>0</v>
      </c>
      <c r="UY68">
        <v>0</v>
      </c>
      <c r="UZ68">
        <v>0</v>
      </c>
      <c r="VA68">
        <v>0</v>
      </c>
      <c r="VB68">
        <v>0</v>
      </c>
      <c r="VC68">
        <v>0</v>
      </c>
      <c r="VD68">
        <v>0</v>
      </c>
      <c r="VE68">
        <v>0</v>
      </c>
      <c r="VF68">
        <v>0</v>
      </c>
      <c r="VG68">
        <v>0</v>
      </c>
      <c r="VH68">
        <v>0</v>
      </c>
      <c r="VI68">
        <v>0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</v>
      </c>
      <c r="VP68">
        <v>0</v>
      </c>
      <c r="VQ68">
        <v>0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0</v>
      </c>
      <c r="WA68">
        <v>0</v>
      </c>
      <c r="WB68">
        <v>0</v>
      </c>
      <c r="WC68">
        <v>0</v>
      </c>
      <c r="WD68">
        <v>0</v>
      </c>
      <c r="WE68">
        <v>0</v>
      </c>
      <c r="WF68">
        <v>0</v>
      </c>
      <c r="WG68">
        <v>0</v>
      </c>
      <c r="WH68">
        <v>0</v>
      </c>
      <c r="WI68">
        <v>0</v>
      </c>
      <c r="WJ68">
        <v>0</v>
      </c>
      <c r="WK68">
        <v>0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</v>
      </c>
      <c r="WX68">
        <v>0</v>
      </c>
      <c r="WY68">
        <v>0</v>
      </c>
      <c r="WZ68">
        <v>0</v>
      </c>
      <c r="XA68">
        <v>0</v>
      </c>
      <c r="XB68">
        <v>0</v>
      </c>
      <c r="XC68">
        <v>0</v>
      </c>
      <c r="XD68">
        <v>0</v>
      </c>
      <c r="XE68">
        <v>0</v>
      </c>
      <c r="XF68">
        <v>0</v>
      </c>
      <c r="XG68">
        <v>0</v>
      </c>
      <c r="XH68">
        <v>0</v>
      </c>
      <c r="XI68">
        <v>0</v>
      </c>
      <c r="XJ68">
        <v>0</v>
      </c>
      <c r="XK68">
        <v>0</v>
      </c>
      <c r="XL68">
        <v>0</v>
      </c>
      <c r="XM68">
        <v>0</v>
      </c>
      <c r="XN68">
        <v>0</v>
      </c>
      <c r="XO68">
        <v>0</v>
      </c>
      <c r="XP68">
        <v>0</v>
      </c>
      <c r="XQ68">
        <v>0</v>
      </c>
      <c r="XR68">
        <v>0</v>
      </c>
      <c r="XS68">
        <v>0</v>
      </c>
      <c r="XT68">
        <v>-5</v>
      </c>
      <c r="XU68">
        <v>0</v>
      </c>
      <c r="XV68">
        <v>0</v>
      </c>
      <c r="XW68">
        <v>0</v>
      </c>
      <c r="XX68">
        <v>0</v>
      </c>
      <c r="XY68">
        <v>0</v>
      </c>
      <c r="XZ68">
        <v>0</v>
      </c>
      <c r="YA68">
        <v>0</v>
      </c>
      <c r="YB68">
        <v>0</v>
      </c>
      <c r="YC68">
        <v>0</v>
      </c>
      <c r="YD68">
        <v>0</v>
      </c>
      <c r="YE68">
        <v>0</v>
      </c>
      <c r="YF68">
        <v>0</v>
      </c>
      <c r="YG68">
        <v>0</v>
      </c>
      <c r="YH68">
        <v>0</v>
      </c>
      <c r="YI68">
        <v>0</v>
      </c>
      <c r="YJ68">
        <v>0</v>
      </c>
      <c r="YK68">
        <v>0</v>
      </c>
      <c r="YL68">
        <v>0</v>
      </c>
      <c r="YM68">
        <v>0</v>
      </c>
      <c r="YN68">
        <v>0</v>
      </c>
      <c r="YO68">
        <v>0</v>
      </c>
      <c r="YP68">
        <v>0</v>
      </c>
      <c r="YQ68">
        <v>0</v>
      </c>
      <c r="YR68">
        <v>0</v>
      </c>
      <c r="YS68">
        <v>0</v>
      </c>
      <c r="YT68">
        <v>0</v>
      </c>
      <c r="YU68">
        <v>0</v>
      </c>
      <c r="YV68">
        <v>0</v>
      </c>
      <c r="YW68">
        <v>0</v>
      </c>
      <c r="YX68">
        <v>0</v>
      </c>
      <c r="YY68">
        <v>0</v>
      </c>
      <c r="YZ68">
        <v>0</v>
      </c>
      <c r="ZA68">
        <v>0</v>
      </c>
      <c r="ZB68">
        <v>0</v>
      </c>
      <c r="ZC68">
        <v>0</v>
      </c>
      <c r="ZD68">
        <v>0</v>
      </c>
      <c r="ZE68">
        <v>0</v>
      </c>
      <c r="ZF68">
        <v>0</v>
      </c>
      <c r="ZG68">
        <v>0</v>
      </c>
      <c r="ZH68">
        <v>0</v>
      </c>
      <c r="ZI68">
        <v>0</v>
      </c>
      <c r="ZJ68">
        <v>0</v>
      </c>
      <c r="ZK68">
        <v>0</v>
      </c>
      <c r="ZL68">
        <v>0</v>
      </c>
      <c r="ZM68">
        <v>0</v>
      </c>
      <c r="ZN68">
        <v>0</v>
      </c>
      <c r="ZO68">
        <v>0</v>
      </c>
      <c r="ZP68">
        <v>0</v>
      </c>
      <c r="ZQ68">
        <v>0</v>
      </c>
      <c r="ZR68">
        <v>0</v>
      </c>
      <c r="ZS68">
        <v>0</v>
      </c>
      <c r="ZT68">
        <v>0</v>
      </c>
      <c r="ZU68">
        <v>0</v>
      </c>
      <c r="ZV68">
        <v>0</v>
      </c>
      <c r="ZW68">
        <v>0</v>
      </c>
      <c r="ZX68">
        <v>0</v>
      </c>
      <c r="ZY68">
        <v>0</v>
      </c>
      <c r="ZZ68">
        <v>0</v>
      </c>
      <c r="AAA68">
        <v>0</v>
      </c>
      <c r="AAB68">
        <v>0</v>
      </c>
      <c r="AAC68">
        <v>0</v>
      </c>
      <c r="AAD68">
        <v>0</v>
      </c>
      <c r="AAE68">
        <v>0</v>
      </c>
      <c r="AAF68">
        <v>0</v>
      </c>
      <c r="AAG68">
        <v>0</v>
      </c>
      <c r="AAH68">
        <v>0</v>
      </c>
      <c r="AAI68">
        <v>0</v>
      </c>
      <c r="AAJ68">
        <v>0</v>
      </c>
      <c r="AAK68">
        <v>0</v>
      </c>
      <c r="AAL68">
        <v>0</v>
      </c>
      <c r="AAM68">
        <v>0</v>
      </c>
      <c r="AAN68">
        <v>0</v>
      </c>
      <c r="AAO68">
        <v>0</v>
      </c>
      <c r="AAP68">
        <v>0</v>
      </c>
      <c r="AAQ68">
        <v>0</v>
      </c>
      <c r="AAR68">
        <v>0</v>
      </c>
      <c r="AAS68">
        <v>0</v>
      </c>
      <c r="AAT68">
        <v>0</v>
      </c>
      <c r="AAU68">
        <v>0</v>
      </c>
      <c r="AAV68">
        <v>0</v>
      </c>
      <c r="AAW68">
        <v>0</v>
      </c>
      <c r="AAX68">
        <v>0</v>
      </c>
      <c r="AAY68">
        <v>0</v>
      </c>
      <c r="AAZ68">
        <v>0</v>
      </c>
      <c r="ABA68">
        <v>0</v>
      </c>
      <c r="ABB68">
        <v>0</v>
      </c>
      <c r="ABC68">
        <v>0</v>
      </c>
      <c r="ABD68">
        <v>0</v>
      </c>
      <c r="ABE68">
        <v>0</v>
      </c>
      <c r="ABF68">
        <v>0</v>
      </c>
      <c r="ABG68">
        <v>0</v>
      </c>
      <c r="ABH68">
        <v>0</v>
      </c>
      <c r="ABI68">
        <v>0</v>
      </c>
      <c r="ABJ68">
        <v>0</v>
      </c>
      <c r="ABK68">
        <v>0</v>
      </c>
      <c r="ABL68">
        <v>-256.16438356164383</v>
      </c>
      <c r="ABM68">
        <v>0</v>
      </c>
      <c r="ABN68">
        <v>0</v>
      </c>
      <c r="ABO68">
        <v>0</v>
      </c>
      <c r="ABP68">
        <v>0</v>
      </c>
      <c r="ABQ68">
        <v>0</v>
      </c>
      <c r="ABR68">
        <v>0</v>
      </c>
      <c r="ABS68">
        <v>0</v>
      </c>
      <c r="ABT68">
        <v>0</v>
      </c>
      <c r="ABU68">
        <v>0</v>
      </c>
      <c r="ABV68">
        <v>0</v>
      </c>
      <c r="ABW68">
        <v>0</v>
      </c>
      <c r="ABX68">
        <v>0</v>
      </c>
      <c r="ABY68">
        <v>0</v>
      </c>
      <c r="ABZ68">
        <v>0</v>
      </c>
      <c r="ACA68">
        <v>0</v>
      </c>
      <c r="ACB68">
        <v>0</v>
      </c>
      <c r="ACC68">
        <v>0</v>
      </c>
      <c r="ACD68">
        <v>0</v>
      </c>
      <c r="ACE68">
        <v>0</v>
      </c>
      <c r="ACF68">
        <v>0</v>
      </c>
      <c r="ACG68">
        <v>0</v>
      </c>
      <c r="ACH68">
        <v>0</v>
      </c>
      <c r="ACI68">
        <v>0</v>
      </c>
      <c r="ACJ68">
        <v>0</v>
      </c>
      <c r="ACK68">
        <v>0</v>
      </c>
      <c r="ACL68">
        <v>0</v>
      </c>
      <c r="ACM68">
        <v>0</v>
      </c>
      <c r="ACN68">
        <v>0</v>
      </c>
      <c r="ACO68">
        <v>0</v>
      </c>
      <c r="ACP68">
        <v>0</v>
      </c>
      <c r="ACQ68">
        <v>0</v>
      </c>
      <c r="ACR68">
        <v>0</v>
      </c>
      <c r="ACS68">
        <v>0</v>
      </c>
      <c r="ACT68">
        <v>0</v>
      </c>
      <c r="ACU68">
        <v>0</v>
      </c>
      <c r="ACV68">
        <v>0</v>
      </c>
      <c r="ACW68">
        <v>0</v>
      </c>
      <c r="ACX68">
        <v>0</v>
      </c>
      <c r="ACY68">
        <v>0</v>
      </c>
      <c r="ACZ68">
        <v>0</v>
      </c>
      <c r="ADA68">
        <v>0</v>
      </c>
      <c r="ADB68">
        <v>0</v>
      </c>
      <c r="ADC68">
        <v>0</v>
      </c>
      <c r="ADD68">
        <v>0</v>
      </c>
      <c r="ADE68">
        <v>0</v>
      </c>
      <c r="ADF68">
        <v>0</v>
      </c>
      <c r="ADG68">
        <v>0</v>
      </c>
      <c r="ADH68">
        <v>0</v>
      </c>
      <c r="ADI68">
        <v>0</v>
      </c>
      <c r="ADJ68">
        <v>0</v>
      </c>
      <c r="ADK68">
        <v>0</v>
      </c>
      <c r="ADL68">
        <v>0</v>
      </c>
      <c r="ADM68">
        <v>0</v>
      </c>
      <c r="ADN68">
        <v>0</v>
      </c>
      <c r="ADO68">
        <v>0</v>
      </c>
      <c r="ADP68">
        <v>0</v>
      </c>
      <c r="ADQ68">
        <v>0</v>
      </c>
      <c r="ADR68">
        <v>0</v>
      </c>
      <c r="ADS68">
        <v>0</v>
      </c>
      <c r="ADT68">
        <v>0</v>
      </c>
      <c r="ADU68">
        <v>0</v>
      </c>
      <c r="ADV68">
        <v>0</v>
      </c>
      <c r="ADW68">
        <v>0</v>
      </c>
      <c r="ADX68">
        <v>0</v>
      </c>
      <c r="ADY68">
        <v>0</v>
      </c>
      <c r="ADZ68">
        <v>0</v>
      </c>
      <c r="AEA68">
        <v>0</v>
      </c>
      <c r="AEB68">
        <v>0</v>
      </c>
      <c r="AEC68">
        <v>0</v>
      </c>
      <c r="AED68">
        <v>0</v>
      </c>
      <c r="AEE68">
        <v>0</v>
      </c>
      <c r="AEF68">
        <v>0</v>
      </c>
      <c r="AEG68">
        <v>0</v>
      </c>
      <c r="AEH68">
        <v>0</v>
      </c>
      <c r="AEI68">
        <v>0</v>
      </c>
      <c r="AEJ68">
        <v>0</v>
      </c>
      <c r="AEK68">
        <v>0</v>
      </c>
      <c r="AEL68">
        <v>0</v>
      </c>
      <c r="AEM68">
        <v>0</v>
      </c>
      <c r="AEN68">
        <v>0</v>
      </c>
      <c r="AEO68">
        <v>0</v>
      </c>
      <c r="AEP68">
        <v>0</v>
      </c>
      <c r="AEQ68">
        <v>0</v>
      </c>
      <c r="AER68">
        <v>0</v>
      </c>
      <c r="AES68">
        <v>0</v>
      </c>
      <c r="AET68">
        <v>0</v>
      </c>
      <c r="AEU68">
        <v>0</v>
      </c>
      <c r="AEV68">
        <v>0</v>
      </c>
      <c r="AEW68">
        <v>0</v>
      </c>
      <c r="AEX68">
        <v>0</v>
      </c>
      <c r="AEY68">
        <v>0</v>
      </c>
      <c r="AEZ68">
        <v>0</v>
      </c>
      <c r="AFA68">
        <v>0</v>
      </c>
      <c r="AFB68">
        <v>0</v>
      </c>
      <c r="AFC68">
        <v>0</v>
      </c>
      <c r="AFD68">
        <v>-120</v>
      </c>
      <c r="AFE68">
        <v>0</v>
      </c>
      <c r="AFF68">
        <v>0</v>
      </c>
      <c r="AFG68">
        <v>0</v>
      </c>
      <c r="AFH68">
        <v>0</v>
      </c>
      <c r="AFI68">
        <v>0</v>
      </c>
      <c r="AFJ68">
        <v>0</v>
      </c>
      <c r="AFK68">
        <v>0</v>
      </c>
      <c r="AFL68">
        <v>0</v>
      </c>
      <c r="AFM68">
        <v>0</v>
      </c>
      <c r="AFN68">
        <v>0</v>
      </c>
      <c r="AFO68">
        <v>0</v>
      </c>
      <c r="AFP68">
        <v>0</v>
      </c>
      <c r="AFQ68">
        <v>0</v>
      </c>
      <c r="AFR68">
        <v>0</v>
      </c>
      <c r="AFS68">
        <v>0</v>
      </c>
      <c r="AFT68">
        <v>0</v>
      </c>
      <c r="AFU68">
        <v>0</v>
      </c>
      <c r="AFV68">
        <v>0</v>
      </c>
      <c r="AFW68">
        <v>0</v>
      </c>
      <c r="AFX68">
        <v>0</v>
      </c>
      <c r="AFY68">
        <v>0</v>
      </c>
      <c r="AFZ68">
        <v>0</v>
      </c>
      <c r="AGA68">
        <v>0</v>
      </c>
      <c r="AGB68">
        <v>0</v>
      </c>
      <c r="AGC68">
        <v>0</v>
      </c>
      <c r="AGD68">
        <v>0</v>
      </c>
      <c r="AGE68">
        <v>0</v>
      </c>
      <c r="AGF68">
        <v>0</v>
      </c>
      <c r="AGG68">
        <v>0</v>
      </c>
      <c r="AGH68">
        <v>0</v>
      </c>
      <c r="AGI68">
        <v>0</v>
      </c>
      <c r="AGJ68">
        <v>0</v>
      </c>
      <c r="AGK68">
        <v>0</v>
      </c>
      <c r="AGL68">
        <v>0</v>
      </c>
      <c r="AGM68">
        <v>0</v>
      </c>
      <c r="AGN68">
        <v>0</v>
      </c>
      <c r="AGO68">
        <v>0</v>
      </c>
      <c r="AGP68">
        <v>0</v>
      </c>
      <c r="AGQ68">
        <v>0</v>
      </c>
      <c r="AGR68">
        <v>0</v>
      </c>
      <c r="AGS68">
        <v>0</v>
      </c>
      <c r="AGT68">
        <v>0</v>
      </c>
      <c r="AGU68">
        <v>0</v>
      </c>
      <c r="AGV68">
        <v>0</v>
      </c>
      <c r="AGW68">
        <v>0</v>
      </c>
      <c r="AGX68">
        <v>0</v>
      </c>
      <c r="AGY68">
        <v>0</v>
      </c>
      <c r="AGZ68">
        <v>0</v>
      </c>
      <c r="AHA68">
        <v>0</v>
      </c>
      <c r="AHB68">
        <v>0</v>
      </c>
      <c r="AHC68">
        <v>0</v>
      </c>
      <c r="AHD68">
        <v>0</v>
      </c>
      <c r="AHE68">
        <v>0</v>
      </c>
      <c r="AHF68">
        <v>0</v>
      </c>
      <c r="AHG68">
        <v>0</v>
      </c>
      <c r="AHH68">
        <v>0</v>
      </c>
      <c r="AHI68">
        <v>0</v>
      </c>
      <c r="AHJ68">
        <v>0</v>
      </c>
      <c r="AHK68">
        <v>0</v>
      </c>
      <c r="AHL68">
        <v>0</v>
      </c>
      <c r="AHM68">
        <v>0</v>
      </c>
      <c r="AHN68">
        <v>0</v>
      </c>
      <c r="AHO68">
        <v>0</v>
      </c>
      <c r="AHP68">
        <v>0</v>
      </c>
      <c r="AHQ68">
        <v>0</v>
      </c>
      <c r="AHR68">
        <v>0</v>
      </c>
      <c r="AHS68">
        <v>0</v>
      </c>
      <c r="AHT68">
        <v>0</v>
      </c>
      <c r="AHU68">
        <v>0</v>
      </c>
      <c r="AHV68">
        <v>0</v>
      </c>
      <c r="AHW68">
        <v>0</v>
      </c>
      <c r="AHX68">
        <v>0</v>
      </c>
      <c r="AHY68">
        <v>0</v>
      </c>
      <c r="AHZ68">
        <v>0</v>
      </c>
      <c r="AIA68">
        <v>0</v>
      </c>
      <c r="AIB68">
        <v>0</v>
      </c>
      <c r="AIC68">
        <v>0</v>
      </c>
      <c r="AID68">
        <v>0</v>
      </c>
      <c r="AIE68">
        <v>0</v>
      </c>
      <c r="AIF68">
        <v>0</v>
      </c>
      <c r="AIG68">
        <v>0</v>
      </c>
      <c r="AIH68">
        <v>0</v>
      </c>
      <c r="AII68">
        <v>0</v>
      </c>
      <c r="AIJ68">
        <v>0</v>
      </c>
      <c r="AIK68">
        <v>0</v>
      </c>
      <c r="AIL68">
        <v>0</v>
      </c>
      <c r="AIM68">
        <v>0</v>
      </c>
      <c r="AIN68">
        <v>0</v>
      </c>
      <c r="AIO68">
        <v>0</v>
      </c>
      <c r="AIP68">
        <v>0</v>
      </c>
      <c r="AIQ68">
        <v>0</v>
      </c>
      <c r="AIR68">
        <v>0</v>
      </c>
      <c r="AIS68">
        <v>0</v>
      </c>
      <c r="AIT68">
        <v>0</v>
      </c>
      <c r="AIU68">
        <v>0</v>
      </c>
      <c r="AIV68">
        <v>-4500</v>
      </c>
      <c r="AIW68">
        <v>0</v>
      </c>
      <c r="AIX68">
        <v>0</v>
      </c>
      <c r="AIY68">
        <v>0</v>
      </c>
      <c r="AIZ68">
        <v>0</v>
      </c>
      <c r="AJA68">
        <v>0</v>
      </c>
      <c r="AJB68">
        <v>0</v>
      </c>
      <c r="AJC68">
        <v>0</v>
      </c>
      <c r="AJD68">
        <v>0</v>
      </c>
      <c r="AJE68">
        <v>0</v>
      </c>
      <c r="AJF68">
        <v>0</v>
      </c>
      <c r="AJG68">
        <v>0</v>
      </c>
      <c r="AJH68">
        <v>0</v>
      </c>
      <c r="AJI68">
        <v>0</v>
      </c>
      <c r="AJJ68">
        <v>0</v>
      </c>
      <c r="AJK68">
        <v>0</v>
      </c>
      <c r="AJL68">
        <v>0</v>
      </c>
      <c r="AJM68">
        <v>0</v>
      </c>
      <c r="AJN68">
        <v>0</v>
      </c>
      <c r="AJO68">
        <v>0</v>
      </c>
      <c r="AJP68">
        <v>0</v>
      </c>
      <c r="AJQ68">
        <v>0</v>
      </c>
      <c r="AJR68">
        <v>0</v>
      </c>
      <c r="AJS68">
        <v>0</v>
      </c>
      <c r="AJT68">
        <v>0</v>
      </c>
      <c r="AJU68">
        <v>0</v>
      </c>
      <c r="AJV68">
        <v>0</v>
      </c>
      <c r="AJW68">
        <v>0</v>
      </c>
      <c r="AJX68">
        <v>0</v>
      </c>
      <c r="AJY68">
        <v>0</v>
      </c>
    </row>
    <row r="69" spans="1:961" x14ac:dyDescent="0.3">
      <c r="A69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10000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5000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3955.6831999999995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0</v>
      </c>
      <c r="LL69">
        <v>0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-3257.2951111111115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  <c r="OQ69">
        <v>0</v>
      </c>
      <c r="OR69">
        <v>0</v>
      </c>
      <c r="OS69">
        <v>0</v>
      </c>
      <c r="OT69">
        <v>0</v>
      </c>
      <c r="OU69">
        <v>0</v>
      </c>
      <c r="OV69">
        <v>0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0</v>
      </c>
      <c r="PS69">
        <v>0</v>
      </c>
      <c r="PT69">
        <v>0</v>
      </c>
      <c r="PU69">
        <v>0</v>
      </c>
      <c r="PV69">
        <v>0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-150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0</v>
      </c>
      <c r="QV69">
        <v>0</v>
      </c>
      <c r="QW69">
        <v>0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0</v>
      </c>
      <c r="RW69">
        <v>0</v>
      </c>
      <c r="RX69">
        <v>0</v>
      </c>
      <c r="RY69">
        <v>0</v>
      </c>
      <c r="RZ69">
        <v>0</v>
      </c>
      <c r="SA69">
        <v>0</v>
      </c>
      <c r="SB69">
        <v>0</v>
      </c>
      <c r="SC69">
        <v>0</v>
      </c>
      <c r="SD69">
        <v>0</v>
      </c>
      <c r="SE69">
        <v>0</v>
      </c>
      <c r="SF69">
        <v>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>
        <v>0</v>
      </c>
      <c r="SX69">
        <v>0</v>
      </c>
      <c r="SY69">
        <v>0</v>
      </c>
      <c r="SZ69">
        <v>0</v>
      </c>
      <c r="TA69">
        <v>0</v>
      </c>
      <c r="TB69">
        <v>0</v>
      </c>
      <c r="TC69">
        <v>0</v>
      </c>
      <c r="TD69">
        <v>0</v>
      </c>
      <c r="TE69">
        <v>0</v>
      </c>
      <c r="TF69">
        <v>0</v>
      </c>
      <c r="TG69">
        <v>0</v>
      </c>
      <c r="TH69">
        <v>0</v>
      </c>
      <c r="TI69">
        <v>0</v>
      </c>
      <c r="TJ69">
        <v>0</v>
      </c>
      <c r="TK69">
        <v>0</v>
      </c>
      <c r="TL69">
        <v>0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0</v>
      </c>
      <c r="TT69">
        <v>0</v>
      </c>
      <c r="TU69">
        <v>0</v>
      </c>
      <c r="TV69">
        <v>0</v>
      </c>
      <c r="TW69">
        <v>0</v>
      </c>
      <c r="TX69">
        <v>0</v>
      </c>
      <c r="TY69">
        <v>0</v>
      </c>
      <c r="TZ69">
        <v>0</v>
      </c>
      <c r="UA69">
        <v>0</v>
      </c>
      <c r="UB69">
        <v>0</v>
      </c>
      <c r="UC69">
        <v>-1000</v>
      </c>
      <c r="UD69">
        <v>0</v>
      </c>
      <c r="UE69">
        <v>0</v>
      </c>
      <c r="UF69">
        <v>0</v>
      </c>
      <c r="UG69">
        <v>0</v>
      </c>
      <c r="UH69">
        <v>0</v>
      </c>
      <c r="UI69">
        <v>0</v>
      </c>
      <c r="UJ69">
        <v>0</v>
      </c>
      <c r="UK69">
        <v>0</v>
      </c>
      <c r="UL69">
        <v>0</v>
      </c>
      <c r="UM69">
        <v>0</v>
      </c>
      <c r="UN69">
        <v>0</v>
      </c>
      <c r="UO69">
        <v>0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0</v>
      </c>
      <c r="UW69">
        <v>0</v>
      </c>
      <c r="UX69">
        <v>0</v>
      </c>
      <c r="UY69">
        <v>0</v>
      </c>
      <c r="UZ69">
        <v>0</v>
      </c>
      <c r="VA69">
        <v>0</v>
      </c>
      <c r="VB69">
        <v>0</v>
      </c>
      <c r="VC69">
        <v>0</v>
      </c>
      <c r="VD69">
        <v>0</v>
      </c>
      <c r="VE69">
        <v>0</v>
      </c>
      <c r="VF69">
        <v>0</v>
      </c>
      <c r="VG69">
        <v>0</v>
      </c>
      <c r="VH69">
        <v>0</v>
      </c>
      <c r="VI69">
        <v>0</v>
      </c>
      <c r="VJ69">
        <v>0</v>
      </c>
      <c r="VK69">
        <v>0</v>
      </c>
      <c r="VL69">
        <v>0</v>
      </c>
      <c r="VM69">
        <v>0</v>
      </c>
      <c r="VN69">
        <v>0</v>
      </c>
      <c r="VO69">
        <v>0</v>
      </c>
      <c r="VP69">
        <v>0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</v>
      </c>
      <c r="WC69">
        <v>0</v>
      </c>
      <c r="WD69">
        <v>0</v>
      </c>
      <c r="WE69">
        <v>0</v>
      </c>
      <c r="WF69">
        <v>0</v>
      </c>
      <c r="WG69">
        <v>0</v>
      </c>
      <c r="WH69">
        <v>0</v>
      </c>
      <c r="WI69">
        <v>0</v>
      </c>
      <c r="WJ69">
        <v>0</v>
      </c>
      <c r="WK69">
        <v>0</v>
      </c>
      <c r="WL69">
        <v>0</v>
      </c>
      <c r="WM69">
        <v>0</v>
      </c>
      <c r="WN69">
        <v>0</v>
      </c>
      <c r="WO69">
        <v>0</v>
      </c>
      <c r="WP69">
        <v>0</v>
      </c>
      <c r="WQ69">
        <v>0</v>
      </c>
      <c r="WR69">
        <v>0</v>
      </c>
      <c r="WS69">
        <v>0</v>
      </c>
      <c r="WT69">
        <v>0</v>
      </c>
      <c r="WU69">
        <v>0</v>
      </c>
      <c r="WV69">
        <v>0</v>
      </c>
      <c r="WW69">
        <v>0</v>
      </c>
      <c r="WX69">
        <v>0</v>
      </c>
      <c r="WY69">
        <v>0</v>
      </c>
      <c r="WZ69">
        <v>0</v>
      </c>
      <c r="XA69">
        <v>0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0</v>
      </c>
      <c r="XH69">
        <v>0</v>
      </c>
      <c r="XI69">
        <v>0</v>
      </c>
      <c r="XJ69">
        <v>0</v>
      </c>
      <c r="XK69">
        <v>0</v>
      </c>
      <c r="XL69">
        <v>0</v>
      </c>
      <c r="XM69">
        <v>0</v>
      </c>
      <c r="XN69">
        <v>0</v>
      </c>
      <c r="XO69">
        <v>0</v>
      </c>
      <c r="XP69">
        <v>0</v>
      </c>
      <c r="XQ69">
        <v>0</v>
      </c>
      <c r="XR69">
        <v>0</v>
      </c>
      <c r="XS69">
        <v>0</v>
      </c>
      <c r="XT69">
        <v>0</v>
      </c>
      <c r="XU69">
        <v>-5</v>
      </c>
      <c r="XV69">
        <v>0</v>
      </c>
      <c r="XW69">
        <v>0</v>
      </c>
      <c r="XX69">
        <v>0</v>
      </c>
      <c r="XY69">
        <v>0</v>
      </c>
      <c r="XZ69">
        <v>0</v>
      </c>
      <c r="YA69">
        <v>0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</v>
      </c>
      <c r="YI69">
        <v>0</v>
      </c>
      <c r="YJ69">
        <v>0</v>
      </c>
      <c r="YK69">
        <v>0</v>
      </c>
      <c r="YL69">
        <v>0</v>
      </c>
      <c r="YM69">
        <v>0</v>
      </c>
      <c r="YN69">
        <v>0</v>
      </c>
      <c r="YO69">
        <v>0</v>
      </c>
      <c r="YP69">
        <v>0</v>
      </c>
      <c r="YQ69">
        <v>0</v>
      </c>
      <c r="YR69">
        <v>0</v>
      </c>
      <c r="YS69">
        <v>0</v>
      </c>
      <c r="YT69">
        <v>0</v>
      </c>
      <c r="YU69">
        <v>0</v>
      </c>
      <c r="YV69">
        <v>0</v>
      </c>
      <c r="YW69">
        <v>0</v>
      </c>
      <c r="YX69">
        <v>0</v>
      </c>
      <c r="YY69">
        <v>0</v>
      </c>
      <c r="YZ69">
        <v>0</v>
      </c>
      <c r="ZA69">
        <v>0</v>
      </c>
      <c r="ZB69">
        <v>0</v>
      </c>
      <c r="ZC69">
        <v>0</v>
      </c>
      <c r="ZD69">
        <v>0</v>
      </c>
      <c r="ZE69">
        <v>0</v>
      </c>
      <c r="ZF69">
        <v>0</v>
      </c>
      <c r="ZG69">
        <v>0</v>
      </c>
      <c r="ZH69">
        <v>0</v>
      </c>
      <c r="ZI69">
        <v>0</v>
      </c>
      <c r="ZJ69">
        <v>0</v>
      </c>
      <c r="ZK69">
        <v>0</v>
      </c>
      <c r="ZL69">
        <v>0</v>
      </c>
      <c r="ZM69">
        <v>0</v>
      </c>
      <c r="ZN69">
        <v>0</v>
      </c>
      <c r="ZO69">
        <v>0</v>
      </c>
      <c r="ZP69">
        <v>0</v>
      </c>
      <c r="ZQ69">
        <v>0</v>
      </c>
      <c r="ZR69">
        <v>0</v>
      </c>
      <c r="ZS69">
        <v>0</v>
      </c>
      <c r="ZT69">
        <v>0</v>
      </c>
      <c r="ZU69">
        <v>0</v>
      </c>
      <c r="ZV69">
        <v>0</v>
      </c>
      <c r="ZW69">
        <v>0</v>
      </c>
      <c r="ZX69">
        <v>0</v>
      </c>
      <c r="ZY69">
        <v>0</v>
      </c>
      <c r="ZZ69">
        <v>0</v>
      </c>
      <c r="AAA69">
        <v>0</v>
      </c>
      <c r="AAB69">
        <v>0</v>
      </c>
      <c r="AAC69">
        <v>0</v>
      </c>
      <c r="AAD69">
        <v>0</v>
      </c>
      <c r="AAE69">
        <v>0</v>
      </c>
      <c r="AAF69">
        <v>0</v>
      </c>
      <c r="AAG69">
        <v>0</v>
      </c>
      <c r="AAH69">
        <v>0</v>
      </c>
      <c r="AAI69">
        <v>0</v>
      </c>
      <c r="AAJ69">
        <v>0</v>
      </c>
      <c r="AAK69">
        <v>0</v>
      </c>
      <c r="AAL69">
        <v>0</v>
      </c>
      <c r="AAM69">
        <v>0</v>
      </c>
      <c r="AAN69">
        <v>0</v>
      </c>
      <c r="AAO69">
        <v>0</v>
      </c>
      <c r="AAP69">
        <v>0</v>
      </c>
      <c r="AAQ69">
        <v>0</v>
      </c>
      <c r="AAR69">
        <v>0</v>
      </c>
      <c r="AAS69">
        <v>0</v>
      </c>
      <c r="AAT69">
        <v>0</v>
      </c>
      <c r="AAU69">
        <v>0</v>
      </c>
      <c r="AAV69">
        <v>0</v>
      </c>
      <c r="AAW69">
        <v>0</v>
      </c>
      <c r="AAX69">
        <v>0</v>
      </c>
      <c r="AAY69">
        <v>0</v>
      </c>
      <c r="AAZ69">
        <v>0</v>
      </c>
      <c r="ABA69">
        <v>0</v>
      </c>
      <c r="ABB69">
        <v>0</v>
      </c>
      <c r="ABC69">
        <v>0</v>
      </c>
      <c r="ABD69">
        <v>0</v>
      </c>
      <c r="ABE69">
        <v>0</v>
      </c>
      <c r="ABF69">
        <v>0</v>
      </c>
      <c r="ABG69">
        <v>0</v>
      </c>
      <c r="ABH69">
        <v>0</v>
      </c>
      <c r="ABI69">
        <v>0</v>
      </c>
      <c r="ABJ69">
        <v>0</v>
      </c>
      <c r="ABK69">
        <v>0</v>
      </c>
      <c r="ABL69">
        <v>0</v>
      </c>
      <c r="ABM69">
        <v>-256.16438356164383</v>
      </c>
      <c r="ABN69">
        <v>0</v>
      </c>
      <c r="ABO69">
        <v>0</v>
      </c>
      <c r="ABP69">
        <v>0</v>
      </c>
      <c r="ABQ69">
        <v>0</v>
      </c>
      <c r="ABR69">
        <v>0</v>
      </c>
      <c r="ABS69">
        <v>0</v>
      </c>
      <c r="ABT69">
        <v>0</v>
      </c>
      <c r="ABU69">
        <v>0</v>
      </c>
      <c r="ABV69">
        <v>0</v>
      </c>
      <c r="ABW69">
        <v>0</v>
      </c>
      <c r="ABX69">
        <v>0</v>
      </c>
      <c r="ABY69">
        <v>0</v>
      </c>
      <c r="ABZ69">
        <v>0</v>
      </c>
      <c r="ACA69">
        <v>0</v>
      </c>
      <c r="ACB69">
        <v>0</v>
      </c>
      <c r="ACC69">
        <v>0</v>
      </c>
      <c r="ACD69">
        <v>0</v>
      </c>
      <c r="ACE69">
        <v>0</v>
      </c>
      <c r="ACF69">
        <v>0</v>
      </c>
      <c r="ACG69">
        <v>0</v>
      </c>
      <c r="ACH69">
        <v>0</v>
      </c>
      <c r="ACI69">
        <v>0</v>
      </c>
      <c r="ACJ69">
        <v>0</v>
      </c>
      <c r="ACK69">
        <v>0</v>
      </c>
      <c r="ACL69">
        <v>0</v>
      </c>
      <c r="ACM69">
        <v>0</v>
      </c>
      <c r="ACN69">
        <v>0</v>
      </c>
      <c r="ACO69">
        <v>0</v>
      </c>
      <c r="ACP69">
        <v>0</v>
      </c>
      <c r="ACQ69">
        <v>0</v>
      </c>
      <c r="ACR69">
        <v>0</v>
      </c>
      <c r="ACS69">
        <v>0</v>
      </c>
      <c r="ACT69">
        <v>0</v>
      </c>
      <c r="ACU69">
        <v>0</v>
      </c>
      <c r="ACV69">
        <v>0</v>
      </c>
      <c r="ACW69">
        <v>0</v>
      </c>
      <c r="ACX69">
        <v>0</v>
      </c>
      <c r="ACY69">
        <v>0</v>
      </c>
      <c r="ACZ69">
        <v>0</v>
      </c>
      <c r="ADA69">
        <v>0</v>
      </c>
      <c r="ADB69">
        <v>0</v>
      </c>
      <c r="ADC69">
        <v>0</v>
      </c>
      <c r="ADD69">
        <v>0</v>
      </c>
      <c r="ADE69">
        <v>0</v>
      </c>
      <c r="ADF69">
        <v>0</v>
      </c>
      <c r="ADG69">
        <v>0</v>
      </c>
      <c r="ADH69">
        <v>0</v>
      </c>
      <c r="ADI69">
        <v>0</v>
      </c>
      <c r="ADJ69">
        <v>0</v>
      </c>
      <c r="ADK69">
        <v>0</v>
      </c>
      <c r="ADL69">
        <v>0</v>
      </c>
      <c r="ADM69">
        <v>0</v>
      </c>
      <c r="ADN69">
        <v>0</v>
      </c>
      <c r="ADO69">
        <v>0</v>
      </c>
      <c r="ADP69">
        <v>0</v>
      </c>
      <c r="ADQ69">
        <v>0</v>
      </c>
      <c r="ADR69">
        <v>0</v>
      </c>
      <c r="ADS69">
        <v>0</v>
      </c>
      <c r="ADT69">
        <v>0</v>
      </c>
      <c r="ADU69">
        <v>0</v>
      </c>
      <c r="ADV69">
        <v>0</v>
      </c>
      <c r="ADW69">
        <v>0</v>
      </c>
      <c r="ADX69">
        <v>0</v>
      </c>
      <c r="ADY69">
        <v>0</v>
      </c>
      <c r="ADZ69">
        <v>0</v>
      </c>
      <c r="AEA69">
        <v>0</v>
      </c>
      <c r="AEB69">
        <v>0</v>
      </c>
      <c r="AEC69">
        <v>0</v>
      </c>
      <c r="AED69">
        <v>0</v>
      </c>
      <c r="AEE69">
        <v>0</v>
      </c>
      <c r="AEF69">
        <v>0</v>
      </c>
      <c r="AEG69">
        <v>0</v>
      </c>
      <c r="AEH69">
        <v>0</v>
      </c>
      <c r="AEI69">
        <v>0</v>
      </c>
      <c r="AEJ69">
        <v>0</v>
      </c>
      <c r="AEK69">
        <v>0</v>
      </c>
      <c r="AEL69">
        <v>0</v>
      </c>
      <c r="AEM69">
        <v>0</v>
      </c>
      <c r="AEN69">
        <v>0</v>
      </c>
      <c r="AEO69">
        <v>0</v>
      </c>
      <c r="AEP69">
        <v>0</v>
      </c>
      <c r="AEQ69">
        <v>0</v>
      </c>
      <c r="AER69">
        <v>0</v>
      </c>
      <c r="AES69">
        <v>0</v>
      </c>
      <c r="AET69">
        <v>0</v>
      </c>
      <c r="AEU69">
        <v>0</v>
      </c>
      <c r="AEV69">
        <v>0</v>
      </c>
      <c r="AEW69">
        <v>0</v>
      </c>
      <c r="AEX69">
        <v>0</v>
      </c>
      <c r="AEY69">
        <v>0</v>
      </c>
      <c r="AEZ69">
        <v>0</v>
      </c>
      <c r="AFA69">
        <v>0</v>
      </c>
      <c r="AFB69">
        <v>0</v>
      </c>
      <c r="AFC69">
        <v>0</v>
      </c>
      <c r="AFD69">
        <v>0</v>
      </c>
      <c r="AFE69">
        <v>-120</v>
      </c>
      <c r="AFF69">
        <v>0</v>
      </c>
      <c r="AFG69">
        <v>0</v>
      </c>
      <c r="AFH69">
        <v>0</v>
      </c>
      <c r="AFI69">
        <v>0</v>
      </c>
      <c r="AFJ69">
        <v>0</v>
      </c>
      <c r="AFK69">
        <v>0</v>
      </c>
      <c r="AFL69">
        <v>0</v>
      </c>
      <c r="AFM69">
        <v>0</v>
      </c>
      <c r="AFN69">
        <v>0</v>
      </c>
      <c r="AFO69">
        <v>0</v>
      </c>
      <c r="AFP69">
        <v>0</v>
      </c>
      <c r="AFQ69">
        <v>0</v>
      </c>
      <c r="AFR69">
        <v>0</v>
      </c>
      <c r="AFS69">
        <v>0</v>
      </c>
      <c r="AFT69">
        <v>0</v>
      </c>
      <c r="AFU69">
        <v>0</v>
      </c>
      <c r="AFV69">
        <v>0</v>
      </c>
      <c r="AFW69">
        <v>0</v>
      </c>
      <c r="AFX69">
        <v>0</v>
      </c>
      <c r="AFY69">
        <v>0</v>
      </c>
      <c r="AFZ69">
        <v>0</v>
      </c>
      <c r="AGA69">
        <v>0</v>
      </c>
      <c r="AGB69">
        <v>0</v>
      </c>
      <c r="AGC69">
        <v>0</v>
      </c>
      <c r="AGD69">
        <v>0</v>
      </c>
      <c r="AGE69">
        <v>0</v>
      </c>
      <c r="AGF69">
        <v>0</v>
      </c>
      <c r="AGG69">
        <v>0</v>
      </c>
      <c r="AGH69">
        <v>0</v>
      </c>
      <c r="AGI69">
        <v>0</v>
      </c>
      <c r="AGJ69">
        <v>0</v>
      </c>
      <c r="AGK69">
        <v>0</v>
      </c>
      <c r="AGL69">
        <v>0</v>
      </c>
      <c r="AGM69">
        <v>0</v>
      </c>
      <c r="AGN69">
        <v>0</v>
      </c>
      <c r="AGO69">
        <v>0</v>
      </c>
      <c r="AGP69">
        <v>0</v>
      </c>
      <c r="AGQ69">
        <v>0</v>
      </c>
      <c r="AGR69">
        <v>0</v>
      </c>
      <c r="AGS69">
        <v>0</v>
      </c>
      <c r="AGT69">
        <v>0</v>
      </c>
      <c r="AGU69">
        <v>0</v>
      </c>
      <c r="AGV69">
        <v>0</v>
      </c>
      <c r="AGW69">
        <v>0</v>
      </c>
      <c r="AGX69">
        <v>0</v>
      </c>
      <c r="AGY69">
        <v>0</v>
      </c>
      <c r="AGZ69">
        <v>0</v>
      </c>
      <c r="AHA69">
        <v>0</v>
      </c>
      <c r="AHB69">
        <v>0</v>
      </c>
      <c r="AHC69">
        <v>0</v>
      </c>
      <c r="AHD69">
        <v>0</v>
      </c>
      <c r="AHE69">
        <v>0</v>
      </c>
      <c r="AHF69">
        <v>0</v>
      </c>
      <c r="AHG69">
        <v>0</v>
      </c>
      <c r="AHH69">
        <v>0</v>
      </c>
      <c r="AHI69">
        <v>0</v>
      </c>
      <c r="AHJ69">
        <v>0</v>
      </c>
      <c r="AHK69">
        <v>0</v>
      </c>
      <c r="AHL69">
        <v>0</v>
      </c>
      <c r="AHM69">
        <v>0</v>
      </c>
      <c r="AHN69">
        <v>0</v>
      </c>
      <c r="AHO69">
        <v>0</v>
      </c>
      <c r="AHP69">
        <v>0</v>
      </c>
      <c r="AHQ69">
        <v>0</v>
      </c>
      <c r="AHR69">
        <v>0</v>
      </c>
      <c r="AHS69">
        <v>0</v>
      </c>
      <c r="AHT69">
        <v>0</v>
      </c>
      <c r="AHU69">
        <v>0</v>
      </c>
      <c r="AHV69">
        <v>0</v>
      </c>
      <c r="AHW69">
        <v>0</v>
      </c>
      <c r="AHX69">
        <v>0</v>
      </c>
      <c r="AHY69">
        <v>0</v>
      </c>
      <c r="AHZ69">
        <v>0</v>
      </c>
      <c r="AIA69">
        <v>0</v>
      </c>
      <c r="AIB69">
        <v>0</v>
      </c>
      <c r="AIC69">
        <v>0</v>
      </c>
      <c r="AID69">
        <v>0</v>
      </c>
      <c r="AIE69">
        <v>0</v>
      </c>
      <c r="AIF69">
        <v>0</v>
      </c>
      <c r="AIG69">
        <v>0</v>
      </c>
      <c r="AIH69">
        <v>0</v>
      </c>
      <c r="AII69">
        <v>0</v>
      </c>
      <c r="AIJ69">
        <v>0</v>
      </c>
      <c r="AIK69">
        <v>0</v>
      </c>
      <c r="AIL69">
        <v>0</v>
      </c>
      <c r="AIM69">
        <v>0</v>
      </c>
      <c r="AIN69">
        <v>0</v>
      </c>
      <c r="AIO69">
        <v>0</v>
      </c>
      <c r="AIP69">
        <v>0</v>
      </c>
      <c r="AIQ69">
        <v>0</v>
      </c>
      <c r="AIR69">
        <v>0</v>
      </c>
      <c r="AIS69">
        <v>0</v>
      </c>
      <c r="AIT69">
        <v>0</v>
      </c>
      <c r="AIU69">
        <v>0</v>
      </c>
      <c r="AIV69">
        <v>0</v>
      </c>
      <c r="AIW69">
        <v>-4500</v>
      </c>
      <c r="AIX69">
        <v>0</v>
      </c>
      <c r="AIY69">
        <v>0</v>
      </c>
      <c r="AIZ69">
        <v>0</v>
      </c>
      <c r="AJA69">
        <v>0</v>
      </c>
      <c r="AJB69">
        <v>0</v>
      </c>
      <c r="AJC69">
        <v>0</v>
      </c>
      <c r="AJD69">
        <v>0</v>
      </c>
      <c r="AJE69">
        <v>0</v>
      </c>
      <c r="AJF69">
        <v>0</v>
      </c>
      <c r="AJG69">
        <v>0</v>
      </c>
      <c r="AJH69">
        <v>0</v>
      </c>
      <c r="AJI69">
        <v>0</v>
      </c>
      <c r="AJJ69">
        <v>0</v>
      </c>
      <c r="AJK69">
        <v>0</v>
      </c>
      <c r="AJL69">
        <v>0</v>
      </c>
      <c r="AJM69">
        <v>0</v>
      </c>
      <c r="AJN69">
        <v>0</v>
      </c>
      <c r="AJO69">
        <v>0</v>
      </c>
      <c r="AJP69">
        <v>0</v>
      </c>
      <c r="AJQ69">
        <v>0</v>
      </c>
      <c r="AJR69">
        <v>0</v>
      </c>
      <c r="AJS69">
        <v>0</v>
      </c>
      <c r="AJT69">
        <v>0</v>
      </c>
      <c r="AJU69">
        <v>0</v>
      </c>
      <c r="AJV69">
        <v>0</v>
      </c>
      <c r="AJW69">
        <v>0</v>
      </c>
      <c r="AJX69">
        <v>0</v>
      </c>
      <c r="AJY69">
        <v>0</v>
      </c>
    </row>
    <row r="70" spans="1:961" x14ac:dyDescent="0.3">
      <c r="A70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10000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5000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552.39408000000003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0</v>
      </c>
      <c r="LM70">
        <v>0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-3390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0</v>
      </c>
      <c r="OV70">
        <v>0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0</v>
      </c>
      <c r="PO70">
        <v>0</v>
      </c>
      <c r="PP70">
        <v>0</v>
      </c>
      <c r="PQ70">
        <v>0</v>
      </c>
      <c r="PR70">
        <v>0</v>
      </c>
      <c r="PS70">
        <v>0</v>
      </c>
      <c r="PT70">
        <v>0</v>
      </c>
      <c r="PU70">
        <v>0</v>
      </c>
      <c r="PV70">
        <v>0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-150</v>
      </c>
      <c r="QM70">
        <v>0</v>
      </c>
      <c r="QN70">
        <v>0</v>
      </c>
      <c r="QO70">
        <v>0</v>
      </c>
      <c r="QP70">
        <v>0</v>
      </c>
      <c r="QQ70">
        <v>0</v>
      </c>
      <c r="QR70">
        <v>0</v>
      </c>
      <c r="QS70">
        <v>0</v>
      </c>
      <c r="QT70">
        <v>0</v>
      </c>
      <c r="QU70">
        <v>0</v>
      </c>
      <c r="QV70">
        <v>0</v>
      </c>
      <c r="QW70">
        <v>0</v>
      </c>
      <c r="QX70">
        <v>0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0</v>
      </c>
      <c r="RV70">
        <v>0</v>
      </c>
      <c r="RW70">
        <v>0</v>
      </c>
      <c r="RX70">
        <v>0</v>
      </c>
      <c r="RY70">
        <v>0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>
        <v>0</v>
      </c>
      <c r="SX70">
        <v>0</v>
      </c>
      <c r="SY70">
        <v>0</v>
      </c>
      <c r="SZ70">
        <v>0</v>
      </c>
      <c r="TA70">
        <v>0</v>
      </c>
      <c r="TB70">
        <v>0</v>
      </c>
      <c r="TC70">
        <v>0</v>
      </c>
      <c r="TD70">
        <v>0</v>
      </c>
      <c r="TE70">
        <v>0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0</v>
      </c>
      <c r="TL70">
        <v>0</v>
      </c>
      <c r="TM70">
        <v>0</v>
      </c>
      <c r="TN70">
        <v>0</v>
      </c>
      <c r="TO70">
        <v>0</v>
      </c>
      <c r="TP70">
        <v>0</v>
      </c>
      <c r="TQ70">
        <v>0</v>
      </c>
      <c r="TR70">
        <v>0</v>
      </c>
      <c r="TS70">
        <v>0</v>
      </c>
      <c r="TT70">
        <v>0</v>
      </c>
      <c r="TU70">
        <v>0</v>
      </c>
      <c r="TV70">
        <v>0</v>
      </c>
      <c r="TW70">
        <v>0</v>
      </c>
      <c r="TX70">
        <v>0</v>
      </c>
      <c r="TY70">
        <v>0</v>
      </c>
      <c r="TZ70">
        <v>0</v>
      </c>
      <c r="UA70">
        <v>0</v>
      </c>
      <c r="UB70">
        <v>0</v>
      </c>
      <c r="UC70">
        <v>0</v>
      </c>
      <c r="UD70">
        <v>-1000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</v>
      </c>
      <c r="UM70">
        <v>0</v>
      </c>
      <c r="UN70">
        <v>0</v>
      </c>
      <c r="UO70">
        <v>0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0</v>
      </c>
      <c r="UY70">
        <v>0</v>
      </c>
      <c r="UZ70">
        <v>0</v>
      </c>
      <c r="VA70">
        <v>0</v>
      </c>
      <c r="VB70">
        <v>0</v>
      </c>
      <c r="VC70">
        <v>0</v>
      </c>
      <c r="VD70">
        <v>0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0</v>
      </c>
      <c r="VQ70">
        <v>0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0</v>
      </c>
      <c r="WA70">
        <v>0</v>
      </c>
      <c r="WB70">
        <v>0</v>
      </c>
      <c r="WC70">
        <v>0</v>
      </c>
      <c r="WD70">
        <v>0</v>
      </c>
      <c r="WE70">
        <v>0</v>
      </c>
      <c r="WF70">
        <v>0</v>
      </c>
      <c r="WG70">
        <v>0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</v>
      </c>
      <c r="WO70">
        <v>0</v>
      </c>
      <c r="WP70">
        <v>0</v>
      </c>
      <c r="WQ70">
        <v>0</v>
      </c>
      <c r="WR70">
        <v>0</v>
      </c>
      <c r="WS70">
        <v>0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</v>
      </c>
      <c r="XA70">
        <v>0</v>
      </c>
      <c r="XB70">
        <v>0</v>
      </c>
      <c r="XC70">
        <v>0</v>
      </c>
      <c r="XD70">
        <v>0</v>
      </c>
      <c r="XE70">
        <v>0</v>
      </c>
      <c r="XF70">
        <v>0</v>
      </c>
      <c r="XG70">
        <v>0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</v>
      </c>
      <c r="XO70">
        <v>0</v>
      </c>
      <c r="XP70">
        <v>0</v>
      </c>
      <c r="XQ70">
        <v>0</v>
      </c>
      <c r="XR70">
        <v>0</v>
      </c>
      <c r="XS70">
        <v>0</v>
      </c>
      <c r="XT70">
        <v>0</v>
      </c>
      <c r="XU70">
        <v>0</v>
      </c>
      <c r="XV70">
        <v>-5</v>
      </c>
      <c r="XW70">
        <v>0</v>
      </c>
      <c r="XX70">
        <v>0</v>
      </c>
      <c r="XY70">
        <v>0</v>
      </c>
      <c r="XZ70">
        <v>0</v>
      </c>
      <c r="YA70">
        <v>0</v>
      </c>
      <c r="YB70">
        <v>0</v>
      </c>
      <c r="YC70">
        <v>0</v>
      </c>
      <c r="YD70">
        <v>0</v>
      </c>
      <c r="YE70">
        <v>0</v>
      </c>
      <c r="YF70">
        <v>0</v>
      </c>
      <c r="YG70">
        <v>0</v>
      </c>
      <c r="YH70">
        <v>0</v>
      </c>
      <c r="YI70">
        <v>0</v>
      </c>
      <c r="YJ70">
        <v>0</v>
      </c>
      <c r="YK70">
        <v>0</v>
      </c>
      <c r="YL70">
        <v>0</v>
      </c>
      <c r="YM70">
        <v>0</v>
      </c>
      <c r="YN70">
        <v>0</v>
      </c>
      <c r="YO70">
        <v>0</v>
      </c>
      <c r="YP70">
        <v>0</v>
      </c>
      <c r="YQ70">
        <v>0</v>
      </c>
      <c r="YR70">
        <v>0</v>
      </c>
      <c r="YS70">
        <v>0</v>
      </c>
      <c r="YT70">
        <v>0</v>
      </c>
      <c r="YU70">
        <v>0</v>
      </c>
      <c r="YV70">
        <v>0</v>
      </c>
      <c r="YW70">
        <v>0</v>
      </c>
      <c r="YX70">
        <v>0</v>
      </c>
      <c r="YY70">
        <v>0</v>
      </c>
      <c r="YZ70">
        <v>0</v>
      </c>
      <c r="ZA70">
        <v>0</v>
      </c>
      <c r="ZB70">
        <v>0</v>
      </c>
      <c r="ZC70">
        <v>0</v>
      </c>
      <c r="ZD70">
        <v>0</v>
      </c>
      <c r="ZE70">
        <v>0</v>
      </c>
      <c r="ZF70">
        <v>0</v>
      </c>
      <c r="ZG70">
        <v>0</v>
      </c>
      <c r="ZH70">
        <v>0</v>
      </c>
      <c r="ZI70">
        <v>0</v>
      </c>
      <c r="ZJ70">
        <v>0</v>
      </c>
      <c r="ZK70">
        <v>0</v>
      </c>
      <c r="ZL70">
        <v>0</v>
      </c>
      <c r="ZM70">
        <v>0</v>
      </c>
      <c r="ZN70">
        <v>0</v>
      </c>
      <c r="ZO70">
        <v>0</v>
      </c>
      <c r="ZP70">
        <v>0</v>
      </c>
      <c r="ZQ70">
        <v>0</v>
      </c>
      <c r="ZR70">
        <v>0</v>
      </c>
      <c r="ZS70">
        <v>0</v>
      </c>
      <c r="ZT70">
        <v>0</v>
      </c>
      <c r="ZU70">
        <v>0</v>
      </c>
      <c r="ZV70">
        <v>0</v>
      </c>
      <c r="ZW70">
        <v>0</v>
      </c>
      <c r="ZX70">
        <v>0</v>
      </c>
      <c r="ZY70">
        <v>0</v>
      </c>
      <c r="ZZ70">
        <v>0</v>
      </c>
      <c r="AAA70">
        <v>0</v>
      </c>
      <c r="AAB70">
        <v>0</v>
      </c>
      <c r="AAC70">
        <v>0</v>
      </c>
      <c r="AAD70">
        <v>0</v>
      </c>
      <c r="AAE70">
        <v>0</v>
      </c>
      <c r="AAF70">
        <v>0</v>
      </c>
      <c r="AAG70">
        <v>0</v>
      </c>
      <c r="AAH70">
        <v>0</v>
      </c>
      <c r="AAI70">
        <v>0</v>
      </c>
      <c r="AAJ70">
        <v>0</v>
      </c>
      <c r="AAK70">
        <v>0</v>
      </c>
      <c r="AAL70">
        <v>0</v>
      </c>
      <c r="AAM70">
        <v>0</v>
      </c>
      <c r="AAN70">
        <v>0</v>
      </c>
      <c r="AAO70">
        <v>0</v>
      </c>
      <c r="AAP70">
        <v>0</v>
      </c>
      <c r="AAQ70">
        <v>0</v>
      </c>
      <c r="AAR70">
        <v>0</v>
      </c>
      <c r="AAS70">
        <v>0</v>
      </c>
      <c r="AAT70">
        <v>0</v>
      </c>
      <c r="AAU70">
        <v>0</v>
      </c>
      <c r="AAV70">
        <v>0</v>
      </c>
      <c r="AAW70">
        <v>0</v>
      </c>
      <c r="AAX70">
        <v>0</v>
      </c>
      <c r="AAY70">
        <v>0</v>
      </c>
      <c r="AAZ70">
        <v>0</v>
      </c>
      <c r="ABA70">
        <v>0</v>
      </c>
      <c r="ABB70">
        <v>0</v>
      </c>
      <c r="ABC70">
        <v>0</v>
      </c>
      <c r="ABD70">
        <v>0</v>
      </c>
      <c r="ABE70">
        <v>0</v>
      </c>
      <c r="ABF70">
        <v>0</v>
      </c>
      <c r="ABG70">
        <v>0</v>
      </c>
      <c r="ABH70">
        <v>0</v>
      </c>
      <c r="ABI70">
        <v>0</v>
      </c>
      <c r="ABJ70">
        <v>0</v>
      </c>
      <c r="ABK70">
        <v>0</v>
      </c>
      <c r="ABL70">
        <v>0</v>
      </c>
      <c r="ABM70">
        <v>0</v>
      </c>
      <c r="ABN70">
        <v>-256.16438356164383</v>
      </c>
      <c r="ABO70">
        <v>0</v>
      </c>
      <c r="ABP70">
        <v>0</v>
      </c>
      <c r="ABQ70">
        <v>0</v>
      </c>
      <c r="ABR70">
        <v>0</v>
      </c>
      <c r="ABS70">
        <v>0</v>
      </c>
      <c r="ABT70">
        <v>0</v>
      </c>
      <c r="ABU70">
        <v>0</v>
      </c>
      <c r="ABV70">
        <v>0</v>
      </c>
      <c r="ABW70">
        <v>0</v>
      </c>
      <c r="ABX70">
        <v>0</v>
      </c>
      <c r="ABY70">
        <v>0</v>
      </c>
      <c r="ABZ70">
        <v>0</v>
      </c>
      <c r="ACA70">
        <v>0</v>
      </c>
      <c r="ACB70">
        <v>0</v>
      </c>
      <c r="ACC70">
        <v>0</v>
      </c>
      <c r="ACD70">
        <v>0</v>
      </c>
      <c r="ACE70">
        <v>0</v>
      </c>
      <c r="ACF70">
        <v>0</v>
      </c>
      <c r="ACG70">
        <v>0</v>
      </c>
      <c r="ACH70">
        <v>0</v>
      </c>
      <c r="ACI70">
        <v>0</v>
      </c>
      <c r="ACJ70">
        <v>0</v>
      </c>
      <c r="ACK70">
        <v>0</v>
      </c>
      <c r="ACL70">
        <v>0</v>
      </c>
      <c r="ACM70">
        <v>0</v>
      </c>
      <c r="ACN70">
        <v>0</v>
      </c>
      <c r="ACO70">
        <v>0</v>
      </c>
      <c r="ACP70">
        <v>0</v>
      </c>
      <c r="ACQ70">
        <v>0</v>
      </c>
      <c r="ACR70">
        <v>0</v>
      </c>
      <c r="ACS70">
        <v>0</v>
      </c>
      <c r="ACT70">
        <v>0</v>
      </c>
      <c r="ACU70">
        <v>0</v>
      </c>
      <c r="ACV70">
        <v>0</v>
      </c>
      <c r="ACW70">
        <v>0</v>
      </c>
      <c r="ACX70">
        <v>0</v>
      </c>
      <c r="ACY70">
        <v>0</v>
      </c>
      <c r="ACZ70">
        <v>0</v>
      </c>
      <c r="ADA70">
        <v>0</v>
      </c>
      <c r="ADB70">
        <v>0</v>
      </c>
      <c r="ADC70">
        <v>0</v>
      </c>
      <c r="ADD70">
        <v>0</v>
      </c>
      <c r="ADE70">
        <v>0</v>
      </c>
      <c r="ADF70">
        <v>0</v>
      </c>
      <c r="ADG70">
        <v>0</v>
      </c>
      <c r="ADH70">
        <v>0</v>
      </c>
      <c r="ADI70">
        <v>0</v>
      </c>
      <c r="ADJ70">
        <v>0</v>
      </c>
      <c r="ADK70">
        <v>0</v>
      </c>
      <c r="ADL70">
        <v>0</v>
      </c>
      <c r="ADM70">
        <v>0</v>
      </c>
      <c r="ADN70">
        <v>0</v>
      </c>
      <c r="ADO70">
        <v>0</v>
      </c>
      <c r="ADP70">
        <v>0</v>
      </c>
      <c r="ADQ70">
        <v>0</v>
      </c>
      <c r="ADR70">
        <v>0</v>
      </c>
      <c r="ADS70">
        <v>0</v>
      </c>
      <c r="ADT70">
        <v>0</v>
      </c>
      <c r="ADU70">
        <v>0</v>
      </c>
      <c r="ADV70">
        <v>0</v>
      </c>
      <c r="ADW70">
        <v>0</v>
      </c>
      <c r="ADX70">
        <v>0</v>
      </c>
      <c r="ADY70">
        <v>0</v>
      </c>
      <c r="ADZ70">
        <v>0</v>
      </c>
      <c r="AEA70">
        <v>0</v>
      </c>
      <c r="AEB70">
        <v>0</v>
      </c>
      <c r="AEC70">
        <v>0</v>
      </c>
      <c r="AED70">
        <v>0</v>
      </c>
      <c r="AEE70">
        <v>0</v>
      </c>
      <c r="AEF70">
        <v>0</v>
      </c>
      <c r="AEG70">
        <v>0</v>
      </c>
      <c r="AEH70">
        <v>0</v>
      </c>
      <c r="AEI70">
        <v>0</v>
      </c>
      <c r="AEJ70">
        <v>0</v>
      </c>
      <c r="AEK70">
        <v>0</v>
      </c>
      <c r="AEL70">
        <v>0</v>
      </c>
      <c r="AEM70">
        <v>0</v>
      </c>
      <c r="AEN70">
        <v>0</v>
      </c>
      <c r="AEO70">
        <v>0</v>
      </c>
      <c r="AEP70">
        <v>0</v>
      </c>
      <c r="AEQ70">
        <v>0</v>
      </c>
      <c r="AER70">
        <v>0</v>
      </c>
      <c r="AES70">
        <v>0</v>
      </c>
      <c r="AET70">
        <v>0</v>
      </c>
      <c r="AEU70">
        <v>0</v>
      </c>
      <c r="AEV70">
        <v>0</v>
      </c>
      <c r="AEW70">
        <v>0</v>
      </c>
      <c r="AEX70">
        <v>0</v>
      </c>
      <c r="AEY70">
        <v>0</v>
      </c>
      <c r="AEZ70">
        <v>0</v>
      </c>
      <c r="AFA70">
        <v>0</v>
      </c>
      <c r="AFB70">
        <v>0</v>
      </c>
      <c r="AFC70">
        <v>0</v>
      </c>
      <c r="AFD70">
        <v>0</v>
      </c>
      <c r="AFE70">
        <v>0</v>
      </c>
      <c r="AFF70">
        <v>-120</v>
      </c>
      <c r="AFG70">
        <v>0</v>
      </c>
      <c r="AFH70">
        <v>0</v>
      </c>
      <c r="AFI70">
        <v>0</v>
      </c>
      <c r="AFJ70">
        <v>0</v>
      </c>
      <c r="AFK70">
        <v>0</v>
      </c>
      <c r="AFL70">
        <v>0</v>
      </c>
      <c r="AFM70">
        <v>0</v>
      </c>
      <c r="AFN70">
        <v>0</v>
      </c>
      <c r="AFO70">
        <v>0</v>
      </c>
      <c r="AFP70">
        <v>0</v>
      </c>
      <c r="AFQ70">
        <v>0</v>
      </c>
      <c r="AFR70">
        <v>0</v>
      </c>
      <c r="AFS70">
        <v>0</v>
      </c>
      <c r="AFT70">
        <v>0</v>
      </c>
      <c r="AFU70">
        <v>0</v>
      </c>
      <c r="AFV70">
        <v>0</v>
      </c>
      <c r="AFW70">
        <v>0</v>
      </c>
      <c r="AFX70">
        <v>0</v>
      </c>
      <c r="AFY70">
        <v>0</v>
      </c>
      <c r="AFZ70">
        <v>0</v>
      </c>
      <c r="AGA70">
        <v>0</v>
      </c>
      <c r="AGB70">
        <v>0</v>
      </c>
      <c r="AGC70">
        <v>0</v>
      </c>
      <c r="AGD70">
        <v>0</v>
      </c>
      <c r="AGE70">
        <v>0</v>
      </c>
      <c r="AGF70">
        <v>0</v>
      </c>
      <c r="AGG70">
        <v>0</v>
      </c>
      <c r="AGH70">
        <v>0</v>
      </c>
      <c r="AGI70">
        <v>0</v>
      </c>
      <c r="AGJ70">
        <v>0</v>
      </c>
      <c r="AGK70">
        <v>0</v>
      </c>
      <c r="AGL70">
        <v>0</v>
      </c>
      <c r="AGM70">
        <v>0</v>
      </c>
      <c r="AGN70">
        <v>0</v>
      </c>
      <c r="AGO70">
        <v>0</v>
      </c>
      <c r="AGP70">
        <v>0</v>
      </c>
      <c r="AGQ70">
        <v>0</v>
      </c>
      <c r="AGR70">
        <v>0</v>
      </c>
      <c r="AGS70">
        <v>0</v>
      </c>
      <c r="AGT70">
        <v>0</v>
      </c>
      <c r="AGU70">
        <v>0</v>
      </c>
      <c r="AGV70">
        <v>0</v>
      </c>
      <c r="AGW70">
        <v>0</v>
      </c>
      <c r="AGX70">
        <v>0</v>
      </c>
      <c r="AGY70">
        <v>0</v>
      </c>
      <c r="AGZ70">
        <v>0</v>
      </c>
      <c r="AHA70">
        <v>0</v>
      </c>
      <c r="AHB70">
        <v>0</v>
      </c>
      <c r="AHC70">
        <v>0</v>
      </c>
      <c r="AHD70">
        <v>0</v>
      </c>
      <c r="AHE70">
        <v>0</v>
      </c>
      <c r="AHF70">
        <v>0</v>
      </c>
      <c r="AHG70">
        <v>0</v>
      </c>
      <c r="AHH70">
        <v>0</v>
      </c>
      <c r="AHI70">
        <v>0</v>
      </c>
      <c r="AHJ70">
        <v>0</v>
      </c>
      <c r="AHK70">
        <v>0</v>
      </c>
      <c r="AHL70">
        <v>0</v>
      </c>
      <c r="AHM70">
        <v>0</v>
      </c>
      <c r="AHN70">
        <v>0</v>
      </c>
      <c r="AHO70">
        <v>0</v>
      </c>
      <c r="AHP70">
        <v>0</v>
      </c>
      <c r="AHQ70">
        <v>0</v>
      </c>
      <c r="AHR70">
        <v>0</v>
      </c>
      <c r="AHS70">
        <v>0</v>
      </c>
      <c r="AHT70">
        <v>0</v>
      </c>
      <c r="AHU70">
        <v>0</v>
      </c>
      <c r="AHV70">
        <v>0</v>
      </c>
      <c r="AHW70">
        <v>0</v>
      </c>
      <c r="AHX70">
        <v>0</v>
      </c>
      <c r="AHY70">
        <v>0</v>
      </c>
      <c r="AHZ70">
        <v>0</v>
      </c>
      <c r="AIA70">
        <v>0</v>
      </c>
      <c r="AIB70">
        <v>0</v>
      </c>
      <c r="AIC70">
        <v>0</v>
      </c>
      <c r="AID70">
        <v>0</v>
      </c>
      <c r="AIE70">
        <v>0</v>
      </c>
      <c r="AIF70">
        <v>0</v>
      </c>
      <c r="AIG70">
        <v>0</v>
      </c>
      <c r="AIH70">
        <v>0</v>
      </c>
      <c r="AII70">
        <v>0</v>
      </c>
      <c r="AIJ70">
        <v>0</v>
      </c>
      <c r="AIK70">
        <v>0</v>
      </c>
      <c r="AIL70">
        <v>0</v>
      </c>
      <c r="AIM70">
        <v>0</v>
      </c>
      <c r="AIN70">
        <v>0</v>
      </c>
      <c r="AIO70">
        <v>0</v>
      </c>
      <c r="AIP70">
        <v>0</v>
      </c>
      <c r="AIQ70">
        <v>0</v>
      </c>
      <c r="AIR70">
        <v>0</v>
      </c>
      <c r="AIS70">
        <v>0</v>
      </c>
      <c r="AIT70">
        <v>0</v>
      </c>
      <c r="AIU70">
        <v>0</v>
      </c>
      <c r="AIV70">
        <v>0</v>
      </c>
      <c r="AIW70">
        <v>0</v>
      </c>
      <c r="AIX70">
        <v>-4500</v>
      </c>
      <c r="AIY70">
        <v>0</v>
      </c>
      <c r="AIZ70">
        <v>0</v>
      </c>
      <c r="AJA70">
        <v>0</v>
      </c>
      <c r="AJB70">
        <v>0</v>
      </c>
      <c r="AJC70">
        <v>0</v>
      </c>
      <c r="AJD70">
        <v>0</v>
      </c>
      <c r="AJE70">
        <v>0</v>
      </c>
      <c r="AJF70">
        <v>0</v>
      </c>
      <c r="AJG70">
        <v>0</v>
      </c>
      <c r="AJH70">
        <v>0</v>
      </c>
      <c r="AJI70">
        <v>0</v>
      </c>
      <c r="AJJ70">
        <v>0</v>
      </c>
      <c r="AJK70">
        <v>0</v>
      </c>
      <c r="AJL70">
        <v>0</v>
      </c>
      <c r="AJM70">
        <v>0</v>
      </c>
      <c r="AJN70">
        <v>0</v>
      </c>
      <c r="AJO70">
        <v>0</v>
      </c>
      <c r="AJP70">
        <v>0</v>
      </c>
      <c r="AJQ70">
        <v>0</v>
      </c>
      <c r="AJR70">
        <v>0</v>
      </c>
      <c r="AJS70">
        <v>0</v>
      </c>
      <c r="AJT70">
        <v>0</v>
      </c>
      <c r="AJU70">
        <v>0</v>
      </c>
      <c r="AJV70">
        <v>0</v>
      </c>
      <c r="AJW70">
        <v>0</v>
      </c>
      <c r="AJX70">
        <v>0</v>
      </c>
      <c r="AJY70">
        <v>0</v>
      </c>
    </row>
    <row r="71" spans="1:961" x14ac:dyDescent="0.3">
      <c r="A71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10000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5000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552.39408000000003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0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-3390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0</v>
      </c>
      <c r="OY71">
        <v>0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0</v>
      </c>
      <c r="QA71">
        <v>0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-150</v>
      </c>
      <c r="QN71">
        <v>0</v>
      </c>
      <c r="QO71">
        <v>0</v>
      </c>
      <c r="QP71">
        <v>0</v>
      </c>
      <c r="QQ71">
        <v>0</v>
      </c>
      <c r="QR71">
        <v>0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0</v>
      </c>
      <c r="RC71">
        <v>0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0</v>
      </c>
      <c r="RU71">
        <v>0</v>
      </c>
      <c r="RV71">
        <v>0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0</v>
      </c>
      <c r="SD71">
        <v>0</v>
      </c>
      <c r="SE71">
        <v>0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0</v>
      </c>
      <c r="SW71">
        <v>0</v>
      </c>
      <c r="SX71">
        <v>0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0</v>
      </c>
      <c r="TF71">
        <v>0</v>
      </c>
      <c r="TG71">
        <v>0</v>
      </c>
      <c r="TH71">
        <v>0</v>
      </c>
      <c r="TI71">
        <v>0</v>
      </c>
      <c r="TJ71">
        <v>0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</v>
      </c>
      <c r="TX71">
        <v>0</v>
      </c>
      <c r="TY71">
        <v>0</v>
      </c>
      <c r="TZ71">
        <v>0</v>
      </c>
      <c r="UA71">
        <v>0</v>
      </c>
      <c r="UB71">
        <v>0</v>
      </c>
      <c r="UC71">
        <v>0</v>
      </c>
      <c r="UD71">
        <v>0</v>
      </c>
      <c r="UE71">
        <v>-1000</v>
      </c>
      <c r="UF71">
        <v>0</v>
      </c>
      <c r="UG71">
        <v>0</v>
      </c>
      <c r="UH71">
        <v>0</v>
      </c>
      <c r="UI71">
        <v>0</v>
      </c>
      <c r="UJ71">
        <v>0</v>
      </c>
      <c r="UK71">
        <v>0</v>
      </c>
      <c r="UL71">
        <v>0</v>
      </c>
      <c r="UM71">
        <v>0</v>
      </c>
      <c r="UN71">
        <v>0</v>
      </c>
      <c r="UO71">
        <v>0</v>
      </c>
      <c r="UP71">
        <v>0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0</v>
      </c>
      <c r="UX71">
        <v>0</v>
      </c>
      <c r="UY71">
        <v>0</v>
      </c>
      <c r="UZ71">
        <v>0</v>
      </c>
      <c r="VA71">
        <v>0</v>
      </c>
      <c r="VB71">
        <v>0</v>
      </c>
      <c r="VC71">
        <v>0</v>
      </c>
      <c r="VD71">
        <v>0</v>
      </c>
      <c r="VE71">
        <v>0</v>
      </c>
      <c r="VF71">
        <v>0</v>
      </c>
      <c r="VG71">
        <v>0</v>
      </c>
      <c r="VH71">
        <v>0</v>
      </c>
      <c r="VI71">
        <v>0</v>
      </c>
      <c r="VJ71">
        <v>0</v>
      </c>
      <c r="VK71">
        <v>0</v>
      </c>
      <c r="VL71">
        <v>0</v>
      </c>
      <c r="VM71">
        <v>0</v>
      </c>
      <c r="VN71">
        <v>0</v>
      </c>
      <c r="VO71">
        <v>0</v>
      </c>
      <c r="VP71">
        <v>0</v>
      </c>
      <c r="VQ71">
        <v>0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0</v>
      </c>
      <c r="WA71">
        <v>0</v>
      </c>
      <c r="WB71">
        <v>0</v>
      </c>
      <c r="WC71">
        <v>0</v>
      </c>
      <c r="WD71">
        <v>0</v>
      </c>
      <c r="WE71">
        <v>0</v>
      </c>
      <c r="WF71">
        <v>0</v>
      </c>
      <c r="WG71">
        <v>0</v>
      </c>
      <c r="WH71">
        <v>0</v>
      </c>
      <c r="WI71">
        <v>0</v>
      </c>
      <c r="WJ71">
        <v>0</v>
      </c>
      <c r="WK71">
        <v>0</v>
      </c>
      <c r="WL71">
        <v>0</v>
      </c>
      <c r="WM71">
        <v>0</v>
      </c>
      <c r="WN71">
        <v>0</v>
      </c>
      <c r="WO71">
        <v>0</v>
      </c>
      <c r="WP71">
        <v>0</v>
      </c>
      <c r="WQ71">
        <v>0</v>
      </c>
      <c r="WR71">
        <v>0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</v>
      </c>
      <c r="WZ71">
        <v>0</v>
      </c>
      <c r="XA71">
        <v>0</v>
      </c>
      <c r="XB71">
        <v>0</v>
      </c>
      <c r="XC71">
        <v>0</v>
      </c>
      <c r="XD71">
        <v>0</v>
      </c>
      <c r="XE71">
        <v>0</v>
      </c>
      <c r="XF71">
        <v>0</v>
      </c>
      <c r="XG71">
        <v>0</v>
      </c>
      <c r="XH71">
        <v>0</v>
      </c>
      <c r="XI71">
        <v>0</v>
      </c>
      <c r="XJ71">
        <v>0</v>
      </c>
      <c r="XK71">
        <v>0</v>
      </c>
      <c r="XL71">
        <v>0</v>
      </c>
      <c r="XM71">
        <v>0</v>
      </c>
      <c r="XN71">
        <v>0</v>
      </c>
      <c r="XO71">
        <v>0</v>
      </c>
      <c r="XP71">
        <v>0</v>
      </c>
      <c r="XQ71">
        <v>0</v>
      </c>
      <c r="XR71">
        <v>0</v>
      </c>
      <c r="XS71">
        <v>0</v>
      </c>
      <c r="XT71">
        <v>0</v>
      </c>
      <c r="XU71">
        <v>0</v>
      </c>
      <c r="XV71">
        <v>0</v>
      </c>
      <c r="XW71">
        <v>-5</v>
      </c>
      <c r="XX71">
        <v>0</v>
      </c>
      <c r="XY71">
        <v>0</v>
      </c>
      <c r="XZ71">
        <v>0</v>
      </c>
      <c r="YA71">
        <v>0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0</v>
      </c>
      <c r="YI71">
        <v>0</v>
      </c>
      <c r="YJ71">
        <v>0</v>
      </c>
      <c r="YK71">
        <v>0</v>
      </c>
      <c r="YL71">
        <v>0</v>
      </c>
      <c r="YM71">
        <v>0</v>
      </c>
      <c r="YN71">
        <v>0</v>
      </c>
      <c r="YO71">
        <v>0</v>
      </c>
      <c r="YP71">
        <v>0</v>
      </c>
      <c r="YQ71">
        <v>0</v>
      </c>
      <c r="YR71">
        <v>0</v>
      </c>
      <c r="YS71">
        <v>0</v>
      </c>
      <c r="YT71">
        <v>0</v>
      </c>
      <c r="YU71">
        <v>0</v>
      </c>
      <c r="YV71">
        <v>0</v>
      </c>
      <c r="YW71">
        <v>0</v>
      </c>
      <c r="YX71">
        <v>0</v>
      </c>
      <c r="YY71">
        <v>0</v>
      </c>
      <c r="YZ71">
        <v>0</v>
      </c>
      <c r="ZA71">
        <v>0</v>
      </c>
      <c r="ZB71">
        <v>0</v>
      </c>
      <c r="ZC71">
        <v>0</v>
      </c>
      <c r="ZD71">
        <v>0</v>
      </c>
      <c r="ZE71">
        <v>0</v>
      </c>
      <c r="ZF71">
        <v>0</v>
      </c>
      <c r="ZG71">
        <v>0</v>
      </c>
      <c r="ZH71">
        <v>0</v>
      </c>
      <c r="ZI71">
        <v>0</v>
      </c>
      <c r="ZJ71">
        <v>0</v>
      </c>
      <c r="ZK71">
        <v>0</v>
      </c>
      <c r="ZL71">
        <v>0</v>
      </c>
      <c r="ZM71">
        <v>0</v>
      </c>
      <c r="ZN71">
        <v>0</v>
      </c>
      <c r="ZO71">
        <v>0</v>
      </c>
      <c r="ZP71">
        <v>0</v>
      </c>
      <c r="ZQ71">
        <v>0</v>
      </c>
      <c r="ZR71">
        <v>0</v>
      </c>
      <c r="ZS71">
        <v>0</v>
      </c>
      <c r="ZT71">
        <v>0</v>
      </c>
      <c r="ZU71">
        <v>0</v>
      </c>
      <c r="ZV71">
        <v>0</v>
      </c>
      <c r="ZW71">
        <v>0</v>
      </c>
      <c r="ZX71">
        <v>0</v>
      </c>
      <c r="ZY71">
        <v>0</v>
      </c>
      <c r="ZZ71">
        <v>0</v>
      </c>
      <c r="AAA71">
        <v>0</v>
      </c>
      <c r="AAB71">
        <v>0</v>
      </c>
      <c r="AAC71">
        <v>0</v>
      </c>
      <c r="AAD71">
        <v>0</v>
      </c>
      <c r="AAE71">
        <v>0</v>
      </c>
      <c r="AAF71">
        <v>0</v>
      </c>
      <c r="AAG71">
        <v>0</v>
      </c>
      <c r="AAH71">
        <v>0</v>
      </c>
      <c r="AAI71">
        <v>0</v>
      </c>
      <c r="AAJ71">
        <v>0</v>
      </c>
      <c r="AAK71">
        <v>0</v>
      </c>
      <c r="AAL71">
        <v>0</v>
      </c>
      <c r="AAM71">
        <v>0</v>
      </c>
      <c r="AAN71">
        <v>0</v>
      </c>
      <c r="AAO71">
        <v>0</v>
      </c>
      <c r="AAP71">
        <v>0</v>
      </c>
      <c r="AAQ71">
        <v>0</v>
      </c>
      <c r="AAR71">
        <v>0</v>
      </c>
      <c r="AAS71">
        <v>0</v>
      </c>
      <c r="AAT71">
        <v>0</v>
      </c>
      <c r="AAU71">
        <v>0</v>
      </c>
      <c r="AAV71">
        <v>0</v>
      </c>
      <c r="AAW71">
        <v>0</v>
      </c>
      <c r="AAX71">
        <v>0</v>
      </c>
      <c r="AAY71">
        <v>0</v>
      </c>
      <c r="AAZ71">
        <v>0</v>
      </c>
      <c r="ABA71">
        <v>0</v>
      </c>
      <c r="ABB71">
        <v>0</v>
      </c>
      <c r="ABC71">
        <v>0</v>
      </c>
      <c r="ABD71">
        <v>0</v>
      </c>
      <c r="ABE71">
        <v>0</v>
      </c>
      <c r="ABF71">
        <v>0</v>
      </c>
      <c r="ABG71">
        <v>0</v>
      </c>
      <c r="ABH71">
        <v>0</v>
      </c>
      <c r="ABI71">
        <v>0</v>
      </c>
      <c r="ABJ71">
        <v>0</v>
      </c>
      <c r="ABK71">
        <v>0</v>
      </c>
      <c r="ABL71">
        <v>0</v>
      </c>
      <c r="ABM71">
        <v>0</v>
      </c>
      <c r="ABN71">
        <v>0</v>
      </c>
      <c r="ABO71">
        <v>-256.16438356164383</v>
      </c>
      <c r="ABP71">
        <v>0</v>
      </c>
      <c r="ABQ71">
        <v>0</v>
      </c>
      <c r="ABR71">
        <v>0</v>
      </c>
      <c r="ABS71">
        <v>0</v>
      </c>
      <c r="ABT71">
        <v>0</v>
      </c>
      <c r="ABU71">
        <v>0</v>
      </c>
      <c r="ABV71">
        <v>0</v>
      </c>
      <c r="ABW71">
        <v>0</v>
      </c>
      <c r="ABX71">
        <v>0</v>
      </c>
      <c r="ABY71">
        <v>0</v>
      </c>
      <c r="ABZ71">
        <v>0</v>
      </c>
      <c r="ACA71">
        <v>0</v>
      </c>
      <c r="ACB71">
        <v>0</v>
      </c>
      <c r="ACC71">
        <v>0</v>
      </c>
      <c r="ACD71">
        <v>0</v>
      </c>
      <c r="ACE71">
        <v>0</v>
      </c>
      <c r="ACF71">
        <v>0</v>
      </c>
      <c r="ACG71">
        <v>0</v>
      </c>
      <c r="ACH71">
        <v>0</v>
      </c>
      <c r="ACI71">
        <v>0</v>
      </c>
      <c r="ACJ71">
        <v>0</v>
      </c>
      <c r="ACK71">
        <v>0</v>
      </c>
      <c r="ACL71">
        <v>0</v>
      </c>
      <c r="ACM71">
        <v>0</v>
      </c>
      <c r="ACN71">
        <v>0</v>
      </c>
      <c r="ACO71">
        <v>0</v>
      </c>
      <c r="ACP71">
        <v>0</v>
      </c>
      <c r="ACQ71">
        <v>0</v>
      </c>
      <c r="ACR71">
        <v>0</v>
      </c>
      <c r="ACS71">
        <v>0</v>
      </c>
      <c r="ACT71">
        <v>0</v>
      </c>
      <c r="ACU71">
        <v>0</v>
      </c>
      <c r="ACV71">
        <v>0</v>
      </c>
      <c r="ACW71">
        <v>0</v>
      </c>
      <c r="ACX71">
        <v>0</v>
      </c>
      <c r="ACY71">
        <v>0</v>
      </c>
      <c r="ACZ71">
        <v>0</v>
      </c>
      <c r="ADA71">
        <v>0</v>
      </c>
      <c r="ADB71">
        <v>0</v>
      </c>
      <c r="ADC71">
        <v>0</v>
      </c>
      <c r="ADD71">
        <v>0</v>
      </c>
      <c r="ADE71">
        <v>0</v>
      </c>
      <c r="ADF71">
        <v>0</v>
      </c>
      <c r="ADG71">
        <v>0</v>
      </c>
      <c r="ADH71">
        <v>0</v>
      </c>
      <c r="ADI71">
        <v>0</v>
      </c>
      <c r="ADJ71">
        <v>0</v>
      </c>
      <c r="ADK71">
        <v>0</v>
      </c>
      <c r="ADL71">
        <v>0</v>
      </c>
      <c r="ADM71">
        <v>0</v>
      </c>
      <c r="ADN71">
        <v>0</v>
      </c>
      <c r="ADO71">
        <v>0</v>
      </c>
      <c r="ADP71">
        <v>0</v>
      </c>
      <c r="ADQ71">
        <v>0</v>
      </c>
      <c r="ADR71">
        <v>0</v>
      </c>
      <c r="ADS71">
        <v>0</v>
      </c>
      <c r="ADT71">
        <v>0</v>
      </c>
      <c r="ADU71">
        <v>0</v>
      </c>
      <c r="ADV71">
        <v>0</v>
      </c>
      <c r="ADW71">
        <v>0</v>
      </c>
      <c r="ADX71">
        <v>0</v>
      </c>
      <c r="ADY71">
        <v>0</v>
      </c>
      <c r="ADZ71">
        <v>0</v>
      </c>
      <c r="AEA71">
        <v>0</v>
      </c>
      <c r="AEB71">
        <v>0</v>
      </c>
      <c r="AEC71">
        <v>0</v>
      </c>
      <c r="AED71">
        <v>0</v>
      </c>
      <c r="AEE71">
        <v>0</v>
      </c>
      <c r="AEF71">
        <v>0</v>
      </c>
      <c r="AEG71">
        <v>0</v>
      </c>
      <c r="AEH71">
        <v>0</v>
      </c>
      <c r="AEI71">
        <v>0</v>
      </c>
      <c r="AEJ71">
        <v>0</v>
      </c>
      <c r="AEK71">
        <v>0</v>
      </c>
      <c r="AEL71">
        <v>0</v>
      </c>
      <c r="AEM71">
        <v>0</v>
      </c>
      <c r="AEN71">
        <v>0</v>
      </c>
      <c r="AEO71">
        <v>0</v>
      </c>
      <c r="AEP71">
        <v>0</v>
      </c>
      <c r="AEQ71">
        <v>0</v>
      </c>
      <c r="AER71">
        <v>0</v>
      </c>
      <c r="AES71">
        <v>0</v>
      </c>
      <c r="AET71">
        <v>0</v>
      </c>
      <c r="AEU71">
        <v>0</v>
      </c>
      <c r="AEV71">
        <v>0</v>
      </c>
      <c r="AEW71">
        <v>0</v>
      </c>
      <c r="AEX71">
        <v>0</v>
      </c>
      <c r="AEY71">
        <v>0</v>
      </c>
      <c r="AEZ71">
        <v>0</v>
      </c>
      <c r="AFA71">
        <v>0</v>
      </c>
      <c r="AFB71">
        <v>0</v>
      </c>
      <c r="AFC71">
        <v>0</v>
      </c>
      <c r="AFD71">
        <v>0</v>
      </c>
      <c r="AFE71">
        <v>0</v>
      </c>
      <c r="AFF71">
        <v>0</v>
      </c>
      <c r="AFG71">
        <v>-120</v>
      </c>
      <c r="AFH71">
        <v>0</v>
      </c>
      <c r="AFI71">
        <v>0</v>
      </c>
      <c r="AFJ71">
        <v>0</v>
      </c>
      <c r="AFK71">
        <v>0</v>
      </c>
      <c r="AFL71">
        <v>0</v>
      </c>
      <c r="AFM71">
        <v>0</v>
      </c>
      <c r="AFN71">
        <v>0</v>
      </c>
      <c r="AFO71">
        <v>0</v>
      </c>
      <c r="AFP71">
        <v>0</v>
      </c>
      <c r="AFQ71">
        <v>0</v>
      </c>
      <c r="AFR71">
        <v>0</v>
      </c>
      <c r="AFS71">
        <v>0</v>
      </c>
      <c r="AFT71">
        <v>0</v>
      </c>
      <c r="AFU71">
        <v>0</v>
      </c>
      <c r="AFV71">
        <v>0</v>
      </c>
      <c r="AFW71">
        <v>0</v>
      </c>
      <c r="AFX71">
        <v>0</v>
      </c>
      <c r="AFY71">
        <v>0</v>
      </c>
      <c r="AFZ71">
        <v>0</v>
      </c>
      <c r="AGA71">
        <v>0</v>
      </c>
      <c r="AGB71">
        <v>0</v>
      </c>
      <c r="AGC71">
        <v>0</v>
      </c>
      <c r="AGD71">
        <v>0</v>
      </c>
      <c r="AGE71">
        <v>0</v>
      </c>
      <c r="AGF71">
        <v>0</v>
      </c>
      <c r="AGG71">
        <v>0</v>
      </c>
      <c r="AGH71">
        <v>0</v>
      </c>
      <c r="AGI71">
        <v>0</v>
      </c>
      <c r="AGJ71">
        <v>0</v>
      </c>
      <c r="AGK71">
        <v>0</v>
      </c>
      <c r="AGL71">
        <v>0</v>
      </c>
      <c r="AGM71">
        <v>0</v>
      </c>
      <c r="AGN71">
        <v>0</v>
      </c>
      <c r="AGO71">
        <v>0</v>
      </c>
      <c r="AGP71">
        <v>0</v>
      </c>
      <c r="AGQ71">
        <v>0</v>
      </c>
      <c r="AGR71">
        <v>0</v>
      </c>
      <c r="AGS71">
        <v>0</v>
      </c>
      <c r="AGT71">
        <v>0</v>
      </c>
      <c r="AGU71">
        <v>0</v>
      </c>
      <c r="AGV71">
        <v>0</v>
      </c>
      <c r="AGW71">
        <v>0</v>
      </c>
      <c r="AGX71">
        <v>0</v>
      </c>
      <c r="AGY71">
        <v>0</v>
      </c>
      <c r="AGZ71">
        <v>0</v>
      </c>
      <c r="AHA71">
        <v>0</v>
      </c>
      <c r="AHB71">
        <v>0</v>
      </c>
      <c r="AHC71">
        <v>0</v>
      </c>
      <c r="AHD71">
        <v>0</v>
      </c>
      <c r="AHE71">
        <v>0</v>
      </c>
      <c r="AHF71">
        <v>0</v>
      </c>
      <c r="AHG71">
        <v>0</v>
      </c>
      <c r="AHH71">
        <v>0</v>
      </c>
      <c r="AHI71">
        <v>0</v>
      </c>
      <c r="AHJ71">
        <v>0</v>
      </c>
      <c r="AHK71">
        <v>0</v>
      </c>
      <c r="AHL71">
        <v>0</v>
      </c>
      <c r="AHM71">
        <v>0</v>
      </c>
      <c r="AHN71">
        <v>0</v>
      </c>
      <c r="AHO71">
        <v>0</v>
      </c>
      <c r="AHP71">
        <v>0</v>
      </c>
      <c r="AHQ71">
        <v>0</v>
      </c>
      <c r="AHR71">
        <v>0</v>
      </c>
      <c r="AHS71">
        <v>0</v>
      </c>
      <c r="AHT71">
        <v>0</v>
      </c>
      <c r="AHU71">
        <v>0</v>
      </c>
      <c r="AHV71">
        <v>0</v>
      </c>
      <c r="AHW71">
        <v>0</v>
      </c>
      <c r="AHX71">
        <v>0</v>
      </c>
      <c r="AHY71">
        <v>0</v>
      </c>
      <c r="AHZ71">
        <v>0</v>
      </c>
      <c r="AIA71">
        <v>0</v>
      </c>
      <c r="AIB71">
        <v>0</v>
      </c>
      <c r="AIC71">
        <v>0</v>
      </c>
      <c r="AID71">
        <v>0</v>
      </c>
      <c r="AIE71">
        <v>0</v>
      </c>
      <c r="AIF71">
        <v>0</v>
      </c>
      <c r="AIG71">
        <v>0</v>
      </c>
      <c r="AIH71">
        <v>0</v>
      </c>
      <c r="AII71">
        <v>0</v>
      </c>
      <c r="AIJ71">
        <v>0</v>
      </c>
      <c r="AIK71">
        <v>0</v>
      </c>
      <c r="AIL71">
        <v>0</v>
      </c>
      <c r="AIM71">
        <v>0</v>
      </c>
      <c r="AIN71">
        <v>0</v>
      </c>
      <c r="AIO71">
        <v>0</v>
      </c>
      <c r="AIP71">
        <v>0</v>
      </c>
      <c r="AIQ71">
        <v>0</v>
      </c>
      <c r="AIR71">
        <v>0</v>
      </c>
      <c r="AIS71">
        <v>0</v>
      </c>
      <c r="AIT71">
        <v>0</v>
      </c>
      <c r="AIU71">
        <v>0</v>
      </c>
      <c r="AIV71">
        <v>0</v>
      </c>
      <c r="AIW71">
        <v>0</v>
      </c>
      <c r="AIX71">
        <v>0</v>
      </c>
      <c r="AIY71">
        <v>-4500</v>
      </c>
      <c r="AIZ71">
        <v>0</v>
      </c>
      <c r="AJA71">
        <v>0</v>
      </c>
      <c r="AJB71">
        <v>0</v>
      </c>
      <c r="AJC71">
        <v>0</v>
      </c>
      <c r="AJD71">
        <v>0</v>
      </c>
      <c r="AJE71">
        <v>0</v>
      </c>
      <c r="AJF71">
        <v>0</v>
      </c>
      <c r="AJG71">
        <v>0</v>
      </c>
      <c r="AJH71">
        <v>0</v>
      </c>
      <c r="AJI71">
        <v>0</v>
      </c>
      <c r="AJJ71">
        <v>0</v>
      </c>
      <c r="AJK71">
        <v>0</v>
      </c>
      <c r="AJL71">
        <v>0</v>
      </c>
      <c r="AJM71">
        <v>0</v>
      </c>
      <c r="AJN71">
        <v>0</v>
      </c>
      <c r="AJO71">
        <v>0</v>
      </c>
      <c r="AJP71">
        <v>0</v>
      </c>
      <c r="AJQ71">
        <v>0</v>
      </c>
      <c r="AJR71">
        <v>0</v>
      </c>
      <c r="AJS71">
        <v>0</v>
      </c>
      <c r="AJT71">
        <v>0</v>
      </c>
      <c r="AJU71">
        <v>0</v>
      </c>
      <c r="AJV71">
        <v>0</v>
      </c>
      <c r="AJW71">
        <v>0</v>
      </c>
      <c r="AJX71">
        <v>0</v>
      </c>
      <c r="AJY71">
        <v>0</v>
      </c>
    </row>
    <row r="72" spans="1:961" x14ac:dyDescent="0.3">
      <c r="A72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10000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5000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552.39408000000003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0</v>
      </c>
      <c r="LO72">
        <v>0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-3390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0</v>
      </c>
      <c r="OP72">
        <v>0</v>
      </c>
      <c r="OQ72">
        <v>0</v>
      </c>
      <c r="OR72">
        <v>0</v>
      </c>
      <c r="OS72">
        <v>0</v>
      </c>
      <c r="OT72">
        <v>0</v>
      </c>
      <c r="OU72">
        <v>0</v>
      </c>
      <c r="OV72">
        <v>0</v>
      </c>
      <c r="OW72">
        <v>0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0</v>
      </c>
      <c r="PQ72">
        <v>0</v>
      </c>
      <c r="PR72">
        <v>0</v>
      </c>
      <c r="PS72">
        <v>0</v>
      </c>
      <c r="PT72">
        <v>0</v>
      </c>
      <c r="PU72">
        <v>0</v>
      </c>
      <c r="PV72">
        <v>0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-150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0</v>
      </c>
      <c r="QU72">
        <v>0</v>
      </c>
      <c r="QV72">
        <v>0</v>
      </c>
      <c r="QW72">
        <v>0</v>
      </c>
      <c r="QX72">
        <v>0</v>
      </c>
      <c r="QY72">
        <v>0</v>
      </c>
      <c r="QZ72">
        <v>0</v>
      </c>
      <c r="RA72">
        <v>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</v>
      </c>
      <c r="RX72">
        <v>0</v>
      </c>
      <c r="RY72">
        <v>0</v>
      </c>
      <c r="RZ72">
        <v>0</v>
      </c>
      <c r="SA72">
        <v>0</v>
      </c>
      <c r="SB72">
        <v>0</v>
      </c>
      <c r="SC72">
        <v>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0</v>
      </c>
      <c r="SR72">
        <v>0</v>
      </c>
      <c r="SS72">
        <v>0</v>
      </c>
      <c r="ST72">
        <v>0</v>
      </c>
      <c r="SU72">
        <v>0</v>
      </c>
      <c r="SV72">
        <v>0</v>
      </c>
      <c r="SW72">
        <v>0</v>
      </c>
      <c r="SX72">
        <v>0</v>
      </c>
      <c r="SY72">
        <v>0</v>
      </c>
      <c r="SZ72">
        <v>0</v>
      </c>
      <c r="TA72">
        <v>0</v>
      </c>
      <c r="TB72">
        <v>0</v>
      </c>
      <c r="TC72">
        <v>0</v>
      </c>
      <c r="TD72">
        <v>0</v>
      </c>
      <c r="TE72">
        <v>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</v>
      </c>
      <c r="TR72">
        <v>0</v>
      </c>
      <c r="TS72">
        <v>0</v>
      </c>
      <c r="TT72">
        <v>0</v>
      </c>
      <c r="TU72">
        <v>0</v>
      </c>
      <c r="TV72">
        <v>0</v>
      </c>
      <c r="TW72">
        <v>0</v>
      </c>
      <c r="TX72">
        <v>0</v>
      </c>
      <c r="TY72">
        <v>0</v>
      </c>
      <c r="TZ72">
        <v>0</v>
      </c>
      <c r="UA72">
        <v>0</v>
      </c>
      <c r="UB72">
        <v>0</v>
      </c>
      <c r="UC72">
        <v>0</v>
      </c>
      <c r="UD72">
        <v>0</v>
      </c>
      <c r="UE72">
        <v>0</v>
      </c>
      <c r="UF72">
        <v>-1000</v>
      </c>
      <c r="UG72">
        <v>0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0</v>
      </c>
      <c r="UV72">
        <v>0</v>
      </c>
      <c r="UW72">
        <v>0</v>
      </c>
      <c r="UX72">
        <v>0</v>
      </c>
      <c r="UY72">
        <v>0</v>
      </c>
      <c r="UZ72">
        <v>0</v>
      </c>
      <c r="VA72">
        <v>0</v>
      </c>
      <c r="VB72">
        <v>0</v>
      </c>
      <c r="VC72">
        <v>0</v>
      </c>
      <c r="VD72">
        <v>0</v>
      </c>
      <c r="VE72">
        <v>0</v>
      </c>
      <c r="VF72">
        <v>0</v>
      </c>
      <c r="VG72">
        <v>0</v>
      </c>
      <c r="VH72">
        <v>0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</v>
      </c>
      <c r="VP72">
        <v>0</v>
      </c>
      <c r="VQ72">
        <v>0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0</v>
      </c>
      <c r="VX72">
        <v>0</v>
      </c>
      <c r="VY72">
        <v>0</v>
      </c>
      <c r="VZ72">
        <v>0</v>
      </c>
      <c r="WA72">
        <v>0</v>
      </c>
      <c r="WB72">
        <v>0</v>
      </c>
      <c r="WC72">
        <v>0</v>
      </c>
      <c r="WD72">
        <v>0</v>
      </c>
      <c r="WE72">
        <v>0</v>
      </c>
      <c r="WF72">
        <v>0</v>
      </c>
      <c r="WG72">
        <v>0</v>
      </c>
      <c r="WH72">
        <v>0</v>
      </c>
      <c r="WI72">
        <v>0</v>
      </c>
      <c r="WJ72">
        <v>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</v>
      </c>
      <c r="WT72">
        <v>0</v>
      </c>
      <c r="WU72">
        <v>0</v>
      </c>
      <c r="WV72">
        <v>0</v>
      </c>
      <c r="WW72">
        <v>0</v>
      </c>
      <c r="WX72">
        <v>0</v>
      </c>
      <c r="WY72">
        <v>0</v>
      </c>
      <c r="WZ72">
        <v>0</v>
      </c>
      <c r="XA72">
        <v>0</v>
      </c>
      <c r="XB72">
        <v>0</v>
      </c>
      <c r="XC72">
        <v>0</v>
      </c>
      <c r="XD72">
        <v>0</v>
      </c>
      <c r="XE72">
        <v>0</v>
      </c>
      <c r="XF72">
        <v>0</v>
      </c>
      <c r="XG72">
        <v>0</v>
      </c>
      <c r="XH72">
        <v>0</v>
      </c>
      <c r="XI72">
        <v>0</v>
      </c>
      <c r="XJ72">
        <v>0</v>
      </c>
      <c r="XK72">
        <v>0</v>
      </c>
      <c r="XL72">
        <v>0</v>
      </c>
      <c r="XM72">
        <v>0</v>
      </c>
      <c r="XN72">
        <v>0</v>
      </c>
      <c r="XO72">
        <v>0</v>
      </c>
      <c r="XP72">
        <v>0</v>
      </c>
      <c r="XQ72">
        <v>0</v>
      </c>
      <c r="XR72">
        <v>0</v>
      </c>
      <c r="XS72">
        <v>0</v>
      </c>
      <c r="XT72">
        <v>0</v>
      </c>
      <c r="XU72">
        <v>0</v>
      </c>
      <c r="XV72">
        <v>0</v>
      </c>
      <c r="XW72">
        <v>0</v>
      </c>
      <c r="XX72">
        <v>-5</v>
      </c>
      <c r="XY72">
        <v>0</v>
      </c>
      <c r="XZ72">
        <v>0</v>
      </c>
      <c r="YA72">
        <v>0</v>
      </c>
      <c r="YB72">
        <v>0</v>
      </c>
      <c r="YC72">
        <v>0</v>
      </c>
      <c r="YD72">
        <v>0</v>
      </c>
      <c r="YE72">
        <v>0</v>
      </c>
      <c r="YF72">
        <v>0</v>
      </c>
      <c r="YG72">
        <v>0</v>
      </c>
      <c r="YH72">
        <v>0</v>
      </c>
      <c r="YI72">
        <v>0</v>
      </c>
      <c r="YJ72">
        <v>0</v>
      </c>
      <c r="YK72">
        <v>0</v>
      </c>
      <c r="YL72">
        <v>0</v>
      </c>
      <c r="YM72">
        <v>0</v>
      </c>
      <c r="YN72">
        <v>0</v>
      </c>
      <c r="YO72">
        <v>0</v>
      </c>
      <c r="YP72">
        <v>0</v>
      </c>
      <c r="YQ72">
        <v>0</v>
      </c>
      <c r="YR72">
        <v>0</v>
      </c>
      <c r="YS72">
        <v>0</v>
      </c>
      <c r="YT72">
        <v>0</v>
      </c>
      <c r="YU72">
        <v>0</v>
      </c>
      <c r="YV72">
        <v>0</v>
      </c>
      <c r="YW72">
        <v>0</v>
      </c>
      <c r="YX72">
        <v>0</v>
      </c>
      <c r="YY72">
        <v>0</v>
      </c>
      <c r="YZ72">
        <v>0</v>
      </c>
      <c r="ZA72">
        <v>0</v>
      </c>
      <c r="ZB72">
        <v>0</v>
      </c>
      <c r="ZC72">
        <v>0</v>
      </c>
      <c r="ZD72">
        <v>0</v>
      </c>
      <c r="ZE72">
        <v>0</v>
      </c>
      <c r="ZF72">
        <v>0</v>
      </c>
      <c r="ZG72">
        <v>0</v>
      </c>
      <c r="ZH72">
        <v>0</v>
      </c>
      <c r="ZI72">
        <v>0</v>
      </c>
      <c r="ZJ72">
        <v>0</v>
      </c>
      <c r="ZK72">
        <v>0</v>
      </c>
      <c r="ZL72">
        <v>0</v>
      </c>
      <c r="ZM72">
        <v>0</v>
      </c>
      <c r="ZN72">
        <v>0</v>
      </c>
      <c r="ZO72">
        <v>0</v>
      </c>
      <c r="ZP72">
        <v>0</v>
      </c>
      <c r="ZQ72">
        <v>0</v>
      </c>
      <c r="ZR72">
        <v>0</v>
      </c>
      <c r="ZS72">
        <v>0</v>
      </c>
      <c r="ZT72">
        <v>0</v>
      </c>
      <c r="ZU72">
        <v>0</v>
      </c>
      <c r="ZV72">
        <v>0</v>
      </c>
      <c r="ZW72">
        <v>0</v>
      </c>
      <c r="ZX72">
        <v>0</v>
      </c>
      <c r="ZY72">
        <v>0</v>
      </c>
      <c r="ZZ72">
        <v>0</v>
      </c>
      <c r="AAA72">
        <v>0</v>
      </c>
      <c r="AAB72">
        <v>0</v>
      </c>
      <c r="AAC72">
        <v>0</v>
      </c>
      <c r="AAD72">
        <v>0</v>
      </c>
      <c r="AAE72">
        <v>0</v>
      </c>
      <c r="AAF72">
        <v>0</v>
      </c>
      <c r="AAG72">
        <v>0</v>
      </c>
      <c r="AAH72">
        <v>0</v>
      </c>
      <c r="AAI72">
        <v>0</v>
      </c>
      <c r="AAJ72">
        <v>0</v>
      </c>
      <c r="AAK72">
        <v>0</v>
      </c>
      <c r="AAL72">
        <v>0</v>
      </c>
      <c r="AAM72">
        <v>0</v>
      </c>
      <c r="AAN72">
        <v>0</v>
      </c>
      <c r="AAO72">
        <v>0</v>
      </c>
      <c r="AAP72">
        <v>0</v>
      </c>
      <c r="AAQ72">
        <v>0</v>
      </c>
      <c r="AAR72">
        <v>0</v>
      </c>
      <c r="AAS72">
        <v>0</v>
      </c>
      <c r="AAT72">
        <v>0</v>
      </c>
      <c r="AAU72">
        <v>0</v>
      </c>
      <c r="AAV72">
        <v>0</v>
      </c>
      <c r="AAW72">
        <v>0</v>
      </c>
      <c r="AAX72">
        <v>0</v>
      </c>
      <c r="AAY72">
        <v>0</v>
      </c>
      <c r="AAZ72">
        <v>0</v>
      </c>
      <c r="ABA72">
        <v>0</v>
      </c>
      <c r="ABB72">
        <v>0</v>
      </c>
      <c r="ABC72">
        <v>0</v>
      </c>
      <c r="ABD72">
        <v>0</v>
      </c>
      <c r="ABE72">
        <v>0</v>
      </c>
      <c r="ABF72">
        <v>0</v>
      </c>
      <c r="ABG72">
        <v>0</v>
      </c>
      <c r="ABH72">
        <v>0</v>
      </c>
      <c r="ABI72">
        <v>0</v>
      </c>
      <c r="ABJ72">
        <v>0</v>
      </c>
      <c r="ABK72">
        <v>0</v>
      </c>
      <c r="ABL72">
        <v>0</v>
      </c>
      <c r="ABM72">
        <v>0</v>
      </c>
      <c r="ABN72">
        <v>0</v>
      </c>
      <c r="ABO72">
        <v>0</v>
      </c>
      <c r="ABP72">
        <v>-256.16438356164383</v>
      </c>
      <c r="ABQ72">
        <v>0</v>
      </c>
      <c r="ABR72">
        <v>0</v>
      </c>
      <c r="ABS72">
        <v>0</v>
      </c>
      <c r="ABT72">
        <v>0</v>
      </c>
      <c r="ABU72">
        <v>0</v>
      </c>
      <c r="ABV72">
        <v>0</v>
      </c>
      <c r="ABW72">
        <v>0</v>
      </c>
      <c r="ABX72">
        <v>0</v>
      </c>
      <c r="ABY72">
        <v>0</v>
      </c>
      <c r="ABZ72">
        <v>0</v>
      </c>
      <c r="ACA72">
        <v>0</v>
      </c>
      <c r="ACB72">
        <v>0</v>
      </c>
      <c r="ACC72">
        <v>0</v>
      </c>
      <c r="ACD72">
        <v>0</v>
      </c>
      <c r="ACE72">
        <v>0</v>
      </c>
      <c r="ACF72">
        <v>0</v>
      </c>
      <c r="ACG72">
        <v>0</v>
      </c>
      <c r="ACH72">
        <v>0</v>
      </c>
      <c r="ACI72">
        <v>0</v>
      </c>
      <c r="ACJ72">
        <v>0</v>
      </c>
      <c r="ACK72">
        <v>0</v>
      </c>
      <c r="ACL72">
        <v>0</v>
      </c>
      <c r="ACM72">
        <v>0</v>
      </c>
      <c r="ACN72">
        <v>0</v>
      </c>
      <c r="ACO72">
        <v>0</v>
      </c>
      <c r="ACP72">
        <v>0</v>
      </c>
      <c r="ACQ72">
        <v>0</v>
      </c>
      <c r="ACR72">
        <v>0</v>
      </c>
      <c r="ACS72">
        <v>0</v>
      </c>
      <c r="ACT72">
        <v>0</v>
      </c>
      <c r="ACU72">
        <v>0</v>
      </c>
      <c r="ACV72">
        <v>0</v>
      </c>
      <c r="ACW72">
        <v>0</v>
      </c>
      <c r="ACX72">
        <v>0</v>
      </c>
      <c r="ACY72">
        <v>0</v>
      </c>
      <c r="ACZ72">
        <v>0</v>
      </c>
      <c r="ADA72">
        <v>0</v>
      </c>
      <c r="ADB72">
        <v>0</v>
      </c>
      <c r="ADC72">
        <v>0</v>
      </c>
      <c r="ADD72">
        <v>0</v>
      </c>
      <c r="ADE72">
        <v>0</v>
      </c>
      <c r="ADF72">
        <v>0</v>
      </c>
      <c r="ADG72">
        <v>0</v>
      </c>
      <c r="ADH72">
        <v>0</v>
      </c>
      <c r="ADI72">
        <v>0</v>
      </c>
      <c r="ADJ72">
        <v>0</v>
      </c>
      <c r="ADK72">
        <v>0</v>
      </c>
      <c r="ADL72">
        <v>0</v>
      </c>
      <c r="ADM72">
        <v>0</v>
      </c>
      <c r="ADN72">
        <v>0</v>
      </c>
      <c r="ADO72">
        <v>0</v>
      </c>
      <c r="ADP72">
        <v>0</v>
      </c>
      <c r="ADQ72">
        <v>0</v>
      </c>
      <c r="ADR72">
        <v>0</v>
      </c>
      <c r="ADS72">
        <v>0</v>
      </c>
      <c r="ADT72">
        <v>0</v>
      </c>
      <c r="ADU72">
        <v>0</v>
      </c>
      <c r="ADV72">
        <v>0</v>
      </c>
      <c r="ADW72">
        <v>0</v>
      </c>
      <c r="ADX72">
        <v>0</v>
      </c>
      <c r="ADY72">
        <v>0</v>
      </c>
      <c r="ADZ72">
        <v>0</v>
      </c>
      <c r="AEA72">
        <v>0</v>
      </c>
      <c r="AEB72">
        <v>0</v>
      </c>
      <c r="AEC72">
        <v>0</v>
      </c>
      <c r="AED72">
        <v>0</v>
      </c>
      <c r="AEE72">
        <v>0</v>
      </c>
      <c r="AEF72">
        <v>0</v>
      </c>
      <c r="AEG72">
        <v>0</v>
      </c>
      <c r="AEH72">
        <v>0</v>
      </c>
      <c r="AEI72">
        <v>0</v>
      </c>
      <c r="AEJ72">
        <v>0</v>
      </c>
      <c r="AEK72">
        <v>0</v>
      </c>
      <c r="AEL72">
        <v>0</v>
      </c>
      <c r="AEM72">
        <v>0</v>
      </c>
      <c r="AEN72">
        <v>0</v>
      </c>
      <c r="AEO72">
        <v>0</v>
      </c>
      <c r="AEP72">
        <v>0</v>
      </c>
      <c r="AEQ72">
        <v>0</v>
      </c>
      <c r="AER72">
        <v>0</v>
      </c>
      <c r="AES72">
        <v>0</v>
      </c>
      <c r="AET72">
        <v>0</v>
      </c>
      <c r="AEU72">
        <v>0</v>
      </c>
      <c r="AEV72">
        <v>0</v>
      </c>
      <c r="AEW72">
        <v>0</v>
      </c>
      <c r="AEX72">
        <v>0</v>
      </c>
      <c r="AEY72">
        <v>0</v>
      </c>
      <c r="AEZ72">
        <v>0</v>
      </c>
      <c r="AFA72">
        <v>0</v>
      </c>
      <c r="AFB72">
        <v>0</v>
      </c>
      <c r="AFC72">
        <v>0</v>
      </c>
      <c r="AFD72">
        <v>0</v>
      </c>
      <c r="AFE72">
        <v>0</v>
      </c>
      <c r="AFF72">
        <v>0</v>
      </c>
      <c r="AFG72">
        <v>0</v>
      </c>
      <c r="AFH72">
        <v>-120</v>
      </c>
      <c r="AFI72">
        <v>0</v>
      </c>
      <c r="AFJ72">
        <v>0</v>
      </c>
      <c r="AFK72">
        <v>0</v>
      </c>
      <c r="AFL72">
        <v>0</v>
      </c>
      <c r="AFM72">
        <v>0</v>
      </c>
      <c r="AFN72">
        <v>0</v>
      </c>
      <c r="AFO72">
        <v>0</v>
      </c>
      <c r="AFP72">
        <v>0</v>
      </c>
      <c r="AFQ72">
        <v>0</v>
      </c>
      <c r="AFR72">
        <v>0</v>
      </c>
      <c r="AFS72">
        <v>0</v>
      </c>
      <c r="AFT72">
        <v>0</v>
      </c>
      <c r="AFU72">
        <v>0</v>
      </c>
      <c r="AFV72">
        <v>0</v>
      </c>
      <c r="AFW72">
        <v>0</v>
      </c>
      <c r="AFX72">
        <v>0</v>
      </c>
      <c r="AFY72">
        <v>0</v>
      </c>
      <c r="AFZ72">
        <v>0</v>
      </c>
      <c r="AGA72">
        <v>0</v>
      </c>
      <c r="AGB72">
        <v>0</v>
      </c>
      <c r="AGC72">
        <v>0</v>
      </c>
      <c r="AGD72">
        <v>0</v>
      </c>
      <c r="AGE72">
        <v>0</v>
      </c>
      <c r="AGF72">
        <v>0</v>
      </c>
      <c r="AGG72">
        <v>0</v>
      </c>
      <c r="AGH72">
        <v>0</v>
      </c>
      <c r="AGI72">
        <v>0</v>
      </c>
      <c r="AGJ72">
        <v>0</v>
      </c>
      <c r="AGK72">
        <v>0</v>
      </c>
      <c r="AGL72">
        <v>0</v>
      </c>
      <c r="AGM72">
        <v>0</v>
      </c>
      <c r="AGN72">
        <v>0</v>
      </c>
      <c r="AGO72">
        <v>0</v>
      </c>
      <c r="AGP72">
        <v>0</v>
      </c>
      <c r="AGQ72">
        <v>0</v>
      </c>
      <c r="AGR72">
        <v>0</v>
      </c>
      <c r="AGS72">
        <v>0</v>
      </c>
      <c r="AGT72">
        <v>0</v>
      </c>
      <c r="AGU72">
        <v>0</v>
      </c>
      <c r="AGV72">
        <v>0</v>
      </c>
      <c r="AGW72">
        <v>0</v>
      </c>
      <c r="AGX72">
        <v>0</v>
      </c>
      <c r="AGY72">
        <v>0</v>
      </c>
      <c r="AGZ72">
        <v>0</v>
      </c>
      <c r="AHA72">
        <v>0</v>
      </c>
      <c r="AHB72">
        <v>0</v>
      </c>
      <c r="AHC72">
        <v>0</v>
      </c>
      <c r="AHD72">
        <v>0</v>
      </c>
      <c r="AHE72">
        <v>0</v>
      </c>
      <c r="AHF72">
        <v>0</v>
      </c>
      <c r="AHG72">
        <v>0</v>
      </c>
      <c r="AHH72">
        <v>0</v>
      </c>
      <c r="AHI72">
        <v>0</v>
      </c>
      <c r="AHJ72">
        <v>0</v>
      </c>
      <c r="AHK72">
        <v>0</v>
      </c>
      <c r="AHL72">
        <v>0</v>
      </c>
      <c r="AHM72">
        <v>0</v>
      </c>
      <c r="AHN72">
        <v>0</v>
      </c>
      <c r="AHO72">
        <v>0</v>
      </c>
      <c r="AHP72">
        <v>0</v>
      </c>
      <c r="AHQ72">
        <v>0</v>
      </c>
      <c r="AHR72">
        <v>0</v>
      </c>
      <c r="AHS72">
        <v>0</v>
      </c>
      <c r="AHT72">
        <v>0</v>
      </c>
      <c r="AHU72">
        <v>0</v>
      </c>
      <c r="AHV72">
        <v>0</v>
      </c>
      <c r="AHW72">
        <v>0</v>
      </c>
      <c r="AHX72">
        <v>0</v>
      </c>
      <c r="AHY72">
        <v>0</v>
      </c>
      <c r="AHZ72">
        <v>0</v>
      </c>
      <c r="AIA72">
        <v>0</v>
      </c>
      <c r="AIB72">
        <v>0</v>
      </c>
      <c r="AIC72">
        <v>0</v>
      </c>
      <c r="AID72">
        <v>0</v>
      </c>
      <c r="AIE72">
        <v>0</v>
      </c>
      <c r="AIF72">
        <v>0</v>
      </c>
      <c r="AIG72">
        <v>0</v>
      </c>
      <c r="AIH72">
        <v>0</v>
      </c>
      <c r="AII72">
        <v>0</v>
      </c>
      <c r="AIJ72">
        <v>0</v>
      </c>
      <c r="AIK72">
        <v>0</v>
      </c>
      <c r="AIL72">
        <v>0</v>
      </c>
      <c r="AIM72">
        <v>0</v>
      </c>
      <c r="AIN72">
        <v>0</v>
      </c>
      <c r="AIO72">
        <v>0</v>
      </c>
      <c r="AIP72">
        <v>0</v>
      </c>
      <c r="AIQ72">
        <v>0</v>
      </c>
      <c r="AIR72">
        <v>0</v>
      </c>
      <c r="AIS72">
        <v>0</v>
      </c>
      <c r="AIT72">
        <v>0</v>
      </c>
      <c r="AIU72">
        <v>0</v>
      </c>
      <c r="AIV72">
        <v>0</v>
      </c>
      <c r="AIW72">
        <v>0</v>
      </c>
      <c r="AIX72">
        <v>0</v>
      </c>
      <c r="AIY72">
        <v>0</v>
      </c>
      <c r="AIZ72">
        <v>-4500</v>
      </c>
      <c r="AJA72">
        <v>0</v>
      </c>
      <c r="AJB72">
        <v>0</v>
      </c>
      <c r="AJC72">
        <v>0</v>
      </c>
      <c r="AJD72">
        <v>0</v>
      </c>
      <c r="AJE72">
        <v>0</v>
      </c>
      <c r="AJF72">
        <v>0</v>
      </c>
      <c r="AJG72">
        <v>0</v>
      </c>
      <c r="AJH72">
        <v>0</v>
      </c>
      <c r="AJI72">
        <v>0</v>
      </c>
      <c r="AJJ72">
        <v>0</v>
      </c>
      <c r="AJK72">
        <v>0</v>
      </c>
      <c r="AJL72">
        <v>0</v>
      </c>
      <c r="AJM72">
        <v>0</v>
      </c>
      <c r="AJN72">
        <v>0</v>
      </c>
      <c r="AJO72">
        <v>0</v>
      </c>
      <c r="AJP72">
        <v>0</v>
      </c>
      <c r="AJQ72">
        <v>0</v>
      </c>
      <c r="AJR72">
        <v>0</v>
      </c>
      <c r="AJS72">
        <v>0</v>
      </c>
      <c r="AJT72">
        <v>0</v>
      </c>
      <c r="AJU72">
        <v>0</v>
      </c>
      <c r="AJV72">
        <v>0</v>
      </c>
      <c r="AJW72">
        <v>0</v>
      </c>
      <c r="AJX72">
        <v>0</v>
      </c>
      <c r="AJY72">
        <v>0</v>
      </c>
    </row>
    <row r="73" spans="1:961" x14ac:dyDescent="0.3">
      <c r="A73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10000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5000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552.39408000000003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0</v>
      </c>
      <c r="LP73">
        <v>0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-3390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0</v>
      </c>
      <c r="OV73">
        <v>0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0</v>
      </c>
      <c r="PQ73">
        <v>0</v>
      </c>
      <c r="PR73">
        <v>0</v>
      </c>
      <c r="PS73">
        <v>0</v>
      </c>
      <c r="PT73">
        <v>0</v>
      </c>
      <c r="PU73">
        <v>0</v>
      </c>
      <c r="PV73">
        <v>0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-150</v>
      </c>
      <c r="QP73">
        <v>0</v>
      </c>
      <c r="QQ73">
        <v>0</v>
      </c>
      <c r="QR73">
        <v>0</v>
      </c>
      <c r="QS73">
        <v>0</v>
      </c>
      <c r="QT73">
        <v>0</v>
      </c>
      <c r="QU73">
        <v>0</v>
      </c>
      <c r="QV73">
        <v>0</v>
      </c>
      <c r="QW73">
        <v>0</v>
      </c>
      <c r="QX73">
        <v>0</v>
      </c>
      <c r="QY73">
        <v>0</v>
      </c>
      <c r="QZ73">
        <v>0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0</v>
      </c>
      <c r="SA73">
        <v>0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0</v>
      </c>
      <c r="TC73">
        <v>0</v>
      </c>
      <c r="TD73">
        <v>0</v>
      </c>
      <c r="TE73">
        <v>0</v>
      </c>
      <c r="TF73">
        <v>0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</v>
      </c>
      <c r="UD73">
        <v>0</v>
      </c>
      <c r="UE73">
        <v>0</v>
      </c>
      <c r="UF73">
        <v>0</v>
      </c>
      <c r="UG73">
        <v>-1000</v>
      </c>
      <c r="UH73">
        <v>0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0</v>
      </c>
      <c r="UO73">
        <v>0</v>
      </c>
      <c r="UP73">
        <v>0</v>
      </c>
      <c r="UQ73">
        <v>0</v>
      </c>
      <c r="UR73">
        <v>0</v>
      </c>
      <c r="US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0</v>
      </c>
      <c r="UZ73">
        <v>0</v>
      </c>
      <c r="VA73">
        <v>0</v>
      </c>
      <c r="VB73">
        <v>0</v>
      </c>
      <c r="VC73">
        <v>0</v>
      </c>
      <c r="VD73">
        <v>0</v>
      </c>
      <c r="VE73">
        <v>0</v>
      </c>
      <c r="VF73">
        <v>0</v>
      </c>
      <c r="VG73">
        <v>0</v>
      </c>
      <c r="VH73">
        <v>0</v>
      </c>
      <c r="VI73">
        <v>0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0</v>
      </c>
      <c r="VP73">
        <v>0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E73">
        <v>0</v>
      </c>
      <c r="WF73">
        <v>0</v>
      </c>
      <c r="WG73">
        <v>0</v>
      </c>
      <c r="WH73">
        <v>0</v>
      </c>
      <c r="WI73">
        <v>0</v>
      </c>
      <c r="WJ73">
        <v>0</v>
      </c>
      <c r="WK73">
        <v>0</v>
      </c>
      <c r="WL73">
        <v>0</v>
      </c>
      <c r="WM73">
        <v>0</v>
      </c>
      <c r="WN73">
        <v>0</v>
      </c>
      <c r="WO73">
        <v>0</v>
      </c>
      <c r="WP73">
        <v>0</v>
      </c>
      <c r="WQ73">
        <v>0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0</v>
      </c>
      <c r="XF73">
        <v>0</v>
      </c>
      <c r="XG73">
        <v>0</v>
      </c>
      <c r="XH73">
        <v>0</v>
      </c>
      <c r="XI73">
        <v>0</v>
      </c>
      <c r="XJ73">
        <v>0</v>
      </c>
      <c r="XK73">
        <v>0</v>
      </c>
      <c r="XL73">
        <v>0</v>
      </c>
      <c r="XM73">
        <v>0</v>
      </c>
      <c r="XN73">
        <v>0</v>
      </c>
      <c r="XO73">
        <v>0</v>
      </c>
      <c r="XP73">
        <v>0</v>
      </c>
      <c r="XQ73">
        <v>0</v>
      </c>
      <c r="XR73">
        <v>0</v>
      </c>
      <c r="XS73">
        <v>0</v>
      </c>
      <c r="XT73">
        <v>0</v>
      </c>
      <c r="XU73">
        <v>0</v>
      </c>
      <c r="XV73">
        <v>0</v>
      </c>
      <c r="XW73">
        <v>0</v>
      </c>
      <c r="XX73">
        <v>0</v>
      </c>
      <c r="XY73">
        <v>-5</v>
      </c>
      <c r="XZ73">
        <v>0</v>
      </c>
      <c r="YA73">
        <v>0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</v>
      </c>
      <c r="YI73">
        <v>0</v>
      </c>
      <c r="YJ73">
        <v>0</v>
      </c>
      <c r="YK73">
        <v>0</v>
      </c>
      <c r="YL73">
        <v>0</v>
      </c>
      <c r="YM73">
        <v>0</v>
      </c>
      <c r="YN73">
        <v>0</v>
      </c>
      <c r="YO73">
        <v>0</v>
      </c>
      <c r="YP73">
        <v>0</v>
      </c>
      <c r="YQ73">
        <v>0</v>
      </c>
      <c r="YR73">
        <v>0</v>
      </c>
      <c r="YS73">
        <v>0</v>
      </c>
      <c r="YT73">
        <v>0</v>
      </c>
      <c r="YU73">
        <v>0</v>
      </c>
      <c r="YV73">
        <v>0</v>
      </c>
      <c r="YW73">
        <v>0</v>
      </c>
      <c r="YX73">
        <v>0</v>
      </c>
      <c r="YY73">
        <v>0</v>
      </c>
      <c r="YZ73">
        <v>0</v>
      </c>
      <c r="ZA73">
        <v>0</v>
      </c>
      <c r="ZB73">
        <v>0</v>
      </c>
      <c r="ZC73">
        <v>0</v>
      </c>
      <c r="ZD73">
        <v>0</v>
      </c>
      <c r="ZE73">
        <v>0</v>
      </c>
      <c r="ZF73">
        <v>0</v>
      </c>
      <c r="ZG73">
        <v>0</v>
      </c>
      <c r="ZH73">
        <v>0</v>
      </c>
      <c r="ZI73">
        <v>0</v>
      </c>
      <c r="ZJ73">
        <v>0</v>
      </c>
      <c r="ZK73">
        <v>0</v>
      </c>
      <c r="ZL73">
        <v>0</v>
      </c>
      <c r="ZM73">
        <v>0</v>
      </c>
      <c r="ZN73">
        <v>0</v>
      </c>
      <c r="ZO73">
        <v>0</v>
      </c>
      <c r="ZP73">
        <v>0</v>
      </c>
      <c r="ZQ73">
        <v>0</v>
      </c>
      <c r="ZR73">
        <v>0</v>
      </c>
      <c r="ZS73">
        <v>0</v>
      </c>
      <c r="ZT73">
        <v>0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B73">
        <v>0</v>
      </c>
      <c r="AAC73">
        <v>0</v>
      </c>
      <c r="AAD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K73">
        <v>0</v>
      </c>
      <c r="AAL73">
        <v>0</v>
      </c>
      <c r="AAM73">
        <v>0</v>
      </c>
      <c r="AAN73">
        <v>0</v>
      </c>
      <c r="AAO73">
        <v>0</v>
      </c>
      <c r="AAP73">
        <v>0</v>
      </c>
      <c r="AAQ73">
        <v>0</v>
      </c>
      <c r="AAR73">
        <v>0</v>
      </c>
      <c r="AAS73">
        <v>0</v>
      </c>
      <c r="AAT73">
        <v>0</v>
      </c>
      <c r="AAU73">
        <v>0</v>
      </c>
      <c r="AAV73">
        <v>0</v>
      </c>
      <c r="AAW73">
        <v>0</v>
      </c>
      <c r="AAX73">
        <v>0</v>
      </c>
      <c r="AAY73">
        <v>0</v>
      </c>
      <c r="AAZ73">
        <v>0</v>
      </c>
      <c r="ABA73">
        <v>0</v>
      </c>
      <c r="ABB73">
        <v>0</v>
      </c>
      <c r="ABC73">
        <v>0</v>
      </c>
      <c r="ABD73">
        <v>0</v>
      </c>
      <c r="ABE73">
        <v>0</v>
      </c>
      <c r="ABF73">
        <v>0</v>
      </c>
      <c r="ABG73">
        <v>0</v>
      </c>
      <c r="ABH73">
        <v>0</v>
      </c>
      <c r="ABI73">
        <v>0</v>
      </c>
      <c r="ABJ73">
        <v>0</v>
      </c>
      <c r="ABK73">
        <v>0</v>
      </c>
      <c r="ABL73">
        <v>0</v>
      </c>
      <c r="ABM73">
        <v>0</v>
      </c>
      <c r="ABN73">
        <v>0</v>
      </c>
      <c r="ABO73">
        <v>0</v>
      </c>
      <c r="ABP73">
        <v>0</v>
      </c>
      <c r="ABQ73">
        <v>-256.16438356164383</v>
      </c>
      <c r="ABR73">
        <v>0</v>
      </c>
      <c r="ABS73">
        <v>0</v>
      </c>
      <c r="ABT73">
        <v>0</v>
      </c>
      <c r="ABU73">
        <v>0</v>
      </c>
      <c r="ABV73">
        <v>0</v>
      </c>
      <c r="ABW73">
        <v>0</v>
      </c>
      <c r="ABX73">
        <v>0</v>
      </c>
      <c r="ABY73">
        <v>0</v>
      </c>
      <c r="ABZ73">
        <v>0</v>
      </c>
      <c r="ACA73">
        <v>0</v>
      </c>
      <c r="ACB73">
        <v>0</v>
      </c>
      <c r="ACC73">
        <v>0</v>
      </c>
      <c r="ACD73">
        <v>0</v>
      </c>
      <c r="ACE73">
        <v>0</v>
      </c>
      <c r="ACF73">
        <v>0</v>
      </c>
      <c r="ACG73">
        <v>0</v>
      </c>
      <c r="ACH73">
        <v>0</v>
      </c>
      <c r="ACI73">
        <v>0</v>
      </c>
      <c r="ACJ73">
        <v>0</v>
      </c>
      <c r="ACK73">
        <v>0</v>
      </c>
      <c r="ACL73">
        <v>0</v>
      </c>
      <c r="ACM73">
        <v>0</v>
      </c>
      <c r="ACN73">
        <v>0</v>
      </c>
      <c r="ACO73">
        <v>0</v>
      </c>
      <c r="ACP73">
        <v>0</v>
      </c>
      <c r="ACQ73">
        <v>0</v>
      </c>
      <c r="ACR73">
        <v>0</v>
      </c>
      <c r="ACS73">
        <v>0</v>
      </c>
      <c r="ACT73">
        <v>0</v>
      </c>
      <c r="ACU73">
        <v>0</v>
      </c>
      <c r="ACV73">
        <v>0</v>
      </c>
      <c r="ACW73">
        <v>0</v>
      </c>
      <c r="ACX73">
        <v>0</v>
      </c>
      <c r="ACY73">
        <v>0</v>
      </c>
      <c r="ACZ73">
        <v>0</v>
      </c>
      <c r="ADA73">
        <v>0</v>
      </c>
      <c r="ADB73">
        <v>0</v>
      </c>
      <c r="ADC73">
        <v>0</v>
      </c>
      <c r="ADD73">
        <v>0</v>
      </c>
      <c r="ADE73">
        <v>0</v>
      </c>
      <c r="ADF73">
        <v>0</v>
      </c>
      <c r="ADG73">
        <v>0</v>
      </c>
      <c r="ADH73">
        <v>0</v>
      </c>
      <c r="ADI73">
        <v>0</v>
      </c>
      <c r="ADJ73">
        <v>0</v>
      </c>
      <c r="ADK73">
        <v>0</v>
      </c>
      <c r="ADL73">
        <v>0</v>
      </c>
      <c r="ADM73">
        <v>0</v>
      </c>
      <c r="ADN73">
        <v>0</v>
      </c>
      <c r="ADO73">
        <v>0</v>
      </c>
      <c r="ADP73">
        <v>0</v>
      </c>
      <c r="ADQ73">
        <v>0</v>
      </c>
      <c r="ADR73">
        <v>0</v>
      </c>
      <c r="ADS73">
        <v>0</v>
      </c>
      <c r="ADT73">
        <v>0</v>
      </c>
      <c r="ADU73">
        <v>0</v>
      </c>
      <c r="ADV73">
        <v>0</v>
      </c>
      <c r="ADW73">
        <v>0</v>
      </c>
      <c r="ADX73">
        <v>0</v>
      </c>
      <c r="ADY73">
        <v>0</v>
      </c>
      <c r="ADZ73">
        <v>0</v>
      </c>
      <c r="AEA73">
        <v>0</v>
      </c>
      <c r="AEB73">
        <v>0</v>
      </c>
      <c r="AEC73">
        <v>0</v>
      </c>
      <c r="AED73">
        <v>0</v>
      </c>
      <c r="AEE73">
        <v>0</v>
      </c>
      <c r="AEF73">
        <v>0</v>
      </c>
      <c r="AEG73">
        <v>0</v>
      </c>
      <c r="AEH73">
        <v>0</v>
      </c>
      <c r="AEI73">
        <v>0</v>
      </c>
      <c r="AEJ73">
        <v>0</v>
      </c>
      <c r="AEK73">
        <v>0</v>
      </c>
      <c r="AEL73">
        <v>0</v>
      </c>
      <c r="AEM73">
        <v>0</v>
      </c>
      <c r="AEN73">
        <v>0</v>
      </c>
      <c r="AEO73">
        <v>0</v>
      </c>
      <c r="AEP73">
        <v>0</v>
      </c>
      <c r="AEQ73">
        <v>0</v>
      </c>
      <c r="AER73">
        <v>0</v>
      </c>
      <c r="AES73">
        <v>0</v>
      </c>
      <c r="AET73">
        <v>0</v>
      </c>
      <c r="AEU73">
        <v>0</v>
      </c>
      <c r="AEV73">
        <v>0</v>
      </c>
      <c r="AEW73">
        <v>0</v>
      </c>
      <c r="AEX73">
        <v>0</v>
      </c>
      <c r="AEY73">
        <v>0</v>
      </c>
      <c r="AEZ73">
        <v>0</v>
      </c>
      <c r="AFA73">
        <v>0</v>
      </c>
      <c r="AFB73">
        <v>0</v>
      </c>
      <c r="AFC73">
        <v>0</v>
      </c>
      <c r="AFD73">
        <v>0</v>
      </c>
      <c r="AFE73">
        <v>0</v>
      </c>
      <c r="AFF73">
        <v>0</v>
      </c>
      <c r="AFG73">
        <v>0</v>
      </c>
      <c r="AFH73">
        <v>0</v>
      </c>
      <c r="AFI73">
        <v>-120</v>
      </c>
      <c r="AFJ73">
        <v>0</v>
      </c>
      <c r="AFK73">
        <v>0</v>
      </c>
      <c r="AFL73">
        <v>0</v>
      </c>
      <c r="AFM73">
        <v>0</v>
      </c>
      <c r="AFN73">
        <v>0</v>
      </c>
      <c r="AFO73">
        <v>0</v>
      </c>
      <c r="AFP73">
        <v>0</v>
      </c>
      <c r="AFQ73">
        <v>0</v>
      </c>
      <c r="AFR73">
        <v>0</v>
      </c>
      <c r="AFS73">
        <v>0</v>
      </c>
      <c r="AFT73">
        <v>0</v>
      </c>
      <c r="AFU73">
        <v>0</v>
      </c>
      <c r="AFV73">
        <v>0</v>
      </c>
      <c r="AFW73">
        <v>0</v>
      </c>
      <c r="AFX73">
        <v>0</v>
      </c>
      <c r="AFY73">
        <v>0</v>
      </c>
      <c r="AFZ73">
        <v>0</v>
      </c>
      <c r="AGA73">
        <v>0</v>
      </c>
      <c r="AGB73">
        <v>0</v>
      </c>
      <c r="AGC73">
        <v>0</v>
      </c>
      <c r="AGD73">
        <v>0</v>
      </c>
      <c r="AGE73">
        <v>0</v>
      </c>
      <c r="AGF73">
        <v>0</v>
      </c>
      <c r="AGG73">
        <v>0</v>
      </c>
      <c r="AGH73">
        <v>0</v>
      </c>
      <c r="AGI73">
        <v>0</v>
      </c>
      <c r="AGJ73">
        <v>0</v>
      </c>
      <c r="AGK73">
        <v>0</v>
      </c>
      <c r="AGL73">
        <v>0</v>
      </c>
      <c r="AGM73">
        <v>0</v>
      </c>
      <c r="AGN73">
        <v>0</v>
      </c>
      <c r="AGO73">
        <v>0</v>
      </c>
      <c r="AGP73">
        <v>0</v>
      </c>
      <c r="AGQ73">
        <v>0</v>
      </c>
      <c r="AGR73">
        <v>0</v>
      </c>
      <c r="AGS73">
        <v>0</v>
      </c>
      <c r="AGT73">
        <v>0</v>
      </c>
      <c r="AGU73">
        <v>0</v>
      </c>
      <c r="AGV73">
        <v>0</v>
      </c>
      <c r="AGW73">
        <v>0</v>
      </c>
      <c r="AGX73">
        <v>0</v>
      </c>
      <c r="AGY73">
        <v>0</v>
      </c>
      <c r="AGZ73">
        <v>0</v>
      </c>
      <c r="AHA73">
        <v>0</v>
      </c>
      <c r="AHB73">
        <v>0</v>
      </c>
      <c r="AHC73">
        <v>0</v>
      </c>
      <c r="AHD73">
        <v>0</v>
      </c>
      <c r="AHE73">
        <v>0</v>
      </c>
      <c r="AHF73">
        <v>0</v>
      </c>
      <c r="AHG73">
        <v>0</v>
      </c>
      <c r="AHH73">
        <v>0</v>
      </c>
      <c r="AHI73">
        <v>0</v>
      </c>
      <c r="AHJ73">
        <v>0</v>
      </c>
      <c r="AHK73">
        <v>0</v>
      </c>
      <c r="AHL73">
        <v>0</v>
      </c>
      <c r="AHM73">
        <v>0</v>
      </c>
      <c r="AHN73">
        <v>0</v>
      </c>
      <c r="AHO73">
        <v>0</v>
      </c>
      <c r="AHP73">
        <v>0</v>
      </c>
      <c r="AHQ73">
        <v>0</v>
      </c>
      <c r="AHR73">
        <v>0</v>
      </c>
      <c r="AHS73">
        <v>0</v>
      </c>
      <c r="AHT73">
        <v>0</v>
      </c>
      <c r="AHU73">
        <v>0</v>
      </c>
      <c r="AHV73">
        <v>0</v>
      </c>
      <c r="AHW73">
        <v>0</v>
      </c>
      <c r="AHX73">
        <v>0</v>
      </c>
      <c r="AHY73">
        <v>0</v>
      </c>
      <c r="AHZ73">
        <v>0</v>
      </c>
      <c r="AIA73">
        <v>0</v>
      </c>
      <c r="AIB73">
        <v>0</v>
      </c>
      <c r="AIC73">
        <v>0</v>
      </c>
      <c r="AID73">
        <v>0</v>
      </c>
      <c r="AIE73">
        <v>0</v>
      </c>
      <c r="AIF73">
        <v>0</v>
      </c>
      <c r="AIG73">
        <v>0</v>
      </c>
      <c r="AIH73">
        <v>0</v>
      </c>
      <c r="AII73">
        <v>0</v>
      </c>
      <c r="AIJ73">
        <v>0</v>
      </c>
      <c r="AIK73">
        <v>0</v>
      </c>
      <c r="AIL73">
        <v>0</v>
      </c>
      <c r="AIM73">
        <v>0</v>
      </c>
      <c r="AIN73">
        <v>0</v>
      </c>
      <c r="AIO73">
        <v>0</v>
      </c>
      <c r="AIP73">
        <v>0</v>
      </c>
      <c r="AIQ73">
        <v>0</v>
      </c>
      <c r="AIR73">
        <v>0</v>
      </c>
      <c r="AIS73">
        <v>0</v>
      </c>
      <c r="AIT73">
        <v>0</v>
      </c>
      <c r="AIU73">
        <v>0</v>
      </c>
      <c r="AIV73">
        <v>0</v>
      </c>
      <c r="AIW73">
        <v>0</v>
      </c>
      <c r="AIX73">
        <v>0</v>
      </c>
      <c r="AIY73">
        <v>0</v>
      </c>
      <c r="AIZ73">
        <v>0</v>
      </c>
      <c r="AJA73">
        <v>-4500</v>
      </c>
      <c r="AJB73">
        <v>0</v>
      </c>
      <c r="AJC73">
        <v>0</v>
      </c>
      <c r="AJD73">
        <v>0</v>
      </c>
      <c r="AJE73">
        <v>0</v>
      </c>
      <c r="AJF73">
        <v>0</v>
      </c>
      <c r="AJG73">
        <v>0</v>
      </c>
      <c r="AJH73">
        <v>0</v>
      </c>
      <c r="AJI73">
        <v>0</v>
      </c>
      <c r="AJJ73">
        <v>0</v>
      </c>
      <c r="AJK73">
        <v>0</v>
      </c>
      <c r="AJL73">
        <v>0</v>
      </c>
      <c r="AJM73">
        <v>0</v>
      </c>
      <c r="AJN73">
        <v>0</v>
      </c>
      <c r="AJO73">
        <v>0</v>
      </c>
      <c r="AJP73">
        <v>0</v>
      </c>
      <c r="AJQ73">
        <v>0</v>
      </c>
      <c r="AJR73">
        <v>0</v>
      </c>
      <c r="AJS73">
        <v>0</v>
      </c>
      <c r="AJT73">
        <v>0</v>
      </c>
      <c r="AJU73">
        <v>0</v>
      </c>
      <c r="AJV73">
        <v>0</v>
      </c>
      <c r="AJW73">
        <v>0</v>
      </c>
      <c r="AJX73">
        <v>0</v>
      </c>
      <c r="AJY73">
        <v>0</v>
      </c>
    </row>
    <row r="74" spans="1:961" x14ac:dyDescent="0.3">
      <c r="A74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10000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5000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0</v>
      </c>
      <c r="LF74">
        <v>0</v>
      </c>
      <c r="LG74">
        <v>0</v>
      </c>
      <c r="LH74">
        <v>0</v>
      </c>
      <c r="LI74">
        <v>0</v>
      </c>
      <c r="LJ74">
        <v>0</v>
      </c>
      <c r="LK74">
        <v>0</v>
      </c>
      <c r="LL74">
        <v>0</v>
      </c>
      <c r="LM74">
        <v>0</v>
      </c>
      <c r="LN74">
        <v>0</v>
      </c>
      <c r="LO74">
        <v>0</v>
      </c>
      <c r="LP74">
        <v>0</v>
      </c>
      <c r="LQ74">
        <v>0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0</v>
      </c>
      <c r="MW74">
        <v>0</v>
      </c>
      <c r="MX74">
        <v>-3390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0</v>
      </c>
      <c r="NN74">
        <v>0</v>
      </c>
      <c r="NO74">
        <v>0</v>
      </c>
      <c r="NP74">
        <v>0</v>
      </c>
      <c r="NQ74">
        <v>0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0</v>
      </c>
      <c r="OP74">
        <v>0</v>
      </c>
      <c r="OQ74">
        <v>0</v>
      </c>
      <c r="OR74">
        <v>0</v>
      </c>
      <c r="OS74">
        <v>0</v>
      </c>
      <c r="OT74">
        <v>0</v>
      </c>
      <c r="OU74">
        <v>0</v>
      </c>
      <c r="OV74">
        <v>0</v>
      </c>
      <c r="OW74">
        <v>0</v>
      </c>
      <c r="OX74">
        <v>0</v>
      </c>
      <c r="OY74">
        <v>0</v>
      </c>
      <c r="OZ74">
        <v>0</v>
      </c>
      <c r="PA74">
        <v>0</v>
      </c>
      <c r="PB74">
        <v>0</v>
      </c>
      <c r="PC74">
        <v>0</v>
      </c>
      <c r="PD74">
        <v>0</v>
      </c>
      <c r="PE74">
        <v>0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0</v>
      </c>
      <c r="PM74">
        <v>0</v>
      </c>
      <c r="PN74">
        <v>0</v>
      </c>
      <c r="PO74">
        <v>0</v>
      </c>
      <c r="PP74">
        <v>0</v>
      </c>
      <c r="PQ74">
        <v>0</v>
      </c>
      <c r="PR74">
        <v>0</v>
      </c>
      <c r="PS74">
        <v>0</v>
      </c>
      <c r="PT74">
        <v>0</v>
      </c>
      <c r="PU74">
        <v>0</v>
      </c>
      <c r="PV74">
        <v>0</v>
      </c>
      <c r="PW74">
        <v>0</v>
      </c>
      <c r="PX74">
        <v>0</v>
      </c>
      <c r="PY74">
        <v>0</v>
      </c>
      <c r="PZ74">
        <v>0</v>
      </c>
      <c r="QA74">
        <v>0</v>
      </c>
      <c r="QB74">
        <v>0</v>
      </c>
      <c r="QC74">
        <v>0</v>
      </c>
      <c r="QD74">
        <v>0</v>
      </c>
      <c r="QE74">
        <v>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0</v>
      </c>
      <c r="QO74">
        <v>0</v>
      </c>
      <c r="QP74">
        <v>-150</v>
      </c>
      <c r="QQ74">
        <v>0</v>
      </c>
      <c r="QR74">
        <v>0</v>
      </c>
      <c r="QS74">
        <v>0</v>
      </c>
      <c r="QT74">
        <v>0</v>
      </c>
      <c r="QU74">
        <v>0</v>
      </c>
      <c r="QV74">
        <v>0</v>
      </c>
      <c r="QW74">
        <v>0</v>
      </c>
      <c r="QX74">
        <v>0</v>
      </c>
      <c r="QY74">
        <v>0</v>
      </c>
      <c r="QZ74">
        <v>0</v>
      </c>
      <c r="RA74">
        <v>0</v>
      </c>
      <c r="RB74">
        <v>0</v>
      </c>
      <c r="RC74">
        <v>0</v>
      </c>
      <c r="RD74">
        <v>0</v>
      </c>
      <c r="RE74">
        <v>0</v>
      </c>
      <c r="RF74">
        <v>0</v>
      </c>
      <c r="RG74">
        <v>0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</v>
      </c>
      <c r="RN74">
        <v>0</v>
      </c>
      <c r="RO74">
        <v>0</v>
      </c>
      <c r="RP74">
        <v>0</v>
      </c>
      <c r="RQ74">
        <v>0</v>
      </c>
      <c r="RR74">
        <v>0</v>
      </c>
      <c r="RS74">
        <v>0</v>
      </c>
      <c r="RT74">
        <v>0</v>
      </c>
      <c r="RU74">
        <v>0</v>
      </c>
      <c r="RV74">
        <v>0</v>
      </c>
      <c r="RW74">
        <v>0</v>
      </c>
      <c r="RX74">
        <v>0</v>
      </c>
      <c r="RY74">
        <v>0</v>
      </c>
      <c r="RZ74">
        <v>0</v>
      </c>
      <c r="SA74">
        <v>0</v>
      </c>
      <c r="SB74">
        <v>0</v>
      </c>
      <c r="SC74">
        <v>0</v>
      </c>
      <c r="SD74">
        <v>0</v>
      </c>
      <c r="SE74">
        <v>0</v>
      </c>
      <c r="SF74">
        <v>0</v>
      </c>
      <c r="SG74">
        <v>0</v>
      </c>
      <c r="SH74">
        <v>0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0</v>
      </c>
      <c r="SS74">
        <v>0</v>
      </c>
      <c r="ST74">
        <v>0</v>
      </c>
      <c r="SU74">
        <v>0</v>
      </c>
      <c r="SV74">
        <v>0</v>
      </c>
      <c r="SW74">
        <v>0</v>
      </c>
      <c r="SX74">
        <v>0</v>
      </c>
      <c r="SY74">
        <v>0</v>
      </c>
      <c r="SZ74">
        <v>0</v>
      </c>
      <c r="TA74">
        <v>0</v>
      </c>
      <c r="TB74">
        <v>0</v>
      </c>
      <c r="TC74">
        <v>0</v>
      </c>
      <c r="TD74">
        <v>0</v>
      </c>
      <c r="TE74">
        <v>0</v>
      </c>
      <c r="TF74">
        <v>0</v>
      </c>
      <c r="TG74">
        <v>0</v>
      </c>
      <c r="TH74">
        <v>0</v>
      </c>
      <c r="TI74">
        <v>0</v>
      </c>
      <c r="TJ74">
        <v>0</v>
      </c>
      <c r="TK74">
        <v>0</v>
      </c>
      <c r="TL74">
        <v>0</v>
      </c>
      <c r="TM74">
        <v>0</v>
      </c>
      <c r="TN74">
        <v>0</v>
      </c>
      <c r="TO74">
        <v>0</v>
      </c>
      <c r="TP74">
        <v>0</v>
      </c>
      <c r="TQ74">
        <v>0</v>
      </c>
      <c r="TR74">
        <v>0</v>
      </c>
      <c r="TS74">
        <v>0</v>
      </c>
      <c r="TT74">
        <v>0</v>
      </c>
      <c r="TU74">
        <v>0</v>
      </c>
      <c r="TV74">
        <v>0</v>
      </c>
      <c r="TW74">
        <v>0</v>
      </c>
      <c r="TX74">
        <v>0</v>
      </c>
      <c r="TY74">
        <v>0</v>
      </c>
      <c r="TZ74">
        <v>0</v>
      </c>
      <c r="UA74">
        <v>0</v>
      </c>
      <c r="UB74">
        <v>0</v>
      </c>
      <c r="UC74">
        <v>0</v>
      </c>
      <c r="UD74">
        <v>0</v>
      </c>
      <c r="UE74">
        <v>0</v>
      </c>
      <c r="UF74">
        <v>0</v>
      </c>
      <c r="UG74">
        <v>0</v>
      </c>
      <c r="UH74">
        <v>-1000</v>
      </c>
      <c r="UI74">
        <v>0</v>
      </c>
      <c r="UJ74">
        <v>0</v>
      </c>
      <c r="UK74">
        <v>0</v>
      </c>
      <c r="UL74">
        <v>0</v>
      </c>
      <c r="UM74">
        <v>0</v>
      </c>
      <c r="UN74">
        <v>0</v>
      </c>
      <c r="UO74">
        <v>0</v>
      </c>
      <c r="UP74">
        <v>0</v>
      </c>
      <c r="UQ74">
        <v>0</v>
      </c>
      <c r="UR74">
        <v>0</v>
      </c>
      <c r="US74">
        <v>0</v>
      </c>
      <c r="UT74">
        <v>0</v>
      </c>
      <c r="UU74">
        <v>0</v>
      </c>
      <c r="UV74">
        <v>0</v>
      </c>
      <c r="UW74">
        <v>0</v>
      </c>
      <c r="UX74">
        <v>0</v>
      </c>
      <c r="UY74">
        <v>0</v>
      </c>
      <c r="UZ74">
        <v>0</v>
      </c>
      <c r="VA74">
        <v>0</v>
      </c>
      <c r="VB74">
        <v>0</v>
      </c>
      <c r="VC74">
        <v>0</v>
      </c>
      <c r="VD74">
        <v>0</v>
      </c>
      <c r="VE74">
        <v>0</v>
      </c>
      <c r="VF74">
        <v>0</v>
      </c>
      <c r="VG74">
        <v>0</v>
      </c>
      <c r="VH74">
        <v>0</v>
      </c>
      <c r="VI74">
        <v>0</v>
      </c>
      <c r="VJ74">
        <v>0</v>
      </c>
      <c r="VK74">
        <v>0</v>
      </c>
      <c r="VL74">
        <v>0</v>
      </c>
      <c r="VM74">
        <v>0</v>
      </c>
      <c r="VN74">
        <v>0</v>
      </c>
      <c r="VO74">
        <v>0</v>
      </c>
      <c r="VP74">
        <v>0</v>
      </c>
      <c r="VQ74">
        <v>0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0</v>
      </c>
      <c r="WA74">
        <v>0</v>
      </c>
      <c r="WB74">
        <v>0</v>
      </c>
      <c r="WC74">
        <v>0</v>
      </c>
      <c r="WD74">
        <v>0</v>
      </c>
      <c r="WE74">
        <v>0</v>
      </c>
      <c r="WF74">
        <v>0</v>
      </c>
      <c r="WG74">
        <v>0</v>
      </c>
      <c r="WH74">
        <v>0</v>
      </c>
      <c r="WI74">
        <v>0</v>
      </c>
      <c r="WJ74">
        <v>0</v>
      </c>
      <c r="WK74">
        <v>0</v>
      </c>
      <c r="WL74">
        <v>0</v>
      </c>
      <c r="WM74">
        <v>0</v>
      </c>
      <c r="WN74">
        <v>0</v>
      </c>
      <c r="WO74">
        <v>0</v>
      </c>
      <c r="WP74">
        <v>0</v>
      </c>
      <c r="WQ74">
        <v>0</v>
      </c>
      <c r="WR74">
        <v>0</v>
      </c>
      <c r="WS74">
        <v>0</v>
      </c>
      <c r="WT74">
        <v>0</v>
      </c>
      <c r="WU74">
        <v>0</v>
      </c>
      <c r="WV74">
        <v>0</v>
      </c>
      <c r="WW74">
        <v>0</v>
      </c>
      <c r="WX74">
        <v>0</v>
      </c>
      <c r="WY74">
        <v>0</v>
      </c>
      <c r="WZ74">
        <v>0</v>
      </c>
      <c r="XA74">
        <v>0</v>
      </c>
      <c r="XB74">
        <v>0</v>
      </c>
      <c r="XC74">
        <v>0</v>
      </c>
      <c r="XD74">
        <v>0</v>
      </c>
      <c r="XE74">
        <v>0</v>
      </c>
      <c r="XF74">
        <v>0</v>
      </c>
      <c r="XG74">
        <v>0</v>
      </c>
      <c r="XH74">
        <v>0</v>
      </c>
      <c r="XI74">
        <v>0</v>
      </c>
      <c r="XJ74">
        <v>0</v>
      </c>
      <c r="XK74">
        <v>0</v>
      </c>
      <c r="XL74">
        <v>0</v>
      </c>
      <c r="XM74">
        <v>0</v>
      </c>
      <c r="XN74">
        <v>0</v>
      </c>
      <c r="XO74">
        <v>0</v>
      </c>
      <c r="XP74">
        <v>0</v>
      </c>
      <c r="XQ74">
        <v>0</v>
      </c>
      <c r="XR74">
        <v>0</v>
      </c>
      <c r="XS74">
        <v>0</v>
      </c>
      <c r="XT74">
        <v>0</v>
      </c>
      <c r="XU74">
        <v>0</v>
      </c>
      <c r="XV74">
        <v>0</v>
      </c>
      <c r="XW74">
        <v>0</v>
      </c>
      <c r="XX74">
        <v>0</v>
      </c>
      <c r="XY74">
        <v>0</v>
      </c>
      <c r="XZ74">
        <v>-5</v>
      </c>
      <c r="YA74">
        <v>0</v>
      </c>
      <c r="YB74">
        <v>0</v>
      </c>
      <c r="YC74">
        <v>0</v>
      </c>
      <c r="YD74">
        <v>0</v>
      </c>
      <c r="YE74">
        <v>0</v>
      </c>
      <c r="YF74">
        <v>0</v>
      </c>
      <c r="YG74">
        <v>0</v>
      </c>
      <c r="YH74">
        <v>0</v>
      </c>
      <c r="YI74">
        <v>0</v>
      </c>
      <c r="YJ74">
        <v>0</v>
      </c>
      <c r="YK74">
        <v>0</v>
      </c>
      <c r="YL74">
        <v>0</v>
      </c>
      <c r="YM74">
        <v>0</v>
      </c>
      <c r="YN74">
        <v>0</v>
      </c>
      <c r="YO74">
        <v>0</v>
      </c>
      <c r="YP74">
        <v>0</v>
      </c>
      <c r="YQ74">
        <v>0</v>
      </c>
      <c r="YR74">
        <v>0</v>
      </c>
      <c r="YS74">
        <v>0</v>
      </c>
      <c r="YT74">
        <v>0</v>
      </c>
      <c r="YU74">
        <v>0</v>
      </c>
      <c r="YV74">
        <v>0</v>
      </c>
      <c r="YW74">
        <v>0</v>
      </c>
      <c r="YX74">
        <v>0</v>
      </c>
      <c r="YY74">
        <v>0</v>
      </c>
      <c r="YZ74">
        <v>0</v>
      </c>
      <c r="ZA74">
        <v>0</v>
      </c>
      <c r="ZB74">
        <v>0</v>
      </c>
      <c r="ZC74">
        <v>0</v>
      </c>
      <c r="ZD74">
        <v>0</v>
      </c>
      <c r="ZE74">
        <v>0</v>
      </c>
      <c r="ZF74">
        <v>0</v>
      </c>
      <c r="ZG74">
        <v>0</v>
      </c>
      <c r="ZH74">
        <v>0</v>
      </c>
      <c r="ZI74">
        <v>0</v>
      </c>
      <c r="ZJ74">
        <v>0</v>
      </c>
      <c r="ZK74">
        <v>0</v>
      </c>
      <c r="ZL74">
        <v>0</v>
      </c>
      <c r="ZM74">
        <v>0</v>
      </c>
      <c r="ZN74">
        <v>0</v>
      </c>
      <c r="ZO74">
        <v>0</v>
      </c>
      <c r="ZP74">
        <v>0</v>
      </c>
      <c r="ZQ74">
        <v>0</v>
      </c>
      <c r="ZR74">
        <v>0</v>
      </c>
      <c r="ZS74">
        <v>0</v>
      </c>
      <c r="ZT74">
        <v>0</v>
      </c>
      <c r="ZU74">
        <v>0</v>
      </c>
      <c r="ZV74">
        <v>0</v>
      </c>
      <c r="ZW74">
        <v>0</v>
      </c>
      <c r="ZX74">
        <v>0</v>
      </c>
      <c r="ZY74">
        <v>0</v>
      </c>
      <c r="ZZ74">
        <v>0</v>
      </c>
      <c r="AAA74">
        <v>0</v>
      </c>
      <c r="AAB74">
        <v>0</v>
      </c>
      <c r="AAC74">
        <v>0</v>
      </c>
      <c r="AAD74">
        <v>0</v>
      </c>
      <c r="AAE74">
        <v>0</v>
      </c>
      <c r="AAF74">
        <v>0</v>
      </c>
      <c r="AAG74">
        <v>0</v>
      </c>
      <c r="AAH74">
        <v>0</v>
      </c>
      <c r="AAI74">
        <v>0</v>
      </c>
      <c r="AAJ74">
        <v>0</v>
      </c>
      <c r="AAK74">
        <v>0</v>
      </c>
      <c r="AAL74">
        <v>0</v>
      </c>
      <c r="AAM74">
        <v>0</v>
      </c>
      <c r="AAN74">
        <v>0</v>
      </c>
      <c r="AAO74">
        <v>0</v>
      </c>
      <c r="AAP74">
        <v>0</v>
      </c>
      <c r="AAQ74">
        <v>0</v>
      </c>
      <c r="AAR74">
        <v>0</v>
      </c>
      <c r="AAS74">
        <v>0</v>
      </c>
      <c r="AAT74">
        <v>0</v>
      </c>
      <c r="AAU74">
        <v>0</v>
      </c>
      <c r="AAV74">
        <v>0</v>
      </c>
      <c r="AAW74">
        <v>0</v>
      </c>
      <c r="AAX74">
        <v>0</v>
      </c>
      <c r="AAY74">
        <v>0</v>
      </c>
      <c r="AAZ74">
        <v>0</v>
      </c>
      <c r="ABA74">
        <v>0</v>
      </c>
      <c r="ABB74">
        <v>0</v>
      </c>
      <c r="ABC74">
        <v>0</v>
      </c>
      <c r="ABD74">
        <v>0</v>
      </c>
      <c r="ABE74">
        <v>0</v>
      </c>
      <c r="ABF74">
        <v>0</v>
      </c>
      <c r="ABG74">
        <v>0</v>
      </c>
      <c r="ABH74">
        <v>0</v>
      </c>
      <c r="ABI74">
        <v>0</v>
      </c>
      <c r="ABJ74">
        <v>0</v>
      </c>
      <c r="ABK74">
        <v>0</v>
      </c>
      <c r="ABL74">
        <v>0</v>
      </c>
      <c r="ABM74">
        <v>0</v>
      </c>
      <c r="ABN74">
        <v>0</v>
      </c>
      <c r="ABO74">
        <v>0</v>
      </c>
      <c r="ABP74">
        <v>0</v>
      </c>
      <c r="ABQ74">
        <v>0</v>
      </c>
      <c r="ABR74">
        <v>-256.16438356164383</v>
      </c>
      <c r="ABS74">
        <v>0</v>
      </c>
      <c r="ABT74">
        <v>0</v>
      </c>
      <c r="ABU74">
        <v>0</v>
      </c>
      <c r="ABV74">
        <v>0</v>
      </c>
      <c r="ABW74">
        <v>0</v>
      </c>
      <c r="ABX74">
        <v>0</v>
      </c>
      <c r="ABY74">
        <v>0</v>
      </c>
      <c r="ABZ74">
        <v>0</v>
      </c>
      <c r="ACA74">
        <v>0</v>
      </c>
      <c r="ACB74">
        <v>0</v>
      </c>
      <c r="ACC74">
        <v>0</v>
      </c>
      <c r="ACD74">
        <v>0</v>
      </c>
      <c r="ACE74">
        <v>0</v>
      </c>
      <c r="ACF74">
        <v>0</v>
      </c>
      <c r="ACG74">
        <v>0</v>
      </c>
      <c r="ACH74">
        <v>0</v>
      </c>
      <c r="ACI74">
        <v>0</v>
      </c>
      <c r="ACJ74">
        <v>0</v>
      </c>
      <c r="ACK74">
        <v>0</v>
      </c>
      <c r="ACL74">
        <v>0</v>
      </c>
      <c r="ACM74">
        <v>0</v>
      </c>
      <c r="ACN74">
        <v>0</v>
      </c>
      <c r="ACO74">
        <v>0</v>
      </c>
      <c r="ACP74">
        <v>0</v>
      </c>
      <c r="ACQ74">
        <v>0</v>
      </c>
      <c r="ACR74">
        <v>0</v>
      </c>
      <c r="ACS74">
        <v>0</v>
      </c>
      <c r="ACT74">
        <v>0</v>
      </c>
      <c r="ACU74">
        <v>0</v>
      </c>
      <c r="ACV74">
        <v>0</v>
      </c>
      <c r="ACW74">
        <v>0</v>
      </c>
      <c r="ACX74">
        <v>0</v>
      </c>
      <c r="ACY74">
        <v>0</v>
      </c>
      <c r="ACZ74">
        <v>0</v>
      </c>
      <c r="ADA74">
        <v>0</v>
      </c>
      <c r="ADB74">
        <v>0</v>
      </c>
      <c r="ADC74">
        <v>0</v>
      </c>
      <c r="ADD74">
        <v>0</v>
      </c>
      <c r="ADE74">
        <v>0</v>
      </c>
      <c r="ADF74">
        <v>0</v>
      </c>
      <c r="ADG74">
        <v>0</v>
      </c>
      <c r="ADH74">
        <v>0</v>
      </c>
      <c r="ADI74">
        <v>0</v>
      </c>
      <c r="ADJ74">
        <v>0</v>
      </c>
      <c r="ADK74">
        <v>0</v>
      </c>
      <c r="ADL74">
        <v>0</v>
      </c>
      <c r="ADM74">
        <v>0</v>
      </c>
      <c r="ADN74">
        <v>0</v>
      </c>
      <c r="ADO74">
        <v>0</v>
      </c>
      <c r="ADP74">
        <v>0</v>
      </c>
      <c r="ADQ74">
        <v>0</v>
      </c>
      <c r="ADR74">
        <v>0</v>
      </c>
      <c r="ADS74">
        <v>0</v>
      </c>
      <c r="ADT74">
        <v>0</v>
      </c>
      <c r="ADU74">
        <v>0</v>
      </c>
      <c r="ADV74">
        <v>0</v>
      </c>
      <c r="ADW74">
        <v>0</v>
      </c>
      <c r="ADX74">
        <v>0</v>
      </c>
      <c r="ADY74">
        <v>0</v>
      </c>
      <c r="ADZ74">
        <v>0</v>
      </c>
      <c r="AEA74">
        <v>0</v>
      </c>
      <c r="AEB74">
        <v>0</v>
      </c>
      <c r="AEC74">
        <v>0</v>
      </c>
      <c r="AED74">
        <v>0</v>
      </c>
      <c r="AEE74">
        <v>0</v>
      </c>
      <c r="AEF74">
        <v>0</v>
      </c>
      <c r="AEG74">
        <v>0</v>
      </c>
      <c r="AEH74">
        <v>0</v>
      </c>
      <c r="AEI74">
        <v>0</v>
      </c>
      <c r="AEJ74">
        <v>0</v>
      </c>
      <c r="AEK74">
        <v>0</v>
      </c>
      <c r="AEL74">
        <v>0</v>
      </c>
      <c r="AEM74">
        <v>0</v>
      </c>
      <c r="AEN74">
        <v>0</v>
      </c>
      <c r="AEO74">
        <v>0</v>
      </c>
      <c r="AEP74">
        <v>0</v>
      </c>
      <c r="AEQ74">
        <v>0</v>
      </c>
      <c r="AER74">
        <v>0</v>
      </c>
      <c r="AES74">
        <v>0</v>
      </c>
      <c r="AET74">
        <v>0</v>
      </c>
      <c r="AEU74">
        <v>0</v>
      </c>
      <c r="AEV74">
        <v>0</v>
      </c>
      <c r="AEW74">
        <v>0</v>
      </c>
      <c r="AEX74">
        <v>0</v>
      </c>
      <c r="AEY74">
        <v>0</v>
      </c>
      <c r="AEZ74">
        <v>0</v>
      </c>
      <c r="AFA74">
        <v>0</v>
      </c>
      <c r="AFB74">
        <v>0</v>
      </c>
      <c r="AFC74">
        <v>0</v>
      </c>
      <c r="AFD74">
        <v>0</v>
      </c>
      <c r="AFE74">
        <v>0</v>
      </c>
      <c r="AFF74">
        <v>0</v>
      </c>
      <c r="AFG74">
        <v>0</v>
      </c>
      <c r="AFH74">
        <v>0</v>
      </c>
      <c r="AFI74">
        <v>0</v>
      </c>
      <c r="AFJ74">
        <v>-120</v>
      </c>
      <c r="AFK74">
        <v>0</v>
      </c>
      <c r="AFL74">
        <v>0</v>
      </c>
      <c r="AFM74">
        <v>0</v>
      </c>
      <c r="AFN74">
        <v>0</v>
      </c>
      <c r="AFO74">
        <v>0</v>
      </c>
      <c r="AFP74">
        <v>0</v>
      </c>
      <c r="AFQ74">
        <v>0</v>
      </c>
      <c r="AFR74">
        <v>0</v>
      </c>
      <c r="AFS74">
        <v>0</v>
      </c>
      <c r="AFT74">
        <v>0</v>
      </c>
      <c r="AFU74">
        <v>0</v>
      </c>
      <c r="AFV74">
        <v>0</v>
      </c>
      <c r="AFW74">
        <v>0</v>
      </c>
      <c r="AFX74">
        <v>0</v>
      </c>
      <c r="AFY74">
        <v>0</v>
      </c>
      <c r="AFZ74">
        <v>0</v>
      </c>
      <c r="AGA74">
        <v>0</v>
      </c>
      <c r="AGB74">
        <v>0</v>
      </c>
      <c r="AGC74">
        <v>0</v>
      </c>
      <c r="AGD74">
        <v>0</v>
      </c>
      <c r="AGE74">
        <v>0</v>
      </c>
      <c r="AGF74">
        <v>0</v>
      </c>
      <c r="AGG74">
        <v>0</v>
      </c>
      <c r="AGH74">
        <v>0</v>
      </c>
      <c r="AGI74">
        <v>0</v>
      </c>
      <c r="AGJ74">
        <v>0</v>
      </c>
      <c r="AGK74">
        <v>0</v>
      </c>
      <c r="AGL74">
        <v>0</v>
      </c>
      <c r="AGM74">
        <v>0</v>
      </c>
      <c r="AGN74">
        <v>0</v>
      </c>
      <c r="AGO74">
        <v>0</v>
      </c>
      <c r="AGP74">
        <v>0</v>
      </c>
      <c r="AGQ74">
        <v>0</v>
      </c>
      <c r="AGR74">
        <v>0</v>
      </c>
      <c r="AGS74">
        <v>0</v>
      </c>
      <c r="AGT74">
        <v>0</v>
      </c>
      <c r="AGU74">
        <v>0</v>
      </c>
      <c r="AGV74">
        <v>0</v>
      </c>
      <c r="AGW74">
        <v>0</v>
      </c>
      <c r="AGX74">
        <v>0</v>
      </c>
      <c r="AGY74">
        <v>0</v>
      </c>
      <c r="AGZ74">
        <v>0</v>
      </c>
      <c r="AHA74">
        <v>0</v>
      </c>
      <c r="AHB74">
        <v>0</v>
      </c>
      <c r="AHC74">
        <v>0</v>
      </c>
      <c r="AHD74">
        <v>0</v>
      </c>
      <c r="AHE74">
        <v>0</v>
      </c>
      <c r="AHF74">
        <v>0</v>
      </c>
      <c r="AHG74">
        <v>0</v>
      </c>
      <c r="AHH74">
        <v>0</v>
      </c>
      <c r="AHI74">
        <v>0</v>
      </c>
      <c r="AHJ74">
        <v>0</v>
      </c>
      <c r="AHK74">
        <v>0</v>
      </c>
      <c r="AHL74">
        <v>0</v>
      </c>
      <c r="AHM74">
        <v>0</v>
      </c>
      <c r="AHN74">
        <v>0</v>
      </c>
      <c r="AHO74">
        <v>0</v>
      </c>
      <c r="AHP74">
        <v>0</v>
      </c>
      <c r="AHQ74">
        <v>0</v>
      </c>
      <c r="AHR74">
        <v>0</v>
      </c>
      <c r="AHS74">
        <v>0</v>
      </c>
      <c r="AHT74">
        <v>0</v>
      </c>
      <c r="AHU74">
        <v>0</v>
      </c>
      <c r="AHV74">
        <v>0</v>
      </c>
      <c r="AHW74">
        <v>0</v>
      </c>
      <c r="AHX74">
        <v>0</v>
      </c>
      <c r="AHY74">
        <v>0</v>
      </c>
      <c r="AHZ74">
        <v>0</v>
      </c>
      <c r="AIA74">
        <v>0</v>
      </c>
      <c r="AIB74">
        <v>0</v>
      </c>
      <c r="AIC74">
        <v>0</v>
      </c>
      <c r="AID74">
        <v>0</v>
      </c>
      <c r="AIE74">
        <v>0</v>
      </c>
      <c r="AIF74">
        <v>0</v>
      </c>
      <c r="AIG74">
        <v>0</v>
      </c>
      <c r="AIH74">
        <v>0</v>
      </c>
      <c r="AII74">
        <v>0</v>
      </c>
      <c r="AIJ74">
        <v>0</v>
      </c>
      <c r="AIK74">
        <v>0</v>
      </c>
      <c r="AIL74">
        <v>0</v>
      </c>
      <c r="AIM74">
        <v>0</v>
      </c>
      <c r="AIN74">
        <v>0</v>
      </c>
      <c r="AIO74">
        <v>0</v>
      </c>
      <c r="AIP74">
        <v>0</v>
      </c>
      <c r="AIQ74">
        <v>0</v>
      </c>
      <c r="AIR74">
        <v>0</v>
      </c>
      <c r="AIS74">
        <v>0</v>
      </c>
      <c r="AIT74">
        <v>0</v>
      </c>
      <c r="AIU74">
        <v>0</v>
      </c>
      <c r="AIV74">
        <v>0</v>
      </c>
      <c r="AIW74">
        <v>0</v>
      </c>
      <c r="AIX74">
        <v>0</v>
      </c>
      <c r="AIY74">
        <v>0</v>
      </c>
      <c r="AIZ74">
        <v>0</v>
      </c>
      <c r="AJA74">
        <v>0</v>
      </c>
      <c r="AJB74">
        <v>-4500</v>
      </c>
      <c r="AJC74">
        <v>0</v>
      </c>
      <c r="AJD74">
        <v>0</v>
      </c>
      <c r="AJE74">
        <v>0</v>
      </c>
      <c r="AJF74">
        <v>0</v>
      </c>
      <c r="AJG74">
        <v>0</v>
      </c>
      <c r="AJH74">
        <v>0</v>
      </c>
      <c r="AJI74">
        <v>0</v>
      </c>
      <c r="AJJ74">
        <v>0</v>
      </c>
      <c r="AJK74">
        <v>0</v>
      </c>
      <c r="AJL74">
        <v>0</v>
      </c>
      <c r="AJM74">
        <v>0</v>
      </c>
      <c r="AJN74">
        <v>0</v>
      </c>
      <c r="AJO74">
        <v>0</v>
      </c>
      <c r="AJP74">
        <v>0</v>
      </c>
      <c r="AJQ74">
        <v>0</v>
      </c>
      <c r="AJR74">
        <v>0</v>
      </c>
      <c r="AJS74">
        <v>0</v>
      </c>
      <c r="AJT74">
        <v>0</v>
      </c>
      <c r="AJU74">
        <v>0</v>
      </c>
      <c r="AJV74">
        <v>0</v>
      </c>
      <c r="AJW74">
        <v>0</v>
      </c>
      <c r="AJX74">
        <v>0</v>
      </c>
      <c r="AJY74">
        <v>0</v>
      </c>
    </row>
    <row r="75" spans="1:961" x14ac:dyDescent="0.3">
      <c r="A75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10000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5000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KP75">
        <v>0</v>
      </c>
      <c r="KQ75">
        <v>0</v>
      </c>
      <c r="KR75">
        <v>0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0</v>
      </c>
      <c r="LJ75">
        <v>0</v>
      </c>
      <c r="LK75">
        <v>0</v>
      </c>
      <c r="LL75">
        <v>0</v>
      </c>
      <c r="LM75">
        <v>0</v>
      </c>
      <c r="LN75">
        <v>0</v>
      </c>
      <c r="LO75">
        <v>0</v>
      </c>
      <c r="LP75">
        <v>0</v>
      </c>
      <c r="LQ75">
        <v>0</v>
      </c>
      <c r="LR75">
        <v>0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0</v>
      </c>
      <c r="MR75">
        <v>0</v>
      </c>
      <c r="MS75">
        <v>0</v>
      </c>
      <c r="MT75">
        <v>0</v>
      </c>
      <c r="MU75">
        <v>0</v>
      </c>
      <c r="MV75">
        <v>0</v>
      </c>
      <c r="MW75">
        <v>0</v>
      </c>
      <c r="MX75">
        <v>0</v>
      </c>
      <c r="MY75">
        <v>-3390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  <c r="OQ75">
        <v>0</v>
      </c>
      <c r="OR75">
        <v>0</v>
      </c>
      <c r="OS75">
        <v>0</v>
      </c>
      <c r="OT75">
        <v>0</v>
      </c>
      <c r="OU75">
        <v>0</v>
      </c>
      <c r="OV75">
        <v>0</v>
      </c>
      <c r="OW75">
        <v>0</v>
      </c>
      <c r="OX75">
        <v>0</v>
      </c>
      <c r="OY75">
        <v>0</v>
      </c>
      <c r="OZ75">
        <v>0</v>
      </c>
      <c r="PA75">
        <v>0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0</v>
      </c>
      <c r="PP75">
        <v>0</v>
      </c>
      <c r="PQ75">
        <v>0</v>
      </c>
      <c r="PR75">
        <v>0</v>
      </c>
      <c r="PS75">
        <v>0</v>
      </c>
      <c r="PT75">
        <v>0</v>
      </c>
      <c r="PU75">
        <v>0</v>
      </c>
      <c r="PV75">
        <v>0</v>
      </c>
      <c r="PW75">
        <v>0</v>
      </c>
      <c r="PX75">
        <v>0</v>
      </c>
      <c r="PY75">
        <v>0</v>
      </c>
      <c r="PZ75">
        <v>0</v>
      </c>
      <c r="QA75">
        <v>0</v>
      </c>
      <c r="QB75">
        <v>0</v>
      </c>
      <c r="QC75">
        <v>0</v>
      </c>
      <c r="QD75">
        <v>0</v>
      </c>
      <c r="QE75">
        <v>0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-150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0</v>
      </c>
      <c r="QY75">
        <v>0</v>
      </c>
      <c r="QZ75">
        <v>0</v>
      </c>
      <c r="RA75">
        <v>0</v>
      </c>
      <c r="RB75">
        <v>0</v>
      </c>
      <c r="RC75">
        <v>0</v>
      </c>
      <c r="RD75">
        <v>0</v>
      </c>
      <c r="RE75">
        <v>0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</v>
      </c>
      <c r="RM75">
        <v>0</v>
      </c>
      <c r="RN75">
        <v>0</v>
      </c>
      <c r="RO75">
        <v>0</v>
      </c>
      <c r="RP75">
        <v>0</v>
      </c>
      <c r="RQ75">
        <v>0</v>
      </c>
      <c r="RR75">
        <v>0</v>
      </c>
      <c r="RS75">
        <v>0</v>
      </c>
      <c r="RT75">
        <v>0</v>
      </c>
      <c r="RU75">
        <v>0</v>
      </c>
      <c r="RV75">
        <v>0</v>
      </c>
      <c r="RW75">
        <v>0</v>
      </c>
      <c r="RX75">
        <v>0</v>
      </c>
      <c r="RY75">
        <v>0</v>
      </c>
      <c r="RZ75">
        <v>0</v>
      </c>
      <c r="SA75">
        <v>0</v>
      </c>
      <c r="SB75">
        <v>0</v>
      </c>
      <c r="SC75">
        <v>0</v>
      </c>
      <c r="SD75">
        <v>0</v>
      </c>
      <c r="SE75">
        <v>0</v>
      </c>
      <c r="SF75">
        <v>0</v>
      </c>
      <c r="SG75">
        <v>0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0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0</v>
      </c>
      <c r="TB75">
        <v>0</v>
      </c>
      <c r="TC75">
        <v>0</v>
      </c>
      <c r="TD75">
        <v>0</v>
      </c>
      <c r="TE75">
        <v>0</v>
      </c>
      <c r="TF75">
        <v>0</v>
      </c>
      <c r="TG75">
        <v>0</v>
      </c>
      <c r="TH75">
        <v>0</v>
      </c>
      <c r="TI75">
        <v>0</v>
      </c>
      <c r="TJ75">
        <v>0</v>
      </c>
      <c r="TK75">
        <v>0</v>
      </c>
      <c r="TL75">
        <v>0</v>
      </c>
      <c r="TM75">
        <v>0</v>
      </c>
      <c r="TN75">
        <v>0</v>
      </c>
      <c r="TO75">
        <v>0</v>
      </c>
      <c r="TP75">
        <v>0</v>
      </c>
      <c r="TQ75">
        <v>0</v>
      </c>
      <c r="TR75">
        <v>0</v>
      </c>
      <c r="TS75">
        <v>0</v>
      </c>
      <c r="TT75">
        <v>0</v>
      </c>
      <c r="TU75">
        <v>0</v>
      </c>
      <c r="TV75">
        <v>0</v>
      </c>
      <c r="TW75">
        <v>0</v>
      </c>
      <c r="TX75">
        <v>0</v>
      </c>
      <c r="TY75">
        <v>0</v>
      </c>
      <c r="TZ75">
        <v>0</v>
      </c>
      <c r="UA75">
        <v>0</v>
      </c>
      <c r="UB75">
        <v>0</v>
      </c>
      <c r="UC75">
        <v>0</v>
      </c>
      <c r="UD75">
        <v>0</v>
      </c>
      <c r="UE75">
        <v>0</v>
      </c>
      <c r="UF75">
        <v>0</v>
      </c>
      <c r="UG75">
        <v>0</v>
      </c>
      <c r="UH75">
        <v>0</v>
      </c>
      <c r="UI75">
        <v>-1000</v>
      </c>
      <c r="UJ75">
        <v>0</v>
      </c>
      <c r="UK75">
        <v>0</v>
      </c>
      <c r="UL75">
        <v>0</v>
      </c>
      <c r="UM75">
        <v>0</v>
      </c>
      <c r="UN75">
        <v>0</v>
      </c>
      <c r="UO75">
        <v>0</v>
      </c>
      <c r="UP75">
        <v>0</v>
      </c>
      <c r="UQ75">
        <v>0</v>
      </c>
      <c r="UR75">
        <v>0</v>
      </c>
      <c r="US75">
        <v>0</v>
      </c>
      <c r="UT75">
        <v>0</v>
      </c>
      <c r="UU75">
        <v>0</v>
      </c>
      <c r="UV75">
        <v>0</v>
      </c>
      <c r="UW75">
        <v>0</v>
      </c>
      <c r="UX75">
        <v>0</v>
      </c>
      <c r="UY75">
        <v>0</v>
      </c>
      <c r="UZ75">
        <v>0</v>
      </c>
      <c r="VA75">
        <v>0</v>
      </c>
      <c r="VB75">
        <v>0</v>
      </c>
      <c r="VC75">
        <v>0</v>
      </c>
      <c r="VD75">
        <v>0</v>
      </c>
      <c r="VE75">
        <v>0</v>
      </c>
      <c r="VF75">
        <v>0</v>
      </c>
      <c r="VG75">
        <v>0</v>
      </c>
      <c r="VH75">
        <v>0</v>
      </c>
      <c r="VI75">
        <v>0</v>
      </c>
      <c r="VJ75">
        <v>0</v>
      </c>
      <c r="VK75">
        <v>0</v>
      </c>
      <c r="VL75">
        <v>0</v>
      </c>
      <c r="VM75">
        <v>0</v>
      </c>
      <c r="VN75">
        <v>0</v>
      </c>
      <c r="VO75">
        <v>0</v>
      </c>
      <c r="VP75">
        <v>0</v>
      </c>
      <c r="VQ75">
        <v>0</v>
      </c>
      <c r="VR75">
        <v>0</v>
      </c>
      <c r="VS75">
        <v>0</v>
      </c>
      <c r="VT75">
        <v>0</v>
      </c>
      <c r="VU75">
        <v>0</v>
      </c>
      <c r="VV75">
        <v>0</v>
      </c>
      <c r="VW75">
        <v>0</v>
      </c>
      <c r="VX75">
        <v>0</v>
      </c>
      <c r="VY75">
        <v>0</v>
      </c>
      <c r="VZ75">
        <v>0</v>
      </c>
      <c r="WA75">
        <v>0</v>
      </c>
      <c r="WB75">
        <v>0</v>
      </c>
      <c r="WC75">
        <v>0</v>
      </c>
      <c r="WD75">
        <v>0</v>
      </c>
      <c r="WE75">
        <v>0</v>
      </c>
      <c r="WF75">
        <v>0</v>
      </c>
      <c r="WG75">
        <v>0</v>
      </c>
      <c r="WH75">
        <v>0</v>
      </c>
      <c r="WI75">
        <v>0</v>
      </c>
      <c r="WJ75">
        <v>0</v>
      </c>
      <c r="WK75">
        <v>0</v>
      </c>
      <c r="WL75">
        <v>0</v>
      </c>
      <c r="WM75">
        <v>0</v>
      </c>
      <c r="WN75">
        <v>0</v>
      </c>
      <c r="WO75">
        <v>0</v>
      </c>
      <c r="WP75">
        <v>0</v>
      </c>
      <c r="WQ75">
        <v>0</v>
      </c>
      <c r="WR75">
        <v>0</v>
      </c>
      <c r="WS75">
        <v>0</v>
      </c>
      <c r="WT75">
        <v>0</v>
      </c>
      <c r="WU75">
        <v>0</v>
      </c>
      <c r="WV75">
        <v>0</v>
      </c>
      <c r="WW75">
        <v>0</v>
      </c>
      <c r="WX75">
        <v>0</v>
      </c>
      <c r="WY75">
        <v>0</v>
      </c>
      <c r="WZ75">
        <v>0</v>
      </c>
      <c r="XA75">
        <v>0</v>
      </c>
      <c r="XB75">
        <v>0</v>
      </c>
      <c r="XC75">
        <v>0</v>
      </c>
      <c r="XD75">
        <v>0</v>
      </c>
      <c r="XE75">
        <v>0</v>
      </c>
      <c r="XF75">
        <v>0</v>
      </c>
      <c r="XG75">
        <v>0</v>
      </c>
      <c r="XH75">
        <v>0</v>
      </c>
      <c r="XI75">
        <v>0</v>
      </c>
      <c r="XJ75">
        <v>0</v>
      </c>
      <c r="XK75">
        <v>0</v>
      </c>
      <c r="XL75">
        <v>0</v>
      </c>
      <c r="XM75">
        <v>0</v>
      </c>
      <c r="XN75">
        <v>0</v>
      </c>
      <c r="XO75">
        <v>0</v>
      </c>
      <c r="XP75">
        <v>0</v>
      </c>
      <c r="XQ75">
        <v>0</v>
      </c>
      <c r="XR75">
        <v>0</v>
      </c>
      <c r="XS75">
        <v>0</v>
      </c>
      <c r="XT75">
        <v>0</v>
      </c>
      <c r="XU75">
        <v>0</v>
      </c>
      <c r="XV75">
        <v>0</v>
      </c>
      <c r="XW75">
        <v>0</v>
      </c>
      <c r="XX75">
        <v>0</v>
      </c>
      <c r="XY75">
        <v>0</v>
      </c>
      <c r="XZ75">
        <v>0</v>
      </c>
      <c r="YA75">
        <v>-5</v>
      </c>
      <c r="YB75">
        <v>0</v>
      </c>
      <c r="YC75">
        <v>0</v>
      </c>
      <c r="YD75">
        <v>0</v>
      </c>
      <c r="YE75">
        <v>0</v>
      </c>
      <c r="YF75">
        <v>0</v>
      </c>
      <c r="YG75">
        <v>0</v>
      </c>
      <c r="YH75">
        <v>0</v>
      </c>
      <c r="YI75">
        <v>0</v>
      </c>
      <c r="YJ75">
        <v>0</v>
      </c>
      <c r="YK75">
        <v>0</v>
      </c>
      <c r="YL75">
        <v>0</v>
      </c>
      <c r="YM75">
        <v>0</v>
      </c>
      <c r="YN75">
        <v>0</v>
      </c>
      <c r="YO75">
        <v>0</v>
      </c>
      <c r="YP75">
        <v>0</v>
      </c>
      <c r="YQ75">
        <v>0</v>
      </c>
      <c r="YR75">
        <v>0</v>
      </c>
      <c r="YS75">
        <v>0</v>
      </c>
      <c r="YT75">
        <v>0</v>
      </c>
      <c r="YU75">
        <v>0</v>
      </c>
      <c r="YV75">
        <v>0</v>
      </c>
      <c r="YW75">
        <v>0</v>
      </c>
      <c r="YX75">
        <v>0</v>
      </c>
      <c r="YY75">
        <v>0</v>
      </c>
      <c r="YZ75">
        <v>0</v>
      </c>
      <c r="ZA75">
        <v>0</v>
      </c>
      <c r="ZB75">
        <v>0</v>
      </c>
      <c r="ZC75">
        <v>0</v>
      </c>
      <c r="ZD75">
        <v>0</v>
      </c>
      <c r="ZE75">
        <v>0</v>
      </c>
      <c r="ZF75">
        <v>0</v>
      </c>
      <c r="ZG75">
        <v>0</v>
      </c>
      <c r="ZH75">
        <v>0</v>
      </c>
      <c r="ZI75">
        <v>0</v>
      </c>
      <c r="ZJ75">
        <v>0</v>
      </c>
      <c r="ZK75">
        <v>0</v>
      </c>
      <c r="ZL75">
        <v>0</v>
      </c>
      <c r="ZM75">
        <v>0</v>
      </c>
      <c r="ZN75">
        <v>0</v>
      </c>
      <c r="ZO75">
        <v>0</v>
      </c>
      <c r="ZP75">
        <v>0</v>
      </c>
      <c r="ZQ75">
        <v>0</v>
      </c>
      <c r="ZR75">
        <v>0</v>
      </c>
      <c r="ZS75">
        <v>0</v>
      </c>
      <c r="ZT75">
        <v>0</v>
      </c>
      <c r="ZU75">
        <v>0</v>
      </c>
      <c r="ZV75">
        <v>0</v>
      </c>
      <c r="ZW75">
        <v>0</v>
      </c>
      <c r="ZX75">
        <v>0</v>
      </c>
      <c r="ZY75">
        <v>0</v>
      </c>
      <c r="ZZ75">
        <v>0</v>
      </c>
      <c r="AAA75">
        <v>0</v>
      </c>
      <c r="AAB75">
        <v>0</v>
      </c>
      <c r="AAC75">
        <v>0</v>
      </c>
      <c r="AAD75">
        <v>0</v>
      </c>
      <c r="AAE75">
        <v>0</v>
      </c>
      <c r="AAF75">
        <v>0</v>
      </c>
      <c r="AAG75">
        <v>0</v>
      </c>
      <c r="AAH75">
        <v>0</v>
      </c>
      <c r="AAI75">
        <v>0</v>
      </c>
      <c r="AAJ75">
        <v>0</v>
      </c>
      <c r="AAK75">
        <v>0</v>
      </c>
      <c r="AAL75">
        <v>0</v>
      </c>
      <c r="AAM75">
        <v>0</v>
      </c>
      <c r="AAN75">
        <v>0</v>
      </c>
      <c r="AAO75">
        <v>0</v>
      </c>
      <c r="AAP75">
        <v>0</v>
      </c>
      <c r="AAQ75">
        <v>0</v>
      </c>
      <c r="AAR75">
        <v>0</v>
      </c>
      <c r="AAS75">
        <v>0</v>
      </c>
      <c r="AAT75">
        <v>0</v>
      </c>
      <c r="AAU75">
        <v>0</v>
      </c>
      <c r="AAV75">
        <v>0</v>
      </c>
      <c r="AAW75">
        <v>0</v>
      </c>
      <c r="AAX75">
        <v>0</v>
      </c>
      <c r="AAY75">
        <v>0</v>
      </c>
      <c r="AAZ75">
        <v>0</v>
      </c>
      <c r="ABA75">
        <v>0</v>
      </c>
      <c r="ABB75">
        <v>0</v>
      </c>
      <c r="ABC75">
        <v>0</v>
      </c>
      <c r="ABD75">
        <v>0</v>
      </c>
      <c r="ABE75">
        <v>0</v>
      </c>
      <c r="ABF75">
        <v>0</v>
      </c>
      <c r="ABG75">
        <v>0</v>
      </c>
      <c r="ABH75">
        <v>0</v>
      </c>
      <c r="ABI75">
        <v>0</v>
      </c>
      <c r="ABJ75">
        <v>0</v>
      </c>
      <c r="ABK75">
        <v>0</v>
      </c>
      <c r="ABL75">
        <v>0</v>
      </c>
      <c r="ABM75">
        <v>0</v>
      </c>
      <c r="ABN75">
        <v>0</v>
      </c>
      <c r="ABO75">
        <v>0</v>
      </c>
      <c r="ABP75">
        <v>0</v>
      </c>
      <c r="ABQ75">
        <v>0</v>
      </c>
      <c r="ABR75">
        <v>0</v>
      </c>
      <c r="ABS75">
        <v>-256.16438356164383</v>
      </c>
      <c r="ABT75">
        <v>0</v>
      </c>
      <c r="ABU75">
        <v>0</v>
      </c>
      <c r="ABV75">
        <v>0</v>
      </c>
      <c r="ABW75">
        <v>0</v>
      </c>
      <c r="ABX75">
        <v>0</v>
      </c>
      <c r="ABY75">
        <v>0</v>
      </c>
      <c r="ABZ75">
        <v>0</v>
      </c>
      <c r="ACA75">
        <v>0</v>
      </c>
      <c r="ACB75">
        <v>0</v>
      </c>
      <c r="ACC75">
        <v>0</v>
      </c>
      <c r="ACD75">
        <v>0</v>
      </c>
      <c r="ACE75">
        <v>0</v>
      </c>
      <c r="ACF75">
        <v>0</v>
      </c>
      <c r="ACG75">
        <v>0</v>
      </c>
      <c r="ACH75">
        <v>0</v>
      </c>
      <c r="ACI75">
        <v>0</v>
      </c>
      <c r="ACJ75">
        <v>0</v>
      </c>
      <c r="ACK75">
        <v>0</v>
      </c>
      <c r="ACL75">
        <v>0</v>
      </c>
      <c r="ACM75">
        <v>0</v>
      </c>
      <c r="ACN75">
        <v>0</v>
      </c>
      <c r="ACO75">
        <v>0</v>
      </c>
      <c r="ACP75">
        <v>0</v>
      </c>
      <c r="ACQ75">
        <v>0</v>
      </c>
      <c r="ACR75">
        <v>0</v>
      </c>
      <c r="ACS75">
        <v>0</v>
      </c>
      <c r="ACT75">
        <v>0</v>
      </c>
      <c r="ACU75">
        <v>0</v>
      </c>
      <c r="ACV75">
        <v>0</v>
      </c>
      <c r="ACW75">
        <v>0</v>
      </c>
      <c r="ACX75">
        <v>0</v>
      </c>
      <c r="ACY75">
        <v>0</v>
      </c>
      <c r="ACZ75">
        <v>0</v>
      </c>
      <c r="ADA75">
        <v>0</v>
      </c>
      <c r="ADB75">
        <v>0</v>
      </c>
      <c r="ADC75">
        <v>0</v>
      </c>
      <c r="ADD75">
        <v>0</v>
      </c>
      <c r="ADE75">
        <v>0</v>
      </c>
      <c r="ADF75">
        <v>0</v>
      </c>
      <c r="ADG75">
        <v>0</v>
      </c>
      <c r="ADH75">
        <v>0</v>
      </c>
      <c r="ADI75">
        <v>0</v>
      </c>
      <c r="ADJ75">
        <v>0</v>
      </c>
      <c r="ADK75">
        <v>0</v>
      </c>
      <c r="ADL75">
        <v>0</v>
      </c>
      <c r="ADM75">
        <v>0</v>
      </c>
      <c r="ADN75">
        <v>0</v>
      </c>
      <c r="ADO75">
        <v>0</v>
      </c>
      <c r="ADP75">
        <v>0</v>
      </c>
      <c r="ADQ75">
        <v>0</v>
      </c>
      <c r="ADR75">
        <v>0</v>
      </c>
      <c r="ADS75">
        <v>0</v>
      </c>
      <c r="ADT75">
        <v>0</v>
      </c>
      <c r="ADU75">
        <v>0</v>
      </c>
      <c r="ADV75">
        <v>0</v>
      </c>
      <c r="ADW75">
        <v>0</v>
      </c>
      <c r="ADX75">
        <v>0</v>
      </c>
      <c r="ADY75">
        <v>0</v>
      </c>
      <c r="ADZ75">
        <v>0</v>
      </c>
      <c r="AEA75">
        <v>0</v>
      </c>
      <c r="AEB75">
        <v>0</v>
      </c>
      <c r="AEC75">
        <v>0</v>
      </c>
      <c r="AED75">
        <v>0</v>
      </c>
      <c r="AEE75">
        <v>0</v>
      </c>
      <c r="AEF75">
        <v>0</v>
      </c>
      <c r="AEG75">
        <v>0</v>
      </c>
      <c r="AEH75">
        <v>0</v>
      </c>
      <c r="AEI75">
        <v>0</v>
      </c>
      <c r="AEJ75">
        <v>0</v>
      </c>
      <c r="AEK75">
        <v>0</v>
      </c>
      <c r="AEL75">
        <v>0</v>
      </c>
      <c r="AEM75">
        <v>0</v>
      </c>
      <c r="AEN75">
        <v>0</v>
      </c>
      <c r="AEO75">
        <v>0</v>
      </c>
      <c r="AEP75">
        <v>0</v>
      </c>
      <c r="AEQ75">
        <v>0</v>
      </c>
      <c r="AER75">
        <v>0</v>
      </c>
      <c r="AES75">
        <v>0</v>
      </c>
      <c r="AET75">
        <v>0</v>
      </c>
      <c r="AEU75">
        <v>0</v>
      </c>
      <c r="AEV75">
        <v>0</v>
      </c>
      <c r="AEW75">
        <v>0</v>
      </c>
      <c r="AEX75">
        <v>0</v>
      </c>
      <c r="AEY75">
        <v>0</v>
      </c>
      <c r="AEZ75">
        <v>0</v>
      </c>
      <c r="AFA75">
        <v>0</v>
      </c>
      <c r="AFB75">
        <v>0</v>
      </c>
      <c r="AFC75">
        <v>0</v>
      </c>
      <c r="AFD75">
        <v>0</v>
      </c>
      <c r="AFE75">
        <v>0</v>
      </c>
      <c r="AFF75">
        <v>0</v>
      </c>
      <c r="AFG75">
        <v>0</v>
      </c>
      <c r="AFH75">
        <v>0</v>
      </c>
      <c r="AFI75">
        <v>0</v>
      </c>
      <c r="AFJ75">
        <v>0</v>
      </c>
      <c r="AFK75">
        <v>-120</v>
      </c>
      <c r="AFL75">
        <v>0</v>
      </c>
      <c r="AFM75">
        <v>0</v>
      </c>
      <c r="AFN75">
        <v>0</v>
      </c>
      <c r="AFO75">
        <v>0</v>
      </c>
      <c r="AFP75">
        <v>0</v>
      </c>
      <c r="AFQ75">
        <v>0</v>
      </c>
      <c r="AFR75">
        <v>0</v>
      </c>
      <c r="AFS75">
        <v>0</v>
      </c>
      <c r="AFT75">
        <v>0</v>
      </c>
      <c r="AFU75">
        <v>0</v>
      </c>
      <c r="AFV75">
        <v>0</v>
      </c>
      <c r="AFW75">
        <v>0</v>
      </c>
      <c r="AFX75">
        <v>0</v>
      </c>
      <c r="AFY75">
        <v>0</v>
      </c>
      <c r="AFZ75">
        <v>0</v>
      </c>
      <c r="AGA75">
        <v>0</v>
      </c>
      <c r="AGB75">
        <v>0</v>
      </c>
      <c r="AGC75">
        <v>0</v>
      </c>
      <c r="AGD75">
        <v>0</v>
      </c>
      <c r="AGE75">
        <v>0</v>
      </c>
      <c r="AGF75">
        <v>0</v>
      </c>
      <c r="AGG75">
        <v>0</v>
      </c>
      <c r="AGH75">
        <v>0</v>
      </c>
      <c r="AGI75">
        <v>0</v>
      </c>
      <c r="AGJ75">
        <v>0</v>
      </c>
      <c r="AGK75">
        <v>0</v>
      </c>
      <c r="AGL75">
        <v>0</v>
      </c>
      <c r="AGM75">
        <v>0</v>
      </c>
      <c r="AGN75">
        <v>0</v>
      </c>
      <c r="AGO75">
        <v>0</v>
      </c>
      <c r="AGP75">
        <v>0</v>
      </c>
      <c r="AGQ75">
        <v>0</v>
      </c>
      <c r="AGR75">
        <v>0</v>
      </c>
      <c r="AGS75">
        <v>0</v>
      </c>
      <c r="AGT75">
        <v>0</v>
      </c>
      <c r="AGU75">
        <v>0</v>
      </c>
      <c r="AGV75">
        <v>0</v>
      </c>
      <c r="AGW75">
        <v>0</v>
      </c>
      <c r="AGX75">
        <v>0</v>
      </c>
      <c r="AGY75">
        <v>0</v>
      </c>
      <c r="AGZ75">
        <v>0</v>
      </c>
      <c r="AHA75">
        <v>0</v>
      </c>
      <c r="AHB75">
        <v>0</v>
      </c>
      <c r="AHC75">
        <v>0</v>
      </c>
      <c r="AHD75">
        <v>0</v>
      </c>
      <c r="AHE75">
        <v>0</v>
      </c>
      <c r="AHF75">
        <v>0</v>
      </c>
      <c r="AHG75">
        <v>0</v>
      </c>
      <c r="AHH75">
        <v>0</v>
      </c>
      <c r="AHI75">
        <v>0</v>
      </c>
      <c r="AHJ75">
        <v>0</v>
      </c>
      <c r="AHK75">
        <v>0</v>
      </c>
      <c r="AHL75">
        <v>0</v>
      </c>
      <c r="AHM75">
        <v>0</v>
      </c>
      <c r="AHN75">
        <v>0</v>
      </c>
      <c r="AHO75">
        <v>0</v>
      </c>
      <c r="AHP75">
        <v>0</v>
      </c>
      <c r="AHQ75">
        <v>0</v>
      </c>
      <c r="AHR75">
        <v>0</v>
      </c>
      <c r="AHS75">
        <v>0</v>
      </c>
      <c r="AHT75">
        <v>0</v>
      </c>
      <c r="AHU75">
        <v>0</v>
      </c>
      <c r="AHV75">
        <v>0</v>
      </c>
      <c r="AHW75">
        <v>0</v>
      </c>
      <c r="AHX75">
        <v>0</v>
      </c>
      <c r="AHY75">
        <v>0</v>
      </c>
      <c r="AHZ75">
        <v>0</v>
      </c>
      <c r="AIA75">
        <v>0</v>
      </c>
      <c r="AIB75">
        <v>0</v>
      </c>
      <c r="AIC75">
        <v>0</v>
      </c>
      <c r="AID75">
        <v>0</v>
      </c>
      <c r="AIE75">
        <v>0</v>
      </c>
      <c r="AIF75">
        <v>0</v>
      </c>
      <c r="AIG75">
        <v>0</v>
      </c>
      <c r="AIH75">
        <v>0</v>
      </c>
      <c r="AII75">
        <v>0</v>
      </c>
      <c r="AIJ75">
        <v>0</v>
      </c>
      <c r="AIK75">
        <v>0</v>
      </c>
      <c r="AIL75">
        <v>0</v>
      </c>
      <c r="AIM75">
        <v>0</v>
      </c>
      <c r="AIN75">
        <v>0</v>
      </c>
      <c r="AIO75">
        <v>0</v>
      </c>
      <c r="AIP75">
        <v>0</v>
      </c>
      <c r="AIQ75">
        <v>0</v>
      </c>
      <c r="AIR75">
        <v>0</v>
      </c>
      <c r="AIS75">
        <v>0</v>
      </c>
      <c r="AIT75">
        <v>0</v>
      </c>
      <c r="AIU75">
        <v>0</v>
      </c>
      <c r="AIV75">
        <v>0</v>
      </c>
      <c r="AIW75">
        <v>0</v>
      </c>
      <c r="AIX75">
        <v>0</v>
      </c>
      <c r="AIY75">
        <v>0</v>
      </c>
      <c r="AIZ75">
        <v>0</v>
      </c>
      <c r="AJA75">
        <v>0</v>
      </c>
      <c r="AJB75">
        <v>0</v>
      </c>
      <c r="AJC75">
        <v>-4500</v>
      </c>
      <c r="AJD75">
        <v>0</v>
      </c>
      <c r="AJE75">
        <v>0</v>
      </c>
      <c r="AJF75">
        <v>0</v>
      </c>
      <c r="AJG75">
        <v>0</v>
      </c>
      <c r="AJH75">
        <v>0</v>
      </c>
      <c r="AJI75">
        <v>0</v>
      </c>
      <c r="AJJ75">
        <v>0</v>
      </c>
      <c r="AJK75">
        <v>0</v>
      </c>
      <c r="AJL75">
        <v>0</v>
      </c>
      <c r="AJM75">
        <v>0</v>
      </c>
      <c r="AJN75">
        <v>0</v>
      </c>
      <c r="AJO75">
        <v>0</v>
      </c>
      <c r="AJP75">
        <v>0</v>
      </c>
      <c r="AJQ75">
        <v>0</v>
      </c>
      <c r="AJR75">
        <v>0</v>
      </c>
      <c r="AJS75">
        <v>0</v>
      </c>
      <c r="AJT75">
        <v>0</v>
      </c>
      <c r="AJU75">
        <v>0</v>
      </c>
      <c r="AJV75">
        <v>0</v>
      </c>
      <c r="AJW75">
        <v>0</v>
      </c>
      <c r="AJX75">
        <v>0</v>
      </c>
      <c r="AJY75">
        <v>0</v>
      </c>
    </row>
    <row r="76" spans="1:961" x14ac:dyDescent="0.3">
      <c r="A76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10000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5000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  <c r="KP76">
        <v>0</v>
      </c>
      <c r="KQ76">
        <v>0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0</v>
      </c>
      <c r="LJ76">
        <v>0</v>
      </c>
      <c r="LK76">
        <v>0</v>
      </c>
      <c r="LL76">
        <v>0</v>
      </c>
      <c r="LM76">
        <v>0</v>
      </c>
      <c r="LN76">
        <v>0</v>
      </c>
      <c r="LO76">
        <v>0</v>
      </c>
      <c r="LP76">
        <v>0</v>
      </c>
      <c r="LQ76">
        <v>0</v>
      </c>
      <c r="LR76">
        <v>0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-3390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0</v>
      </c>
      <c r="NO76">
        <v>0</v>
      </c>
      <c r="NP76">
        <v>0</v>
      </c>
      <c r="NQ76">
        <v>0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0</v>
      </c>
      <c r="OP76">
        <v>0</v>
      </c>
      <c r="OQ76">
        <v>0</v>
      </c>
      <c r="OR76">
        <v>0</v>
      </c>
      <c r="OS76">
        <v>0</v>
      </c>
      <c r="OT76">
        <v>0</v>
      </c>
      <c r="OU76">
        <v>0</v>
      </c>
      <c r="OV76">
        <v>0</v>
      </c>
      <c r="OW76">
        <v>0</v>
      </c>
      <c r="OX76">
        <v>0</v>
      </c>
      <c r="OY76">
        <v>0</v>
      </c>
      <c r="OZ76">
        <v>0</v>
      </c>
      <c r="PA76">
        <v>0</v>
      </c>
      <c r="PB76">
        <v>0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</v>
      </c>
      <c r="PO76">
        <v>0</v>
      </c>
      <c r="PP76">
        <v>0</v>
      </c>
      <c r="PQ76">
        <v>0</v>
      </c>
      <c r="PR76">
        <v>0</v>
      </c>
      <c r="PS76">
        <v>0</v>
      </c>
      <c r="PT76">
        <v>0</v>
      </c>
      <c r="PU76">
        <v>0</v>
      </c>
      <c r="PV76">
        <v>0</v>
      </c>
      <c r="PW76">
        <v>0</v>
      </c>
      <c r="PX76">
        <v>0</v>
      </c>
      <c r="PY76">
        <v>0</v>
      </c>
      <c r="PZ76">
        <v>0</v>
      </c>
      <c r="QA76">
        <v>0</v>
      </c>
      <c r="QB76">
        <v>0</v>
      </c>
      <c r="QC76">
        <v>0</v>
      </c>
      <c r="QD76">
        <v>0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-150</v>
      </c>
      <c r="QS76">
        <v>0</v>
      </c>
      <c r="QT76">
        <v>0</v>
      </c>
      <c r="QU76">
        <v>0</v>
      </c>
      <c r="QV76">
        <v>0</v>
      </c>
      <c r="QW76">
        <v>0</v>
      </c>
      <c r="QX76">
        <v>0</v>
      </c>
      <c r="QY76">
        <v>0</v>
      </c>
      <c r="QZ76">
        <v>0</v>
      </c>
      <c r="RA76">
        <v>0</v>
      </c>
      <c r="RB76">
        <v>0</v>
      </c>
      <c r="RC76">
        <v>0</v>
      </c>
      <c r="RD76">
        <v>0</v>
      </c>
      <c r="RE76">
        <v>0</v>
      </c>
      <c r="RF76">
        <v>0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</v>
      </c>
      <c r="RN76">
        <v>0</v>
      </c>
      <c r="RO76">
        <v>0</v>
      </c>
      <c r="RP76">
        <v>0</v>
      </c>
      <c r="RQ76">
        <v>0</v>
      </c>
      <c r="RR76">
        <v>0</v>
      </c>
      <c r="RS76">
        <v>0</v>
      </c>
      <c r="RT76">
        <v>0</v>
      </c>
      <c r="RU76">
        <v>0</v>
      </c>
      <c r="RV76">
        <v>0</v>
      </c>
      <c r="RW76">
        <v>0</v>
      </c>
      <c r="RX76">
        <v>0</v>
      </c>
      <c r="RY76">
        <v>0</v>
      </c>
      <c r="RZ76">
        <v>0</v>
      </c>
      <c r="SA76">
        <v>0</v>
      </c>
      <c r="SB76">
        <v>0</v>
      </c>
      <c r="SC76">
        <v>0</v>
      </c>
      <c r="SD76">
        <v>0</v>
      </c>
      <c r="SE76">
        <v>0</v>
      </c>
      <c r="SF76">
        <v>0</v>
      </c>
      <c r="SG76">
        <v>0</v>
      </c>
      <c r="SH76">
        <v>0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</v>
      </c>
      <c r="SQ76">
        <v>0</v>
      </c>
      <c r="SR76">
        <v>0</v>
      </c>
      <c r="SS76">
        <v>0</v>
      </c>
      <c r="ST76">
        <v>0</v>
      </c>
      <c r="SU76">
        <v>0</v>
      </c>
      <c r="SV76">
        <v>0</v>
      </c>
      <c r="SW76">
        <v>0</v>
      </c>
      <c r="SX76">
        <v>0</v>
      </c>
      <c r="SY76">
        <v>0</v>
      </c>
      <c r="SZ76">
        <v>0</v>
      </c>
      <c r="TA76">
        <v>0</v>
      </c>
      <c r="TB76">
        <v>0</v>
      </c>
      <c r="TC76">
        <v>0</v>
      </c>
      <c r="TD76">
        <v>0</v>
      </c>
      <c r="TE76">
        <v>0</v>
      </c>
      <c r="TF76">
        <v>0</v>
      </c>
      <c r="TG76">
        <v>0</v>
      </c>
      <c r="TH76">
        <v>0</v>
      </c>
      <c r="TI76">
        <v>0</v>
      </c>
      <c r="TJ76">
        <v>0</v>
      </c>
      <c r="TK76">
        <v>0</v>
      </c>
      <c r="TL76">
        <v>0</v>
      </c>
      <c r="TM76">
        <v>0</v>
      </c>
      <c r="TN76">
        <v>0</v>
      </c>
      <c r="TO76">
        <v>0</v>
      </c>
      <c r="TP76">
        <v>0</v>
      </c>
      <c r="TQ76">
        <v>0</v>
      </c>
      <c r="TR76">
        <v>0</v>
      </c>
      <c r="TS76">
        <v>0</v>
      </c>
      <c r="TT76">
        <v>0</v>
      </c>
      <c r="TU76">
        <v>0</v>
      </c>
      <c r="TV76">
        <v>0</v>
      </c>
      <c r="TW76">
        <v>0</v>
      </c>
      <c r="TX76">
        <v>0</v>
      </c>
      <c r="TY76">
        <v>0</v>
      </c>
      <c r="TZ76">
        <v>0</v>
      </c>
      <c r="UA76">
        <v>0</v>
      </c>
      <c r="UB76">
        <v>0</v>
      </c>
      <c r="UC76">
        <v>0</v>
      </c>
      <c r="UD76">
        <v>0</v>
      </c>
      <c r="UE76">
        <v>0</v>
      </c>
      <c r="UF76">
        <v>0</v>
      </c>
      <c r="UG76">
        <v>0</v>
      </c>
      <c r="UH76">
        <v>0</v>
      </c>
      <c r="UI76">
        <v>0</v>
      </c>
      <c r="UJ76">
        <v>-1000</v>
      </c>
      <c r="UK76">
        <v>0</v>
      </c>
      <c r="UL76">
        <v>0</v>
      </c>
      <c r="UM76">
        <v>0</v>
      </c>
      <c r="UN76">
        <v>0</v>
      </c>
      <c r="UO76">
        <v>0</v>
      </c>
      <c r="UP76">
        <v>0</v>
      </c>
      <c r="UQ76">
        <v>0</v>
      </c>
      <c r="UR76">
        <v>0</v>
      </c>
      <c r="US76">
        <v>0</v>
      </c>
      <c r="UT76">
        <v>0</v>
      </c>
      <c r="UU76">
        <v>0</v>
      </c>
      <c r="UV76">
        <v>0</v>
      </c>
      <c r="UW76">
        <v>0</v>
      </c>
      <c r="UX76">
        <v>0</v>
      </c>
      <c r="UY76">
        <v>0</v>
      </c>
      <c r="UZ76">
        <v>0</v>
      </c>
      <c r="VA76">
        <v>0</v>
      </c>
      <c r="VB76">
        <v>0</v>
      </c>
      <c r="VC76">
        <v>0</v>
      </c>
      <c r="VD76">
        <v>0</v>
      </c>
      <c r="VE76">
        <v>0</v>
      </c>
      <c r="VF76">
        <v>0</v>
      </c>
      <c r="VG76">
        <v>0</v>
      </c>
      <c r="VH76">
        <v>0</v>
      </c>
      <c r="VI76">
        <v>0</v>
      </c>
      <c r="VJ76">
        <v>0</v>
      </c>
      <c r="VK76">
        <v>0</v>
      </c>
      <c r="VL76">
        <v>0</v>
      </c>
      <c r="VM76">
        <v>0</v>
      </c>
      <c r="VN76">
        <v>0</v>
      </c>
      <c r="VO76">
        <v>0</v>
      </c>
      <c r="VP76">
        <v>0</v>
      </c>
      <c r="VQ76">
        <v>0</v>
      </c>
      <c r="VR76">
        <v>0</v>
      </c>
      <c r="VS76">
        <v>0</v>
      </c>
      <c r="VT76">
        <v>0</v>
      </c>
      <c r="VU76">
        <v>0</v>
      </c>
      <c r="VV76">
        <v>0</v>
      </c>
      <c r="VW76">
        <v>0</v>
      </c>
      <c r="VX76">
        <v>0</v>
      </c>
      <c r="VY76">
        <v>0</v>
      </c>
      <c r="VZ76">
        <v>0</v>
      </c>
      <c r="WA76">
        <v>0</v>
      </c>
      <c r="WB76">
        <v>0</v>
      </c>
      <c r="WC76">
        <v>0</v>
      </c>
      <c r="WD76">
        <v>0</v>
      </c>
      <c r="WE76">
        <v>0</v>
      </c>
      <c r="WF76">
        <v>0</v>
      </c>
      <c r="WG76">
        <v>0</v>
      </c>
      <c r="WH76">
        <v>0</v>
      </c>
      <c r="WI76">
        <v>0</v>
      </c>
      <c r="WJ76">
        <v>0</v>
      </c>
      <c r="WK76">
        <v>0</v>
      </c>
      <c r="WL76">
        <v>0</v>
      </c>
      <c r="WM76">
        <v>0</v>
      </c>
      <c r="WN76">
        <v>0</v>
      </c>
      <c r="WO76">
        <v>0</v>
      </c>
      <c r="WP76">
        <v>0</v>
      </c>
      <c r="WQ76">
        <v>0</v>
      </c>
      <c r="WR76">
        <v>0</v>
      </c>
      <c r="WS76">
        <v>0</v>
      </c>
      <c r="WT76">
        <v>0</v>
      </c>
      <c r="WU76">
        <v>0</v>
      </c>
      <c r="WV76">
        <v>0</v>
      </c>
      <c r="WW76">
        <v>0</v>
      </c>
      <c r="WX76">
        <v>0</v>
      </c>
      <c r="WY76">
        <v>0</v>
      </c>
      <c r="WZ76">
        <v>0</v>
      </c>
      <c r="XA76">
        <v>0</v>
      </c>
      <c r="XB76">
        <v>0</v>
      </c>
      <c r="XC76">
        <v>0</v>
      </c>
      <c r="XD76">
        <v>0</v>
      </c>
      <c r="XE76">
        <v>0</v>
      </c>
      <c r="XF76">
        <v>0</v>
      </c>
      <c r="XG76">
        <v>0</v>
      </c>
      <c r="XH76">
        <v>0</v>
      </c>
      <c r="XI76">
        <v>0</v>
      </c>
      <c r="XJ76">
        <v>0</v>
      </c>
      <c r="XK76">
        <v>0</v>
      </c>
      <c r="XL76">
        <v>0</v>
      </c>
      <c r="XM76">
        <v>0</v>
      </c>
      <c r="XN76">
        <v>0</v>
      </c>
      <c r="XO76">
        <v>0</v>
      </c>
      <c r="XP76">
        <v>0</v>
      </c>
      <c r="XQ76">
        <v>0</v>
      </c>
      <c r="XR76">
        <v>0</v>
      </c>
      <c r="XS76">
        <v>0</v>
      </c>
      <c r="XT76">
        <v>0</v>
      </c>
      <c r="XU76">
        <v>0</v>
      </c>
      <c r="XV76">
        <v>0</v>
      </c>
      <c r="XW76">
        <v>0</v>
      </c>
      <c r="XX76">
        <v>0</v>
      </c>
      <c r="XY76">
        <v>0</v>
      </c>
      <c r="XZ76">
        <v>0</v>
      </c>
      <c r="YA76">
        <v>0</v>
      </c>
      <c r="YB76">
        <v>-5</v>
      </c>
      <c r="YC76">
        <v>0</v>
      </c>
      <c r="YD76">
        <v>0</v>
      </c>
      <c r="YE76">
        <v>0</v>
      </c>
      <c r="YF76">
        <v>0</v>
      </c>
      <c r="YG76">
        <v>0</v>
      </c>
      <c r="YH76">
        <v>0</v>
      </c>
      <c r="YI76">
        <v>0</v>
      </c>
      <c r="YJ76">
        <v>0</v>
      </c>
      <c r="YK76">
        <v>0</v>
      </c>
      <c r="YL76">
        <v>0</v>
      </c>
      <c r="YM76">
        <v>0</v>
      </c>
      <c r="YN76">
        <v>0</v>
      </c>
      <c r="YO76">
        <v>0</v>
      </c>
      <c r="YP76">
        <v>0</v>
      </c>
      <c r="YQ76">
        <v>0</v>
      </c>
      <c r="YR76">
        <v>0</v>
      </c>
      <c r="YS76">
        <v>0</v>
      </c>
      <c r="YT76">
        <v>0</v>
      </c>
      <c r="YU76">
        <v>0</v>
      </c>
      <c r="YV76">
        <v>0</v>
      </c>
      <c r="YW76">
        <v>0</v>
      </c>
      <c r="YX76">
        <v>0</v>
      </c>
      <c r="YY76">
        <v>0</v>
      </c>
      <c r="YZ76">
        <v>0</v>
      </c>
      <c r="ZA76">
        <v>0</v>
      </c>
      <c r="ZB76">
        <v>0</v>
      </c>
      <c r="ZC76">
        <v>0</v>
      </c>
      <c r="ZD76">
        <v>0</v>
      </c>
      <c r="ZE76">
        <v>0</v>
      </c>
      <c r="ZF76">
        <v>0</v>
      </c>
      <c r="ZG76">
        <v>0</v>
      </c>
      <c r="ZH76">
        <v>0</v>
      </c>
      <c r="ZI76">
        <v>0</v>
      </c>
      <c r="ZJ76">
        <v>0</v>
      </c>
      <c r="ZK76">
        <v>0</v>
      </c>
      <c r="ZL76">
        <v>0</v>
      </c>
      <c r="ZM76">
        <v>0</v>
      </c>
      <c r="ZN76">
        <v>0</v>
      </c>
      <c r="ZO76">
        <v>0</v>
      </c>
      <c r="ZP76">
        <v>0</v>
      </c>
      <c r="ZQ76">
        <v>0</v>
      </c>
      <c r="ZR76">
        <v>0</v>
      </c>
      <c r="ZS76">
        <v>0</v>
      </c>
      <c r="ZT76">
        <v>0</v>
      </c>
      <c r="ZU76">
        <v>0</v>
      </c>
      <c r="ZV76">
        <v>0</v>
      </c>
      <c r="ZW76">
        <v>0</v>
      </c>
      <c r="ZX76">
        <v>0</v>
      </c>
      <c r="ZY76">
        <v>0</v>
      </c>
      <c r="ZZ76">
        <v>0</v>
      </c>
      <c r="AAA76">
        <v>0</v>
      </c>
      <c r="AAB76">
        <v>0</v>
      </c>
      <c r="AAC76">
        <v>0</v>
      </c>
      <c r="AAD76">
        <v>0</v>
      </c>
      <c r="AAE76">
        <v>0</v>
      </c>
      <c r="AAF76">
        <v>0</v>
      </c>
      <c r="AAG76">
        <v>0</v>
      </c>
      <c r="AAH76">
        <v>0</v>
      </c>
      <c r="AAI76">
        <v>0</v>
      </c>
      <c r="AAJ76">
        <v>0</v>
      </c>
      <c r="AAK76">
        <v>0</v>
      </c>
      <c r="AAL76">
        <v>0</v>
      </c>
      <c r="AAM76">
        <v>0</v>
      </c>
      <c r="AAN76">
        <v>0</v>
      </c>
      <c r="AAO76">
        <v>0</v>
      </c>
      <c r="AAP76">
        <v>0</v>
      </c>
      <c r="AAQ76">
        <v>0</v>
      </c>
      <c r="AAR76">
        <v>0</v>
      </c>
      <c r="AAS76">
        <v>0</v>
      </c>
      <c r="AAT76">
        <v>0</v>
      </c>
      <c r="AAU76">
        <v>0</v>
      </c>
      <c r="AAV76">
        <v>0</v>
      </c>
      <c r="AAW76">
        <v>0</v>
      </c>
      <c r="AAX76">
        <v>0</v>
      </c>
      <c r="AAY76">
        <v>0</v>
      </c>
      <c r="AAZ76">
        <v>0</v>
      </c>
      <c r="ABA76">
        <v>0</v>
      </c>
      <c r="ABB76">
        <v>0</v>
      </c>
      <c r="ABC76">
        <v>0</v>
      </c>
      <c r="ABD76">
        <v>0</v>
      </c>
      <c r="ABE76">
        <v>0</v>
      </c>
      <c r="ABF76">
        <v>0</v>
      </c>
      <c r="ABG76">
        <v>0</v>
      </c>
      <c r="ABH76">
        <v>0</v>
      </c>
      <c r="ABI76">
        <v>0</v>
      </c>
      <c r="ABJ76">
        <v>0</v>
      </c>
      <c r="ABK76">
        <v>0</v>
      </c>
      <c r="ABL76">
        <v>0</v>
      </c>
      <c r="ABM76">
        <v>0</v>
      </c>
      <c r="ABN76">
        <v>0</v>
      </c>
      <c r="ABO76">
        <v>0</v>
      </c>
      <c r="ABP76">
        <v>0</v>
      </c>
      <c r="ABQ76">
        <v>0</v>
      </c>
      <c r="ABR76">
        <v>0</v>
      </c>
      <c r="ABS76">
        <v>0</v>
      </c>
      <c r="ABT76">
        <v>-256.16438356164383</v>
      </c>
      <c r="ABU76">
        <v>0</v>
      </c>
      <c r="ABV76">
        <v>0</v>
      </c>
      <c r="ABW76">
        <v>0</v>
      </c>
      <c r="ABX76">
        <v>0</v>
      </c>
      <c r="ABY76">
        <v>0</v>
      </c>
      <c r="ABZ76">
        <v>0</v>
      </c>
      <c r="ACA76">
        <v>0</v>
      </c>
      <c r="ACB76">
        <v>0</v>
      </c>
      <c r="ACC76">
        <v>0</v>
      </c>
      <c r="ACD76">
        <v>0</v>
      </c>
      <c r="ACE76">
        <v>0</v>
      </c>
      <c r="ACF76">
        <v>0</v>
      </c>
      <c r="ACG76">
        <v>0</v>
      </c>
      <c r="ACH76">
        <v>0</v>
      </c>
      <c r="ACI76">
        <v>0</v>
      </c>
      <c r="ACJ76">
        <v>0</v>
      </c>
      <c r="ACK76">
        <v>0</v>
      </c>
      <c r="ACL76">
        <v>0</v>
      </c>
      <c r="ACM76">
        <v>0</v>
      </c>
      <c r="ACN76">
        <v>0</v>
      </c>
      <c r="ACO76">
        <v>0</v>
      </c>
      <c r="ACP76">
        <v>0</v>
      </c>
      <c r="ACQ76">
        <v>0</v>
      </c>
      <c r="ACR76">
        <v>0</v>
      </c>
      <c r="ACS76">
        <v>0</v>
      </c>
      <c r="ACT76">
        <v>0</v>
      </c>
      <c r="ACU76">
        <v>0</v>
      </c>
      <c r="ACV76">
        <v>0</v>
      </c>
      <c r="ACW76">
        <v>0</v>
      </c>
      <c r="ACX76">
        <v>0</v>
      </c>
      <c r="ACY76">
        <v>0</v>
      </c>
      <c r="ACZ76">
        <v>0</v>
      </c>
      <c r="ADA76">
        <v>0</v>
      </c>
      <c r="ADB76">
        <v>0</v>
      </c>
      <c r="ADC76">
        <v>0</v>
      </c>
      <c r="ADD76">
        <v>0</v>
      </c>
      <c r="ADE76">
        <v>0</v>
      </c>
      <c r="ADF76">
        <v>0</v>
      </c>
      <c r="ADG76">
        <v>0</v>
      </c>
      <c r="ADH76">
        <v>0</v>
      </c>
      <c r="ADI76">
        <v>0</v>
      </c>
      <c r="ADJ76">
        <v>0</v>
      </c>
      <c r="ADK76">
        <v>0</v>
      </c>
      <c r="ADL76">
        <v>0</v>
      </c>
      <c r="ADM76">
        <v>0</v>
      </c>
      <c r="ADN76">
        <v>0</v>
      </c>
      <c r="ADO76">
        <v>0</v>
      </c>
      <c r="ADP76">
        <v>0</v>
      </c>
      <c r="ADQ76">
        <v>0</v>
      </c>
      <c r="ADR76">
        <v>0</v>
      </c>
      <c r="ADS76">
        <v>0</v>
      </c>
      <c r="ADT76">
        <v>0</v>
      </c>
      <c r="ADU76">
        <v>0</v>
      </c>
      <c r="ADV76">
        <v>0</v>
      </c>
      <c r="ADW76">
        <v>0</v>
      </c>
      <c r="ADX76">
        <v>0</v>
      </c>
      <c r="ADY76">
        <v>0</v>
      </c>
      <c r="ADZ76">
        <v>0</v>
      </c>
      <c r="AEA76">
        <v>0</v>
      </c>
      <c r="AEB76">
        <v>0</v>
      </c>
      <c r="AEC76">
        <v>0</v>
      </c>
      <c r="AED76">
        <v>0</v>
      </c>
      <c r="AEE76">
        <v>0</v>
      </c>
      <c r="AEF76">
        <v>0</v>
      </c>
      <c r="AEG76">
        <v>0</v>
      </c>
      <c r="AEH76">
        <v>0</v>
      </c>
      <c r="AEI76">
        <v>0</v>
      </c>
      <c r="AEJ76">
        <v>0</v>
      </c>
      <c r="AEK76">
        <v>0</v>
      </c>
      <c r="AEL76">
        <v>0</v>
      </c>
      <c r="AEM76">
        <v>0</v>
      </c>
      <c r="AEN76">
        <v>0</v>
      </c>
      <c r="AEO76">
        <v>0</v>
      </c>
      <c r="AEP76">
        <v>0</v>
      </c>
      <c r="AEQ76">
        <v>0</v>
      </c>
      <c r="AER76">
        <v>0</v>
      </c>
      <c r="AES76">
        <v>0</v>
      </c>
      <c r="AET76">
        <v>0</v>
      </c>
      <c r="AEU76">
        <v>0</v>
      </c>
      <c r="AEV76">
        <v>0</v>
      </c>
      <c r="AEW76">
        <v>0</v>
      </c>
      <c r="AEX76">
        <v>0</v>
      </c>
      <c r="AEY76">
        <v>0</v>
      </c>
      <c r="AEZ76">
        <v>0</v>
      </c>
      <c r="AFA76">
        <v>0</v>
      </c>
      <c r="AFB76">
        <v>0</v>
      </c>
      <c r="AFC76">
        <v>0</v>
      </c>
      <c r="AFD76">
        <v>0</v>
      </c>
      <c r="AFE76">
        <v>0</v>
      </c>
      <c r="AFF76">
        <v>0</v>
      </c>
      <c r="AFG76">
        <v>0</v>
      </c>
      <c r="AFH76">
        <v>0</v>
      </c>
      <c r="AFI76">
        <v>0</v>
      </c>
      <c r="AFJ76">
        <v>0</v>
      </c>
      <c r="AFK76">
        <v>0</v>
      </c>
      <c r="AFL76">
        <v>-120</v>
      </c>
      <c r="AFM76">
        <v>0</v>
      </c>
      <c r="AFN76">
        <v>0</v>
      </c>
      <c r="AFO76">
        <v>0</v>
      </c>
      <c r="AFP76">
        <v>0</v>
      </c>
      <c r="AFQ76">
        <v>0</v>
      </c>
      <c r="AFR76">
        <v>0</v>
      </c>
      <c r="AFS76">
        <v>0</v>
      </c>
      <c r="AFT76">
        <v>0</v>
      </c>
      <c r="AFU76">
        <v>0</v>
      </c>
      <c r="AFV76">
        <v>0</v>
      </c>
      <c r="AFW76">
        <v>0</v>
      </c>
      <c r="AFX76">
        <v>0</v>
      </c>
      <c r="AFY76">
        <v>0</v>
      </c>
      <c r="AFZ76">
        <v>0</v>
      </c>
      <c r="AGA76">
        <v>0</v>
      </c>
      <c r="AGB76">
        <v>0</v>
      </c>
      <c r="AGC76">
        <v>0</v>
      </c>
      <c r="AGD76">
        <v>0</v>
      </c>
      <c r="AGE76">
        <v>0</v>
      </c>
      <c r="AGF76">
        <v>0</v>
      </c>
      <c r="AGG76">
        <v>0</v>
      </c>
      <c r="AGH76">
        <v>0</v>
      </c>
      <c r="AGI76">
        <v>0</v>
      </c>
      <c r="AGJ76">
        <v>0</v>
      </c>
      <c r="AGK76">
        <v>0</v>
      </c>
      <c r="AGL76">
        <v>0</v>
      </c>
      <c r="AGM76">
        <v>0</v>
      </c>
      <c r="AGN76">
        <v>0</v>
      </c>
      <c r="AGO76">
        <v>0</v>
      </c>
      <c r="AGP76">
        <v>0</v>
      </c>
      <c r="AGQ76">
        <v>0</v>
      </c>
      <c r="AGR76">
        <v>0</v>
      </c>
      <c r="AGS76">
        <v>0</v>
      </c>
      <c r="AGT76">
        <v>0</v>
      </c>
      <c r="AGU76">
        <v>0</v>
      </c>
      <c r="AGV76">
        <v>0</v>
      </c>
      <c r="AGW76">
        <v>0</v>
      </c>
      <c r="AGX76">
        <v>0</v>
      </c>
      <c r="AGY76">
        <v>0</v>
      </c>
      <c r="AGZ76">
        <v>0</v>
      </c>
      <c r="AHA76">
        <v>0</v>
      </c>
      <c r="AHB76">
        <v>0</v>
      </c>
      <c r="AHC76">
        <v>0</v>
      </c>
      <c r="AHD76">
        <v>0</v>
      </c>
      <c r="AHE76">
        <v>0</v>
      </c>
      <c r="AHF76">
        <v>0</v>
      </c>
      <c r="AHG76">
        <v>0</v>
      </c>
      <c r="AHH76">
        <v>0</v>
      </c>
      <c r="AHI76">
        <v>0</v>
      </c>
      <c r="AHJ76">
        <v>0</v>
      </c>
      <c r="AHK76">
        <v>0</v>
      </c>
      <c r="AHL76">
        <v>0</v>
      </c>
      <c r="AHM76">
        <v>0</v>
      </c>
      <c r="AHN76">
        <v>0</v>
      </c>
      <c r="AHO76">
        <v>0</v>
      </c>
      <c r="AHP76">
        <v>0</v>
      </c>
      <c r="AHQ76">
        <v>0</v>
      </c>
      <c r="AHR76">
        <v>0</v>
      </c>
      <c r="AHS76">
        <v>0</v>
      </c>
      <c r="AHT76">
        <v>0</v>
      </c>
      <c r="AHU76">
        <v>0</v>
      </c>
      <c r="AHV76">
        <v>0</v>
      </c>
      <c r="AHW76">
        <v>0</v>
      </c>
      <c r="AHX76">
        <v>0</v>
      </c>
      <c r="AHY76">
        <v>0</v>
      </c>
      <c r="AHZ76">
        <v>0</v>
      </c>
      <c r="AIA76">
        <v>0</v>
      </c>
      <c r="AIB76">
        <v>0</v>
      </c>
      <c r="AIC76">
        <v>0</v>
      </c>
      <c r="AID76">
        <v>0</v>
      </c>
      <c r="AIE76">
        <v>0</v>
      </c>
      <c r="AIF76">
        <v>0</v>
      </c>
      <c r="AIG76">
        <v>0</v>
      </c>
      <c r="AIH76">
        <v>0</v>
      </c>
      <c r="AII76">
        <v>0</v>
      </c>
      <c r="AIJ76">
        <v>0</v>
      </c>
      <c r="AIK76">
        <v>0</v>
      </c>
      <c r="AIL76">
        <v>0</v>
      </c>
      <c r="AIM76">
        <v>0</v>
      </c>
      <c r="AIN76">
        <v>0</v>
      </c>
      <c r="AIO76">
        <v>0</v>
      </c>
      <c r="AIP76">
        <v>0</v>
      </c>
      <c r="AIQ76">
        <v>0</v>
      </c>
      <c r="AIR76">
        <v>0</v>
      </c>
      <c r="AIS76">
        <v>0</v>
      </c>
      <c r="AIT76">
        <v>0</v>
      </c>
      <c r="AIU76">
        <v>0</v>
      </c>
      <c r="AIV76">
        <v>0</v>
      </c>
      <c r="AIW76">
        <v>0</v>
      </c>
      <c r="AIX76">
        <v>0</v>
      </c>
      <c r="AIY76">
        <v>0</v>
      </c>
      <c r="AIZ76">
        <v>0</v>
      </c>
      <c r="AJA76">
        <v>0</v>
      </c>
      <c r="AJB76">
        <v>0</v>
      </c>
      <c r="AJC76">
        <v>0</v>
      </c>
      <c r="AJD76">
        <v>-4500</v>
      </c>
      <c r="AJE76">
        <v>0</v>
      </c>
      <c r="AJF76">
        <v>0</v>
      </c>
      <c r="AJG76">
        <v>0</v>
      </c>
      <c r="AJH76">
        <v>0</v>
      </c>
      <c r="AJI76">
        <v>0</v>
      </c>
      <c r="AJJ76">
        <v>0</v>
      </c>
      <c r="AJK76">
        <v>0</v>
      </c>
      <c r="AJL76">
        <v>0</v>
      </c>
      <c r="AJM76">
        <v>0</v>
      </c>
      <c r="AJN76">
        <v>0</v>
      </c>
      <c r="AJO76">
        <v>0</v>
      </c>
      <c r="AJP76">
        <v>0</v>
      </c>
      <c r="AJQ76">
        <v>0</v>
      </c>
      <c r="AJR76">
        <v>0</v>
      </c>
      <c r="AJS76">
        <v>0</v>
      </c>
      <c r="AJT76">
        <v>0</v>
      </c>
      <c r="AJU76">
        <v>0</v>
      </c>
      <c r="AJV76">
        <v>0</v>
      </c>
      <c r="AJW76">
        <v>0</v>
      </c>
      <c r="AJX76">
        <v>0</v>
      </c>
      <c r="AJY76">
        <v>0</v>
      </c>
    </row>
    <row r="77" spans="1:961" x14ac:dyDescent="0.3">
      <c r="A77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10000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5000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0</v>
      </c>
      <c r="KQ77">
        <v>0</v>
      </c>
      <c r="KR77">
        <v>0</v>
      </c>
      <c r="KS77">
        <v>0</v>
      </c>
      <c r="KT77">
        <v>0</v>
      </c>
      <c r="KU77">
        <v>0</v>
      </c>
      <c r="KV77">
        <v>0</v>
      </c>
      <c r="KW77">
        <v>0</v>
      </c>
      <c r="KX77">
        <v>0</v>
      </c>
      <c r="KY77">
        <v>0</v>
      </c>
      <c r="KZ77">
        <v>0</v>
      </c>
      <c r="LA77">
        <v>0</v>
      </c>
      <c r="LB77">
        <v>0</v>
      </c>
      <c r="LC77">
        <v>0</v>
      </c>
      <c r="LD77">
        <v>0</v>
      </c>
      <c r="LE77">
        <v>0</v>
      </c>
      <c r="LF77">
        <v>0</v>
      </c>
      <c r="LG77">
        <v>0</v>
      </c>
      <c r="LH77">
        <v>0</v>
      </c>
      <c r="LI77">
        <v>0</v>
      </c>
      <c r="LJ77">
        <v>0</v>
      </c>
      <c r="LK77">
        <v>0</v>
      </c>
      <c r="LL77">
        <v>0</v>
      </c>
      <c r="LM77">
        <v>0</v>
      </c>
      <c r="LN77">
        <v>0</v>
      </c>
      <c r="LO77">
        <v>0</v>
      </c>
      <c r="LP77">
        <v>0</v>
      </c>
      <c r="LQ77">
        <v>0</v>
      </c>
      <c r="LR77">
        <v>0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0</v>
      </c>
      <c r="MK77">
        <v>0</v>
      </c>
      <c r="ML77">
        <v>0</v>
      </c>
      <c r="MM77">
        <v>0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U77">
        <v>0</v>
      </c>
      <c r="MV77">
        <v>0</v>
      </c>
      <c r="MW77">
        <v>0</v>
      </c>
      <c r="MX77">
        <v>0</v>
      </c>
      <c r="MY77">
        <v>0</v>
      </c>
      <c r="MZ77">
        <v>0</v>
      </c>
      <c r="NA77">
        <v>-3390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0</v>
      </c>
      <c r="NM77">
        <v>0</v>
      </c>
      <c r="NN77">
        <v>0</v>
      </c>
      <c r="NO77">
        <v>0</v>
      </c>
      <c r="NP77">
        <v>0</v>
      </c>
      <c r="NQ77">
        <v>0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0</v>
      </c>
      <c r="OM77">
        <v>0</v>
      </c>
      <c r="ON77">
        <v>0</v>
      </c>
      <c r="OO77">
        <v>0</v>
      </c>
      <c r="OP77">
        <v>0</v>
      </c>
      <c r="OQ77">
        <v>0</v>
      </c>
      <c r="OR77">
        <v>0</v>
      </c>
      <c r="OS77">
        <v>0</v>
      </c>
      <c r="OT77">
        <v>0</v>
      </c>
      <c r="OU77">
        <v>0</v>
      </c>
      <c r="OV77">
        <v>0</v>
      </c>
      <c r="OW77">
        <v>0</v>
      </c>
      <c r="OX77">
        <v>0</v>
      </c>
      <c r="OY77">
        <v>0</v>
      </c>
      <c r="OZ77">
        <v>0</v>
      </c>
      <c r="PA77">
        <v>0</v>
      </c>
      <c r="PB77">
        <v>0</v>
      </c>
      <c r="PC77">
        <v>0</v>
      </c>
      <c r="PD77">
        <v>0</v>
      </c>
      <c r="PE77">
        <v>0</v>
      </c>
      <c r="PF77">
        <v>0</v>
      </c>
      <c r="PG77">
        <v>0</v>
      </c>
      <c r="PH77">
        <v>0</v>
      </c>
      <c r="PI77">
        <v>0</v>
      </c>
      <c r="PJ77">
        <v>0</v>
      </c>
      <c r="PK77">
        <v>0</v>
      </c>
      <c r="PL77">
        <v>0</v>
      </c>
      <c r="PM77">
        <v>0</v>
      </c>
      <c r="PN77">
        <v>0</v>
      </c>
      <c r="PO77">
        <v>0</v>
      </c>
      <c r="PP77">
        <v>0</v>
      </c>
      <c r="PQ77">
        <v>0</v>
      </c>
      <c r="PR77">
        <v>0</v>
      </c>
      <c r="PS77">
        <v>0</v>
      </c>
      <c r="PT77">
        <v>0</v>
      </c>
      <c r="PU77">
        <v>0</v>
      </c>
      <c r="PV77">
        <v>0</v>
      </c>
      <c r="PW77">
        <v>0</v>
      </c>
      <c r="PX77">
        <v>0</v>
      </c>
      <c r="PY77">
        <v>0</v>
      </c>
      <c r="PZ77">
        <v>0</v>
      </c>
      <c r="QA77">
        <v>0</v>
      </c>
      <c r="QB77">
        <v>0</v>
      </c>
      <c r="QC77">
        <v>0</v>
      </c>
      <c r="QD77">
        <v>0</v>
      </c>
      <c r="QE77">
        <v>0</v>
      </c>
      <c r="QF77">
        <v>0</v>
      </c>
      <c r="QG77">
        <v>0</v>
      </c>
      <c r="QH77">
        <v>0</v>
      </c>
      <c r="QI77">
        <v>0</v>
      </c>
      <c r="QJ77">
        <v>0</v>
      </c>
      <c r="QK77">
        <v>0</v>
      </c>
      <c r="QL77">
        <v>0</v>
      </c>
      <c r="QM77">
        <v>0</v>
      </c>
      <c r="QN77">
        <v>0</v>
      </c>
      <c r="QO77">
        <v>0</v>
      </c>
      <c r="QP77">
        <v>0</v>
      </c>
      <c r="QQ77">
        <v>0</v>
      </c>
      <c r="QR77">
        <v>0</v>
      </c>
      <c r="QS77">
        <v>-150</v>
      </c>
      <c r="QT77">
        <v>0</v>
      </c>
      <c r="QU77">
        <v>0</v>
      </c>
      <c r="QV77">
        <v>0</v>
      </c>
      <c r="QW77">
        <v>0</v>
      </c>
      <c r="QX77">
        <v>0</v>
      </c>
      <c r="QY77">
        <v>0</v>
      </c>
      <c r="QZ77">
        <v>0</v>
      </c>
      <c r="RA77">
        <v>0</v>
      </c>
      <c r="RB77">
        <v>0</v>
      </c>
      <c r="RC77">
        <v>0</v>
      </c>
      <c r="RD77">
        <v>0</v>
      </c>
      <c r="RE77">
        <v>0</v>
      </c>
      <c r="RF77">
        <v>0</v>
      </c>
      <c r="RG77">
        <v>0</v>
      </c>
      <c r="RH77">
        <v>0</v>
      </c>
      <c r="RI77">
        <v>0</v>
      </c>
      <c r="RJ77">
        <v>0</v>
      </c>
      <c r="RK77">
        <v>0</v>
      </c>
      <c r="RL77">
        <v>0</v>
      </c>
      <c r="RM77">
        <v>0</v>
      </c>
      <c r="RN77">
        <v>0</v>
      </c>
      <c r="RO77">
        <v>0</v>
      </c>
      <c r="RP77">
        <v>0</v>
      </c>
      <c r="RQ77">
        <v>0</v>
      </c>
      <c r="RR77">
        <v>0</v>
      </c>
      <c r="RS77">
        <v>0</v>
      </c>
      <c r="RT77">
        <v>0</v>
      </c>
      <c r="RU77">
        <v>0</v>
      </c>
      <c r="RV77">
        <v>0</v>
      </c>
      <c r="RW77">
        <v>0</v>
      </c>
      <c r="RX77">
        <v>0</v>
      </c>
      <c r="RY77">
        <v>0</v>
      </c>
      <c r="RZ77">
        <v>0</v>
      </c>
      <c r="SA77">
        <v>0</v>
      </c>
      <c r="SB77">
        <v>0</v>
      </c>
      <c r="SC77">
        <v>0</v>
      </c>
      <c r="SD77">
        <v>0</v>
      </c>
      <c r="SE77">
        <v>0</v>
      </c>
      <c r="SF77">
        <v>0</v>
      </c>
      <c r="SG77">
        <v>0</v>
      </c>
      <c r="SH77">
        <v>0</v>
      </c>
      <c r="SI77">
        <v>0</v>
      </c>
      <c r="SJ77">
        <v>0</v>
      </c>
      <c r="SK77">
        <v>0</v>
      </c>
      <c r="SL77">
        <v>0</v>
      </c>
      <c r="SM77">
        <v>0</v>
      </c>
      <c r="SN77">
        <v>0</v>
      </c>
      <c r="SO77">
        <v>0</v>
      </c>
      <c r="SP77">
        <v>0</v>
      </c>
      <c r="SQ77">
        <v>0</v>
      </c>
      <c r="SR77">
        <v>0</v>
      </c>
      <c r="SS77">
        <v>0</v>
      </c>
      <c r="ST77">
        <v>0</v>
      </c>
      <c r="SU77">
        <v>0</v>
      </c>
      <c r="SV77">
        <v>0</v>
      </c>
      <c r="SW77">
        <v>0</v>
      </c>
      <c r="SX77">
        <v>0</v>
      </c>
      <c r="SY77">
        <v>0</v>
      </c>
      <c r="SZ77">
        <v>0</v>
      </c>
      <c r="TA77">
        <v>0</v>
      </c>
      <c r="TB77">
        <v>0</v>
      </c>
      <c r="TC77">
        <v>0</v>
      </c>
      <c r="TD77">
        <v>0</v>
      </c>
      <c r="TE77">
        <v>0</v>
      </c>
      <c r="TF77">
        <v>0</v>
      </c>
      <c r="TG77">
        <v>0</v>
      </c>
      <c r="TH77">
        <v>0</v>
      </c>
      <c r="TI77">
        <v>0</v>
      </c>
      <c r="TJ77">
        <v>0</v>
      </c>
      <c r="TK77">
        <v>0</v>
      </c>
      <c r="TL77">
        <v>0</v>
      </c>
      <c r="TM77">
        <v>0</v>
      </c>
      <c r="TN77">
        <v>0</v>
      </c>
      <c r="TO77">
        <v>0</v>
      </c>
      <c r="TP77">
        <v>0</v>
      </c>
      <c r="TQ77">
        <v>0</v>
      </c>
      <c r="TR77">
        <v>0</v>
      </c>
      <c r="TS77">
        <v>0</v>
      </c>
      <c r="TT77">
        <v>0</v>
      </c>
      <c r="TU77">
        <v>0</v>
      </c>
      <c r="TV77">
        <v>0</v>
      </c>
      <c r="TW77">
        <v>0</v>
      </c>
      <c r="TX77">
        <v>0</v>
      </c>
      <c r="TY77">
        <v>0</v>
      </c>
      <c r="TZ77">
        <v>0</v>
      </c>
      <c r="UA77">
        <v>0</v>
      </c>
      <c r="UB77">
        <v>0</v>
      </c>
      <c r="UC77">
        <v>0</v>
      </c>
      <c r="UD77">
        <v>0</v>
      </c>
      <c r="UE77">
        <v>0</v>
      </c>
      <c r="UF77">
        <v>0</v>
      </c>
      <c r="UG77">
        <v>0</v>
      </c>
      <c r="UH77">
        <v>0</v>
      </c>
      <c r="UI77">
        <v>0</v>
      </c>
      <c r="UJ77">
        <v>0</v>
      </c>
      <c r="UK77">
        <v>-1000</v>
      </c>
      <c r="UL77">
        <v>0</v>
      </c>
      <c r="UM77">
        <v>0</v>
      </c>
      <c r="UN77">
        <v>0</v>
      </c>
      <c r="UO77">
        <v>0</v>
      </c>
      <c r="UP77">
        <v>0</v>
      </c>
      <c r="UQ77">
        <v>0</v>
      </c>
      <c r="UR77">
        <v>0</v>
      </c>
      <c r="US77">
        <v>0</v>
      </c>
      <c r="UT77">
        <v>0</v>
      </c>
      <c r="UU77">
        <v>0</v>
      </c>
      <c r="UV77">
        <v>0</v>
      </c>
      <c r="UW77">
        <v>0</v>
      </c>
      <c r="UX77">
        <v>0</v>
      </c>
      <c r="UY77">
        <v>0</v>
      </c>
      <c r="UZ77">
        <v>0</v>
      </c>
      <c r="VA77">
        <v>0</v>
      </c>
      <c r="VB77">
        <v>0</v>
      </c>
      <c r="VC77">
        <v>0</v>
      </c>
      <c r="VD77">
        <v>0</v>
      </c>
      <c r="VE77">
        <v>0</v>
      </c>
      <c r="VF77">
        <v>0</v>
      </c>
      <c r="VG77">
        <v>0</v>
      </c>
      <c r="VH77">
        <v>0</v>
      </c>
      <c r="VI77">
        <v>0</v>
      </c>
      <c r="VJ77">
        <v>0</v>
      </c>
      <c r="VK77">
        <v>0</v>
      </c>
      <c r="VL77">
        <v>0</v>
      </c>
      <c r="VM77">
        <v>0</v>
      </c>
      <c r="VN77">
        <v>0</v>
      </c>
      <c r="VO77">
        <v>0</v>
      </c>
      <c r="VP77">
        <v>0</v>
      </c>
      <c r="VQ77">
        <v>0</v>
      </c>
      <c r="VR77">
        <v>0</v>
      </c>
      <c r="VS77">
        <v>0</v>
      </c>
      <c r="VT77">
        <v>0</v>
      </c>
      <c r="VU77">
        <v>0</v>
      </c>
      <c r="VV77">
        <v>0</v>
      </c>
      <c r="VW77">
        <v>0</v>
      </c>
      <c r="VX77">
        <v>0</v>
      </c>
      <c r="VY77">
        <v>0</v>
      </c>
      <c r="VZ77">
        <v>0</v>
      </c>
      <c r="WA77">
        <v>0</v>
      </c>
      <c r="WB77">
        <v>0</v>
      </c>
      <c r="WC77">
        <v>0</v>
      </c>
      <c r="WD77">
        <v>0</v>
      </c>
      <c r="WE77">
        <v>0</v>
      </c>
      <c r="WF77">
        <v>0</v>
      </c>
      <c r="WG77">
        <v>0</v>
      </c>
      <c r="WH77">
        <v>0</v>
      </c>
      <c r="WI77">
        <v>0</v>
      </c>
      <c r="WJ77">
        <v>0</v>
      </c>
      <c r="WK77">
        <v>0</v>
      </c>
      <c r="WL77">
        <v>0</v>
      </c>
      <c r="WM77">
        <v>0</v>
      </c>
      <c r="WN77">
        <v>0</v>
      </c>
      <c r="WO77">
        <v>0</v>
      </c>
      <c r="WP77">
        <v>0</v>
      </c>
      <c r="WQ77">
        <v>0</v>
      </c>
      <c r="WR77">
        <v>0</v>
      </c>
      <c r="WS77">
        <v>0</v>
      </c>
      <c r="WT77">
        <v>0</v>
      </c>
      <c r="WU77">
        <v>0</v>
      </c>
      <c r="WV77">
        <v>0</v>
      </c>
      <c r="WW77">
        <v>0</v>
      </c>
      <c r="WX77">
        <v>0</v>
      </c>
      <c r="WY77">
        <v>0</v>
      </c>
      <c r="WZ77">
        <v>0</v>
      </c>
      <c r="XA77">
        <v>0</v>
      </c>
      <c r="XB77">
        <v>0</v>
      </c>
      <c r="XC77">
        <v>0</v>
      </c>
      <c r="XD77">
        <v>0</v>
      </c>
      <c r="XE77">
        <v>0</v>
      </c>
      <c r="XF77">
        <v>0</v>
      </c>
      <c r="XG77">
        <v>0</v>
      </c>
      <c r="XH77">
        <v>0</v>
      </c>
      <c r="XI77">
        <v>0</v>
      </c>
      <c r="XJ77">
        <v>0</v>
      </c>
      <c r="XK77">
        <v>0</v>
      </c>
      <c r="XL77">
        <v>0</v>
      </c>
      <c r="XM77">
        <v>0</v>
      </c>
      <c r="XN77">
        <v>0</v>
      </c>
      <c r="XO77">
        <v>0</v>
      </c>
      <c r="XP77">
        <v>0</v>
      </c>
      <c r="XQ77">
        <v>0</v>
      </c>
      <c r="XR77">
        <v>0</v>
      </c>
      <c r="XS77">
        <v>0</v>
      </c>
      <c r="XT77">
        <v>0</v>
      </c>
      <c r="XU77">
        <v>0</v>
      </c>
      <c r="XV77">
        <v>0</v>
      </c>
      <c r="XW77">
        <v>0</v>
      </c>
      <c r="XX77">
        <v>0</v>
      </c>
      <c r="XY77">
        <v>0</v>
      </c>
      <c r="XZ77">
        <v>0</v>
      </c>
      <c r="YA77">
        <v>0</v>
      </c>
      <c r="YB77">
        <v>0</v>
      </c>
      <c r="YC77">
        <v>-5</v>
      </c>
      <c r="YD77">
        <v>0</v>
      </c>
      <c r="YE77">
        <v>0</v>
      </c>
      <c r="YF77">
        <v>0</v>
      </c>
      <c r="YG77">
        <v>0</v>
      </c>
      <c r="YH77">
        <v>0</v>
      </c>
      <c r="YI77">
        <v>0</v>
      </c>
      <c r="YJ77">
        <v>0</v>
      </c>
      <c r="YK77">
        <v>0</v>
      </c>
      <c r="YL77">
        <v>0</v>
      </c>
      <c r="YM77">
        <v>0</v>
      </c>
      <c r="YN77">
        <v>0</v>
      </c>
      <c r="YO77">
        <v>0</v>
      </c>
      <c r="YP77">
        <v>0</v>
      </c>
      <c r="YQ77">
        <v>0</v>
      </c>
      <c r="YR77">
        <v>0</v>
      </c>
      <c r="YS77">
        <v>0</v>
      </c>
      <c r="YT77">
        <v>0</v>
      </c>
      <c r="YU77">
        <v>0</v>
      </c>
      <c r="YV77">
        <v>0</v>
      </c>
      <c r="YW77">
        <v>0</v>
      </c>
      <c r="YX77">
        <v>0</v>
      </c>
      <c r="YY77">
        <v>0</v>
      </c>
      <c r="YZ77">
        <v>0</v>
      </c>
      <c r="ZA77">
        <v>0</v>
      </c>
      <c r="ZB77">
        <v>0</v>
      </c>
      <c r="ZC77">
        <v>0</v>
      </c>
      <c r="ZD77">
        <v>0</v>
      </c>
      <c r="ZE77">
        <v>0</v>
      </c>
      <c r="ZF77">
        <v>0</v>
      </c>
      <c r="ZG77">
        <v>0</v>
      </c>
      <c r="ZH77">
        <v>0</v>
      </c>
      <c r="ZI77">
        <v>0</v>
      </c>
      <c r="ZJ77">
        <v>0</v>
      </c>
      <c r="ZK77">
        <v>0</v>
      </c>
      <c r="ZL77">
        <v>0</v>
      </c>
      <c r="ZM77">
        <v>0</v>
      </c>
      <c r="ZN77">
        <v>0</v>
      </c>
      <c r="ZO77">
        <v>0</v>
      </c>
      <c r="ZP77">
        <v>0</v>
      </c>
      <c r="ZQ77">
        <v>0</v>
      </c>
      <c r="ZR77">
        <v>0</v>
      </c>
      <c r="ZS77">
        <v>0</v>
      </c>
      <c r="ZT77">
        <v>0</v>
      </c>
      <c r="ZU77">
        <v>0</v>
      </c>
      <c r="ZV77">
        <v>0</v>
      </c>
      <c r="ZW77">
        <v>0</v>
      </c>
      <c r="ZX77">
        <v>0</v>
      </c>
      <c r="ZY77">
        <v>0</v>
      </c>
      <c r="ZZ77">
        <v>0</v>
      </c>
      <c r="AAA77">
        <v>0</v>
      </c>
      <c r="AAB77">
        <v>0</v>
      </c>
      <c r="AAC77">
        <v>0</v>
      </c>
      <c r="AAD77">
        <v>0</v>
      </c>
      <c r="AAE77">
        <v>0</v>
      </c>
      <c r="AAF77">
        <v>0</v>
      </c>
      <c r="AAG77">
        <v>0</v>
      </c>
      <c r="AAH77">
        <v>0</v>
      </c>
      <c r="AAI77">
        <v>0</v>
      </c>
      <c r="AAJ77">
        <v>0</v>
      </c>
      <c r="AAK77">
        <v>0</v>
      </c>
      <c r="AAL77">
        <v>0</v>
      </c>
      <c r="AAM77">
        <v>0</v>
      </c>
      <c r="AAN77">
        <v>0</v>
      </c>
      <c r="AAO77">
        <v>0</v>
      </c>
      <c r="AAP77">
        <v>0</v>
      </c>
      <c r="AAQ77">
        <v>0</v>
      </c>
      <c r="AAR77">
        <v>0</v>
      </c>
      <c r="AAS77">
        <v>0</v>
      </c>
      <c r="AAT77">
        <v>0</v>
      </c>
      <c r="AAU77">
        <v>0</v>
      </c>
      <c r="AAV77">
        <v>0</v>
      </c>
      <c r="AAW77">
        <v>0</v>
      </c>
      <c r="AAX77">
        <v>0</v>
      </c>
      <c r="AAY77">
        <v>0</v>
      </c>
      <c r="AAZ77">
        <v>0</v>
      </c>
      <c r="ABA77">
        <v>0</v>
      </c>
      <c r="ABB77">
        <v>0</v>
      </c>
      <c r="ABC77">
        <v>0</v>
      </c>
      <c r="ABD77">
        <v>0</v>
      </c>
      <c r="ABE77">
        <v>0</v>
      </c>
      <c r="ABF77">
        <v>0</v>
      </c>
      <c r="ABG77">
        <v>0</v>
      </c>
      <c r="ABH77">
        <v>0</v>
      </c>
      <c r="ABI77">
        <v>0</v>
      </c>
      <c r="ABJ77">
        <v>0</v>
      </c>
      <c r="ABK77">
        <v>0</v>
      </c>
      <c r="ABL77">
        <v>0</v>
      </c>
      <c r="ABM77">
        <v>0</v>
      </c>
      <c r="ABN77">
        <v>0</v>
      </c>
      <c r="ABO77">
        <v>0</v>
      </c>
      <c r="ABP77">
        <v>0</v>
      </c>
      <c r="ABQ77">
        <v>0</v>
      </c>
      <c r="ABR77">
        <v>0</v>
      </c>
      <c r="ABS77">
        <v>0</v>
      </c>
      <c r="ABT77">
        <v>0</v>
      </c>
      <c r="ABU77">
        <v>-256.16438356164383</v>
      </c>
      <c r="ABV77">
        <v>0</v>
      </c>
      <c r="ABW77">
        <v>0</v>
      </c>
      <c r="ABX77">
        <v>0</v>
      </c>
      <c r="ABY77">
        <v>0</v>
      </c>
      <c r="ABZ77">
        <v>0</v>
      </c>
      <c r="ACA77">
        <v>0</v>
      </c>
      <c r="ACB77">
        <v>0</v>
      </c>
      <c r="ACC77">
        <v>0</v>
      </c>
      <c r="ACD77">
        <v>0</v>
      </c>
      <c r="ACE77">
        <v>0</v>
      </c>
      <c r="ACF77">
        <v>0</v>
      </c>
      <c r="ACG77">
        <v>0</v>
      </c>
      <c r="ACH77">
        <v>0</v>
      </c>
      <c r="ACI77">
        <v>0</v>
      </c>
      <c r="ACJ77">
        <v>0</v>
      </c>
      <c r="ACK77">
        <v>0</v>
      </c>
      <c r="ACL77">
        <v>0</v>
      </c>
      <c r="ACM77">
        <v>0</v>
      </c>
      <c r="ACN77">
        <v>0</v>
      </c>
      <c r="ACO77">
        <v>0</v>
      </c>
      <c r="ACP77">
        <v>0</v>
      </c>
      <c r="ACQ77">
        <v>0</v>
      </c>
      <c r="ACR77">
        <v>0</v>
      </c>
      <c r="ACS77">
        <v>0</v>
      </c>
      <c r="ACT77">
        <v>0</v>
      </c>
      <c r="ACU77">
        <v>0</v>
      </c>
      <c r="ACV77">
        <v>0</v>
      </c>
      <c r="ACW77">
        <v>0</v>
      </c>
      <c r="ACX77">
        <v>0</v>
      </c>
      <c r="ACY77">
        <v>0</v>
      </c>
      <c r="ACZ77">
        <v>0</v>
      </c>
      <c r="ADA77">
        <v>0</v>
      </c>
      <c r="ADB77">
        <v>0</v>
      </c>
      <c r="ADC77">
        <v>0</v>
      </c>
      <c r="ADD77">
        <v>0</v>
      </c>
      <c r="ADE77">
        <v>0</v>
      </c>
      <c r="ADF77">
        <v>0</v>
      </c>
      <c r="ADG77">
        <v>0</v>
      </c>
      <c r="ADH77">
        <v>0</v>
      </c>
      <c r="ADI77">
        <v>0</v>
      </c>
      <c r="ADJ77">
        <v>0</v>
      </c>
      <c r="ADK77">
        <v>0</v>
      </c>
      <c r="ADL77">
        <v>0</v>
      </c>
      <c r="ADM77">
        <v>0</v>
      </c>
      <c r="ADN77">
        <v>0</v>
      </c>
      <c r="ADO77">
        <v>0</v>
      </c>
      <c r="ADP77">
        <v>0</v>
      </c>
      <c r="ADQ77">
        <v>0</v>
      </c>
      <c r="ADR77">
        <v>0</v>
      </c>
      <c r="ADS77">
        <v>0</v>
      </c>
      <c r="ADT77">
        <v>0</v>
      </c>
      <c r="ADU77">
        <v>0</v>
      </c>
      <c r="ADV77">
        <v>0</v>
      </c>
      <c r="ADW77">
        <v>0</v>
      </c>
      <c r="ADX77">
        <v>0</v>
      </c>
      <c r="ADY77">
        <v>0</v>
      </c>
      <c r="ADZ77">
        <v>0</v>
      </c>
      <c r="AEA77">
        <v>0</v>
      </c>
      <c r="AEB77">
        <v>0</v>
      </c>
      <c r="AEC77">
        <v>0</v>
      </c>
      <c r="AED77">
        <v>0</v>
      </c>
      <c r="AEE77">
        <v>0</v>
      </c>
      <c r="AEF77">
        <v>0</v>
      </c>
      <c r="AEG77">
        <v>0</v>
      </c>
      <c r="AEH77">
        <v>0</v>
      </c>
      <c r="AEI77">
        <v>0</v>
      </c>
      <c r="AEJ77">
        <v>0</v>
      </c>
      <c r="AEK77">
        <v>0</v>
      </c>
      <c r="AEL77">
        <v>0</v>
      </c>
      <c r="AEM77">
        <v>0</v>
      </c>
      <c r="AEN77">
        <v>0</v>
      </c>
      <c r="AEO77">
        <v>0</v>
      </c>
      <c r="AEP77">
        <v>0</v>
      </c>
      <c r="AEQ77">
        <v>0</v>
      </c>
      <c r="AER77">
        <v>0</v>
      </c>
      <c r="AES77">
        <v>0</v>
      </c>
      <c r="AET77">
        <v>0</v>
      </c>
      <c r="AEU77">
        <v>0</v>
      </c>
      <c r="AEV77">
        <v>0</v>
      </c>
      <c r="AEW77">
        <v>0</v>
      </c>
      <c r="AEX77">
        <v>0</v>
      </c>
      <c r="AEY77">
        <v>0</v>
      </c>
      <c r="AEZ77">
        <v>0</v>
      </c>
      <c r="AFA77">
        <v>0</v>
      </c>
      <c r="AFB77">
        <v>0</v>
      </c>
      <c r="AFC77">
        <v>0</v>
      </c>
      <c r="AFD77">
        <v>0</v>
      </c>
      <c r="AFE77">
        <v>0</v>
      </c>
      <c r="AFF77">
        <v>0</v>
      </c>
      <c r="AFG77">
        <v>0</v>
      </c>
      <c r="AFH77">
        <v>0</v>
      </c>
      <c r="AFI77">
        <v>0</v>
      </c>
      <c r="AFJ77">
        <v>0</v>
      </c>
      <c r="AFK77">
        <v>0</v>
      </c>
      <c r="AFL77">
        <v>0</v>
      </c>
      <c r="AFM77">
        <v>-120</v>
      </c>
      <c r="AFN77">
        <v>0</v>
      </c>
      <c r="AFO77">
        <v>0</v>
      </c>
      <c r="AFP77">
        <v>0</v>
      </c>
      <c r="AFQ77">
        <v>0</v>
      </c>
      <c r="AFR77">
        <v>0</v>
      </c>
      <c r="AFS77">
        <v>0</v>
      </c>
      <c r="AFT77">
        <v>0</v>
      </c>
      <c r="AFU77">
        <v>0</v>
      </c>
      <c r="AFV77">
        <v>0</v>
      </c>
      <c r="AFW77">
        <v>0</v>
      </c>
      <c r="AFX77">
        <v>0</v>
      </c>
      <c r="AFY77">
        <v>0</v>
      </c>
      <c r="AFZ77">
        <v>0</v>
      </c>
      <c r="AGA77">
        <v>0</v>
      </c>
      <c r="AGB77">
        <v>0</v>
      </c>
      <c r="AGC77">
        <v>0</v>
      </c>
      <c r="AGD77">
        <v>0</v>
      </c>
      <c r="AGE77">
        <v>0</v>
      </c>
      <c r="AGF77">
        <v>0</v>
      </c>
      <c r="AGG77">
        <v>0</v>
      </c>
      <c r="AGH77">
        <v>0</v>
      </c>
      <c r="AGI77">
        <v>0</v>
      </c>
      <c r="AGJ77">
        <v>0</v>
      </c>
      <c r="AGK77">
        <v>0</v>
      </c>
      <c r="AGL77">
        <v>0</v>
      </c>
      <c r="AGM77">
        <v>0</v>
      </c>
      <c r="AGN77">
        <v>0</v>
      </c>
      <c r="AGO77">
        <v>0</v>
      </c>
      <c r="AGP77">
        <v>0</v>
      </c>
      <c r="AGQ77">
        <v>0</v>
      </c>
      <c r="AGR77">
        <v>0</v>
      </c>
      <c r="AGS77">
        <v>0</v>
      </c>
      <c r="AGT77">
        <v>0</v>
      </c>
      <c r="AGU77">
        <v>0</v>
      </c>
      <c r="AGV77">
        <v>0</v>
      </c>
      <c r="AGW77">
        <v>0</v>
      </c>
      <c r="AGX77">
        <v>0</v>
      </c>
      <c r="AGY77">
        <v>0</v>
      </c>
      <c r="AGZ77">
        <v>0</v>
      </c>
      <c r="AHA77">
        <v>0</v>
      </c>
      <c r="AHB77">
        <v>0</v>
      </c>
      <c r="AHC77">
        <v>0</v>
      </c>
      <c r="AHD77">
        <v>0</v>
      </c>
      <c r="AHE77">
        <v>0</v>
      </c>
      <c r="AHF77">
        <v>0</v>
      </c>
      <c r="AHG77">
        <v>0</v>
      </c>
      <c r="AHH77">
        <v>0</v>
      </c>
      <c r="AHI77">
        <v>0</v>
      </c>
      <c r="AHJ77">
        <v>0</v>
      </c>
      <c r="AHK77">
        <v>0</v>
      </c>
      <c r="AHL77">
        <v>0</v>
      </c>
      <c r="AHM77">
        <v>0</v>
      </c>
      <c r="AHN77">
        <v>0</v>
      </c>
      <c r="AHO77">
        <v>0</v>
      </c>
      <c r="AHP77">
        <v>0</v>
      </c>
      <c r="AHQ77">
        <v>0</v>
      </c>
      <c r="AHR77">
        <v>0</v>
      </c>
      <c r="AHS77">
        <v>0</v>
      </c>
      <c r="AHT77">
        <v>0</v>
      </c>
      <c r="AHU77">
        <v>0</v>
      </c>
      <c r="AHV77">
        <v>0</v>
      </c>
      <c r="AHW77">
        <v>0</v>
      </c>
      <c r="AHX77">
        <v>0</v>
      </c>
      <c r="AHY77">
        <v>0</v>
      </c>
      <c r="AHZ77">
        <v>0</v>
      </c>
      <c r="AIA77">
        <v>0</v>
      </c>
      <c r="AIB77">
        <v>0</v>
      </c>
      <c r="AIC77">
        <v>0</v>
      </c>
      <c r="AID77">
        <v>0</v>
      </c>
      <c r="AIE77">
        <v>0</v>
      </c>
      <c r="AIF77">
        <v>0</v>
      </c>
      <c r="AIG77">
        <v>0</v>
      </c>
      <c r="AIH77">
        <v>0</v>
      </c>
      <c r="AII77">
        <v>0</v>
      </c>
      <c r="AIJ77">
        <v>0</v>
      </c>
      <c r="AIK77">
        <v>0</v>
      </c>
      <c r="AIL77">
        <v>0</v>
      </c>
      <c r="AIM77">
        <v>0</v>
      </c>
      <c r="AIN77">
        <v>0</v>
      </c>
      <c r="AIO77">
        <v>0</v>
      </c>
      <c r="AIP77">
        <v>0</v>
      </c>
      <c r="AIQ77">
        <v>0</v>
      </c>
      <c r="AIR77">
        <v>0</v>
      </c>
      <c r="AIS77">
        <v>0</v>
      </c>
      <c r="AIT77">
        <v>0</v>
      </c>
      <c r="AIU77">
        <v>0</v>
      </c>
      <c r="AIV77">
        <v>0</v>
      </c>
      <c r="AIW77">
        <v>0</v>
      </c>
      <c r="AIX77">
        <v>0</v>
      </c>
      <c r="AIY77">
        <v>0</v>
      </c>
      <c r="AIZ77">
        <v>0</v>
      </c>
      <c r="AJA77">
        <v>0</v>
      </c>
      <c r="AJB77">
        <v>0</v>
      </c>
      <c r="AJC77">
        <v>0</v>
      </c>
      <c r="AJD77">
        <v>0</v>
      </c>
      <c r="AJE77">
        <v>-4500</v>
      </c>
      <c r="AJF77">
        <v>0</v>
      </c>
      <c r="AJG77">
        <v>0</v>
      </c>
      <c r="AJH77">
        <v>0</v>
      </c>
      <c r="AJI77">
        <v>0</v>
      </c>
      <c r="AJJ77">
        <v>0</v>
      </c>
      <c r="AJK77">
        <v>0</v>
      </c>
      <c r="AJL77">
        <v>0</v>
      </c>
      <c r="AJM77">
        <v>0</v>
      </c>
      <c r="AJN77">
        <v>0</v>
      </c>
      <c r="AJO77">
        <v>0</v>
      </c>
      <c r="AJP77">
        <v>0</v>
      </c>
      <c r="AJQ77">
        <v>0</v>
      </c>
      <c r="AJR77">
        <v>0</v>
      </c>
      <c r="AJS77">
        <v>0</v>
      </c>
      <c r="AJT77">
        <v>0</v>
      </c>
      <c r="AJU77">
        <v>0</v>
      </c>
      <c r="AJV77">
        <v>0</v>
      </c>
      <c r="AJW77">
        <v>0</v>
      </c>
      <c r="AJX77">
        <v>0</v>
      </c>
      <c r="AJY77">
        <v>0</v>
      </c>
    </row>
    <row r="78" spans="1:961" x14ac:dyDescent="0.3">
      <c r="A78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10000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5000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KP78">
        <v>0</v>
      </c>
      <c r="KQ78">
        <v>0</v>
      </c>
      <c r="KR78">
        <v>0</v>
      </c>
      <c r="KS78">
        <v>0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0</v>
      </c>
      <c r="LA78">
        <v>0</v>
      </c>
      <c r="LB78">
        <v>0</v>
      </c>
      <c r="LC78">
        <v>0</v>
      </c>
      <c r="LD78">
        <v>0</v>
      </c>
      <c r="LE78">
        <v>0</v>
      </c>
      <c r="LF78">
        <v>0</v>
      </c>
      <c r="LG78">
        <v>0</v>
      </c>
      <c r="LH78">
        <v>0</v>
      </c>
      <c r="LI78">
        <v>0</v>
      </c>
      <c r="LJ78">
        <v>0</v>
      </c>
      <c r="LK78">
        <v>0</v>
      </c>
      <c r="LL78">
        <v>0</v>
      </c>
      <c r="LM78">
        <v>0</v>
      </c>
      <c r="LN78">
        <v>0</v>
      </c>
      <c r="LO78">
        <v>0</v>
      </c>
      <c r="LP78">
        <v>0</v>
      </c>
      <c r="LQ78">
        <v>0</v>
      </c>
      <c r="LR78">
        <v>0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0</v>
      </c>
      <c r="MI78">
        <v>0</v>
      </c>
      <c r="MJ78">
        <v>0</v>
      </c>
      <c r="MK78">
        <v>0</v>
      </c>
      <c r="ML78">
        <v>0</v>
      </c>
      <c r="MM78">
        <v>0</v>
      </c>
      <c r="MN78">
        <v>0</v>
      </c>
      <c r="MO78">
        <v>0</v>
      </c>
      <c r="MP78">
        <v>0</v>
      </c>
      <c r="MQ78">
        <v>0</v>
      </c>
      <c r="MR78">
        <v>0</v>
      </c>
      <c r="MS78">
        <v>0</v>
      </c>
      <c r="MT78">
        <v>0</v>
      </c>
      <c r="MU78">
        <v>0</v>
      </c>
      <c r="MV78">
        <v>0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-3390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0</v>
      </c>
      <c r="NL78">
        <v>0</v>
      </c>
      <c r="NM78">
        <v>0</v>
      </c>
      <c r="NN78">
        <v>0</v>
      </c>
      <c r="NO78">
        <v>0</v>
      </c>
      <c r="NP78">
        <v>0</v>
      </c>
      <c r="NQ78">
        <v>0</v>
      </c>
      <c r="NR78">
        <v>0</v>
      </c>
      <c r="NS78">
        <v>0</v>
      </c>
      <c r="NT78">
        <v>0</v>
      </c>
      <c r="NU78">
        <v>0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0</v>
      </c>
      <c r="ON78">
        <v>0</v>
      </c>
      <c r="OO78">
        <v>0</v>
      </c>
      <c r="OP78">
        <v>0</v>
      </c>
      <c r="OQ78">
        <v>0</v>
      </c>
      <c r="OR78">
        <v>0</v>
      </c>
      <c r="OS78">
        <v>0</v>
      </c>
      <c r="OT78">
        <v>0</v>
      </c>
      <c r="OU78">
        <v>0</v>
      </c>
      <c r="OV78">
        <v>0</v>
      </c>
      <c r="OW78">
        <v>0</v>
      </c>
      <c r="OX78">
        <v>0</v>
      </c>
      <c r="OY78">
        <v>0</v>
      </c>
      <c r="OZ78">
        <v>0</v>
      </c>
      <c r="PA78">
        <v>0</v>
      </c>
      <c r="PB78">
        <v>0</v>
      </c>
      <c r="PC78">
        <v>0</v>
      </c>
      <c r="PD78">
        <v>0</v>
      </c>
      <c r="PE78">
        <v>0</v>
      </c>
      <c r="PF78">
        <v>0</v>
      </c>
      <c r="PG78">
        <v>0</v>
      </c>
      <c r="PH78">
        <v>0</v>
      </c>
      <c r="PI78">
        <v>0</v>
      </c>
      <c r="PJ78">
        <v>0</v>
      </c>
      <c r="PK78">
        <v>0</v>
      </c>
      <c r="PL78">
        <v>0</v>
      </c>
      <c r="PM78">
        <v>0</v>
      </c>
      <c r="PN78">
        <v>0</v>
      </c>
      <c r="PO78">
        <v>0</v>
      </c>
      <c r="PP78">
        <v>0</v>
      </c>
      <c r="PQ78">
        <v>0</v>
      </c>
      <c r="PR78">
        <v>0</v>
      </c>
      <c r="PS78">
        <v>0</v>
      </c>
      <c r="PT78">
        <v>0</v>
      </c>
      <c r="PU78">
        <v>0</v>
      </c>
      <c r="PV78">
        <v>0</v>
      </c>
      <c r="PW78">
        <v>0</v>
      </c>
      <c r="PX78">
        <v>0</v>
      </c>
      <c r="PY78">
        <v>0</v>
      </c>
      <c r="PZ78">
        <v>0</v>
      </c>
      <c r="QA78">
        <v>0</v>
      </c>
      <c r="QB78">
        <v>0</v>
      </c>
      <c r="QC78">
        <v>0</v>
      </c>
      <c r="QD78">
        <v>0</v>
      </c>
      <c r="QE78">
        <v>0</v>
      </c>
      <c r="QF78">
        <v>0</v>
      </c>
      <c r="QG78">
        <v>0</v>
      </c>
      <c r="QH78">
        <v>0</v>
      </c>
      <c r="QI78">
        <v>0</v>
      </c>
      <c r="QJ78">
        <v>0</v>
      </c>
      <c r="QK78">
        <v>0</v>
      </c>
      <c r="QL78">
        <v>0</v>
      </c>
      <c r="QM78">
        <v>0</v>
      </c>
      <c r="QN78">
        <v>0</v>
      </c>
      <c r="QO78">
        <v>0</v>
      </c>
      <c r="QP78">
        <v>0</v>
      </c>
      <c r="QQ78">
        <v>0</v>
      </c>
      <c r="QR78">
        <v>0</v>
      </c>
      <c r="QS78">
        <v>0</v>
      </c>
      <c r="QT78">
        <v>-150</v>
      </c>
      <c r="QU78">
        <v>0</v>
      </c>
      <c r="QV78">
        <v>0</v>
      </c>
      <c r="QW78">
        <v>0</v>
      </c>
      <c r="QX78">
        <v>0</v>
      </c>
      <c r="QY78">
        <v>0</v>
      </c>
      <c r="QZ78">
        <v>0</v>
      </c>
      <c r="RA78">
        <v>0</v>
      </c>
      <c r="RB78">
        <v>0</v>
      </c>
      <c r="RC78">
        <v>0</v>
      </c>
      <c r="RD78">
        <v>0</v>
      </c>
      <c r="RE78">
        <v>0</v>
      </c>
      <c r="RF78">
        <v>0</v>
      </c>
      <c r="RG78">
        <v>0</v>
      </c>
      <c r="RH78">
        <v>0</v>
      </c>
      <c r="RI78">
        <v>0</v>
      </c>
      <c r="RJ78">
        <v>0</v>
      </c>
      <c r="RK78">
        <v>0</v>
      </c>
      <c r="RL78">
        <v>0</v>
      </c>
      <c r="RM78">
        <v>0</v>
      </c>
      <c r="RN78">
        <v>0</v>
      </c>
      <c r="RO78">
        <v>0</v>
      </c>
      <c r="RP78">
        <v>0</v>
      </c>
      <c r="RQ78">
        <v>0</v>
      </c>
      <c r="RR78">
        <v>0</v>
      </c>
      <c r="RS78">
        <v>0</v>
      </c>
      <c r="RT78">
        <v>0</v>
      </c>
      <c r="RU78">
        <v>0</v>
      </c>
      <c r="RV78">
        <v>0</v>
      </c>
      <c r="RW78">
        <v>0</v>
      </c>
      <c r="RX78">
        <v>0</v>
      </c>
      <c r="RY78">
        <v>0</v>
      </c>
      <c r="RZ78">
        <v>0</v>
      </c>
      <c r="SA78">
        <v>0</v>
      </c>
      <c r="SB78">
        <v>0</v>
      </c>
      <c r="SC78">
        <v>0</v>
      </c>
      <c r="SD78">
        <v>0</v>
      </c>
      <c r="SE78">
        <v>0</v>
      </c>
      <c r="SF78">
        <v>0</v>
      </c>
      <c r="SG78">
        <v>0</v>
      </c>
      <c r="SH78">
        <v>0</v>
      </c>
      <c r="SI78">
        <v>0</v>
      </c>
      <c r="SJ78">
        <v>0</v>
      </c>
      <c r="SK78">
        <v>0</v>
      </c>
      <c r="SL78">
        <v>0</v>
      </c>
      <c r="SM78">
        <v>0</v>
      </c>
      <c r="SN78">
        <v>0</v>
      </c>
      <c r="SO78">
        <v>0</v>
      </c>
      <c r="SP78">
        <v>0</v>
      </c>
      <c r="SQ78">
        <v>0</v>
      </c>
      <c r="SR78">
        <v>0</v>
      </c>
      <c r="SS78">
        <v>0</v>
      </c>
      <c r="ST78">
        <v>0</v>
      </c>
      <c r="SU78">
        <v>0</v>
      </c>
      <c r="SV78">
        <v>0</v>
      </c>
      <c r="SW78">
        <v>0</v>
      </c>
      <c r="SX78">
        <v>0</v>
      </c>
      <c r="SY78">
        <v>0</v>
      </c>
      <c r="SZ78">
        <v>0</v>
      </c>
      <c r="TA78">
        <v>0</v>
      </c>
      <c r="TB78">
        <v>0</v>
      </c>
      <c r="TC78">
        <v>0</v>
      </c>
      <c r="TD78">
        <v>0</v>
      </c>
      <c r="TE78">
        <v>0</v>
      </c>
      <c r="TF78">
        <v>0</v>
      </c>
      <c r="TG78">
        <v>0</v>
      </c>
      <c r="TH78">
        <v>0</v>
      </c>
      <c r="TI78">
        <v>0</v>
      </c>
      <c r="TJ78">
        <v>0</v>
      </c>
      <c r="TK78">
        <v>0</v>
      </c>
      <c r="TL78">
        <v>0</v>
      </c>
      <c r="TM78">
        <v>0</v>
      </c>
      <c r="TN78">
        <v>0</v>
      </c>
      <c r="TO78">
        <v>0</v>
      </c>
      <c r="TP78">
        <v>0</v>
      </c>
      <c r="TQ78">
        <v>0</v>
      </c>
      <c r="TR78">
        <v>0</v>
      </c>
      <c r="TS78">
        <v>0</v>
      </c>
      <c r="TT78">
        <v>0</v>
      </c>
      <c r="TU78">
        <v>0</v>
      </c>
      <c r="TV78">
        <v>0</v>
      </c>
      <c r="TW78">
        <v>0</v>
      </c>
      <c r="TX78">
        <v>0</v>
      </c>
      <c r="TY78">
        <v>0</v>
      </c>
      <c r="TZ78">
        <v>0</v>
      </c>
      <c r="UA78">
        <v>0</v>
      </c>
      <c r="UB78">
        <v>0</v>
      </c>
      <c r="UC78">
        <v>0</v>
      </c>
      <c r="UD78">
        <v>0</v>
      </c>
      <c r="UE78">
        <v>0</v>
      </c>
      <c r="UF78">
        <v>0</v>
      </c>
      <c r="UG78">
        <v>0</v>
      </c>
      <c r="UH78">
        <v>0</v>
      </c>
      <c r="UI78">
        <v>0</v>
      </c>
      <c r="UJ78">
        <v>0</v>
      </c>
      <c r="UK78">
        <v>0</v>
      </c>
      <c r="UL78">
        <v>-1000</v>
      </c>
      <c r="UM78">
        <v>0</v>
      </c>
      <c r="UN78">
        <v>0</v>
      </c>
      <c r="UO78">
        <v>0</v>
      </c>
      <c r="UP78">
        <v>0</v>
      </c>
      <c r="UQ78">
        <v>0</v>
      </c>
      <c r="UR78">
        <v>0</v>
      </c>
      <c r="US78">
        <v>0</v>
      </c>
      <c r="UT78">
        <v>0</v>
      </c>
      <c r="UU78">
        <v>0</v>
      </c>
      <c r="UV78">
        <v>0</v>
      </c>
      <c r="UW78">
        <v>0</v>
      </c>
      <c r="UX78">
        <v>0</v>
      </c>
      <c r="UY78">
        <v>0</v>
      </c>
      <c r="UZ78">
        <v>0</v>
      </c>
      <c r="VA78">
        <v>0</v>
      </c>
      <c r="VB78">
        <v>0</v>
      </c>
      <c r="VC78">
        <v>0</v>
      </c>
      <c r="VD78">
        <v>0</v>
      </c>
      <c r="VE78">
        <v>0</v>
      </c>
      <c r="VF78">
        <v>0</v>
      </c>
      <c r="VG78">
        <v>0</v>
      </c>
      <c r="VH78">
        <v>0</v>
      </c>
      <c r="VI78">
        <v>0</v>
      </c>
      <c r="VJ78">
        <v>0</v>
      </c>
      <c r="VK78">
        <v>0</v>
      </c>
      <c r="VL78">
        <v>0</v>
      </c>
      <c r="VM78">
        <v>0</v>
      </c>
      <c r="VN78">
        <v>0</v>
      </c>
      <c r="VO78">
        <v>0</v>
      </c>
      <c r="VP78">
        <v>0</v>
      </c>
      <c r="VQ78">
        <v>0</v>
      </c>
      <c r="VR78">
        <v>0</v>
      </c>
      <c r="VS78">
        <v>0</v>
      </c>
      <c r="VT78">
        <v>0</v>
      </c>
      <c r="VU78">
        <v>0</v>
      </c>
      <c r="VV78">
        <v>0</v>
      </c>
      <c r="VW78">
        <v>0</v>
      </c>
      <c r="VX78">
        <v>0</v>
      </c>
      <c r="VY78">
        <v>0</v>
      </c>
      <c r="VZ78">
        <v>0</v>
      </c>
      <c r="WA78">
        <v>0</v>
      </c>
      <c r="WB78">
        <v>0</v>
      </c>
      <c r="WC78">
        <v>0</v>
      </c>
      <c r="WD78">
        <v>0</v>
      </c>
      <c r="WE78">
        <v>0</v>
      </c>
      <c r="WF78">
        <v>0</v>
      </c>
      <c r="WG78">
        <v>0</v>
      </c>
      <c r="WH78">
        <v>0</v>
      </c>
      <c r="WI78">
        <v>0</v>
      </c>
      <c r="WJ78">
        <v>0</v>
      </c>
      <c r="WK78">
        <v>0</v>
      </c>
      <c r="WL78">
        <v>0</v>
      </c>
      <c r="WM78">
        <v>0</v>
      </c>
      <c r="WN78">
        <v>0</v>
      </c>
      <c r="WO78">
        <v>0</v>
      </c>
      <c r="WP78">
        <v>0</v>
      </c>
      <c r="WQ78">
        <v>0</v>
      </c>
      <c r="WR78">
        <v>0</v>
      </c>
      <c r="WS78">
        <v>0</v>
      </c>
      <c r="WT78">
        <v>0</v>
      </c>
      <c r="WU78">
        <v>0</v>
      </c>
      <c r="WV78">
        <v>0</v>
      </c>
      <c r="WW78">
        <v>0</v>
      </c>
      <c r="WX78">
        <v>0</v>
      </c>
      <c r="WY78">
        <v>0</v>
      </c>
      <c r="WZ78">
        <v>0</v>
      </c>
      <c r="XA78">
        <v>0</v>
      </c>
      <c r="XB78">
        <v>0</v>
      </c>
      <c r="XC78">
        <v>0</v>
      </c>
      <c r="XD78">
        <v>0</v>
      </c>
      <c r="XE78">
        <v>0</v>
      </c>
      <c r="XF78">
        <v>0</v>
      </c>
      <c r="XG78">
        <v>0</v>
      </c>
      <c r="XH78">
        <v>0</v>
      </c>
      <c r="XI78">
        <v>0</v>
      </c>
      <c r="XJ78">
        <v>0</v>
      </c>
      <c r="XK78">
        <v>0</v>
      </c>
      <c r="XL78">
        <v>0</v>
      </c>
      <c r="XM78">
        <v>0</v>
      </c>
      <c r="XN78">
        <v>0</v>
      </c>
      <c r="XO78">
        <v>0</v>
      </c>
      <c r="XP78">
        <v>0</v>
      </c>
      <c r="XQ78">
        <v>0</v>
      </c>
      <c r="XR78">
        <v>0</v>
      </c>
      <c r="XS78">
        <v>0</v>
      </c>
      <c r="XT78">
        <v>0</v>
      </c>
      <c r="XU78">
        <v>0</v>
      </c>
      <c r="XV78">
        <v>0</v>
      </c>
      <c r="XW78">
        <v>0</v>
      </c>
      <c r="XX78">
        <v>0</v>
      </c>
      <c r="XY78">
        <v>0</v>
      </c>
      <c r="XZ78">
        <v>0</v>
      </c>
      <c r="YA78">
        <v>0</v>
      </c>
      <c r="YB78">
        <v>0</v>
      </c>
      <c r="YC78">
        <v>0</v>
      </c>
      <c r="YD78">
        <v>-5</v>
      </c>
      <c r="YE78">
        <v>0</v>
      </c>
      <c r="YF78">
        <v>0</v>
      </c>
      <c r="YG78">
        <v>0</v>
      </c>
      <c r="YH78">
        <v>0</v>
      </c>
      <c r="YI78">
        <v>0</v>
      </c>
      <c r="YJ78">
        <v>0</v>
      </c>
      <c r="YK78">
        <v>0</v>
      </c>
      <c r="YL78">
        <v>0</v>
      </c>
      <c r="YM78">
        <v>0</v>
      </c>
      <c r="YN78">
        <v>0</v>
      </c>
      <c r="YO78">
        <v>0</v>
      </c>
      <c r="YP78">
        <v>0</v>
      </c>
      <c r="YQ78">
        <v>0</v>
      </c>
      <c r="YR78">
        <v>0</v>
      </c>
      <c r="YS78">
        <v>0</v>
      </c>
      <c r="YT78">
        <v>0</v>
      </c>
      <c r="YU78">
        <v>0</v>
      </c>
      <c r="YV78">
        <v>0</v>
      </c>
      <c r="YW78">
        <v>0</v>
      </c>
      <c r="YX78">
        <v>0</v>
      </c>
      <c r="YY78">
        <v>0</v>
      </c>
      <c r="YZ78">
        <v>0</v>
      </c>
      <c r="ZA78">
        <v>0</v>
      </c>
      <c r="ZB78">
        <v>0</v>
      </c>
      <c r="ZC78">
        <v>0</v>
      </c>
      <c r="ZD78">
        <v>0</v>
      </c>
      <c r="ZE78">
        <v>0</v>
      </c>
      <c r="ZF78">
        <v>0</v>
      </c>
      <c r="ZG78">
        <v>0</v>
      </c>
      <c r="ZH78">
        <v>0</v>
      </c>
      <c r="ZI78">
        <v>0</v>
      </c>
      <c r="ZJ78">
        <v>0</v>
      </c>
      <c r="ZK78">
        <v>0</v>
      </c>
      <c r="ZL78">
        <v>0</v>
      </c>
      <c r="ZM78">
        <v>0</v>
      </c>
      <c r="ZN78">
        <v>0</v>
      </c>
      <c r="ZO78">
        <v>0</v>
      </c>
      <c r="ZP78">
        <v>0</v>
      </c>
      <c r="ZQ78">
        <v>0</v>
      </c>
      <c r="ZR78">
        <v>0</v>
      </c>
      <c r="ZS78">
        <v>0</v>
      </c>
      <c r="ZT78">
        <v>0</v>
      </c>
      <c r="ZU78">
        <v>0</v>
      </c>
      <c r="ZV78">
        <v>0</v>
      </c>
      <c r="ZW78">
        <v>0</v>
      </c>
      <c r="ZX78">
        <v>0</v>
      </c>
      <c r="ZY78">
        <v>0</v>
      </c>
      <c r="ZZ78">
        <v>0</v>
      </c>
      <c r="AAA78">
        <v>0</v>
      </c>
      <c r="AAB78">
        <v>0</v>
      </c>
      <c r="AAC78">
        <v>0</v>
      </c>
      <c r="AAD78">
        <v>0</v>
      </c>
      <c r="AAE78">
        <v>0</v>
      </c>
      <c r="AAF78">
        <v>0</v>
      </c>
      <c r="AAG78">
        <v>0</v>
      </c>
      <c r="AAH78">
        <v>0</v>
      </c>
      <c r="AAI78">
        <v>0</v>
      </c>
      <c r="AAJ78">
        <v>0</v>
      </c>
      <c r="AAK78">
        <v>0</v>
      </c>
      <c r="AAL78">
        <v>0</v>
      </c>
      <c r="AAM78">
        <v>0</v>
      </c>
      <c r="AAN78">
        <v>0</v>
      </c>
      <c r="AAO78">
        <v>0</v>
      </c>
      <c r="AAP78">
        <v>0</v>
      </c>
      <c r="AAQ78">
        <v>0</v>
      </c>
      <c r="AAR78">
        <v>0</v>
      </c>
      <c r="AAS78">
        <v>0</v>
      </c>
      <c r="AAT78">
        <v>0</v>
      </c>
      <c r="AAU78">
        <v>0</v>
      </c>
      <c r="AAV78">
        <v>0</v>
      </c>
      <c r="AAW78">
        <v>0</v>
      </c>
      <c r="AAX78">
        <v>0</v>
      </c>
      <c r="AAY78">
        <v>0</v>
      </c>
      <c r="AAZ78">
        <v>0</v>
      </c>
      <c r="ABA78">
        <v>0</v>
      </c>
      <c r="ABB78">
        <v>0</v>
      </c>
      <c r="ABC78">
        <v>0</v>
      </c>
      <c r="ABD78">
        <v>0</v>
      </c>
      <c r="ABE78">
        <v>0</v>
      </c>
      <c r="ABF78">
        <v>0</v>
      </c>
      <c r="ABG78">
        <v>0</v>
      </c>
      <c r="ABH78">
        <v>0</v>
      </c>
      <c r="ABI78">
        <v>0</v>
      </c>
      <c r="ABJ78">
        <v>0</v>
      </c>
      <c r="ABK78">
        <v>0</v>
      </c>
      <c r="ABL78">
        <v>0</v>
      </c>
      <c r="ABM78">
        <v>0</v>
      </c>
      <c r="ABN78">
        <v>0</v>
      </c>
      <c r="ABO78">
        <v>0</v>
      </c>
      <c r="ABP78">
        <v>0</v>
      </c>
      <c r="ABQ78">
        <v>0</v>
      </c>
      <c r="ABR78">
        <v>0</v>
      </c>
      <c r="ABS78">
        <v>0</v>
      </c>
      <c r="ABT78">
        <v>0</v>
      </c>
      <c r="ABU78">
        <v>0</v>
      </c>
      <c r="ABV78">
        <v>-256.16438356164383</v>
      </c>
      <c r="ABW78">
        <v>0</v>
      </c>
      <c r="ABX78">
        <v>0</v>
      </c>
      <c r="ABY78">
        <v>0</v>
      </c>
      <c r="ABZ78">
        <v>0</v>
      </c>
      <c r="ACA78">
        <v>0</v>
      </c>
      <c r="ACB78">
        <v>0</v>
      </c>
      <c r="ACC78">
        <v>0</v>
      </c>
      <c r="ACD78">
        <v>0</v>
      </c>
      <c r="ACE78">
        <v>0</v>
      </c>
      <c r="ACF78">
        <v>0</v>
      </c>
      <c r="ACG78">
        <v>0</v>
      </c>
      <c r="ACH78">
        <v>0</v>
      </c>
      <c r="ACI78">
        <v>0</v>
      </c>
      <c r="ACJ78">
        <v>0</v>
      </c>
      <c r="ACK78">
        <v>0</v>
      </c>
      <c r="ACL78">
        <v>0</v>
      </c>
      <c r="ACM78">
        <v>0</v>
      </c>
      <c r="ACN78">
        <v>0</v>
      </c>
      <c r="ACO78">
        <v>0</v>
      </c>
      <c r="ACP78">
        <v>0</v>
      </c>
      <c r="ACQ78">
        <v>0</v>
      </c>
      <c r="ACR78">
        <v>0</v>
      </c>
      <c r="ACS78">
        <v>0</v>
      </c>
      <c r="ACT78">
        <v>0</v>
      </c>
      <c r="ACU78">
        <v>0</v>
      </c>
      <c r="ACV78">
        <v>0</v>
      </c>
      <c r="ACW78">
        <v>0</v>
      </c>
      <c r="ACX78">
        <v>0</v>
      </c>
      <c r="ACY78">
        <v>0</v>
      </c>
      <c r="ACZ78">
        <v>0</v>
      </c>
      <c r="ADA78">
        <v>0</v>
      </c>
      <c r="ADB78">
        <v>0</v>
      </c>
      <c r="ADC78">
        <v>0</v>
      </c>
      <c r="ADD78">
        <v>0</v>
      </c>
      <c r="ADE78">
        <v>0</v>
      </c>
      <c r="ADF78">
        <v>0</v>
      </c>
      <c r="ADG78">
        <v>0</v>
      </c>
      <c r="ADH78">
        <v>0</v>
      </c>
      <c r="ADI78">
        <v>0</v>
      </c>
      <c r="ADJ78">
        <v>0</v>
      </c>
      <c r="ADK78">
        <v>0</v>
      </c>
      <c r="ADL78">
        <v>0</v>
      </c>
      <c r="ADM78">
        <v>0</v>
      </c>
      <c r="ADN78">
        <v>0</v>
      </c>
      <c r="ADO78">
        <v>0</v>
      </c>
      <c r="ADP78">
        <v>0</v>
      </c>
      <c r="ADQ78">
        <v>0</v>
      </c>
      <c r="ADR78">
        <v>0</v>
      </c>
      <c r="ADS78">
        <v>0</v>
      </c>
      <c r="ADT78">
        <v>0</v>
      </c>
      <c r="ADU78">
        <v>0</v>
      </c>
      <c r="ADV78">
        <v>0</v>
      </c>
      <c r="ADW78">
        <v>0</v>
      </c>
      <c r="ADX78">
        <v>0</v>
      </c>
      <c r="ADY78">
        <v>0</v>
      </c>
      <c r="ADZ78">
        <v>0</v>
      </c>
      <c r="AEA78">
        <v>0</v>
      </c>
      <c r="AEB78">
        <v>0</v>
      </c>
      <c r="AEC78">
        <v>0</v>
      </c>
      <c r="AED78">
        <v>0</v>
      </c>
      <c r="AEE78">
        <v>0</v>
      </c>
      <c r="AEF78">
        <v>0</v>
      </c>
      <c r="AEG78">
        <v>0</v>
      </c>
      <c r="AEH78">
        <v>0</v>
      </c>
      <c r="AEI78">
        <v>0</v>
      </c>
      <c r="AEJ78">
        <v>0</v>
      </c>
      <c r="AEK78">
        <v>0</v>
      </c>
      <c r="AEL78">
        <v>0</v>
      </c>
      <c r="AEM78">
        <v>0</v>
      </c>
      <c r="AEN78">
        <v>0</v>
      </c>
      <c r="AEO78">
        <v>0</v>
      </c>
      <c r="AEP78">
        <v>0</v>
      </c>
      <c r="AEQ78">
        <v>0</v>
      </c>
      <c r="AER78">
        <v>0</v>
      </c>
      <c r="AES78">
        <v>0</v>
      </c>
      <c r="AET78">
        <v>0</v>
      </c>
      <c r="AEU78">
        <v>0</v>
      </c>
      <c r="AEV78">
        <v>0</v>
      </c>
      <c r="AEW78">
        <v>0</v>
      </c>
      <c r="AEX78">
        <v>0</v>
      </c>
      <c r="AEY78">
        <v>0</v>
      </c>
      <c r="AEZ78">
        <v>0</v>
      </c>
      <c r="AFA78">
        <v>0</v>
      </c>
      <c r="AFB78">
        <v>0</v>
      </c>
      <c r="AFC78">
        <v>0</v>
      </c>
      <c r="AFD78">
        <v>0</v>
      </c>
      <c r="AFE78">
        <v>0</v>
      </c>
      <c r="AFF78">
        <v>0</v>
      </c>
      <c r="AFG78">
        <v>0</v>
      </c>
      <c r="AFH78">
        <v>0</v>
      </c>
      <c r="AFI78">
        <v>0</v>
      </c>
      <c r="AFJ78">
        <v>0</v>
      </c>
      <c r="AFK78">
        <v>0</v>
      </c>
      <c r="AFL78">
        <v>0</v>
      </c>
      <c r="AFM78">
        <v>0</v>
      </c>
      <c r="AFN78">
        <v>-120</v>
      </c>
      <c r="AFO78">
        <v>0</v>
      </c>
      <c r="AFP78">
        <v>0</v>
      </c>
      <c r="AFQ78">
        <v>0</v>
      </c>
      <c r="AFR78">
        <v>0</v>
      </c>
      <c r="AFS78">
        <v>0</v>
      </c>
      <c r="AFT78">
        <v>0</v>
      </c>
      <c r="AFU78">
        <v>0</v>
      </c>
      <c r="AFV78">
        <v>0</v>
      </c>
      <c r="AFW78">
        <v>0</v>
      </c>
      <c r="AFX78">
        <v>0</v>
      </c>
      <c r="AFY78">
        <v>0</v>
      </c>
      <c r="AFZ78">
        <v>0</v>
      </c>
      <c r="AGA78">
        <v>0</v>
      </c>
      <c r="AGB78">
        <v>0</v>
      </c>
      <c r="AGC78">
        <v>0</v>
      </c>
      <c r="AGD78">
        <v>0</v>
      </c>
      <c r="AGE78">
        <v>0</v>
      </c>
      <c r="AGF78">
        <v>0</v>
      </c>
      <c r="AGG78">
        <v>0</v>
      </c>
      <c r="AGH78">
        <v>0</v>
      </c>
      <c r="AGI78">
        <v>0</v>
      </c>
      <c r="AGJ78">
        <v>0</v>
      </c>
      <c r="AGK78">
        <v>0</v>
      </c>
      <c r="AGL78">
        <v>0</v>
      </c>
      <c r="AGM78">
        <v>0</v>
      </c>
      <c r="AGN78">
        <v>0</v>
      </c>
      <c r="AGO78">
        <v>0</v>
      </c>
      <c r="AGP78">
        <v>0</v>
      </c>
      <c r="AGQ78">
        <v>0</v>
      </c>
      <c r="AGR78">
        <v>0</v>
      </c>
      <c r="AGS78">
        <v>0</v>
      </c>
      <c r="AGT78">
        <v>0</v>
      </c>
      <c r="AGU78">
        <v>0</v>
      </c>
      <c r="AGV78">
        <v>0</v>
      </c>
      <c r="AGW78">
        <v>0</v>
      </c>
      <c r="AGX78">
        <v>0</v>
      </c>
      <c r="AGY78">
        <v>0</v>
      </c>
      <c r="AGZ78">
        <v>0</v>
      </c>
      <c r="AHA78">
        <v>0</v>
      </c>
      <c r="AHB78">
        <v>0</v>
      </c>
      <c r="AHC78">
        <v>0</v>
      </c>
      <c r="AHD78">
        <v>0</v>
      </c>
      <c r="AHE78">
        <v>0</v>
      </c>
      <c r="AHF78">
        <v>0</v>
      </c>
      <c r="AHG78">
        <v>0</v>
      </c>
      <c r="AHH78">
        <v>0</v>
      </c>
      <c r="AHI78">
        <v>0</v>
      </c>
      <c r="AHJ78">
        <v>0</v>
      </c>
      <c r="AHK78">
        <v>0</v>
      </c>
      <c r="AHL78">
        <v>0</v>
      </c>
      <c r="AHM78">
        <v>0</v>
      </c>
      <c r="AHN78">
        <v>0</v>
      </c>
      <c r="AHO78">
        <v>0</v>
      </c>
      <c r="AHP78">
        <v>0</v>
      </c>
      <c r="AHQ78">
        <v>0</v>
      </c>
      <c r="AHR78">
        <v>0</v>
      </c>
      <c r="AHS78">
        <v>0</v>
      </c>
      <c r="AHT78">
        <v>0</v>
      </c>
      <c r="AHU78">
        <v>0</v>
      </c>
      <c r="AHV78">
        <v>0</v>
      </c>
      <c r="AHW78">
        <v>0</v>
      </c>
      <c r="AHX78">
        <v>0</v>
      </c>
      <c r="AHY78">
        <v>0</v>
      </c>
      <c r="AHZ78">
        <v>0</v>
      </c>
      <c r="AIA78">
        <v>0</v>
      </c>
      <c r="AIB78">
        <v>0</v>
      </c>
      <c r="AIC78">
        <v>0</v>
      </c>
      <c r="AID78">
        <v>0</v>
      </c>
      <c r="AIE78">
        <v>0</v>
      </c>
      <c r="AIF78">
        <v>0</v>
      </c>
      <c r="AIG78">
        <v>0</v>
      </c>
      <c r="AIH78">
        <v>0</v>
      </c>
      <c r="AII78">
        <v>0</v>
      </c>
      <c r="AIJ78">
        <v>0</v>
      </c>
      <c r="AIK78">
        <v>0</v>
      </c>
      <c r="AIL78">
        <v>0</v>
      </c>
      <c r="AIM78">
        <v>0</v>
      </c>
      <c r="AIN78">
        <v>0</v>
      </c>
      <c r="AIO78">
        <v>0</v>
      </c>
      <c r="AIP78">
        <v>0</v>
      </c>
      <c r="AIQ78">
        <v>0</v>
      </c>
      <c r="AIR78">
        <v>0</v>
      </c>
      <c r="AIS78">
        <v>0</v>
      </c>
      <c r="AIT78">
        <v>0</v>
      </c>
      <c r="AIU78">
        <v>0</v>
      </c>
      <c r="AIV78">
        <v>0</v>
      </c>
      <c r="AIW78">
        <v>0</v>
      </c>
      <c r="AIX78">
        <v>0</v>
      </c>
      <c r="AIY78">
        <v>0</v>
      </c>
      <c r="AIZ78">
        <v>0</v>
      </c>
      <c r="AJA78">
        <v>0</v>
      </c>
      <c r="AJB78">
        <v>0</v>
      </c>
      <c r="AJC78">
        <v>0</v>
      </c>
      <c r="AJD78">
        <v>0</v>
      </c>
      <c r="AJE78">
        <v>0</v>
      </c>
      <c r="AJF78">
        <v>-4500</v>
      </c>
      <c r="AJG78">
        <v>0</v>
      </c>
      <c r="AJH78">
        <v>0</v>
      </c>
      <c r="AJI78">
        <v>0</v>
      </c>
      <c r="AJJ78">
        <v>0</v>
      </c>
      <c r="AJK78">
        <v>0</v>
      </c>
      <c r="AJL78">
        <v>0</v>
      </c>
      <c r="AJM78">
        <v>0</v>
      </c>
      <c r="AJN78">
        <v>0</v>
      </c>
      <c r="AJO78">
        <v>0</v>
      </c>
      <c r="AJP78">
        <v>0</v>
      </c>
      <c r="AJQ78">
        <v>0</v>
      </c>
      <c r="AJR78">
        <v>0</v>
      </c>
      <c r="AJS78">
        <v>0</v>
      </c>
      <c r="AJT78">
        <v>0</v>
      </c>
      <c r="AJU78">
        <v>0</v>
      </c>
      <c r="AJV78">
        <v>0</v>
      </c>
      <c r="AJW78">
        <v>0</v>
      </c>
      <c r="AJX78">
        <v>0</v>
      </c>
      <c r="AJY78">
        <v>0</v>
      </c>
    </row>
    <row r="79" spans="1:961" x14ac:dyDescent="0.3">
      <c r="A79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10000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5000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0</v>
      </c>
      <c r="LA79">
        <v>0</v>
      </c>
      <c r="LB79">
        <v>0</v>
      </c>
      <c r="LC79">
        <v>0</v>
      </c>
      <c r="LD79">
        <v>0</v>
      </c>
      <c r="LE79">
        <v>0</v>
      </c>
      <c r="LF79">
        <v>0</v>
      </c>
      <c r="LG79">
        <v>0</v>
      </c>
      <c r="LH79">
        <v>0</v>
      </c>
      <c r="LI79">
        <v>0</v>
      </c>
      <c r="LJ79">
        <v>0</v>
      </c>
      <c r="LK79">
        <v>0</v>
      </c>
      <c r="LL79">
        <v>0</v>
      </c>
      <c r="LM79">
        <v>0</v>
      </c>
      <c r="LN79">
        <v>0</v>
      </c>
      <c r="LO79">
        <v>0</v>
      </c>
      <c r="LP79">
        <v>0</v>
      </c>
      <c r="LQ79">
        <v>0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0</v>
      </c>
      <c r="MN79">
        <v>0</v>
      </c>
      <c r="MO79">
        <v>0</v>
      </c>
      <c r="MP79">
        <v>0</v>
      </c>
      <c r="MQ79">
        <v>0</v>
      </c>
      <c r="MR79">
        <v>0</v>
      </c>
      <c r="MS79">
        <v>0</v>
      </c>
      <c r="MT79">
        <v>0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-3390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0</v>
      </c>
      <c r="NM79">
        <v>0</v>
      </c>
      <c r="NN79">
        <v>0</v>
      </c>
      <c r="NO79">
        <v>0</v>
      </c>
      <c r="NP79">
        <v>0</v>
      </c>
      <c r="NQ79">
        <v>0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0</v>
      </c>
      <c r="OO79">
        <v>0</v>
      </c>
      <c r="OP79">
        <v>0</v>
      </c>
      <c r="OQ79">
        <v>0</v>
      </c>
      <c r="OR79">
        <v>0</v>
      </c>
      <c r="OS79">
        <v>0</v>
      </c>
      <c r="OT79">
        <v>0</v>
      </c>
      <c r="OU79">
        <v>0</v>
      </c>
      <c r="OV79">
        <v>0</v>
      </c>
      <c r="OW79">
        <v>0</v>
      </c>
      <c r="OX79">
        <v>0</v>
      </c>
      <c r="OY79">
        <v>0</v>
      </c>
      <c r="OZ79">
        <v>0</v>
      </c>
      <c r="PA79">
        <v>0</v>
      </c>
      <c r="PB79">
        <v>0</v>
      </c>
      <c r="PC79">
        <v>0</v>
      </c>
      <c r="PD79">
        <v>0</v>
      </c>
      <c r="PE79">
        <v>0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0</v>
      </c>
      <c r="PP79">
        <v>0</v>
      </c>
      <c r="PQ79">
        <v>0</v>
      </c>
      <c r="PR79">
        <v>0</v>
      </c>
      <c r="PS79">
        <v>0</v>
      </c>
      <c r="PT79">
        <v>0</v>
      </c>
      <c r="PU79">
        <v>0</v>
      </c>
      <c r="PV79">
        <v>0</v>
      </c>
      <c r="PW79">
        <v>0</v>
      </c>
      <c r="PX79">
        <v>0</v>
      </c>
      <c r="PY79">
        <v>0</v>
      </c>
      <c r="PZ79">
        <v>0</v>
      </c>
      <c r="QA79">
        <v>0</v>
      </c>
      <c r="QB79">
        <v>0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</v>
      </c>
      <c r="QI79">
        <v>0</v>
      </c>
      <c r="QJ79">
        <v>0</v>
      </c>
      <c r="QK79">
        <v>0</v>
      </c>
      <c r="QL79">
        <v>0</v>
      </c>
      <c r="QM79">
        <v>0</v>
      </c>
      <c r="QN79">
        <v>0</v>
      </c>
      <c r="QO79">
        <v>0</v>
      </c>
      <c r="QP79">
        <v>0</v>
      </c>
      <c r="QQ79">
        <v>0</v>
      </c>
      <c r="QR79">
        <v>0</v>
      </c>
      <c r="QS79">
        <v>0</v>
      </c>
      <c r="QT79">
        <v>0</v>
      </c>
      <c r="QU79">
        <v>-150</v>
      </c>
      <c r="QV79">
        <v>0</v>
      </c>
      <c r="QW79">
        <v>0</v>
      </c>
      <c r="QX79">
        <v>0</v>
      </c>
      <c r="QY79">
        <v>0</v>
      </c>
      <c r="QZ79">
        <v>0</v>
      </c>
      <c r="RA79">
        <v>0</v>
      </c>
      <c r="RB79">
        <v>0</v>
      </c>
      <c r="RC79">
        <v>0</v>
      </c>
      <c r="RD79">
        <v>0</v>
      </c>
      <c r="RE79">
        <v>0</v>
      </c>
      <c r="RF79">
        <v>0</v>
      </c>
      <c r="RG79">
        <v>0</v>
      </c>
      <c r="RH79">
        <v>0</v>
      </c>
      <c r="RI79">
        <v>0</v>
      </c>
      <c r="RJ79">
        <v>0</v>
      </c>
      <c r="RK79">
        <v>0</v>
      </c>
      <c r="RL79">
        <v>0</v>
      </c>
      <c r="RM79">
        <v>0</v>
      </c>
      <c r="RN79">
        <v>0</v>
      </c>
      <c r="RO79">
        <v>0</v>
      </c>
      <c r="RP79">
        <v>0</v>
      </c>
      <c r="RQ79">
        <v>0</v>
      </c>
      <c r="RR79">
        <v>0</v>
      </c>
      <c r="RS79">
        <v>0</v>
      </c>
      <c r="RT79">
        <v>0</v>
      </c>
      <c r="RU79">
        <v>0</v>
      </c>
      <c r="RV79">
        <v>0</v>
      </c>
      <c r="RW79">
        <v>0</v>
      </c>
      <c r="RX79">
        <v>0</v>
      </c>
      <c r="RY79">
        <v>0</v>
      </c>
      <c r="RZ79">
        <v>0</v>
      </c>
      <c r="SA79">
        <v>0</v>
      </c>
      <c r="SB79">
        <v>0</v>
      </c>
      <c r="SC79">
        <v>0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0</v>
      </c>
      <c r="SK79">
        <v>0</v>
      </c>
      <c r="SL79">
        <v>0</v>
      </c>
      <c r="SM79">
        <v>0</v>
      </c>
      <c r="SN79">
        <v>0</v>
      </c>
      <c r="SO79">
        <v>0</v>
      </c>
      <c r="SP79">
        <v>0</v>
      </c>
      <c r="SQ79">
        <v>0</v>
      </c>
      <c r="SR79">
        <v>0</v>
      </c>
      <c r="SS79">
        <v>0</v>
      </c>
      <c r="ST79">
        <v>0</v>
      </c>
      <c r="SU79">
        <v>0</v>
      </c>
      <c r="SV79">
        <v>0</v>
      </c>
      <c r="SW79">
        <v>0</v>
      </c>
      <c r="SX79">
        <v>0</v>
      </c>
      <c r="SY79">
        <v>0</v>
      </c>
      <c r="SZ79">
        <v>0</v>
      </c>
      <c r="TA79">
        <v>0</v>
      </c>
      <c r="TB79">
        <v>0</v>
      </c>
      <c r="TC79">
        <v>0</v>
      </c>
      <c r="TD79">
        <v>0</v>
      </c>
      <c r="TE79">
        <v>0</v>
      </c>
      <c r="TF79">
        <v>0</v>
      </c>
      <c r="TG79">
        <v>0</v>
      </c>
      <c r="TH79">
        <v>0</v>
      </c>
      <c r="TI79">
        <v>0</v>
      </c>
      <c r="TJ79">
        <v>0</v>
      </c>
      <c r="TK79">
        <v>0</v>
      </c>
      <c r="TL79">
        <v>0</v>
      </c>
      <c r="TM79">
        <v>0</v>
      </c>
      <c r="TN79">
        <v>0</v>
      </c>
      <c r="TO79">
        <v>0</v>
      </c>
      <c r="TP79">
        <v>0</v>
      </c>
      <c r="TQ79">
        <v>0</v>
      </c>
      <c r="TR79">
        <v>0</v>
      </c>
      <c r="TS79">
        <v>0</v>
      </c>
      <c r="TT79">
        <v>0</v>
      </c>
      <c r="TU79">
        <v>0</v>
      </c>
      <c r="TV79">
        <v>0</v>
      </c>
      <c r="TW79">
        <v>0</v>
      </c>
      <c r="TX79">
        <v>0</v>
      </c>
      <c r="TY79">
        <v>0</v>
      </c>
      <c r="TZ79">
        <v>0</v>
      </c>
      <c r="UA79">
        <v>0</v>
      </c>
      <c r="UB79">
        <v>0</v>
      </c>
      <c r="UC79">
        <v>0</v>
      </c>
      <c r="UD79">
        <v>0</v>
      </c>
      <c r="UE79">
        <v>0</v>
      </c>
      <c r="UF79">
        <v>0</v>
      </c>
      <c r="UG79">
        <v>0</v>
      </c>
      <c r="UH79">
        <v>0</v>
      </c>
      <c r="UI79">
        <v>0</v>
      </c>
      <c r="UJ79">
        <v>0</v>
      </c>
      <c r="UK79">
        <v>0</v>
      </c>
      <c r="UL79">
        <v>0</v>
      </c>
      <c r="UM79">
        <v>-1000</v>
      </c>
      <c r="UN79">
        <v>0</v>
      </c>
      <c r="UO79">
        <v>0</v>
      </c>
      <c r="UP79">
        <v>0</v>
      </c>
      <c r="UQ79">
        <v>0</v>
      </c>
      <c r="UR79">
        <v>0</v>
      </c>
      <c r="US79">
        <v>0</v>
      </c>
      <c r="UT79">
        <v>0</v>
      </c>
      <c r="UU79">
        <v>0</v>
      </c>
      <c r="UV79">
        <v>0</v>
      </c>
      <c r="UW79">
        <v>0</v>
      </c>
      <c r="UX79">
        <v>0</v>
      </c>
      <c r="UY79">
        <v>0</v>
      </c>
      <c r="UZ79">
        <v>0</v>
      </c>
      <c r="VA79">
        <v>0</v>
      </c>
      <c r="VB79">
        <v>0</v>
      </c>
      <c r="VC79">
        <v>0</v>
      </c>
      <c r="VD79">
        <v>0</v>
      </c>
      <c r="VE79">
        <v>0</v>
      </c>
      <c r="VF79">
        <v>0</v>
      </c>
      <c r="VG79">
        <v>0</v>
      </c>
      <c r="VH79">
        <v>0</v>
      </c>
      <c r="VI79">
        <v>0</v>
      </c>
      <c r="VJ79">
        <v>0</v>
      </c>
      <c r="VK79">
        <v>0</v>
      </c>
      <c r="VL79">
        <v>0</v>
      </c>
      <c r="VM79">
        <v>0</v>
      </c>
      <c r="VN79">
        <v>0</v>
      </c>
      <c r="VO79">
        <v>0</v>
      </c>
      <c r="VP79">
        <v>0</v>
      </c>
      <c r="VQ79">
        <v>0</v>
      </c>
      <c r="VR79">
        <v>0</v>
      </c>
      <c r="VS79">
        <v>0</v>
      </c>
      <c r="VT79">
        <v>0</v>
      </c>
      <c r="VU79">
        <v>0</v>
      </c>
      <c r="VV79">
        <v>0</v>
      </c>
      <c r="VW79">
        <v>0</v>
      </c>
      <c r="VX79">
        <v>0</v>
      </c>
      <c r="VY79">
        <v>0</v>
      </c>
      <c r="VZ79">
        <v>0</v>
      </c>
      <c r="WA79">
        <v>0</v>
      </c>
      <c r="WB79">
        <v>0</v>
      </c>
      <c r="WC79">
        <v>0</v>
      </c>
      <c r="WD79">
        <v>0</v>
      </c>
      <c r="WE79">
        <v>0</v>
      </c>
      <c r="WF79">
        <v>0</v>
      </c>
      <c r="WG79">
        <v>0</v>
      </c>
      <c r="WH79">
        <v>0</v>
      </c>
      <c r="WI79">
        <v>0</v>
      </c>
      <c r="WJ79">
        <v>0</v>
      </c>
      <c r="WK79">
        <v>0</v>
      </c>
      <c r="WL79">
        <v>0</v>
      </c>
      <c r="WM79">
        <v>0</v>
      </c>
      <c r="WN79">
        <v>0</v>
      </c>
      <c r="WO79">
        <v>0</v>
      </c>
      <c r="WP79">
        <v>0</v>
      </c>
      <c r="WQ79">
        <v>0</v>
      </c>
      <c r="WR79">
        <v>0</v>
      </c>
      <c r="WS79">
        <v>0</v>
      </c>
      <c r="WT79">
        <v>0</v>
      </c>
      <c r="WU79">
        <v>0</v>
      </c>
      <c r="WV79">
        <v>0</v>
      </c>
      <c r="WW79">
        <v>0</v>
      </c>
      <c r="WX79">
        <v>0</v>
      </c>
      <c r="WY79">
        <v>0</v>
      </c>
      <c r="WZ79">
        <v>0</v>
      </c>
      <c r="XA79">
        <v>0</v>
      </c>
      <c r="XB79">
        <v>0</v>
      </c>
      <c r="XC79">
        <v>0</v>
      </c>
      <c r="XD79">
        <v>0</v>
      </c>
      <c r="XE79">
        <v>0</v>
      </c>
      <c r="XF79">
        <v>0</v>
      </c>
      <c r="XG79">
        <v>0</v>
      </c>
      <c r="XH79">
        <v>0</v>
      </c>
      <c r="XI79">
        <v>0</v>
      </c>
      <c r="XJ79">
        <v>0</v>
      </c>
      <c r="XK79">
        <v>0</v>
      </c>
      <c r="XL79">
        <v>0</v>
      </c>
      <c r="XM79">
        <v>0</v>
      </c>
      <c r="XN79">
        <v>0</v>
      </c>
      <c r="XO79">
        <v>0</v>
      </c>
      <c r="XP79">
        <v>0</v>
      </c>
      <c r="XQ79">
        <v>0</v>
      </c>
      <c r="XR79">
        <v>0</v>
      </c>
      <c r="XS79">
        <v>0</v>
      </c>
      <c r="XT79">
        <v>0</v>
      </c>
      <c r="XU79">
        <v>0</v>
      </c>
      <c r="XV79">
        <v>0</v>
      </c>
      <c r="XW79">
        <v>0</v>
      </c>
      <c r="XX79">
        <v>0</v>
      </c>
      <c r="XY79">
        <v>0</v>
      </c>
      <c r="XZ79">
        <v>0</v>
      </c>
      <c r="YA79">
        <v>0</v>
      </c>
      <c r="YB79">
        <v>0</v>
      </c>
      <c r="YC79">
        <v>0</v>
      </c>
      <c r="YD79">
        <v>0</v>
      </c>
      <c r="YE79">
        <v>-5</v>
      </c>
      <c r="YF79">
        <v>0</v>
      </c>
      <c r="YG79">
        <v>0</v>
      </c>
      <c r="YH79">
        <v>0</v>
      </c>
      <c r="YI79">
        <v>0</v>
      </c>
      <c r="YJ79">
        <v>0</v>
      </c>
      <c r="YK79">
        <v>0</v>
      </c>
      <c r="YL79">
        <v>0</v>
      </c>
      <c r="YM79">
        <v>0</v>
      </c>
      <c r="YN79">
        <v>0</v>
      </c>
      <c r="YO79">
        <v>0</v>
      </c>
      <c r="YP79">
        <v>0</v>
      </c>
      <c r="YQ79">
        <v>0</v>
      </c>
      <c r="YR79">
        <v>0</v>
      </c>
      <c r="YS79">
        <v>0</v>
      </c>
      <c r="YT79">
        <v>0</v>
      </c>
      <c r="YU79">
        <v>0</v>
      </c>
      <c r="YV79">
        <v>0</v>
      </c>
      <c r="YW79">
        <v>0</v>
      </c>
      <c r="YX79">
        <v>0</v>
      </c>
      <c r="YY79">
        <v>0</v>
      </c>
      <c r="YZ79">
        <v>0</v>
      </c>
      <c r="ZA79">
        <v>0</v>
      </c>
      <c r="ZB79">
        <v>0</v>
      </c>
      <c r="ZC79">
        <v>0</v>
      </c>
      <c r="ZD79">
        <v>0</v>
      </c>
      <c r="ZE79">
        <v>0</v>
      </c>
      <c r="ZF79">
        <v>0</v>
      </c>
      <c r="ZG79">
        <v>0</v>
      </c>
      <c r="ZH79">
        <v>0</v>
      </c>
      <c r="ZI79">
        <v>0</v>
      </c>
      <c r="ZJ79">
        <v>0</v>
      </c>
      <c r="ZK79">
        <v>0</v>
      </c>
      <c r="ZL79">
        <v>0</v>
      </c>
      <c r="ZM79">
        <v>0</v>
      </c>
      <c r="ZN79">
        <v>0</v>
      </c>
      <c r="ZO79">
        <v>0</v>
      </c>
      <c r="ZP79">
        <v>0</v>
      </c>
      <c r="ZQ79">
        <v>0</v>
      </c>
      <c r="ZR79">
        <v>0</v>
      </c>
      <c r="ZS79">
        <v>0</v>
      </c>
      <c r="ZT79">
        <v>0</v>
      </c>
      <c r="ZU79">
        <v>0</v>
      </c>
      <c r="ZV79">
        <v>0</v>
      </c>
      <c r="ZW79">
        <v>0</v>
      </c>
      <c r="ZX79">
        <v>0</v>
      </c>
      <c r="ZY79">
        <v>0</v>
      </c>
      <c r="ZZ79">
        <v>0</v>
      </c>
      <c r="AAA79">
        <v>0</v>
      </c>
      <c r="AAB79">
        <v>0</v>
      </c>
      <c r="AAC79">
        <v>0</v>
      </c>
      <c r="AAD79">
        <v>0</v>
      </c>
      <c r="AAE79">
        <v>0</v>
      </c>
      <c r="AAF79">
        <v>0</v>
      </c>
      <c r="AAG79">
        <v>0</v>
      </c>
      <c r="AAH79">
        <v>0</v>
      </c>
      <c r="AAI79">
        <v>0</v>
      </c>
      <c r="AAJ79">
        <v>0</v>
      </c>
      <c r="AAK79">
        <v>0</v>
      </c>
      <c r="AAL79">
        <v>0</v>
      </c>
      <c r="AAM79">
        <v>0</v>
      </c>
      <c r="AAN79">
        <v>0</v>
      </c>
      <c r="AAO79">
        <v>0</v>
      </c>
      <c r="AAP79">
        <v>0</v>
      </c>
      <c r="AAQ79">
        <v>0</v>
      </c>
      <c r="AAR79">
        <v>0</v>
      </c>
      <c r="AAS79">
        <v>0</v>
      </c>
      <c r="AAT79">
        <v>0</v>
      </c>
      <c r="AAU79">
        <v>0</v>
      </c>
      <c r="AAV79">
        <v>0</v>
      </c>
      <c r="AAW79">
        <v>0</v>
      </c>
      <c r="AAX79">
        <v>0</v>
      </c>
      <c r="AAY79">
        <v>0</v>
      </c>
      <c r="AAZ79">
        <v>0</v>
      </c>
      <c r="ABA79">
        <v>0</v>
      </c>
      <c r="ABB79">
        <v>0</v>
      </c>
      <c r="ABC79">
        <v>0</v>
      </c>
      <c r="ABD79">
        <v>0</v>
      </c>
      <c r="ABE79">
        <v>0</v>
      </c>
      <c r="ABF79">
        <v>0</v>
      </c>
      <c r="ABG79">
        <v>0</v>
      </c>
      <c r="ABH79">
        <v>0</v>
      </c>
      <c r="ABI79">
        <v>0</v>
      </c>
      <c r="ABJ79">
        <v>0</v>
      </c>
      <c r="ABK79">
        <v>0</v>
      </c>
      <c r="ABL79">
        <v>0</v>
      </c>
      <c r="ABM79">
        <v>0</v>
      </c>
      <c r="ABN79">
        <v>0</v>
      </c>
      <c r="ABO79">
        <v>0</v>
      </c>
      <c r="ABP79">
        <v>0</v>
      </c>
      <c r="ABQ79">
        <v>0</v>
      </c>
      <c r="ABR79">
        <v>0</v>
      </c>
      <c r="ABS79">
        <v>0</v>
      </c>
      <c r="ABT79">
        <v>0</v>
      </c>
      <c r="ABU79">
        <v>0</v>
      </c>
      <c r="ABV79">
        <v>0</v>
      </c>
      <c r="ABW79">
        <v>-256.16438356164383</v>
      </c>
      <c r="ABX79">
        <v>0</v>
      </c>
      <c r="ABY79">
        <v>0</v>
      </c>
      <c r="ABZ79">
        <v>0</v>
      </c>
      <c r="ACA79">
        <v>0</v>
      </c>
      <c r="ACB79">
        <v>0</v>
      </c>
      <c r="ACC79">
        <v>0</v>
      </c>
      <c r="ACD79">
        <v>0</v>
      </c>
      <c r="ACE79">
        <v>0</v>
      </c>
      <c r="ACF79">
        <v>0</v>
      </c>
      <c r="ACG79">
        <v>0</v>
      </c>
      <c r="ACH79">
        <v>0</v>
      </c>
      <c r="ACI79">
        <v>0</v>
      </c>
      <c r="ACJ79">
        <v>0</v>
      </c>
      <c r="ACK79">
        <v>0</v>
      </c>
      <c r="ACL79">
        <v>0</v>
      </c>
      <c r="ACM79">
        <v>0</v>
      </c>
      <c r="ACN79">
        <v>0</v>
      </c>
      <c r="ACO79">
        <v>0</v>
      </c>
      <c r="ACP79">
        <v>0</v>
      </c>
      <c r="ACQ79">
        <v>0</v>
      </c>
      <c r="ACR79">
        <v>0</v>
      </c>
      <c r="ACS79">
        <v>0</v>
      </c>
      <c r="ACT79">
        <v>0</v>
      </c>
      <c r="ACU79">
        <v>0</v>
      </c>
      <c r="ACV79">
        <v>0</v>
      </c>
      <c r="ACW79">
        <v>0</v>
      </c>
      <c r="ACX79">
        <v>0</v>
      </c>
      <c r="ACY79">
        <v>0</v>
      </c>
      <c r="ACZ79">
        <v>0</v>
      </c>
      <c r="ADA79">
        <v>0</v>
      </c>
      <c r="ADB79">
        <v>0</v>
      </c>
      <c r="ADC79">
        <v>0</v>
      </c>
      <c r="ADD79">
        <v>0</v>
      </c>
      <c r="ADE79">
        <v>0</v>
      </c>
      <c r="ADF79">
        <v>0</v>
      </c>
      <c r="ADG79">
        <v>0</v>
      </c>
      <c r="ADH79">
        <v>0</v>
      </c>
      <c r="ADI79">
        <v>0</v>
      </c>
      <c r="ADJ79">
        <v>0</v>
      </c>
      <c r="ADK79">
        <v>0</v>
      </c>
      <c r="ADL79">
        <v>0</v>
      </c>
      <c r="ADM79">
        <v>0</v>
      </c>
      <c r="ADN79">
        <v>0</v>
      </c>
      <c r="ADO79">
        <v>0</v>
      </c>
      <c r="ADP79">
        <v>0</v>
      </c>
      <c r="ADQ79">
        <v>0</v>
      </c>
      <c r="ADR79">
        <v>0</v>
      </c>
      <c r="ADS79">
        <v>0</v>
      </c>
      <c r="ADT79">
        <v>0</v>
      </c>
      <c r="ADU79">
        <v>0</v>
      </c>
      <c r="ADV79">
        <v>0</v>
      </c>
      <c r="ADW79">
        <v>0</v>
      </c>
      <c r="ADX79">
        <v>0</v>
      </c>
      <c r="ADY79">
        <v>0</v>
      </c>
      <c r="ADZ79">
        <v>0</v>
      </c>
      <c r="AEA79">
        <v>0</v>
      </c>
      <c r="AEB79">
        <v>0</v>
      </c>
      <c r="AEC79">
        <v>0</v>
      </c>
      <c r="AED79">
        <v>0</v>
      </c>
      <c r="AEE79">
        <v>0</v>
      </c>
      <c r="AEF79">
        <v>0</v>
      </c>
      <c r="AEG79">
        <v>0</v>
      </c>
      <c r="AEH79">
        <v>0</v>
      </c>
      <c r="AEI79">
        <v>0</v>
      </c>
      <c r="AEJ79">
        <v>0</v>
      </c>
      <c r="AEK79">
        <v>0</v>
      </c>
      <c r="AEL79">
        <v>0</v>
      </c>
      <c r="AEM79">
        <v>0</v>
      </c>
      <c r="AEN79">
        <v>0</v>
      </c>
      <c r="AEO79">
        <v>0</v>
      </c>
      <c r="AEP79">
        <v>0</v>
      </c>
      <c r="AEQ79">
        <v>0</v>
      </c>
      <c r="AER79">
        <v>0</v>
      </c>
      <c r="AES79">
        <v>0</v>
      </c>
      <c r="AET79">
        <v>0</v>
      </c>
      <c r="AEU79">
        <v>0</v>
      </c>
      <c r="AEV79">
        <v>0</v>
      </c>
      <c r="AEW79">
        <v>0</v>
      </c>
      <c r="AEX79">
        <v>0</v>
      </c>
      <c r="AEY79">
        <v>0</v>
      </c>
      <c r="AEZ79">
        <v>0</v>
      </c>
      <c r="AFA79">
        <v>0</v>
      </c>
      <c r="AFB79">
        <v>0</v>
      </c>
      <c r="AFC79">
        <v>0</v>
      </c>
      <c r="AFD79">
        <v>0</v>
      </c>
      <c r="AFE79">
        <v>0</v>
      </c>
      <c r="AFF79">
        <v>0</v>
      </c>
      <c r="AFG79">
        <v>0</v>
      </c>
      <c r="AFH79">
        <v>0</v>
      </c>
      <c r="AFI79">
        <v>0</v>
      </c>
      <c r="AFJ79">
        <v>0</v>
      </c>
      <c r="AFK79">
        <v>0</v>
      </c>
      <c r="AFL79">
        <v>0</v>
      </c>
      <c r="AFM79">
        <v>0</v>
      </c>
      <c r="AFN79">
        <v>0</v>
      </c>
      <c r="AFO79">
        <v>-120</v>
      </c>
      <c r="AFP79">
        <v>0</v>
      </c>
      <c r="AFQ79">
        <v>0</v>
      </c>
      <c r="AFR79">
        <v>0</v>
      </c>
      <c r="AFS79">
        <v>0</v>
      </c>
      <c r="AFT79">
        <v>0</v>
      </c>
      <c r="AFU79">
        <v>0</v>
      </c>
      <c r="AFV79">
        <v>0</v>
      </c>
      <c r="AFW79">
        <v>0</v>
      </c>
      <c r="AFX79">
        <v>0</v>
      </c>
      <c r="AFY79">
        <v>0</v>
      </c>
      <c r="AFZ79">
        <v>0</v>
      </c>
      <c r="AGA79">
        <v>0</v>
      </c>
      <c r="AGB79">
        <v>0</v>
      </c>
      <c r="AGC79">
        <v>0</v>
      </c>
      <c r="AGD79">
        <v>0</v>
      </c>
      <c r="AGE79">
        <v>0</v>
      </c>
      <c r="AGF79">
        <v>0</v>
      </c>
      <c r="AGG79">
        <v>0</v>
      </c>
      <c r="AGH79">
        <v>0</v>
      </c>
      <c r="AGI79">
        <v>0</v>
      </c>
      <c r="AGJ79">
        <v>0</v>
      </c>
      <c r="AGK79">
        <v>0</v>
      </c>
      <c r="AGL79">
        <v>0</v>
      </c>
      <c r="AGM79">
        <v>0</v>
      </c>
      <c r="AGN79">
        <v>0</v>
      </c>
      <c r="AGO79">
        <v>0</v>
      </c>
      <c r="AGP79">
        <v>0</v>
      </c>
      <c r="AGQ79">
        <v>0</v>
      </c>
      <c r="AGR79">
        <v>0</v>
      </c>
      <c r="AGS79">
        <v>0</v>
      </c>
      <c r="AGT79">
        <v>0</v>
      </c>
      <c r="AGU79">
        <v>0</v>
      </c>
      <c r="AGV79">
        <v>0</v>
      </c>
      <c r="AGW79">
        <v>0</v>
      </c>
      <c r="AGX79">
        <v>0</v>
      </c>
      <c r="AGY79">
        <v>0</v>
      </c>
      <c r="AGZ79">
        <v>0</v>
      </c>
      <c r="AHA79">
        <v>0</v>
      </c>
      <c r="AHB79">
        <v>0</v>
      </c>
      <c r="AHC79">
        <v>0</v>
      </c>
      <c r="AHD79">
        <v>0</v>
      </c>
      <c r="AHE79">
        <v>0</v>
      </c>
      <c r="AHF79">
        <v>0</v>
      </c>
      <c r="AHG79">
        <v>0</v>
      </c>
      <c r="AHH79">
        <v>0</v>
      </c>
      <c r="AHI79">
        <v>0</v>
      </c>
      <c r="AHJ79">
        <v>0</v>
      </c>
      <c r="AHK79">
        <v>0</v>
      </c>
      <c r="AHL79">
        <v>0</v>
      </c>
      <c r="AHM79">
        <v>0</v>
      </c>
      <c r="AHN79">
        <v>0</v>
      </c>
      <c r="AHO79">
        <v>0</v>
      </c>
      <c r="AHP79">
        <v>0</v>
      </c>
      <c r="AHQ79">
        <v>0</v>
      </c>
      <c r="AHR79">
        <v>0</v>
      </c>
      <c r="AHS79">
        <v>0</v>
      </c>
      <c r="AHT79">
        <v>0</v>
      </c>
      <c r="AHU79">
        <v>0</v>
      </c>
      <c r="AHV79">
        <v>0</v>
      </c>
      <c r="AHW79">
        <v>0</v>
      </c>
      <c r="AHX79">
        <v>0</v>
      </c>
      <c r="AHY79">
        <v>0</v>
      </c>
      <c r="AHZ79">
        <v>0</v>
      </c>
      <c r="AIA79">
        <v>0</v>
      </c>
      <c r="AIB79">
        <v>0</v>
      </c>
      <c r="AIC79">
        <v>0</v>
      </c>
      <c r="AID79">
        <v>0</v>
      </c>
      <c r="AIE79">
        <v>0</v>
      </c>
      <c r="AIF79">
        <v>0</v>
      </c>
      <c r="AIG79">
        <v>0</v>
      </c>
      <c r="AIH79">
        <v>0</v>
      </c>
      <c r="AII79">
        <v>0</v>
      </c>
      <c r="AIJ79">
        <v>0</v>
      </c>
      <c r="AIK79">
        <v>0</v>
      </c>
      <c r="AIL79">
        <v>0</v>
      </c>
      <c r="AIM79">
        <v>0</v>
      </c>
      <c r="AIN79">
        <v>0</v>
      </c>
      <c r="AIO79">
        <v>0</v>
      </c>
      <c r="AIP79">
        <v>0</v>
      </c>
      <c r="AIQ79">
        <v>0</v>
      </c>
      <c r="AIR79">
        <v>0</v>
      </c>
      <c r="AIS79">
        <v>0</v>
      </c>
      <c r="AIT79">
        <v>0</v>
      </c>
      <c r="AIU79">
        <v>0</v>
      </c>
      <c r="AIV79">
        <v>0</v>
      </c>
      <c r="AIW79">
        <v>0</v>
      </c>
      <c r="AIX79">
        <v>0</v>
      </c>
      <c r="AIY79">
        <v>0</v>
      </c>
      <c r="AIZ79">
        <v>0</v>
      </c>
      <c r="AJA79">
        <v>0</v>
      </c>
      <c r="AJB79">
        <v>0</v>
      </c>
      <c r="AJC79">
        <v>0</v>
      </c>
      <c r="AJD79">
        <v>0</v>
      </c>
      <c r="AJE79">
        <v>0</v>
      </c>
      <c r="AJF79">
        <v>0</v>
      </c>
      <c r="AJG79">
        <v>-4500</v>
      </c>
      <c r="AJH79">
        <v>0</v>
      </c>
      <c r="AJI79">
        <v>0</v>
      </c>
      <c r="AJJ79">
        <v>0</v>
      </c>
      <c r="AJK79">
        <v>0</v>
      </c>
      <c r="AJL79">
        <v>0</v>
      </c>
      <c r="AJM79">
        <v>0</v>
      </c>
      <c r="AJN79">
        <v>0</v>
      </c>
      <c r="AJO79">
        <v>0</v>
      </c>
      <c r="AJP79">
        <v>0</v>
      </c>
      <c r="AJQ79">
        <v>0</v>
      </c>
      <c r="AJR79">
        <v>0</v>
      </c>
      <c r="AJS79">
        <v>0</v>
      </c>
      <c r="AJT79">
        <v>0</v>
      </c>
      <c r="AJU79">
        <v>0</v>
      </c>
      <c r="AJV79">
        <v>0</v>
      </c>
      <c r="AJW79">
        <v>0</v>
      </c>
      <c r="AJX79">
        <v>0</v>
      </c>
      <c r="AJY79">
        <v>0</v>
      </c>
    </row>
    <row r="80" spans="1:961" x14ac:dyDescent="0.3">
      <c r="A80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10000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5000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  <c r="KP80">
        <v>0</v>
      </c>
      <c r="KQ80">
        <v>0</v>
      </c>
      <c r="KR80">
        <v>0</v>
      </c>
      <c r="KS80">
        <v>0</v>
      </c>
      <c r="KT80">
        <v>0</v>
      </c>
      <c r="KU80">
        <v>0</v>
      </c>
      <c r="KV80">
        <v>0</v>
      </c>
      <c r="KW80">
        <v>0</v>
      </c>
      <c r="KX80">
        <v>0</v>
      </c>
      <c r="KY80">
        <v>0</v>
      </c>
      <c r="KZ80">
        <v>0</v>
      </c>
      <c r="LA80">
        <v>0</v>
      </c>
      <c r="LB80">
        <v>0</v>
      </c>
      <c r="LC80">
        <v>0</v>
      </c>
      <c r="LD80">
        <v>0</v>
      </c>
      <c r="LE80">
        <v>0</v>
      </c>
      <c r="LF80">
        <v>0</v>
      </c>
      <c r="LG80">
        <v>0</v>
      </c>
      <c r="LH80">
        <v>0</v>
      </c>
      <c r="LI80">
        <v>0</v>
      </c>
      <c r="LJ80">
        <v>0</v>
      </c>
      <c r="LK80">
        <v>0</v>
      </c>
      <c r="LL80">
        <v>0</v>
      </c>
      <c r="LM80">
        <v>0</v>
      </c>
      <c r="LN80">
        <v>0</v>
      </c>
      <c r="LO80">
        <v>0</v>
      </c>
      <c r="LP80">
        <v>0</v>
      </c>
      <c r="LQ80">
        <v>0</v>
      </c>
      <c r="LR80">
        <v>0</v>
      </c>
      <c r="LS80">
        <v>0</v>
      </c>
      <c r="LT80">
        <v>0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0</v>
      </c>
      <c r="MI80">
        <v>0</v>
      </c>
      <c r="MJ80">
        <v>0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0</v>
      </c>
      <c r="MS80">
        <v>0</v>
      </c>
      <c r="MT80">
        <v>0</v>
      </c>
      <c r="MU80">
        <v>0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-3390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0</v>
      </c>
      <c r="NK80">
        <v>0</v>
      </c>
      <c r="NL80">
        <v>0</v>
      </c>
      <c r="NM80">
        <v>0</v>
      </c>
      <c r="NN80">
        <v>0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0</v>
      </c>
      <c r="OM80">
        <v>0</v>
      </c>
      <c r="ON80">
        <v>0</v>
      </c>
      <c r="OO80">
        <v>0</v>
      </c>
      <c r="OP80">
        <v>0</v>
      </c>
      <c r="OQ80">
        <v>0</v>
      </c>
      <c r="OR80">
        <v>0</v>
      </c>
      <c r="OS80">
        <v>0</v>
      </c>
      <c r="OT80">
        <v>0</v>
      </c>
      <c r="OU80">
        <v>0</v>
      </c>
      <c r="OV80">
        <v>0</v>
      </c>
      <c r="OW80">
        <v>0</v>
      </c>
      <c r="OX80">
        <v>0</v>
      </c>
      <c r="OY80">
        <v>0</v>
      </c>
      <c r="OZ80">
        <v>0</v>
      </c>
      <c r="PA80">
        <v>0</v>
      </c>
      <c r="PB80">
        <v>0</v>
      </c>
      <c r="PC80">
        <v>0</v>
      </c>
      <c r="PD80">
        <v>0</v>
      </c>
      <c r="PE80">
        <v>0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0</v>
      </c>
      <c r="PN80">
        <v>0</v>
      </c>
      <c r="PO80">
        <v>0</v>
      </c>
      <c r="PP80">
        <v>0</v>
      </c>
      <c r="PQ80">
        <v>0</v>
      </c>
      <c r="PR80">
        <v>0</v>
      </c>
      <c r="PS80">
        <v>0</v>
      </c>
      <c r="PT80">
        <v>0</v>
      </c>
      <c r="PU80">
        <v>0</v>
      </c>
      <c r="PV80">
        <v>0</v>
      </c>
      <c r="PW80">
        <v>0</v>
      </c>
      <c r="PX80">
        <v>0</v>
      </c>
      <c r="PY80">
        <v>0</v>
      </c>
      <c r="PZ80">
        <v>0</v>
      </c>
      <c r="QA80">
        <v>0</v>
      </c>
      <c r="QB80">
        <v>0</v>
      </c>
      <c r="QC80">
        <v>0</v>
      </c>
      <c r="QD80">
        <v>0</v>
      </c>
      <c r="QE80">
        <v>0</v>
      </c>
      <c r="QF80">
        <v>0</v>
      </c>
      <c r="QG80">
        <v>0</v>
      </c>
      <c r="QH80">
        <v>0</v>
      </c>
      <c r="QI80">
        <v>0</v>
      </c>
      <c r="QJ80">
        <v>0</v>
      </c>
      <c r="QK80">
        <v>0</v>
      </c>
      <c r="QL80">
        <v>0</v>
      </c>
      <c r="QM80">
        <v>0</v>
      </c>
      <c r="QN80">
        <v>0</v>
      </c>
      <c r="QO80">
        <v>0</v>
      </c>
      <c r="QP80">
        <v>0</v>
      </c>
      <c r="QQ80">
        <v>0</v>
      </c>
      <c r="QR80">
        <v>0</v>
      </c>
      <c r="QS80">
        <v>0</v>
      </c>
      <c r="QT80">
        <v>0</v>
      </c>
      <c r="QU80">
        <v>0</v>
      </c>
      <c r="QV80">
        <v>-150</v>
      </c>
      <c r="QW80">
        <v>0</v>
      </c>
      <c r="QX80">
        <v>0</v>
      </c>
      <c r="QY80">
        <v>0</v>
      </c>
      <c r="QZ80">
        <v>0</v>
      </c>
      <c r="RA80">
        <v>0</v>
      </c>
      <c r="RB80">
        <v>0</v>
      </c>
      <c r="RC80">
        <v>0</v>
      </c>
      <c r="RD80">
        <v>0</v>
      </c>
      <c r="RE80">
        <v>0</v>
      </c>
      <c r="RF80">
        <v>0</v>
      </c>
      <c r="RG80">
        <v>0</v>
      </c>
      <c r="RH80">
        <v>0</v>
      </c>
      <c r="RI80">
        <v>0</v>
      </c>
      <c r="RJ80">
        <v>0</v>
      </c>
      <c r="RK80">
        <v>0</v>
      </c>
      <c r="RL80">
        <v>0</v>
      </c>
      <c r="RM80">
        <v>0</v>
      </c>
      <c r="RN80">
        <v>0</v>
      </c>
      <c r="RO80">
        <v>0</v>
      </c>
      <c r="RP80">
        <v>0</v>
      </c>
      <c r="RQ80">
        <v>0</v>
      </c>
      <c r="RR80">
        <v>0</v>
      </c>
      <c r="RS80">
        <v>0</v>
      </c>
      <c r="RT80">
        <v>0</v>
      </c>
      <c r="RU80">
        <v>0</v>
      </c>
      <c r="RV80">
        <v>0</v>
      </c>
      <c r="RW80">
        <v>0</v>
      </c>
      <c r="RX80">
        <v>0</v>
      </c>
      <c r="RY80">
        <v>0</v>
      </c>
      <c r="RZ80">
        <v>0</v>
      </c>
      <c r="SA80">
        <v>0</v>
      </c>
      <c r="SB80">
        <v>0</v>
      </c>
      <c r="SC80">
        <v>0</v>
      </c>
      <c r="SD80">
        <v>0</v>
      </c>
      <c r="SE80">
        <v>0</v>
      </c>
      <c r="SF80">
        <v>0</v>
      </c>
      <c r="SG80">
        <v>0</v>
      </c>
      <c r="SH80">
        <v>0</v>
      </c>
      <c r="SI80">
        <v>0</v>
      </c>
      <c r="SJ80">
        <v>0</v>
      </c>
      <c r="SK80">
        <v>0</v>
      </c>
      <c r="SL80">
        <v>0</v>
      </c>
      <c r="SM80">
        <v>0</v>
      </c>
      <c r="SN80">
        <v>0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0</v>
      </c>
      <c r="SU80">
        <v>0</v>
      </c>
      <c r="SV80">
        <v>0</v>
      </c>
      <c r="SW80">
        <v>0</v>
      </c>
      <c r="SX80">
        <v>0</v>
      </c>
      <c r="SY80">
        <v>0</v>
      </c>
      <c r="SZ80">
        <v>0</v>
      </c>
      <c r="TA80">
        <v>0</v>
      </c>
      <c r="TB80">
        <v>0</v>
      </c>
      <c r="TC80">
        <v>0</v>
      </c>
      <c r="TD80">
        <v>0</v>
      </c>
      <c r="TE80">
        <v>0</v>
      </c>
      <c r="TF80">
        <v>0</v>
      </c>
      <c r="TG80">
        <v>0</v>
      </c>
      <c r="TH80">
        <v>0</v>
      </c>
      <c r="TI80">
        <v>0</v>
      </c>
      <c r="TJ80">
        <v>0</v>
      </c>
      <c r="TK80">
        <v>0</v>
      </c>
      <c r="TL80">
        <v>0</v>
      </c>
      <c r="TM80">
        <v>0</v>
      </c>
      <c r="TN80">
        <v>0</v>
      </c>
      <c r="TO80">
        <v>0</v>
      </c>
      <c r="TP80">
        <v>0</v>
      </c>
      <c r="TQ80">
        <v>0</v>
      </c>
      <c r="TR80">
        <v>0</v>
      </c>
      <c r="TS80">
        <v>0</v>
      </c>
      <c r="TT80">
        <v>0</v>
      </c>
      <c r="TU80">
        <v>0</v>
      </c>
      <c r="TV80">
        <v>0</v>
      </c>
      <c r="TW80">
        <v>0</v>
      </c>
      <c r="TX80">
        <v>0</v>
      </c>
      <c r="TY80">
        <v>0</v>
      </c>
      <c r="TZ80">
        <v>0</v>
      </c>
      <c r="UA80">
        <v>0</v>
      </c>
      <c r="UB80">
        <v>0</v>
      </c>
      <c r="UC80">
        <v>0</v>
      </c>
      <c r="UD80">
        <v>0</v>
      </c>
      <c r="UE80">
        <v>0</v>
      </c>
      <c r="UF80">
        <v>0</v>
      </c>
      <c r="UG80">
        <v>0</v>
      </c>
      <c r="UH80">
        <v>0</v>
      </c>
      <c r="UI80">
        <v>0</v>
      </c>
      <c r="UJ80">
        <v>0</v>
      </c>
      <c r="UK80">
        <v>0</v>
      </c>
      <c r="UL80">
        <v>0</v>
      </c>
      <c r="UM80">
        <v>0</v>
      </c>
      <c r="UN80">
        <v>-1000</v>
      </c>
      <c r="UO80">
        <v>0</v>
      </c>
      <c r="UP80">
        <v>0</v>
      </c>
      <c r="UQ80">
        <v>0</v>
      </c>
      <c r="UR80">
        <v>0</v>
      </c>
      <c r="US80">
        <v>0</v>
      </c>
      <c r="UT80">
        <v>0</v>
      </c>
      <c r="UU80">
        <v>0</v>
      </c>
      <c r="UV80">
        <v>0</v>
      </c>
      <c r="UW80">
        <v>0</v>
      </c>
      <c r="UX80">
        <v>0</v>
      </c>
      <c r="UY80">
        <v>0</v>
      </c>
      <c r="UZ80">
        <v>0</v>
      </c>
      <c r="VA80">
        <v>0</v>
      </c>
      <c r="VB80">
        <v>0</v>
      </c>
      <c r="VC80">
        <v>0</v>
      </c>
      <c r="VD80">
        <v>0</v>
      </c>
      <c r="VE80">
        <v>0</v>
      </c>
      <c r="VF80">
        <v>0</v>
      </c>
      <c r="VG80">
        <v>0</v>
      </c>
      <c r="VH80">
        <v>0</v>
      </c>
      <c r="VI80">
        <v>0</v>
      </c>
      <c r="VJ80">
        <v>0</v>
      </c>
      <c r="VK80">
        <v>0</v>
      </c>
      <c r="VL80">
        <v>0</v>
      </c>
      <c r="VM80">
        <v>0</v>
      </c>
      <c r="VN80">
        <v>0</v>
      </c>
      <c r="VO80">
        <v>0</v>
      </c>
      <c r="VP80">
        <v>0</v>
      </c>
      <c r="VQ80">
        <v>0</v>
      </c>
      <c r="VR80">
        <v>0</v>
      </c>
      <c r="VS80">
        <v>0</v>
      </c>
      <c r="VT80">
        <v>0</v>
      </c>
      <c r="VU80">
        <v>0</v>
      </c>
      <c r="VV80">
        <v>0</v>
      </c>
      <c r="VW80">
        <v>0</v>
      </c>
      <c r="VX80">
        <v>0</v>
      </c>
      <c r="VY80">
        <v>0</v>
      </c>
      <c r="VZ80">
        <v>0</v>
      </c>
      <c r="WA80">
        <v>0</v>
      </c>
      <c r="WB80">
        <v>0</v>
      </c>
      <c r="WC80">
        <v>0</v>
      </c>
      <c r="WD80">
        <v>0</v>
      </c>
      <c r="WE80">
        <v>0</v>
      </c>
      <c r="WF80">
        <v>0</v>
      </c>
      <c r="WG80">
        <v>0</v>
      </c>
      <c r="WH80">
        <v>0</v>
      </c>
      <c r="WI80">
        <v>0</v>
      </c>
      <c r="WJ80">
        <v>0</v>
      </c>
      <c r="WK80">
        <v>0</v>
      </c>
      <c r="WL80">
        <v>0</v>
      </c>
      <c r="WM80">
        <v>0</v>
      </c>
      <c r="WN80">
        <v>0</v>
      </c>
      <c r="WO80">
        <v>0</v>
      </c>
      <c r="WP80">
        <v>0</v>
      </c>
      <c r="WQ80">
        <v>0</v>
      </c>
      <c r="WR80">
        <v>0</v>
      </c>
      <c r="WS80">
        <v>0</v>
      </c>
      <c r="WT80">
        <v>0</v>
      </c>
      <c r="WU80">
        <v>0</v>
      </c>
      <c r="WV80">
        <v>0</v>
      </c>
      <c r="WW80">
        <v>0</v>
      </c>
      <c r="WX80">
        <v>0</v>
      </c>
      <c r="WY80">
        <v>0</v>
      </c>
      <c r="WZ80">
        <v>0</v>
      </c>
      <c r="XA80">
        <v>0</v>
      </c>
      <c r="XB80">
        <v>0</v>
      </c>
      <c r="XC80">
        <v>0</v>
      </c>
      <c r="XD80">
        <v>0</v>
      </c>
      <c r="XE80">
        <v>0</v>
      </c>
      <c r="XF80">
        <v>0</v>
      </c>
      <c r="XG80">
        <v>0</v>
      </c>
      <c r="XH80">
        <v>0</v>
      </c>
      <c r="XI80">
        <v>0</v>
      </c>
      <c r="XJ80">
        <v>0</v>
      </c>
      <c r="XK80">
        <v>0</v>
      </c>
      <c r="XL80">
        <v>0</v>
      </c>
      <c r="XM80">
        <v>0</v>
      </c>
      <c r="XN80">
        <v>0</v>
      </c>
      <c r="XO80">
        <v>0</v>
      </c>
      <c r="XP80">
        <v>0</v>
      </c>
      <c r="XQ80">
        <v>0</v>
      </c>
      <c r="XR80">
        <v>0</v>
      </c>
      <c r="XS80">
        <v>0</v>
      </c>
      <c r="XT80">
        <v>0</v>
      </c>
      <c r="XU80">
        <v>0</v>
      </c>
      <c r="XV80">
        <v>0</v>
      </c>
      <c r="XW80">
        <v>0</v>
      </c>
      <c r="XX80">
        <v>0</v>
      </c>
      <c r="XY80">
        <v>0</v>
      </c>
      <c r="XZ80">
        <v>0</v>
      </c>
      <c r="YA80">
        <v>0</v>
      </c>
      <c r="YB80">
        <v>0</v>
      </c>
      <c r="YC80">
        <v>0</v>
      </c>
      <c r="YD80">
        <v>0</v>
      </c>
      <c r="YE80">
        <v>0</v>
      </c>
      <c r="YF80">
        <v>-5</v>
      </c>
      <c r="YG80">
        <v>0</v>
      </c>
      <c r="YH80">
        <v>0</v>
      </c>
      <c r="YI80">
        <v>0</v>
      </c>
      <c r="YJ80">
        <v>0</v>
      </c>
      <c r="YK80">
        <v>0</v>
      </c>
      <c r="YL80">
        <v>0</v>
      </c>
      <c r="YM80">
        <v>0</v>
      </c>
      <c r="YN80">
        <v>0</v>
      </c>
      <c r="YO80">
        <v>0</v>
      </c>
      <c r="YP80">
        <v>0</v>
      </c>
      <c r="YQ80">
        <v>0</v>
      </c>
      <c r="YR80">
        <v>0</v>
      </c>
      <c r="YS80">
        <v>0</v>
      </c>
      <c r="YT80">
        <v>0</v>
      </c>
      <c r="YU80">
        <v>0</v>
      </c>
      <c r="YV80">
        <v>0</v>
      </c>
      <c r="YW80">
        <v>0</v>
      </c>
      <c r="YX80">
        <v>0</v>
      </c>
      <c r="YY80">
        <v>0</v>
      </c>
      <c r="YZ80">
        <v>0</v>
      </c>
      <c r="ZA80">
        <v>0</v>
      </c>
      <c r="ZB80">
        <v>0</v>
      </c>
      <c r="ZC80">
        <v>0</v>
      </c>
      <c r="ZD80">
        <v>0</v>
      </c>
      <c r="ZE80">
        <v>0</v>
      </c>
      <c r="ZF80">
        <v>0</v>
      </c>
      <c r="ZG80">
        <v>0</v>
      </c>
      <c r="ZH80">
        <v>0</v>
      </c>
      <c r="ZI80">
        <v>0</v>
      </c>
      <c r="ZJ80">
        <v>0</v>
      </c>
      <c r="ZK80">
        <v>0</v>
      </c>
      <c r="ZL80">
        <v>0</v>
      </c>
      <c r="ZM80">
        <v>0</v>
      </c>
      <c r="ZN80">
        <v>0</v>
      </c>
      <c r="ZO80">
        <v>0</v>
      </c>
      <c r="ZP80">
        <v>0</v>
      </c>
      <c r="ZQ80">
        <v>0</v>
      </c>
      <c r="ZR80">
        <v>0</v>
      </c>
      <c r="ZS80">
        <v>0</v>
      </c>
      <c r="ZT80">
        <v>0</v>
      </c>
      <c r="ZU80">
        <v>0</v>
      </c>
      <c r="ZV80">
        <v>0</v>
      </c>
      <c r="ZW80">
        <v>0</v>
      </c>
      <c r="ZX80">
        <v>0</v>
      </c>
      <c r="ZY80">
        <v>0</v>
      </c>
      <c r="ZZ80">
        <v>0</v>
      </c>
      <c r="AAA80">
        <v>0</v>
      </c>
      <c r="AAB80">
        <v>0</v>
      </c>
      <c r="AAC80">
        <v>0</v>
      </c>
      <c r="AAD80">
        <v>0</v>
      </c>
      <c r="AAE80">
        <v>0</v>
      </c>
      <c r="AAF80">
        <v>0</v>
      </c>
      <c r="AAG80">
        <v>0</v>
      </c>
      <c r="AAH80">
        <v>0</v>
      </c>
      <c r="AAI80">
        <v>0</v>
      </c>
      <c r="AAJ80">
        <v>0</v>
      </c>
      <c r="AAK80">
        <v>0</v>
      </c>
      <c r="AAL80">
        <v>0</v>
      </c>
      <c r="AAM80">
        <v>0</v>
      </c>
      <c r="AAN80">
        <v>0</v>
      </c>
      <c r="AAO80">
        <v>0</v>
      </c>
      <c r="AAP80">
        <v>0</v>
      </c>
      <c r="AAQ80">
        <v>0</v>
      </c>
      <c r="AAR80">
        <v>0</v>
      </c>
      <c r="AAS80">
        <v>0</v>
      </c>
      <c r="AAT80">
        <v>0</v>
      </c>
      <c r="AAU80">
        <v>0</v>
      </c>
      <c r="AAV80">
        <v>0</v>
      </c>
      <c r="AAW80">
        <v>0</v>
      </c>
      <c r="AAX80">
        <v>0</v>
      </c>
      <c r="AAY80">
        <v>0</v>
      </c>
      <c r="AAZ80">
        <v>0</v>
      </c>
      <c r="ABA80">
        <v>0</v>
      </c>
      <c r="ABB80">
        <v>0</v>
      </c>
      <c r="ABC80">
        <v>0</v>
      </c>
      <c r="ABD80">
        <v>0</v>
      </c>
      <c r="ABE80">
        <v>0</v>
      </c>
      <c r="ABF80">
        <v>0</v>
      </c>
      <c r="ABG80">
        <v>0</v>
      </c>
      <c r="ABH80">
        <v>0</v>
      </c>
      <c r="ABI80">
        <v>0</v>
      </c>
      <c r="ABJ80">
        <v>0</v>
      </c>
      <c r="ABK80">
        <v>0</v>
      </c>
      <c r="ABL80">
        <v>0</v>
      </c>
      <c r="ABM80">
        <v>0</v>
      </c>
      <c r="ABN80">
        <v>0</v>
      </c>
      <c r="ABO80">
        <v>0</v>
      </c>
      <c r="ABP80">
        <v>0</v>
      </c>
      <c r="ABQ80">
        <v>0</v>
      </c>
      <c r="ABR80">
        <v>0</v>
      </c>
      <c r="ABS80">
        <v>0</v>
      </c>
      <c r="ABT80">
        <v>0</v>
      </c>
      <c r="ABU80">
        <v>0</v>
      </c>
      <c r="ABV80">
        <v>0</v>
      </c>
      <c r="ABW80">
        <v>0</v>
      </c>
      <c r="ABX80">
        <v>-256.16438356164383</v>
      </c>
      <c r="ABY80">
        <v>0</v>
      </c>
      <c r="ABZ80">
        <v>0</v>
      </c>
      <c r="ACA80">
        <v>0</v>
      </c>
      <c r="ACB80">
        <v>0</v>
      </c>
      <c r="ACC80">
        <v>0</v>
      </c>
      <c r="ACD80">
        <v>0</v>
      </c>
      <c r="ACE80">
        <v>0</v>
      </c>
      <c r="ACF80">
        <v>0</v>
      </c>
      <c r="ACG80">
        <v>0</v>
      </c>
      <c r="ACH80">
        <v>0</v>
      </c>
      <c r="ACI80">
        <v>0</v>
      </c>
      <c r="ACJ80">
        <v>0</v>
      </c>
      <c r="ACK80">
        <v>0</v>
      </c>
      <c r="ACL80">
        <v>0</v>
      </c>
      <c r="ACM80">
        <v>0</v>
      </c>
      <c r="ACN80">
        <v>0</v>
      </c>
      <c r="ACO80">
        <v>0</v>
      </c>
      <c r="ACP80">
        <v>0</v>
      </c>
      <c r="ACQ80">
        <v>0</v>
      </c>
      <c r="ACR80">
        <v>0</v>
      </c>
      <c r="ACS80">
        <v>0</v>
      </c>
      <c r="ACT80">
        <v>0</v>
      </c>
      <c r="ACU80">
        <v>0</v>
      </c>
      <c r="ACV80">
        <v>0</v>
      </c>
      <c r="ACW80">
        <v>0</v>
      </c>
      <c r="ACX80">
        <v>0</v>
      </c>
      <c r="ACY80">
        <v>0</v>
      </c>
      <c r="ACZ80">
        <v>0</v>
      </c>
      <c r="ADA80">
        <v>0</v>
      </c>
      <c r="ADB80">
        <v>0</v>
      </c>
      <c r="ADC80">
        <v>0</v>
      </c>
      <c r="ADD80">
        <v>0</v>
      </c>
      <c r="ADE80">
        <v>0</v>
      </c>
      <c r="ADF80">
        <v>0</v>
      </c>
      <c r="ADG80">
        <v>0</v>
      </c>
      <c r="ADH80">
        <v>0</v>
      </c>
      <c r="ADI80">
        <v>0</v>
      </c>
      <c r="ADJ80">
        <v>0</v>
      </c>
      <c r="ADK80">
        <v>0</v>
      </c>
      <c r="ADL80">
        <v>0</v>
      </c>
      <c r="ADM80">
        <v>0</v>
      </c>
      <c r="ADN80">
        <v>0</v>
      </c>
      <c r="ADO80">
        <v>0</v>
      </c>
      <c r="ADP80">
        <v>0</v>
      </c>
      <c r="ADQ80">
        <v>0</v>
      </c>
      <c r="ADR80">
        <v>0</v>
      </c>
      <c r="ADS80">
        <v>0</v>
      </c>
      <c r="ADT80">
        <v>0</v>
      </c>
      <c r="ADU80">
        <v>0</v>
      </c>
      <c r="ADV80">
        <v>0</v>
      </c>
      <c r="ADW80">
        <v>0</v>
      </c>
      <c r="ADX80">
        <v>0</v>
      </c>
      <c r="ADY80">
        <v>0</v>
      </c>
      <c r="ADZ80">
        <v>0</v>
      </c>
      <c r="AEA80">
        <v>0</v>
      </c>
      <c r="AEB80">
        <v>0</v>
      </c>
      <c r="AEC80">
        <v>0</v>
      </c>
      <c r="AED80">
        <v>0</v>
      </c>
      <c r="AEE80">
        <v>0</v>
      </c>
      <c r="AEF80">
        <v>0</v>
      </c>
      <c r="AEG80">
        <v>0</v>
      </c>
      <c r="AEH80">
        <v>0</v>
      </c>
      <c r="AEI80">
        <v>0</v>
      </c>
      <c r="AEJ80">
        <v>0</v>
      </c>
      <c r="AEK80">
        <v>0</v>
      </c>
      <c r="AEL80">
        <v>0</v>
      </c>
      <c r="AEM80">
        <v>0</v>
      </c>
      <c r="AEN80">
        <v>0</v>
      </c>
      <c r="AEO80">
        <v>0</v>
      </c>
      <c r="AEP80">
        <v>0</v>
      </c>
      <c r="AEQ80">
        <v>0</v>
      </c>
      <c r="AER80">
        <v>0</v>
      </c>
      <c r="AES80">
        <v>0</v>
      </c>
      <c r="AET80">
        <v>0</v>
      </c>
      <c r="AEU80">
        <v>0</v>
      </c>
      <c r="AEV80">
        <v>0</v>
      </c>
      <c r="AEW80">
        <v>0</v>
      </c>
      <c r="AEX80">
        <v>0</v>
      </c>
      <c r="AEY80">
        <v>0</v>
      </c>
      <c r="AEZ80">
        <v>0</v>
      </c>
      <c r="AFA80">
        <v>0</v>
      </c>
      <c r="AFB80">
        <v>0</v>
      </c>
      <c r="AFC80">
        <v>0</v>
      </c>
      <c r="AFD80">
        <v>0</v>
      </c>
      <c r="AFE80">
        <v>0</v>
      </c>
      <c r="AFF80">
        <v>0</v>
      </c>
      <c r="AFG80">
        <v>0</v>
      </c>
      <c r="AFH80">
        <v>0</v>
      </c>
      <c r="AFI80">
        <v>0</v>
      </c>
      <c r="AFJ80">
        <v>0</v>
      </c>
      <c r="AFK80">
        <v>0</v>
      </c>
      <c r="AFL80">
        <v>0</v>
      </c>
      <c r="AFM80">
        <v>0</v>
      </c>
      <c r="AFN80">
        <v>0</v>
      </c>
      <c r="AFO80">
        <v>0</v>
      </c>
      <c r="AFP80">
        <v>-120</v>
      </c>
      <c r="AFQ80">
        <v>0</v>
      </c>
      <c r="AFR80">
        <v>0</v>
      </c>
      <c r="AFS80">
        <v>0</v>
      </c>
      <c r="AFT80">
        <v>0</v>
      </c>
      <c r="AFU80">
        <v>0</v>
      </c>
      <c r="AFV80">
        <v>0</v>
      </c>
      <c r="AFW80">
        <v>0</v>
      </c>
      <c r="AFX80">
        <v>0</v>
      </c>
      <c r="AFY80">
        <v>0</v>
      </c>
      <c r="AFZ80">
        <v>0</v>
      </c>
      <c r="AGA80">
        <v>0</v>
      </c>
      <c r="AGB80">
        <v>0</v>
      </c>
      <c r="AGC80">
        <v>0</v>
      </c>
      <c r="AGD80">
        <v>0</v>
      </c>
      <c r="AGE80">
        <v>0</v>
      </c>
      <c r="AGF80">
        <v>0</v>
      </c>
      <c r="AGG80">
        <v>0</v>
      </c>
      <c r="AGH80">
        <v>0</v>
      </c>
      <c r="AGI80">
        <v>0</v>
      </c>
      <c r="AGJ80">
        <v>0</v>
      </c>
      <c r="AGK80">
        <v>0</v>
      </c>
      <c r="AGL80">
        <v>0</v>
      </c>
      <c r="AGM80">
        <v>0</v>
      </c>
      <c r="AGN80">
        <v>0</v>
      </c>
      <c r="AGO80">
        <v>0</v>
      </c>
      <c r="AGP80">
        <v>0</v>
      </c>
      <c r="AGQ80">
        <v>0</v>
      </c>
      <c r="AGR80">
        <v>0</v>
      </c>
      <c r="AGS80">
        <v>0</v>
      </c>
      <c r="AGT80">
        <v>0</v>
      </c>
      <c r="AGU80">
        <v>0</v>
      </c>
      <c r="AGV80">
        <v>0</v>
      </c>
      <c r="AGW80">
        <v>0</v>
      </c>
      <c r="AGX80">
        <v>0</v>
      </c>
      <c r="AGY80">
        <v>0</v>
      </c>
      <c r="AGZ80">
        <v>0</v>
      </c>
      <c r="AHA80">
        <v>0</v>
      </c>
      <c r="AHB80">
        <v>0</v>
      </c>
      <c r="AHC80">
        <v>0</v>
      </c>
      <c r="AHD80">
        <v>0</v>
      </c>
      <c r="AHE80">
        <v>0</v>
      </c>
      <c r="AHF80">
        <v>0</v>
      </c>
      <c r="AHG80">
        <v>0</v>
      </c>
      <c r="AHH80">
        <v>0</v>
      </c>
      <c r="AHI80">
        <v>0</v>
      </c>
      <c r="AHJ80">
        <v>0</v>
      </c>
      <c r="AHK80">
        <v>0</v>
      </c>
      <c r="AHL80">
        <v>0</v>
      </c>
      <c r="AHM80">
        <v>0</v>
      </c>
      <c r="AHN80">
        <v>0</v>
      </c>
      <c r="AHO80">
        <v>0</v>
      </c>
      <c r="AHP80">
        <v>0</v>
      </c>
      <c r="AHQ80">
        <v>0</v>
      </c>
      <c r="AHR80">
        <v>0</v>
      </c>
      <c r="AHS80">
        <v>0</v>
      </c>
      <c r="AHT80">
        <v>0</v>
      </c>
      <c r="AHU80">
        <v>0</v>
      </c>
      <c r="AHV80">
        <v>0</v>
      </c>
      <c r="AHW80">
        <v>0</v>
      </c>
      <c r="AHX80">
        <v>0</v>
      </c>
      <c r="AHY80">
        <v>0</v>
      </c>
      <c r="AHZ80">
        <v>0</v>
      </c>
      <c r="AIA80">
        <v>0</v>
      </c>
      <c r="AIB80">
        <v>0</v>
      </c>
      <c r="AIC80">
        <v>0</v>
      </c>
      <c r="AID80">
        <v>0</v>
      </c>
      <c r="AIE80">
        <v>0</v>
      </c>
      <c r="AIF80">
        <v>0</v>
      </c>
      <c r="AIG80">
        <v>0</v>
      </c>
      <c r="AIH80">
        <v>0</v>
      </c>
      <c r="AII80">
        <v>0</v>
      </c>
      <c r="AIJ80">
        <v>0</v>
      </c>
      <c r="AIK80">
        <v>0</v>
      </c>
      <c r="AIL80">
        <v>0</v>
      </c>
      <c r="AIM80">
        <v>0</v>
      </c>
      <c r="AIN80">
        <v>0</v>
      </c>
      <c r="AIO80">
        <v>0</v>
      </c>
      <c r="AIP80">
        <v>0</v>
      </c>
      <c r="AIQ80">
        <v>0</v>
      </c>
      <c r="AIR80">
        <v>0</v>
      </c>
      <c r="AIS80">
        <v>0</v>
      </c>
      <c r="AIT80">
        <v>0</v>
      </c>
      <c r="AIU80">
        <v>0</v>
      </c>
      <c r="AIV80">
        <v>0</v>
      </c>
      <c r="AIW80">
        <v>0</v>
      </c>
      <c r="AIX80">
        <v>0</v>
      </c>
      <c r="AIY80">
        <v>0</v>
      </c>
      <c r="AIZ80">
        <v>0</v>
      </c>
      <c r="AJA80">
        <v>0</v>
      </c>
      <c r="AJB80">
        <v>0</v>
      </c>
      <c r="AJC80">
        <v>0</v>
      </c>
      <c r="AJD80">
        <v>0</v>
      </c>
      <c r="AJE80">
        <v>0</v>
      </c>
      <c r="AJF80">
        <v>0</v>
      </c>
      <c r="AJG80">
        <v>0</v>
      </c>
      <c r="AJH80">
        <v>-4500</v>
      </c>
      <c r="AJI80">
        <v>0</v>
      </c>
      <c r="AJJ80">
        <v>0</v>
      </c>
      <c r="AJK80">
        <v>0</v>
      </c>
      <c r="AJL80">
        <v>0</v>
      </c>
      <c r="AJM80">
        <v>0</v>
      </c>
      <c r="AJN80">
        <v>0</v>
      </c>
      <c r="AJO80">
        <v>0</v>
      </c>
      <c r="AJP80">
        <v>0</v>
      </c>
      <c r="AJQ80">
        <v>0</v>
      </c>
      <c r="AJR80">
        <v>0</v>
      </c>
      <c r="AJS80">
        <v>0</v>
      </c>
      <c r="AJT80">
        <v>0</v>
      </c>
      <c r="AJU80">
        <v>0</v>
      </c>
      <c r="AJV80">
        <v>0</v>
      </c>
      <c r="AJW80">
        <v>0</v>
      </c>
      <c r="AJX80">
        <v>0</v>
      </c>
      <c r="AJY80">
        <v>0</v>
      </c>
    </row>
    <row r="81" spans="1:961" x14ac:dyDescent="0.3">
      <c r="A81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10000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5000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  <c r="KP81">
        <v>0</v>
      </c>
      <c r="KQ81">
        <v>0</v>
      </c>
      <c r="KR81">
        <v>0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0</v>
      </c>
      <c r="LA81">
        <v>0</v>
      </c>
      <c r="LB81">
        <v>0</v>
      </c>
      <c r="LC81">
        <v>0</v>
      </c>
      <c r="LD81">
        <v>0</v>
      </c>
      <c r="LE81">
        <v>0</v>
      </c>
      <c r="LF81">
        <v>0</v>
      </c>
      <c r="LG81">
        <v>0</v>
      </c>
      <c r="LH81">
        <v>0</v>
      </c>
      <c r="LI81">
        <v>0</v>
      </c>
      <c r="LJ81">
        <v>0</v>
      </c>
      <c r="LK81">
        <v>0</v>
      </c>
      <c r="LL81">
        <v>0</v>
      </c>
      <c r="LM81">
        <v>0</v>
      </c>
      <c r="LN81">
        <v>0</v>
      </c>
      <c r="LO81">
        <v>0</v>
      </c>
      <c r="LP81">
        <v>0</v>
      </c>
      <c r="LQ81">
        <v>0</v>
      </c>
      <c r="LR81">
        <v>0</v>
      </c>
      <c r="LS81">
        <v>0</v>
      </c>
      <c r="LT81">
        <v>0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-3390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0</v>
      </c>
      <c r="NQ81">
        <v>0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  <c r="OQ81">
        <v>0</v>
      </c>
      <c r="OR81">
        <v>0</v>
      </c>
      <c r="OS81">
        <v>0</v>
      </c>
      <c r="OT81">
        <v>0</v>
      </c>
      <c r="OU81">
        <v>0</v>
      </c>
      <c r="OV81">
        <v>0</v>
      </c>
      <c r="OW81">
        <v>0</v>
      </c>
      <c r="OX81">
        <v>0</v>
      </c>
      <c r="OY81">
        <v>0</v>
      </c>
      <c r="OZ81">
        <v>0</v>
      </c>
      <c r="PA81">
        <v>0</v>
      </c>
      <c r="PB81">
        <v>0</v>
      </c>
      <c r="PC81">
        <v>0</v>
      </c>
      <c r="PD81">
        <v>0</v>
      </c>
      <c r="PE81">
        <v>0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0</v>
      </c>
      <c r="PM81">
        <v>0</v>
      </c>
      <c r="PN81">
        <v>0</v>
      </c>
      <c r="PO81">
        <v>0</v>
      </c>
      <c r="PP81">
        <v>0</v>
      </c>
      <c r="PQ81">
        <v>0</v>
      </c>
      <c r="PR81">
        <v>0</v>
      </c>
      <c r="PS81">
        <v>0</v>
      </c>
      <c r="PT81">
        <v>0</v>
      </c>
      <c r="PU81">
        <v>0</v>
      </c>
      <c r="PV81">
        <v>0</v>
      </c>
      <c r="PW81">
        <v>0</v>
      </c>
      <c r="PX81">
        <v>0</v>
      </c>
      <c r="PY81">
        <v>0</v>
      </c>
      <c r="PZ81">
        <v>0</v>
      </c>
      <c r="QA81">
        <v>0</v>
      </c>
      <c r="QB81">
        <v>0</v>
      </c>
      <c r="QC81">
        <v>0</v>
      </c>
      <c r="QD81">
        <v>0</v>
      </c>
      <c r="QE81">
        <v>0</v>
      </c>
      <c r="QF81">
        <v>0</v>
      </c>
      <c r="QG81">
        <v>0</v>
      </c>
      <c r="QH81">
        <v>0</v>
      </c>
      <c r="QI81">
        <v>0</v>
      </c>
      <c r="QJ81">
        <v>0</v>
      </c>
      <c r="QK81">
        <v>0</v>
      </c>
      <c r="QL81">
        <v>0</v>
      </c>
      <c r="QM81">
        <v>0</v>
      </c>
      <c r="QN81">
        <v>0</v>
      </c>
      <c r="QO81">
        <v>0</v>
      </c>
      <c r="QP81">
        <v>0</v>
      </c>
      <c r="QQ81">
        <v>0</v>
      </c>
      <c r="QR81">
        <v>0</v>
      </c>
      <c r="QS81">
        <v>0</v>
      </c>
      <c r="QT81">
        <v>0</v>
      </c>
      <c r="QU81">
        <v>0</v>
      </c>
      <c r="QV81">
        <v>0</v>
      </c>
      <c r="QW81">
        <v>-150</v>
      </c>
      <c r="QX81">
        <v>0</v>
      </c>
      <c r="QY81">
        <v>0</v>
      </c>
      <c r="QZ81">
        <v>0</v>
      </c>
      <c r="RA81">
        <v>0</v>
      </c>
      <c r="RB81">
        <v>0</v>
      </c>
      <c r="RC81">
        <v>0</v>
      </c>
      <c r="RD81">
        <v>0</v>
      </c>
      <c r="RE81">
        <v>0</v>
      </c>
      <c r="RF81">
        <v>0</v>
      </c>
      <c r="RG81">
        <v>0</v>
      </c>
      <c r="RH81">
        <v>0</v>
      </c>
      <c r="RI81">
        <v>0</v>
      </c>
      <c r="RJ81">
        <v>0</v>
      </c>
      <c r="RK81">
        <v>0</v>
      </c>
      <c r="RL81">
        <v>0</v>
      </c>
      <c r="RM81">
        <v>0</v>
      </c>
      <c r="RN81">
        <v>0</v>
      </c>
      <c r="RO81">
        <v>0</v>
      </c>
      <c r="RP81">
        <v>0</v>
      </c>
      <c r="RQ81">
        <v>0</v>
      </c>
      <c r="RR81">
        <v>0</v>
      </c>
      <c r="RS81">
        <v>0</v>
      </c>
      <c r="RT81">
        <v>0</v>
      </c>
      <c r="RU81">
        <v>0</v>
      </c>
      <c r="RV81">
        <v>0</v>
      </c>
      <c r="RW81">
        <v>0</v>
      </c>
      <c r="RX81">
        <v>0</v>
      </c>
      <c r="RY81">
        <v>0</v>
      </c>
      <c r="RZ81">
        <v>0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0</v>
      </c>
      <c r="SG81">
        <v>0</v>
      </c>
      <c r="SH81">
        <v>0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0</v>
      </c>
      <c r="SP81">
        <v>0</v>
      </c>
      <c r="SQ81">
        <v>0</v>
      </c>
      <c r="SR81">
        <v>0</v>
      </c>
      <c r="SS81">
        <v>0</v>
      </c>
      <c r="ST81">
        <v>0</v>
      </c>
      <c r="SU81">
        <v>0</v>
      </c>
      <c r="SV81">
        <v>0</v>
      </c>
      <c r="SW81">
        <v>0</v>
      </c>
      <c r="SX81">
        <v>0</v>
      </c>
      <c r="SY81">
        <v>0</v>
      </c>
      <c r="SZ81">
        <v>0</v>
      </c>
      <c r="TA81">
        <v>0</v>
      </c>
      <c r="TB81">
        <v>0</v>
      </c>
      <c r="TC81">
        <v>0</v>
      </c>
      <c r="TD81">
        <v>0</v>
      </c>
      <c r="TE81">
        <v>0</v>
      </c>
      <c r="TF81">
        <v>0</v>
      </c>
      <c r="TG81">
        <v>0</v>
      </c>
      <c r="TH81">
        <v>0</v>
      </c>
      <c r="TI81">
        <v>0</v>
      </c>
      <c r="TJ81">
        <v>0</v>
      </c>
      <c r="TK81">
        <v>0</v>
      </c>
      <c r="TL81">
        <v>0</v>
      </c>
      <c r="TM81">
        <v>0</v>
      </c>
      <c r="TN81">
        <v>0</v>
      </c>
      <c r="TO81">
        <v>0</v>
      </c>
      <c r="TP81">
        <v>0</v>
      </c>
      <c r="TQ81">
        <v>0</v>
      </c>
      <c r="TR81">
        <v>0</v>
      </c>
      <c r="TS81">
        <v>0</v>
      </c>
      <c r="TT81">
        <v>0</v>
      </c>
      <c r="TU81">
        <v>0</v>
      </c>
      <c r="TV81">
        <v>0</v>
      </c>
      <c r="TW81">
        <v>0</v>
      </c>
      <c r="TX81">
        <v>0</v>
      </c>
      <c r="TY81">
        <v>0</v>
      </c>
      <c r="TZ81">
        <v>0</v>
      </c>
      <c r="UA81">
        <v>0</v>
      </c>
      <c r="UB81">
        <v>0</v>
      </c>
      <c r="UC81">
        <v>0</v>
      </c>
      <c r="UD81">
        <v>0</v>
      </c>
      <c r="UE81">
        <v>0</v>
      </c>
      <c r="UF81">
        <v>0</v>
      </c>
      <c r="UG81">
        <v>0</v>
      </c>
      <c r="UH81">
        <v>0</v>
      </c>
      <c r="UI81">
        <v>0</v>
      </c>
      <c r="UJ81">
        <v>0</v>
      </c>
      <c r="UK81">
        <v>0</v>
      </c>
      <c r="UL81">
        <v>0</v>
      </c>
      <c r="UM81">
        <v>0</v>
      </c>
      <c r="UN81">
        <v>0</v>
      </c>
      <c r="UO81">
        <v>-1000</v>
      </c>
      <c r="UP81">
        <v>0</v>
      </c>
      <c r="UQ81">
        <v>0</v>
      </c>
      <c r="UR81">
        <v>0</v>
      </c>
      <c r="US81">
        <v>0</v>
      </c>
      <c r="UT81">
        <v>0</v>
      </c>
      <c r="UU81">
        <v>0</v>
      </c>
      <c r="UV81">
        <v>0</v>
      </c>
      <c r="UW81">
        <v>0</v>
      </c>
      <c r="UX81">
        <v>0</v>
      </c>
      <c r="UY81">
        <v>0</v>
      </c>
      <c r="UZ81">
        <v>0</v>
      </c>
      <c r="VA81">
        <v>0</v>
      </c>
      <c r="VB81">
        <v>0</v>
      </c>
      <c r="VC81">
        <v>0</v>
      </c>
      <c r="VD81">
        <v>0</v>
      </c>
      <c r="VE81">
        <v>0</v>
      </c>
      <c r="VF81">
        <v>0</v>
      </c>
      <c r="VG81">
        <v>0</v>
      </c>
      <c r="VH81">
        <v>0</v>
      </c>
      <c r="VI81">
        <v>0</v>
      </c>
      <c r="VJ81">
        <v>0</v>
      </c>
      <c r="VK81">
        <v>0</v>
      </c>
      <c r="VL81">
        <v>0</v>
      </c>
      <c r="VM81">
        <v>0</v>
      </c>
      <c r="VN81">
        <v>0</v>
      </c>
      <c r="VO81">
        <v>0</v>
      </c>
      <c r="VP81">
        <v>0</v>
      </c>
      <c r="VQ81">
        <v>0</v>
      </c>
      <c r="VR81">
        <v>0</v>
      </c>
      <c r="VS81">
        <v>0</v>
      </c>
      <c r="VT81">
        <v>0</v>
      </c>
      <c r="VU81">
        <v>0</v>
      </c>
      <c r="VV81">
        <v>0</v>
      </c>
      <c r="VW81">
        <v>0</v>
      </c>
      <c r="VX81">
        <v>0</v>
      </c>
      <c r="VY81">
        <v>0</v>
      </c>
      <c r="VZ81">
        <v>0</v>
      </c>
      <c r="WA81">
        <v>0</v>
      </c>
      <c r="WB81">
        <v>0</v>
      </c>
      <c r="WC81">
        <v>0</v>
      </c>
      <c r="WD81">
        <v>0</v>
      </c>
      <c r="WE81">
        <v>0</v>
      </c>
      <c r="WF81">
        <v>0</v>
      </c>
      <c r="WG81">
        <v>0</v>
      </c>
      <c r="WH81">
        <v>0</v>
      </c>
      <c r="WI81">
        <v>0</v>
      </c>
      <c r="WJ81">
        <v>0</v>
      </c>
      <c r="WK81">
        <v>0</v>
      </c>
      <c r="WL81">
        <v>0</v>
      </c>
      <c r="WM81">
        <v>0</v>
      </c>
      <c r="WN81">
        <v>0</v>
      </c>
      <c r="WO81">
        <v>0</v>
      </c>
      <c r="WP81">
        <v>0</v>
      </c>
      <c r="WQ81">
        <v>0</v>
      </c>
      <c r="WR81">
        <v>0</v>
      </c>
      <c r="WS81">
        <v>0</v>
      </c>
      <c r="WT81">
        <v>0</v>
      </c>
      <c r="WU81">
        <v>0</v>
      </c>
      <c r="WV81">
        <v>0</v>
      </c>
      <c r="WW81">
        <v>0</v>
      </c>
      <c r="WX81">
        <v>0</v>
      </c>
      <c r="WY81">
        <v>0</v>
      </c>
      <c r="WZ81">
        <v>0</v>
      </c>
      <c r="XA81">
        <v>0</v>
      </c>
      <c r="XB81">
        <v>0</v>
      </c>
      <c r="XC81">
        <v>0</v>
      </c>
      <c r="XD81">
        <v>0</v>
      </c>
      <c r="XE81">
        <v>0</v>
      </c>
      <c r="XF81">
        <v>0</v>
      </c>
      <c r="XG81">
        <v>0</v>
      </c>
      <c r="XH81">
        <v>0</v>
      </c>
      <c r="XI81">
        <v>0</v>
      </c>
      <c r="XJ81">
        <v>0</v>
      </c>
      <c r="XK81">
        <v>0</v>
      </c>
      <c r="XL81">
        <v>0</v>
      </c>
      <c r="XM81">
        <v>0</v>
      </c>
      <c r="XN81">
        <v>0</v>
      </c>
      <c r="XO81">
        <v>0</v>
      </c>
      <c r="XP81">
        <v>0</v>
      </c>
      <c r="XQ81">
        <v>0</v>
      </c>
      <c r="XR81">
        <v>0</v>
      </c>
      <c r="XS81">
        <v>0</v>
      </c>
      <c r="XT81">
        <v>0</v>
      </c>
      <c r="XU81">
        <v>0</v>
      </c>
      <c r="XV81">
        <v>0</v>
      </c>
      <c r="XW81">
        <v>0</v>
      </c>
      <c r="XX81">
        <v>0</v>
      </c>
      <c r="XY81">
        <v>0</v>
      </c>
      <c r="XZ81">
        <v>0</v>
      </c>
      <c r="YA81">
        <v>0</v>
      </c>
      <c r="YB81">
        <v>0</v>
      </c>
      <c r="YC81">
        <v>0</v>
      </c>
      <c r="YD81">
        <v>0</v>
      </c>
      <c r="YE81">
        <v>0</v>
      </c>
      <c r="YF81">
        <v>0</v>
      </c>
      <c r="YG81">
        <v>-5</v>
      </c>
      <c r="YH81">
        <v>0</v>
      </c>
      <c r="YI81">
        <v>0</v>
      </c>
      <c r="YJ81">
        <v>0</v>
      </c>
      <c r="YK81">
        <v>0</v>
      </c>
      <c r="YL81">
        <v>0</v>
      </c>
      <c r="YM81">
        <v>0</v>
      </c>
      <c r="YN81">
        <v>0</v>
      </c>
      <c r="YO81">
        <v>0</v>
      </c>
      <c r="YP81">
        <v>0</v>
      </c>
      <c r="YQ81">
        <v>0</v>
      </c>
      <c r="YR81">
        <v>0</v>
      </c>
      <c r="YS81">
        <v>0</v>
      </c>
      <c r="YT81">
        <v>0</v>
      </c>
      <c r="YU81">
        <v>0</v>
      </c>
      <c r="YV81">
        <v>0</v>
      </c>
      <c r="YW81">
        <v>0</v>
      </c>
      <c r="YX81">
        <v>0</v>
      </c>
      <c r="YY81">
        <v>0</v>
      </c>
      <c r="YZ81">
        <v>0</v>
      </c>
      <c r="ZA81">
        <v>0</v>
      </c>
      <c r="ZB81">
        <v>0</v>
      </c>
      <c r="ZC81">
        <v>0</v>
      </c>
      <c r="ZD81">
        <v>0</v>
      </c>
      <c r="ZE81">
        <v>0</v>
      </c>
      <c r="ZF81">
        <v>0</v>
      </c>
      <c r="ZG81">
        <v>0</v>
      </c>
      <c r="ZH81">
        <v>0</v>
      </c>
      <c r="ZI81">
        <v>0</v>
      </c>
      <c r="ZJ81">
        <v>0</v>
      </c>
      <c r="ZK81">
        <v>0</v>
      </c>
      <c r="ZL81">
        <v>0</v>
      </c>
      <c r="ZM81">
        <v>0</v>
      </c>
      <c r="ZN81">
        <v>0</v>
      </c>
      <c r="ZO81">
        <v>0</v>
      </c>
      <c r="ZP81">
        <v>0</v>
      </c>
      <c r="ZQ81">
        <v>0</v>
      </c>
      <c r="ZR81">
        <v>0</v>
      </c>
      <c r="ZS81">
        <v>0</v>
      </c>
      <c r="ZT81">
        <v>0</v>
      </c>
      <c r="ZU81">
        <v>0</v>
      </c>
      <c r="ZV81">
        <v>0</v>
      </c>
      <c r="ZW81">
        <v>0</v>
      </c>
      <c r="ZX81">
        <v>0</v>
      </c>
      <c r="ZY81">
        <v>0</v>
      </c>
      <c r="ZZ81">
        <v>0</v>
      </c>
      <c r="AAA81">
        <v>0</v>
      </c>
      <c r="AAB81">
        <v>0</v>
      </c>
      <c r="AAC81">
        <v>0</v>
      </c>
      <c r="AAD81">
        <v>0</v>
      </c>
      <c r="AAE81">
        <v>0</v>
      </c>
      <c r="AAF81">
        <v>0</v>
      </c>
      <c r="AAG81">
        <v>0</v>
      </c>
      <c r="AAH81">
        <v>0</v>
      </c>
      <c r="AAI81">
        <v>0</v>
      </c>
      <c r="AAJ81">
        <v>0</v>
      </c>
      <c r="AAK81">
        <v>0</v>
      </c>
      <c r="AAL81">
        <v>0</v>
      </c>
      <c r="AAM81">
        <v>0</v>
      </c>
      <c r="AAN81">
        <v>0</v>
      </c>
      <c r="AAO81">
        <v>0</v>
      </c>
      <c r="AAP81">
        <v>0</v>
      </c>
      <c r="AAQ81">
        <v>0</v>
      </c>
      <c r="AAR81">
        <v>0</v>
      </c>
      <c r="AAS81">
        <v>0</v>
      </c>
      <c r="AAT81">
        <v>0</v>
      </c>
      <c r="AAU81">
        <v>0</v>
      </c>
      <c r="AAV81">
        <v>0</v>
      </c>
      <c r="AAW81">
        <v>0</v>
      </c>
      <c r="AAX81">
        <v>0</v>
      </c>
      <c r="AAY81">
        <v>0</v>
      </c>
      <c r="AAZ81">
        <v>0</v>
      </c>
      <c r="ABA81">
        <v>0</v>
      </c>
      <c r="ABB81">
        <v>0</v>
      </c>
      <c r="ABC81">
        <v>0</v>
      </c>
      <c r="ABD81">
        <v>0</v>
      </c>
      <c r="ABE81">
        <v>0</v>
      </c>
      <c r="ABF81">
        <v>0</v>
      </c>
      <c r="ABG81">
        <v>0</v>
      </c>
      <c r="ABH81">
        <v>0</v>
      </c>
      <c r="ABI81">
        <v>0</v>
      </c>
      <c r="ABJ81">
        <v>0</v>
      </c>
      <c r="ABK81">
        <v>0</v>
      </c>
      <c r="ABL81">
        <v>0</v>
      </c>
      <c r="ABM81">
        <v>0</v>
      </c>
      <c r="ABN81">
        <v>0</v>
      </c>
      <c r="ABO81">
        <v>0</v>
      </c>
      <c r="ABP81">
        <v>0</v>
      </c>
      <c r="ABQ81">
        <v>0</v>
      </c>
      <c r="ABR81">
        <v>0</v>
      </c>
      <c r="ABS81">
        <v>0</v>
      </c>
      <c r="ABT81">
        <v>0</v>
      </c>
      <c r="ABU81">
        <v>0</v>
      </c>
      <c r="ABV81">
        <v>0</v>
      </c>
      <c r="ABW81">
        <v>0</v>
      </c>
      <c r="ABX81">
        <v>0</v>
      </c>
      <c r="ABY81">
        <v>-256.16438356164383</v>
      </c>
      <c r="ABZ81">
        <v>0</v>
      </c>
      <c r="ACA81">
        <v>0</v>
      </c>
      <c r="ACB81">
        <v>0</v>
      </c>
      <c r="ACC81">
        <v>0</v>
      </c>
      <c r="ACD81">
        <v>0</v>
      </c>
      <c r="ACE81">
        <v>0</v>
      </c>
      <c r="ACF81">
        <v>0</v>
      </c>
      <c r="ACG81">
        <v>0</v>
      </c>
      <c r="ACH81">
        <v>0</v>
      </c>
      <c r="ACI81">
        <v>0</v>
      </c>
      <c r="ACJ81">
        <v>0</v>
      </c>
      <c r="ACK81">
        <v>0</v>
      </c>
      <c r="ACL81">
        <v>0</v>
      </c>
      <c r="ACM81">
        <v>0</v>
      </c>
      <c r="ACN81">
        <v>0</v>
      </c>
      <c r="ACO81">
        <v>0</v>
      </c>
      <c r="ACP81">
        <v>0</v>
      </c>
      <c r="ACQ81">
        <v>0</v>
      </c>
      <c r="ACR81">
        <v>0</v>
      </c>
      <c r="ACS81">
        <v>0</v>
      </c>
      <c r="ACT81">
        <v>0</v>
      </c>
      <c r="ACU81">
        <v>0</v>
      </c>
      <c r="ACV81">
        <v>0</v>
      </c>
      <c r="ACW81">
        <v>0</v>
      </c>
      <c r="ACX81">
        <v>0</v>
      </c>
      <c r="ACY81">
        <v>0</v>
      </c>
      <c r="ACZ81">
        <v>0</v>
      </c>
      <c r="ADA81">
        <v>0</v>
      </c>
      <c r="ADB81">
        <v>0</v>
      </c>
      <c r="ADC81">
        <v>0</v>
      </c>
      <c r="ADD81">
        <v>0</v>
      </c>
      <c r="ADE81">
        <v>0</v>
      </c>
      <c r="ADF81">
        <v>0</v>
      </c>
      <c r="ADG81">
        <v>0</v>
      </c>
      <c r="ADH81">
        <v>0</v>
      </c>
      <c r="ADI81">
        <v>0</v>
      </c>
      <c r="ADJ81">
        <v>0</v>
      </c>
      <c r="ADK81">
        <v>0</v>
      </c>
      <c r="ADL81">
        <v>0</v>
      </c>
      <c r="ADM81">
        <v>0</v>
      </c>
      <c r="ADN81">
        <v>0</v>
      </c>
      <c r="ADO81">
        <v>0</v>
      </c>
      <c r="ADP81">
        <v>0</v>
      </c>
      <c r="ADQ81">
        <v>0</v>
      </c>
      <c r="ADR81">
        <v>0</v>
      </c>
      <c r="ADS81">
        <v>0</v>
      </c>
      <c r="ADT81">
        <v>0</v>
      </c>
      <c r="ADU81">
        <v>0</v>
      </c>
      <c r="ADV81">
        <v>0</v>
      </c>
      <c r="ADW81">
        <v>0</v>
      </c>
      <c r="ADX81">
        <v>0</v>
      </c>
      <c r="ADY81">
        <v>0</v>
      </c>
      <c r="ADZ81">
        <v>0</v>
      </c>
      <c r="AEA81">
        <v>0</v>
      </c>
      <c r="AEB81">
        <v>0</v>
      </c>
      <c r="AEC81">
        <v>0</v>
      </c>
      <c r="AED81">
        <v>0</v>
      </c>
      <c r="AEE81">
        <v>0</v>
      </c>
      <c r="AEF81">
        <v>0</v>
      </c>
      <c r="AEG81">
        <v>0</v>
      </c>
      <c r="AEH81">
        <v>0</v>
      </c>
      <c r="AEI81">
        <v>0</v>
      </c>
      <c r="AEJ81">
        <v>0</v>
      </c>
      <c r="AEK81">
        <v>0</v>
      </c>
      <c r="AEL81">
        <v>0</v>
      </c>
      <c r="AEM81">
        <v>0</v>
      </c>
      <c r="AEN81">
        <v>0</v>
      </c>
      <c r="AEO81">
        <v>0</v>
      </c>
      <c r="AEP81">
        <v>0</v>
      </c>
      <c r="AEQ81">
        <v>0</v>
      </c>
      <c r="AER81">
        <v>0</v>
      </c>
      <c r="AES81">
        <v>0</v>
      </c>
      <c r="AET81">
        <v>0</v>
      </c>
      <c r="AEU81">
        <v>0</v>
      </c>
      <c r="AEV81">
        <v>0</v>
      </c>
      <c r="AEW81">
        <v>0</v>
      </c>
      <c r="AEX81">
        <v>0</v>
      </c>
      <c r="AEY81">
        <v>0</v>
      </c>
      <c r="AEZ81">
        <v>0</v>
      </c>
      <c r="AFA81">
        <v>0</v>
      </c>
      <c r="AFB81">
        <v>0</v>
      </c>
      <c r="AFC81">
        <v>0</v>
      </c>
      <c r="AFD81">
        <v>0</v>
      </c>
      <c r="AFE81">
        <v>0</v>
      </c>
      <c r="AFF81">
        <v>0</v>
      </c>
      <c r="AFG81">
        <v>0</v>
      </c>
      <c r="AFH81">
        <v>0</v>
      </c>
      <c r="AFI81">
        <v>0</v>
      </c>
      <c r="AFJ81">
        <v>0</v>
      </c>
      <c r="AFK81">
        <v>0</v>
      </c>
      <c r="AFL81">
        <v>0</v>
      </c>
      <c r="AFM81">
        <v>0</v>
      </c>
      <c r="AFN81">
        <v>0</v>
      </c>
      <c r="AFO81">
        <v>0</v>
      </c>
      <c r="AFP81">
        <v>0</v>
      </c>
      <c r="AFQ81">
        <v>-120</v>
      </c>
      <c r="AFR81">
        <v>0</v>
      </c>
      <c r="AFS81">
        <v>0</v>
      </c>
      <c r="AFT81">
        <v>0</v>
      </c>
      <c r="AFU81">
        <v>0</v>
      </c>
      <c r="AFV81">
        <v>0</v>
      </c>
      <c r="AFW81">
        <v>0</v>
      </c>
      <c r="AFX81">
        <v>0</v>
      </c>
      <c r="AFY81">
        <v>0</v>
      </c>
      <c r="AFZ81">
        <v>0</v>
      </c>
      <c r="AGA81">
        <v>0</v>
      </c>
      <c r="AGB81">
        <v>0</v>
      </c>
      <c r="AGC81">
        <v>0</v>
      </c>
      <c r="AGD81">
        <v>0</v>
      </c>
      <c r="AGE81">
        <v>0</v>
      </c>
      <c r="AGF81">
        <v>0</v>
      </c>
      <c r="AGG81">
        <v>0</v>
      </c>
      <c r="AGH81">
        <v>0</v>
      </c>
      <c r="AGI81">
        <v>0</v>
      </c>
      <c r="AGJ81">
        <v>0</v>
      </c>
      <c r="AGK81">
        <v>0</v>
      </c>
      <c r="AGL81">
        <v>0</v>
      </c>
      <c r="AGM81">
        <v>0</v>
      </c>
      <c r="AGN81">
        <v>0</v>
      </c>
      <c r="AGO81">
        <v>0</v>
      </c>
      <c r="AGP81">
        <v>0</v>
      </c>
      <c r="AGQ81">
        <v>0</v>
      </c>
      <c r="AGR81">
        <v>0</v>
      </c>
      <c r="AGS81">
        <v>0</v>
      </c>
      <c r="AGT81">
        <v>0</v>
      </c>
      <c r="AGU81">
        <v>0</v>
      </c>
      <c r="AGV81">
        <v>0</v>
      </c>
      <c r="AGW81">
        <v>0</v>
      </c>
      <c r="AGX81">
        <v>0</v>
      </c>
      <c r="AGY81">
        <v>0</v>
      </c>
      <c r="AGZ81">
        <v>0</v>
      </c>
      <c r="AHA81">
        <v>0</v>
      </c>
      <c r="AHB81">
        <v>0</v>
      </c>
      <c r="AHC81">
        <v>0</v>
      </c>
      <c r="AHD81">
        <v>0</v>
      </c>
      <c r="AHE81">
        <v>0</v>
      </c>
      <c r="AHF81">
        <v>0</v>
      </c>
      <c r="AHG81">
        <v>0</v>
      </c>
      <c r="AHH81">
        <v>0</v>
      </c>
      <c r="AHI81">
        <v>0</v>
      </c>
      <c r="AHJ81">
        <v>0</v>
      </c>
      <c r="AHK81">
        <v>0</v>
      </c>
      <c r="AHL81">
        <v>0</v>
      </c>
      <c r="AHM81">
        <v>0</v>
      </c>
      <c r="AHN81">
        <v>0</v>
      </c>
      <c r="AHO81">
        <v>0</v>
      </c>
      <c r="AHP81">
        <v>0</v>
      </c>
      <c r="AHQ81">
        <v>0</v>
      </c>
      <c r="AHR81">
        <v>0</v>
      </c>
      <c r="AHS81">
        <v>0</v>
      </c>
      <c r="AHT81">
        <v>0</v>
      </c>
      <c r="AHU81">
        <v>0</v>
      </c>
      <c r="AHV81">
        <v>0</v>
      </c>
      <c r="AHW81">
        <v>0</v>
      </c>
      <c r="AHX81">
        <v>0</v>
      </c>
      <c r="AHY81">
        <v>0</v>
      </c>
      <c r="AHZ81">
        <v>0</v>
      </c>
      <c r="AIA81">
        <v>0</v>
      </c>
      <c r="AIB81">
        <v>0</v>
      </c>
      <c r="AIC81">
        <v>0</v>
      </c>
      <c r="AID81">
        <v>0</v>
      </c>
      <c r="AIE81">
        <v>0</v>
      </c>
      <c r="AIF81">
        <v>0</v>
      </c>
      <c r="AIG81">
        <v>0</v>
      </c>
      <c r="AIH81">
        <v>0</v>
      </c>
      <c r="AII81">
        <v>0</v>
      </c>
      <c r="AIJ81">
        <v>0</v>
      </c>
      <c r="AIK81">
        <v>0</v>
      </c>
      <c r="AIL81">
        <v>0</v>
      </c>
      <c r="AIM81">
        <v>0</v>
      </c>
      <c r="AIN81">
        <v>0</v>
      </c>
      <c r="AIO81">
        <v>0</v>
      </c>
      <c r="AIP81">
        <v>0</v>
      </c>
      <c r="AIQ81">
        <v>0</v>
      </c>
      <c r="AIR81">
        <v>0</v>
      </c>
      <c r="AIS81">
        <v>0</v>
      </c>
      <c r="AIT81">
        <v>0</v>
      </c>
      <c r="AIU81">
        <v>0</v>
      </c>
      <c r="AIV81">
        <v>0</v>
      </c>
      <c r="AIW81">
        <v>0</v>
      </c>
      <c r="AIX81">
        <v>0</v>
      </c>
      <c r="AIY81">
        <v>0</v>
      </c>
      <c r="AIZ81">
        <v>0</v>
      </c>
      <c r="AJA81">
        <v>0</v>
      </c>
      <c r="AJB81">
        <v>0</v>
      </c>
      <c r="AJC81">
        <v>0</v>
      </c>
      <c r="AJD81">
        <v>0</v>
      </c>
      <c r="AJE81">
        <v>0</v>
      </c>
      <c r="AJF81">
        <v>0</v>
      </c>
      <c r="AJG81">
        <v>0</v>
      </c>
      <c r="AJH81">
        <v>0</v>
      </c>
      <c r="AJI81">
        <v>-4500</v>
      </c>
      <c r="AJJ81">
        <v>0</v>
      </c>
      <c r="AJK81">
        <v>0</v>
      </c>
      <c r="AJL81">
        <v>0</v>
      </c>
      <c r="AJM81">
        <v>0</v>
      </c>
      <c r="AJN81">
        <v>0</v>
      </c>
      <c r="AJO81">
        <v>0</v>
      </c>
      <c r="AJP81">
        <v>0</v>
      </c>
      <c r="AJQ81">
        <v>0</v>
      </c>
      <c r="AJR81">
        <v>0</v>
      </c>
      <c r="AJS81">
        <v>0</v>
      </c>
      <c r="AJT81">
        <v>0</v>
      </c>
      <c r="AJU81">
        <v>0</v>
      </c>
      <c r="AJV81">
        <v>0</v>
      </c>
      <c r="AJW81">
        <v>0</v>
      </c>
      <c r="AJX81">
        <v>0</v>
      </c>
      <c r="AJY81">
        <v>0</v>
      </c>
    </row>
    <row r="82" spans="1:961" x14ac:dyDescent="0.3">
      <c r="A82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10000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5000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  <c r="KP82">
        <v>0</v>
      </c>
      <c r="KQ82">
        <v>0</v>
      </c>
      <c r="KR82">
        <v>0</v>
      </c>
      <c r="KS82">
        <v>0</v>
      </c>
      <c r="KT82">
        <v>0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0</v>
      </c>
      <c r="LA82">
        <v>0</v>
      </c>
      <c r="LB82">
        <v>0</v>
      </c>
      <c r="LC82">
        <v>0</v>
      </c>
      <c r="LD82">
        <v>0</v>
      </c>
      <c r="LE82">
        <v>0</v>
      </c>
      <c r="LF82">
        <v>0</v>
      </c>
      <c r="LG82">
        <v>0</v>
      </c>
      <c r="LH82">
        <v>0</v>
      </c>
      <c r="LI82">
        <v>0</v>
      </c>
      <c r="LJ82">
        <v>0</v>
      </c>
      <c r="LK82">
        <v>0</v>
      </c>
      <c r="LL82">
        <v>0</v>
      </c>
      <c r="LM82">
        <v>0</v>
      </c>
      <c r="LN82">
        <v>0</v>
      </c>
      <c r="LO82">
        <v>0</v>
      </c>
      <c r="LP82">
        <v>0</v>
      </c>
      <c r="LQ82">
        <v>0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0</v>
      </c>
      <c r="MM82">
        <v>0</v>
      </c>
      <c r="MN82">
        <v>0</v>
      </c>
      <c r="MO82">
        <v>0</v>
      </c>
      <c r="MP82">
        <v>0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-5400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0</v>
      </c>
      <c r="NN82">
        <v>0</v>
      </c>
      <c r="NO82">
        <v>0</v>
      </c>
      <c r="NP82">
        <v>0</v>
      </c>
      <c r="NQ82">
        <v>0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0</v>
      </c>
      <c r="OO82">
        <v>0</v>
      </c>
      <c r="OP82">
        <v>0</v>
      </c>
      <c r="OQ82">
        <v>0</v>
      </c>
      <c r="OR82">
        <v>0</v>
      </c>
      <c r="OS82">
        <v>0</v>
      </c>
      <c r="OT82">
        <v>0</v>
      </c>
      <c r="OU82">
        <v>0</v>
      </c>
      <c r="OV82">
        <v>0</v>
      </c>
      <c r="OW82">
        <v>0</v>
      </c>
      <c r="OX82">
        <v>0</v>
      </c>
      <c r="OY82">
        <v>0</v>
      </c>
      <c r="OZ82">
        <v>0</v>
      </c>
      <c r="PA82">
        <v>0</v>
      </c>
      <c r="PB82">
        <v>0</v>
      </c>
      <c r="PC82">
        <v>0</v>
      </c>
      <c r="PD82">
        <v>0</v>
      </c>
      <c r="PE82">
        <v>0</v>
      </c>
      <c r="PF82">
        <v>0</v>
      </c>
      <c r="PG82">
        <v>0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0</v>
      </c>
      <c r="PO82">
        <v>0</v>
      </c>
      <c r="PP82">
        <v>0</v>
      </c>
      <c r="PQ82">
        <v>0</v>
      </c>
      <c r="PR82">
        <v>0</v>
      </c>
      <c r="PS82">
        <v>0</v>
      </c>
      <c r="PT82">
        <v>0</v>
      </c>
      <c r="PU82">
        <v>0</v>
      </c>
      <c r="PV82">
        <v>0</v>
      </c>
      <c r="PW82">
        <v>0</v>
      </c>
      <c r="PX82">
        <v>0</v>
      </c>
      <c r="PY82">
        <v>0</v>
      </c>
      <c r="PZ82">
        <v>0</v>
      </c>
      <c r="QA82">
        <v>0</v>
      </c>
      <c r="QB82">
        <v>0</v>
      </c>
      <c r="QC82">
        <v>0</v>
      </c>
      <c r="QD82">
        <v>0</v>
      </c>
      <c r="QE82">
        <v>0</v>
      </c>
      <c r="QF82">
        <v>0</v>
      </c>
      <c r="QG82">
        <v>0</v>
      </c>
      <c r="QH82">
        <v>0</v>
      </c>
      <c r="QI82">
        <v>0</v>
      </c>
      <c r="QJ82">
        <v>0</v>
      </c>
      <c r="QK82">
        <v>0</v>
      </c>
      <c r="QL82">
        <v>0</v>
      </c>
      <c r="QM82">
        <v>0</v>
      </c>
      <c r="QN82">
        <v>0</v>
      </c>
      <c r="QO82">
        <v>0</v>
      </c>
      <c r="QP82">
        <v>0</v>
      </c>
      <c r="QQ82">
        <v>0</v>
      </c>
      <c r="QR82">
        <v>0</v>
      </c>
      <c r="QS82">
        <v>0</v>
      </c>
      <c r="QT82">
        <v>0</v>
      </c>
      <c r="QU82">
        <v>0</v>
      </c>
      <c r="QV82">
        <v>0</v>
      </c>
      <c r="QW82">
        <v>0</v>
      </c>
      <c r="QX82">
        <v>-150</v>
      </c>
      <c r="QY82">
        <v>0</v>
      </c>
      <c r="QZ82">
        <v>0</v>
      </c>
      <c r="RA82">
        <v>0</v>
      </c>
      <c r="RB82">
        <v>0</v>
      </c>
      <c r="RC82">
        <v>0</v>
      </c>
      <c r="RD82">
        <v>0</v>
      </c>
      <c r="RE82">
        <v>0</v>
      </c>
      <c r="RF82">
        <v>0</v>
      </c>
      <c r="RG82">
        <v>0</v>
      </c>
      <c r="RH82">
        <v>0</v>
      </c>
      <c r="RI82">
        <v>0</v>
      </c>
      <c r="RJ82">
        <v>0</v>
      </c>
      <c r="RK82">
        <v>0</v>
      </c>
      <c r="RL82">
        <v>0</v>
      </c>
      <c r="RM82">
        <v>0</v>
      </c>
      <c r="RN82">
        <v>0</v>
      </c>
      <c r="RO82">
        <v>0</v>
      </c>
      <c r="RP82">
        <v>0</v>
      </c>
      <c r="RQ82">
        <v>0</v>
      </c>
      <c r="RR82">
        <v>0</v>
      </c>
      <c r="RS82">
        <v>0</v>
      </c>
      <c r="RT82">
        <v>0</v>
      </c>
      <c r="RU82">
        <v>0</v>
      </c>
      <c r="RV82">
        <v>0</v>
      </c>
      <c r="RW82">
        <v>0</v>
      </c>
      <c r="RX82">
        <v>0</v>
      </c>
      <c r="RY82">
        <v>0</v>
      </c>
      <c r="RZ82">
        <v>0</v>
      </c>
      <c r="SA82">
        <v>0</v>
      </c>
      <c r="SB82">
        <v>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0</v>
      </c>
      <c r="SJ82">
        <v>0</v>
      </c>
      <c r="SK82">
        <v>0</v>
      </c>
      <c r="SL82">
        <v>0</v>
      </c>
      <c r="SM82">
        <v>0</v>
      </c>
      <c r="SN82">
        <v>0</v>
      </c>
      <c r="SO82">
        <v>0</v>
      </c>
      <c r="SP82">
        <v>0</v>
      </c>
      <c r="SQ82">
        <v>0</v>
      </c>
      <c r="SR82">
        <v>0</v>
      </c>
      <c r="SS82">
        <v>0</v>
      </c>
      <c r="ST82">
        <v>0</v>
      </c>
      <c r="SU82">
        <v>0</v>
      </c>
      <c r="SV82">
        <v>0</v>
      </c>
      <c r="SW82">
        <v>0</v>
      </c>
      <c r="SX82">
        <v>0</v>
      </c>
      <c r="SY82">
        <v>0</v>
      </c>
      <c r="SZ82">
        <v>0</v>
      </c>
      <c r="TA82">
        <v>0</v>
      </c>
      <c r="TB82">
        <v>0</v>
      </c>
      <c r="TC82">
        <v>0</v>
      </c>
      <c r="TD82">
        <v>0</v>
      </c>
      <c r="TE82">
        <v>0</v>
      </c>
      <c r="TF82">
        <v>0</v>
      </c>
      <c r="TG82">
        <v>0</v>
      </c>
      <c r="TH82">
        <v>0</v>
      </c>
      <c r="TI82">
        <v>0</v>
      </c>
      <c r="TJ82">
        <v>0</v>
      </c>
      <c r="TK82">
        <v>0</v>
      </c>
      <c r="TL82">
        <v>0</v>
      </c>
      <c r="TM82">
        <v>0</v>
      </c>
      <c r="TN82">
        <v>0</v>
      </c>
      <c r="TO82">
        <v>0</v>
      </c>
      <c r="TP82">
        <v>0</v>
      </c>
      <c r="TQ82">
        <v>0</v>
      </c>
      <c r="TR82">
        <v>0</v>
      </c>
      <c r="TS82">
        <v>0</v>
      </c>
      <c r="TT82">
        <v>0</v>
      </c>
      <c r="TU82">
        <v>0</v>
      </c>
      <c r="TV82">
        <v>0</v>
      </c>
      <c r="TW82">
        <v>0</v>
      </c>
      <c r="TX82">
        <v>0</v>
      </c>
      <c r="TY82">
        <v>0</v>
      </c>
      <c r="TZ82">
        <v>0</v>
      </c>
      <c r="UA82">
        <v>0</v>
      </c>
      <c r="UB82">
        <v>0</v>
      </c>
      <c r="UC82">
        <v>0</v>
      </c>
      <c r="UD82">
        <v>0</v>
      </c>
      <c r="UE82">
        <v>0</v>
      </c>
      <c r="UF82">
        <v>0</v>
      </c>
      <c r="UG82">
        <v>0</v>
      </c>
      <c r="UH82">
        <v>0</v>
      </c>
      <c r="UI82">
        <v>0</v>
      </c>
      <c r="UJ82">
        <v>0</v>
      </c>
      <c r="UK82">
        <v>0</v>
      </c>
      <c r="UL82">
        <v>0</v>
      </c>
      <c r="UM82">
        <v>0</v>
      </c>
      <c r="UN82">
        <v>0</v>
      </c>
      <c r="UO82">
        <v>0</v>
      </c>
      <c r="UP82">
        <v>-1000</v>
      </c>
      <c r="UQ82">
        <v>0</v>
      </c>
      <c r="UR82">
        <v>0</v>
      </c>
      <c r="US82">
        <v>0</v>
      </c>
      <c r="UT82">
        <v>0</v>
      </c>
      <c r="UU82">
        <v>0</v>
      </c>
      <c r="UV82">
        <v>0</v>
      </c>
      <c r="UW82">
        <v>0</v>
      </c>
      <c r="UX82">
        <v>0</v>
      </c>
      <c r="UY82">
        <v>0</v>
      </c>
      <c r="UZ82">
        <v>0</v>
      </c>
      <c r="VA82">
        <v>0</v>
      </c>
      <c r="VB82">
        <v>0</v>
      </c>
      <c r="VC82">
        <v>0</v>
      </c>
      <c r="VD82">
        <v>0</v>
      </c>
      <c r="VE82">
        <v>0</v>
      </c>
      <c r="VF82">
        <v>0</v>
      </c>
      <c r="VG82">
        <v>0</v>
      </c>
      <c r="VH82">
        <v>0</v>
      </c>
      <c r="VI82">
        <v>0</v>
      </c>
      <c r="VJ82">
        <v>0</v>
      </c>
      <c r="VK82">
        <v>0</v>
      </c>
      <c r="VL82">
        <v>0</v>
      </c>
      <c r="VM82">
        <v>0</v>
      </c>
      <c r="VN82">
        <v>0</v>
      </c>
      <c r="VO82">
        <v>0</v>
      </c>
      <c r="VP82">
        <v>0</v>
      </c>
      <c r="VQ82">
        <v>0</v>
      </c>
      <c r="VR82">
        <v>0</v>
      </c>
      <c r="VS82">
        <v>0</v>
      </c>
      <c r="VT82">
        <v>0</v>
      </c>
      <c r="VU82">
        <v>0</v>
      </c>
      <c r="VV82">
        <v>0</v>
      </c>
      <c r="VW82">
        <v>0</v>
      </c>
      <c r="VX82">
        <v>0</v>
      </c>
      <c r="VY82">
        <v>0</v>
      </c>
      <c r="VZ82">
        <v>0</v>
      </c>
      <c r="WA82">
        <v>0</v>
      </c>
      <c r="WB82">
        <v>0</v>
      </c>
      <c r="WC82">
        <v>0</v>
      </c>
      <c r="WD82">
        <v>0</v>
      </c>
      <c r="WE82">
        <v>0</v>
      </c>
      <c r="WF82">
        <v>0</v>
      </c>
      <c r="WG82">
        <v>0</v>
      </c>
      <c r="WH82">
        <v>0</v>
      </c>
      <c r="WI82">
        <v>0</v>
      </c>
      <c r="WJ82">
        <v>0</v>
      </c>
      <c r="WK82">
        <v>0</v>
      </c>
      <c r="WL82">
        <v>0</v>
      </c>
      <c r="WM82">
        <v>0</v>
      </c>
      <c r="WN82">
        <v>0</v>
      </c>
      <c r="WO82">
        <v>0</v>
      </c>
      <c r="WP82">
        <v>0</v>
      </c>
      <c r="WQ82">
        <v>0</v>
      </c>
      <c r="WR82">
        <v>0</v>
      </c>
      <c r="WS82">
        <v>0</v>
      </c>
      <c r="WT82">
        <v>0</v>
      </c>
      <c r="WU82">
        <v>0</v>
      </c>
      <c r="WV82">
        <v>0</v>
      </c>
      <c r="WW82">
        <v>0</v>
      </c>
      <c r="WX82">
        <v>0</v>
      </c>
      <c r="WY82">
        <v>0</v>
      </c>
      <c r="WZ82">
        <v>0</v>
      </c>
      <c r="XA82">
        <v>0</v>
      </c>
      <c r="XB82">
        <v>0</v>
      </c>
      <c r="XC82">
        <v>0</v>
      </c>
      <c r="XD82">
        <v>0</v>
      </c>
      <c r="XE82">
        <v>0</v>
      </c>
      <c r="XF82">
        <v>0</v>
      </c>
      <c r="XG82">
        <v>0</v>
      </c>
      <c r="XH82">
        <v>0</v>
      </c>
      <c r="XI82">
        <v>0</v>
      </c>
      <c r="XJ82">
        <v>0</v>
      </c>
      <c r="XK82">
        <v>0</v>
      </c>
      <c r="XL82">
        <v>0</v>
      </c>
      <c r="XM82">
        <v>0</v>
      </c>
      <c r="XN82">
        <v>0</v>
      </c>
      <c r="XO82">
        <v>0</v>
      </c>
      <c r="XP82">
        <v>0</v>
      </c>
      <c r="XQ82">
        <v>0</v>
      </c>
      <c r="XR82">
        <v>0</v>
      </c>
      <c r="XS82">
        <v>0</v>
      </c>
      <c r="XT82">
        <v>0</v>
      </c>
      <c r="XU82">
        <v>0</v>
      </c>
      <c r="XV82">
        <v>0</v>
      </c>
      <c r="XW82">
        <v>0</v>
      </c>
      <c r="XX82">
        <v>0</v>
      </c>
      <c r="XY82">
        <v>0</v>
      </c>
      <c r="XZ82">
        <v>0</v>
      </c>
      <c r="YA82">
        <v>0</v>
      </c>
      <c r="YB82">
        <v>0</v>
      </c>
      <c r="YC82">
        <v>0</v>
      </c>
      <c r="YD82">
        <v>0</v>
      </c>
      <c r="YE82">
        <v>0</v>
      </c>
      <c r="YF82">
        <v>0</v>
      </c>
      <c r="YG82">
        <v>0</v>
      </c>
      <c r="YH82">
        <v>-5</v>
      </c>
      <c r="YI82">
        <v>0</v>
      </c>
      <c r="YJ82">
        <v>0</v>
      </c>
      <c r="YK82">
        <v>0</v>
      </c>
      <c r="YL82">
        <v>0</v>
      </c>
      <c r="YM82">
        <v>0</v>
      </c>
      <c r="YN82">
        <v>0</v>
      </c>
      <c r="YO82">
        <v>0</v>
      </c>
      <c r="YP82">
        <v>0</v>
      </c>
      <c r="YQ82">
        <v>0</v>
      </c>
      <c r="YR82">
        <v>0</v>
      </c>
      <c r="YS82">
        <v>0</v>
      </c>
      <c r="YT82">
        <v>0</v>
      </c>
      <c r="YU82">
        <v>0</v>
      </c>
      <c r="YV82">
        <v>0</v>
      </c>
      <c r="YW82">
        <v>0</v>
      </c>
      <c r="YX82">
        <v>0</v>
      </c>
      <c r="YY82">
        <v>0</v>
      </c>
      <c r="YZ82">
        <v>0</v>
      </c>
      <c r="ZA82">
        <v>0</v>
      </c>
      <c r="ZB82">
        <v>0</v>
      </c>
      <c r="ZC82">
        <v>0</v>
      </c>
      <c r="ZD82">
        <v>0</v>
      </c>
      <c r="ZE82">
        <v>0</v>
      </c>
      <c r="ZF82">
        <v>0</v>
      </c>
      <c r="ZG82">
        <v>0</v>
      </c>
      <c r="ZH82">
        <v>0</v>
      </c>
      <c r="ZI82">
        <v>0</v>
      </c>
      <c r="ZJ82">
        <v>0</v>
      </c>
      <c r="ZK82">
        <v>0</v>
      </c>
      <c r="ZL82">
        <v>0</v>
      </c>
      <c r="ZM82">
        <v>0</v>
      </c>
      <c r="ZN82">
        <v>0</v>
      </c>
      <c r="ZO82">
        <v>0</v>
      </c>
      <c r="ZP82">
        <v>0</v>
      </c>
      <c r="ZQ82">
        <v>0</v>
      </c>
      <c r="ZR82">
        <v>0</v>
      </c>
      <c r="ZS82">
        <v>0</v>
      </c>
      <c r="ZT82">
        <v>0</v>
      </c>
      <c r="ZU82">
        <v>0</v>
      </c>
      <c r="ZV82">
        <v>0</v>
      </c>
      <c r="ZW82">
        <v>0</v>
      </c>
      <c r="ZX82">
        <v>0</v>
      </c>
      <c r="ZY82">
        <v>0</v>
      </c>
      <c r="ZZ82">
        <v>0</v>
      </c>
      <c r="AAA82">
        <v>0</v>
      </c>
      <c r="AAB82">
        <v>0</v>
      </c>
      <c r="AAC82">
        <v>0</v>
      </c>
      <c r="AAD82">
        <v>0</v>
      </c>
      <c r="AAE82">
        <v>0</v>
      </c>
      <c r="AAF82">
        <v>0</v>
      </c>
      <c r="AAG82">
        <v>0</v>
      </c>
      <c r="AAH82">
        <v>0</v>
      </c>
      <c r="AAI82">
        <v>0</v>
      </c>
      <c r="AAJ82">
        <v>0</v>
      </c>
      <c r="AAK82">
        <v>0</v>
      </c>
      <c r="AAL82">
        <v>0</v>
      </c>
      <c r="AAM82">
        <v>0</v>
      </c>
      <c r="AAN82">
        <v>0</v>
      </c>
      <c r="AAO82">
        <v>0</v>
      </c>
      <c r="AAP82">
        <v>0</v>
      </c>
      <c r="AAQ82">
        <v>0</v>
      </c>
      <c r="AAR82">
        <v>0</v>
      </c>
      <c r="AAS82">
        <v>0</v>
      </c>
      <c r="AAT82">
        <v>0</v>
      </c>
      <c r="AAU82">
        <v>0</v>
      </c>
      <c r="AAV82">
        <v>0</v>
      </c>
      <c r="AAW82">
        <v>0</v>
      </c>
      <c r="AAX82">
        <v>0</v>
      </c>
      <c r="AAY82">
        <v>0</v>
      </c>
      <c r="AAZ82">
        <v>0</v>
      </c>
      <c r="ABA82">
        <v>0</v>
      </c>
      <c r="ABB82">
        <v>0</v>
      </c>
      <c r="ABC82">
        <v>0</v>
      </c>
      <c r="ABD82">
        <v>0</v>
      </c>
      <c r="ABE82">
        <v>0</v>
      </c>
      <c r="ABF82">
        <v>0</v>
      </c>
      <c r="ABG82">
        <v>0</v>
      </c>
      <c r="ABH82">
        <v>0</v>
      </c>
      <c r="ABI82">
        <v>0</v>
      </c>
      <c r="ABJ82">
        <v>0</v>
      </c>
      <c r="ABK82">
        <v>0</v>
      </c>
      <c r="ABL82">
        <v>0</v>
      </c>
      <c r="ABM82">
        <v>0</v>
      </c>
      <c r="ABN82">
        <v>0</v>
      </c>
      <c r="ABO82">
        <v>0</v>
      </c>
      <c r="ABP82">
        <v>0</v>
      </c>
      <c r="ABQ82">
        <v>0</v>
      </c>
      <c r="ABR82">
        <v>0</v>
      </c>
      <c r="ABS82">
        <v>0</v>
      </c>
      <c r="ABT82">
        <v>0</v>
      </c>
      <c r="ABU82">
        <v>0</v>
      </c>
      <c r="ABV82">
        <v>0</v>
      </c>
      <c r="ABW82">
        <v>0</v>
      </c>
      <c r="ABX82">
        <v>0</v>
      </c>
      <c r="ABY82">
        <v>0</v>
      </c>
      <c r="ABZ82">
        <v>-256.16438356164383</v>
      </c>
      <c r="ACA82">
        <v>0</v>
      </c>
      <c r="ACB82">
        <v>0</v>
      </c>
      <c r="ACC82">
        <v>0</v>
      </c>
      <c r="ACD82">
        <v>0</v>
      </c>
      <c r="ACE82">
        <v>0</v>
      </c>
      <c r="ACF82">
        <v>0</v>
      </c>
      <c r="ACG82">
        <v>0</v>
      </c>
      <c r="ACH82">
        <v>0</v>
      </c>
      <c r="ACI82">
        <v>0</v>
      </c>
      <c r="ACJ82">
        <v>0</v>
      </c>
      <c r="ACK82">
        <v>0</v>
      </c>
      <c r="ACL82">
        <v>0</v>
      </c>
      <c r="ACM82">
        <v>0</v>
      </c>
      <c r="ACN82">
        <v>0</v>
      </c>
      <c r="ACO82">
        <v>0</v>
      </c>
      <c r="ACP82">
        <v>0</v>
      </c>
      <c r="ACQ82">
        <v>0</v>
      </c>
      <c r="ACR82">
        <v>0</v>
      </c>
      <c r="ACS82">
        <v>0</v>
      </c>
      <c r="ACT82">
        <v>0</v>
      </c>
      <c r="ACU82">
        <v>0</v>
      </c>
      <c r="ACV82">
        <v>0</v>
      </c>
      <c r="ACW82">
        <v>0</v>
      </c>
      <c r="ACX82">
        <v>0</v>
      </c>
      <c r="ACY82">
        <v>0</v>
      </c>
      <c r="ACZ82">
        <v>0</v>
      </c>
      <c r="ADA82">
        <v>0</v>
      </c>
      <c r="ADB82">
        <v>0</v>
      </c>
      <c r="ADC82">
        <v>0</v>
      </c>
      <c r="ADD82">
        <v>0</v>
      </c>
      <c r="ADE82">
        <v>0</v>
      </c>
      <c r="ADF82">
        <v>0</v>
      </c>
      <c r="ADG82">
        <v>0</v>
      </c>
      <c r="ADH82">
        <v>0</v>
      </c>
      <c r="ADI82">
        <v>0</v>
      </c>
      <c r="ADJ82">
        <v>0</v>
      </c>
      <c r="ADK82">
        <v>0</v>
      </c>
      <c r="ADL82">
        <v>0</v>
      </c>
      <c r="ADM82">
        <v>0</v>
      </c>
      <c r="ADN82">
        <v>0</v>
      </c>
      <c r="ADO82">
        <v>0</v>
      </c>
      <c r="ADP82">
        <v>0</v>
      </c>
      <c r="ADQ82">
        <v>0</v>
      </c>
      <c r="ADR82">
        <v>0</v>
      </c>
      <c r="ADS82">
        <v>0</v>
      </c>
      <c r="ADT82">
        <v>0</v>
      </c>
      <c r="ADU82">
        <v>0</v>
      </c>
      <c r="ADV82">
        <v>0</v>
      </c>
      <c r="ADW82">
        <v>0</v>
      </c>
      <c r="ADX82">
        <v>0</v>
      </c>
      <c r="ADY82">
        <v>0</v>
      </c>
      <c r="ADZ82">
        <v>0</v>
      </c>
      <c r="AEA82">
        <v>0</v>
      </c>
      <c r="AEB82">
        <v>0</v>
      </c>
      <c r="AEC82">
        <v>0</v>
      </c>
      <c r="AED82">
        <v>0</v>
      </c>
      <c r="AEE82">
        <v>0</v>
      </c>
      <c r="AEF82">
        <v>0</v>
      </c>
      <c r="AEG82">
        <v>0</v>
      </c>
      <c r="AEH82">
        <v>0</v>
      </c>
      <c r="AEI82">
        <v>0</v>
      </c>
      <c r="AEJ82">
        <v>0</v>
      </c>
      <c r="AEK82">
        <v>0</v>
      </c>
      <c r="AEL82">
        <v>0</v>
      </c>
      <c r="AEM82">
        <v>0</v>
      </c>
      <c r="AEN82">
        <v>0</v>
      </c>
      <c r="AEO82">
        <v>0</v>
      </c>
      <c r="AEP82">
        <v>0</v>
      </c>
      <c r="AEQ82">
        <v>0</v>
      </c>
      <c r="AER82">
        <v>0</v>
      </c>
      <c r="AES82">
        <v>0</v>
      </c>
      <c r="AET82">
        <v>0</v>
      </c>
      <c r="AEU82">
        <v>0</v>
      </c>
      <c r="AEV82">
        <v>0</v>
      </c>
      <c r="AEW82">
        <v>0</v>
      </c>
      <c r="AEX82">
        <v>0</v>
      </c>
      <c r="AEY82">
        <v>0</v>
      </c>
      <c r="AEZ82">
        <v>0</v>
      </c>
      <c r="AFA82">
        <v>0</v>
      </c>
      <c r="AFB82">
        <v>0</v>
      </c>
      <c r="AFC82">
        <v>0</v>
      </c>
      <c r="AFD82">
        <v>0</v>
      </c>
      <c r="AFE82">
        <v>0</v>
      </c>
      <c r="AFF82">
        <v>0</v>
      </c>
      <c r="AFG82">
        <v>0</v>
      </c>
      <c r="AFH82">
        <v>0</v>
      </c>
      <c r="AFI82">
        <v>0</v>
      </c>
      <c r="AFJ82">
        <v>0</v>
      </c>
      <c r="AFK82">
        <v>0</v>
      </c>
      <c r="AFL82">
        <v>0</v>
      </c>
      <c r="AFM82">
        <v>0</v>
      </c>
      <c r="AFN82">
        <v>0</v>
      </c>
      <c r="AFO82">
        <v>0</v>
      </c>
      <c r="AFP82">
        <v>0</v>
      </c>
      <c r="AFQ82">
        <v>0</v>
      </c>
      <c r="AFR82">
        <v>-120</v>
      </c>
      <c r="AFS82">
        <v>0</v>
      </c>
      <c r="AFT82">
        <v>0</v>
      </c>
      <c r="AFU82">
        <v>0</v>
      </c>
      <c r="AFV82">
        <v>0</v>
      </c>
      <c r="AFW82">
        <v>0</v>
      </c>
      <c r="AFX82">
        <v>0</v>
      </c>
      <c r="AFY82">
        <v>0</v>
      </c>
      <c r="AFZ82">
        <v>0</v>
      </c>
      <c r="AGA82">
        <v>0</v>
      </c>
      <c r="AGB82">
        <v>0</v>
      </c>
      <c r="AGC82">
        <v>0</v>
      </c>
      <c r="AGD82">
        <v>0</v>
      </c>
      <c r="AGE82">
        <v>0</v>
      </c>
      <c r="AGF82">
        <v>0</v>
      </c>
      <c r="AGG82">
        <v>0</v>
      </c>
      <c r="AGH82">
        <v>0</v>
      </c>
      <c r="AGI82">
        <v>0</v>
      </c>
      <c r="AGJ82">
        <v>0</v>
      </c>
      <c r="AGK82">
        <v>0</v>
      </c>
      <c r="AGL82">
        <v>0</v>
      </c>
      <c r="AGM82">
        <v>0</v>
      </c>
      <c r="AGN82">
        <v>0</v>
      </c>
      <c r="AGO82">
        <v>0</v>
      </c>
      <c r="AGP82">
        <v>0</v>
      </c>
      <c r="AGQ82">
        <v>0</v>
      </c>
      <c r="AGR82">
        <v>0</v>
      </c>
      <c r="AGS82">
        <v>0</v>
      </c>
      <c r="AGT82">
        <v>0</v>
      </c>
      <c r="AGU82">
        <v>0</v>
      </c>
      <c r="AGV82">
        <v>0</v>
      </c>
      <c r="AGW82">
        <v>0</v>
      </c>
      <c r="AGX82">
        <v>0</v>
      </c>
      <c r="AGY82">
        <v>0</v>
      </c>
      <c r="AGZ82">
        <v>0</v>
      </c>
      <c r="AHA82">
        <v>0</v>
      </c>
      <c r="AHB82">
        <v>0</v>
      </c>
      <c r="AHC82">
        <v>0</v>
      </c>
      <c r="AHD82">
        <v>0</v>
      </c>
      <c r="AHE82">
        <v>0</v>
      </c>
      <c r="AHF82">
        <v>0</v>
      </c>
      <c r="AHG82">
        <v>0</v>
      </c>
      <c r="AHH82">
        <v>0</v>
      </c>
      <c r="AHI82">
        <v>0</v>
      </c>
      <c r="AHJ82">
        <v>0</v>
      </c>
      <c r="AHK82">
        <v>0</v>
      </c>
      <c r="AHL82">
        <v>0</v>
      </c>
      <c r="AHM82">
        <v>0</v>
      </c>
      <c r="AHN82">
        <v>0</v>
      </c>
      <c r="AHO82">
        <v>0</v>
      </c>
      <c r="AHP82">
        <v>0</v>
      </c>
      <c r="AHQ82">
        <v>0</v>
      </c>
      <c r="AHR82">
        <v>0</v>
      </c>
      <c r="AHS82">
        <v>0</v>
      </c>
      <c r="AHT82">
        <v>0</v>
      </c>
      <c r="AHU82">
        <v>0</v>
      </c>
      <c r="AHV82">
        <v>0</v>
      </c>
      <c r="AHW82">
        <v>0</v>
      </c>
      <c r="AHX82">
        <v>0</v>
      </c>
      <c r="AHY82">
        <v>0</v>
      </c>
      <c r="AHZ82">
        <v>0</v>
      </c>
      <c r="AIA82">
        <v>0</v>
      </c>
      <c r="AIB82">
        <v>0</v>
      </c>
      <c r="AIC82">
        <v>0</v>
      </c>
      <c r="AID82">
        <v>0</v>
      </c>
      <c r="AIE82">
        <v>0</v>
      </c>
      <c r="AIF82">
        <v>0</v>
      </c>
      <c r="AIG82">
        <v>0</v>
      </c>
      <c r="AIH82">
        <v>0</v>
      </c>
      <c r="AII82">
        <v>0</v>
      </c>
      <c r="AIJ82">
        <v>0</v>
      </c>
      <c r="AIK82">
        <v>0</v>
      </c>
      <c r="AIL82">
        <v>0</v>
      </c>
      <c r="AIM82">
        <v>0</v>
      </c>
      <c r="AIN82">
        <v>0</v>
      </c>
      <c r="AIO82">
        <v>0</v>
      </c>
      <c r="AIP82">
        <v>0</v>
      </c>
      <c r="AIQ82">
        <v>0</v>
      </c>
      <c r="AIR82">
        <v>0</v>
      </c>
      <c r="AIS82">
        <v>0</v>
      </c>
      <c r="AIT82">
        <v>0</v>
      </c>
      <c r="AIU82">
        <v>0</v>
      </c>
      <c r="AIV82">
        <v>0</v>
      </c>
      <c r="AIW82">
        <v>0</v>
      </c>
      <c r="AIX82">
        <v>0</v>
      </c>
      <c r="AIY82">
        <v>0</v>
      </c>
      <c r="AIZ82">
        <v>0</v>
      </c>
      <c r="AJA82">
        <v>0</v>
      </c>
      <c r="AJB82">
        <v>0</v>
      </c>
      <c r="AJC82">
        <v>0</v>
      </c>
      <c r="AJD82">
        <v>0</v>
      </c>
      <c r="AJE82">
        <v>0</v>
      </c>
      <c r="AJF82">
        <v>0</v>
      </c>
      <c r="AJG82">
        <v>0</v>
      </c>
      <c r="AJH82">
        <v>0</v>
      </c>
      <c r="AJI82">
        <v>0</v>
      </c>
      <c r="AJJ82">
        <v>-4500</v>
      </c>
      <c r="AJK82">
        <v>0</v>
      </c>
      <c r="AJL82">
        <v>0</v>
      </c>
      <c r="AJM82">
        <v>0</v>
      </c>
      <c r="AJN82">
        <v>0</v>
      </c>
      <c r="AJO82">
        <v>0</v>
      </c>
      <c r="AJP82">
        <v>0</v>
      </c>
      <c r="AJQ82">
        <v>0</v>
      </c>
      <c r="AJR82">
        <v>0</v>
      </c>
      <c r="AJS82">
        <v>0</v>
      </c>
      <c r="AJT82">
        <v>0</v>
      </c>
      <c r="AJU82">
        <v>0</v>
      </c>
      <c r="AJV82">
        <v>0</v>
      </c>
      <c r="AJW82">
        <v>0</v>
      </c>
      <c r="AJX82">
        <v>0</v>
      </c>
      <c r="AJY82">
        <v>0</v>
      </c>
    </row>
    <row r="83" spans="1:961" x14ac:dyDescent="0.3">
      <c r="A83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10000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5000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0</v>
      </c>
      <c r="KQ83">
        <v>0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0</v>
      </c>
      <c r="LI83">
        <v>0</v>
      </c>
      <c r="LJ83">
        <v>0</v>
      </c>
      <c r="LK83">
        <v>0</v>
      </c>
      <c r="LL83">
        <v>0</v>
      </c>
      <c r="LM83">
        <v>0</v>
      </c>
      <c r="LN83">
        <v>0</v>
      </c>
      <c r="LO83">
        <v>0</v>
      </c>
      <c r="LP83">
        <v>0</v>
      </c>
      <c r="LQ83">
        <v>0</v>
      </c>
      <c r="LR83">
        <v>0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0</v>
      </c>
      <c r="NP83">
        <v>0</v>
      </c>
      <c r="NQ83">
        <v>0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0</v>
      </c>
      <c r="OK83">
        <v>0</v>
      </c>
      <c r="OL83">
        <v>0</v>
      </c>
      <c r="OM83">
        <v>0</v>
      </c>
      <c r="ON83">
        <v>0</v>
      </c>
      <c r="OO83">
        <v>0</v>
      </c>
      <c r="OP83">
        <v>0</v>
      </c>
      <c r="OQ83">
        <v>0</v>
      </c>
      <c r="OR83">
        <v>0</v>
      </c>
      <c r="OS83">
        <v>0</v>
      </c>
      <c r="OT83">
        <v>0</v>
      </c>
      <c r="OU83">
        <v>0</v>
      </c>
      <c r="OV83">
        <v>0</v>
      </c>
      <c r="OW83">
        <v>0</v>
      </c>
      <c r="OX83">
        <v>0</v>
      </c>
      <c r="OY83">
        <v>0</v>
      </c>
      <c r="OZ83">
        <v>0</v>
      </c>
      <c r="PA83">
        <v>0</v>
      </c>
      <c r="PB83">
        <v>0</v>
      </c>
      <c r="PC83">
        <v>0</v>
      </c>
      <c r="PD83">
        <v>0</v>
      </c>
      <c r="PE83">
        <v>0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0</v>
      </c>
      <c r="PL83">
        <v>0</v>
      </c>
      <c r="PM83">
        <v>0</v>
      </c>
      <c r="PN83">
        <v>0</v>
      </c>
      <c r="PO83">
        <v>0</v>
      </c>
      <c r="PP83">
        <v>0</v>
      </c>
      <c r="PQ83">
        <v>0</v>
      </c>
      <c r="PR83">
        <v>0</v>
      </c>
      <c r="PS83">
        <v>0</v>
      </c>
      <c r="PT83">
        <v>0</v>
      </c>
      <c r="PU83">
        <v>0</v>
      </c>
      <c r="PV83">
        <v>0</v>
      </c>
      <c r="PW83">
        <v>0</v>
      </c>
      <c r="PX83">
        <v>0</v>
      </c>
      <c r="PY83">
        <v>0</v>
      </c>
      <c r="PZ83">
        <v>0</v>
      </c>
      <c r="QA83">
        <v>0</v>
      </c>
      <c r="QB83">
        <v>0</v>
      </c>
      <c r="QC83">
        <v>0</v>
      </c>
      <c r="QD83">
        <v>0</v>
      </c>
      <c r="QE83">
        <v>0</v>
      </c>
      <c r="QF83">
        <v>0</v>
      </c>
      <c r="QG83">
        <v>0</v>
      </c>
      <c r="QH83">
        <v>0</v>
      </c>
      <c r="QI83">
        <v>0</v>
      </c>
      <c r="QJ83">
        <v>0</v>
      </c>
      <c r="QK83">
        <v>0</v>
      </c>
      <c r="QL83">
        <v>0</v>
      </c>
      <c r="QM83">
        <v>0</v>
      </c>
      <c r="QN83">
        <v>0</v>
      </c>
      <c r="QO83">
        <v>0</v>
      </c>
      <c r="QP83">
        <v>0</v>
      </c>
      <c r="QQ83">
        <v>0</v>
      </c>
      <c r="QR83">
        <v>0</v>
      </c>
      <c r="QS83">
        <v>0</v>
      </c>
      <c r="QT83">
        <v>0</v>
      </c>
      <c r="QU83">
        <v>0</v>
      </c>
      <c r="QV83">
        <v>0</v>
      </c>
      <c r="QW83">
        <v>0</v>
      </c>
      <c r="QX83">
        <v>0</v>
      </c>
      <c r="QY83">
        <v>-150</v>
      </c>
      <c r="QZ83">
        <v>0</v>
      </c>
      <c r="RA83">
        <v>0</v>
      </c>
      <c r="RB83">
        <v>0</v>
      </c>
      <c r="RC83">
        <v>0</v>
      </c>
      <c r="RD83">
        <v>0</v>
      </c>
      <c r="RE83">
        <v>0</v>
      </c>
      <c r="RF83">
        <v>0</v>
      </c>
      <c r="RG83">
        <v>0</v>
      </c>
      <c r="RH83">
        <v>0</v>
      </c>
      <c r="RI83">
        <v>0</v>
      </c>
      <c r="RJ83">
        <v>0</v>
      </c>
      <c r="RK83">
        <v>0</v>
      </c>
      <c r="RL83">
        <v>0</v>
      </c>
      <c r="RM83">
        <v>0</v>
      </c>
      <c r="RN83">
        <v>0</v>
      </c>
      <c r="RO83">
        <v>0</v>
      </c>
      <c r="RP83">
        <v>0</v>
      </c>
      <c r="RQ83">
        <v>0</v>
      </c>
      <c r="RR83">
        <v>0</v>
      </c>
      <c r="RS83">
        <v>0</v>
      </c>
      <c r="RT83">
        <v>0</v>
      </c>
      <c r="RU83">
        <v>0</v>
      </c>
      <c r="RV83">
        <v>0</v>
      </c>
      <c r="RW83">
        <v>0</v>
      </c>
      <c r="RX83">
        <v>0</v>
      </c>
      <c r="RY83">
        <v>0</v>
      </c>
      <c r="RZ83">
        <v>0</v>
      </c>
      <c r="SA83">
        <v>0</v>
      </c>
      <c r="SB83">
        <v>0</v>
      </c>
      <c r="SC83">
        <v>0</v>
      </c>
      <c r="SD83">
        <v>0</v>
      </c>
      <c r="SE83">
        <v>0</v>
      </c>
      <c r="SF83">
        <v>0</v>
      </c>
      <c r="SG83">
        <v>0</v>
      </c>
      <c r="SH83">
        <v>0</v>
      </c>
      <c r="SI83">
        <v>0</v>
      </c>
      <c r="SJ83">
        <v>0</v>
      </c>
      <c r="SK83">
        <v>0</v>
      </c>
      <c r="SL83">
        <v>0</v>
      </c>
      <c r="SM83">
        <v>0</v>
      </c>
      <c r="SN83">
        <v>0</v>
      </c>
      <c r="SO83">
        <v>0</v>
      </c>
      <c r="SP83">
        <v>0</v>
      </c>
      <c r="SQ83">
        <v>0</v>
      </c>
      <c r="SR83">
        <v>0</v>
      </c>
      <c r="SS83">
        <v>0</v>
      </c>
      <c r="ST83">
        <v>0</v>
      </c>
      <c r="SU83">
        <v>0</v>
      </c>
      <c r="SV83">
        <v>0</v>
      </c>
      <c r="SW83">
        <v>0</v>
      </c>
      <c r="SX83">
        <v>0</v>
      </c>
      <c r="SY83">
        <v>0</v>
      </c>
      <c r="SZ83">
        <v>0</v>
      </c>
      <c r="TA83">
        <v>0</v>
      </c>
      <c r="TB83">
        <v>0</v>
      </c>
      <c r="TC83">
        <v>0</v>
      </c>
      <c r="TD83">
        <v>0</v>
      </c>
      <c r="TE83">
        <v>0</v>
      </c>
      <c r="TF83">
        <v>0</v>
      </c>
      <c r="TG83">
        <v>0</v>
      </c>
      <c r="TH83">
        <v>0</v>
      </c>
      <c r="TI83">
        <v>0</v>
      </c>
      <c r="TJ83">
        <v>0</v>
      </c>
      <c r="TK83">
        <v>0</v>
      </c>
      <c r="TL83">
        <v>0</v>
      </c>
      <c r="TM83">
        <v>0</v>
      </c>
      <c r="TN83">
        <v>0</v>
      </c>
      <c r="TO83">
        <v>0</v>
      </c>
      <c r="TP83">
        <v>0</v>
      </c>
      <c r="TQ83">
        <v>0</v>
      </c>
      <c r="TR83">
        <v>0</v>
      </c>
      <c r="TS83">
        <v>0</v>
      </c>
      <c r="TT83">
        <v>0</v>
      </c>
      <c r="TU83">
        <v>0</v>
      </c>
      <c r="TV83">
        <v>0</v>
      </c>
      <c r="TW83">
        <v>0</v>
      </c>
      <c r="TX83">
        <v>0</v>
      </c>
      <c r="TY83">
        <v>0</v>
      </c>
      <c r="TZ83">
        <v>0</v>
      </c>
      <c r="UA83">
        <v>0</v>
      </c>
      <c r="UB83">
        <v>0</v>
      </c>
      <c r="UC83">
        <v>0</v>
      </c>
      <c r="UD83">
        <v>0</v>
      </c>
      <c r="UE83">
        <v>0</v>
      </c>
      <c r="UF83">
        <v>0</v>
      </c>
      <c r="UG83">
        <v>0</v>
      </c>
      <c r="UH83">
        <v>0</v>
      </c>
      <c r="UI83">
        <v>0</v>
      </c>
      <c r="UJ83">
        <v>0</v>
      </c>
      <c r="UK83">
        <v>0</v>
      </c>
      <c r="UL83">
        <v>0</v>
      </c>
      <c r="UM83">
        <v>0</v>
      </c>
      <c r="UN83">
        <v>0</v>
      </c>
      <c r="UO83">
        <v>0</v>
      </c>
      <c r="UP83">
        <v>0</v>
      </c>
      <c r="UQ83">
        <v>-1000</v>
      </c>
      <c r="UR83">
        <v>0</v>
      </c>
      <c r="US83">
        <v>0</v>
      </c>
      <c r="UT83">
        <v>0</v>
      </c>
      <c r="UU83">
        <v>0</v>
      </c>
      <c r="UV83">
        <v>0</v>
      </c>
      <c r="UW83">
        <v>0</v>
      </c>
      <c r="UX83">
        <v>0</v>
      </c>
      <c r="UY83">
        <v>0</v>
      </c>
      <c r="UZ83">
        <v>0</v>
      </c>
      <c r="VA83">
        <v>0</v>
      </c>
      <c r="VB83">
        <v>0</v>
      </c>
      <c r="VC83">
        <v>0</v>
      </c>
      <c r="VD83">
        <v>0</v>
      </c>
      <c r="VE83">
        <v>0</v>
      </c>
      <c r="VF83">
        <v>0</v>
      </c>
      <c r="VG83">
        <v>0</v>
      </c>
      <c r="VH83">
        <v>0</v>
      </c>
      <c r="VI83">
        <v>0</v>
      </c>
      <c r="VJ83">
        <v>0</v>
      </c>
      <c r="VK83">
        <v>0</v>
      </c>
      <c r="VL83">
        <v>0</v>
      </c>
      <c r="VM83">
        <v>0</v>
      </c>
      <c r="VN83">
        <v>0</v>
      </c>
      <c r="VO83">
        <v>0</v>
      </c>
      <c r="VP83">
        <v>0</v>
      </c>
      <c r="VQ83">
        <v>0</v>
      </c>
      <c r="VR83">
        <v>0</v>
      </c>
      <c r="VS83">
        <v>0</v>
      </c>
      <c r="VT83">
        <v>0</v>
      </c>
      <c r="VU83">
        <v>0</v>
      </c>
      <c r="VV83">
        <v>0</v>
      </c>
      <c r="VW83">
        <v>0</v>
      </c>
      <c r="VX83">
        <v>0</v>
      </c>
      <c r="VY83">
        <v>0</v>
      </c>
      <c r="VZ83">
        <v>0</v>
      </c>
      <c r="WA83">
        <v>0</v>
      </c>
      <c r="WB83">
        <v>0</v>
      </c>
      <c r="WC83">
        <v>0</v>
      </c>
      <c r="WD83">
        <v>0</v>
      </c>
      <c r="WE83">
        <v>0</v>
      </c>
      <c r="WF83">
        <v>0</v>
      </c>
      <c r="WG83">
        <v>0</v>
      </c>
      <c r="WH83">
        <v>0</v>
      </c>
      <c r="WI83">
        <v>0</v>
      </c>
      <c r="WJ83">
        <v>0</v>
      </c>
      <c r="WK83">
        <v>0</v>
      </c>
      <c r="WL83">
        <v>0</v>
      </c>
      <c r="WM83">
        <v>0</v>
      </c>
      <c r="WN83">
        <v>0</v>
      </c>
      <c r="WO83">
        <v>0</v>
      </c>
      <c r="WP83">
        <v>0</v>
      </c>
      <c r="WQ83">
        <v>0</v>
      </c>
      <c r="WR83">
        <v>0</v>
      </c>
      <c r="WS83">
        <v>0</v>
      </c>
      <c r="WT83">
        <v>0</v>
      </c>
      <c r="WU83">
        <v>0</v>
      </c>
      <c r="WV83">
        <v>0</v>
      </c>
      <c r="WW83">
        <v>0</v>
      </c>
      <c r="WX83">
        <v>0</v>
      </c>
      <c r="WY83">
        <v>0</v>
      </c>
      <c r="WZ83">
        <v>0</v>
      </c>
      <c r="XA83">
        <v>0</v>
      </c>
      <c r="XB83">
        <v>0</v>
      </c>
      <c r="XC83">
        <v>0</v>
      </c>
      <c r="XD83">
        <v>0</v>
      </c>
      <c r="XE83">
        <v>0</v>
      </c>
      <c r="XF83">
        <v>0</v>
      </c>
      <c r="XG83">
        <v>0</v>
      </c>
      <c r="XH83">
        <v>0</v>
      </c>
      <c r="XI83">
        <v>0</v>
      </c>
      <c r="XJ83">
        <v>0</v>
      </c>
      <c r="XK83">
        <v>0</v>
      </c>
      <c r="XL83">
        <v>0</v>
      </c>
      <c r="XM83">
        <v>0</v>
      </c>
      <c r="XN83">
        <v>0</v>
      </c>
      <c r="XO83">
        <v>0</v>
      </c>
      <c r="XP83">
        <v>0</v>
      </c>
      <c r="XQ83">
        <v>0</v>
      </c>
      <c r="XR83">
        <v>0</v>
      </c>
      <c r="XS83">
        <v>0</v>
      </c>
      <c r="XT83">
        <v>0</v>
      </c>
      <c r="XU83">
        <v>0</v>
      </c>
      <c r="XV83">
        <v>0</v>
      </c>
      <c r="XW83">
        <v>0</v>
      </c>
      <c r="XX83">
        <v>0</v>
      </c>
      <c r="XY83">
        <v>0</v>
      </c>
      <c r="XZ83">
        <v>0</v>
      </c>
      <c r="YA83">
        <v>0</v>
      </c>
      <c r="YB83">
        <v>0</v>
      </c>
      <c r="YC83">
        <v>0</v>
      </c>
      <c r="YD83">
        <v>0</v>
      </c>
      <c r="YE83">
        <v>0</v>
      </c>
      <c r="YF83">
        <v>0</v>
      </c>
      <c r="YG83">
        <v>0</v>
      </c>
      <c r="YH83">
        <v>0</v>
      </c>
      <c r="YI83">
        <v>-5</v>
      </c>
      <c r="YJ83">
        <v>0</v>
      </c>
      <c r="YK83">
        <v>0</v>
      </c>
      <c r="YL83">
        <v>0</v>
      </c>
      <c r="YM83">
        <v>0</v>
      </c>
      <c r="YN83">
        <v>0</v>
      </c>
      <c r="YO83">
        <v>0</v>
      </c>
      <c r="YP83">
        <v>0</v>
      </c>
      <c r="YQ83">
        <v>0</v>
      </c>
      <c r="YR83">
        <v>0</v>
      </c>
      <c r="YS83">
        <v>0</v>
      </c>
      <c r="YT83">
        <v>0</v>
      </c>
      <c r="YU83">
        <v>0</v>
      </c>
      <c r="YV83">
        <v>0</v>
      </c>
      <c r="YW83">
        <v>0</v>
      </c>
      <c r="YX83">
        <v>0</v>
      </c>
      <c r="YY83">
        <v>0</v>
      </c>
      <c r="YZ83">
        <v>0</v>
      </c>
      <c r="ZA83">
        <v>0</v>
      </c>
      <c r="ZB83">
        <v>0</v>
      </c>
      <c r="ZC83">
        <v>0</v>
      </c>
      <c r="ZD83">
        <v>0</v>
      </c>
      <c r="ZE83">
        <v>0</v>
      </c>
      <c r="ZF83">
        <v>0</v>
      </c>
      <c r="ZG83">
        <v>0</v>
      </c>
      <c r="ZH83">
        <v>0</v>
      </c>
      <c r="ZI83">
        <v>0</v>
      </c>
      <c r="ZJ83">
        <v>0</v>
      </c>
      <c r="ZK83">
        <v>0</v>
      </c>
      <c r="ZL83">
        <v>0</v>
      </c>
      <c r="ZM83">
        <v>0</v>
      </c>
      <c r="ZN83">
        <v>0</v>
      </c>
      <c r="ZO83">
        <v>0</v>
      </c>
      <c r="ZP83">
        <v>0</v>
      </c>
      <c r="ZQ83">
        <v>0</v>
      </c>
      <c r="ZR83">
        <v>0</v>
      </c>
      <c r="ZS83">
        <v>0</v>
      </c>
      <c r="ZT83">
        <v>0</v>
      </c>
      <c r="ZU83">
        <v>0</v>
      </c>
      <c r="ZV83">
        <v>0</v>
      </c>
      <c r="ZW83">
        <v>0</v>
      </c>
      <c r="ZX83">
        <v>0</v>
      </c>
      <c r="ZY83">
        <v>0</v>
      </c>
      <c r="ZZ83">
        <v>0</v>
      </c>
      <c r="AAA83">
        <v>0</v>
      </c>
      <c r="AAB83">
        <v>0</v>
      </c>
      <c r="AAC83">
        <v>0</v>
      </c>
      <c r="AAD83">
        <v>0</v>
      </c>
      <c r="AAE83">
        <v>0</v>
      </c>
      <c r="AAF83">
        <v>0</v>
      </c>
      <c r="AAG83">
        <v>0</v>
      </c>
      <c r="AAH83">
        <v>0</v>
      </c>
      <c r="AAI83">
        <v>0</v>
      </c>
      <c r="AAJ83">
        <v>0</v>
      </c>
      <c r="AAK83">
        <v>0</v>
      </c>
      <c r="AAL83">
        <v>0</v>
      </c>
      <c r="AAM83">
        <v>0</v>
      </c>
      <c r="AAN83">
        <v>0</v>
      </c>
      <c r="AAO83">
        <v>0</v>
      </c>
      <c r="AAP83">
        <v>0</v>
      </c>
      <c r="AAQ83">
        <v>0</v>
      </c>
      <c r="AAR83">
        <v>0</v>
      </c>
      <c r="AAS83">
        <v>0</v>
      </c>
      <c r="AAT83">
        <v>0</v>
      </c>
      <c r="AAU83">
        <v>0</v>
      </c>
      <c r="AAV83">
        <v>0</v>
      </c>
      <c r="AAW83">
        <v>0</v>
      </c>
      <c r="AAX83">
        <v>0</v>
      </c>
      <c r="AAY83">
        <v>0</v>
      </c>
      <c r="AAZ83">
        <v>0</v>
      </c>
      <c r="ABA83">
        <v>0</v>
      </c>
      <c r="ABB83">
        <v>0</v>
      </c>
      <c r="ABC83">
        <v>0</v>
      </c>
      <c r="ABD83">
        <v>0</v>
      </c>
      <c r="ABE83">
        <v>0</v>
      </c>
      <c r="ABF83">
        <v>0</v>
      </c>
      <c r="ABG83">
        <v>0</v>
      </c>
      <c r="ABH83">
        <v>0</v>
      </c>
      <c r="ABI83">
        <v>0</v>
      </c>
      <c r="ABJ83">
        <v>0</v>
      </c>
      <c r="ABK83">
        <v>0</v>
      </c>
      <c r="ABL83">
        <v>0</v>
      </c>
      <c r="ABM83">
        <v>0</v>
      </c>
      <c r="ABN83">
        <v>0</v>
      </c>
      <c r="ABO83">
        <v>0</v>
      </c>
      <c r="ABP83">
        <v>0</v>
      </c>
      <c r="ABQ83">
        <v>0</v>
      </c>
      <c r="ABR83">
        <v>0</v>
      </c>
      <c r="ABS83">
        <v>0</v>
      </c>
      <c r="ABT83">
        <v>0</v>
      </c>
      <c r="ABU83">
        <v>0</v>
      </c>
      <c r="ABV83">
        <v>0</v>
      </c>
      <c r="ABW83">
        <v>0</v>
      </c>
      <c r="ABX83">
        <v>0</v>
      </c>
      <c r="ABY83">
        <v>0</v>
      </c>
      <c r="ABZ83">
        <v>0</v>
      </c>
      <c r="ACA83">
        <v>-256.16438356164383</v>
      </c>
      <c r="ACB83">
        <v>0</v>
      </c>
      <c r="ACC83">
        <v>0</v>
      </c>
      <c r="ACD83">
        <v>0</v>
      </c>
      <c r="ACE83">
        <v>0</v>
      </c>
      <c r="ACF83">
        <v>0</v>
      </c>
      <c r="ACG83">
        <v>0</v>
      </c>
      <c r="ACH83">
        <v>0</v>
      </c>
      <c r="ACI83">
        <v>0</v>
      </c>
      <c r="ACJ83">
        <v>0</v>
      </c>
      <c r="ACK83">
        <v>0</v>
      </c>
      <c r="ACL83">
        <v>0</v>
      </c>
      <c r="ACM83">
        <v>0</v>
      </c>
      <c r="ACN83">
        <v>0</v>
      </c>
      <c r="ACO83">
        <v>0</v>
      </c>
      <c r="ACP83">
        <v>0</v>
      </c>
      <c r="ACQ83">
        <v>0</v>
      </c>
      <c r="ACR83">
        <v>0</v>
      </c>
      <c r="ACS83">
        <v>0</v>
      </c>
      <c r="ACT83">
        <v>0</v>
      </c>
      <c r="ACU83">
        <v>0</v>
      </c>
      <c r="ACV83">
        <v>0</v>
      </c>
      <c r="ACW83">
        <v>0</v>
      </c>
      <c r="ACX83">
        <v>0</v>
      </c>
      <c r="ACY83">
        <v>0</v>
      </c>
      <c r="ACZ83">
        <v>0</v>
      </c>
      <c r="ADA83">
        <v>0</v>
      </c>
      <c r="ADB83">
        <v>0</v>
      </c>
      <c r="ADC83">
        <v>0</v>
      </c>
      <c r="ADD83">
        <v>0</v>
      </c>
      <c r="ADE83">
        <v>0</v>
      </c>
      <c r="ADF83">
        <v>0</v>
      </c>
      <c r="ADG83">
        <v>0</v>
      </c>
      <c r="ADH83">
        <v>0</v>
      </c>
      <c r="ADI83">
        <v>0</v>
      </c>
      <c r="ADJ83">
        <v>0</v>
      </c>
      <c r="ADK83">
        <v>0</v>
      </c>
      <c r="ADL83">
        <v>0</v>
      </c>
      <c r="ADM83">
        <v>0</v>
      </c>
      <c r="ADN83">
        <v>0</v>
      </c>
      <c r="ADO83">
        <v>0</v>
      </c>
      <c r="ADP83">
        <v>0</v>
      </c>
      <c r="ADQ83">
        <v>0</v>
      </c>
      <c r="ADR83">
        <v>0</v>
      </c>
      <c r="ADS83">
        <v>0</v>
      </c>
      <c r="ADT83">
        <v>0</v>
      </c>
      <c r="ADU83">
        <v>0</v>
      </c>
      <c r="ADV83">
        <v>0</v>
      </c>
      <c r="ADW83">
        <v>0</v>
      </c>
      <c r="ADX83">
        <v>0</v>
      </c>
      <c r="ADY83">
        <v>0</v>
      </c>
      <c r="ADZ83">
        <v>0</v>
      </c>
      <c r="AEA83">
        <v>0</v>
      </c>
      <c r="AEB83">
        <v>0</v>
      </c>
      <c r="AEC83">
        <v>0</v>
      </c>
      <c r="AED83">
        <v>0</v>
      </c>
      <c r="AEE83">
        <v>0</v>
      </c>
      <c r="AEF83">
        <v>0</v>
      </c>
      <c r="AEG83">
        <v>0</v>
      </c>
      <c r="AEH83">
        <v>0</v>
      </c>
      <c r="AEI83">
        <v>0</v>
      </c>
      <c r="AEJ83">
        <v>0</v>
      </c>
      <c r="AEK83">
        <v>0</v>
      </c>
      <c r="AEL83">
        <v>0</v>
      </c>
      <c r="AEM83">
        <v>0</v>
      </c>
      <c r="AEN83">
        <v>0</v>
      </c>
      <c r="AEO83">
        <v>0</v>
      </c>
      <c r="AEP83">
        <v>0</v>
      </c>
      <c r="AEQ83">
        <v>0</v>
      </c>
      <c r="AER83">
        <v>0</v>
      </c>
      <c r="AES83">
        <v>0</v>
      </c>
      <c r="AET83">
        <v>0</v>
      </c>
      <c r="AEU83">
        <v>0</v>
      </c>
      <c r="AEV83">
        <v>0</v>
      </c>
      <c r="AEW83">
        <v>0</v>
      </c>
      <c r="AEX83">
        <v>0</v>
      </c>
      <c r="AEY83">
        <v>0</v>
      </c>
      <c r="AEZ83">
        <v>0</v>
      </c>
      <c r="AFA83">
        <v>0</v>
      </c>
      <c r="AFB83">
        <v>0</v>
      </c>
      <c r="AFC83">
        <v>0</v>
      </c>
      <c r="AFD83">
        <v>0</v>
      </c>
      <c r="AFE83">
        <v>0</v>
      </c>
      <c r="AFF83">
        <v>0</v>
      </c>
      <c r="AFG83">
        <v>0</v>
      </c>
      <c r="AFH83">
        <v>0</v>
      </c>
      <c r="AFI83">
        <v>0</v>
      </c>
      <c r="AFJ83">
        <v>0</v>
      </c>
      <c r="AFK83">
        <v>0</v>
      </c>
      <c r="AFL83">
        <v>0</v>
      </c>
      <c r="AFM83">
        <v>0</v>
      </c>
      <c r="AFN83">
        <v>0</v>
      </c>
      <c r="AFO83">
        <v>0</v>
      </c>
      <c r="AFP83">
        <v>0</v>
      </c>
      <c r="AFQ83">
        <v>0</v>
      </c>
      <c r="AFR83">
        <v>0</v>
      </c>
      <c r="AFS83">
        <v>-120</v>
      </c>
      <c r="AFT83">
        <v>0</v>
      </c>
      <c r="AFU83">
        <v>0</v>
      </c>
      <c r="AFV83">
        <v>0</v>
      </c>
      <c r="AFW83">
        <v>0</v>
      </c>
      <c r="AFX83">
        <v>0</v>
      </c>
      <c r="AFY83">
        <v>0</v>
      </c>
      <c r="AFZ83">
        <v>0</v>
      </c>
      <c r="AGA83">
        <v>0</v>
      </c>
      <c r="AGB83">
        <v>0</v>
      </c>
      <c r="AGC83">
        <v>0</v>
      </c>
      <c r="AGD83">
        <v>0</v>
      </c>
      <c r="AGE83">
        <v>0</v>
      </c>
      <c r="AGF83">
        <v>0</v>
      </c>
      <c r="AGG83">
        <v>0</v>
      </c>
      <c r="AGH83">
        <v>0</v>
      </c>
      <c r="AGI83">
        <v>0</v>
      </c>
      <c r="AGJ83">
        <v>0</v>
      </c>
      <c r="AGK83">
        <v>0</v>
      </c>
      <c r="AGL83">
        <v>0</v>
      </c>
      <c r="AGM83">
        <v>0</v>
      </c>
      <c r="AGN83">
        <v>0</v>
      </c>
      <c r="AGO83">
        <v>0</v>
      </c>
      <c r="AGP83">
        <v>0</v>
      </c>
      <c r="AGQ83">
        <v>0</v>
      </c>
      <c r="AGR83">
        <v>0</v>
      </c>
      <c r="AGS83">
        <v>0</v>
      </c>
      <c r="AGT83">
        <v>0</v>
      </c>
      <c r="AGU83">
        <v>0</v>
      </c>
      <c r="AGV83">
        <v>0</v>
      </c>
      <c r="AGW83">
        <v>0</v>
      </c>
      <c r="AGX83">
        <v>0</v>
      </c>
      <c r="AGY83">
        <v>0</v>
      </c>
      <c r="AGZ83">
        <v>0</v>
      </c>
      <c r="AHA83">
        <v>0</v>
      </c>
      <c r="AHB83">
        <v>0</v>
      </c>
      <c r="AHC83">
        <v>0</v>
      </c>
      <c r="AHD83">
        <v>0</v>
      </c>
      <c r="AHE83">
        <v>0</v>
      </c>
      <c r="AHF83">
        <v>0</v>
      </c>
      <c r="AHG83">
        <v>0</v>
      </c>
      <c r="AHH83">
        <v>0</v>
      </c>
      <c r="AHI83">
        <v>0</v>
      </c>
      <c r="AHJ83">
        <v>0</v>
      </c>
      <c r="AHK83">
        <v>0</v>
      </c>
      <c r="AHL83">
        <v>0</v>
      </c>
      <c r="AHM83">
        <v>0</v>
      </c>
      <c r="AHN83">
        <v>0</v>
      </c>
      <c r="AHO83">
        <v>0</v>
      </c>
      <c r="AHP83">
        <v>0</v>
      </c>
      <c r="AHQ83">
        <v>0</v>
      </c>
      <c r="AHR83">
        <v>0</v>
      </c>
      <c r="AHS83">
        <v>0</v>
      </c>
      <c r="AHT83">
        <v>0</v>
      </c>
      <c r="AHU83">
        <v>0</v>
      </c>
      <c r="AHV83">
        <v>0</v>
      </c>
      <c r="AHW83">
        <v>0</v>
      </c>
      <c r="AHX83">
        <v>0</v>
      </c>
      <c r="AHY83">
        <v>0</v>
      </c>
      <c r="AHZ83">
        <v>0</v>
      </c>
      <c r="AIA83">
        <v>0</v>
      </c>
      <c r="AIB83">
        <v>0</v>
      </c>
      <c r="AIC83">
        <v>0</v>
      </c>
      <c r="AID83">
        <v>0</v>
      </c>
      <c r="AIE83">
        <v>0</v>
      </c>
      <c r="AIF83">
        <v>0</v>
      </c>
      <c r="AIG83">
        <v>0</v>
      </c>
      <c r="AIH83">
        <v>0</v>
      </c>
      <c r="AII83">
        <v>0</v>
      </c>
      <c r="AIJ83">
        <v>0</v>
      </c>
      <c r="AIK83">
        <v>0</v>
      </c>
      <c r="AIL83">
        <v>0</v>
      </c>
      <c r="AIM83">
        <v>0</v>
      </c>
      <c r="AIN83">
        <v>0</v>
      </c>
      <c r="AIO83">
        <v>0</v>
      </c>
      <c r="AIP83">
        <v>0</v>
      </c>
      <c r="AIQ83">
        <v>0</v>
      </c>
      <c r="AIR83">
        <v>0</v>
      </c>
      <c r="AIS83">
        <v>0</v>
      </c>
      <c r="AIT83">
        <v>0</v>
      </c>
      <c r="AIU83">
        <v>0</v>
      </c>
      <c r="AIV83">
        <v>0</v>
      </c>
      <c r="AIW83">
        <v>0</v>
      </c>
      <c r="AIX83">
        <v>0</v>
      </c>
      <c r="AIY83">
        <v>0</v>
      </c>
      <c r="AIZ83">
        <v>0</v>
      </c>
      <c r="AJA83">
        <v>0</v>
      </c>
      <c r="AJB83">
        <v>0</v>
      </c>
      <c r="AJC83">
        <v>0</v>
      </c>
      <c r="AJD83">
        <v>0</v>
      </c>
      <c r="AJE83">
        <v>0</v>
      </c>
      <c r="AJF83">
        <v>0</v>
      </c>
      <c r="AJG83">
        <v>0</v>
      </c>
      <c r="AJH83">
        <v>0</v>
      </c>
      <c r="AJI83">
        <v>0</v>
      </c>
      <c r="AJJ83">
        <v>0</v>
      </c>
      <c r="AJK83">
        <v>-4500</v>
      </c>
      <c r="AJL83">
        <v>0</v>
      </c>
      <c r="AJM83">
        <v>0</v>
      </c>
      <c r="AJN83">
        <v>0</v>
      </c>
      <c r="AJO83">
        <v>0</v>
      </c>
      <c r="AJP83">
        <v>0</v>
      </c>
      <c r="AJQ83">
        <v>0</v>
      </c>
      <c r="AJR83">
        <v>0</v>
      </c>
      <c r="AJS83">
        <v>0</v>
      </c>
      <c r="AJT83">
        <v>0</v>
      </c>
      <c r="AJU83">
        <v>0</v>
      </c>
      <c r="AJV83">
        <v>0</v>
      </c>
      <c r="AJW83">
        <v>0</v>
      </c>
      <c r="AJX83">
        <v>0</v>
      </c>
      <c r="AJY83">
        <v>0</v>
      </c>
    </row>
    <row r="84" spans="1:961" x14ac:dyDescent="0.3">
      <c r="A84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10000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5000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  <c r="KP84">
        <v>0</v>
      </c>
      <c r="KQ84">
        <v>0</v>
      </c>
      <c r="KR84">
        <v>0</v>
      </c>
      <c r="KS84">
        <v>0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0</v>
      </c>
      <c r="LA84">
        <v>0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0</v>
      </c>
      <c r="LH84">
        <v>0</v>
      </c>
      <c r="LI84">
        <v>0</v>
      </c>
      <c r="LJ84">
        <v>0</v>
      </c>
      <c r="LK84">
        <v>0</v>
      </c>
      <c r="LL84">
        <v>0</v>
      </c>
      <c r="LM84">
        <v>0</v>
      </c>
      <c r="LN84">
        <v>0</v>
      </c>
      <c r="LO84">
        <v>0</v>
      </c>
      <c r="LP84">
        <v>0</v>
      </c>
      <c r="LQ84">
        <v>0</v>
      </c>
      <c r="LR84">
        <v>0</v>
      </c>
      <c r="LS84">
        <v>0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  <c r="MC84">
        <v>0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0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0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</v>
      </c>
      <c r="OR84">
        <v>0</v>
      </c>
      <c r="OS84">
        <v>0</v>
      </c>
      <c r="OT84">
        <v>0</v>
      </c>
      <c r="OU84">
        <v>0</v>
      </c>
      <c r="OV84">
        <v>0</v>
      </c>
      <c r="OW84">
        <v>0</v>
      </c>
      <c r="OX84">
        <v>0</v>
      </c>
      <c r="OY84">
        <v>0</v>
      </c>
      <c r="OZ84">
        <v>0</v>
      </c>
      <c r="PA84">
        <v>0</v>
      </c>
      <c r="PB84">
        <v>0</v>
      </c>
      <c r="PC84">
        <v>0</v>
      </c>
      <c r="PD84">
        <v>0</v>
      </c>
      <c r="PE84">
        <v>0</v>
      </c>
      <c r="PF84">
        <v>0</v>
      </c>
      <c r="PG84">
        <v>0</v>
      </c>
      <c r="PH84">
        <v>0</v>
      </c>
      <c r="PI84">
        <v>0</v>
      </c>
      <c r="PJ84">
        <v>0</v>
      </c>
      <c r="PK84">
        <v>0</v>
      </c>
      <c r="PL84">
        <v>0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0</v>
      </c>
      <c r="PS84">
        <v>0</v>
      </c>
      <c r="PT84">
        <v>0</v>
      </c>
      <c r="PU84">
        <v>0</v>
      </c>
      <c r="PV84">
        <v>0</v>
      </c>
      <c r="PW84">
        <v>0</v>
      </c>
      <c r="PX84">
        <v>0</v>
      </c>
      <c r="PY84">
        <v>0</v>
      </c>
      <c r="PZ84">
        <v>0</v>
      </c>
      <c r="QA84">
        <v>0</v>
      </c>
      <c r="QB84">
        <v>0</v>
      </c>
      <c r="QC84">
        <v>0</v>
      </c>
      <c r="QD84">
        <v>0</v>
      </c>
      <c r="QE84">
        <v>0</v>
      </c>
      <c r="QF84">
        <v>0</v>
      </c>
      <c r="QG84">
        <v>0</v>
      </c>
      <c r="QH84">
        <v>0</v>
      </c>
      <c r="QI84">
        <v>0</v>
      </c>
      <c r="QJ84">
        <v>0</v>
      </c>
      <c r="QK84">
        <v>0</v>
      </c>
      <c r="QL84">
        <v>0</v>
      </c>
      <c r="QM84">
        <v>0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0</v>
      </c>
      <c r="QT84">
        <v>0</v>
      </c>
      <c r="QU84">
        <v>0</v>
      </c>
      <c r="QV84">
        <v>0</v>
      </c>
      <c r="QW84">
        <v>0</v>
      </c>
      <c r="QX84">
        <v>0</v>
      </c>
      <c r="QY84">
        <v>0</v>
      </c>
      <c r="QZ84">
        <v>-150</v>
      </c>
      <c r="RA84">
        <v>0</v>
      </c>
      <c r="RB84">
        <v>0</v>
      </c>
      <c r="RC84">
        <v>0</v>
      </c>
      <c r="RD84">
        <v>0</v>
      </c>
      <c r="RE84">
        <v>0</v>
      </c>
      <c r="RF84">
        <v>0</v>
      </c>
      <c r="RG84">
        <v>0</v>
      </c>
      <c r="RH84">
        <v>0</v>
      </c>
      <c r="RI84">
        <v>0</v>
      </c>
      <c r="RJ84">
        <v>0</v>
      </c>
      <c r="RK84">
        <v>0</v>
      </c>
      <c r="RL84">
        <v>0</v>
      </c>
      <c r="RM84">
        <v>0</v>
      </c>
      <c r="RN84">
        <v>0</v>
      </c>
      <c r="RO84">
        <v>0</v>
      </c>
      <c r="RP84">
        <v>0</v>
      </c>
      <c r="RQ84">
        <v>0</v>
      </c>
      <c r="RR84">
        <v>0</v>
      </c>
      <c r="RS84">
        <v>0</v>
      </c>
      <c r="RT84">
        <v>0</v>
      </c>
      <c r="RU84">
        <v>0</v>
      </c>
      <c r="RV84">
        <v>0</v>
      </c>
      <c r="RW84">
        <v>0</v>
      </c>
      <c r="RX84">
        <v>0</v>
      </c>
      <c r="RY84">
        <v>0</v>
      </c>
      <c r="RZ84">
        <v>0</v>
      </c>
      <c r="SA84">
        <v>0</v>
      </c>
      <c r="SB84">
        <v>0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0</v>
      </c>
      <c r="SI84">
        <v>0</v>
      </c>
      <c r="SJ84">
        <v>0</v>
      </c>
      <c r="SK84">
        <v>0</v>
      </c>
      <c r="SL84">
        <v>0</v>
      </c>
      <c r="SM84">
        <v>0</v>
      </c>
      <c r="SN84">
        <v>0</v>
      </c>
      <c r="SO84">
        <v>0</v>
      </c>
      <c r="SP84">
        <v>0</v>
      </c>
      <c r="SQ84">
        <v>0</v>
      </c>
      <c r="SR84">
        <v>0</v>
      </c>
      <c r="SS84">
        <v>0</v>
      </c>
      <c r="ST84">
        <v>0</v>
      </c>
      <c r="SU84">
        <v>0</v>
      </c>
      <c r="SV84">
        <v>0</v>
      </c>
      <c r="SW84">
        <v>0</v>
      </c>
      <c r="SX84">
        <v>0</v>
      </c>
      <c r="SY84">
        <v>0</v>
      </c>
      <c r="SZ84">
        <v>0</v>
      </c>
      <c r="TA84">
        <v>0</v>
      </c>
      <c r="TB84">
        <v>0</v>
      </c>
      <c r="TC84">
        <v>0</v>
      </c>
      <c r="TD84">
        <v>0</v>
      </c>
      <c r="TE84">
        <v>0</v>
      </c>
      <c r="TF84">
        <v>0</v>
      </c>
      <c r="TG84">
        <v>0</v>
      </c>
      <c r="TH84">
        <v>0</v>
      </c>
      <c r="TI84">
        <v>0</v>
      </c>
      <c r="TJ84">
        <v>0</v>
      </c>
      <c r="TK84">
        <v>0</v>
      </c>
      <c r="TL84">
        <v>0</v>
      </c>
      <c r="TM84">
        <v>0</v>
      </c>
      <c r="TN84">
        <v>0</v>
      </c>
      <c r="TO84">
        <v>0</v>
      </c>
      <c r="TP84">
        <v>0</v>
      </c>
      <c r="TQ84">
        <v>0</v>
      </c>
      <c r="TR84">
        <v>0</v>
      </c>
      <c r="TS84">
        <v>0</v>
      </c>
      <c r="TT84">
        <v>0</v>
      </c>
      <c r="TU84">
        <v>0</v>
      </c>
      <c r="TV84">
        <v>0</v>
      </c>
      <c r="TW84">
        <v>0</v>
      </c>
      <c r="TX84">
        <v>0</v>
      </c>
      <c r="TY84">
        <v>0</v>
      </c>
      <c r="TZ84">
        <v>0</v>
      </c>
      <c r="UA84">
        <v>0</v>
      </c>
      <c r="UB84">
        <v>0</v>
      </c>
      <c r="UC84">
        <v>0</v>
      </c>
      <c r="UD84">
        <v>0</v>
      </c>
      <c r="UE84">
        <v>0</v>
      </c>
      <c r="UF84">
        <v>0</v>
      </c>
      <c r="UG84">
        <v>0</v>
      </c>
      <c r="UH84">
        <v>0</v>
      </c>
      <c r="UI84">
        <v>0</v>
      </c>
      <c r="UJ84">
        <v>0</v>
      </c>
      <c r="UK84">
        <v>0</v>
      </c>
      <c r="UL84">
        <v>0</v>
      </c>
      <c r="UM84">
        <v>0</v>
      </c>
      <c r="UN84">
        <v>0</v>
      </c>
      <c r="UO84">
        <v>0</v>
      </c>
      <c r="UP84">
        <v>0</v>
      </c>
      <c r="UQ84">
        <v>0</v>
      </c>
      <c r="UR84">
        <v>-1000</v>
      </c>
      <c r="US84">
        <v>0</v>
      </c>
      <c r="UT84">
        <v>0</v>
      </c>
      <c r="UU84">
        <v>0</v>
      </c>
      <c r="UV84">
        <v>0</v>
      </c>
      <c r="UW84">
        <v>0</v>
      </c>
      <c r="UX84">
        <v>0</v>
      </c>
      <c r="UY84">
        <v>0</v>
      </c>
      <c r="UZ84">
        <v>0</v>
      </c>
      <c r="VA84">
        <v>0</v>
      </c>
      <c r="VB84">
        <v>0</v>
      </c>
      <c r="VC84">
        <v>0</v>
      </c>
      <c r="VD84">
        <v>0</v>
      </c>
      <c r="VE84">
        <v>0</v>
      </c>
      <c r="VF84">
        <v>0</v>
      </c>
      <c r="VG84">
        <v>0</v>
      </c>
      <c r="VH84">
        <v>0</v>
      </c>
      <c r="VI84">
        <v>0</v>
      </c>
      <c r="VJ84">
        <v>0</v>
      </c>
      <c r="VK84">
        <v>0</v>
      </c>
      <c r="VL84">
        <v>0</v>
      </c>
      <c r="VM84">
        <v>0</v>
      </c>
      <c r="VN84">
        <v>0</v>
      </c>
      <c r="VO84">
        <v>0</v>
      </c>
      <c r="VP84">
        <v>0</v>
      </c>
      <c r="VQ84">
        <v>0</v>
      </c>
      <c r="VR84">
        <v>0</v>
      </c>
      <c r="VS84">
        <v>0</v>
      </c>
      <c r="VT84">
        <v>0</v>
      </c>
      <c r="VU84">
        <v>0</v>
      </c>
      <c r="VV84">
        <v>0</v>
      </c>
      <c r="VW84">
        <v>0</v>
      </c>
      <c r="VX84">
        <v>0</v>
      </c>
      <c r="VY84">
        <v>0</v>
      </c>
      <c r="VZ84">
        <v>0</v>
      </c>
      <c r="WA84">
        <v>0</v>
      </c>
      <c r="WB84">
        <v>0</v>
      </c>
      <c r="WC84">
        <v>0</v>
      </c>
      <c r="WD84">
        <v>0</v>
      </c>
      <c r="WE84">
        <v>0</v>
      </c>
      <c r="WF84">
        <v>0</v>
      </c>
      <c r="WG84">
        <v>0</v>
      </c>
      <c r="WH84">
        <v>0</v>
      </c>
      <c r="WI84">
        <v>0</v>
      </c>
      <c r="WJ84">
        <v>0</v>
      </c>
      <c r="WK84">
        <v>0</v>
      </c>
      <c r="WL84">
        <v>0</v>
      </c>
      <c r="WM84">
        <v>0</v>
      </c>
      <c r="WN84">
        <v>0</v>
      </c>
      <c r="WO84">
        <v>0</v>
      </c>
      <c r="WP84">
        <v>0</v>
      </c>
      <c r="WQ84">
        <v>0</v>
      </c>
      <c r="WR84">
        <v>0</v>
      </c>
      <c r="WS84">
        <v>0</v>
      </c>
      <c r="WT84">
        <v>0</v>
      </c>
      <c r="WU84">
        <v>0</v>
      </c>
      <c r="WV84">
        <v>0</v>
      </c>
      <c r="WW84">
        <v>0</v>
      </c>
      <c r="WX84">
        <v>0</v>
      </c>
      <c r="WY84">
        <v>0</v>
      </c>
      <c r="WZ84">
        <v>0</v>
      </c>
      <c r="XA84">
        <v>0</v>
      </c>
      <c r="XB84">
        <v>0</v>
      </c>
      <c r="XC84">
        <v>0</v>
      </c>
      <c r="XD84">
        <v>0</v>
      </c>
      <c r="XE84">
        <v>0</v>
      </c>
      <c r="XF84">
        <v>0</v>
      </c>
      <c r="XG84">
        <v>0</v>
      </c>
      <c r="XH84">
        <v>0</v>
      </c>
      <c r="XI84">
        <v>0</v>
      </c>
      <c r="XJ84">
        <v>0</v>
      </c>
      <c r="XK84">
        <v>0</v>
      </c>
      <c r="XL84">
        <v>0</v>
      </c>
      <c r="XM84">
        <v>0</v>
      </c>
      <c r="XN84">
        <v>0</v>
      </c>
      <c r="XO84">
        <v>0</v>
      </c>
      <c r="XP84">
        <v>0</v>
      </c>
      <c r="XQ84">
        <v>0</v>
      </c>
      <c r="XR84">
        <v>0</v>
      </c>
      <c r="XS84">
        <v>0</v>
      </c>
      <c r="XT84">
        <v>0</v>
      </c>
      <c r="XU84">
        <v>0</v>
      </c>
      <c r="XV84">
        <v>0</v>
      </c>
      <c r="XW84">
        <v>0</v>
      </c>
      <c r="XX84">
        <v>0</v>
      </c>
      <c r="XY84">
        <v>0</v>
      </c>
      <c r="XZ84">
        <v>0</v>
      </c>
      <c r="YA84">
        <v>0</v>
      </c>
      <c r="YB84">
        <v>0</v>
      </c>
      <c r="YC84">
        <v>0</v>
      </c>
      <c r="YD84">
        <v>0</v>
      </c>
      <c r="YE84">
        <v>0</v>
      </c>
      <c r="YF84">
        <v>0</v>
      </c>
      <c r="YG84">
        <v>0</v>
      </c>
      <c r="YH84">
        <v>0</v>
      </c>
      <c r="YI84">
        <v>0</v>
      </c>
      <c r="YJ84">
        <v>-5</v>
      </c>
      <c r="YK84">
        <v>0</v>
      </c>
      <c r="YL84">
        <v>0</v>
      </c>
      <c r="YM84">
        <v>0</v>
      </c>
      <c r="YN84">
        <v>0</v>
      </c>
      <c r="YO84">
        <v>0</v>
      </c>
      <c r="YP84">
        <v>0</v>
      </c>
      <c r="YQ84">
        <v>0</v>
      </c>
      <c r="YR84">
        <v>0</v>
      </c>
      <c r="YS84">
        <v>0</v>
      </c>
      <c r="YT84">
        <v>0</v>
      </c>
      <c r="YU84">
        <v>0</v>
      </c>
      <c r="YV84">
        <v>0</v>
      </c>
      <c r="YW84">
        <v>0</v>
      </c>
      <c r="YX84">
        <v>0</v>
      </c>
      <c r="YY84">
        <v>0</v>
      </c>
      <c r="YZ84">
        <v>0</v>
      </c>
      <c r="ZA84">
        <v>0</v>
      </c>
      <c r="ZB84">
        <v>0</v>
      </c>
      <c r="ZC84">
        <v>0</v>
      </c>
      <c r="ZD84">
        <v>0</v>
      </c>
      <c r="ZE84">
        <v>0</v>
      </c>
      <c r="ZF84">
        <v>0</v>
      </c>
      <c r="ZG84">
        <v>0</v>
      </c>
      <c r="ZH84">
        <v>0</v>
      </c>
      <c r="ZI84">
        <v>0</v>
      </c>
      <c r="ZJ84">
        <v>0</v>
      </c>
      <c r="ZK84">
        <v>0</v>
      </c>
      <c r="ZL84">
        <v>0</v>
      </c>
      <c r="ZM84">
        <v>0</v>
      </c>
      <c r="ZN84">
        <v>0</v>
      </c>
      <c r="ZO84">
        <v>0</v>
      </c>
      <c r="ZP84">
        <v>0</v>
      </c>
      <c r="ZQ84">
        <v>0</v>
      </c>
      <c r="ZR84">
        <v>0</v>
      </c>
      <c r="ZS84">
        <v>0</v>
      </c>
      <c r="ZT84">
        <v>0</v>
      </c>
      <c r="ZU84">
        <v>0</v>
      </c>
      <c r="ZV84">
        <v>0</v>
      </c>
      <c r="ZW84">
        <v>0</v>
      </c>
      <c r="ZX84">
        <v>0</v>
      </c>
      <c r="ZY84">
        <v>0</v>
      </c>
      <c r="ZZ84">
        <v>0</v>
      </c>
      <c r="AAA84">
        <v>0</v>
      </c>
      <c r="AAB84">
        <v>0</v>
      </c>
      <c r="AAC84">
        <v>0</v>
      </c>
      <c r="AAD84">
        <v>0</v>
      </c>
      <c r="AAE84">
        <v>0</v>
      </c>
      <c r="AAF84">
        <v>0</v>
      </c>
      <c r="AAG84">
        <v>0</v>
      </c>
      <c r="AAH84">
        <v>0</v>
      </c>
      <c r="AAI84">
        <v>0</v>
      </c>
      <c r="AAJ84">
        <v>0</v>
      </c>
      <c r="AAK84">
        <v>0</v>
      </c>
      <c r="AAL84">
        <v>0</v>
      </c>
      <c r="AAM84">
        <v>0</v>
      </c>
      <c r="AAN84">
        <v>0</v>
      </c>
      <c r="AAO84">
        <v>0</v>
      </c>
      <c r="AAP84">
        <v>0</v>
      </c>
      <c r="AAQ84">
        <v>0</v>
      </c>
      <c r="AAR84">
        <v>0</v>
      </c>
      <c r="AAS84">
        <v>0</v>
      </c>
      <c r="AAT84">
        <v>0</v>
      </c>
      <c r="AAU84">
        <v>0</v>
      </c>
      <c r="AAV84">
        <v>0</v>
      </c>
      <c r="AAW84">
        <v>0</v>
      </c>
      <c r="AAX84">
        <v>0</v>
      </c>
      <c r="AAY84">
        <v>0</v>
      </c>
      <c r="AAZ84">
        <v>0</v>
      </c>
      <c r="ABA84">
        <v>0</v>
      </c>
      <c r="ABB84">
        <v>0</v>
      </c>
      <c r="ABC84">
        <v>0</v>
      </c>
      <c r="ABD84">
        <v>0</v>
      </c>
      <c r="ABE84">
        <v>0</v>
      </c>
      <c r="ABF84">
        <v>0</v>
      </c>
      <c r="ABG84">
        <v>0</v>
      </c>
      <c r="ABH84">
        <v>0</v>
      </c>
      <c r="ABI84">
        <v>0</v>
      </c>
      <c r="ABJ84">
        <v>0</v>
      </c>
      <c r="ABK84">
        <v>0</v>
      </c>
      <c r="ABL84">
        <v>0</v>
      </c>
      <c r="ABM84">
        <v>0</v>
      </c>
      <c r="ABN84">
        <v>0</v>
      </c>
      <c r="ABO84">
        <v>0</v>
      </c>
      <c r="ABP84">
        <v>0</v>
      </c>
      <c r="ABQ84">
        <v>0</v>
      </c>
      <c r="ABR84">
        <v>0</v>
      </c>
      <c r="ABS84">
        <v>0</v>
      </c>
      <c r="ABT84">
        <v>0</v>
      </c>
      <c r="ABU84">
        <v>0</v>
      </c>
      <c r="ABV84">
        <v>0</v>
      </c>
      <c r="ABW84">
        <v>0</v>
      </c>
      <c r="ABX84">
        <v>0</v>
      </c>
      <c r="ABY84">
        <v>0</v>
      </c>
      <c r="ABZ84">
        <v>0</v>
      </c>
      <c r="ACA84">
        <v>0</v>
      </c>
      <c r="ACB84">
        <v>-256.16438356164383</v>
      </c>
      <c r="ACC84">
        <v>0</v>
      </c>
      <c r="ACD84">
        <v>0</v>
      </c>
      <c r="ACE84">
        <v>0</v>
      </c>
      <c r="ACF84">
        <v>0</v>
      </c>
      <c r="ACG84">
        <v>0</v>
      </c>
      <c r="ACH84">
        <v>0</v>
      </c>
      <c r="ACI84">
        <v>0</v>
      </c>
      <c r="ACJ84">
        <v>0</v>
      </c>
      <c r="ACK84">
        <v>0</v>
      </c>
      <c r="ACL84">
        <v>0</v>
      </c>
      <c r="ACM84">
        <v>0</v>
      </c>
      <c r="ACN84">
        <v>0</v>
      </c>
      <c r="ACO84">
        <v>0</v>
      </c>
      <c r="ACP84">
        <v>0</v>
      </c>
      <c r="ACQ84">
        <v>0</v>
      </c>
      <c r="ACR84">
        <v>0</v>
      </c>
      <c r="ACS84">
        <v>0</v>
      </c>
      <c r="ACT84">
        <v>0</v>
      </c>
      <c r="ACU84">
        <v>0</v>
      </c>
      <c r="ACV84">
        <v>0</v>
      </c>
      <c r="ACW84">
        <v>0</v>
      </c>
      <c r="ACX84">
        <v>0</v>
      </c>
      <c r="ACY84">
        <v>0</v>
      </c>
      <c r="ACZ84">
        <v>0</v>
      </c>
      <c r="ADA84">
        <v>0</v>
      </c>
      <c r="ADB84">
        <v>0</v>
      </c>
      <c r="ADC84">
        <v>0</v>
      </c>
      <c r="ADD84">
        <v>0</v>
      </c>
      <c r="ADE84">
        <v>0</v>
      </c>
      <c r="ADF84">
        <v>0</v>
      </c>
      <c r="ADG84">
        <v>0</v>
      </c>
      <c r="ADH84">
        <v>0</v>
      </c>
      <c r="ADI84">
        <v>0</v>
      </c>
      <c r="ADJ84">
        <v>0</v>
      </c>
      <c r="ADK84">
        <v>0</v>
      </c>
      <c r="ADL84">
        <v>0</v>
      </c>
      <c r="ADM84">
        <v>0</v>
      </c>
      <c r="ADN84">
        <v>0</v>
      </c>
      <c r="ADO84">
        <v>0</v>
      </c>
      <c r="ADP84">
        <v>0</v>
      </c>
      <c r="ADQ84">
        <v>0</v>
      </c>
      <c r="ADR84">
        <v>0</v>
      </c>
      <c r="ADS84">
        <v>0</v>
      </c>
      <c r="ADT84">
        <v>0</v>
      </c>
      <c r="ADU84">
        <v>0</v>
      </c>
      <c r="ADV84">
        <v>0</v>
      </c>
      <c r="ADW84">
        <v>0</v>
      </c>
      <c r="ADX84">
        <v>0</v>
      </c>
      <c r="ADY84">
        <v>0</v>
      </c>
      <c r="ADZ84">
        <v>0</v>
      </c>
      <c r="AEA84">
        <v>0</v>
      </c>
      <c r="AEB84">
        <v>0</v>
      </c>
      <c r="AEC84">
        <v>0</v>
      </c>
      <c r="AED84">
        <v>0</v>
      </c>
      <c r="AEE84">
        <v>0</v>
      </c>
      <c r="AEF84">
        <v>0</v>
      </c>
      <c r="AEG84">
        <v>0</v>
      </c>
      <c r="AEH84">
        <v>0</v>
      </c>
      <c r="AEI84">
        <v>0</v>
      </c>
      <c r="AEJ84">
        <v>0</v>
      </c>
      <c r="AEK84">
        <v>0</v>
      </c>
      <c r="AEL84">
        <v>0</v>
      </c>
      <c r="AEM84">
        <v>0</v>
      </c>
      <c r="AEN84">
        <v>0</v>
      </c>
      <c r="AEO84">
        <v>0</v>
      </c>
      <c r="AEP84">
        <v>0</v>
      </c>
      <c r="AEQ84">
        <v>0</v>
      </c>
      <c r="AER84">
        <v>0</v>
      </c>
      <c r="AES84">
        <v>0</v>
      </c>
      <c r="AET84">
        <v>0</v>
      </c>
      <c r="AEU84">
        <v>0</v>
      </c>
      <c r="AEV84">
        <v>0</v>
      </c>
      <c r="AEW84">
        <v>0</v>
      </c>
      <c r="AEX84">
        <v>0</v>
      </c>
      <c r="AEY84">
        <v>0</v>
      </c>
      <c r="AEZ84">
        <v>0</v>
      </c>
      <c r="AFA84">
        <v>0</v>
      </c>
      <c r="AFB84">
        <v>0</v>
      </c>
      <c r="AFC84">
        <v>0</v>
      </c>
      <c r="AFD84">
        <v>0</v>
      </c>
      <c r="AFE84">
        <v>0</v>
      </c>
      <c r="AFF84">
        <v>0</v>
      </c>
      <c r="AFG84">
        <v>0</v>
      </c>
      <c r="AFH84">
        <v>0</v>
      </c>
      <c r="AFI84">
        <v>0</v>
      </c>
      <c r="AFJ84">
        <v>0</v>
      </c>
      <c r="AFK84">
        <v>0</v>
      </c>
      <c r="AFL84">
        <v>0</v>
      </c>
      <c r="AFM84">
        <v>0</v>
      </c>
      <c r="AFN84">
        <v>0</v>
      </c>
      <c r="AFO84">
        <v>0</v>
      </c>
      <c r="AFP84">
        <v>0</v>
      </c>
      <c r="AFQ84">
        <v>0</v>
      </c>
      <c r="AFR84">
        <v>0</v>
      </c>
      <c r="AFS84">
        <v>0</v>
      </c>
      <c r="AFT84">
        <v>-120</v>
      </c>
      <c r="AFU84">
        <v>0</v>
      </c>
      <c r="AFV84">
        <v>0</v>
      </c>
      <c r="AFW84">
        <v>0</v>
      </c>
      <c r="AFX84">
        <v>0</v>
      </c>
      <c r="AFY84">
        <v>0</v>
      </c>
      <c r="AFZ84">
        <v>0</v>
      </c>
      <c r="AGA84">
        <v>0</v>
      </c>
      <c r="AGB84">
        <v>0</v>
      </c>
      <c r="AGC84">
        <v>0</v>
      </c>
      <c r="AGD84">
        <v>0</v>
      </c>
      <c r="AGE84">
        <v>0</v>
      </c>
      <c r="AGF84">
        <v>0</v>
      </c>
      <c r="AGG84">
        <v>0</v>
      </c>
      <c r="AGH84">
        <v>0</v>
      </c>
      <c r="AGI84">
        <v>0</v>
      </c>
      <c r="AGJ84">
        <v>0</v>
      </c>
      <c r="AGK84">
        <v>0</v>
      </c>
      <c r="AGL84">
        <v>0</v>
      </c>
      <c r="AGM84">
        <v>0</v>
      </c>
      <c r="AGN84">
        <v>0</v>
      </c>
      <c r="AGO84">
        <v>0</v>
      </c>
      <c r="AGP84">
        <v>0</v>
      </c>
      <c r="AGQ84">
        <v>0</v>
      </c>
      <c r="AGR84">
        <v>0</v>
      </c>
      <c r="AGS84">
        <v>0</v>
      </c>
      <c r="AGT84">
        <v>0</v>
      </c>
      <c r="AGU84">
        <v>0</v>
      </c>
      <c r="AGV84">
        <v>0</v>
      </c>
      <c r="AGW84">
        <v>0</v>
      </c>
      <c r="AGX84">
        <v>0</v>
      </c>
      <c r="AGY84">
        <v>0</v>
      </c>
      <c r="AGZ84">
        <v>0</v>
      </c>
      <c r="AHA84">
        <v>0</v>
      </c>
      <c r="AHB84">
        <v>0</v>
      </c>
      <c r="AHC84">
        <v>0</v>
      </c>
      <c r="AHD84">
        <v>0</v>
      </c>
      <c r="AHE84">
        <v>0</v>
      </c>
      <c r="AHF84">
        <v>0</v>
      </c>
      <c r="AHG84">
        <v>0</v>
      </c>
      <c r="AHH84">
        <v>0</v>
      </c>
      <c r="AHI84">
        <v>0</v>
      </c>
      <c r="AHJ84">
        <v>0</v>
      </c>
      <c r="AHK84">
        <v>0</v>
      </c>
      <c r="AHL84">
        <v>0</v>
      </c>
      <c r="AHM84">
        <v>0</v>
      </c>
      <c r="AHN84">
        <v>0</v>
      </c>
      <c r="AHO84">
        <v>0</v>
      </c>
      <c r="AHP84">
        <v>0</v>
      </c>
      <c r="AHQ84">
        <v>0</v>
      </c>
      <c r="AHR84">
        <v>0</v>
      </c>
      <c r="AHS84">
        <v>0</v>
      </c>
      <c r="AHT84">
        <v>0</v>
      </c>
      <c r="AHU84">
        <v>0</v>
      </c>
      <c r="AHV84">
        <v>0</v>
      </c>
      <c r="AHW84">
        <v>0</v>
      </c>
      <c r="AHX84">
        <v>0</v>
      </c>
      <c r="AHY84">
        <v>0</v>
      </c>
      <c r="AHZ84">
        <v>0</v>
      </c>
      <c r="AIA84">
        <v>0</v>
      </c>
      <c r="AIB84">
        <v>0</v>
      </c>
      <c r="AIC84">
        <v>0</v>
      </c>
      <c r="AID84">
        <v>0</v>
      </c>
      <c r="AIE84">
        <v>0</v>
      </c>
      <c r="AIF84">
        <v>0</v>
      </c>
      <c r="AIG84">
        <v>0</v>
      </c>
      <c r="AIH84">
        <v>0</v>
      </c>
      <c r="AII84">
        <v>0</v>
      </c>
      <c r="AIJ84">
        <v>0</v>
      </c>
      <c r="AIK84">
        <v>0</v>
      </c>
      <c r="AIL84">
        <v>0</v>
      </c>
      <c r="AIM84">
        <v>0</v>
      </c>
      <c r="AIN84">
        <v>0</v>
      </c>
      <c r="AIO84">
        <v>0</v>
      </c>
      <c r="AIP84">
        <v>0</v>
      </c>
      <c r="AIQ84">
        <v>0</v>
      </c>
      <c r="AIR84">
        <v>0</v>
      </c>
      <c r="AIS84">
        <v>0</v>
      </c>
      <c r="AIT84">
        <v>0</v>
      </c>
      <c r="AIU84">
        <v>0</v>
      </c>
      <c r="AIV84">
        <v>0</v>
      </c>
      <c r="AIW84">
        <v>0</v>
      </c>
      <c r="AIX84">
        <v>0</v>
      </c>
      <c r="AIY84">
        <v>0</v>
      </c>
      <c r="AIZ84">
        <v>0</v>
      </c>
      <c r="AJA84">
        <v>0</v>
      </c>
      <c r="AJB84">
        <v>0</v>
      </c>
      <c r="AJC84">
        <v>0</v>
      </c>
      <c r="AJD84">
        <v>0</v>
      </c>
      <c r="AJE84">
        <v>0</v>
      </c>
      <c r="AJF84">
        <v>0</v>
      </c>
      <c r="AJG84">
        <v>0</v>
      </c>
      <c r="AJH84">
        <v>0</v>
      </c>
      <c r="AJI84">
        <v>0</v>
      </c>
      <c r="AJJ84">
        <v>0</v>
      </c>
      <c r="AJK84">
        <v>0</v>
      </c>
      <c r="AJL84">
        <v>-4500</v>
      </c>
      <c r="AJM84">
        <v>0</v>
      </c>
      <c r="AJN84">
        <v>0</v>
      </c>
      <c r="AJO84">
        <v>0</v>
      </c>
      <c r="AJP84">
        <v>0</v>
      </c>
      <c r="AJQ84">
        <v>0</v>
      </c>
      <c r="AJR84">
        <v>0</v>
      </c>
      <c r="AJS84">
        <v>0</v>
      </c>
      <c r="AJT84">
        <v>0</v>
      </c>
      <c r="AJU84">
        <v>0</v>
      </c>
      <c r="AJV84">
        <v>0</v>
      </c>
      <c r="AJW84">
        <v>0</v>
      </c>
      <c r="AJX84">
        <v>0</v>
      </c>
      <c r="AJY84">
        <v>0</v>
      </c>
    </row>
    <row r="85" spans="1:961" x14ac:dyDescent="0.3">
      <c r="A85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10000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5000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  <c r="KP85">
        <v>0</v>
      </c>
      <c r="KQ85">
        <v>0</v>
      </c>
      <c r="KR85">
        <v>0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0</v>
      </c>
      <c r="LA85">
        <v>0</v>
      </c>
      <c r="LB85">
        <v>0</v>
      </c>
      <c r="LC85">
        <v>0</v>
      </c>
      <c r="LD85">
        <v>0</v>
      </c>
      <c r="LE85">
        <v>0</v>
      </c>
      <c r="LF85">
        <v>0</v>
      </c>
      <c r="LG85">
        <v>0</v>
      </c>
      <c r="LH85">
        <v>0</v>
      </c>
      <c r="LI85">
        <v>0</v>
      </c>
      <c r="LJ85">
        <v>0</v>
      </c>
      <c r="LK85">
        <v>0</v>
      </c>
      <c r="LL85">
        <v>0</v>
      </c>
      <c r="LM85">
        <v>0</v>
      </c>
      <c r="LN85">
        <v>0</v>
      </c>
      <c r="LO85">
        <v>0</v>
      </c>
      <c r="LP85">
        <v>0</v>
      </c>
      <c r="LQ85">
        <v>0</v>
      </c>
      <c r="LR85">
        <v>0</v>
      </c>
      <c r="LS85">
        <v>0</v>
      </c>
      <c r="LT85">
        <v>0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  <c r="MC85">
        <v>0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0</v>
      </c>
      <c r="MR85">
        <v>0</v>
      </c>
      <c r="MS85">
        <v>0</v>
      </c>
      <c r="MT85">
        <v>0</v>
      </c>
      <c r="MU85">
        <v>0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0</v>
      </c>
      <c r="NM85">
        <v>0</v>
      </c>
      <c r="NN85">
        <v>0</v>
      </c>
      <c r="NO85">
        <v>0</v>
      </c>
      <c r="NP85">
        <v>0</v>
      </c>
      <c r="NQ85">
        <v>0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0</v>
      </c>
      <c r="OO85">
        <v>0</v>
      </c>
      <c r="OP85">
        <v>0</v>
      </c>
      <c r="OQ85">
        <v>0</v>
      </c>
      <c r="OR85">
        <v>0</v>
      </c>
      <c r="OS85">
        <v>0</v>
      </c>
      <c r="OT85">
        <v>0</v>
      </c>
      <c r="OU85">
        <v>0</v>
      </c>
      <c r="OV85">
        <v>0</v>
      </c>
      <c r="OW85">
        <v>0</v>
      </c>
      <c r="OX85">
        <v>0</v>
      </c>
      <c r="OY85">
        <v>0</v>
      </c>
      <c r="OZ85">
        <v>0</v>
      </c>
      <c r="PA85">
        <v>0</v>
      </c>
      <c r="PB85">
        <v>0</v>
      </c>
      <c r="PC85">
        <v>0</v>
      </c>
      <c r="PD85">
        <v>0</v>
      </c>
      <c r="PE85">
        <v>0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</v>
      </c>
      <c r="PN85">
        <v>0</v>
      </c>
      <c r="PO85">
        <v>0</v>
      </c>
      <c r="PP85">
        <v>0</v>
      </c>
      <c r="PQ85">
        <v>0</v>
      </c>
      <c r="PR85">
        <v>0</v>
      </c>
      <c r="PS85">
        <v>0</v>
      </c>
      <c r="PT85">
        <v>0</v>
      </c>
      <c r="PU85">
        <v>0</v>
      </c>
      <c r="PV85">
        <v>0</v>
      </c>
      <c r="PW85">
        <v>0</v>
      </c>
      <c r="PX85">
        <v>0</v>
      </c>
      <c r="PY85">
        <v>0</v>
      </c>
      <c r="PZ85">
        <v>0</v>
      </c>
      <c r="QA85">
        <v>0</v>
      </c>
      <c r="QB85">
        <v>0</v>
      </c>
      <c r="QC85">
        <v>0</v>
      </c>
      <c r="QD85">
        <v>0</v>
      </c>
      <c r="QE85">
        <v>0</v>
      </c>
      <c r="QF85">
        <v>0</v>
      </c>
      <c r="QG85">
        <v>0</v>
      </c>
      <c r="QH85">
        <v>0</v>
      </c>
      <c r="QI85">
        <v>0</v>
      </c>
      <c r="QJ85">
        <v>0</v>
      </c>
      <c r="QK85">
        <v>0</v>
      </c>
      <c r="QL85">
        <v>0</v>
      </c>
      <c r="QM85">
        <v>0</v>
      </c>
      <c r="QN85">
        <v>0</v>
      </c>
      <c r="QO85">
        <v>0</v>
      </c>
      <c r="QP85">
        <v>0</v>
      </c>
      <c r="QQ85">
        <v>0</v>
      </c>
      <c r="QR85">
        <v>0</v>
      </c>
      <c r="QS85">
        <v>0</v>
      </c>
      <c r="QT85">
        <v>0</v>
      </c>
      <c r="QU85">
        <v>0</v>
      </c>
      <c r="QV85">
        <v>0</v>
      </c>
      <c r="QW85">
        <v>0</v>
      </c>
      <c r="QX85">
        <v>0</v>
      </c>
      <c r="QY85">
        <v>0</v>
      </c>
      <c r="QZ85">
        <v>0</v>
      </c>
      <c r="RA85">
        <v>-150</v>
      </c>
      <c r="RB85">
        <v>0</v>
      </c>
      <c r="RC85">
        <v>0</v>
      </c>
      <c r="RD85">
        <v>0</v>
      </c>
      <c r="RE85">
        <v>0</v>
      </c>
      <c r="RF85">
        <v>0</v>
      </c>
      <c r="RG85">
        <v>0</v>
      </c>
      <c r="RH85">
        <v>0</v>
      </c>
      <c r="RI85">
        <v>0</v>
      </c>
      <c r="RJ85">
        <v>0</v>
      </c>
      <c r="RK85">
        <v>0</v>
      </c>
      <c r="RL85">
        <v>0</v>
      </c>
      <c r="RM85">
        <v>0</v>
      </c>
      <c r="RN85">
        <v>0</v>
      </c>
      <c r="RO85">
        <v>0</v>
      </c>
      <c r="RP85">
        <v>0</v>
      </c>
      <c r="RQ85">
        <v>0</v>
      </c>
      <c r="RR85">
        <v>0</v>
      </c>
      <c r="RS85">
        <v>0</v>
      </c>
      <c r="RT85">
        <v>0</v>
      </c>
      <c r="RU85">
        <v>0</v>
      </c>
      <c r="RV85">
        <v>0</v>
      </c>
      <c r="RW85">
        <v>0</v>
      </c>
      <c r="RX85">
        <v>0</v>
      </c>
      <c r="RY85">
        <v>0</v>
      </c>
      <c r="RZ85">
        <v>0</v>
      </c>
      <c r="SA85">
        <v>0</v>
      </c>
      <c r="SB85">
        <v>0</v>
      </c>
      <c r="SC85">
        <v>0</v>
      </c>
      <c r="SD85">
        <v>0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0</v>
      </c>
      <c r="SK85">
        <v>0</v>
      </c>
      <c r="SL85">
        <v>0</v>
      </c>
      <c r="SM85">
        <v>0</v>
      </c>
      <c r="SN85">
        <v>0</v>
      </c>
      <c r="SO85">
        <v>0</v>
      </c>
      <c r="SP85">
        <v>0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0</v>
      </c>
      <c r="SW85">
        <v>0</v>
      </c>
      <c r="SX85">
        <v>0</v>
      </c>
      <c r="SY85">
        <v>0</v>
      </c>
      <c r="SZ85">
        <v>0</v>
      </c>
      <c r="TA85">
        <v>0</v>
      </c>
      <c r="TB85">
        <v>0</v>
      </c>
      <c r="TC85">
        <v>0</v>
      </c>
      <c r="TD85">
        <v>0</v>
      </c>
      <c r="TE85">
        <v>0</v>
      </c>
      <c r="TF85">
        <v>0</v>
      </c>
      <c r="TG85">
        <v>0</v>
      </c>
      <c r="TH85">
        <v>0</v>
      </c>
      <c r="TI85">
        <v>0</v>
      </c>
      <c r="TJ85">
        <v>0</v>
      </c>
      <c r="TK85">
        <v>0</v>
      </c>
      <c r="TL85">
        <v>0</v>
      </c>
      <c r="TM85">
        <v>0</v>
      </c>
      <c r="TN85">
        <v>0</v>
      </c>
      <c r="TO85">
        <v>0</v>
      </c>
      <c r="TP85">
        <v>0</v>
      </c>
      <c r="TQ85">
        <v>0</v>
      </c>
      <c r="TR85">
        <v>0</v>
      </c>
      <c r="TS85">
        <v>0</v>
      </c>
      <c r="TT85">
        <v>0</v>
      </c>
      <c r="TU85">
        <v>0</v>
      </c>
      <c r="TV85">
        <v>0</v>
      </c>
      <c r="TW85">
        <v>0</v>
      </c>
      <c r="TX85">
        <v>0</v>
      </c>
      <c r="TY85">
        <v>0</v>
      </c>
      <c r="TZ85">
        <v>0</v>
      </c>
      <c r="UA85">
        <v>0</v>
      </c>
      <c r="UB85">
        <v>0</v>
      </c>
      <c r="UC85">
        <v>0</v>
      </c>
      <c r="UD85">
        <v>0</v>
      </c>
      <c r="UE85">
        <v>0</v>
      </c>
      <c r="UF85">
        <v>0</v>
      </c>
      <c r="UG85">
        <v>0</v>
      </c>
      <c r="UH85">
        <v>0</v>
      </c>
      <c r="UI85">
        <v>0</v>
      </c>
      <c r="UJ85">
        <v>0</v>
      </c>
      <c r="UK85">
        <v>0</v>
      </c>
      <c r="UL85">
        <v>0</v>
      </c>
      <c r="UM85">
        <v>0</v>
      </c>
      <c r="UN85">
        <v>0</v>
      </c>
      <c r="UO85">
        <v>0</v>
      </c>
      <c r="UP85">
        <v>0</v>
      </c>
      <c r="UQ85">
        <v>0</v>
      </c>
      <c r="UR85">
        <v>0</v>
      </c>
      <c r="US85">
        <v>-1000</v>
      </c>
      <c r="UT85">
        <v>0</v>
      </c>
      <c r="UU85">
        <v>0</v>
      </c>
      <c r="UV85">
        <v>0</v>
      </c>
      <c r="UW85">
        <v>0</v>
      </c>
      <c r="UX85">
        <v>0</v>
      </c>
      <c r="UY85">
        <v>0</v>
      </c>
      <c r="UZ85">
        <v>0</v>
      </c>
      <c r="VA85">
        <v>0</v>
      </c>
      <c r="VB85">
        <v>0</v>
      </c>
      <c r="VC85">
        <v>0</v>
      </c>
      <c r="VD85">
        <v>0</v>
      </c>
      <c r="VE85">
        <v>0</v>
      </c>
      <c r="VF85">
        <v>0</v>
      </c>
      <c r="VG85">
        <v>0</v>
      </c>
      <c r="VH85">
        <v>0</v>
      </c>
      <c r="VI85">
        <v>0</v>
      </c>
      <c r="VJ85">
        <v>0</v>
      </c>
      <c r="VK85">
        <v>0</v>
      </c>
      <c r="VL85">
        <v>0</v>
      </c>
      <c r="VM85">
        <v>0</v>
      </c>
      <c r="VN85">
        <v>0</v>
      </c>
      <c r="VO85">
        <v>0</v>
      </c>
      <c r="VP85">
        <v>0</v>
      </c>
      <c r="VQ85">
        <v>0</v>
      </c>
      <c r="VR85">
        <v>0</v>
      </c>
      <c r="VS85">
        <v>0</v>
      </c>
      <c r="VT85">
        <v>0</v>
      </c>
      <c r="VU85">
        <v>0</v>
      </c>
      <c r="VV85">
        <v>0</v>
      </c>
      <c r="VW85">
        <v>0</v>
      </c>
      <c r="VX85">
        <v>0</v>
      </c>
      <c r="VY85">
        <v>0</v>
      </c>
      <c r="VZ85">
        <v>0</v>
      </c>
      <c r="WA85">
        <v>0</v>
      </c>
      <c r="WB85">
        <v>0</v>
      </c>
      <c r="WC85">
        <v>0</v>
      </c>
      <c r="WD85">
        <v>0</v>
      </c>
      <c r="WE85">
        <v>0</v>
      </c>
      <c r="WF85">
        <v>0</v>
      </c>
      <c r="WG85">
        <v>0</v>
      </c>
      <c r="WH85">
        <v>0</v>
      </c>
      <c r="WI85">
        <v>0</v>
      </c>
      <c r="WJ85">
        <v>0</v>
      </c>
      <c r="WK85">
        <v>0</v>
      </c>
      <c r="WL85">
        <v>0</v>
      </c>
      <c r="WM85">
        <v>0</v>
      </c>
      <c r="WN85">
        <v>0</v>
      </c>
      <c r="WO85">
        <v>0</v>
      </c>
      <c r="WP85">
        <v>0</v>
      </c>
      <c r="WQ85">
        <v>0</v>
      </c>
      <c r="WR85">
        <v>0</v>
      </c>
      <c r="WS85">
        <v>0</v>
      </c>
      <c r="WT85">
        <v>0</v>
      </c>
      <c r="WU85">
        <v>0</v>
      </c>
      <c r="WV85">
        <v>0</v>
      </c>
      <c r="WW85">
        <v>0</v>
      </c>
      <c r="WX85">
        <v>0</v>
      </c>
      <c r="WY85">
        <v>0</v>
      </c>
      <c r="WZ85">
        <v>0</v>
      </c>
      <c r="XA85">
        <v>0</v>
      </c>
      <c r="XB85">
        <v>0</v>
      </c>
      <c r="XC85">
        <v>0</v>
      </c>
      <c r="XD85">
        <v>0</v>
      </c>
      <c r="XE85">
        <v>0</v>
      </c>
      <c r="XF85">
        <v>0</v>
      </c>
      <c r="XG85">
        <v>0</v>
      </c>
      <c r="XH85">
        <v>0</v>
      </c>
      <c r="XI85">
        <v>0</v>
      </c>
      <c r="XJ85">
        <v>0</v>
      </c>
      <c r="XK85">
        <v>0</v>
      </c>
      <c r="XL85">
        <v>0</v>
      </c>
      <c r="XM85">
        <v>0</v>
      </c>
      <c r="XN85">
        <v>0</v>
      </c>
      <c r="XO85">
        <v>0</v>
      </c>
      <c r="XP85">
        <v>0</v>
      </c>
      <c r="XQ85">
        <v>0</v>
      </c>
      <c r="XR85">
        <v>0</v>
      </c>
      <c r="XS85">
        <v>0</v>
      </c>
      <c r="XT85">
        <v>0</v>
      </c>
      <c r="XU85">
        <v>0</v>
      </c>
      <c r="XV85">
        <v>0</v>
      </c>
      <c r="XW85">
        <v>0</v>
      </c>
      <c r="XX85">
        <v>0</v>
      </c>
      <c r="XY85">
        <v>0</v>
      </c>
      <c r="XZ85">
        <v>0</v>
      </c>
      <c r="YA85">
        <v>0</v>
      </c>
      <c r="YB85">
        <v>0</v>
      </c>
      <c r="YC85">
        <v>0</v>
      </c>
      <c r="YD85">
        <v>0</v>
      </c>
      <c r="YE85">
        <v>0</v>
      </c>
      <c r="YF85">
        <v>0</v>
      </c>
      <c r="YG85">
        <v>0</v>
      </c>
      <c r="YH85">
        <v>0</v>
      </c>
      <c r="YI85">
        <v>0</v>
      </c>
      <c r="YJ85">
        <v>0</v>
      </c>
      <c r="YK85">
        <v>-5</v>
      </c>
      <c r="YL85">
        <v>0</v>
      </c>
      <c r="YM85">
        <v>0</v>
      </c>
      <c r="YN85">
        <v>0</v>
      </c>
      <c r="YO85">
        <v>0</v>
      </c>
      <c r="YP85">
        <v>0</v>
      </c>
      <c r="YQ85">
        <v>0</v>
      </c>
      <c r="YR85">
        <v>0</v>
      </c>
      <c r="YS85">
        <v>0</v>
      </c>
      <c r="YT85">
        <v>0</v>
      </c>
      <c r="YU85">
        <v>0</v>
      </c>
      <c r="YV85">
        <v>0</v>
      </c>
      <c r="YW85">
        <v>0</v>
      </c>
      <c r="YX85">
        <v>0</v>
      </c>
      <c r="YY85">
        <v>0</v>
      </c>
      <c r="YZ85">
        <v>0</v>
      </c>
      <c r="ZA85">
        <v>0</v>
      </c>
      <c r="ZB85">
        <v>0</v>
      </c>
      <c r="ZC85">
        <v>0</v>
      </c>
      <c r="ZD85">
        <v>0</v>
      </c>
      <c r="ZE85">
        <v>0</v>
      </c>
      <c r="ZF85">
        <v>0</v>
      </c>
      <c r="ZG85">
        <v>0</v>
      </c>
      <c r="ZH85">
        <v>0</v>
      </c>
      <c r="ZI85">
        <v>0</v>
      </c>
      <c r="ZJ85">
        <v>0</v>
      </c>
      <c r="ZK85">
        <v>0</v>
      </c>
      <c r="ZL85">
        <v>0</v>
      </c>
      <c r="ZM85">
        <v>0</v>
      </c>
      <c r="ZN85">
        <v>0</v>
      </c>
      <c r="ZO85">
        <v>0</v>
      </c>
      <c r="ZP85">
        <v>0</v>
      </c>
      <c r="ZQ85">
        <v>0</v>
      </c>
      <c r="ZR85">
        <v>0</v>
      </c>
      <c r="ZS85">
        <v>0</v>
      </c>
      <c r="ZT85">
        <v>0</v>
      </c>
      <c r="ZU85">
        <v>0</v>
      </c>
      <c r="ZV85">
        <v>0</v>
      </c>
      <c r="ZW85">
        <v>0</v>
      </c>
      <c r="ZX85">
        <v>0</v>
      </c>
      <c r="ZY85">
        <v>0</v>
      </c>
      <c r="ZZ85">
        <v>0</v>
      </c>
      <c r="AAA85">
        <v>0</v>
      </c>
      <c r="AAB85">
        <v>0</v>
      </c>
      <c r="AAC85">
        <v>0</v>
      </c>
      <c r="AAD85">
        <v>0</v>
      </c>
      <c r="AAE85">
        <v>0</v>
      </c>
      <c r="AAF85">
        <v>0</v>
      </c>
      <c r="AAG85">
        <v>0</v>
      </c>
      <c r="AAH85">
        <v>0</v>
      </c>
      <c r="AAI85">
        <v>0</v>
      </c>
      <c r="AAJ85">
        <v>0</v>
      </c>
      <c r="AAK85">
        <v>0</v>
      </c>
      <c r="AAL85">
        <v>0</v>
      </c>
      <c r="AAM85">
        <v>0</v>
      </c>
      <c r="AAN85">
        <v>0</v>
      </c>
      <c r="AAO85">
        <v>0</v>
      </c>
      <c r="AAP85">
        <v>0</v>
      </c>
      <c r="AAQ85">
        <v>0</v>
      </c>
      <c r="AAR85">
        <v>0</v>
      </c>
      <c r="AAS85">
        <v>0</v>
      </c>
      <c r="AAT85">
        <v>0</v>
      </c>
      <c r="AAU85">
        <v>0</v>
      </c>
      <c r="AAV85">
        <v>0</v>
      </c>
      <c r="AAW85">
        <v>0</v>
      </c>
      <c r="AAX85">
        <v>0</v>
      </c>
      <c r="AAY85">
        <v>0</v>
      </c>
      <c r="AAZ85">
        <v>0</v>
      </c>
      <c r="ABA85">
        <v>0</v>
      </c>
      <c r="ABB85">
        <v>0</v>
      </c>
      <c r="ABC85">
        <v>0</v>
      </c>
      <c r="ABD85">
        <v>0</v>
      </c>
      <c r="ABE85">
        <v>0</v>
      </c>
      <c r="ABF85">
        <v>0</v>
      </c>
      <c r="ABG85">
        <v>0</v>
      </c>
      <c r="ABH85">
        <v>0</v>
      </c>
      <c r="ABI85">
        <v>0</v>
      </c>
      <c r="ABJ85">
        <v>0</v>
      </c>
      <c r="ABK85">
        <v>0</v>
      </c>
      <c r="ABL85">
        <v>0</v>
      </c>
      <c r="ABM85">
        <v>0</v>
      </c>
      <c r="ABN85">
        <v>0</v>
      </c>
      <c r="ABO85">
        <v>0</v>
      </c>
      <c r="ABP85">
        <v>0</v>
      </c>
      <c r="ABQ85">
        <v>0</v>
      </c>
      <c r="ABR85">
        <v>0</v>
      </c>
      <c r="ABS85">
        <v>0</v>
      </c>
      <c r="ABT85">
        <v>0</v>
      </c>
      <c r="ABU85">
        <v>0</v>
      </c>
      <c r="ABV85">
        <v>0</v>
      </c>
      <c r="ABW85">
        <v>0</v>
      </c>
      <c r="ABX85">
        <v>0</v>
      </c>
      <c r="ABY85">
        <v>0</v>
      </c>
      <c r="ABZ85">
        <v>0</v>
      </c>
      <c r="ACA85">
        <v>0</v>
      </c>
      <c r="ACB85">
        <v>0</v>
      </c>
      <c r="ACC85">
        <v>-256.16438356164383</v>
      </c>
      <c r="ACD85">
        <v>0</v>
      </c>
      <c r="ACE85">
        <v>0</v>
      </c>
      <c r="ACF85">
        <v>0</v>
      </c>
      <c r="ACG85">
        <v>0</v>
      </c>
      <c r="ACH85">
        <v>0</v>
      </c>
      <c r="ACI85">
        <v>0</v>
      </c>
      <c r="ACJ85">
        <v>0</v>
      </c>
      <c r="ACK85">
        <v>0</v>
      </c>
      <c r="ACL85">
        <v>0</v>
      </c>
      <c r="ACM85">
        <v>0</v>
      </c>
      <c r="ACN85">
        <v>0</v>
      </c>
      <c r="ACO85">
        <v>0</v>
      </c>
      <c r="ACP85">
        <v>0</v>
      </c>
      <c r="ACQ85">
        <v>0</v>
      </c>
      <c r="ACR85">
        <v>0</v>
      </c>
      <c r="ACS85">
        <v>0</v>
      </c>
      <c r="ACT85">
        <v>0</v>
      </c>
      <c r="ACU85">
        <v>0</v>
      </c>
      <c r="ACV85">
        <v>0</v>
      </c>
      <c r="ACW85">
        <v>0</v>
      </c>
      <c r="ACX85">
        <v>0</v>
      </c>
      <c r="ACY85">
        <v>0</v>
      </c>
      <c r="ACZ85">
        <v>0</v>
      </c>
      <c r="ADA85">
        <v>0</v>
      </c>
      <c r="ADB85">
        <v>0</v>
      </c>
      <c r="ADC85">
        <v>0</v>
      </c>
      <c r="ADD85">
        <v>0</v>
      </c>
      <c r="ADE85">
        <v>0</v>
      </c>
      <c r="ADF85">
        <v>0</v>
      </c>
      <c r="ADG85">
        <v>0</v>
      </c>
      <c r="ADH85">
        <v>0</v>
      </c>
      <c r="ADI85">
        <v>0</v>
      </c>
      <c r="ADJ85">
        <v>0</v>
      </c>
      <c r="ADK85">
        <v>0</v>
      </c>
      <c r="ADL85">
        <v>0</v>
      </c>
      <c r="ADM85">
        <v>0</v>
      </c>
      <c r="ADN85">
        <v>0</v>
      </c>
      <c r="ADO85">
        <v>0</v>
      </c>
      <c r="ADP85">
        <v>0</v>
      </c>
      <c r="ADQ85">
        <v>0</v>
      </c>
      <c r="ADR85">
        <v>0</v>
      </c>
      <c r="ADS85">
        <v>0</v>
      </c>
      <c r="ADT85">
        <v>0</v>
      </c>
      <c r="ADU85">
        <v>0</v>
      </c>
      <c r="ADV85">
        <v>0</v>
      </c>
      <c r="ADW85">
        <v>0</v>
      </c>
      <c r="ADX85">
        <v>0</v>
      </c>
      <c r="ADY85">
        <v>0</v>
      </c>
      <c r="ADZ85">
        <v>0</v>
      </c>
      <c r="AEA85">
        <v>0</v>
      </c>
      <c r="AEB85">
        <v>0</v>
      </c>
      <c r="AEC85">
        <v>0</v>
      </c>
      <c r="AED85">
        <v>0</v>
      </c>
      <c r="AEE85">
        <v>0</v>
      </c>
      <c r="AEF85">
        <v>0</v>
      </c>
      <c r="AEG85">
        <v>0</v>
      </c>
      <c r="AEH85">
        <v>0</v>
      </c>
      <c r="AEI85">
        <v>0</v>
      </c>
      <c r="AEJ85">
        <v>0</v>
      </c>
      <c r="AEK85">
        <v>0</v>
      </c>
      <c r="AEL85">
        <v>0</v>
      </c>
      <c r="AEM85">
        <v>0</v>
      </c>
      <c r="AEN85">
        <v>0</v>
      </c>
      <c r="AEO85">
        <v>0</v>
      </c>
      <c r="AEP85">
        <v>0</v>
      </c>
      <c r="AEQ85">
        <v>0</v>
      </c>
      <c r="AER85">
        <v>0</v>
      </c>
      <c r="AES85">
        <v>0</v>
      </c>
      <c r="AET85">
        <v>0</v>
      </c>
      <c r="AEU85">
        <v>0</v>
      </c>
      <c r="AEV85">
        <v>0</v>
      </c>
      <c r="AEW85">
        <v>0</v>
      </c>
      <c r="AEX85">
        <v>0</v>
      </c>
      <c r="AEY85">
        <v>0</v>
      </c>
      <c r="AEZ85">
        <v>0</v>
      </c>
      <c r="AFA85">
        <v>0</v>
      </c>
      <c r="AFB85">
        <v>0</v>
      </c>
      <c r="AFC85">
        <v>0</v>
      </c>
      <c r="AFD85">
        <v>0</v>
      </c>
      <c r="AFE85">
        <v>0</v>
      </c>
      <c r="AFF85">
        <v>0</v>
      </c>
      <c r="AFG85">
        <v>0</v>
      </c>
      <c r="AFH85">
        <v>0</v>
      </c>
      <c r="AFI85">
        <v>0</v>
      </c>
      <c r="AFJ85">
        <v>0</v>
      </c>
      <c r="AFK85">
        <v>0</v>
      </c>
      <c r="AFL85">
        <v>0</v>
      </c>
      <c r="AFM85">
        <v>0</v>
      </c>
      <c r="AFN85">
        <v>0</v>
      </c>
      <c r="AFO85">
        <v>0</v>
      </c>
      <c r="AFP85">
        <v>0</v>
      </c>
      <c r="AFQ85">
        <v>0</v>
      </c>
      <c r="AFR85">
        <v>0</v>
      </c>
      <c r="AFS85">
        <v>0</v>
      </c>
      <c r="AFT85">
        <v>0</v>
      </c>
      <c r="AFU85">
        <v>-120</v>
      </c>
      <c r="AFV85">
        <v>0</v>
      </c>
      <c r="AFW85">
        <v>0</v>
      </c>
      <c r="AFX85">
        <v>0</v>
      </c>
      <c r="AFY85">
        <v>0</v>
      </c>
      <c r="AFZ85">
        <v>0</v>
      </c>
      <c r="AGA85">
        <v>0</v>
      </c>
      <c r="AGB85">
        <v>0</v>
      </c>
      <c r="AGC85">
        <v>0</v>
      </c>
      <c r="AGD85">
        <v>0</v>
      </c>
      <c r="AGE85">
        <v>0</v>
      </c>
      <c r="AGF85">
        <v>0</v>
      </c>
      <c r="AGG85">
        <v>0</v>
      </c>
      <c r="AGH85">
        <v>0</v>
      </c>
      <c r="AGI85">
        <v>0</v>
      </c>
      <c r="AGJ85">
        <v>0</v>
      </c>
      <c r="AGK85">
        <v>0</v>
      </c>
      <c r="AGL85">
        <v>0</v>
      </c>
      <c r="AGM85">
        <v>0</v>
      </c>
      <c r="AGN85">
        <v>0</v>
      </c>
      <c r="AGO85">
        <v>0</v>
      </c>
      <c r="AGP85">
        <v>0</v>
      </c>
      <c r="AGQ85">
        <v>0</v>
      </c>
      <c r="AGR85">
        <v>0</v>
      </c>
      <c r="AGS85">
        <v>0</v>
      </c>
      <c r="AGT85">
        <v>0</v>
      </c>
      <c r="AGU85">
        <v>0</v>
      </c>
      <c r="AGV85">
        <v>0</v>
      </c>
      <c r="AGW85">
        <v>0</v>
      </c>
      <c r="AGX85">
        <v>0</v>
      </c>
      <c r="AGY85">
        <v>0</v>
      </c>
      <c r="AGZ85">
        <v>0</v>
      </c>
      <c r="AHA85">
        <v>0</v>
      </c>
      <c r="AHB85">
        <v>0</v>
      </c>
      <c r="AHC85">
        <v>0</v>
      </c>
      <c r="AHD85">
        <v>0</v>
      </c>
      <c r="AHE85">
        <v>0</v>
      </c>
      <c r="AHF85">
        <v>0</v>
      </c>
      <c r="AHG85">
        <v>0</v>
      </c>
      <c r="AHH85">
        <v>0</v>
      </c>
      <c r="AHI85">
        <v>0</v>
      </c>
      <c r="AHJ85">
        <v>0</v>
      </c>
      <c r="AHK85">
        <v>0</v>
      </c>
      <c r="AHL85">
        <v>0</v>
      </c>
      <c r="AHM85">
        <v>0</v>
      </c>
      <c r="AHN85">
        <v>0</v>
      </c>
      <c r="AHO85">
        <v>0</v>
      </c>
      <c r="AHP85">
        <v>0</v>
      </c>
      <c r="AHQ85">
        <v>0</v>
      </c>
      <c r="AHR85">
        <v>0</v>
      </c>
      <c r="AHS85">
        <v>0</v>
      </c>
      <c r="AHT85">
        <v>0</v>
      </c>
      <c r="AHU85">
        <v>0</v>
      </c>
      <c r="AHV85">
        <v>0</v>
      </c>
      <c r="AHW85">
        <v>0</v>
      </c>
      <c r="AHX85">
        <v>0</v>
      </c>
      <c r="AHY85">
        <v>0</v>
      </c>
      <c r="AHZ85">
        <v>0</v>
      </c>
      <c r="AIA85">
        <v>0</v>
      </c>
      <c r="AIB85">
        <v>0</v>
      </c>
      <c r="AIC85">
        <v>0</v>
      </c>
      <c r="AID85">
        <v>0</v>
      </c>
      <c r="AIE85">
        <v>0</v>
      </c>
      <c r="AIF85">
        <v>0</v>
      </c>
      <c r="AIG85">
        <v>0</v>
      </c>
      <c r="AIH85">
        <v>0</v>
      </c>
      <c r="AII85">
        <v>0</v>
      </c>
      <c r="AIJ85">
        <v>0</v>
      </c>
      <c r="AIK85">
        <v>0</v>
      </c>
      <c r="AIL85">
        <v>0</v>
      </c>
      <c r="AIM85">
        <v>0</v>
      </c>
      <c r="AIN85">
        <v>0</v>
      </c>
      <c r="AIO85">
        <v>0</v>
      </c>
      <c r="AIP85">
        <v>0</v>
      </c>
      <c r="AIQ85">
        <v>0</v>
      </c>
      <c r="AIR85">
        <v>0</v>
      </c>
      <c r="AIS85">
        <v>0</v>
      </c>
      <c r="AIT85">
        <v>0</v>
      </c>
      <c r="AIU85">
        <v>0</v>
      </c>
      <c r="AIV85">
        <v>0</v>
      </c>
      <c r="AIW85">
        <v>0</v>
      </c>
      <c r="AIX85">
        <v>0</v>
      </c>
      <c r="AIY85">
        <v>0</v>
      </c>
      <c r="AIZ85">
        <v>0</v>
      </c>
      <c r="AJA85">
        <v>0</v>
      </c>
      <c r="AJB85">
        <v>0</v>
      </c>
      <c r="AJC85">
        <v>0</v>
      </c>
      <c r="AJD85">
        <v>0</v>
      </c>
      <c r="AJE85">
        <v>0</v>
      </c>
      <c r="AJF85">
        <v>0</v>
      </c>
      <c r="AJG85">
        <v>0</v>
      </c>
      <c r="AJH85">
        <v>0</v>
      </c>
      <c r="AJI85">
        <v>0</v>
      </c>
      <c r="AJJ85">
        <v>0</v>
      </c>
      <c r="AJK85">
        <v>0</v>
      </c>
      <c r="AJL85">
        <v>0</v>
      </c>
      <c r="AJM85">
        <v>-4500</v>
      </c>
      <c r="AJN85">
        <v>0</v>
      </c>
      <c r="AJO85">
        <v>0</v>
      </c>
      <c r="AJP85">
        <v>0</v>
      </c>
      <c r="AJQ85">
        <v>0</v>
      </c>
      <c r="AJR85">
        <v>0</v>
      </c>
      <c r="AJS85">
        <v>0</v>
      </c>
      <c r="AJT85">
        <v>0</v>
      </c>
      <c r="AJU85">
        <v>0</v>
      </c>
      <c r="AJV85">
        <v>0</v>
      </c>
      <c r="AJW85">
        <v>0</v>
      </c>
      <c r="AJX85">
        <v>0</v>
      </c>
      <c r="AJY85">
        <v>0</v>
      </c>
    </row>
    <row r="86" spans="1:961" x14ac:dyDescent="0.3">
      <c r="A86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10000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5000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0</v>
      </c>
      <c r="LQ86">
        <v>0</v>
      </c>
      <c r="LR86">
        <v>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0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-5400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</v>
      </c>
      <c r="OU86">
        <v>0</v>
      </c>
      <c r="OV86">
        <v>0</v>
      </c>
      <c r="OW86">
        <v>0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0</v>
      </c>
      <c r="PW86">
        <v>0</v>
      </c>
      <c r="PX86">
        <v>0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</v>
      </c>
      <c r="QX86">
        <v>0</v>
      </c>
      <c r="QY86">
        <v>0</v>
      </c>
      <c r="QZ86">
        <v>0</v>
      </c>
      <c r="RA86">
        <v>0</v>
      </c>
      <c r="RB86">
        <v>-150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</v>
      </c>
      <c r="RW86">
        <v>0</v>
      </c>
      <c r="RX86">
        <v>0</v>
      </c>
      <c r="RY86">
        <v>0</v>
      </c>
      <c r="RZ86">
        <v>0</v>
      </c>
      <c r="SA86">
        <v>0</v>
      </c>
      <c r="SB86">
        <v>0</v>
      </c>
      <c r="SC86">
        <v>0</v>
      </c>
      <c r="SD86">
        <v>0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</v>
      </c>
      <c r="SK86">
        <v>0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0</v>
      </c>
      <c r="SV86">
        <v>0</v>
      </c>
      <c r="SW86">
        <v>0</v>
      </c>
      <c r="SX86">
        <v>0</v>
      </c>
      <c r="SY86">
        <v>0</v>
      </c>
      <c r="SZ86">
        <v>0</v>
      </c>
      <c r="TA86">
        <v>0</v>
      </c>
      <c r="TB86">
        <v>0</v>
      </c>
      <c r="TC86">
        <v>0</v>
      </c>
      <c r="TD86">
        <v>0</v>
      </c>
      <c r="TE86">
        <v>0</v>
      </c>
      <c r="TF86">
        <v>0</v>
      </c>
      <c r="TG86">
        <v>0</v>
      </c>
      <c r="TH86">
        <v>0</v>
      </c>
      <c r="TI86">
        <v>0</v>
      </c>
      <c r="TJ86">
        <v>0</v>
      </c>
      <c r="TK86">
        <v>0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  <c r="TT86">
        <v>0</v>
      </c>
      <c r="TU86">
        <v>0</v>
      </c>
      <c r="TV86">
        <v>0</v>
      </c>
      <c r="TW86">
        <v>0</v>
      </c>
      <c r="TX86">
        <v>0</v>
      </c>
      <c r="TY86">
        <v>0</v>
      </c>
      <c r="TZ86">
        <v>0</v>
      </c>
      <c r="UA86">
        <v>0</v>
      </c>
      <c r="UB86">
        <v>0</v>
      </c>
      <c r="UC86">
        <v>0</v>
      </c>
      <c r="UD86">
        <v>0</v>
      </c>
      <c r="UE86">
        <v>0</v>
      </c>
      <c r="UF86">
        <v>0</v>
      </c>
      <c r="UG86">
        <v>0</v>
      </c>
      <c r="UH86">
        <v>0</v>
      </c>
      <c r="UI86">
        <v>0</v>
      </c>
      <c r="UJ86">
        <v>0</v>
      </c>
      <c r="UK86">
        <v>0</v>
      </c>
      <c r="UL86">
        <v>0</v>
      </c>
      <c r="UM86">
        <v>0</v>
      </c>
      <c r="UN86">
        <v>0</v>
      </c>
      <c r="UO86">
        <v>0</v>
      </c>
      <c r="UP86">
        <v>0</v>
      </c>
      <c r="UQ86">
        <v>0</v>
      </c>
      <c r="UR86">
        <v>0</v>
      </c>
      <c r="US86">
        <v>0</v>
      </c>
      <c r="UT86">
        <v>-1000</v>
      </c>
      <c r="UU86">
        <v>0</v>
      </c>
      <c r="UV86">
        <v>0</v>
      </c>
      <c r="UW86">
        <v>0</v>
      </c>
      <c r="UX86">
        <v>0</v>
      </c>
      <c r="UY86">
        <v>0</v>
      </c>
      <c r="UZ86">
        <v>0</v>
      </c>
      <c r="VA86">
        <v>0</v>
      </c>
      <c r="VB86">
        <v>0</v>
      </c>
      <c r="VC86">
        <v>0</v>
      </c>
      <c r="VD86">
        <v>0</v>
      </c>
      <c r="VE86">
        <v>0</v>
      </c>
      <c r="VF86">
        <v>0</v>
      </c>
      <c r="VG86">
        <v>0</v>
      </c>
      <c r="VH86">
        <v>0</v>
      </c>
      <c r="VI86">
        <v>0</v>
      </c>
      <c r="VJ86">
        <v>0</v>
      </c>
      <c r="VK86">
        <v>0</v>
      </c>
      <c r="VL86">
        <v>0</v>
      </c>
      <c r="VM86">
        <v>0</v>
      </c>
      <c r="VN86">
        <v>0</v>
      </c>
      <c r="VO86">
        <v>0</v>
      </c>
      <c r="VP86">
        <v>0</v>
      </c>
      <c r="VQ86">
        <v>0</v>
      </c>
      <c r="VR86">
        <v>0</v>
      </c>
      <c r="VS86">
        <v>0</v>
      </c>
      <c r="VT86">
        <v>0</v>
      </c>
      <c r="VU86">
        <v>0</v>
      </c>
      <c r="VV86">
        <v>0</v>
      </c>
      <c r="VW86">
        <v>0</v>
      </c>
      <c r="VX86">
        <v>0</v>
      </c>
      <c r="VY86">
        <v>0</v>
      </c>
      <c r="VZ86">
        <v>0</v>
      </c>
      <c r="WA86">
        <v>0</v>
      </c>
      <c r="WB86">
        <v>0</v>
      </c>
      <c r="WC86">
        <v>0</v>
      </c>
      <c r="WD86">
        <v>0</v>
      </c>
      <c r="WE86">
        <v>0</v>
      </c>
      <c r="WF86">
        <v>0</v>
      </c>
      <c r="WG86">
        <v>0</v>
      </c>
      <c r="WH86">
        <v>0</v>
      </c>
      <c r="WI86">
        <v>0</v>
      </c>
      <c r="WJ86">
        <v>0</v>
      </c>
      <c r="WK86">
        <v>0</v>
      </c>
      <c r="WL86">
        <v>0</v>
      </c>
      <c r="WM86">
        <v>0</v>
      </c>
      <c r="WN86">
        <v>0</v>
      </c>
      <c r="WO86">
        <v>0</v>
      </c>
      <c r="WP86">
        <v>0</v>
      </c>
      <c r="WQ86">
        <v>0</v>
      </c>
      <c r="WR86">
        <v>0</v>
      </c>
      <c r="WS86">
        <v>0</v>
      </c>
      <c r="WT86">
        <v>0</v>
      </c>
      <c r="WU86">
        <v>0</v>
      </c>
      <c r="WV86">
        <v>0</v>
      </c>
      <c r="WW86">
        <v>0</v>
      </c>
      <c r="WX86">
        <v>0</v>
      </c>
      <c r="WY86">
        <v>0</v>
      </c>
      <c r="WZ86">
        <v>0</v>
      </c>
      <c r="XA86">
        <v>0</v>
      </c>
      <c r="XB86">
        <v>0</v>
      </c>
      <c r="XC86">
        <v>0</v>
      </c>
      <c r="XD86">
        <v>0</v>
      </c>
      <c r="XE86">
        <v>0</v>
      </c>
      <c r="XF86">
        <v>0</v>
      </c>
      <c r="XG86">
        <v>0</v>
      </c>
      <c r="XH86">
        <v>0</v>
      </c>
      <c r="XI86">
        <v>0</v>
      </c>
      <c r="XJ86">
        <v>0</v>
      </c>
      <c r="XK86">
        <v>0</v>
      </c>
      <c r="XL86">
        <v>0</v>
      </c>
      <c r="XM86">
        <v>0</v>
      </c>
      <c r="XN86">
        <v>0</v>
      </c>
      <c r="XO86">
        <v>0</v>
      </c>
      <c r="XP86">
        <v>0</v>
      </c>
      <c r="XQ86">
        <v>0</v>
      </c>
      <c r="XR86">
        <v>0</v>
      </c>
      <c r="XS86">
        <v>0</v>
      </c>
      <c r="XT86">
        <v>0</v>
      </c>
      <c r="XU86">
        <v>0</v>
      </c>
      <c r="XV86">
        <v>0</v>
      </c>
      <c r="XW86">
        <v>0</v>
      </c>
      <c r="XX86">
        <v>0</v>
      </c>
      <c r="XY86">
        <v>0</v>
      </c>
      <c r="XZ86">
        <v>0</v>
      </c>
      <c r="YA86">
        <v>0</v>
      </c>
      <c r="YB86">
        <v>0</v>
      </c>
      <c r="YC86">
        <v>0</v>
      </c>
      <c r="YD86">
        <v>0</v>
      </c>
      <c r="YE86">
        <v>0</v>
      </c>
      <c r="YF86">
        <v>0</v>
      </c>
      <c r="YG86">
        <v>0</v>
      </c>
      <c r="YH86">
        <v>0</v>
      </c>
      <c r="YI86">
        <v>0</v>
      </c>
      <c r="YJ86">
        <v>0</v>
      </c>
      <c r="YK86">
        <v>0</v>
      </c>
      <c r="YL86">
        <v>-5</v>
      </c>
      <c r="YM86">
        <v>0</v>
      </c>
      <c r="YN86">
        <v>0</v>
      </c>
      <c r="YO86">
        <v>0</v>
      </c>
      <c r="YP86">
        <v>0</v>
      </c>
      <c r="YQ86">
        <v>0</v>
      </c>
      <c r="YR86">
        <v>0</v>
      </c>
      <c r="YS86">
        <v>0</v>
      </c>
      <c r="YT86">
        <v>0</v>
      </c>
      <c r="YU86">
        <v>0</v>
      </c>
      <c r="YV86">
        <v>0</v>
      </c>
      <c r="YW86">
        <v>0</v>
      </c>
      <c r="YX86">
        <v>0</v>
      </c>
      <c r="YY86">
        <v>0</v>
      </c>
      <c r="YZ86">
        <v>0</v>
      </c>
      <c r="ZA86">
        <v>0</v>
      </c>
      <c r="ZB86">
        <v>0</v>
      </c>
      <c r="ZC86">
        <v>0</v>
      </c>
      <c r="ZD86">
        <v>0</v>
      </c>
      <c r="ZE86">
        <v>0</v>
      </c>
      <c r="ZF86">
        <v>0</v>
      </c>
      <c r="ZG86">
        <v>0</v>
      </c>
      <c r="ZH86">
        <v>0</v>
      </c>
      <c r="ZI86">
        <v>0</v>
      </c>
      <c r="ZJ86">
        <v>0</v>
      </c>
      <c r="ZK86">
        <v>0</v>
      </c>
      <c r="ZL86">
        <v>0</v>
      </c>
      <c r="ZM86">
        <v>0</v>
      </c>
      <c r="ZN86">
        <v>0</v>
      </c>
      <c r="ZO86">
        <v>0</v>
      </c>
      <c r="ZP86">
        <v>0</v>
      </c>
      <c r="ZQ86">
        <v>0</v>
      </c>
      <c r="ZR86">
        <v>0</v>
      </c>
      <c r="ZS86">
        <v>0</v>
      </c>
      <c r="ZT86">
        <v>0</v>
      </c>
      <c r="ZU86">
        <v>0</v>
      </c>
      <c r="ZV86">
        <v>0</v>
      </c>
      <c r="ZW86">
        <v>0</v>
      </c>
      <c r="ZX86">
        <v>0</v>
      </c>
      <c r="ZY86">
        <v>0</v>
      </c>
      <c r="ZZ86">
        <v>0</v>
      </c>
      <c r="AAA86">
        <v>0</v>
      </c>
      <c r="AAB86">
        <v>0</v>
      </c>
      <c r="AAC86">
        <v>0</v>
      </c>
      <c r="AAD86">
        <v>0</v>
      </c>
      <c r="AAE86">
        <v>0</v>
      </c>
      <c r="AAF86">
        <v>0</v>
      </c>
      <c r="AAG86">
        <v>0</v>
      </c>
      <c r="AAH86">
        <v>0</v>
      </c>
      <c r="AAI86">
        <v>0</v>
      </c>
      <c r="AAJ86">
        <v>0</v>
      </c>
      <c r="AAK86">
        <v>0</v>
      </c>
      <c r="AAL86">
        <v>0</v>
      </c>
      <c r="AAM86">
        <v>0</v>
      </c>
      <c r="AAN86">
        <v>0</v>
      </c>
      <c r="AAO86">
        <v>0</v>
      </c>
      <c r="AAP86">
        <v>0</v>
      </c>
      <c r="AAQ86">
        <v>0</v>
      </c>
      <c r="AAR86">
        <v>0</v>
      </c>
      <c r="AAS86">
        <v>0</v>
      </c>
      <c r="AAT86">
        <v>0</v>
      </c>
      <c r="AAU86">
        <v>0</v>
      </c>
      <c r="AAV86">
        <v>0</v>
      </c>
      <c r="AAW86">
        <v>0</v>
      </c>
      <c r="AAX86">
        <v>0</v>
      </c>
      <c r="AAY86">
        <v>0</v>
      </c>
      <c r="AAZ86">
        <v>0</v>
      </c>
      <c r="ABA86">
        <v>0</v>
      </c>
      <c r="ABB86">
        <v>0</v>
      </c>
      <c r="ABC86">
        <v>0</v>
      </c>
      <c r="ABD86">
        <v>0</v>
      </c>
      <c r="ABE86">
        <v>0</v>
      </c>
      <c r="ABF86">
        <v>0</v>
      </c>
      <c r="ABG86">
        <v>0</v>
      </c>
      <c r="ABH86">
        <v>0</v>
      </c>
      <c r="ABI86">
        <v>0</v>
      </c>
      <c r="ABJ86">
        <v>0</v>
      </c>
      <c r="ABK86">
        <v>0</v>
      </c>
      <c r="ABL86">
        <v>0</v>
      </c>
      <c r="ABM86">
        <v>0</v>
      </c>
      <c r="ABN86">
        <v>0</v>
      </c>
      <c r="ABO86">
        <v>0</v>
      </c>
      <c r="ABP86">
        <v>0</v>
      </c>
      <c r="ABQ86">
        <v>0</v>
      </c>
      <c r="ABR86">
        <v>0</v>
      </c>
      <c r="ABS86">
        <v>0</v>
      </c>
      <c r="ABT86">
        <v>0</v>
      </c>
      <c r="ABU86">
        <v>0</v>
      </c>
      <c r="ABV86">
        <v>0</v>
      </c>
      <c r="ABW86">
        <v>0</v>
      </c>
      <c r="ABX86">
        <v>0</v>
      </c>
      <c r="ABY86">
        <v>0</v>
      </c>
      <c r="ABZ86">
        <v>0</v>
      </c>
      <c r="ACA86">
        <v>0</v>
      </c>
      <c r="ACB86">
        <v>0</v>
      </c>
      <c r="ACC86">
        <v>0</v>
      </c>
      <c r="ACD86">
        <v>-256.16438356164383</v>
      </c>
      <c r="ACE86">
        <v>0</v>
      </c>
      <c r="ACF86">
        <v>0</v>
      </c>
      <c r="ACG86">
        <v>0</v>
      </c>
      <c r="ACH86">
        <v>0</v>
      </c>
      <c r="ACI86">
        <v>0</v>
      </c>
      <c r="ACJ86">
        <v>0</v>
      </c>
      <c r="ACK86">
        <v>0</v>
      </c>
      <c r="ACL86">
        <v>0</v>
      </c>
      <c r="ACM86">
        <v>0</v>
      </c>
      <c r="ACN86">
        <v>0</v>
      </c>
      <c r="ACO86">
        <v>0</v>
      </c>
      <c r="ACP86">
        <v>0</v>
      </c>
      <c r="ACQ86">
        <v>0</v>
      </c>
      <c r="ACR86">
        <v>0</v>
      </c>
      <c r="ACS86">
        <v>0</v>
      </c>
      <c r="ACT86">
        <v>0</v>
      </c>
      <c r="ACU86">
        <v>0</v>
      </c>
      <c r="ACV86">
        <v>0</v>
      </c>
      <c r="ACW86">
        <v>0</v>
      </c>
      <c r="ACX86">
        <v>0</v>
      </c>
      <c r="ACY86">
        <v>0</v>
      </c>
      <c r="ACZ86">
        <v>0</v>
      </c>
      <c r="ADA86">
        <v>0</v>
      </c>
      <c r="ADB86">
        <v>0</v>
      </c>
      <c r="ADC86">
        <v>0</v>
      </c>
      <c r="ADD86">
        <v>0</v>
      </c>
      <c r="ADE86">
        <v>0</v>
      </c>
      <c r="ADF86">
        <v>0</v>
      </c>
      <c r="ADG86">
        <v>0</v>
      </c>
      <c r="ADH86">
        <v>0</v>
      </c>
      <c r="ADI86">
        <v>0</v>
      </c>
      <c r="ADJ86">
        <v>0</v>
      </c>
      <c r="ADK86">
        <v>0</v>
      </c>
      <c r="ADL86">
        <v>0</v>
      </c>
      <c r="ADM86">
        <v>0</v>
      </c>
      <c r="ADN86">
        <v>0</v>
      </c>
      <c r="ADO86">
        <v>0</v>
      </c>
      <c r="ADP86">
        <v>0</v>
      </c>
      <c r="ADQ86">
        <v>0</v>
      </c>
      <c r="ADR86">
        <v>0</v>
      </c>
      <c r="ADS86">
        <v>0</v>
      </c>
      <c r="ADT86">
        <v>0</v>
      </c>
      <c r="ADU86">
        <v>0</v>
      </c>
      <c r="ADV86">
        <v>0</v>
      </c>
      <c r="ADW86">
        <v>0</v>
      </c>
      <c r="ADX86">
        <v>0</v>
      </c>
      <c r="ADY86">
        <v>0</v>
      </c>
      <c r="ADZ86">
        <v>0</v>
      </c>
      <c r="AEA86">
        <v>0</v>
      </c>
      <c r="AEB86">
        <v>0</v>
      </c>
      <c r="AEC86">
        <v>0</v>
      </c>
      <c r="AED86">
        <v>0</v>
      </c>
      <c r="AEE86">
        <v>0</v>
      </c>
      <c r="AEF86">
        <v>0</v>
      </c>
      <c r="AEG86">
        <v>0</v>
      </c>
      <c r="AEH86">
        <v>0</v>
      </c>
      <c r="AEI86">
        <v>0</v>
      </c>
      <c r="AEJ86">
        <v>0</v>
      </c>
      <c r="AEK86">
        <v>0</v>
      </c>
      <c r="AEL86">
        <v>0</v>
      </c>
      <c r="AEM86">
        <v>0</v>
      </c>
      <c r="AEN86">
        <v>0</v>
      </c>
      <c r="AEO86">
        <v>0</v>
      </c>
      <c r="AEP86">
        <v>0</v>
      </c>
      <c r="AEQ86">
        <v>0</v>
      </c>
      <c r="AER86">
        <v>0</v>
      </c>
      <c r="AES86">
        <v>0</v>
      </c>
      <c r="AET86">
        <v>0</v>
      </c>
      <c r="AEU86">
        <v>0</v>
      </c>
      <c r="AEV86">
        <v>0</v>
      </c>
      <c r="AEW86">
        <v>0</v>
      </c>
      <c r="AEX86">
        <v>0</v>
      </c>
      <c r="AEY86">
        <v>0</v>
      </c>
      <c r="AEZ86">
        <v>0</v>
      </c>
      <c r="AFA86">
        <v>0</v>
      </c>
      <c r="AFB86">
        <v>0</v>
      </c>
      <c r="AFC86">
        <v>0</v>
      </c>
      <c r="AFD86">
        <v>0</v>
      </c>
      <c r="AFE86">
        <v>0</v>
      </c>
      <c r="AFF86">
        <v>0</v>
      </c>
      <c r="AFG86">
        <v>0</v>
      </c>
      <c r="AFH86">
        <v>0</v>
      </c>
      <c r="AFI86">
        <v>0</v>
      </c>
      <c r="AFJ86">
        <v>0</v>
      </c>
      <c r="AFK86">
        <v>0</v>
      </c>
      <c r="AFL86">
        <v>0</v>
      </c>
      <c r="AFM86">
        <v>0</v>
      </c>
      <c r="AFN86">
        <v>0</v>
      </c>
      <c r="AFO86">
        <v>0</v>
      </c>
      <c r="AFP86">
        <v>0</v>
      </c>
      <c r="AFQ86">
        <v>0</v>
      </c>
      <c r="AFR86">
        <v>0</v>
      </c>
      <c r="AFS86">
        <v>0</v>
      </c>
      <c r="AFT86">
        <v>0</v>
      </c>
      <c r="AFU86">
        <v>0</v>
      </c>
      <c r="AFV86">
        <v>-120</v>
      </c>
      <c r="AFW86">
        <v>0</v>
      </c>
      <c r="AFX86">
        <v>0</v>
      </c>
      <c r="AFY86">
        <v>0</v>
      </c>
      <c r="AFZ86">
        <v>0</v>
      </c>
      <c r="AGA86">
        <v>0</v>
      </c>
      <c r="AGB86">
        <v>0</v>
      </c>
      <c r="AGC86">
        <v>0</v>
      </c>
      <c r="AGD86">
        <v>0</v>
      </c>
      <c r="AGE86">
        <v>0</v>
      </c>
      <c r="AGF86">
        <v>0</v>
      </c>
      <c r="AGG86">
        <v>0</v>
      </c>
      <c r="AGH86">
        <v>0</v>
      </c>
      <c r="AGI86">
        <v>0</v>
      </c>
      <c r="AGJ86">
        <v>0</v>
      </c>
      <c r="AGK86">
        <v>0</v>
      </c>
      <c r="AGL86">
        <v>0</v>
      </c>
      <c r="AGM86">
        <v>0</v>
      </c>
      <c r="AGN86">
        <v>0</v>
      </c>
      <c r="AGO86">
        <v>0</v>
      </c>
      <c r="AGP86">
        <v>0</v>
      </c>
      <c r="AGQ86">
        <v>0</v>
      </c>
      <c r="AGR86">
        <v>0</v>
      </c>
      <c r="AGS86">
        <v>0</v>
      </c>
      <c r="AGT86">
        <v>0</v>
      </c>
      <c r="AGU86">
        <v>0</v>
      </c>
      <c r="AGV86">
        <v>0</v>
      </c>
      <c r="AGW86">
        <v>0</v>
      </c>
      <c r="AGX86">
        <v>0</v>
      </c>
      <c r="AGY86">
        <v>0</v>
      </c>
      <c r="AGZ86">
        <v>0</v>
      </c>
      <c r="AHA86">
        <v>0</v>
      </c>
      <c r="AHB86">
        <v>0</v>
      </c>
      <c r="AHC86">
        <v>0</v>
      </c>
      <c r="AHD86">
        <v>0</v>
      </c>
      <c r="AHE86">
        <v>0</v>
      </c>
      <c r="AHF86">
        <v>0</v>
      </c>
      <c r="AHG86">
        <v>0</v>
      </c>
      <c r="AHH86">
        <v>0</v>
      </c>
      <c r="AHI86">
        <v>0</v>
      </c>
      <c r="AHJ86">
        <v>0</v>
      </c>
      <c r="AHK86">
        <v>0</v>
      </c>
      <c r="AHL86">
        <v>0</v>
      </c>
      <c r="AHM86">
        <v>0</v>
      </c>
      <c r="AHN86">
        <v>0</v>
      </c>
      <c r="AHO86">
        <v>0</v>
      </c>
      <c r="AHP86">
        <v>0</v>
      </c>
      <c r="AHQ86">
        <v>0</v>
      </c>
      <c r="AHR86">
        <v>0</v>
      </c>
      <c r="AHS86">
        <v>0</v>
      </c>
      <c r="AHT86">
        <v>0</v>
      </c>
      <c r="AHU86">
        <v>0</v>
      </c>
      <c r="AHV86">
        <v>0</v>
      </c>
      <c r="AHW86">
        <v>0</v>
      </c>
      <c r="AHX86">
        <v>0</v>
      </c>
      <c r="AHY86">
        <v>0</v>
      </c>
      <c r="AHZ86">
        <v>0</v>
      </c>
      <c r="AIA86">
        <v>0</v>
      </c>
      <c r="AIB86">
        <v>0</v>
      </c>
      <c r="AIC86">
        <v>0</v>
      </c>
      <c r="AID86">
        <v>0</v>
      </c>
      <c r="AIE86">
        <v>0</v>
      </c>
      <c r="AIF86">
        <v>0</v>
      </c>
      <c r="AIG86">
        <v>0</v>
      </c>
      <c r="AIH86">
        <v>0</v>
      </c>
      <c r="AII86">
        <v>0</v>
      </c>
      <c r="AIJ86">
        <v>0</v>
      </c>
      <c r="AIK86">
        <v>0</v>
      </c>
      <c r="AIL86">
        <v>0</v>
      </c>
      <c r="AIM86">
        <v>0</v>
      </c>
      <c r="AIN86">
        <v>0</v>
      </c>
      <c r="AIO86">
        <v>0</v>
      </c>
      <c r="AIP86">
        <v>0</v>
      </c>
      <c r="AIQ86">
        <v>0</v>
      </c>
      <c r="AIR86">
        <v>0</v>
      </c>
      <c r="AIS86">
        <v>0</v>
      </c>
      <c r="AIT86">
        <v>0</v>
      </c>
      <c r="AIU86">
        <v>0</v>
      </c>
      <c r="AIV86">
        <v>0</v>
      </c>
      <c r="AIW86">
        <v>0</v>
      </c>
      <c r="AIX86">
        <v>0</v>
      </c>
      <c r="AIY86">
        <v>0</v>
      </c>
      <c r="AIZ86">
        <v>0</v>
      </c>
      <c r="AJA86">
        <v>0</v>
      </c>
      <c r="AJB86">
        <v>0</v>
      </c>
      <c r="AJC86">
        <v>0</v>
      </c>
      <c r="AJD86">
        <v>0</v>
      </c>
      <c r="AJE86">
        <v>0</v>
      </c>
      <c r="AJF86">
        <v>0</v>
      </c>
      <c r="AJG86">
        <v>0</v>
      </c>
      <c r="AJH86">
        <v>0</v>
      </c>
      <c r="AJI86">
        <v>0</v>
      </c>
      <c r="AJJ86">
        <v>0</v>
      </c>
      <c r="AJK86">
        <v>0</v>
      </c>
      <c r="AJL86">
        <v>0</v>
      </c>
      <c r="AJM86">
        <v>0</v>
      </c>
      <c r="AJN86">
        <v>-4500</v>
      </c>
      <c r="AJO86">
        <v>0</v>
      </c>
      <c r="AJP86">
        <v>0</v>
      </c>
      <c r="AJQ86">
        <v>0</v>
      </c>
      <c r="AJR86">
        <v>0</v>
      </c>
      <c r="AJS86">
        <v>0</v>
      </c>
      <c r="AJT86">
        <v>0</v>
      </c>
      <c r="AJU86">
        <v>0</v>
      </c>
      <c r="AJV86">
        <v>0</v>
      </c>
      <c r="AJW86">
        <v>0</v>
      </c>
      <c r="AJX86">
        <v>0</v>
      </c>
      <c r="AJY86">
        <v>0</v>
      </c>
    </row>
    <row r="87" spans="1:961" x14ac:dyDescent="0.3">
      <c r="A87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10000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5000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KP87">
        <v>0</v>
      </c>
      <c r="KQ87">
        <v>0</v>
      </c>
      <c r="KR87">
        <v>0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0</v>
      </c>
      <c r="LA87">
        <v>0</v>
      </c>
      <c r="LB87">
        <v>0</v>
      </c>
      <c r="LC87">
        <v>0</v>
      </c>
      <c r="LD87">
        <v>0</v>
      </c>
      <c r="LE87">
        <v>0</v>
      </c>
      <c r="LF87">
        <v>0</v>
      </c>
      <c r="LG87">
        <v>0</v>
      </c>
      <c r="LH87">
        <v>0</v>
      </c>
      <c r="LI87">
        <v>0</v>
      </c>
      <c r="LJ87">
        <v>0</v>
      </c>
      <c r="LK87">
        <v>0</v>
      </c>
      <c r="LL87">
        <v>0</v>
      </c>
      <c r="LM87">
        <v>0</v>
      </c>
      <c r="LN87">
        <v>0</v>
      </c>
      <c r="LO87">
        <v>0</v>
      </c>
      <c r="LP87">
        <v>0</v>
      </c>
      <c r="LQ87">
        <v>0</v>
      </c>
      <c r="LR87">
        <v>0</v>
      </c>
      <c r="LS87">
        <v>0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  <c r="MC87">
        <v>0</v>
      </c>
      <c r="MD87">
        <v>0</v>
      </c>
      <c r="ME87">
        <v>0</v>
      </c>
      <c r="MF87">
        <v>0</v>
      </c>
      <c r="MG87">
        <v>0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0</v>
      </c>
      <c r="MQ87">
        <v>0</v>
      </c>
      <c r="MR87">
        <v>0</v>
      </c>
      <c r="MS87">
        <v>0</v>
      </c>
      <c r="MT87">
        <v>0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0</v>
      </c>
      <c r="NL87">
        <v>0</v>
      </c>
      <c r="NM87">
        <v>0</v>
      </c>
      <c r="NN87">
        <v>0</v>
      </c>
      <c r="NO87">
        <v>0</v>
      </c>
      <c r="NP87">
        <v>0</v>
      </c>
      <c r="NQ87">
        <v>0</v>
      </c>
      <c r="NR87">
        <v>0</v>
      </c>
      <c r="NS87">
        <v>0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0</v>
      </c>
      <c r="OO87">
        <v>0</v>
      </c>
      <c r="OP87">
        <v>0</v>
      </c>
      <c r="OQ87">
        <v>0</v>
      </c>
      <c r="OR87">
        <v>0</v>
      </c>
      <c r="OS87">
        <v>0</v>
      </c>
      <c r="OT87">
        <v>0</v>
      </c>
      <c r="OU87">
        <v>0</v>
      </c>
      <c r="OV87">
        <v>0</v>
      </c>
      <c r="OW87">
        <v>0</v>
      </c>
      <c r="OX87">
        <v>0</v>
      </c>
      <c r="OY87">
        <v>0</v>
      </c>
      <c r="OZ87">
        <v>0</v>
      </c>
      <c r="PA87">
        <v>0</v>
      </c>
      <c r="PB87">
        <v>0</v>
      </c>
      <c r="PC87">
        <v>0</v>
      </c>
      <c r="PD87">
        <v>0</v>
      </c>
      <c r="PE87">
        <v>0</v>
      </c>
      <c r="PF87">
        <v>0</v>
      </c>
      <c r="PG87">
        <v>0</v>
      </c>
      <c r="PH87">
        <v>0</v>
      </c>
      <c r="PI87">
        <v>0</v>
      </c>
      <c r="PJ87">
        <v>0</v>
      </c>
      <c r="PK87">
        <v>0</v>
      </c>
      <c r="PL87">
        <v>0</v>
      </c>
      <c r="PM87">
        <v>0</v>
      </c>
      <c r="PN87">
        <v>0</v>
      </c>
      <c r="PO87">
        <v>0</v>
      </c>
      <c r="PP87">
        <v>0</v>
      </c>
      <c r="PQ87">
        <v>0</v>
      </c>
      <c r="PR87">
        <v>0</v>
      </c>
      <c r="PS87">
        <v>0</v>
      </c>
      <c r="PT87">
        <v>0</v>
      </c>
      <c r="PU87">
        <v>0</v>
      </c>
      <c r="PV87">
        <v>0</v>
      </c>
      <c r="PW87">
        <v>0</v>
      </c>
      <c r="PX87">
        <v>0</v>
      </c>
      <c r="PY87">
        <v>0</v>
      </c>
      <c r="PZ87">
        <v>0</v>
      </c>
      <c r="QA87">
        <v>0</v>
      </c>
      <c r="QB87">
        <v>0</v>
      </c>
      <c r="QC87">
        <v>0</v>
      </c>
      <c r="QD87">
        <v>0</v>
      </c>
      <c r="QE87">
        <v>0</v>
      </c>
      <c r="QF87">
        <v>0</v>
      </c>
      <c r="QG87">
        <v>0</v>
      </c>
      <c r="QH87">
        <v>0</v>
      </c>
      <c r="QI87">
        <v>0</v>
      </c>
      <c r="QJ87">
        <v>0</v>
      </c>
      <c r="QK87">
        <v>0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0</v>
      </c>
      <c r="QV87">
        <v>0</v>
      </c>
      <c r="QW87">
        <v>0</v>
      </c>
      <c r="QX87">
        <v>0</v>
      </c>
      <c r="QY87">
        <v>0</v>
      </c>
      <c r="QZ87">
        <v>0</v>
      </c>
      <c r="RA87">
        <v>0</v>
      </c>
      <c r="RB87">
        <v>0</v>
      </c>
      <c r="RC87">
        <v>-150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</v>
      </c>
      <c r="RN87">
        <v>0</v>
      </c>
      <c r="RO87">
        <v>0</v>
      </c>
      <c r="RP87">
        <v>0</v>
      </c>
      <c r="RQ87">
        <v>0</v>
      </c>
      <c r="RR87">
        <v>0</v>
      </c>
      <c r="RS87">
        <v>0</v>
      </c>
      <c r="RT87">
        <v>0</v>
      </c>
      <c r="RU87">
        <v>0</v>
      </c>
      <c r="RV87">
        <v>0</v>
      </c>
      <c r="RW87">
        <v>0</v>
      </c>
      <c r="RX87">
        <v>0</v>
      </c>
      <c r="RY87">
        <v>0</v>
      </c>
      <c r="RZ87">
        <v>0</v>
      </c>
      <c r="SA87">
        <v>0</v>
      </c>
      <c r="SB87">
        <v>0</v>
      </c>
      <c r="SC87">
        <v>0</v>
      </c>
      <c r="SD87">
        <v>0</v>
      </c>
      <c r="SE87">
        <v>0</v>
      </c>
      <c r="SF87">
        <v>0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</v>
      </c>
      <c r="SM87">
        <v>0</v>
      </c>
      <c r="SN87">
        <v>0</v>
      </c>
      <c r="SO87">
        <v>0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0</v>
      </c>
      <c r="SZ87">
        <v>0</v>
      </c>
      <c r="TA87">
        <v>0</v>
      </c>
      <c r="TB87">
        <v>0</v>
      </c>
      <c r="TC87">
        <v>0</v>
      </c>
      <c r="TD87">
        <v>0</v>
      </c>
      <c r="TE87">
        <v>0</v>
      </c>
      <c r="TF87">
        <v>0</v>
      </c>
      <c r="TG87">
        <v>0</v>
      </c>
      <c r="TH87">
        <v>0</v>
      </c>
      <c r="TI87">
        <v>0</v>
      </c>
      <c r="TJ87">
        <v>0</v>
      </c>
      <c r="TK87">
        <v>0</v>
      </c>
      <c r="TL87">
        <v>0</v>
      </c>
      <c r="TM87">
        <v>0</v>
      </c>
      <c r="TN87">
        <v>0</v>
      </c>
      <c r="TO87">
        <v>0</v>
      </c>
      <c r="TP87">
        <v>0</v>
      </c>
      <c r="TQ87">
        <v>0</v>
      </c>
      <c r="TR87">
        <v>0</v>
      </c>
      <c r="TS87">
        <v>0</v>
      </c>
      <c r="TT87">
        <v>0</v>
      </c>
      <c r="TU87">
        <v>0</v>
      </c>
      <c r="TV87">
        <v>0</v>
      </c>
      <c r="TW87">
        <v>0</v>
      </c>
      <c r="TX87">
        <v>0</v>
      </c>
      <c r="TY87">
        <v>0</v>
      </c>
      <c r="TZ87">
        <v>0</v>
      </c>
      <c r="UA87">
        <v>0</v>
      </c>
      <c r="UB87">
        <v>0</v>
      </c>
      <c r="UC87">
        <v>0</v>
      </c>
      <c r="UD87">
        <v>0</v>
      </c>
      <c r="UE87">
        <v>0</v>
      </c>
      <c r="UF87">
        <v>0</v>
      </c>
      <c r="UG87">
        <v>0</v>
      </c>
      <c r="UH87">
        <v>0</v>
      </c>
      <c r="UI87">
        <v>0</v>
      </c>
      <c r="UJ87">
        <v>0</v>
      </c>
      <c r="UK87">
        <v>0</v>
      </c>
      <c r="UL87">
        <v>0</v>
      </c>
      <c r="UM87">
        <v>0</v>
      </c>
      <c r="UN87">
        <v>0</v>
      </c>
      <c r="UO87">
        <v>0</v>
      </c>
      <c r="UP87">
        <v>0</v>
      </c>
      <c r="UQ87">
        <v>0</v>
      </c>
      <c r="UR87">
        <v>0</v>
      </c>
      <c r="US87">
        <v>0</v>
      </c>
      <c r="UT87">
        <v>0</v>
      </c>
      <c r="UU87">
        <v>-1000</v>
      </c>
      <c r="UV87">
        <v>0</v>
      </c>
      <c r="UW87">
        <v>0</v>
      </c>
      <c r="UX87">
        <v>0</v>
      </c>
      <c r="UY87">
        <v>0</v>
      </c>
      <c r="UZ87">
        <v>0</v>
      </c>
      <c r="VA87">
        <v>0</v>
      </c>
      <c r="VB87">
        <v>0</v>
      </c>
      <c r="VC87">
        <v>0</v>
      </c>
      <c r="VD87">
        <v>0</v>
      </c>
      <c r="VE87">
        <v>0</v>
      </c>
      <c r="VF87">
        <v>0</v>
      </c>
      <c r="VG87">
        <v>0</v>
      </c>
      <c r="VH87">
        <v>0</v>
      </c>
      <c r="VI87">
        <v>0</v>
      </c>
      <c r="VJ87">
        <v>0</v>
      </c>
      <c r="VK87">
        <v>0</v>
      </c>
      <c r="VL87">
        <v>0</v>
      </c>
      <c r="VM87">
        <v>0</v>
      </c>
      <c r="VN87">
        <v>0</v>
      </c>
      <c r="VO87">
        <v>0</v>
      </c>
      <c r="VP87">
        <v>0</v>
      </c>
      <c r="VQ87">
        <v>0</v>
      </c>
      <c r="VR87">
        <v>0</v>
      </c>
      <c r="VS87">
        <v>0</v>
      </c>
      <c r="VT87">
        <v>0</v>
      </c>
      <c r="VU87">
        <v>0</v>
      </c>
      <c r="VV87">
        <v>0</v>
      </c>
      <c r="VW87">
        <v>0</v>
      </c>
      <c r="VX87">
        <v>0</v>
      </c>
      <c r="VY87">
        <v>0</v>
      </c>
      <c r="VZ87">
        <v>0</v>
      </c>
      <c r="WA87">
        <v>0</v>
      </c>
      <c r="WB87">
        <v>0</v>
      </c>
      <c r="WC87">
        <v>0</v>
      </c>
      <c r="WD87">
        <v>0</v>
      </c>
      <c r="WE87">
        <v>0</v>
      </c>
      <c r="WF87">
        <v>0</v>
      </c>
      <c r="WG87">
        <v>0</v>
      </c>
      <c r="WH87">
        <v>0</v>
      </c>
      <c r="WI87">
        <v>0</v>
      </c>
      <c r="WJ87">
        <v>0</v>
      </c>
      <c r="WK87">
        <v>0</v>
      </c>
      <c r="WL87">
        <v>0</v>
      </c>
      <c r="WM87">
        <v>0</v>
      </c>
      <c r="WN87">
        <v>0</v>
      </c>
      <c r="WO87">
        <v>0</v>
      </c>
      <c r="WP87">
        <v>0</v>
      </c>
      <c r="WQ87">
        <v>0</v>
      </c>
      <c r="WR87">
        <v>0</v>
      </c>
      <c r="WS87">
        <v>0</v>
      </c>
      <c r="WT87">
        <v>0</v>
      </c>
      <c r="WU87">
        <v>0</v>
      </c>
      <c r="WV87">
        <v>0</v>
      </c>
      <c r="WW87">
        <v>0</v>
      </c>
      <c r="WX87">
        <v>0</v>
      </c>
      <c r="WY87">
        <v>0</v>
      </c>
      <c r="WZ87">
        <v>0</v>
      </c>
      <c r="XA87">
        <v>0</v>
      </c>
      <c r="XB87">
        <v>0</v>
      </c>
      <c r="XC87">
        <v>0</v>
      </c>
      <c r="XD87">
        <v>0</v>
      </c>
      <c r="XE87">
        <v>0</v>
      </c>
      <c r="XF87">
        <v>0</v>
      </c>
      <c r="XG87">
        <v>0</v>
      </c>
      <c r="XH87">
        <v>0</v>
      </c>
      <c r="XI87">
        <v>0</v>
      </c>
      <c r="XJ87">
        <v>0</v>
      </c>
      <c r="XK87">
        <v>0</v>
      </c>
      <c r="XL87">
        <v>0</v>
      </c>
      <c r="XM87">
        <v>0</v>
      </c>
      <c r="XN87">
        <v>0</v>
      </c>
      <c r="XO87">
        <v>0</v>
      </c>
      <c r="XP87">
        <v>0</v>
      </c>
      <c r="XQ87">
        <v>0</v>
      </c>
      <c r="XR87">
        <v>0</v>
      </c>
      <c r="XS87">
        <v>0</v>
      </c>
      <c r="XT87">
        <v>0</v>
      </c>
      <c r="XU87">
        <v>0</v>
      </c>
      <c r="XV87">
        <v>0</v>
      </c>
      <c r="XW87">
        <v>0</v>
      </c>
      <c r="XX87">
        <v>0</v>
      </c>
      <c r="XY87">
        <v>0</v>
      </c>
      <c r="XZ87">
        <v>0</v>
      </c>
      <c r="YA87">
        <v>0</v>
      </c>
      <c r="YB87">
        <v>0</v>
      </c>
      <c r="YC87">
        <v>0</v>
      </c>
      <c r="YD87">
        <v>0</v>
      </c>
      <c r="YE87">
        <v>0</v>
      </c>
      <c r="YF87">
        <v>0</v>
      </c>
      <c r="YG87">
        <v>0</v>
      </c>
      <c r="YH87">
        <v>0</v>
      </c>
      <c r="YI87">
        <v>0</v>
      </c>
      <c r="YJ87">
        <v>0</v>
      </c>
      <c r="YK87">
        <v>0</v>
      </c>
      <c r="YL87">
        <v>0</v>
      </c>
      <c r="YM87">
        <v>-5</v>
      </c>
      <c r="YN87">
        <v>0</v>
      </c>
      <c r="YO87">
        <v>0</v>
      </c>
      <c r="YP87">
        <v>0</v>
      </c>
      <c r="YQ87">
        <v>0</v>
      </c>
      <c r="YR87">
        <v>0</v>
      </c>
      <c r="YS87">
        <v>0</v>
      </c>
      <c r="YT87">
        <v>0</v>
      </c>
      <c r="YU87">
        <v>0</v>
      </c>
      <c r="YV87">
        <v>0</v>
      </c>
      <c r="YW87">
        <v>0</v>
      </c>
      <c r="YX87">
        <v>0</v>
      </c>
      <c r="YY87">
        <v>0</v>
      </c>
      <c r="YZ87">
        <v>0</v>
      </c>
      <c r="ZA87">
        <v>0</v>
      </c>
      <c r="ZB87">
        <v>0</v>
      </c>
      <c r="ZC87">
        <v>0</v>
      </c>
      <c r="ZD87">
        <v>0</v>
      </c>
      <c r="ZE87">
        <v>0</v>
      </c>
      <c r="ZF87">
        <v>0</v>
      </c>
      <c r="ZG87">
        <v>0</v>
      </c>
      <c r="ZH87">
        <v>0</v>
      </c>
      <c r="ZI87">
        <v>0</v>
      </c>
      <c r="ZJ87">
        <v>0</v>
      </c>
      <c r="ZK87">
        <v>0</v>
      </c>
      <c r="ZL87">
        <v>0</v>
      </c>
      <c r="ZM87">
        <v>0</v>
      </c>
      <c r="ZN87">
        <v>0</v>
      </c>
      <c r="ZO87">
        <v>0</v>
      </c>
      <c r="ZP87">
        <v>0</v>
      </c>
      <c r="ZQ87">
        <v>0</v>
      </c>
      <c r="ZR87">
        <v>0</v>
      </c>
      <c r="ZS87">
        <v>0</v>
      </c>
      <c r="ZT87">
        <v>0</v>
      </c>
      <c r="ZU87">
        <v>0</v>
      </c>
      <c r="ZV87">
        <v>0</v>
      </c>
      <c r="ZW87">
        <v>0</v>
      </c>
      <c r="ZX87">
        <v>0</v>
      </c>
      <c r="ZY87">
        <v>0</v>
      </c>
      <c r="ZZ87">
        <v>0</v>
      </c>
      <c r="AAA87">
        <v>0</v>
      </c>
      <c r="AAB87">
        <v>0</v>
      </c>
      <c r="AAC87">
        <v>0</v>
      </c>
      <c r="AAD87">
        <v>0</v>
      </c>
      <c r="AAE87">
        <v>0</v>
      </c>
      <c r="AAF87">
        <v>0</v>
      </c>
      <c r="AAG87">
        <v>0</v>
      </c>
      <c r="AAH87">
        <v>0</v>
      </c>
      <c r="AAI87">
        <v>0</v>
      </c>
      <c r="AAJ87">
        <v>0</v>
      </c>
      <c r="AAK87">
        <v>0</v>
      </c>
      <c r="AAL87">
        <v>0</v>
      </c>
      <c r="AAM87">
        <v>0</v>
      </c>
      <c r="AAN87">
        <v>0</v>
      </c>
      <c r="AAO87">
        <v>0</v>
      </c>
      <c r="AAP87">
        <v>0</v>
      </c>
      <c r="AAQ87">
        <v>0</v>
      </c>
      <c r="AAR87">
        <v>0</v>
      </c>
      <c r="AAS87">
        <v>0</v>
      </c>
      <c r="AAT87">
        <v>0</v>
      </c>
      <c r="AAU87">
        <v>0</v>
      </c>
      <c r="AAV87">
        <v>0</v>
      </c>
      <c r="AAW87">
        <v>0</v>
      </c>
      <c r="AAX87">
        <v>0</v>
      </c>
      <c r="AAY87">
        <v>0</v>
      </c>
      <c r="AAZ87">
        <v>0</v>
      </c>
      <c r="ABA87">
        <v>0</v>
      </c>
      <c r="ABB87">
        <v>0</v>
      </c>
      <c r="ABC87">
        <v>0</v>
      </c>
      <c r="ABD87">
        <v>0</v>
      </c>
      <c r="ABE87">
        <v>0</v>
      </c>
      <c r="ABF87">
        <v>0</v>
      </c>
      <c r="ABG87">
        <v>0</v>
      </c>
      <c r="ABH87">
        <v>0</v>
      </c>
      <c r="ABI87">
        <v>0</v>
      </c>
      <c r="ABJ87">
        <v>0</v>
      </c>
      <c r="ABK87">
        <v>0</v>
      </c>
      <c r="ABL87">
        <v>0</v>
      </c>
      <c r="ABM87">
        <v>0</v>
      </c>
      <c r="ABN87">
        <v>0</v>
      </c>
      <c r="ABO87">
        <v>0</v>
      </c>
      <c r="ABP87">
        <v>0</v>
      </c>
      <c r="ABQ87">
        <v>0</v>
      </c>
      <c r="ABR87">
        <v>0</v>
      </c>
      <c r="ABS87">
        <v>0</v>
      </c>
      <c r="ABT87">
        <v>0</v>
      </c>
      <c r="ABU87">
        <v>0</v>
      </c>
      <c r="ABV87">
        <v>0</v>
      </c>
      <c r="ABW87">
        <v>0</v>
      </c>
      <c r="ABX87">
        <v>0</v>
      </c>
      <c r="ABY87">
        <v>0</v>
      </c>
      <c r="ABZ87">
        <v>0</v>
      </c>
      <c r="ACA87">
        <v>0</v>
      </c>
      <c r="ACB87">
        <v>0</v>
      </c>
      <c r="ACC87">
        <v>0</v>
      </c>
      <c r="ACD87">
        <v>0</v>
      </c>
      <c r="ACE87">
        <v>-256.16438356164383</v>
      </c>
      <c r="ACF87">
        <v>0</v>
      </c>
      <c r="ACG87">
        <v>0</v>
      </c>
      <c r="ACH87">
        <v>0</v>
      </c>
      <c r="ACI87">
        <v>0</v>
      </c>
      <c r="ACJ87">
        <v>0</v>
      </c>
      <c r="ACK87">
        <v>0</v>
      </c>
      <c r="ACL87">
        <v>0</v>
      </c>
      <c r="ACM87">
        <v>0</v>
      </c>
      <c r="ACN87">
        <v>0</v>
      </c>
      <c r="ACO87">
        <v>0</v>
      </c>
      <c r="ACP87">
        <v>0</v>
      </c>
      <c r="ACQ87">
        <v>0</v>
      </c>
      <c r="ACR87">
        <v>0</v>
      </c>
      <c r="ACS87">
        <v>0</v>
      </c>
      <c r="ACT87">
        <v>0</v>
      </c>
      <c r="ACU87">
        <v>0</v>
      </c>
      <c r="ACV87">
        <v>0</v>
      </c>
      <c r="ACW87">
        <v>0</v>
      </c>
      <c r="ACX87">
        <v>0</v>
      </c>
      <c r="ACY87">
        <v>0</v>
      </c>
      <c r="ACZ87">
        <v>0</v>
      </c>
      <c r="ADA87">
        <v>0</v>
      </c>
      <c r="ADB87">
        <v>0</v>
      </c>
      <c r="ADC87">
        <v>0</v>
      </c>
      <c r="ADD87">
        <v>0</v>
      </c>
      <c r="ADE87">
        <v>0</v>
      </c>
      <c r="ADF87">
        <v>0</v>
      </c>
      <c r="ADG87">
        <v>0</v>
      </c>
      <c r="ADH87">
        <v>0</v>
      </c>
      <c r="ADI87">
        <v>0</v>
      </c>
      <c r="ADJ87">
        <v>0</v>
      </c>
      <c r="ADK87">
        <v>0</v>
      </c>
      <c r="ADL87">
        <v>0</v>
      </c>
      <c r="ADM87">
        <v>0</v>
      </c>
      <c r="ADN87">
        <v>0</v>
      </c>
      <c r="ADO87">
        <v>0</v>
      </c>
      <c r="ADP87">
        <v>0</v>
      </c>
      <c r="ADQ87">
        <v>0</v>
      </c>
      <c r="ADR87">
        <v>0</v>
      </c>
      <c r="ADS87">
        <v>0</v>
      </c>
      <c r="ADT87">
        <v>0</v>
      </c>
      <c r="ADU87">
        <v>0</v>
      </c>
      <c r="ADV87">
        <v>0</v>
      </c>
      <c r="ADW87">
        <v>0</v>
      </c>
      <c r="ADX87">
        <v>0</v>
      </c>
      <c r="ADY87">
        <v>0</v>
      </c>
      <c r="ADZ87">
        <v>0</v>
      </c>
      <c r="AEA87">
        <v>0</v>
      </c>
      <c r="AEB87">
        <v>0</v>
      </c>
      <c r="AEC87">
        <v>0</v>
      </c>
      <c r="AED87">
        <v>0</v>
      </c>
      <c r="AEE87">
        <v>0</v>
      </c>
      <c r="AEF87">
        <v>0</v>
      </c>
      <c r="AEG87">
        <v>0</v>
      </c>
      <c r="AEH87">
        <v>0</v>
      </c>
      <c r="AEI87">
        <v>0</v>
      </c>
      <c r="AEJ87">
        <v>0</v>
      </c>
      <c r="AEK87">
        <v>0</v>
      </c>
      <c r="AEL87">
        <v>0</v>
      </c>
      <c r="AEM87">
        <v>0</v>
      </c>
      <c r="AEN87">
        <v>0</v>
      </c>
      <c r="AEO87">
        <v>0</v>
      </c>
      <c r="AEP87">
        <v>0</v>
      </c>
      <c r="AEQ87">
        <v>0</v>
      </c>
      <c r="AER87">
        <v>0</v>
      </c>
      <c r="AES87">
        <v>0</v>
      </c>
      <c r="AET87">
        <v>0</v>
      </c>
      <c r="AEU87">
        <v>0</v>
      </c>
      <c r="AEV87">
        <v>0</v>
      </c>
      <c r="AEW87">
        <v>0</v>
      </c>
      <c r="AEX87">
        <v>0</v>
      </c>
      <c r="AEY87">
        <v>0</v>
      </c>
      <c r="AEZ87">
        <v>0</v>
      </c>
      <c r="AFA87">
        <v>0</v>
      </c>
      <c r="AFB87">
        <v>0</v>
      </c>
      <c r="AFC87">
        <v>0</v>
      </c>
      <c r="AFD87">
        <v>0</v>
      </c>
      <c r="AFE87">
        <v>0</v>
      </c>
      <c r="AFF87">
        <v>0</v>
      </c>
      <c r="AFG87">
        <v>0</v>
      </c>
      <c r="AFH87">
        <v>0</v>
      </c>
      <c r="AFI87">
        <v>0</v>
      </c>
      <c r="AFJ87">
        <v>0</v>
      </c>
      <c r="AFK87">
        <v>0</v>
      </c>
      <c r="AFL87">
        <v>0</v>
      </c>
      <c r="AFM87">
        <v>0</v>
      </c>
      <c r="AFN87">
        <v>0</v>
      </c>
      <c r="AFO87">
        <v>0</v>
      </c>
      <c r="AFP87">
        <v>0</v>
      </c>
      <c r="AFQ87">
        <v>0</v>
      </c>
      <c r="AFR87">
        <v>0</v>
      </c>
      <c r="AFS87">
        <v>0</v>
      </c>
      <c r="AFT87">
        <v>0</v>
      </c>
      <c r="AFU87">
        <v>0</v>
      </c>
      <c r="AFV87">
        <v>0</v>
      </c>
      <c r="AFW87">
        <v>-120</v>
      </c>
      <c r="AFX87">
        <v>0</v>
      </c>
      <c r="AFY87">
        <v>0</v>
      </c>
      <c r="AFZ87">
        <v>0</v>
      </c>
      <c r="AGA87">
        <v>0</v>
      </c>
      <c r="AGB87">
        <v>0</v>
      </c>
      <c r="AGC87">
        <v>0</v>
      </c>
      <c r="AGD87">
        <v>0</v>
      </c>
      <c r="AGE87">
        <v>0</v>
      </c>
      <c r="AGF87">
        <v>0</v>
      </c>
      <c r="AGG87">
        <v>0</v>
      </c>
      <c r="AGH87">
        <v>0</v>
      </c>
      <c r="AGI87">
        <v>0</v>
      </c>
      <c r="AGJ87">
        <v>0</v>
      </c>
      <c r="AGK87">
        <v>0</v>
      </c>
      <c r="AGL87">
        <v>0</v>
      </c>
      <c r="AGM87">
        <v>0</v>
      </c>
      <c r="AGN87">
        <v>0</v>
      </c>
      <c r="AGO87">
        <v>0</v>
      </c>
      <c r="AGP87">
        <v>0</v>
      </c>
      <c r="AGQ87">
        <v>0</v>
      </c>
      <c r="AGR87">
        <v>0</v>
      </c>
      <c r="AGS87">
        <v>0</v>
      </c>
      <c r="AGT87">
        <v>0</v>
      </c>
      <c r="AGU87">
        <v>0</v>
      </c>
      <c r="AGV87">
        <v>0</v>
      </c>
      <c r="AGW87">
        <v>0</v>
      </c>
      <c r="AGX87">
        <v>0</v>
      </c>
      <c r="AGY87">
        <v>0</v>
      </c>
      <c r="AGZ87">
        <v>0</v>
      </c>
      <c r="AHA87">
        <v>0</v>
      </c>
      <c r="AHB87">
        <v>0</v>
      </c>
      <c r="AHC87">
        <v>0</v>
      </c>
      <c r="AHD87">
        <v>0</v>
      </c>
      <c r="AHE87">
        <v>0</v>
      </c>
      <c r="AHF87">
        <v>0</v>
      </c>
      <c r="AHG87">
        <v>0</v>
      </c>
      <c r="AHH87">
        <v>0</v>
      </c>
      <c r="AHI87">
        <v>0</v>
      </c>
      <c r="AHJ87">
        <v>0</v>
      </c>
      <c r="AHK87">
        <v>0</v>
      </c>
      <c r="AHL87">
        <v>0</v>
      </c>
      <c r="AHM87">
        <v>0</v>
      </c>
      <c r="AHN87">
        <v>0</v>
      </c>
      <c r="AHO87">
        <v>0</v>
      </c>
      <c r="AHP87">
        <v>0</v>
      </c>
      <c r="AHQ87">
        <v>0</v>
      </c>
      <c r="AHR87">
        <v>0</v>
      </c>
      <c r="AHS87">
        <v>0</v>
      </c>
      <c r="AHT87">
        <v>0</v>
      </c>
      <c r="AHU87">
        <v>0</v>
      </c>
      <c r="AHV87">
        <v>0</v>
      </c>
      <c r="AHW87">
        <v>0</v>
      </c>
      <c r="AHX87">
        <v>0</v>
      </c>
      <c r="AHY87">
        <v>0</v>
      </c>
      <c r="AHZ87">
        <v>0</v>
      </c>
      <c r="AIA87">
        <v>0</v>
      </c>
      <c r="AIB87">
        <v>0</v>
      </c>
      <c r="AIC87">
        <v>0</v>
      </c>
      <c r="AID87">
        <v>0</v>
      </c>
      <c r="AIE87">
        <v>0</v>
      </c>
      <c r="AIF87">
        <v>0</v>
      </c>
      <c r="AIG87">
        <v>0</v>
      </c>
      <c r="AIH87">
        <v>0</v>
      </c>
      <c r="AII87">
        <v>0</v>
      </c>
      <c r="AIJ87">
        <v>0</v>
      </c>
      <c r="AIK87">
        <v>0</v>
      </c>
      <c r="AIL87">
        <v>0</v>
      </c>
      <c r="AIM87">
        <v>0</v>
      </c>
      <c r="AIN87">
        <v>0</v>
      </c>
      <c r="AIO87">
        <v>0</v>
      </c>
      <c r="AIP87">
        <v>0</v>
      </c>
      <c r="AIQ87">
        <v>0</v>
      </c>
      <c r="AIR87">
        <v>0</v>
      </c>
      <c r="AIS87">
        <v>0</v>
      </c>
      <c r="AIT87">
        <v>0</v>
      </c>
      <c r="AIU87">
        <v>0</v>
      </c>
      <c r="AIV87">
        <v>0</v>
      </c>
      <c r="AIW87">
        <v>0</v>
      </c>
      <c r="AIX87">
        <v>0</v>
      </c>
      <c r="AIY87">
        <v>0</v>
      </c>
      <c r="AIZ87">
        <v>0</v>
      </c>
      <c r="AJA87">
        <v>0</v>
      </c>
      <c r="AJB87">
        <v>0</v>
      </c>
      <c r="AJC87">
        <v>0</v>
      </c>
      <c r="AJD87">
        <v>0</v>
      </c>
      <c r="AJE87">
        <v>0</v>
      </c>
      <c r="AJF87">
        <v>0</v>
      </c>
      <c r="AJG87">
        <v>0</v>
      </c>
      <c r="AJH87">
        <v>0</v>
      </c>
      <c r="AJI87">
        <v>0</v>
      </c>
      <c r="AJJ87">
        <v>0</v>
      </c>
      <c r="AJK87">
        <v>0</v>
      </c>
      <c r="AJL87">
        <v>0</v>
      </c>
      <c r="AJM87">
        <v>0</v>
      </c>
      <c r="AJN87">
        <v>0</v>
      </c>
      <c r="AJO87">
        <v>-4500</v>
      </c>
      <c r="AJP87">
        <v>0</v>
      </c>
      <c r="AJQ87">
        <v>0</v>
      </c>
      <c r="AJR87">
        <v>0</v>
      </c>
      <c r="AJS87">
        <v>0</v>
      </c>
      <c r="AJT87">
        <v>0</v>
      </c>
      <c r="AJU87">
        <v>0</v>
      </c>
      <c r="AJV87">
        <v>0</v>
      </c>
      <c r="AJW87">
        <v>0</v>
      </c>
      <c r="AJX87">
        <v>0</v>
      </c>
      <c r="AJY87">
        <v>0</v>
      </c>
    </row>
    <row r="88" spans="1:961" x14ac:dyDescent="0.3">
      <c r="A88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10000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5000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  <c r="KP88">
        <v>0</v>
      </c>
      <c r="KQ88">
        <v>0</v>
      </c>
      <c r="KR88">
        <v>0</v>
      </c>
      <c r="KS88">
        <v>0</v>
      </c>
      <c r="KT88">
        <v>0</v>
      </c>
      <c r="KU88">
        <v>0</v>
      </c>
      <c r="KV88">
        <v>0</v>
      </c>
      <c r="KW88">
        <v>0</v>
      </c>
      <c r="KX88">
        <v>0</v>
      </c>
      <c r="KY88">
        <v>0</v>
      </c>
      <c r="KZ88">
        <v>0</v>
      </c>
      <c r="LA88">
        <v>0</v>
      </c>
      <c r="LB88">
        <v>0</v>
      </c>
      <c r="LC88">
        <v>0</v>
      </c>
      <c r="LD88">
        <v>0</v>
      </c>
      <c r="LE88">
        <v>0</v>
      </c>
      <c r="LF88">
        <v>0</v>
      </c>
      <c r="LG88">
        <v>0</v>
      </c>
      <c r="LH88">
        <v>0</v>
      </c>
      <c r="LI88">
        <v>0</v>
      </c>
      <c r="LJ88">
        <v>0</v>
      </c>
      <c r="LK88">
        <v>0</v>
      </c>
      <c r="LL88">
        <v>0</v>
      </c>
      <c r="LM88">
        <v>0</v>
      </c>
      <c r="LN88">
        <v>0</v>
      </c>
      <c r="LO88">
        <v>0</v>
      </c>
      <c r="LP88">
        <v>0</v>
      </c>
      <c r="LQ88">
        <v>0</v>
      </c>
      <c r="LR88">
        <v>0</v>
      </c>
      <c r="LS88">
        <v>0</v>
      </c>
      <c r="LT88">
        <v>0</v>
      </c>
      <c r="LU88">
        <v>0</v>
      </c>
      <c r="LV88">
        <v>0</v>
      </c>
      <c r="LW88">
        <v>0</v>
      </c>
      <c r="LX88">
        <v>0</v>
      </c>
      <c r="LY88">
        <v>0</v>
      </c>
      <c r="LZ88">
        <v>0</v>
      </c>
      <c r="MA88">
        <v>0</v>
      </c>
      <c r="MB88">
        <v>0</v>
      </c>
      <c r="MC88">
        <v>0</v>
      </c>
      <c r="MD88">
        <v>0</v>
      </c>
      <c r="ME88">
        <v>0</v>
      </c>
      <c r="MF88">
        <v>0</v>
      </c>
      <c r="MG88">
        <v>0</v>
      </c>
      <c r="MH88">
        <v>0</v>
      </c>
      <c r="MI88">
        <v>0</v>
      </c>
      <c r="MJ88">
        <v>0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0</v>
      </c>
      <c r="MQ88">
        <v>0</v>
      </c>
      <c r="MR88">
        <v>0</v>
      </c>
      <c r="MS88">
        <v>0</v>
      </c>
      <c r="MT88">
        <v>0</v>
      </c>
      <c r="MU88">
        <v>0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0</v>
      </c>
      <c r="NK88">
        <v>0</v>
      </c>
      <c r="NL88">
        <v>0</v>
      </c>
      <c r="NM88">
        <v>0</v>
      </c>
      <c r="NN88">
        <v>0</v>
      </c>
      <c r="NO88">
        <v>0</v>
      </c>
      <c r="NP88">
        <v>0</v>
      </c>
      <c r="NQ88">
        <v>0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0</v>
      </c>
      <c r="OM88">
        <v>0</v>
      </c>
      <c r="ON88">
        <v>0</v>
      </c>
      <c r="OO88">
        <v>0</v>
      </c>
      <c r="OP88">
        <v>0</v>
      </c>
      <c r="OQ88">
        <v>0</v>
      </c>
      <c r="OR88">
        <v>0</v>
      </c>
      <c r="OS88">
        <v>0</v>
      </c>
      <c r="OT88">
        <v>0</v>
      </c>
      <c r="OU88">
        <v>0</v>
      </c>
      <c r="OV88">
        <v>0</v>
      </c>
      <c r="OW88">
        <v>0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0</v>
      </c>
      <c r="PD88">
        <v>0</v>
      </c>
      <c r="PE88">
        <v>0</v>
      </c>
      <c r="PF88">
        <v>0</v>
      </c>
      <c r="PG88">
        <v>0</v>
      </c>
      <c r="PH88">
        <v>0</v>
      </c>
      <c r="PI88">
        <v>0</v>
      </c>
      <c r="PJ88">
        <v>0</v>
      </c>
      <c r="PK88">
        <v>0</v>
      </c>
      <c r="PL88">
        <v>0</v>
      </c>
      <c r="PM88">
        <v>0</v>
      </c>
      <c r="PN88">
        <v>0</v>
      </c>
      <c r="PO88">
        <v>0</v>
      </c>
      <c r="PP88">
        <v>0</v>
      </c>
      <c r="PQ88">
        <v>0</v>
      </c>
      <c r="PR88">
        <v>0</v>
      </c>
      <c r="PS88">
        <v>0</v>
      </c>
      <c r="PT88">
        <v>0</v>
      </c>
      <c r="PU88">
        <v>0</v>
      </c>
      <c r="PV88">
        <v>0</v>
      </c>
      <c r="PW88">
        <v>0</v>
      </c>
      <c r="PX88">
        <v>0</v>
      </c>
      <c r="PY88">
        <v>0</v>
      </c>
      <c r="PZ88">
        <v>0</v>
      </c>
      <c r="QA88">
        <v>0</v>
      </c>
      <c r="QB88">
        <v>0</v>
      </c>
      <c r="QC88">
        <v>0</v>
      </c>
      <c r="QD88">
        <v>0</v>
      </c>
      <c r="QE88">
        <v>0</v>
      </c>
      <c r="QF88">
        <v>0</v>
      </c>
      <c r="QG88">
        <v>0</v>
      </c>
      <c r="QH88">
        <v>0</v>
      </c>
      <c r="QI88">
        <v>0</v>
      </c>
      <c r="QJ88">
        <v>0</v>
      </c>
      <c r="QK88">
        <v>0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0</v>
      </c>
      <c r="QR88">
        <v>0</v>
      </c>
      <c r="QS88">
        <v>0</v>
      </c>
      <c r="QT88">
        <v>0</v>
      </c>
      <c r="QU88">
        <v>0</v>
      </c>
      <c r="QV88">
        <v>0</v>
      </c>
      <c r="QW88">
        <v>0</v>
      </c>
      <c r="QX88">
        <v>0</v>
      </c>
      <c r="QY88">
        <v>0</v>
      </c>
      <c r="QZ88">
        <v>0</v>
      </c>
      <c r="RA88">
        <v>0</v>
      </c>
      <c r="RB88">
        <v>0</v>
      </c>
      <c r="RC88">
        <v>0</v>
      </c>
      <c r="RD88">
        <v>-150</v>
      </c>
      <c r="RE88">
        <v>0</v>
      </c>
      <c r="RF88">
        <v>0</v>
      </c>
      <c r="RG88">
        <v>0</v>
      </c>
      <c r="RH88">
        <v>0</v>
      </c>
      <c r="RI88">
        <v>0</v>
      </c>
      <c r="RJ88">
        <v>0</v>
      </c>
      <c r="RK88">
        <v>0</v>
      </c>
      <c r="RL88">
        <v>0</v>
      </c>
      <c r="RM88">
        <v>0</v>
      </c>
      <c r="RN88">
        <v>0</v>
      </c>
      <c r="RO88">
        <v>0</v>
      </c>
      <c r="RP88">
        <v>0</v>
      </c>
      <c r="RQ88">
        <v>0</v>
      </c>
      <c r="RR88">
        <v>0</v>
      </c>
      <c r="RS88">
        <v>0</v>
      </c>
      <c r="RT88">
        <v>0</v>
      </c>
      <c r="RU88">
        <v>0</v>
      </c>
      <c r="RV88">
        <v>0</v>
      </c>
      <c r="RW88">
        <v>0</v>
      </c>
      <c r="RX88">
        <v>0</v>
      </c>
      <c r="RY88">
        <v>0</v>
      </c>
      <c r="RZ88">
        <v>0</v>
      </c>
      <c r="SA88">
        <v>0</v>
      </c>
      <c r="SB88">
        <v>0</v>
      </c>
      <c r="SC88">
        <v>0</v>
      </c>
      <c r="SD88">
        <v>0</v>
      </c>
      <c r="SE88">
        <v>0</v>
      </c>
      <c r="SF88">
        <v>0</v>
      </c>
      <c r="SG88">
        <v>0</v>
      </c>
      <c r="SH88">
        <v>0</v>
      </c>
      <c r="SI88">
        <v>0</v>
      </c>
      <c r="SJ88">
        <v>0</v>
      </c>
      <c r="SK88">
        <v>0</v>
      </c>
      <c r="SL88">
        <v>0</v>
      </c>
      <c r="SM88">
        <v>0</v>
      </c>
      <c r="SN88">
        <v>0</v>
      </c>
      <c r="SO88">
        <v>0</v>
      </c>
      <c r="SP88">
        <v>0</v>
      </c>
      <c r="SQ88">
        <v>0</v>
      </c>
      <c r="SR88">
        <v>0</v>
      </c>
      <c r="SS88">
        <v>0</v>
      </c>
      <c r="ST88">
        <v>0</v>
      </c>
      <c r="SU88">
        <v>0</v>
      </c>
      <c r="SV88">
        <v>0</v>
      </c>
      <c r="SW88">
        <v>0</v>
      </c>
      <c r="SX88">
        <v>0</v>
      </c>
      <c r="SY88">
        <v>0</v>
      </c>
      <c r="SZ88">
        <v>0</v>
      </c>
      <c r="TA88">
        <v>0</v>
      </c>
      <c r="TB88">
        <v>0</v>
      </c>
      <c r="TC88">
        <v>0</v>
      </c>
      <c r="TD88">
        <v>0</v>
      </c>
      <c r="TE88">
        <v>0</v>
      </c>
      <c r="TF88">
        <v>0</v>
      </c>
      <c r="TG88">
        <v>0</v>
      </c>
      <c r="TH88">
        <v>0</v>
      </c>
      <c r="TI88">
        <v>0</v>
      </c>
      <c r="TJ88">
        <v>0</v>
      </c>
      <c r="TK88">
        <v>0</v>
      </c>
      <c r="TL88">
        <v>0</v>
      </c>
      <c r="TM88">
        <v>0</v>
      </c>
      <c r="TN88">
        <v>0</v>
      </c>
      <c r="TO88">
        <v>0</v>
      </c>
      <c r="TP88">
        <v>0</v>
      </c>
      <c r="TQ88">
        <v>0</v>
      </c>
      <c r="TR88">
        <v>0</v>
      </c>
      <c r="TS88">
        <v>0</v>
      </c>
      <c r="TT88">
        <v>0</v>
      </c>
      <c r="TU88">
        <v>0</v>
      </c>
      <c r="TV88">
        <v>0</v>
      </c>
      <c r="TW88">
        <v>0</v>
      </c>
      <c r="TX88">
        <v>0</v>
      </c>
      <c r="TY88">
        <v>0</v>
      </c>
      <c r="TZ88">
        <v>0</v>
      </c>
      <c r="UA88">
        <v>0</v>
      </c>
      <c r="UB88">
        <v>0</v>
      </c>
      <c r="UC88">
        <v>0</v>
      </c>
      <c r="UD88">
        <v>0</v>
      </c>
      <c r="UE88">
        <v>0</v>
      </c>
      <c r="UF88">
        <v>0</v>
      </c>
      <c r="UG88">
        <v>0</v>
      </c>
      <c r="UH88">
        <v>0</v>
      </c>
      <c r="UI88">
        <v>0</v>
      </c>
      <c r="UJ88">
        <v>0</v>
      </c>
      <c r="UK88">
        <v>0</v>
      </c>
      <c r="UL88">
        <v>0</v>
      </c>
      <c r="UM88">
        <v>0</v>
      </c>
      <c r="UN88">
        <v>0</v>
      </c>
      <c r="UO88">
        <v>0</v>
      </c>
      <c r="UP88">
        <v>0</v>
      </c>
      <c r="UQ88">
        <v>0</v>
      </c>
      <c r="UR88">
        <v>0</v>
      </c>
      <c r="US88">
        <v>0</v>
      </c>
      <c r="UT88">
        <v>0</v>
      </c>
      <c r="UU88">
        <v>0</v>
      </c>
      <c r="UV88">
        <v>-1000</v>
      </c>
      <c r="UW88">
        <v>0</v>
      </c>
      <c r="UX88">
        <v>0</v>
      </c>
      <c r="UY88">
        <v>0</v>
      </c>
      <c r="UZ88">
        <v>0</v>
      </c>
      <c r="VA88">
        <v>0</v>
      </c>
      <c r="VB88">
        <v>0</v>
      </c>
      <c r="VC88">
        <v>0</v>
      </c>
      <c r="VD88">
        <v>0</v>
      </c>
      <c r="VE88">
        <v>0</v>
      </c>
      <c r="VF88">
        <v>0</v>
      </c>
      <c r="VG88">
        <v>0</v>
      </c>
      <c r="VH88">
        <v>0</v>
      </c>
      <c r="VI88">
        <v>0</v>
      </c>
      <c r="VJ88">
        <v>0</v>
      </c>
      <c r="VK88">
        <v>0</v>
      </c>
      <c r="VL88">
        <v>0</v>
      </c>
      <c r="VM88">
        <v>0</v>
      </c>
      <c r="VN88">
        <v>0</v>
      </c>
      <c r="VO88">
        <v>0</v>
      </c>
      <c r="VP88">
        <v>0</v>
      </c>
      <c r="VQ88">
        <v>0</v>
      </c>
      <c r="VR88">
        <v>0</v>
      </c>
      <c r="VS88">
        <v>0</v>
      </c>
      <c r="VT88">
        <v>0</v>
      </c>
      <c r="VU88">
        <v>0</v>
      </c>
      <c r="VV88">
        <v>0</v>
      </c>
      <c r="VW88">
        <v>0</v>
      </c>
      <c r="VX88">
        <v>0</v>
      </c>
      <c r="VY88">
        <v>0</v>
      </c>
      <c r="VZ88">
        <v>0</v>
      </c>
      <c r="WA88">
        <v>0</v>
      </c>
      <c r="WB88">
        <v>0</v>
      </c>
      <c r="WC88">
        <v>0</v>
      </c>
      <c r="WD88">
        <v>0</v>
      </c>
      <c r="WE88">
        <v>0</v>
      </c>
      <c r="WF88">
        <v>0</v>
      </c>
      <c r="WG88">
        <v>0</v>
      </c>
      <c r="WH88">
        <v>0</v>
      </c>
      <c r="WI88">
        <v>0</v>
      </c>
      <c r="WJ88">
        <v>0</v>
      </c>
      <c r="WK88">
        <v>0</v>
      </c>
      <c r="WL88">
        <v>0</v>
      </c>
      <c r="WM88">
        <v>0</v>
      </c>
      <c r="WN88">
        <v>0</v>
      </c>
      <c r="WO88">
        <v>0</v>
      </c>
      <c r="WP88">
        <v>0</v>
      </c>
      <c r="WQ88">
        <v>0</v>
      </c>
      <c r="WR88">
        <v>0</v>
      </c>
      <c r="WS88">
        <v>0</v>
      </c>
      <c r="WT88">
        <v>0</v>
      </c>
      <c r="WU88">
        <v>0</v>
      </c>
      <c r="WV88">
        <v>0</v>
      </c>
      <c r="WW88">
        <v>0</v>
      </c>
      <c r="WX88">
        <v>0</v>
      </c>
      <c r="WY88">
        <v>0</v>
      </c>
      <c r="WZ88">
        <v>0</v>
      </c>
      <c r="XA88">
        <v>0</v>
      </c>
      <c r="XB88">
        <v>0</v>
      </c>
      <c r="XC88">
        <v>0</v>
      </c>
      <c r="XD88">
        <v>0</v>
      </c>
      <c r="XE88">
        <v>0</v>
      </c>
      <c r="XF88">
        <v>0</v>
      </c>
      <c r="XG88">
        <v>0</v>
      </c>
      <c r="XH88">
        <v>0</v>
      </c>
      <c r="XI88">
        <v>0</v>
      </c>
      <c r="XJ88">
        <v>0</v>
      </c>
      <c r="XK88">
        <v>0</v>
      </c>
      <c r="XL88">
        <v>0</v>
      </c>
      <c r="XM88">
        <v>0</v>
      </c>
      <c r="XN88">
        <v>0</v>
      </c>
      <c r="XO88">
        <v>0</v>
      </c>
      <c r="XP88">
        <v>0</v>
      </c>
      <c r="XQ88">
        <v>0</v>
      </c>
      <c r="XR88">
        <v>0</v>
      </c>
      <c r="XS88">
        <v>0</v>
      </c>
      <c r="XT88">
        <v>0</v>
      </c>
      <c r="XU88">
        <v>0</v>
      </c>
      <c r="XV88">
        <v>0</v>
      </c>
      <c r="XW88">
        <v>0</v>
      </c>
      <c r="XX88">
        <v>0</v>
      </c>
      <c r="XY88">
        <v>0</v>
      </c>
      <c r="XZ88">
        <v>0</v>
      </c>
      <c r="YA88">
        <v>0</v>
      </c>
      <c r="YB88">
        <v>0</v>
      </c>
      <c r="YC88">
        <v>0</v>
      </c>
      <c r="YD88">
        <v>0</v>
      </c>
      <c r="YE88">
        <v>0</v>
      </c>
      <c r="YF88">
        <v>0</v>
      </c>
      <c r="YG88">
        <v>0</v>
      </c>
      <c r="YH88">
        <v>0</v>
      </c>
      <c r="YI88">
        <v>0</v>
      </c>
      <c r="YJ88">
        <v>0</v>
      </c>
      <c r="YK88">
        <v>0</v>
      </c>
      <c r="YL88">
        <v>0</v>
      </c>
      <c r="YM88">
        <v>0</v>
      </c>
      <c r="YN88">
        <v>-5</v>
      </c>
      <c r="YO88">
        <v>0</v>
      </c>
      <c r="YP88">
        <v>0</v>
      </c>
      <c r="YQ88">
        <v>0</v>
      </c>
      <c r="YR88">
        <v>0</v>
      </c>
      <c r="YS88">
        <v>0</v>
      </c>
      <c r="YT88">
        <v>0</v>
      </c>
      <c r="YU88">
        <v>0</v>
      </c>
      <c r="YV88">
        <v>0</v>
      </c>
      <c r="YW88">
        <v>0</v>
      </c>
      <c r="YX88">
        <v>0</v>
      </c>
      <c r="YY88">
        <v>0</v>
      </c>
      <c r="YZ88">
        <v>0</v>
      </c>
      <c r="ZA88">
        <v>0</v>
      </c>
      <c r="ZB88">
        <v>0</v>
      </c>
      <c r="ZC88">
        <v>0</v>
      </c>
      <c r="ZD88">
        <v>0</v>
      </c>
      <c r="ZE88">
        <v>0</v>
      </c>
      <c r="ZF88">
        <v>0</v>
      </c>
      <c r="ZG88">
        <v>0</v>
      </c>
      <c r="ZH88">
        <v>0</v>
      </c>
      <c r="ZI88">
        <v>0</v>
      </c>
      <c r="ZJ88">
        <v>0</v>
      </c>
      <c r="ZK88">
        <v>0</v>
      </c>
      <c r="ZL88">
        <v>0</v>
      </c>
      <c r="ZM88">
        <v>0</v>
      </c>
      <c r="ZN88">
        <v>0</v>
      </c>
      <c r="ZO88">
        <v>0</v>
      </c>
      <c r="ZP88">
        <v>0</v>
      </c>
      <c r="ZQ88">
        <v>0</v>
      </c>
      <c r="ZR88">
        <v>0</v>
      </c>
      <c r="ZS88">
        <v>0</v>
      </c>
      <c r="ZT88">
        <v>0</v>
      </c>
      <c r="ZU88">
        <v>0</v>
      </c>
      <c r="ZV88">
        <v>0</v>
      </c>
      <c r="ZW88">
        <v>0</v>
      </c>
      <c r="ZX88">
        <v>0</v>
      </c>
      <c r="ZY88">
        <v>0</v>
      </c>
      <c r="ZZ88">
        <v>0</v>
      </c>
      <c r="AAA88">
        <v>0</v>
      </c>
      <c r="AAB88">
        <v>0</v>
      </c>
      <c r="AAC88">
        <v>0</v>
      </c>
      <c r="AAD88">
        <v>0</v>
      </c>
      <c r="AAE88">
        <v>0</v>
      </c>
      <c r="AAF88">
        <v>0</v>
      </c>
      <c r="AAG88">
        <v>0</v>
      </c>
      <c r="AAH88">
        <v>0</v>
      </c>
      <c r="AAI88">
        <v>0</v>
      </c>
      <c r="AAJ88">
        <v>0</v>
      </c>
      <c r="AAK88">
        <v>0</v>
      </c>
      <c r="AAL88">
        <v>0</v>
      </c>
      <c r="AAM88">
        <v>0</v>
      </c>
      <c r="AAN88">
        <v>0</v>
      </c>
      <c r="AAO88">
        <v>0</v>
      </c>
      <c r="AAP88">
        <v>0</v>
      </c>
      <c r="AAQ88">
        <v>0</v>
      </c>
      <c r="AAR88">
        <v>0</v>
      </c>
      <c r="AAS88">
        <v>0</v>
      </c>
      <c r="AAT88">
        <v>0</v>
      </c>
      <c r="AAU88">
        <v>0</v>
      </c>
      <c r="AAV88">
        <v>0</v>
      </c>
      <c r="AAW88">
        <v>0</v>
      </c>
      <c r="AAX88">
        <v>0</v>
      </c>
      <c r="AAY88">
        <v>0</v>
      </c>
      <c r="AAZ88">
        <v>0</v>
      </c>
      <c r="ABA88">
        <v>0</v>
      </c>
      <c r="ABB88">
        <v>0</v>
      </c>
      <c r="ABC88">
        <v>0</v>
      </c>
      <c r="ABD88">
        <v>0</v>
      </c>
      <c r="ABE88">
        <v>0</v>
      </c>
      <c r="ABF88">
        <v>0</v>
      </c>
      <c r="ABG88">
        <v>0</v>
      </c>
      <c r="ABH88">
        <v>0</v>
      </c>
      <c r="ABI88">
        <v>0</v>
      </c>
      <c r="ABJ88">
        <v>0</v>
      </c>
      <c r="ABK88">
        <v>0</v>
      </c>
      <c r="ABL88">
        <v>0</v>
      </c>
      <c r="ABM88">
        <v>0</v>
      </c>
      <c r="ABN88">
        <v>0</v>
      </c>
      <c r="ABO88">
        <v>0</v>
      </c>
      <c r="ABP88">
        <v>0</v>
      </c>
      <c r="ABQ88">
        <v>0</v>
      </c>
      <c r="ABR88">
        <v>0</v>
      </c>
      <c r="ABS88">
        <v>0</v>
      </c>
      <c r="ABT88">
        <v>0</v>
      </c>
      <c r="ABU88">
        <v>0</v>
      </c>
      <c r="ABV88">
        <v>0</v>
      </c>
      <c r="ABW88">
        <v>0</v>
      </c>
      <c r="ABX88">
        <v>0</v>
      </c>
      <c r="ABY88">
        <v>0</v>
      </c>
      <c r="ABZ88">
        <v>0</v>
      </c>
      <c r="ACA88">
        <v>0</v>
      </c>
      <c r="ACB88">
        <v>0</v>
      </c>
      <c r="ACC88">
        <v>0</v>
      </c>
      <c r="ACD88">
        <v>0</v>
      </c>
      <c r="ACE88">
        <v>0</v>
      </c>
      <c r="ACF88">
        <v>-256.16438356164383</v>
      </c>
      <c r="ACG88">
        <v>0</v>
      </c>
      <c r="ACH88">
        <v>0</v>
      </c>
      <c r="ACI88">
        <v>0</v>
      </c>
      <c r="ACJ88">
        <v>0</v>
      </c>
      <c r="ACK88">
        <v>0</v>
      </c>
      <c r="ACL88">
        <v>0</v>
      </c>
      <c r="ACM88">
        <v>0</v>
      </c>
      <c r="ACN88">
        <v>0</v>
      </c>
      <c r="ACO88">
        <v>0</v>
      </c>
      <c r="ACP88">
        <v>0</v>
      </c>
      <c r="ACQ88">
        <v>0</v>
      </c>
      <c r="ACR88">
        <v>0</v>
      </c>
      <c r="ACS88">
        <v>0</v>
      </c>
      <c r="ACT88">
        <v>0</v>
      </c>
      <c r="ACU88">
        <v>0</v>
      </c>
      <c r="ACV88">
        <v>0</v>
      </c>
      <c r="ACW88">
        <v>0</v>
      </c>
      <c r="ACX88">
        <v>0</v>
      </c>
      <c r="ACY88">
        <v>0</v>
      </c>
      <c r="ACZ88">
        <v>0</v>
      </c>
      <c r="ADA88">
        <v>0</v>
      </c>
      <c r="ADB88">
        <v>0</v>
      </c>
      <c r="ADC88">
        <v>0</v>
      </c>
      <c r="ADD88">
        <v>0</v>
      </c>
      <c r="ADE88">
        <v>0</v>
      </c>
      <c r="ADF88">
        <v>0</v>
      </c>
      <c r="ADG88">
        <v>0</v>
      </c>
      <c r="ADH88">
        <v>0</v>
      </c>
      <c r="ADI88">
        <v>0</v>
      </c>
      <c r="ADJ88">
        <v>0</v>
      </c>
      <c r="ADK88">
        <v>0</v>
      </c>
      <c r="ADL88">
        <v>0</v>
      </c>
      <c r="ADM88">
        <v>0</v>
      </c>
      <c r="ADN88">
        <v>0</v>
      </c>
      <c r="ADO88">
        <v>0</v>
      </c>
      <c r="ADP88">
        <v>0</v>
      </c>
      <c r="ADQ88">
        <v>0</v>
      </c>
      <c r="ADR88">
        <v>0</v>
      </c>
      <c r="ADS88">
        <v>0</v>
      </c>
      <c r="ADT88">
        <v>0</v>
      </c>
      <c r="ADU88">
        <v>0</v>
      </c>
      <c r="ADV88">
        <v>0</v>
      </c>
      <c r="ADW88">
        <v>0</v>
      </c>
      <c r="ADX88">
        <v>0</v>
      </c>
      <c r="ADY88">
        <v>0</v>
      </c>
      <c r="ADZ88">
        <v>0</v>
      </c>
      <c r="AEA88">
        <v>0</v>
      </c>
      <c r="AEB88">
        <v>0</v>
      </c>
      <c r="AEC88">
        <v>0</v>
      </c>
      <c r="AED88">
        <v>0</v>
      </c>
      <c r="AEE88">
        <v>0</v>
      </c>
      <c r="AEF88">
        <v>0</v>
      </c>
      <c r="AEG88">
        <v>0</v>
      </c>
      <c r="AEH88">
        <v>0</v>
      </c>
      <c r="AEI88">
        <v>0</v>
      </c>
      <c r="AEJ88">
        <v>0</v>
      </c>
      <c r="AEK88">
        <v>0</v>
      </c>
      <c r="AEL88">
        <v>0</v>
      </c>
      <c r="AEM88">
        <v>0</v>
      </c>
      <c r="AEN88">
        <v>0</v>
      </c>
      <c r="AEO88">
        <v>0</v>
      </c>
      <c r="AEP88">
        <v>0</v>
      </c>
      <c r="AEQ88">
        <v>0</v>
      </c>
      <c r="AER88">
        <v>0</v>
      </c>
      <c r="AES88">
        <v>0</v>
      </c>
      <c r="AET88">
        <v>0</v>
      </c>
      <c r="AEU88">
        <v>0</v>
      </c>
      <c r="AEV88">
        <v>0</v>
      </c>
      <c r="AEW88">
        <v>0</v>
      </c>
      <c r="AEX88">
        <v>0</v>
      </c>
      <c r="AEY88">
        <v>0</v>
      </c>
      <c r="AEZ88">
        <v>0</v>
      </c>
      <c r="AFA88">
        <v>0</v>
      </c>
      <c r="AFB88">
        <v>0</v>
      </c>
      <c r="AFC88">
        <v>0</v>
      </c>
      <c r="AFD88">
        <v>0</v>
      </c>
      <c r="AFE88">
        <v>0</v>
      </c>
      <c r="AFF88">
        <v>0</v>
      </c>
      <c r="AFG88">
        <v>0</v>
      </c>
      <c r="AFH88">
        <v>0</v>
      </c>
      <c r="AFI88">
        <v>0</v>
      </c>
      <c r="AFJ88">
        <v>0</v>
      </c>
      <c r="AFK88">
        <v>0</v>
      </c>
      <c r="AFL88">
        <v>0</v>
      </c>
      <c r="AFM88">
        <v>0</v>
      </c>
      <c r="AFN88">
        <v>0</v>
      </c>
      <c r="AFO88">
        <v>0</v>
      </c>
      <c r="AFP88">
        <v>0</v>
      </c>
      <c r="AFQ88">
        <v>0</v>
      </c>
      <c r="AFR88">
        <v>0</v>
      </c>
      <c r="AFS88">
        <v>0</v>
      </c>
      <c r="AFT88">
        <v>0</v>
      </c>
      <c r="AFU88">
        <v>0</v>
      </c>
      <c r="AFV88">
        <v>0</v>
      </c>
      <c r="AFW88">
        <v>0</v>
      </c>
      <c r="AFX88">
        <v>-120</v>
      </c>
      <c r="AFY88">
        <v>0</v>
      </c>
      <c r="AFZ88">
        <v>0</v>
      </c>
      <c r="AGA88">
        <v>0</v>
      </c>
      <c r="AGB88">
        <v>0</v>
      </c>
      <c r="AGC88">
        <v>0</v>
      </c>
      <c r="AGD88">
        <v>0</v>
      </c>
      <c r="AGE88">
        <v>0</v>
      </c>
      <c r="AGF88">
        <v>0</v>
      </c>
      <c r="AGG88">
        <v>0</v>
      </c>
      <c r="AGH88">
        <v>0</v>
      </c>
      <c r="AGI88">
        <v>0</v>
      </c>
      <c r="AGJ88">
        <v>0</v>
      </c>
      <c r="AGK88">
        <v>0</v>
      </c>
      <c r="AGL88">
        <v>0</v>
      </c>
      <c r="AGM88">
        <v>0</v>
      </c>
      <c r="AGN88">
        <v>0</v>
      </c>
      <c r="AGO88">
        <v>0</v>
      </c>
      <c r="AGP88">
        <v>0</v>
      </c>
      <c r="AGQ88">
        <v>0</v>
      </c>
      <c r="AGR88">
        <v>0</v>
      </c>
      <c r="AGS88">
        <v>0</v>
      </c>
      <c r="AGT88">
        <v>0</v>
      </c>
      <c r="AGU88">
        <v>0</v>
      </c>
      <c r="AGV88">
        <v>0</v>
      </c>
      <c r="AGW88">
        <v>0</v>
      </c>
      <c r="AGX88">
        <v>0</v>
      </c>
      <c r="AGY88">
        <v>0</v>
      </c>
      <c r="AGZ88">
        <v>0</v>
      </c>
      <c r="AHA88">
        <v>0</v>
      </c>
      <c r="AHB88">
        <v>0</v>
      </c>
      <c r="AHC88">
        <v>0</v>
      </c>
      <c r="AHD88">
        <v>0</v>
      </c>
      <c r="AHE88">
        <v>0</v>
      </c>
      <c r="AHF88">
        <v>0</v>
      </c>
      <c r="AHG88">
        <v>0</v>
      </c>
      <c r="AHH88">
        <v>0</v>
      </c>
      <c r="AHI88">
        <v>0</v>
      </c>
      <c r="AHJ88">
        <v>0</v>
      </c>
      <c r="AHK88">
        <v>0</v>
      </c>
      <c r="AHL88">
        <v>0</v>
      </c>
      <c r="AHM88">
        <v>0</v>
      </c>
      <c r="AHN88">
        <v>0</v>
      </c>
      <c r="AHO88">
        <v>0</v>
      </c>
      <c r="AHP88">
        <v>0</v>
      </c>
      <c r="AHQ88">
        <v>0</v>
      </c>
      <c r="AHR88">
        <v>0</v>
      </c>
      <c r="AHS88">
        <v>0</v>
      </c>
      <c r="AHT88">
        <v>0</v>
      </c>
      <c r="AHU88">
        <v>0</v>
      </c>
      <c r="AHV88">
        <v>0</v>
      </c>
      <c r="AHW88">
        <v>0</v>
      </c>
      <c r="AHX88">
        <v>0</v>
      </c>
      <c r="AHY88">
        <v>0</v>
      </c>
      <c r="AHZ88">
        <v>0</v>
      </c>
      <c r="AIA88">
        <v>0</v>
      </c>
      <c r="AIB88">
        <v>0</v>
      </c>
      <c r="AIC88">
        <v>0</v>
      </c>
      <c r="AID88">
        <v>0</v>
      </c>
      <c r="AIE88">
        <v>0</v>
      </c>
      <c r="AIF88">
        <v>0</v>
      </c>
      <c r="AIG88">
        <v>0</v>
      </c>
      <c r="AIH88">
        <v>0</v>
      </c>
      <c r="AII88">
        <v>0</v>
      </c>
      <c r="AIJ88">
        <v>0</v>
      </c>
      <c r="AIK88">
        <v>0</v>
      </c>
      <c r="AIL88">
        <v>0</v>
      </c>
      <c r="AIM88">
        <v>0</v>
      </c>
      <c r="AIN88">
        <v>0</v>
      </c>
      <c r="AIO88">
        <v>0</v>
      </c>
      <c r="AIP88">
        <v>0</v>
      </c>
      <c r="AIQ88">
        <v>0</v>
      </c>
      <c r="AIR88">
        <v>0</v>
      </c>
      <c r="AIS88">
        <v>0</v>
      </c>
      <c r="AIT88">
        <v>0</v>
      </c>
      <c r="AIU88">
        <v>0</v>
      </c>
      <c r="AIV88">
        <v>0</v>
      </c>
      <c r="AIW88">
        <v>0</v>
      </c>
      <c r="AIX88">
        <v>0</v>
      </c>
      <c r="AIY88">
        <v>0</v>
      </c>
      <c r="AIZ88">
        <v>0</v>
      </c>
      <c r="AJA88">
        <v>0</v>
      </c>
      <c r="AJB88">
        <v>0</v>
      </c>
      <c r="AJC88">
        <v>0</v>
      </c>
      <c r="AJD88">
        <v>0</v>
      </c>
      <c r="AJE88">
        <v>0</v>
      </c>
      <c r="AJF88">
        <v>0</v>
      </c>
      <c r="AJG88">
        <v>0</v>
      </c>
      <c r="AJH88">
        <v>0</v>
      </c>
      <c r="AJI88">
        <v>0</v>
      </c>
      <c r="AJJ88">
        <v>0</v>
      </c>
      <c r="AJK88">
        <v>0</v>
      </c>
      <c r="AJL88">
        <v>0</v>
      </c>
      <c r="AJM88">
        <v>0</v>
      </c>
      <c r="AJN88">
        <v>0</v>
      </c>
      <c r="AJO88">
        <v>0</v>
      </c>
      <c r="AJP88">
        <v>-4500</v>
      </c>
      <c r="AJQ88">
        <v>0</v>
      </c>
      <c r="AJR88">
        <v>0</v>
      </c>
      <c r="AJS88">
        <v>0</v>
      </c>
      <c r="AJT88">
        <v>0</v>
      </c>
      <c r="AJU88">
        <v>0</v>
      </c>
      <c r="AJV88">
        <v>0</v>
      </c>
      <c r="AJW88">
        <v>0</v>
      </c>
      <c r="AJX88">
        <v>0</v>
      </c>
      <c r="AJY88">
        <v>0</v>
      </c>
    </row>
    <row r="89" spans="1:961" x14ac:dyDescent="0.3">
      <c r="A89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10000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5000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  <c r="KP89">
        <v>0</v>
      </c>
      <c r="KQ89">
        <v>0</v>
      </c>
      <c r="KR89">
        <v>0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0</v>
      </c>
      <c r="LF89">
        <v>0</v>
      </c>
      <c r="LG89">
        <v>0</v>
      </c>
      <c r="LH89">
        <v>0</v>
      </c>
      <c r="LI89">
        <v>0</v>
      </c>
      <c r="LJ89">
        <v>0</v>
      </c>
      <c r="LK89">
        <v>0</v>
      </c>
      <c r="LL89">
        <v>0</v>
      </c>
      <c r="LM89">
        <v>0</v>
      </c>
      <c r="LN89">
        <v>0</v>
      </c>
      <c r="LO89">
        <v>0</v>
      </c>
      <c r="LP89">
        <v>0</v>
      </c>
      <c r="LQ89">
        <v>0</v>
      </c>
      <c r="LR89">
        <v>0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0</v>
      </c>
      <c r="ME89">
        <v>0</v>
      </c>
      <c r="MF89">
        <v>0</v>
      </c>
      <c r="MG89">
        <v>0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0</v>
      </c>
      <c r="NM89">
        <v>0</v>
      </c>
      <c r="NN89">
        <v>0</v>
      </c>
      <c r="NO89">
        <v>0</v>
      </c>
      <c r="NP89">
        <v>0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0</v>
      </c>
      <c r="OO89">
        <v>0</v>
      </c>
      <c r="OP89">
        <v>0</v>
      </c>
      <c r="OQ89">
        <v>0</v>
      </c>
      <c r="OR89">
        <v>0</v>
      </c>
      <c r="OS89">
        <v>0</v>
      </c>
      <c r="OT89">
        <v>0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0</v>
      </c>
      <c r="PE89">
        <v>0</v>
      </c>
      <c r="PF89">
        <v>0</v>
      </c>
      <c r="PG89">
        <v>0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0</v>
      </c>
      <c r="PO89">
        <v>0</v>
      </c>
      <c r="PP89">
        <v>0</v>
      </c>
      <c r="PQ89">
        <v>0</v>
      </c>
      <c r="PR89">
        <v>0</v>
      </c>
      <c r="PS89">
        <v>0</v>
      </c>
      <c r="PT89">
        <v>0</v>
      </c>
      <c r="PU89">
        <v>0</v>
      </c>
      <c r="PV89">
        <v>0</v>
      </c>
      <c r="PW89">
        <v>0</v>
      </c>
      <c r="PX89">
        <v>0</v>
      </c>
      <c r="PY89">
        <v>0</v>
      </c>
      <c r="PZ89">
        <v>0</v>
      </c>
      <c r="QA89">
        <v>0</v>
      </c>
      <c r="QB89">
        <v>0</v>
      </c>
      <c r="QC89">
        <v>0</v>
      </c>
      <c r="QD89">
        <v>0</v>
      </c>
      <c r="QE89">
        <v>0</v>
      </c>
      <c r="QF89">
        <v>0</v>
      </c>
      <c r="QG89">
        <v>0</v>
      </c>
      <c r="QH89">
        <v>0</v>
      </c>
      <c r="QI89">
        <v>0</v>
      </c>
      <c r="QJ89">
        <v>0</v>
      </c>
      <c r="QK89">
        <v>0</v>
      </c>
      <c r="QL89">
        <v>0</v>
      </c>
      <c r="QM89">
        <v>0</v>
      </c>
      <c r="QN89">
        <v>0</v>
      </c>
      <c r="QO89">
        <v>0</v>
      </c>
      <c r="QP89">
        <v>0</v>
      </c>
      <c r="QQ89">
        <v>0</v>
      </c>
      <c r="QR89">
        <v>0</v>
      </c>
      <c r="QS89">
        <v>0</v>
      </c>
      <c r="QT89">
        <v>0</v>
      </c>
      <c r="QU89">
        <v>0</v>
      </c>
      <c r="QV89">
        <v>0</v>
      </c>
      <c r="QW89">
        <v>0</v>
      </c>
      <c r="QX89">
        <v>0</v>
      </c>
      <c r="QY89">
        <v>0</v>
      </c>
      <c r="QZ89">
        <v>0</v>
      </c>
      <c r="RA89">
        <v>0</v>
      </c>
      <c r="RB89">
        <v>0</v>
      </c>
      <c r="RC89">
        <v>0</v>
      </c>
      <c r="RD89">
        <v>0</v>
      </c>
      <c r="RE89">
        <v>-150</v>
      </c>
      <c r="RF89">
        <v>0</v>
      </c>
      <c r="RG89">
        <v>0</v>
      </c>
      <c r="RH89">
        <v>0</v>
      </c>
      <c r="RI89">
        <v>0</v>
      </c>
      <c r="RJ89">
        <v>0</v>
      </c>
      <c r="RK89">
        <v>0</v>
      </c>
      <c r="RL89">
        <v>0</v>
      </c>
      <c r="RM89">
        <v>0</v>
      </c>
      <c r="RN89">
        <v>0</v>
      </c>
      <c r="RO89">
        <v>0</v>
      </c>
      <c r="RP89">
        <v>0</v>
      </c>
      <c r="RQ89">
        <v>0</v>
      </c>
      <c r="RR89">
        <v>0</v>
      </c>
      <c r="RS89">
        <v>0</v>
      </c>
      <c r="RT89">
        <v>0</v>
      </c>
      <c r="RU89">
        <v>0</v>
      </c>
      <c r="RV89">
        <v>0</v>
      </c>
      <c r="RW89">
        <v>0</v>
      </c>
      <c r="RX89">
        <v>0</v>
      </c>
      <c r="RY89">
        <v>0</v>
      </c>
      <c r="RZ89">
        <v>0</v>
      </c>
      <c r="SA89">
        <v>0</v>
      </c>
      <c r="SB89">
        <v>0</v>
      </c>
      <c r="SC89">
        <v>0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</v>
      </c>
      <c r="SJ89">
        <v>0</v>
      </c>
      <c r="SK89">
        <v>0</v>
      </c>
      <c r="SL89">
        <v>0</v>
      </c>
      <c r="SM89">
        <v>0</v>
      </c>
      <c r="SN89">
        <v>0</v>
      </c>
      <c r="SO89">
        <v>0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0</v>
      </c>
      <c r="SV89">
        <v>0</v>
      </c>
      <c r="SW89">
        <v>0</v>
      </c>
      <c r="SX89">
        <v>0</v>
      </c>
      <c r="SY89">
        <v>0</v>
      </c>
      <c r="SZ89">
        <v>0</v>
      </c>
      <c r="TA89">
        <v>0</v>
      </c>
      <c r="TB89">
        <v>0</v>
      </c>
      <c r="TC89">
        <v>0</v>
      </c>
      <c r="TD89">
        <v>0</v>
      </c>
      <c r="TE89">
        <v>0</v>
      </c>
      <c r="TF89">
        <v>0</v>
      </c>
      <c r="TG89">
        <v>0</v>
      </c>
      <c r="TH89">
        <v>0</v>
      </c>
      <c r="TI89">
        <v>0</v>
      </c>
      <c r="TJ89">
        <v>0</v>
      </c>
      <c r="TK89">
        <v>0</v>
      </c>
      <c r="TL89">
        <v>0</v>
      </c>
      <c r="TM89">
        <v>0</v>
      </c>
      <c r="TN89">
        <v>0</v>
      </c>
      <c r="TO89">
        <v>0</v>
      </c>
      <c r="TP89">
        <v>0</v>
      </c>
      <c r="TQ89">
        <v>0</v>
      </c>
      <c r="TR89">
        <v>0</v>
      </c>
      <c r="TS89">
        <v>0</v>
      </c>
      <c r="TT89">
        <v>0</v>
      </c>
      <c r="TU89">
        <v>0</v>
      </c>
      <c r="TV89">
        <v>0</v>
      </c>
      <c r="TW89">
        <v>0</v>
      </c>
      <c r="TX89">
        <v>0</v>
      </c>
      <c r="TY89">
        <v>0</v>
      </c>
      <c r="TZ89">
        <v>0</v>
      </c>
      <c r="UA89">
        <v>0</v>
      </c>
      <c r="UB89">
        <v>0</v>
      </c>
      <c r="UC89">
        <v>0</v>
      </c>
      <c r="UD89">
        <v>0</v>
      </c>
      <c r="UE89">
        <v>0</v>
      </c>
      <c r="UF89">
        <v>0</v>
      </c>
      <c r="UG89">
        <v>0</v>
      </c>
      <c r="UH89">
        <v>0</v>
      </c>
      <c r="UI89">
        <v>0</v>
      </c>
      <c r="UJ89">
        <v>0</v>
      </c>
      <c r="UK89">
        <v>0</v>
      </c>
      <c r="UL89">
        <v>0</v>
      </c>
      <c r="UM89">
        <v>0</v>
      </c>
      <c r="UN89">
        <v>0</v>
      </c>
      <c r="UO89">
        <v>0</v>
      </c>
      <c r="UP89">
        <v>0</v>
      </c>
      <c r="UQ89">
        <v>0</v>
      </c>
      <c r="UR89">
        <v>0</v>
      </c>
      <c r="US89">
        <v>0</v>
      </c>
      <c r="UT89">
        <v>0</v>
      </c>
      <c r="UU89">
        <v>0</v>
      </c>
      <c r="UV89">
        <v>0</v>
      </c>
      <c r="UW89">
        <v>-1000</v>
      </c>
      <c r="UX89">
        <v>0</v>
      </c>
      <c r="UY89">
        <v>0</v>
      </c>
      <c r="UZ89">
        <v>0</v>
      </c>
      <c r="VA89">
        <v>0</v>
      </c>
      <c r="VB89">
        <v>0</v>
      </c>
      <c r="VC89">
        <v>0</v>
      </c>
      <c r="VD89">
        <v>0</v>
      </c>
      <c r="VE89">
        <v>0</v>
      </c>
      <c r="VF89">
        <v>0</v>
      </c>
      <c r="VG89">
        <v>0</v>
      </c>
      <c r="VH89">
        <v>0</v>
      </c>
      <c r="VI89">
        <v>0</v>
      </c>
      <c r="VJ89">
        <v>0</v>
      </c>
      <c r="VK89">
        <v>0</v>
      </c>
      <c r="VL89">
        <v>0</v>
      </c>
      <c r="VM89">
        <v>0</v>
      </c>
      <c r="VN89">
        <v>0</v>
      </c>
      <c r="VO89">
        <v>0</v>
      </c>
      <c r="VP89">
        <v>0</v>
      </c>
      <c r="VQ89">
        <v>0</v>
      </c>
      <c r="VR89">
        <v>0</v>
      </c>
      <c r="VS89">
        <v>0</v>
      </c>
      <c r="VT89">
        <v>0</v>
      </c>
      <c r="VU89">
        <v>0</v>
      </c>
      <c r="VV89">
        <v>0</v>
      </c>
      <c r="VW89">
        <v>0</v>
      </c>
      <c r="VX89">
        <v>0</v>
      </c>
      <c r="VY89">
        <v>0</v>
      </c>
      <c r="VZ89">
        <v>0</v>
      </c>
      <c r="WA89">
        <v>0</v>
      </c>
      <c r="WB89">
        <v>0</v>
      </c>
      <c r="WC89">
        <v>0</v>
      </c>
      <c r="WD89">
        <v>0</v>
      </c>
      <c r="WE89">
        <v>0</v>
      </c>
      <c r="WF89">
        <v>0</v>
      </c>
      <c r="WG89">
        <v>0</v>
      </c>
      <c r="WH89">
        <v>0</v>
      </c>
      <c r="WI89">
        <v>0</v>
      </c>
      <c r="WJ89">
        <v>0</v>
      </c>
      <c r="WK89">
        <v>0</v>
      </c>
      <c r="WL89">
        <v>0</v>
      </c>
      <c r="WM89">
        <v>0</v>
      </c>
      <c r="WN89">
        <v>0</v>
      </c>
      <c r="WO89">
        <v>0</v>
      </c>
      <c r="WP89">
        <v>0</v>
      </c>
      <c r="WQ89">
        <v>0</v>
      </c>
      <c r="WR89">
        <v>0</v>
      </c>
      <c r="WS89">
        <v>0</v>
      </c>
      <c r="WT89">
        <v>0</v>
      </c>
      <c r="WU89">
        <v>0</v>
      </c>
      <c r="WV89">
        <v>0</v>
      </c>
      <c r="WW89">
        <v>0</v>
      </c>
      <c r="WX89">
        <v>0</v>
      </c>
      <c r="WY89">
        <v>0</v>
      </c>
      <c r="WZ89">
        <v>0</v>
      </c>
      <c r="XA89">
        <v>0</v>
      </c>
      <c r="XB89">
        <v>0</v>
      </c>
      <c r="XC89">
        <v>0</v>
      </c>
      <c r="XD89">
        <v>0</v>
      </c>
      <c r="XE89">
        <v>0</v>
      </c>
      <c r="XF89">
        <v>0</v>
      </c>
      <c r="XG89">
        <v>0</v>
      </c>
      <c r="XH89">
        <v>0</v>
      </c>
      <c r="XI89">
        <v>0</v>
      </c>
      <c r="XJ89">
        <v>0</v>
      </c>
      <c r="XK89">
        <v>0</v>
      </c>
      <c r="XL89">
        <v>0</v>
      </c>
      <c r="XM89">
        <v>0</v>
      </c>
      <c r="XN89">
        <v>0</v>
      </c>
      <c r="XO89">
        <v>0</v>
      </c>
      <c r="XP89">
        <v>0</v>
      </c>
      <c r="XQ89">
        <v>0</v>
      </c>
      <c r="XR89">
        <v>0</v>
      </c>
      <c r="XS89">
        <v>0</v>
      </c>
      <c r="XT89">
        <v>0</v>
      </c>
      <c r="XU89">
        <v>0</v>
      </c>
      <c r="XV89">
        <v>0</v>
      </c>
      <c r="XW89">
        <v>0</v>
      </c>
      <c r="XX89">
        <v>0</v>
      </c>
      <c r="XY89">
        <v>0</v>
      </c>
      <c r="XZ89">
        <v>0</v>
      </c>
      <c r="YA89">
        <v>0</v>
      </c>
      <c r="YB89">
        <v>0</v>
      </c>
      <c r="YC89">
        <v>0</v>
      </c>
      <c r="YD89">
        <v>0</v>
      </c>
      <c r="YE89">
        <v>0</v>
      </c>
      <c r="YF89">
        <v>0</v>
      </c>
      <c r="YG89">
        <v>0</v>
      </c>
      <c r="YH89">
        <v>0</v>
      </c>
      <c r="YI89">
        <v>0</v>
      </c>
      <c r="YJ89">
        <v>0</v>
      </c>
      <c r="YK89">
        <v>0</v>
      </c>
      <c r="YL89">
        <v>0</v>
      </c>
      <c r="YM89">
        <v>0</v>
      </c>
      <c r="YN89">
        <v>0</v>
      </c>
      <c r="YO89">
        <v>-5</v>
      </c>
      <c r="YP89">
        <v>0</v>
      </c>
      <c r="YQ89">
        <v>0</v>
      </c>
      <c r="YR89">
        <v>0</v>
      </c>
      <c r="YS89">
        <v>0</v>
      </c>
      <c r="YT89">
        <v>0</v>
      </c>
      <c r="YU89">
        <v>0</v>
      </c>
      <c r="YV89">
        <v>0</v>
      </c>
      <c r="YW89">
        <v>0</v>
      </c>
      <c r="YX89">
        <v>0</v>
      </c>
      <c r="YY89">
        <v>0</v>
      </c>
      <c r="YZ89">
        <v>0</v>
      </c>
      <c r="ZA89">
        <v>0</v>
      </c>
      <c r="ZB89">
        <v>0</v>
      </c>
      <c r="ZC89">
        <v>0</v>
      </c>
      <c r="ZD89">
        <v>0</v>
      </c>
      <c r="ZE89">
        <v>0</v>
      </c>
      <c r="ZF89">
        <v>0</v>
      </c>
      <c r="ZG89">
        <v>0</v>
      </c>
      <c r="ZH89">
        <v>0</v>
      </c>
      <c r="ZI89">
        <v>0</v>
      </c>
      <c r="ZJ89">
        <v>0</v>
      </c>
      <c r="ZK89">
        <v>0</v>
      </c>
      <c r="ZL89">
        <v>0</v>
      </c>
      <c r="ZM89">
        <v>0</v>
      </c>
      <c r="ZN89">
        <v>0</v>
      </c>
      <c r="ZO89">
        <v>0</v>
      </c>
      <c r="ZP89">
        <v>0</v>
      </c>
      <c r="ZQ89">
        <v>0</v>
      </c>
      <c r="ZR89">
        <v>0</v>
      </c>
      <c r="ZS89">
        <v>0</v>
      </c>
      <c r="ZT89">
        <v>0</v>
      </c>
      <c r="ZU89">
        <v>0</v>
      </c>
      <c r="ZV89">
        <v>0</v>
      </c>
      <c r="ZW89">
        <v>0</v>
      </c>
      <c r="ZX89">
        <v>0</v>
      </c>
      <c r="ZY89">
        <v>0</v>
      </c>
      <c r="ZZ89">
        <v>0</v>
      </c>
      <c r="AAA89">
        <v>0</v>
      </c>
      <c r="AAB89">
        <v>0</v>
      </c>
      <c r="AAC89">
        <v>0</v>
      </c>
      <c r="AAD89">
        <v>0</v>
      </c>
      <c r="AAE89">
        <v>0</v>
      </c>
      <c r="AAF89">
        <v>0</v>
      </c>
      <c r="AAG89">
        <v>0</v>
      </c>
      <c r="AAH89">
        <v>0</v>
      </c>
      <c r="AAI89">
        <v>0</v>
      </c>
      <c r="AAJ89">
        <v>0</v>
      </c>
      <c r="AAK89">
        <v>0</v>
      </c>
      <c r="AAL89">
        <v>0</v>
      </c>
      <c r="AAM89">
        <v>0</v>
      </c>
      <c r="AAN89">
        <v>0</v>
      </c>
      <c r="AAO89">
        <v>0</v>
      </c>
      <c r="AAP89">
        <v>0</v>
      </c>
      <c r="AAQ89">
        <v>0</v>
      </c>
      <c r="AAR89">
        <v>0</v>
      </c>
      <c r="AAS89">
        <v>0</v>
      </c>
      <c r="AAT89">
        <v>0</v>
      </c>
      <c r="AAU89">
        <v>0</v>
      </c>
      <c r="AAV89">
        <v>0</v>
      </c>
      <c r="AAW89">
        <v>0</v>
      </c>
      <c r="AAX89">
        <v>0</v>
      </c>
      <c r="AAY89">
        <v>0</v>
      </c>
      <c r="AAZ89">
        <v>0</v>
      </c>
      <c r="ABA89">
        <v>0</v>
      </c>
      <c r="ABB89">
        <v>0</v>
      </c>
      <c r="ABC89">
        <v>0</v>
      </c>
      <c r="ABD89">
        <v>0</v>
      </c>
      <c r="ABE89">
        <v>0</v>
      </c>
      <c r="ABF89">
        <v>0</v>
      </c>
      <c r="ABG89">
        <v>0</v>
      </c>
      <c r="ABH89">
        <v>0</v>
      </c>
      <c r="ABI89">
        <v>0</v>
      </c>
      <c r="ABJ89">
        <v>0</v>
      </c>
      <c r="ABK89">
        <v>0</v>
      </c>
      <c r="ABL89">
        <v>0</v>
      </c>
      <c r="ABM89">
        <v>0</v>
      </c>
      <c r="ABN89">
        <v>0</v>
      </c>
      <c r="ABO89">
        <v>0</v>
      </c>
      <c r="ABP89">
        <v>0</v>
      </c>
      <c r="ABQ89">
        <v>0</v>
      </c>
      <c r="ABR89">
        <v>0</v>
      </c>
      <c r="ABS89">
        <v>0</v>
      </c>
      <c r="ABT89">
        <v>0</v>
      </c>
      <c r="ABU89">
        <v>0</v>
      </c>
      <c r="ABV89">
        <v>0</v>
      </c>
      <c r="ABW89">
        <v>0</v>
      </c>
      <c r="ABX89">
        <v>0</v>
      </c>
      <c r="ABY89">
        <v>0</v>
      </c>
      <c r="ABZ89">
        <v>0</v>
      </c>
      <c r="ACA89">
        <v>0</v>
      </c>
      <c r="ACB89">
        <v>0</v>
      </c>
      <c r="ACC89">
        <v>0</v>
      </c>
      <c r="ACD89">
        <v>0</v>
      </c>
      <c r="ACE89">
        <v>0</v>
      </c>
      <c r="ACF89">
        <v>0</v>
      </c>
      <c r="ACG89">
        <v>-256.16438356164383</v>
      </c>
      <c r="ACH89">
        <v>0</v>
      </c>
      <c r="ACI89">
        <v>0</v>
      </c>
      <c r="ACJ89">
        <v>0</v>
      </c>
      <c r="ACK89">
        <v>0</v>
      </c>
      <c r="ACL89">
        <v>0</v>
      </c>
      <c r="ACM89">
        <v>0</v>
      </c>
      <c r="ACN89">
        <v>0</v>
      </c>
      <c r="ACO89">
        <v>0</v>
      </c>
      <c r="ACP89">
        <v>0</v>
      </c>
      <c r="ACQ89">
        <v>0</v>
      </c>
      <c r="ACR89">
        <v>0</v>
      </c>
      <c r="ACS89">
        <v>0</v>
      </c>
      <c r="ACT89">
        <v>0</v>
      </c>
      <c r="ACU89">
        <v>0</v>
      </c>
      <c r="ACV89">
        <v>0</v>
      </c>
      <c r="ACW89">
        <v>0</v>
      </c>
      <c r="ACX89">
        <v>0</v>
      </c>
      <c r="ACY89">
        <v>0</v>
      </c>
      <c r="ACZ89">
        <v>0</v>
      </c>
      <c r="ADA89">
        <v>0</v>
      </c>
      <c r="ADB89">
        <v>0</v>
      </c>
      <c r="ADC89">
        <v>0</v>
      </c>
      <c r="ADD89">
        <v>0</v>
      </c>
      <c r="ADE89">
        <v>0</v>
      </c>
      <c r="ADF89">
        <v>0</v>
      </c>
      <c r="ADG89">
        <v>0</v>
      </c>
      <c r="ADH89">
        <v>0</v>
      </c>
      <c r="ADI89">
        <v>0</v>
      </c>
      <c r="ADJ89">
        <v>0</v>
      </c>
      <c r="ADK89">
        <v>0</v>
      </c>
      <c r="ADL89">
        <v>0</v>
      </c>
      <c r="ADM89">
        <v>0</v>
      </c>
      <c r="ADN89">
        <v>0</v>
      </c>
      <c r="ADO89">
        <v>0</v>
      </c>
      <c r="ADP89">
        <v>0</v>
      </c>
      <c r="ADQ89">
        <v>0</v>
      </c>
      <c r="ADR89">
        <v>0</v>
      </c>
      <c r="ADS89">
        <v>0</v>
      </c>
      <c r="ADT89">
        <v>0</v>
      </c>
      <c r="ADU89">
        <v>0</v>
      </c>
      <c r="ADV89">
        <v>0</v>
      </c>
      <c r="ADW89">
        <v>0</v>
      </c>
      <c r="ADX89">
        <v>0</v>
      </c>
      <c r="ADY89">
        <v>0</v>
      </c>
      <c r="ADZ89">
        <v>0</v>
      </c>
      <c r="AEA89">
        <v>0</v>
      </c>
      <c r="AEB89">
        <v>0</v>
      </c>
      <c r="AEC89">
        <v>0</v>
      </c>
      <c r="AED89">
        <v>0</v>
      </c>
      <c r="AEE89">
        <v>0</v>
      </c>
      <c r="AEF89">
        <v>0</v>
      </c>
      <c r="AEG89">
        <v>0</v>
      </c>
      <c r="AEH89">
        <v>0</v>
      </c>
      <c r="AEI89">
        <v>0</v>
      </c>
      <c r="AEJ89">
        <v>0</v>
      </c>
      <c r="AEK89">
        <v>0</v>
      </c>
      <c r="AEL89">
        <v>0</v>
      </c>
      <c r="AEM89">
        <v>0</v>
      </c>
      <c r="AEN89">
        <v>0</v>
      </c>
      <c r="AEO89">
        <v>0</v>
      </c>
      <c r="AEP89">
        <v>0</v>
      </c>
      <c r="AEQ89">
        <v>0</v>
      </c>
      <c r="AER89">
        <v>0</v>
      </c>
      <c r="AES89">
        <v>0</v>
      </c>
      <c r="AET89">
        <v>0</v>
      </c>
      <c r="AEU89">
        <v>0</v>
      </c>
      <c r="AEV89">
        <v>0</v>
      </c>
      <c r="AEW89">
        <v>0</v>
      </c>
      <c r="AEX89">
        <v>0</v>
      </c>
      <c r="AEY89">
        <v>0</v>
      </c>
      <c r="AEZ89">
        <v>0</v>
      </c>
      <c r="AFA89">
        <v>0</v>
      </c>
      <c r="AFB89">
        <v>0</v>
      </c>
      <c r="AFC89">
        <v>0</v>
      </c>
      <c r="AFD89">
        <v>0</v>
      </c>
      <c r="AFE89">
        <v>0</v>
      </c>
      <c r="AFF89">
        <v>0</v>
      </c>
      <c r="AFG89">
        <v>0</v>
      </c>
      <c r="AFH89">
        <v>0</v>
      </c>
      <c r="AFI89">
        <v>0</v>
      </c>
      <c r="AFJ89">
        <v>0</v>
      </c>
      <c r="AFK89">
        <v>0</v>
      </c>
      <c r="AFL89">
        <v>0</v>
      </c>
      <c r="AFM89">
        <v>0</v>
      </c>
      <c r="AFN89">
        <v>0</v>
      </c>
      <c r="AFO89">
        <v>0</v>
      </c>
      <c r="AFP89">
        <v>0</v>
      </c>
      <c r="AFQ89">
        <v>0</v>
      </c>
      <c r="AFR89">
        <v>0</v>
      </c>
      <c r="AFS89">
        <v>0</v>
      </c>
      <c r="AFT89">
        <v>0</v>
      </c>
      <c r="AFU89">
        <v>0</v>
      </c>
      <c r="AFV89">
        <v>0</v>
      </c>
      <c r="AFW89">
        <v>0</v>
      </c>
      <c r="AFX89">
        <v>0</v>
      </c>
      <c r="AFY89">
        <v>-120</v>
      </c>
      <c r="AFZ89">
        <v>0</v>
      </c>
      <c r="AGA89">
        <v>0</v>
      </c>
      <c r="AGB89">
        <v>0</v>
      </c>
      <c r="AGC89">
        <v>0</v>
      </c>
      <c r="AGD89">
        <v>0</v>
      </c>
      <c r="AGE89">
        <v>0</v>
      </c>
      <c r="AGF89">
        <v>0</v>
      </c>
      <c r="AGG89">
        <v>0</v>
      </c>
      <c r="AGH89">
        <v>0</v>
      </c>
      <c r="AGI89">
        <v>0</v>
      </c>
      <c r="AGJ89">
        <v>0</v>
      </c>
      <c r="AGK89">
        <v>0</v>
      </c>
      <c r="AGL89">
        <v>0</v>
      </c>
      <c r="AGM89">
        <v>0</v>
      </c>
      <c r="AGN89">
        <v>0</v>
      </c>
      <c r="AGO89">
        <v>0</v>
      </c>
      <c r="AGP89">
        <v>0</v>
      </c>
      <c r="AGQ89">
        <v>0</v>
      </c>
      <c r="AGR89">
        <v>0</v>
      </c>
      <c r="AGS89">
        <v>0</v>
      </c>
      <c r="AGT89">
        <v>0</v>
      </c>
      <c r="AGU89">
        <v>0</v>
      </c>
      <c r="AGV89">
        <v>0</v>
      </c>
      <c r="AGW89">
        <v>0</v>
      </c>
      <c r="AGX89">
        <v>0</v>
      </c>
      <c r="AGY89">
        <v>0</v>
      </c>
      <c r="AGZ89">
        <v>0</v>
      </c>
      <c r="AHA89">
        <v>0</v>
      </c>
      <c r="AHB89">
        <v>0</v>
      </c>
      <c r="AHC89">
        <v>0</v>
      </c>
      <c r="AHD89">
        <v>0</v>
      </c>
      <c r="AHE89">
        <v>0</v>
      </c>
      <c r="AHF89">
        <v>0</v>
      </c>
      <c r="AHG89">
        <v>0</v>
      </c>
      <c r="AHH89">
        <v>0</v>
      </c>
      <c r="AHI89">
        <v>0</v>
      </c>
      <c r="AHJ89">
        <v>0</v>
      </c>
      <c r="AHK89">
        <v>0</v>
      </c>
      <c r="AHL89">
        <v>0</v>
      </c>
      <c r="AHM89">
        <v>0</v>
      </c>
      <c r="AHN89">
        <v>0</v>
      </c>
      <c r="AHO89">
        <v>0</v>
      </c>
      <c r="AHP89">
        <v>0</v>
      </c>
      <c r="AHQ89">
        <v>0</v>
      </c>
      <c r="AHR89">
        <v>0</v>
      </c>
      <c r="AHS89">
        <v>0</v>
      </c>
      <c r="AHT89">
        <v>0</v>
      </c>
      <c r="AHU89">
        <v>0</v>
      </c>
      <c r="AHV89">
        <v>0</v>
      </c>
      <c r="AHW89">
        <v>0</v>
      </c>
      <c r="AHX89">
        <v>0</v>
      </c>
      <c r="AHY89">
        <v>0</v>
      </c>
      <c r="AHZ89">
        <v>0</v>
      </c>
      <c r="AIA89">
        <v>0</v>
      </c>
      <c r="AIB89">
        <v>0</v>
      </c>
      <c r="AIC89">
        <v>0</v>
      </c>
      <c r="AID89">
        <v>0</v>
      </c>
      <c r="AIE89">
        <v>0</v>
      </c>
      <c r="AIF89">
        <v>0</v>
      </c>
      <c r="AIG89">
        <v>0</v>
      </c>
      <c r="AIH89">
        <v>0</v>
      </c>
      <c r="AII89">
        <v>0</v>
      </c>
      <c r="AIJ89">
        <v>0</v>
      </c>
      <c r="AIK89">
        <v>0</v>
      </c>
      <c r="AIL89">
        <v>0</v>
      </c>
      <c r="AIM89">
        <v>0</v>
      </c>
      <c r="AIN89">
        <v>0</v>
      </c>
      <c r="AIO89">
        <v>0</v>
      </c>
      <c r="AIP89">
        <v>0</v>
      </c>
      <c r="AIQ89">
        <v>0</v>
      </c>
      <c r="AIR89">
        <v>0</v>
      </c>
      <c r="AIS89">
        <v>0</v>
      </c>
      <c r="AIT89">
        <v>0</v>
      </c>
      <c r="AIU89">
        <v>0</v>
      </c>
      <c r="AIV89">
        <v>0</v>
      </c>
      <c r="AIW89">
        <v>0</v>
      </c>
      <c r="AIX89">
        <v>0</v>
      </c>
      <c r="AIY89">
        <v>0</v>
      </c>
      <c r="AIZ89">
        <v>0</v>
      </c>
      <c r="AJA89">
        <v>0</v>
      </c>
      <c r="AJB89">
        <v>0</v>
      </c>
      <c r="AJC89">
        <v>0</v>
      </c>
      <c r="AJD89">
        <v>0</v>
      </c>
      <c r="AJE89">
        <v>0</v>
      </c>
      <c r="AJF89">
        <v>0</v>
      </c>
      <c r="AJG89">
        <v>0</v>
      </c>
      <c r="AJH89">
        <v>0</v>
      </c>
      <c r="AJI89">
        <v>0</v>
      </c>
      <c r="AJJ89">
        <v>0</v>
      </c>
      <c r="AJK89">
        <v>0</v>
      </c>
      <c r="AJL89">
        <v>0</v>
      </c>
      <c r="AJM89">
        <v>0</v>
      </c>
      <c r="AJN89">
        <v>0</v>
      </c>
      <c r="AJO89">
        <v>0</v>
      </c>
      <c r="AJP89">
        <v>0</v>
      </c>
      <c r="AJQ89">
        <v>-4500</v>
      </c>
      <c r="AJR89">
        <v>0</v>
      </c>
      <c r="AJS89">
        <v>0</v>
      </c>
      <c r="AJT89">
        <v>0</v>
      </c>
      <c r="AJU89">
        <v>0</v>
      </c>
      <c r="AJV89">
        <v>0</v>
      </c>
      <c r="AJW89">
        <v>0</v>
      </c>
      <c r="AJX89">
        <v>0</v>
      </c>
      <c r="AJY89">
        <v>0</v>
      </c>
    </row>
    <row r="90" spans="1:961" x14ac:dyDescent="0.3">
      <c r="A90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10000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5000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  <c r="KP90">
        <v>0</v>
      </c>
      <c r="KQ90">
        <v>0</v>
      </c>
      <c r="KR90">
        <v>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0</v>
      </c>
      <c r="LA90">
        <v>0</v>
      </c>
      <c r="LB90">
        <v>0</v>
      </c>
      <c r="LC90">
        <v>0</v>
      </c>
      <c r="LD90">
        <v>0</v>
      </c>
      <c r="LE90">
        <v>0</v>
      </c>
      <c r="LF90">
        <v>0</v>
      </c>
      <c r="LG90">
        <v>0</v>
      </c>
      <c r="LH90">
        <v>0</v>
      </c>
      <c r="LI90">
        <v>0</v>
      </c>
      <c r="LJ90">
        <v>0</v>
      </c>
      <c r="LK90">
        <v>0</v>
      </c>
      <c r="LL90">
        <v>0</v>
      </c>
      <c r="LM90">
        <v>0</v>
      </c>
      <c r="LN90">
        <v>0</v>
      </c>
      <c r="LO90">
        <v>0</v>
      </c>
      <c r="LP90">
        <v>0</v>
      </c>
      <c r="LQ90">
        <v>0</v>
      </c>
      <c r="LR90">
        <v>0</v>
      </c>
      <c r="LS90">
        <v>0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  <c r="MC90">
        <v>0</v>
      </c>
      <c r="MD90">
        <v>0</v>
      </c>
      <c r="ME90">
        <v>0</v>
      </c>
      <c r="MF90">
        <v>0</v>
      </c>
      <c r="MG90">
        <v>0</v>
      </c>
      <c r="MH90">
        <v>0</v>
      </c>
      <c r="MI90">
        <v>0</v>
      </c>
      <c r="MJ90">
        <v>0</v>
      </c>
      <c r="MK90">
        <v>0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0</v>
      </c>
      <c r="MT90">
        <v>0</v>
      </c>
      <c r="MU90">
        <v>0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0</v>
      </c>
      <c r="NK90">
        <v>0</v>
      </c>
      <c r="NL90">
        <v>0</v>
      </c>
      <c r="NM90">
        <v>0</v>
      </c>
      <c r="NN90">
        <v>-5400</v>
      </c>
      <c r="NO90">
        <v>0</v>
      </c>
      <c r="NP90">
        <v>0</v>
      </c>
      <c r="NQ90">
        <v>0</v>
      </c>
      <c r="NR90">
        <v>0</v>
      </c>
      <c r="NS90">
        <v>0</v>
      </c>
      <c r="NT90">
        <v>0</v>
      </c>
      <c r="NU90">
        <v>0</v>
      </c>
      <c r="NV90">
        <v>0</v>
      </c>
      <c r="NW90">
        <v>0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0</v>
      </c>
      <c r="OM90">
        <v>0</v>
      </c>
      <c r="ON90">
        <v>0</v>
      </c>
      <c r="OO90">
        <v>0</v>
      </c>
      <c r="OP90">
        <v>0</v>
      </c>
      <c r="OQ90">
        <v>0</v>
      </c>
      <c r="OR90">
        <v>0</v>
      </c>
      <c r="OS90">
        <v>0</v>
      </c>
      <c r="OT90">
        <v>0</v>
      </c>
      <c r="OU90">
        <v>0</v>
      </c>
      <c r="OV90">
        <v>0</v>
      </c>
      <c r="OW90">
        <v>0</v>
      </c>
      <c r="OX90">
        <v>0</v>
      </c>
      <c r="OY90">
        <v>0</v>
      </c>
      <c r="OZ90">
        <v>0</v>
      </c>
      <c r="PA90">
        <v>0</v>
      </c>
      <c r="PB90">
        <v>0</v>
      </c>
      <c r="PC90">
        <v>0</v>
      </c>
      <c r="PD90">
        <v>0</v>
      </c>
      <c r="PE90">
        <v>0</v>
      </c>
      <c r="PF90">
        <v>0</v>
      </c>
      <c r="PG90">
        <v>0</v>
      </c>
      <c r="PH90">
        <v>0</v>
      </c>
      <c r="PI90">
        <v>0</v>
      </c>
      <c r="PJ90">
        <v>0</v>
      </c>
      <c r="PK90">
        <v>0</v>
      </c>
      <c r="PL90">
        <v>0</v>
      </c>
      <c r="PM90">
        <v>0</v>
      </c>
      <c r="PN90">
        <v>0</v>
      </c>
      <c r="PO90">
        <v>0</v>
      </c>
      <c r="PP90">
        <v>0</v>
      </c>
      <c r="PQ90">
        <v>0</v>
      </c>
      <c r="PR90">
        <v>0</v>
      </c>
      <c r="PS90">
        <v>0</v>
      </c>
      <c r="PT90">
        <v>0</v>
      </c>
      <c r="PU90">
        <v>0</v>
      </c>
      <c r="PV90">
        <v>0</v>
      </c>
      <c r="PW90">
        <v>0</v>
      </c>
      <c r="PX90">
        <v>0</v>
      </c>
      <c r="PY90">
        <v>0</v>
      </c>
      <c r="PZ90">
        <v>0</v>
      </c>
      <c r="QA90">
        <v>0</v>
      </c>
      <c r="QB90">
        <v>0</v>
      </c>
      <c r="QC90">
        <v>0</v>
      </c>
      <c r="QD90">
        <v>0</v>
      </c>
      <c r="QE90">
        <v>0</v>
      </c>
      <c r="QF90">
        <v>0</v>
      </c>
      <c r="QG90">
        <v>0</v>
      </c>
      <c r="QH90">
        <v>0</v>
      </c>
      <c r="QI90">
        <v>0</v>
      </c>
      <c r="QJ90">
        <v>0</v>
      </c>
      <c r="QK90">
        <v>0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0</v>
      </c>
      <c r="QR90">
        <v>0</v>
      </c>
      <c r="QS90">
        <v>0</v>
      </c>
      <c r="QT90">
        <v>0</v>
      </c>
      <c r="QU90">
        <v>0</v>
      </c>
      <c r="QV90">
        <v>0</v>
      </c>
      <c r="QW90">
        <v>0</v>
      </c>
      <c r="QX90">
        <v>0</v>
      </c>
      <c r="QY90">
        <v>0</v>
      </c>
      <c r="QZ90">
        <v>0</v>
      </c>
      <c r="RA90">
        <v>0</v>
      </c>
      <c r="RB90">
        <v>0</v>
      </c>
      <c r="RC90">
        <v>0</v>
      </c>
      <c r="RD90">
        <v>0</v>
      </c>
      <c r="RE90">
        <v>0</v>
      </c>
      <c r="RF90">
        <v>-150</v>
      </c>
      <c r="RG90">
        <v>0</v>
      </c>
      <c r="RH90">
        <v>0</v>
      </c>
      <c r="RI90">
        <v>0</v>
      </c>
      <c r="RJ90">
        <v>0</v>
      </c>
      <c r="RK90">
        <v>0</v>
      </c>
      <c r="RL90">
        <v>0</v>
      </c>
      <c r="RM90">
        <v>0</v>
      </c>
      <c r="RN90">
        <v>0</v>
      </c>
      <c r="RO90">
        <v>0</v>
      </c>
      <c r="RP90">
        <v>0</v>
      </c>
      <c r="RQ90">
        <v>0</v>
      </c>
      <c r="RR90">
        <v>0</v>
      </c>
      <c r="RS90">
        <v>0</v>
      </c>
      <c r="RT90">
        <v>0</v>
      </c>
      <c r="RU90">
        <v>0</v>
      </c>
      <c r="RV90">
        <v>0</v>
      </c>
      <c r="RW90">
        <v>0</v>
      </c>
      <c r="RX90">
        <v>0</v>
      </c>
      <c r="RY90">
        <v>0</v>
      </c>
      <c r="RZ90">
        <v>0</v>
      </c>
      <c r="SA90">
        <v>0</v>
      </c>
      <c r="SB90">
        <v>0</v>
      </c>
      <c r="SC90">
        <v>0</v>
      </c>
      <c r="SD90">
        <v>0</v>
      </c>
      <c r="SE90">
        <v>0</v>
      </c>
      <c r="SF90">
        <v>0</v>
      </c>
      <c r="SG90">
        <v>0</v>
      </c>
      <c r="SH90">
        <v>0</v>
      </c>
      <c r="SI90">
        <v>0</v>
      </c>
      <c r="SJ90">
        <v>0</v>
      </c>
      <c r="SK90">
        <v>0</v>
      </c>
      <c r="SL90">
        <v>0</v>
      </c>
      <c r="SM90">
        <v>0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0</v>
      </c>
      <c r="SU90">
        <v>0</v>
      </c>
      <c r="SV90">
        <v>0</v>
      </c>
      <c r="SW90">
        <v>0</v>
      </c>
      <c r="SX90">
        <v>0</v>
      </c>
      <c r="SY90">
        <v>0</v>
      </c>
      <c r="SZ90">
        <v>0</v>
      </c>
      <c r="TA90">
        <v>0</v>
      </c>
      <c r="TB90">
        <v>0</v>
      </c>
      <c r="TC90">
        <v>0</v>
      </c>
      <c r="TD90">
        <v>0</v>
      </c>
      <c r="TE90">
        <v>0</v>
      </c>
      <c r="TF90">
        <v>0</v>
      </c>
      <c r="TG90">
        <v>0</v>
      </c>
      <c r="TH90">
        <v>0</v>
      </c>
      <c r="TI90">
        <v>0</v>
      </c>
      <c r="TJ90">
        <v>0</v>
      </c>
      <c r="TK90">
        <v>0</v>
      </c>
      <c r="TL90">
        <v>0</v>
      </c>
      <c r="TM90">
        <v>0</v>
      </c>
      <c r="TN90">
        <v>0</v>
      </c>
      <c r="TO90">
        <v>0</v>
      </c>
      <c r="TP90">
        <v>0</v>
      </c>
      <c r="TQ90">
        <v>0</v>
      </c>
      <c r="TR90">
        <v>0</v>
      </c>
      <c r="TS90">
        <v>0</v>
      </c>
      <c r="TT90">
        <v>0</v>
      </c>
      <c r="TU90">
        <v>0</v>
      </c>
      <c r="TV90">
        <v>0</v>
      </c>
      <c r="TW90">
        <v>0</v>
      </c>
      <c r="TX90">
        <v>0</v>
      </c>
      <c r="TY90">
        <v>0</v>
      </c>
      <c r="TZ90">
        <v>0</v>
      </c>
      <c r="UA90">
        <v>0</v>
      </c>
      <c r="UB90">
        <v>0</v>
      </c>
      <c r="UC90">
        <v>0</v>
      </c>
      <c r="UD90">
        <v>0</v>
      </c>
      <c r="UE90">
        <v>0</v>
      </c>
      <c r="UF90">
        <v>0</v>
      </c>
      <c r="UG90">
        <v>0</v>
      </c>
      <c r="UH90">
        <v>0</v>
      </c>
      <c r="UI90">
        <v>0</v>
      </c>
      <c r="UJ90">
        <v>0</v>
      </c>
      <c r="UK90">
        <v>0</v>
      </c>
      <c r="UL90">
        <v>0</v>
      </c>
      <c r="UM90">
        <v>0</v>
      </c>
      <c r="UN90">
        <v>0</v>
      </c>
      <c r="UO90">
        <v>0</v>
      </c>
      <c r="UP90">
        <v>0</v>
      </c>
      <c r="UQ90">
        <v>0</v>
      </c>
      <c r="UR90">
        <v>0</v>
      </c>
      <c r="US90">
        <v>0</v>
      </c>
      <c r="UT90">
        <v>0</v>
      </c>
      <c r="UU90">
        <v>0</v>
      </c>
      <c r="UV90">
        <v>0</v>
      </c>
      <c r="UW90">
        <v>0</v>
      </c>
      <c r="UX90">
        <v>-1000</v>
      </c>
      <c r="UY90">
        <v>0</v>
      </c>
      <c r="UZ90">
        <v>0</v>
      </c>
      <c r="VA90">
        <v>0</v>
      </c>
      <c r="VB90">
        <v>0</v>
      </c>
      <c r="VC90">
        <v>0</v>
      </c>
      <c r="VD90">
        <v>0</v>
      </c>
      <c r="VE90">
        <v>0</v>
      </c>
      <c r="VF90">
        <v>0</v>
      </c>
      <c r="VG90">
        <v>0</v>
      </c>
      <c r="VH90">
        <v>0</v>
      </c>
      <c r="VI90">
        <v>0</v>
      </c>
      <c r="VJ90">
        <v>0</v>
      </c>
      <c r="VK90">
        <v>0</v>
      </c>
      <c r="VL90">
        <v>0</v>
      </c>
      <c r="VM90">
        <v>0</v>
      </c>
      <c r="VN90">
        <v>0</v>
      </c>
      <c r="VO90">
        <v>0</v>
      </c>
      <c r="VP90">
        <v>0</v>
      </c>
      <c r="VQ90">
        <v>0</v>
      </c>
      <c r="VR90">
        <v>0</v>
      </c>
      <c r="VS90">
        <v>0</v>
      </c>
      <c r="VT90">
        <v>0</v>
      </c>
      <c r="VU90">
        <v>0</v>
      </c>
      <c r="VV90">
        <v>0</v>
      </c>
      <c r="VW90">
        <v>0</v>
      </c>
      <c r="VX90">
        <v>0</v>
      </c>
      <c r="VY90">
        <v>0</v>
      </c>
      <c r="VZ90">
        <v>0</v>
      </c>
      <c r="WA90">
        <v>0</v>
      </c>
      <c r="WB90">
        <v>0</v>
      </c>
      <c r="WC90">
        <v>0</v>
      </c>
      <c r="WD90">
        <v>0</v>
      </c>
      <c r="WE90">
        <v>0</v>
      </c>
      <c r="WF90">
        <v>0</v>
      </c>
      <c r="WG90">
        <v>0</v>
      </c>
      <c r="WH90">
        <v>0</v>
      </c>
      <c r="WI90">
        <v>0</v>
      </c>
      <c r="WJ90">
        <v>0</v>
      </c>
      <c r="WK90">
        <v>0</v>
      </c>
      <c r="WL90">
        <v>0</v>
      </c>
      <c r="WM90">
        <v>0</v>
      </c>
      <c r="WN90">
        <v>0</v>
      </c>
      <c r="WO90">
        <v>0</v>
      </c>
      <c r="WP90">
        <v>0</v>
      </c>
      <c r="WQ90">
        <v>0</v>
      </c>
      <c r="WR90">
        <v>0</v>
      </c>
      <c r="WS90">
        <v>0</v>
      </c>
      <c r="WT90">
        <v>0</v>
      </c>
      <c r="WU90">
        <v>0</v>
      </c>
      <c r="WV90">
        <v>0</v>
      </c>
      <c r="WW90">
        <v>0</v>
      </c>
      <c r="WX90">
        <v>0</v>
      </c>
      <c r="WY90">
        <v>0</v>
      </c>
      <c r="WZ90">
        <v>0</v>
      </c>
      <c r="XA90">
        <v>0</v>
      </c>
      <c r="XB90">
        <v>0</v>
      </c>
      <c r="XC90">
        <v>0</v>
      </c>
      <c r="XD90">
        <v>0</v>
      </c>
      <c r="XE90">
        <v>0</v>
      </c>
      <c r="XF90">
        <v>0</v>
      </c>
      <c r="XG90">
        <v>0</v>
      </c>
      <c r="XH90">
        <v>0</v>
      </c>
      <c r="XI90">
        <v>0</v>
      </c>
      <c r="XJ90">
        <v>0</v>
      </c>
      <c r="XK90">
        <v>0</v>
      </c>
      <c r="XL90">
        <v>0</v>
      </c>
      <c r="XM90">
        <v>0</v>
      </c>
      <c r="XN90">
        <v>0</v>
      </c>
      <c r="XO90">
        <v>0</v>
      </c>
      <c r="XP90">
        <v>0</v>
      </c>
      <c r="XQ90">
        <v>0</v>
      </c>
      <c r="XR90">
        <v>0</v>
      </c>
      <c r="XS90">
        <v>0</v>
      </c>
      <c r="XT90">
        <v>0</v>
      </c>
      <c r="XU90">
        <v>0</v>
      </c>
      <c r="XV90">
        <v>0</v>
      </c>
      <c r="XW90">
        <v>0</v>
      </c>
      <c r="XX90">
        <v>0</v>
      </c>
      <c r="XY90">
        <v>0</v>
      </c>
      <c r="XZ90">
        <v>0</v>
      </c>
      <c r="YA90">
        <v>0</v>
      </c>
      <c r="YB90">
        <v>0</v>
      </c>
      <c r="YC90">
        <v>0</v>
      </c>
      <c r="YD90">
        <v>0</v>
      </c>
      <c r="YE90">
        <v>0</v>
      </c>
      <c r="YF90">
        <v>0</v>
      </c>
      <c r="YG90">
        <v>0</v>
      </c>
      <c r="YH90">
        <v>0</v>
      </c>
      <c r="YI90">
        <v>0</v>
      </c>
      <c r="YJ90">
        <v>0</v>
      </c>
      <c r="YK90">
        <v>0</v>
      </c>
      <c r="YL90">
        <v>0</v>
      </c>
      <c r="YM90">
        <v>0</v>
      </c>
      <c r="YN90">
        <v>0</v>
      </c>
      <c r="YO90">
        <v>0</v>
      </c>
      <c r="YP90">
        <v>-5</v>
      </c>
      <c r="YQ90">
        <v>0</v>
      </c>
      <c r="YR90">
        <v>0</v>
      </c>
      <c r="YS90">
        <v>0</v>
      </c>
      <c r="YT90">
        <v>0</v>
      </c>
      <c r="YU90">
        <v>0</v>
      </c>
      <c r="YV90">
        <v>0</v>
      </c>
      <c r="YW90">
        <v>0</v>
      </c>
      <c r="YX90">
        <v>0</v>
      </c>
      <c r="YY90">
        <v>0</v>
      </c>
      <c r="YZ90">
        <v>0</v>
      </c>
      <c r="ZA90">
        <v>0</v>
      </c>
      <c r="ZB90">
        <v>0</v>
      </c>
      <c r="ZC90">
        <v>0</v>
      </c>
      <c r="ZD90">
        <v>0</v>
      </c>
      <c r="ZE90">
        <v>0</v>
      </c>
      <c r="ZF90">
        <v>0</v>
      </c>
      <c r="ZG90">
        <v>0</v>
      </c>
      <c r="ZH90">
        <v>0</v>
      </c>
      <c r="ZI90">
        <v>0</v>
      </c>
      <c r="ZJ90">
        <v>0</v>
      </c>
      <c r="ZK90">
        <v>0</v>
      </c>
      <c r="ZL90">
        <v>0</v>
      </c>
      <c r="ZM90">
        <v>0</v>
      </c>
      <c r="ZN90">
        <v>0</v>
      </c>
      <c r="ZO90">
        <v>0</v>
      </c>
      <c r="ZP90">
        <v>0</v>
      </c>
      <c r="ZQ90">
        <v>0</v>
      </c>
      <c r="ZR90">
        <v>0</v>
      </c>
      <c r="ZS90">
        <v>0</v>
      </c>
      <c r="ZT90">
        <v>0</v>
      </c>
      <c r="ZU90">
        <v>0</v>
      </c>
      <c r="ZV90">
        <v>0</v>
      </c>
      <c r="ZW90">
        <v>0</v>
      </c>
      <c r="ZX90">
        <v>0</v>
      </c>
      <c r="ZY90">
        <v>0</v>
      </c>
      <c r="ZZ90">
        <v>0</v>
      </c>
      <c r="AAA90">
        <v>0</v>
      </c>
      <c r="AAB90">
        <v>0</v>
      </c>
      <c r="AAC90">
        <v>0</v>
      </c>
      <c r="AAD90">
        <v>0</v>
      </c>
      <c r="AAE90">
        <v>0</v>
      </c>
      <c r="AAF90">
        <v>0</v>
      </c>
      <c r="AAG90">
        <v>0</v>
      </c>
      <c r="AAH90">
        <v>0</v>
      </c>
      <c r="AAI90">
        <v>0</v>
      </c>
      <c r="AAJ90">
        <v>0</v>
      </c>
      <c r="AAK90">
        <v>0</v>
      </c>
      <c r="AAL90">
        <v>0</v>
      </c>
      <c r="AAM90">
        <v>0</v>
      </c>
      <c r="AAN90">
        <v>0</v>
      </c>
      <c r="AAO90">
        <v>0</v>
      </c>
      <c r="AAP90">
        <v>0</v>
      </c>
      <c r="AAQ90">
        <v>0</v>
      </c>
      <c r="AAR90">
        <v>0</v>
      </c>
      <c r="AAS90">
        <v>0</v>
      </c>
      <c r="AAT90">
        <v>0</v>
      </c>
      <c r="AAU90">
        <v>0</v>
      </c>
      <c r="AAV90">
        <v>0</v>
      </c>
      <c r="AAW90">
        <v>0</v>
      </c>
      <c r="AAX90">
        <v>0</v>
      </c>
      <c r="AAY90">
        <v>0</v>
      </c>
      <c r="AAZ90">
        <v>0</v>
      </c>
      <c r="ABA90">
        <v>0</v>
      </c>
      <c r="ABB90">
        <v>0</v>
      </c>
      <c r="ABC90">
        <v>0</v>
      </c>
      <c r="ABD90">
        <v>0</v>
      </c>
      <c r="ABE90">
        <v>0</v>
      </c>
      <c r="ABF90">
        <v>0</v>
      </c>
      <c r="ABG90">
        <v>0</v>
      </c>
      <c r="ABH90">
        <v>0</v>
      </c>
      <c r="ABI90">
        <v>0</v>
      </c>
      <c r="ABJ90">
        <v>0</v>
      </c>
      <c r="ABK90">
        <v>0</v>
      </c>
      <c r="ABL90">
        <v>0</v>
      </c>
      <c r="ABM90">
        <v>0</v>
      </c>
      <c r="ABN90">
        <v>0</v>
      </c>
      <c r="ABO90">
        <v>0</v>
      </c>
      <c r="ABP90">
        <v>0</v>
      </c>
      <c r="ABQ90">
        <v>0</v>
      </c>
      <c r="ABR90">
        <v>0</v>
      </c>
      <c r="ABS90">
        <v>0</v>
      </c>
      <c r="ABT90">
        <v>0</v>
      </c>
      <c r="ABU90">
        <v>0</v>
      </c>
      <c r="ABV90">
        <v>0</v>
      </c>
      <c r="ABW90">
        <v>0</v>
      </c>
      <c r="ABX90">
        <v>0</v>
      </c>
      <c r="ABY90">
        <v>0</v>
      </c>
      <c r="ABZ90">
        <v>0</v>
      </c>
      <c r="ACA90">
        <v>0</v>
      </c>
      <c r="ACB90">
        <v>0</v>
      </c>
      <c r="ACC90">
        <v>0</v>
      </c>
      <c r="ACD90">
        <v>0</v>
      </c>
      <c r="ACE90">
        <v>0</v>
      </c>
      <c r="ACF90">
        <v>0</v>
      </c>
      <c r="ACG90">
        <v>0</v>
      </c>
      <c r="ACH90">
        <v>-256.16438356164383</v>
      </c>
      <c r="ACI90">
        <v>0</v>
      </c>
      <c r="ACJ90">
        <v>0</v>
      </c>
      <c r="ACK90">
        <v>0</v>
      </c>
      <c r="ACL90">
        <v>0</v>
      </c>
      <c r="ACM90">
        <v>0</v>
      </c>
      <c r="ACN90">
        <v>0</v>
      </c>
      <c r="ACO90">
        <v>0</v>
      </c>
      <c r="ACP90">
        <v>0</v>
      </c>
      <c r="ACQ90">
        <v>0</v>
      </c>
      <c r="ACR90">
        <v>0</v>
      </c>
      <c r="ACS90">
        <v>0</v>
      </c>
      <c r="ACT90">
        <v>0</v>
      </c>
      <c r="ACU90">
        <v>0</v>
      </c>
      <c r="ACV90">
        <v>0</v>
      </c>
      <c r="ACW90">
        <v>0</v>
      </c>
      <c r="ACX90">
        <v>0</v>
      </c>
      <c r="ACY90">
        <v>0</v>
      </c>
      <c r="ACZ90">
        <v>0</v>
      </c>
      <c r="ADA90">
        <v>0</v>
      </c>
      <c r="ADB90">
        <v>0</v>
      </c>
      <c r="ADC90">
        <v>0</v>
      </c>
      <c r="ADD90">
        <v>0</v>
      </c>
      <c r="ADE90">
        <v>0</v>
      </c>
      <c r="ADF90">
        <v>0</v>
      </c>
      <c r="ADG90">
        <v>0</v>
      </c>
      <c r="ADH90">
        <v>0</v>
      </c>
      <c r="ADI90">
        <v>0</v>
      </c>
      <c r="ADJ90">
        <v>0</v>
      </c>
      <c r="ADK90">
        <v>0</v>
      </c>
      <c r="ADL90">
        <v>0</v>
      </c>
      <c r="ADM90">
        <v>0</v>
      </c>
      <c r="ADN90">
        <v>0</v>
      </c>
      <c r="ADO90">
        <v>0</v>
      </c>
      <c r="ADP90">
        <v>0</v>
      </c>
      <c r="ADQ90">
        <v>0</v>
      </c>
      <c r="ADR90">
        <v>0</v>
      </c>
      <c r="ADS90">
        <v>0</v>
      </c>
      <c r="ADT90">
        <v>0</v>
      </c>
      <c r="ADU90">
        <v>0</v>
      </c>
      <c r="ADV90">
        <v>0</v>
      </c>
      <c r="ADW90">
        <v>0</v>
      </c>
      <c r="ADX90">
        <v>0</v>
      </c>
      <c r="ADY90">
        <v>0</v>
      </c>
      <c r="ADZ90">
        <v>0</v>
      </c>
      <c r="AEA90">
        <v>0</v>
      </c>
      <c r="AEB90">
        <v>0</v>
      </c>
      <c r="AEC90">
        <v>0</v>
      </c>
      <c r="AED90">
        <v>0</v>
      </c>
      <c r="AEE90">
        <v>0</v>
      </c>
      <c r="AEF90">
        <v>0</v>
      </c>
      <c r="AEG90">
        <v>0</v>
      </c>
      <c r="AEH90">
        <v>0</v>
      </c>
      <c r="AEI90">
        <v>0</v>
      </c>
      <c r="AEJ90">
        <v>0</v>
      </c>
      <c r="AEK90">
        <v>0</v>
      </c>
      <c r="AEL90">
        <v>0</v>
      </c>
      <c r="AEM90">
        <v>0</v>
      </c>
      <c r="AEN90">
        <v>0</v>
      </c>
      <c r="AEO90">
        <v>0</v>
      </c>
      <c r="AEP90">
        <v>0</v>
      </c>
      <c r="AEQ90">
        <v>0</v>
      </c>
      <c r="AER90">
        <v>0</v>
      </c>
      <c r="AES90">
        <v>0</v>
      </c>
      <c r="AET90">
        <v>0</v>
      </c>
      <c r="AEU90">
        <v>0</v>
      </c>
      <c r="AEV90">
        <v>0</v>
      </c>
      <c r="AEW90">
        <v>0</v>
      </c>
      <c r="AEX90">
        <v>0</v>
      </c>
      <c r="AEY90">
        <v>0</v>
      </c>
      <c r="AEZ90">
        <v>0</v>
      </c>
      <c r="AFA90">
        <v>0</v>
      </c>
      <c r="AFB90">
        <v>0</v>
      </c>
      <c r="AFC90">
        <v>0</v>
      </c>
      <c r="AFD90">
        <v>0</v>
      </c>
      <c r="AFE90">
        <v>0</v>
      </c>
      <c r="AFF90">
        <v>0</v>
      </c>
      <c r="AFG90">
        <v>0</v>
      </c>
      <c r="AFH90">
        <v>0</v>
      </c>
      <c r="AFI90">
        <v>0</v>
      </c>
      <c r="AFJ90">
        <v>0</v>
      </c>
      <c r="AFK90">
        <v>0</v>
      </c>
      <c r="AFL90">
        <v>0</v>
      </c>
      <c r="AFM90">
        <v>0</v>
      </c>
      <c r="AFN90">
        <v>0</v>
      </c>
      <c r="AFO90">
        <v>0</v>
      </c>
      <c r="AFP90">
        <v>0</v>
      </c>
      <c r="AFQ90">
        <v>0</v>
      </c>
      <c r="AFR90">
        <v>0</v>
      </c>
      <c r="AFS90">
        <v>0</v>
      </c>
      <c r="AFT90">
        <v>0</v>
      </c>
      <c r="AFU90">
        <v>0</v>
      </c>
      <c r="AFV90">
        <v>0</v>
      </c>
      <c r="AFW90">
        <v>0</v>
      </c>
      <c r="AFX90">
        <v>0</v>
      </c>
      <c r="AFY90">
        <v>0</v>
      </c>
      <c r="AFZ90">
        <v>-120</v>
      </c>
      <c r="AGA90">
        <v>0</v>
      </c>
      <c r="AGB90">
        <v>0</v>
      </c>
      <c r="AGC90">
        <v>0</v>
      </c>
      <c r="AGD90">
        <v>0</v>
      </c>
      <c r="AGE90">
        <v>0</v>
      </c>
      <c r="AGF90">
        <v>0</v>
      </c>
      <c r="AGG90">
        <v>0</v>
      </c>
      <c r="AGH90">
        <v>0</v>
      </c>
      <c r="AGI90">
        <v>0</v>
      </c>
      <c r="AGJ90">
        <v>0</v>
      </c>
      <c r="AGK90">
        <v>0</v>
      </c>
      <c r="AGL90">
        <v>0</v>
      </c>
      <c r="AGM90">
        <v>0</v>
      </c>
      <c r="AGN90">
        <v>0</v>
      </c>
      <c r="AGO90">
        <v>0</v>
      </c>
      <c r="AGP90">
        <v>0</v>
      </c>
      <c r="AGQ90">
        <v>0</v>
      </c>
      <c r="AGR90">
        <v>0</v>
      </c>
      <c r="AGS90">
        <v>0</v>
      </c>
      <c r="AGT90">
        <v>0</v>
      </c>
      <c r="AGU90">
        <v>0</v>
      </c>
      <c r="AGV90">
        <v>0</v>
      </c>
      <c r="AGW90">
        <v>0</v>
      </c>
      <c r="AGX90">
        <v>0</v>
      </c>
      <c r="AGY90">
        <v>0</v>
      </c>
      <c r="AGZ90">
        <v>0</v>
      </c>
      <c r="AHA90">
        <v>0</v>
      </c>
      <c r="AHB90">
        <v>0</v>
      </c>
      <c r="AHC90">
        <v>0</v>
      </c>
      <c r="AHD90">
        <v>0</v>
      </c>
      <c r="AHE90">
        <v>0</v>
      </c>
      <c r="AHF90">
        <v>0</v>
      </c>
      <c r="AHG90">
        <v>0</v>
      </c>
      <c r="AHH90">
        <v>0</v>
      </c>
      <c r="AHI90">
        <v>0</v>
      </c>
      <c r="AHJ90">
        <v>0</v>
      </c>
      <c r="AHK90">
        <v>0</v>
      </c>
      <c r="AHL90">
        <v>0</v>
      </c>
      <c r="AHM90">
        <v>0</v>
      </c>
      <c r="AHN90">
        <v>0</v>
      </c>
      <c r="AHO90">
        <v>0</v>
      </c>
      <c r="AHP90">
        <v>0</v>
      </c>
      <c r="AHQ90">
        <v>0</v>
      </c>
      <c r="AHR90">
        <v>0</v>
      </c>
      <c r="AHS90">
        <v>0</v>
      </c>
      <c r="AHT90">
        <v>0</v>
      </c>
      <c r="AHU90">
        <v>0</v>
      </c>
      <c r="AHV90">
        <v>0</v>
      </c>
      <c r="AHW90">
        <v>0</v>
      </c>
      <c r="AHX90">
        <v>0</v>
      </c>
      <c r="AHY90">
        <v>0</v>
      </c>
      <c r="AHZ90">
        <v>0</v>
      </c>
      <c r="AIA90">
        <v>0</v>
      </c>
      <c r="AIB90">
        <v>0</v>
      </c>
      <c r="AIC90">
        <v>0</v>
      </c>
      <c r="AID90">
        <v>0</v>
      </c>
      <c r="AIE90">
        <v>0</v>
      </c>
      <c r="AIF90">
        <v>0</v>
      </c>
      <c r="AIG90">
        <v>0</v>
      </c>
      <c r="AIH90">
        <v>0</v>
      </c>
      <c r="AII90">
        <v>0</v>
      </c>
      <c r="AIJ90">
        <v>0</v>
      </c>
      <c r="AIK90">
        <v>0</v>
      </c>
      <c r="AIL90">
        <v>0</v>
      </c>
      <c r="AIM90">
        <v>0</v>
      </c>
      <c r="AIN90">
        <v>0</v>
      </c>
      <c r="AIO90">
        <v>0</v>
      </c>
      <c r="AIP90">
        <v>0</v>
      </c>
      <c r="AIQ90">
        <v>0</v>
      </c>
      <c r="AIR90">
        <v>0</v>
      </c>
      <c r="AIS90">
        <v>0</v>
      </c>
      <c r="AIT90">
        <v>0</v>
      </c>
      <c r="AIU90">
        <v>0</v>
      </c>
      <c r="AIV90">
        <v>0</v>
      </c>
      <c r="AIW90">
        <v>0</v>
      </c>
      <c r="AIX90">
        <v>0</v>
      </c>
      <c r="AIY90">
        <v>0</v>
      </c>
      <c r="AIZ90">
        <v>0</v>
      </c>
      <c r="AJA90">
        <v>0</v>
      </c>
      <c r="AJB90">
        <v>0</v>
      </c>
      <c r="AJC90">
        <v>0</v>
      </c>
      <c r="AJD90">
        <v>0</v>
      </c>
      <c r="AJE90">
        <v>0</v>
      </c>
      <c r="AJF90">
        <v>0</v>
      </c>
      <c r="AJG90">
        <v>0</v>
      </c>
      <c r="AJH90">
        <v>0</v>
      </c>
      <c r="AJI90">
        <v>0</v>
      </c>
      <c r="AJJ90">
        <v>0</v>
      </c>
      <c r="AJK90">
        <v>0</v>
      </c>
      <c r="AJL90">
        <v>0</v>
      </c>
      <c r="AJM90">
        <v>0</v>
      </c>
      <c r="AJN90">
        <v>0</v>
      </c>
      <c r="AJO90">
        <v>0</v>
      </c>
      <c r="AJP90">
        <v>0</v>
      </c>
      <c r="AJQ90">
        <v>0</v>
      </c>
      <c r="AJR90">
        <v>-4500</v>
      </c>
      <c r="AJS90">
        <v>0</v>
      </c>
      <c r="AJT90">
        <v>0</v>
      </c>
      <c r="AJU90">
        <v>0</v>
      </c>
      <c r="AJV90">
        <v>0</v>
      </c>
      <c r="AJW90">
        <v>0</v>
      </c>
      <c r="AJX90">
        <v>0</v>
      </c>
      <c r="AJY90">
        <v>0</v>
      </c>
    </row>
    <row r="91" spans="1:961" x14ac:dyDescent="0.3">
      <c r="A91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10000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5000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  <c r="KP91">
        <v>0</v>
      </c>
      <c r="KQ91">
        <v>0</v>
      </c>
      <c r="KR91">
        <v>0</v>
      </c>
      <c r="KS91">
        <v>0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0</v>
      </c>
      <c r="LA91">
        <v>0</v>
      </c>
      <c r="LB91">
        <v>0</v>
      </c>
      <c r="LC91">
        <v>0</v>
      </c>
      <c r="LD91">
        <v>0</v>
      </c>
      <c r="LE91">
        <v>0</v>
      </c>
      <c r="LF91">
        <v>0</v>
      </c>
      <c r="LG91">
        <v>0</v>
      </c>
      <c r="LH91">
        <v>0</v>
      </c>
      <c r="LI91">
        <v>0</v>
      </c>
      <c r="LJ91">
        <v>0</v>
      </c>
      <c r="LK91">
        <v>0</v>
      </c>
      <c r="LL91">
        <v>0</v>
      </c>
      <c r="LM91">
        <v>0</v>
      </c>
      <c r="LN91">
        <v>0</v>
      </c>
      <c r="LO91">
        <v>0</v>
      </c>
      <c r="LP91">
        <v>0</v>
      </c>
      <c r="LQ91">
        <v>0</v>
      </c>
      <c r="LR91">
        <v>0</v>
      </c>
      <c r="LS91">
        <v>0</v>
      </c>
      <c r="LT91">
        <v>0</v>
      </c>
      <c r="LU91">
        <v>0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  <c r="MC91">
        <v>0</v>
      </c>
      <c r="MD91">
        <v>0</v>
      </c>
      <c r="ME91">
        <v>0</v>
      </c>
      <c r="MF91">
        <v>0</v>
      </c>
      <c r="MG91">
        <v>0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0</v>
      </c>
      <c r="MS91">
        <v>0</v>
      </c>
      <c r="MT91">
        <v>0</v>
      </c>
      <c r="MU91">
        <v>0</v>
      </c>
      <c r="MV91">
        <v>0</v>
      </c>
      <c r="MW91">
        <v>0</v>
      </c>
      <c r="MX91">
        <v>0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0</v>
      </c>
      <c r="NJ91">
        <v>0</v>
      </c>
      <c r="NK91">
        <v>0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0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</v>
      </c>
      <c r="OL91">
        <v>0</v>
      </c>
      <c r="OM91">
        <v>0</v>
      </c>
      <c r="ON91">
        <v>0</v>
      </c>
      <c r="OO91">
        <v>0</v>
      </c>
      <c r="OP91">
        <v>0</v>
      </c>
      <c r="OQ91">
        <v>0</v>
      </c>
      <c r="OR91">
        <v>0</v>
      </c>
      <c r="OS91">
        <v>0</v>
      </c>
      <c r="OT91">
        <v>0</v>
      </c>
      <c r="OU91">
        <v>0</v>
      </c>
      <c r="OV91">
        <v>0</v>
      </c>
      <c r="OW91">
        <v>0</v>
      </c>
      <c r="OX91">
        <v>0</v>
      </c>
      <c r="OY91">
        <v>0</v>
      </c>
      <c r="OZ91">
        <v>0</v>
      </c>
      <c r="PA91">
        <v>0</v>
      </c>
      <c r="PB91">
        <v>0</v>
      </c>
      <c r="PC91">
        <v>0</v>
      </c>
      <c r="PD91">
        <v>0</v>
      </c>
      <c r="PE91">
        <v>0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0</v>
      </c>
      <c r="PO91">
        <v>0</v>
      </c>
      <c r="PP91">
        <v>0</v>
      </c>
      <c r="PQ91">
        <v>0</v>
      </c>
      <c r="PR91">
        <v>0</v>
      </c>
      <c r="PS91">
        <v>0</v>
      </c>
      <c r="PT91">
        <v>0</v>
      </c>
      <c r="PU91">
        <v>0</v>
      </c>
      <c r="PV91">
        <v>0</v>
      </c>
      <c r="PW91">
        <v>0</v>
      </c>
      <c r="PX91">
        <v>0</v>
      </c>
      <c r="PY91">
        <v>0</v>
      </c>
      <c r="PZ91">
        <v>0</v>
      </c>
      <c r="QA91">
        <v>0</v>
      </c>
      <c r="QB91">
        <v>0</v>
      </c>
      <c r="QC91">
        <v>0</v>
      </c>
      <c r="QD91">
        <v>0</v>
      </c>
      <c r="QE91">
        <v>0</v>
      </c>
      <c r="QF91">
        <v>0</v>
      </c>
      <c r="QG91">
        <v>0</v>
      </c>
      <c r="QH91">
        <v>0</v>
      </c>
      <c r="QI91">
        <v>0</v>
      </c>
      <c r="QJ91">
        <v>0</v>
      </c>
      <c r="QK91">
        <v>0</v>
      </c>
      <c r="QL91">
        <v>0</v>
      </c>
      <c r="QM91">
        <v>0</v>
      </c>
      <c r="QN91">
        <v>0</v>
      </c>
      <c r="QO91">
        <v>0</v>
      </c>
      <c r="QP91">
        <v>0</v>
      </c>
      <c r="QQ91">
        <v>0</v>
      </c>
      <c r="QR91">
        <v>0</v>
      </c>
      <c r="QS91">
        <v>0</v>
      </c>
      <c r="QT91">
        <v>0</v>
      </c>
      <c r="QU91">
        <v>0</v>
      </c>
      <c r="QV91">
        <v>0</v>
      </c>
      <c r="QW91">
        <v>0</v>
      </c>
      <c r="QX91">
        <v>0</v>
      </c>
      <c r="QY91">
        <v>0</v>
      </c>
      <c r="QZ91">
        <v>0</v>
      </c>
      <c r="RA91">
        <v>0</v>
      </c>
      <c r="RB91">
        <v>0</v>
      </c>
      <c r="RC91">
        <v>0</v>
      </c>
      <c r="RD91">
        <v>0</v>
      </c>
      <c r="RE91">
        <v>0</v>
      </c>
      <c r="RF91">
        <v>0</v>
      </c>
      <c r="RG91">
        <v>-150</v>
      </c>
      <c r="RH91">
        <v>0</v>
      </c>
      <c r="RI91">
        <v>0</v>
      </c>
      <c r="RJ91">
        <v>0</v>
      </c>
      <c r="RK91">
        <v>0</v>
      </c>
      <c r="RL91">
        <v>0</v>
      </c>
      <c r="RM91">
        <v>0</v>
      </c>
      <c r="RN91">
        <v>0</v>
      </c>
      <c r="RO91">
        <v>0</v>
      </c>
      <c r="RP91">
        <v>0</v>
      </c>
      <c r="RQ91">
        <v>0</v>
      </c>
      <c r="RR91">
        <v>0</v>
      </c>
      <c r="RS91">
        <v>0</v>
      </c>
      <c r="RT91">
        <v>0</v>
      </c>
      <c r="RU91">
        <v>0</v>
      </c>
      <c r="RV91">
        <v>0</v>
      </c>
      <c r="RW91">
        <v>0</v>
      </c>
      <c r="RX91">
        <v>0</v>
      </c>
      <c r="RY91">
        <v>0</v>
      </c>
      <c r="RZ91">
        <v>0</v>
      </c>
      <c r="SA91">
        <v>0</v>
      </c>
      <c r="SB91">
        <v>0</v>
      </c>
      <c r="SC91">
        <v>0</v>
      </c>
      <c r="SD91">
        <v>0</v>
      </c>
      <c r="SE91">
        <v>0</v>
      </c>
      <c r="SF91">
        <v>0</v>
      </c>
      <c r="SG91">
        <v>0</v>
      </c>
      <c r="SH91">
        <v>0</v>
      </c>
      <c r="SI91">
        <v>0</v>
      </c>
      <c r="SJ91">
        <v>0</v>
      </c>
      <c r="SK91">
        <v>0</v>
      </c>
      <c r="SL91">
        <v>0</v>
      </c>
      <c r="SM91">
        <v>0</v>
      </c>
      <c r="SN91">
        <v>0</v>
      </c>
      <c r="SO91">
        <v>0</v>
      </c>
      <c r="SP91">
        <v>0</v>
      </c>
      <c r="SQ91">
        <v>0</v>
      </c>
      <c r="SR91">
        <v>0</v>
      </c>
      <c r="SS91">
        <v>0</v>
      </c>
      <c r="ST91">
        <v>0</v>
      </c>
      <c r="SU91">
        <v>0</v>
      </c>
      <c r="SV91">
        <v>0</v>
      </c>
      <c r="SW91">
        <v>0</v>
      </c>
      <c r="SX91">
        <v>0</v>
      </c>
      <c r="SY91">
        <v>0</v>
      </c>
      <c r="SZ91">
        <v>0</v>
      </c>
      <c r="TA91">
        <v>0</v>
      </c>
      <c r="TB91">
        <v>0</v>
      </c>
      <c r="TC91">
        <v>0</v>
      </c>
      <c r="TD91">
        <v>0</v>
      </c>
      <c r="TE91">
        <v>0</v>
      </c>
      <c r="TF91">
        <v>0</v>
      </c>
      <c r="TG91">
        <v>0</v>
      </c>
      <c r="TH91">
        <v>0</v>
      </c>
      <c r="TI91">
        <v>0</v>
      </c>
      <c r="TJ91">
        <v>0</v>
      </c>
      <c r="TK91">
        <v>0</v>
      </c>
      <c r="TL91">
        <v>0</v>
      </c>
      <c r="TM91">
        <v>0</v>
      </c>
      <c r="TN91">
        <v>0</v>
      </c>
      <c r="TO91">
        <v>0</v>
      </c>
      <c r="TP91">
        <v>0</v>
      </c>
      <c r="TQ91">
        <v>0</v>
      </c>
      <c r="TR91">
        <v>0</v>
      </c>
      <c r="TS91">
        <v>0</v>
      </c>
      <c r="TT91">
        <v>0</v>
      </c>
      <c r="TU91">
        <v>0</v>
      </c>
      <c r="TV91">
        <v>0</v>
      </c>
      <c r="TW91">
        <v>0</v>
      </c>
      <c r="TX91">
        <v>0</v>
      </c>
      <c r="TY91">
        <v>0</v>
      </c>
      <c r="TZ91">
        <v>0</v>
      </c>
      <c r="UA91">
        <v>0</v>
      </c>
      <c r="UB91">
        <v>0</v>
      </c>
      <c r="UC91">
        <v>0</v>
      </c>
      <c r="UD91">
        <v>0</v>
      </c>
      <c r="UE91">
        <v>0</v>
      </c>
      <c r="UF91">
        <v>0</v>
      </c>
      <c r="UG91">
        <v>0</v>
      </c>
      <c r="UH91">
        <v>0</v>
      </c>
      <c r="UI91">
        <v>0</v>
      </c>
      <c r="UJ91">
        <v>0</v>
      </c>
      <c r="UK91">
        <v>0</v>
      </c>
      <c r="UL91">
        <v>0</v>
      </c>
      <c r="UM91">
        <v>0</v>
      </c>
      <c r="UN91">
        <v>0</v>
      </c>
      <c r="UO91">
        <v>0</v>
      </c>
      <c r="UP91">
        <v>0</v>
      </c>
      <c r="UQ91">
        <v>0</v>
      </c>
      <c r="UR91">
        <v>0</v>
      </c>
      <c r="US91">
        <v>0</v>
      </c>
      <c r="UT91">
        <v>0</v>
      </c>
      <c r="UU91">
        <v>0</v>
      </c>
      <c r="UV91">
        <v>0</v>
      </c>
      <c r="UW91">
        <v>0</v>
      </c>
      <c r="UX91">
        <v>0</v>
      </c>
      <c r="UY91">
        <v>-1000</v>
      </c>
      <c r="UZ91">
        <v>0</v>
      </c>
      <c r="VA91">
        <v>0</v>
      </c>
      <c r="VB91">
        <v>0</v>
      </c>
      <c r="VC91">
        <v>0</v>
      </c>
      <c r="VD91">
        <v>0</v>
      </c>
      <c r="VE91">
        <v>0</v>
      </c>
      <c r="VF91">
        <v>0</v>
      </c>
      <c r="VG91">
        <v>0</v>
      </c>
      <c r="VH91">
        <v>0</v>
      </c>
      <c r="VI91">
        <v>0</v>
      </c>
      <c r="VJ91">
        <v>0</v>
      </c>
      <c r="VK91">
        <v>0</v>
      </c>
      <c r="VL91">
        <v>0</v>
      </c>
      <c r="VM91">
        <v>0</v>
      </c>
      <c r="VN91">
        <v>0</v>
      </c>
      <c r="VO91">
        <v>0</v>
      </c>
      <c r="VP91">
        <v>0</v>
      </c>
      <c r="VQ91">
        <v>0</v>
      </c>
      <c r="VR91">
        <v>0</v>
      </c>
      <c r="VS91">
        <v>0</v>
      </c>
      <c r="VT91">
        <v>0</v>
      </c>
      <c r="VU91">
        <v>0</v>
      </c>
      <c r="VV91">
        <v>0</v>
      </c>
      <c r="VW91">
        <v>0</v>
      </c>
      <c r="VX91">
        <v>0</v>
      </c>
      <c r="VY91">
        <v>0</v>
      </c>
      <c r="VZ91">
        <v>0</v>
      </c>
      <c r="WA91">
        <v>0</v>
      </c>
      <c r="WB91">
        <v>0</v>
      </c>
      <c r="WC91">
        <v>0</v>
      </c>
      <c r="WD91">
        <v>0</v>
      </c>
      <c r="WE91">
        <v>0</v>
      </c>
      <c r="WF91">
        <v>0</v>
      </c>
      <c r="WG91">
        <v>0</v>
      </c>
      <c r="WH91">
        <v>0</v>
      </c>
      <c r="WI91">
        <v>0</v>
      </c>
      <c r="WJ91">
        <v>0</v>
      </c>
      <c r="WK91">
        <v>0</v>
      </c>
      <c r="WL91">
        <v>0</v>
      </c>
      <c r="WM91">
        <v>0</v>
      </c>
      <c r="WN91">
        <v>0</v>
      </c>
      <c r="WO91">
        <v>0</v>
      </c>
      <c r="WP91">
        <v>0</v>
      </c>
      <c r="WQ91">
        <v>0</v>
      </c>
      <c r="WR91">
        <v>0</v>
      </c>
      <c r="WS91">
        <v>0</v>
      </c>
      <c r="WT91">
        <v>0</v>
      </c>
      <c r="WU91">
        <v>0</v>
      </c>
      <c r="WV91">
        <v>0</v>
      </c>
      <c r="WW91">
        <v>0</v>
      </c>
      <c r="WX91">
        <v>0</v>
      </c>
      <c r="WY91">
        <v>0</v>
      </c>
      <c r="WZ91">
        <v>0</v>
      </c>
      <c r="XA91">
        <v>0</v>
      </c>
      <c r="XB91">
        <v>0</v>
      </c>
      <c r="XC91">
        <v>0</v>
      </c>
      <c r="XD91">
        <v>0</v>
      </c>
      <c r="XE91">
        <v>0</v>
      </c>
      <c r="XF91">
        <v>0</v>
      </c>
      <c r="XG91">
        <v>0</v>
      </c>
      <c r="XH91">
        <v>0</v>
      </c>
      <c r="XI91">
        <v>0</v>
      </c>
      <c r="XJ91">
        <v>0</v>
      </c>
      <c r="XK91">
        <v>0</v>
      </c>
      <c r="XL91">
        <v>0</v>
      </c>
      <c r="XM91">
        <v>0</v>
      </c>
      <c r="XN91">
        <v>0</v>
      </c>
      <c r="XO91">
        <v>0</v>
      </c>
      <c r="XP91">
        <v>0</v>
      </c>
      <c r="XQ91">
        <v>0</v>
      </c>
      <c r="XR91">
        <v>0</v>
      </c>
      <c r="XS91">
        <v>0</v>
      </c>
      <c r="XT91">
        <v>0</v>
      </c>
      <c r="XU91">
        <v>0</v>
      </c>
      <c r="XV91">
        <v>0</v>
      </c>
      <c r="XW91">
        <v>0</v>
      </c>
      <c r="XX91">
        <v>0</v>
      </c>
      <c r="XY91">
        <v>0</v>
      </c>
      <c r="XZ91">
        <v>0</v>
      </c>
      <c r="YA91">
        <v>0</v>
      </c>
      <c r="YB91">
        <v>0</v>
      </c>
      <c r="YC91">
        <v>0</v>
      </c>
      <c r="YD91">
        <v>0</v>
      </c>
      <c r="YE91">
        <v>0</v>
      </c>
      <c r="YF91">
        <v>0</v>
      </c>
      <c r="YG91">
        <v>0</v>
      </c>
      <c r="YH91">
        <v>0</v>
      </c>
      <c r="YI91">
        <v>0</v>
      </c>
      <c r="YJ91">
        <v>0</v>
      </c>
      <c r="YK91">
        <v>0</v>
      </c>
      <c r="YL91">
        <v>0</v>
      </c>
      <c r="YM91">
        <v>0</v>
      </c>
      <c r="YN91">
        <v>0</v>
      </c>
      <c r="YO91">
        <v>0</v>
      </c>
      <c r="YP91">
        <v>0</v>
      </c>
      <c r="YQ91">
        <v>-5</v>
      </c>
      <c r="YR91">
        <v>0</v>
      </c>
      <c r="YS91">
        <v>0</v>
      </c>
      <c r="YT91">
        <v>0</v>
      </c>
      <c r="YU91">
        <v>0</v>
      </c>
      <c r="YV91">
        <v>0</v>
      </c>
      <c r="YW91">
        <v>0</v>
      </c>
      <c r="YX91">
        <v>0</v>
      </c>
      <c r="YY91">
        <v>0</v>
      </c>
      <c r="YZ91">
        <v>0</v>
      </c>
      <c r="ZA91">
        <v>0</v>
      </c>
      <c r="ZB91">
        <v>0</v>
      </c>
      <c r="ZC91">
        <v>0</v>
      </c>
      <c r="ZD91">
        <v>0</v>
      </c>
      <c r="ZE91">
        <v>0</v>
      </c>
      <c r="ZF91">
        <v>0</v>
      </c>
      <c r="ZG91">
        <v>0</v>
      </c>
      <c r="ZH91">
        <v>0</v>
      </c>
      <c r="ZI91">
        <v>0</v>
      </c>
      <c r="ZJ91">
        <v>0</v>
      </c>
      <c r="ZK91">
        <v>0</v>
      </c>
      <c r="ZL91">
        <v>0</v>
      </c>
      <c r="ZM91">
        <v>0</v>
      </c>
      <c r="ZN91">
        <v>0</v>
      </c>
      <c r="ZO91">
        <v>0</v>
      </c>
      <c r="ZP91">
        <v>0</v>
      </c>
      <c r="ZQ91">
        <v>0</v>
      </c>
      <c r="ZR91">
        <v>0</v>
      </c>
      <c r="ZS91">
        <v>0</v>
      </c>
      <c r="ZT91">
        <v>0</v>
      </c>
      <c r="ZU91">
        <v>0</v>
      </c>
      <c r="ZV91">
        <v>0</v>
      </c>
      <c r="ZW91">
        <v>0</v>
      </c>
      <c r="ZX91">
        <v>0</v>
      </c>
      <c r="ZY91">
        <v>0</v>
      </c>
      <c r="ZZ91">
        <v>0</v>
      </c>
      <c r="AAA91">
        <v>0</v>
      </c>
      <c r="AAB91">
        <v>0</v>
      </c>
      <c r="AAC91">
        <v>0</v>
      </c>
      <c r="AAD91">
        <v>0</v>
      </c>
      <c r="AAE91">
        <v>0</v>
      </c>
      <c r="AAF91">
        <v>0</v>
      </c>
      <c r="AAG91">
        <v>0</v>
      </c>
      <c r="AAH91">
        <v>0</v>
      </c>
      <c r="AAI91">
        <v>0</v>
      </c>
      <c r="AAJ91">
        <v>0</v>
      </c>
      <c r="AAK91">
        <v>0</v>
      </c>
      <c r="AAL91">
        <v>0</v>
      </c>
      <c r="AAM91">
        <v>0</v>
      </c>
      <c r="AAN91">
        <v>0</v>
      </c>
      <c r="AAO91">
        <v>0</v>
      </c>
      <c r="AAP91">
        <v>0</v>
      </c>
      <c r="AAQ91">
        <v>0</v>
      </c>
      <c r="AAR91">
        <v>0</v>
      </c>
      <c r="AAS91">
        <v>0</v>
      </c>
      <c r="AAT91">
        <v>0</v>
      </c>
      <c r="AAU91">
        <v>0</v>
      </c>
      <c r="AAV91">
        <v>0</v>
      </c>
      <c r="AAW91">
        <v>0</v>
      </c>
      <c r="AAX91">
        <v>0</v>
      </c>
      <c r="AAY91">
        <v>0</v>
      </c>
      <c r="AAZ91">
        <v>0</v>
      </c>
      <c r="ABA91">
        <v>0</v>
      </c>
      <c r="ABB91">
        <v>0</v>
      </c>
      <c r="ABC91">
        <v>0</v>
      </c>
      <c r="ABD91">
        <v>0</v>
      </c>
      <c r="ABE91">
        <v>0</v>
      </c>
      <c r="ABF91">
        <v>0</v>
      </c>
      <c r="ABG91">
        <v>0</v>
      </c>
      <c r="ABH91">
        <v>0</v>
      </c>
      <c r="ABI91">
        <v>0</v>
      </c>
      <c r="ABJ91">
        <v>0</v>
      </c>
      <c r="ABK91">
        <v>0</v>
      </c>
      <c r="ABL91">
        <v>0</v>
      </c>
      <c r="ABM91">
        <v>0</v>
      </c>
      <c r="ABN91">
        <v>0</v>
      </c>
      <c r="ABO91">
        <v>0</v>
      </c>
      <c r="ABP91">
        <v>0</v>
      </c>
      <c r="ABQ91">
        <v>0</v>
      </c>
      <c r="ABR91">
        <v>0</v>
      </c>
      <c r="ABS91">
        <v>0</v>
      </c>
      <c r="ABT91">
        <v>0</v>
      </c>
      <c r="ABU91">
        <v>0</v>
      </c>
      <c r="ABV91">
        <v>0</v>
      </c>
      <c r="ABW91">
        <v>0</v>
      </c>
      <c r="ABX91">
        <v>0</v>
      </c>
      <c r="ABY91">
        <v>0</v>
      </c>
      <c r="ABZ91">
        <v>0</v>
      </c>
      <c r="ACA91">
        <v>0</v>
      </c>
      <c r="ACB91">
        <v>0</v>
      </c>
      <c r="ACC91">
        <v>0</v>
      </c>
      <c r="ACD91">
        <v>0</v>
      </c>
      <c r="ACE91">
        <v>0</v>
      </c>
      <c r="ACF91">
        <v>0</v>
      </c>
      <c r="ACG91">
        <v>0</v>
      </c>
      <c r="ACH91">
        <v>0</v>
      </c>
      <c r="ACI91">
        <v>-256.16438356164383</v>
      </c>
      <c r="ACJ91">
        <v>0</v>
      </c>
      <c r="ACK91">
        <v>0</v>
      </c>
      <c r="ACL91">
        <v>0</v>
      </c>
      <c r="ACM91">
        <v>0</v>
      </c>
      <c r="ACN91">
        <v>0</v>
      </c>
      <c r="ACO91">
        <v>0</v>
      </c>
      <c r="ACP91">
        <v>0</v>
      </c>
      <c r="ACQ91">
        <v>0</v>
      </c>
      <c r="ACR91">
        <v>0</v>
      </c>
      <c r="ACS91">
        <v>0</v>
      </c>
      <c r="ACT91">
        <v>0</v>
      </c>
      <c r="ACU91">
        <v>0</v>
      </c>
      <c r="ACV91">
        <v>0</v>
      </c>
      <c r="ACW91">
        <v>0</v>
      </c>
      <c r="ACX91">
        <v>0</v>
      </c>
      <c r="ACY91">
        <v>0</v>
      </c>
      <c r="ACZ91">
        <v>0</v>
      </c>
      <c r="ADA91">
        <v>0</v>
      </c>
      <c r="ADB91">
        <v>0</v>
      </c>
      <c r="ADC91">
        <v>0</v>
      </c>
      <c r="ADD91">
        <v>0</v>
      </c>
      <c r="ADE91">
        <v>0</v>
      </c>
      <c r="ADF91">
        <v>0</v>
      </c>
      <c r="ADG91">
        <v>0</v>
      </c>
      <c r="ADH91">
        <v>0</v>
      </c>
      <c r="ADI91">
        <v>0</v>
      </c>
      <c r="ADJ91">
        <v>0</v>
      </c>
      <c r="ADK91">
        <v>0</v>
      </c>
      <c r="ADL91">
        <v>0</v>
      </c>
      <c r="ADM91">
        <v>0</v>
      </c>
      <c r="ADN91">
        <v>0</v>
      </c>
      <c r="ADO91">
        <v>0</v>
      </c>
      <c r="ADP91">
        <v>0</v>
      </c>
      <c r="ADQ91">
        <v>0</v>
      </c>
      <c r="ADR91">
        <v>0</v>
      </c>
      <c r="ADS91">
        <v>0</v>
      </c>
      <c r="ADT91">
        <v>0</v>
      </c>
      <c r="ADU91">
        <v>0</v>
      </c>
      <c r="ADV91">
        <v>0</v>
      </c>
      <c r="ADW91">
        <v>0</v>
      </c>
      <c r="ADX91">
        <v>0</v>
      </c>
      <c r="ADY91">
        <v>0</v>
      </c>
      <c r="ADZ91">
        <v>0</v>
      </c>
      <c r="AEA91">
        <v>0</v>
      </c>
      <c r="AEB91">
        <v>0</v>
      </c>
      <c r="AEC91">
        <v>0</v>
      </c>
      <c r="AED91">
        <v>0</v>
      </c>
      <c r="AEE91">
        <v>0</v>
      </c>
      <c r="AEF91">
        <v>0</v>
      </c>
      <c r="AEG91">
        <v>0</v>
      </c>
      <c r="AEH91">
        <v>0</v>
      </c>
      <c r="AEI91">
        <v>0</v>
      </c>
      <c r="AEJ91">
        <v>0</v>
      </c>
      <c r="AEK91">
        <v>0</v>
      </c>
      <c r="AEL91">
        <v>0</v>
      </c>
      <c r="AEM91">
        <v>0</v>
      </c>
      <c r="AEN91">
        <v>0</v>
      </c>
      <c r="AEO91">
        <v>0</v>
      </c>
      <c r="AEP91">
        <v>0</v>
      </c>
      <c r="AEQ91">
        <v>0</v>
      </c>
      <c r="AER91">
        <v>0</v>
      </c>
      <c r="AES91">
        <v>0</v>
      </c>
      <c r="AET91">
        <v>0</v>
      </c>
      <c r="AEU91">
        <v>0</v>
      </c>
      <c r="AEV91">
        <v>0</v>
      </c>
      <c r="AEW91">
        <v>0</v>
      </c>
      <c r="AEX91">
        <v>0</v>
      </c>
      <c r="AEY91">
        <v>0</v>
      </c>
      <c r="AEZ91">
        <v>0</v>
      </c>
      <c r="AFA91">
        <v>0</v>
      </c>
      <c r="AFB91">
        <v>0</v>
      </c>
      <c r="AFC91">
        <v>0</v>
      </c>
      <c r="AFD91">
        <v>0</v>
      </c>
      <c r="AFE91">
        <v>0</v>
      </c>
      <c r="AFF91">
        <v>0</v>
      </c>
      <c r="AFG91">
        <v>0</v>
      </c>
      <c r="AFH91">
        <v>0</v>
      </c>
      <c r="AFI91">
        <v>0</v>
      </c>
      <c r="AFJ91">
        <v>0</v>
      </c>
      <c r="AFK91">
        <v>0</v>
      </c>
      <c r="AFL91">
        <v>0</v>
      </c>
      <c r="AFM91">
        <v>0</v>
      </c>
      <c r="AFN91">
        <v>0</v>
      </c>
      <c r="AFO91">
        <v>0</v>
      </c>
      <c r="AFP91">
        <v>0</v>
      </c>
      <c r="AFQ91">
        <v>0</v>
      </c>
      <c r="AFR91">
        <v>0</v>
      </c>
      <c r="AFS91">
        <v>0</v>
      </c>
      <c r="AFT91">
        <v>0</v>
      </c>
      <c r="AFU91">
        <v>0</v>
      </c>
      <c r="AFV91">
        <v>0</v>
      </c>
      <c r="AFW91">
        <v>0</v>
      </c>
      <c r="AFX91">
        <v>0</v>
      </c>
      <c r="AFY91">
        <v>0</v>
      </c>
      <c r="AFZ91">
        <v>0</v>
      </c>
      <c r="AGA91">
        <v>-120</v>
      </c>
      <c r="AGB91">
        <v>0</v>
      </c>
      <c r="AGC91">
        <v>0</v>
      </c>
      <c r="AGD91">
        <v>0</v>
      </c>
      <c r="AGE91">
        <v>0</v>
      </c>
      <c r="AGF91">
        <v>0</v>
      </c>
      <c r="AGG91">
        <v>0</v>
      </c>
      <c r="AGH91">
        <v>0</v>
      </c>
      <c r="AGI91">
        <v>0</v>
      </c>
      <c r="AGJ91">
        <v>0</v>
      </c>
      <c r="AGK91">
        <v>0</v>
      </c>
      <c r="AGL91">
        <v>0</v>
      </c>
      <c r="AGM91">
        <v>0</v>
      </c>
      <c r="AGN91">
        <v>0</v>
      </c>
      <c r="AGO91">
        <v>0</v>
      </c>
      <c r="AGP91">
        <v>0</v>
      </c>
      <c r="AGQ91">
        <v>0</v>
      </c>
      <c r="AGR91">
        <v>0</v>
      </c>
      <c r="AGS91">
        <v>0</v>
      </c>
      <c r="AGT91">
        <v>0</v>
      </c>
      <c r="AGU91">
        <v>0</v>
      </c>
      <c r="AGV91">
        <v>0</v>
      </c>
      <c r="AGW91">
        <v>0</v>
      </c>
      <c r="AGX91">
        <v>0</v>
      </c>
      <c r="AGY91">
        <v>0</v>
      </c>
      <c r="AGZ91">
        <v>0</v>
      </c>
      <c r="AHA91">
        <v>0</v>
      </c>
      <c r="AHB91">
        <v>0</v>
      </c>
      <c r="AHC91">
        <v>0</v>
      </c>
      <c r="AHD91">
        <v>0</v>
      </c>
      <c r="AHE91">
        <v>0</v>
      </c>
      <c r="AHF91">
        <v>0</v>
      </c>
      <c r="AHG91">
        <v>0</v>
      </c>
      <c r="AHH91">
        <v>0</v>
      </c>
      <c r="AHI91">
        <v>0</v>
      </c>
      <c r="AHJ91">
        <v>0</v>
      </c>
      <c r="AHK91">
        <v>0</v>
      </c>
      <c r="AHL91">
        <v>0</v>
      </c>
      <c r="AHM91">
        <v>0</v>
      </c>
      <c r="AHN91">
        <v>0</v>
      </c>
      <c r="AHO91">
        <v>0</v>
      </c>
      <c r="AHP91">
        <v>0</v>
      </c>
      <c r="AHQ91">
        <v>0</v>
      </c>
      <c r="AHR91">
        <v>0</v>
      </c>
      <c r="AHS91">
        <v>0</v>
      </c>
      <c r="AHT91">
        <v>0</v>
      </c>
      <c r="AHU91">
        <v>0</v>
      </c>
      <c r="AHV91">
        <v>0</v>
      </c>
      <c r="AHW91">
        <v>0</v>
      </c>
      <c r="AHX91">
        <v>0</v>
      </c>
      <c r="AHY91">
        <v>0</v>
      </c>
      <c r="AHZ91">
        <v>0</v>
      </c>
      <c r="AIA91">
        <v>0</v>
      </c>
      <c r="AIB91">
        <v>0</v>
      </c>
      <c r="AIC91">
        <v>0</v>
      </c>
      <c r="AID91">
        <v>0</v>
      </c>
      <c r="AIE91">
        <v>0</v>
      </c>
      <c r="AIF91">
        <v>0</v>
      </c>
      <c r="AIG91">
        <v>0</v>
      </c>
      <c r="AIH91">
        <v>0</v>
      </c>
      <c r="AII91">
        <v>0</v>
      </c>
      <c r="AIJ91">
        <v>0</v>
      </c>
      <c r="AIK91">
        <v>0</v>
      </c>
      <c r="AIL91">
        <v>0</v>
      </c>
      <c r="AIM91">
        <v>0</v>
      </c>
      <c r="AIN91">
        <v>0</v>
      </c>
      <c r="AIO91">
        <v>0</v>
      </c>
      <c r="AIP91">
        <v>0</v>
      </c>
      <c r="AIQ91">
        <v>0</v>
      </c>
      <c r="AIR91">
        <v>0</v>
      </c>
      <c r="AIS91">
        <v>0</v>
      </c>
      <c r="AIT91">
        <v>0</v>
      </c>
      <c r="AIU91">
        <v>0</v>
      </c>
      <c r="AIV91">
        <v>0</v>
      </c>
      <c r="AIW91">
        <v>0</v>
      </c>
      <c r="AIX91">
        <v>0</v>
      </c>
      <c r="AIY91">
        <v>0</v>
      </c>
      <c r="AIZ91">
        <v>0</v>
      </c>
      <c r="AJA91">
        <v>0</v>
      </c>
      <c r="AJB91">
        <v>0</v>
      </c>
      <c r="AJC91">
        <v>0</v>
      </c>
      <c r="AJD91">
        <v>0</v>
      </c>
      <c r="AJE91">
        <v>0</v>
      </c>
      <c r="AJF91">
        <v>0</v>
      </c>
      <c r="AJG91">
        <v>0</v>
      </c>
      <c r="AJH91">
        <v>0</v>
      </c>
      <c r="AJI91">
        <v>0</v>
      </c>
      <c r="AJJ91">
        <v>0</v>
      </c>
      <c r="AJK91">
        <v>0</v>
      </c>
      <c r="AJL91">
        <v>0</v>
      </c>
      <c r="AJM91">
        <v>0</v>
      </c>
      <c r="AJN91">
        <v>0</v>
      </c>
      <c r="AJO91">
        <v>0</v>
      </c>
      <c r="AJP91">
        <v>0</v>
      </c>
      <c r="AJQ91">
        <v>0</v>
      </c>
      <c r="AJR91">
        <v>0</v>
      </c>
      <c r="AJS91">
        <v>-4500</v>
      </c>
      <c r="AJT91">
        <v>0</v>
      </c>
      <c r="AJU91">
        <v>0</v>
      </c>
      <c r="AJV91">
        <v>0</v>
      </c>
      <c r="AJW91">
        <v>0</v>
      </c>
      <c r="AJX91">
        <v>0</v>
      </c>
      <c r="AJY91">
        <v>0</v>
      </c>
    </row>
    <row r="92" spans="1:961" x14ac:dyDescent="0.3">
      <c r="A92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10000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5000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  <c r="KP92">
        <v>0</v>
      </c>
      <c r="KQ92">
        <v>0</v>
      </c>
      <c r="KR92">
        <v>0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0</v>
      </c>
      <c r="LA92">
        <v>0</v>
      </c>
      <c r="LB92">
        <v>0</v>
      </c>
      <c r="LC92">
        <v>0</v>
      </c>
      <c r="LD92">
        <v>0</v>
      </c>
      <c r="LE92">
        <v>0</v>
      </c>
      <c r="LF92">
        <v>0</v>
      </c>
      <c r="LG92">
        <v>0</v>
      </c>
      <c r="LH92">
        <v>0</v>
      </c>
      <c r="LI92">
        <v>0</v>
      </c>
      <c r="LJ92">
        <v>0</v>
      </c>
      <c r="LK92">
        <v>0</v>
      </c>
      <c r="LL92">
        <v>0</v>
      </c>
      <c r="LM92">
        <v>0</v>
      </c>
      <c r="LN92">
        <v>0</v>
      </c>
      <c r="LO92">
        <v>0</v>
      </c>
      <c r="LP92">
        <v>0</v>
      </c>
      <c r="LQ92">
        <v>0</v>
      </c>
      <c r="LR92">
        <v>0</v>
      </c>
      <c r="LS92">
        <v>0</v>
      </c>
      <c r="LT92">
        <v>0</v>
      </c>
      <c r="LU92">
        <v>0</v>
      </c>
      <c r="LV92">
        <v>0</v>
      </c>
      <c r="LW92">
        <v>0</v>
      </c>
      <c r="LX92">
        <v>0</v>
      </c>
      <c r="LY92">
        <v>0</v>
      </c>
      <c r="LZ92">
        <v>0</v>
      </c>
      <c r="MA92">
        <v>0</v>
      </c>
      <c r="MB92">
        <v>0</v>
      </c>
      <c r="MC92">
        <v>0</v>
      </c>
      <c r="MD92">
        <v>0</v>
      </c>
      <c r="ME92">
        <v>0</v>
      </c>
      <c r="MF92">
        <v>0</v>
      </c>
      <c r="MG92">
        <v>0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0</v>
      </c>
      <c r="MQ92">
        <v>0</v>
      </c>
      <c r="MR92">
        <v>0</v>
      </c>
      <c r="MS92">
        <v>0</v>
      </c>
      <c r="MT92">
        <v>0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0</v>
      </c>
      <c r="NM92">
        <v>0</v>
      </c>
      <c r="NN92">
        <v>0</v>
      </c>
      <c r="NO92">
        <v>0</v>
      </c>
      <c r="NP92">
        <v>0</v>
      </c>
      <c r="NQ92">
        <v>0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0</v>
      </c>
      <c r="OO92">
        <v>0</v>
      </c>
      <c r="OP92">
        <v>0</v>
      </c>
      <c r="OQ92">
        <v>0</v>
      </c>
      <c r="OR92">
        <v>0</v>
      </c>
      <c r="OS92">
        <v>0</v>
      </c>
      <c r="OT92">
        <v>0</v>
      </c>
      <c r="OU92">
        <v>0</v>
      </c>
      <c r="OV92">
        <v>0</v>
      </c>
      <c r="OW92">
        <v>0</v>
      </c>
      <c r="OX92">
        <v>0</v>
      </c>
      <c r="OY92">
        <v>0</v>
      </c>
      <c r="OZ92">
        <v>0</v>
      </c>
      <c r="PA92">
        <v>0</v>
      </c>
      <c r="PB92">
        <v>0</v>
      </c>
      <c r="PC92">
        <v>0</v>
      </c>
      <c r="PD92">
        <v>0</v>
      </c>
      <c r="PE92">
        <v>0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0</v>
      </c>
      <c r="PP92">
        <v>0</v>
      </c>
      <c r="PQ92">
        <v>0</v>
      </c>
      <c r="PR92">
        <v>0</v>
      </c>
      <c r="PS92">
        <v>0</v>
      </c>
      <c r="PT92">
        <v>0</v>
      </c>
      <c r="PU92">
        <v>0</v>
      </c>
      <c r="PV92">
        <v>0</v>
      </c>
      <c r="PW92">
        <v>0</v>
      </c>
      <c r="PX92">
        <v>0</v>
      </c>
      <c r="PY92">
        <v>0</v>
      </c>
      <c r="PZ92">
        <v>0</v>
      </c>
      <c r="QA92">
        <v>0</v>
      </c>
      <c r="QB92">
        <v>0</v>
      </c>
      <c r="QC92">
        <v>0</v>
      </c>
      <c r="QD92">
        <v>0</v>
      </c>
      <c r="QE92">
        <v>0</v>
      </c>
      <c r="QF92">
        <v>0</v>
      </c>
      <c r="QG92">
        <v>0</v>
      </c>
      <c r="QH92">
        <v>0</v>
      </c>
      <c r="QI92">
        <v>0</v>
      </c>
      <c r="QJ92">
        <v>0</v>
      </c>
      <c r="QK92">
        <v>0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0</v>
      </c>
      <c r="QR92">
        <v>0</v>
      </c>
      <c r="QS92">
        <v>0</v>
      </c>
      <c r="QT92">
        <v>0</v>
      </c>
      <c r="QU92">
        <v>0</v>
      </c>
      <c r="QV92">
        <v>0</v>
      </c>
      <c r="QW92">
        <v>0</v>
      </c>
      <c r="QX92">
        <v>0</v>
      </c>
      <c r="QY92">
        <v>0</v>
      </c>
      <c r="QZ92">
        <v>0</v>
      </c>
      <c r="RA92">
        <v>0</v>
      </c>
      <c r="RB92">
        <v>0</v>
      </c>
      <c r="RC92">
        <v>0</v>
      </c>
      <c r="RD92">
        <v>0</v>
      </c>
      <c r="RE92">
        <v>0</v>
      </c>
      <c r="RF92">
        <v>0</v>
      </c>
      <c r="RG92">
        <v>0</v>
      </c>
      <c r="RH92">
        <v>-150</v>
      </c>
      <c r="RI92">
        <v>0</v>
      </c>
      <c r="RJ92">
        <v>0</v>
      </c>
      <c r="RK92">
        <v>0</v>
      </c>
      <c r="RL92">
        <v>0</v>
      </c>
      <c r="RM92">
        <v>0</v>
      </c>
      <c r="RN92">
        <v>0</v>
      </c>
      <c r="RO92">
        <v>0</v>
      </c>
      <c r="RP92">
        <v>0</v>
      </c>
      <c r="RQ92">
        <v>0</v>
      </c>
      <c r="RR92">
        <v>0</v>
      </c>
      <c r="RS92">
        <v>0</v>
      </c>
      <c r="RT92">
        <v>0</v>
      </c>
      <c r="RU92">
        <v>0</v>
      </c>
      <c r="RV92">
        <v>0</v>
      </c>
      <c r="RW92">
        <v>0</v>
      </c>
      <c r="RX92">
        <v>0</v>
      </c>
      <c r="RY92">
        <v>0</v>
      </c>
      <c r="RZ92">
        <v>0</v>
      </c>
      <c r="SA92">
        <v>0</v>
      </c>
      <c r="SB92">
        <v>0</v>
      </c>
      <c r="SC92">
        <v>0</v>
      </c>
      <c r="SD92">
        <v>0</v>
      </c>
      <c r="SE92">
        <v>0</v>
      </c>
      <c r="SF92">
        <v>0</v>
      </c>
      <c r="SG92">
        <v>0</v>
      </c>
      <c r="SH92">
        <v>0</v>
      </c>
      <c r="SI92">
        <v>0</v>
      </c>
      <c r="SJ92">
        <v>0</v>
      </c>
      <c r="SK92">
        <v>0</v>
      </c>
      <c r="SL92">
        <v>0</v>
      </c>
      <c r="SM92">
        <v>0</v>
      </c>
      <c r="SN92">
        <v>0</v>
      </c>
      <c r="SO92">
        <v>0</v>
      </c>
      <c r="SP92">
        <v>0</v>
      </c>
      <c r="SQ92">
        <v>0</v>
      </c>
      <c r="SR92">
        <v>0</v>
      </c>
      <c r="SS92">
        <v>0</v>
      </c>
      <c r="ST92">
        <v>0</v>
      </c>
      <c r="SU92">
        <v>0</v>
      </c>
      <c r="SV92">
        <v>0</v>
      </c>
      <c r="SW92">
        <v>0</v>
      </c>
      <c r="SX92">
        <v>0</v>
      </c>
      <c r="SY92">
        <v>0</v>
      </c>
      <c r="SZ92">
        <v>0</v>
      </c>
      <c r="TA92">
        <v>0</v>
      </c>
      <c r="TB92">
        <v>0</v>
      </c>
      <c r="TC92">
        <v>0</v>
      </c>
      <c r="TD92">
        <v>0</v>
      </c>
      <c r="TE92">
        <v>0</v>
      </c>
      <c r="TF92">
        <v>0</v>
      </c>
      <c r="TG92">
        <v>0</v>
      </c>
      <c r="TH92">
        <v>0</v>
      </c>
      <c r="TI92">
        <v>0</v>
      </c>
      <c r="TJ92">
        <v>0</v>
      </c>
      <c r="TK92">
        <v>0</v>
      </c>
      <c r="TL92">
        <v>0</v>
      </c>
      <c r="TM92">
        <v>0</v>
      </c>
      <c r="TN92">
        <v>0</v>
      </c>
      <c r="TO92">
        <v>0</v>
      </c>
      <c r="TP92">
        <v>0</v>
      </c>
      <c r="TQ92">
        <v>0</v>
      </c>
      <c r="TR92">
        <v>0</v>
      </c>
      <c r="TS92">
        <v>0</v>
      </c>
      <c r="TT92">
        <v>0</v>
      </c>
      <c r="TU92">
        <v>0</v>
      </c>
      <c r="TV92">
        <v>0</v>
      </c>
      <c r="TW92">
        <v>0</v>
      </c>
      <c r="TX92">
        <v>0</v>
      </c>
      <c r="TY92">
        <v>0</v>
      </c>
      <c r="TZ92">
        <v>0</v>
      </c>
      <c r="UA92">
        <v>0</v>
      </c>
      <c r="UB92">
        <v>0</v>
      </c>
      <c r="UC92">
        <v>0</v>
      </c>
      <c r="UD92">
        <v>0</v>
      </c>
      <c r="UE92">
        <v>0</v>
      </c>
      <c r="UF92">
        <v>0</v>
      </c>
      <c r="UG92">
        <v>0</v>
      </c>
      <c r="UH92">
        <v>0</v>
      </c>
      <c r="UI92">
        <v>0</v>
      </c>
      <c r="UJ92">
        <v>0</v>
      </c>
      <c r="UK92">
        <v>0</v>
      </c>
      <c r="UL92">
        <v>0</v>
      </c>
      <c r="UM92">
        <v>0</v>
      </c>
      <c r="UN92">
        <v>0</v>
      </c>
      <c r="UO92">
        <v>0</v>
      </c>
      <c r="UP92">
        <v>0</v>
      </c>
      <c r="UQ92">
        <v>0</v>
      </c>
      <c r="UR92">
        <v>0</v>
      </c>
      <c r="US92">
        <v>0</v>
      </c>
      <c r="UT92">
        <v>0</v>
      </c>
      <c r="UU92">
        <v>0</v>
      </c>
      <c r="UV92">
        <v>0</v>
      </c>
      <c r="UW92">
        <v>0</v>
      </c>
      <c r="UX92">
        <v>0</v>
      </c>
      <c r="UY92">
        <v>0</v>
      </c>
      <c r="UZ92">
        <v>-1000</v>
      </c>
      <c r="VA92">
        <v>0</v>
      </c>
      <c r="VB92">
        <v>0</v>
      </c>
      <c r="VC92">
        <v>0</v>
      </c>
      <c r="VD92">
        <v>0</v>
      </c>
      <c r="VE92">
        <v>0</v>
      </c>
      <c r="VF92">
        <v>0</v>
      </c>
      <c r="VG92">
        <v>0</v>
      </c>
      <c r="VH92">
        <v>0</v>
      </c>
      <c r="VI92">
        <v>0</v>
      </c>
      <c r="VJ92">
        <v>0</v>
      </c>
      <c r="VK92">
        <v>0</v>
      </c>
      <c r="VL92">
        <v>0</v>
      </c>
      <c r="VM92">
        <v>0</v>
      </c>
      <c r="VN92">
        <v>0</v>
      </c>
      <c r="VO92">
        <v>0</v>
      </c>
      <c r="VP92">
        <v>0</v>
      </c>
      <c r="VQ92">
        <v>0</v>
      </c>
      <c r="VR92">
        <v>0</v>
      </c>
      <c r="VS92">
        <v>0</v>
      </c>
      <c r="VT92">
        <v>0</v>
      </c>
      <c r="VU92">
        <v>0</v>
      </c>
      <c r="VV92">
        <v>0</v>
      </c>
      <c r="VW92">
        <v>0</v>
      </c>
      <c r="VX92">
        <v>0</v>
      </c>
      <c r="VY92">
        <v>0</v>
      </c>
      <c r="VZ92">
        <v>0</v>
      </c>
      <c r="WA92">
        <v>0</v>
      </c>
      <c r="WB92">
        <v>0</v>
      </c>
      <c r="WC92">
        <v>0</v>
      </c>
      <c r="WD92">
        <v>0</v>
      </c>
      <c r="WE92">
        <v>0</v>
      </c>
      <c r="WF92">
        <v>0</v>
      </c>
      <c r="WG92">
        <v>0</v>
      </c>
      <c r="WH92">
        <v>0</v>
      </c>
      <c r="WI92">
        <v>0</v>
      </c>
      <c r="WJ92">
        <v>0</v>
      </c>
      <c r="WK92">
        <v>0</v>
      </c>
      <c r="WL92">
        <v>0</v>
      </c>
      <c r="WM92">
        <v>0</v>
      </c>
      <c r="WN92">
        <v>0</v>
      </c>
      <c r="WO92">
        <v>0</v>
      </c>
      <c r="WP92">
        <v>0</v>
      </c>
      <c r="WQ92">
        <v>0</v>
      </c>
      <c r="WR92">
        <v>0</v>
      </c>
      <c r="WS92">
        <v>0</v>
      </c>
      <c r="WT92">
        <v>0</v>
      </c>
      <c r="WU92">
        <v>0</v>
      </c>
      <c r="WV92">
        <v>0</v>
      </c>
      <c r="WW92">
        <v>0</v>
      </c>
      <c r="WX92">
        <v>0</v>
      </c>
      <c r="WY92">
        <v>0</v>
      </c>
      <c r="WZ92">
        <v>0</v>
      </c>
      <c r="XA92">
        <v>0</v>
      </c>
      <c r="XB92">
        <v>0</v>
      </c>
      <c r="XC92">
        <v>0</v>
      </c>
      <c r="XD92">
        <v>0</v>
      </c>
      <c r="XE92">
        <v>0</v>
      </c>
      <c r="XF92">
        <v>0</v>
      </c>
      <c r="XG92">
        <v>0</v>
      </c>
      <c r="XH92">
        <v>0</v>
      </c>
      <c r="XI92">
        <v>0</v>
      </c>
      <c r="XJ92">
        <v>0</v>
      </c>
      <c r="XK92">
        <v>0</v>
      </c>
      <c r="XL92">
        <v>0</v>
      </c>
      <c r="XM92">
        <v>0</v>
      </c>
      <c r="XN92">
        <v>0</v>
      </c>
      <c r="XO92">
        <v>0</v>
      </c>
      <c r="XP92">
        <v>0</v>
      </c>
      <c r="XQ92">
        <v>0</v>
      </c>
      <c r="XR92">
        <v>0</v>
      </c>
      <c r="XS92">
        <v>0</v>
      </c>
      <c r="XT92">
        <v>0</v>
      </c>
      <c r="XU92">
        <v>0</v>
      </c>
      <c r="XV92">
        <v>0</v>
      </c>
      <c r="XW92">
        <v>0</v>
      </c>
      <c r="XX92">
        <v>0</v>
      </c>
      <c r="XY92">
        <v>0</v>
      </c>
      <c r="XZ92">
        <v>0</v>
      </c>
      <c r="YA92">
        <v>0</v>
      </c>
      <c r="YB92">
        <v>0</v>
      </c>
      <c r="YC92">
        <v>0</v>
      </c>
      <c r="YD92">
        <v>0</v>
      </c>
      <c r="YE92">
        <v>0</v>
      </c>
      <c r="YF92">
        <v>0</v>
      </c>
      <c r="YG92">
        <v>0</v>
      </c>
      <c r="YH92">
        <v>0</v>
      </c>
      <c r="YI92">
        <v>0</v>
      </c>
      <c r="YJ92">
        <v>0</v>
      </c>
      <c r="YK92">
        <v>0</v>
      </c>
      <c r="YL92">
        <v>0</v>
      </c>
      <c r="YM92">
        <v>0</v>
      </c>
      <c r="YN92">
        <v>0</v>
      </c>
      <c r="YO92">
        <v>0</v>
      </c>
      <c r="YP92">
        <v>0</v>
      </c>
      <c r="YQ92">
        <v>0</v>
      </c>
      <c r="YR92">
        <v>-5</v>
      </c>
      <c r="YS92">
        <v>0</v>
      </c>
      <c r="YT92">
        <v>0</v>
      </c>
      <c r="YU92">
        <v>0</v>
      </c>
      <c r="YV92">
        <v>0</v>
      </c>
      <c r="YW92">
        <v>0</v>
      </c>
      <c r="YX92">
        <v>0</v>
      </c>
      <c r="YY92">
        <v>0</v>
      </c>
      <c r="YZ92">
        <v>0</v>
      </c>
      <c r="ZA92">
        <v>0</v>
      </c>
      <c r="ZB92">
        <v>0</v>
      </c>
      <c r="ZC92">
        <v>0</v>
      </c>
      <c r="ZD92">
        <v>0</v>
      </c>
      <c r="ZE92">
        <v>0</v>
      </c>
      <c r="ZF92">
        <v>0</v>
      </c>
      <c r="ZG92">
        <v>0</v>
      </c>
      <c r="ZH92">
        <v>0</v>
      </c>
      <c r="ZI92">
        <v>0</v>
      </c>
      <c r="ZJ92">
        <v>0</v>
      </c>
      <c r="ZK92">
        <v>0</v>
      </c>
      <c r="ZL92">
        <v>0</v>
      </c>
      <c r="ZM92">
        <v>0</v>
      </c>
      <c r="ZN92">
        <v>0</v>
      </c>
      <c r="ZO92">
        <v>0</v>
      </c>
      <c r="ZP92">
        <v>0</v>
      </c>
      <c r="ZQ92">
        <v>0</v>
      </c>
      <c r="ZR92">
        <v>0</v>
      </c>
      <c r="ZS92">
        <v>0</v>
      </c>
      <c r="ZT92">
        <v>0</v>
      </c>
      <c r="ZU92">
        <v>0</v>
      </c>
      <c r="ZV92">
        <v>0</v>
      </c>
      <c r="ZW92">
        <v>0</v>
      </c>
      <c r="ZX92">
        <v>0</v>
      </c>
      <c r="ZY92">
        <v>0</v>
      </c>
      <c r="ZZ92">
        <v>0</v>
      </c>
      <c r="AAA92">
        <v>0</v>
      </c>
      <c r="AAB92">
        <v>0</v>
      </c>
      <c r="AAC92">
        <v>0</v>
      </c>
      <c r="AAD92">
        <v>0</v>
      </c>
      <c r="AAE92">
        <v>0</v>
      </c>
      <c r="AAF92">
        <v>0</v>
      </c>
      <c r="AAG92">
        <v>0</v>
      </c>
      <c r="AAH92">
        <v>0</v>
      </c>
      <c r="AAI92">
        <v>0</v>
      </c>
      <c r="AAJ92">
        <v>0</v>
      </c>
      <c r="AAK92">
        <v>0</v>
      </c>
      <c r="AAL92">
        <v>0</v>
      </c>
      <c r="AAM92">
        <v>0</v>
      </c>
      <c r="AAN92">
        <v>0</v>
      </c>
      <c r="AAO92">
        <v>0</v>
      </c>
      <c r="AAP92">
        <v>0</v>
      </c>
      <c r="AAQ92">
        <v>0</v>
      </c>
      <c r="AAR92">
        <v>0</v>
      </c>
      <c r="AAS92">
        <v>0</v>
      </c>
      <c r="AAT92">
        <v>0</v>
      </c>
      <c r="AAU92">
        <v>0</v>
      </c>
      <c r="AAV92">
        <v>0</v>
      </c>
      <c r="AAW92">
        <v>0</v>
      </c>
      <c r="AAX92">
        <v>0</v>
      </c>
      <c r="AAY92">
        <v>0</v>
      </c>
      <c r="AAZ92">
        <v>0</v>
      </c>
      <c r="ABA92">
        <v>0</v>
      </c>
      <c r="ABB92">
        <v>0</v>
      </c>
      <c r="ABC92">
        <v>0</v>
      </c>
      <c r="ABD92">
        <v>0</v>
      </c>
      <c r="ABE92">
        <v>0</v>
      </c>
      <c r="ABF92">
        <v>0</v>
      </c>
      <c r="ABG92">
        <v>0</v>
      </c>
      <c r="ABH92">
        <v>0</v>
      </c>
      <c r="ABI92">
        <v>0</v>
      </c>
      <c r="ABJ92">
        <v>0</v>
      </c>
      <c r="ABK92">
        <v>0</v>
      </c>
      <c r="ABL92">
        <v>0</v>
      </c>
      <c r="ABM92">
        <v>0</v>
      </c>
      <c r="ABN92">
        <v>0</v>
      </c>
      <c r="ABO92">
        <v>0</v>
      </c>
      <c r="ABP92">
        <v>0</v>
      </c>
      <c r="ABQ92">
        <v>0</v>
      </c>
      <c r="ABR92">
        <v>0</v>
      </c>
      <c r="ABS92">
        <v>0</v>
      </c>
      <c r="ABT92">
        <v>0</v>
      </c>
      <c r="ABU92">
        <v>0</v>
      </c>
      <c r="ABV92">
        <v>0</v>
      </c>
      <c r="ABW92">
        <v>0</v>
      </c>
      <c r="ABX92">
        <v>0</v>
      </c>
      <c r="ABY92">
        <v>0</v>
      </c>
      <c r="ABZ92">
        <v>0</v>
      </c>
      <c r="ACA92">
        <v>0</v>
      </c>
      <c r="ACB92">
        <v>0</v>
      </c>
      <c r="ACC92">
        <v>0</v>
      </c>
      <c r="ACD92">
        <v>0</v>
      </c>
      <c r="ACE92">
        <v>0</v>
      </c>
      <c r="ACF92">
        <v>0</v>
      </c>
      <c r="ACG92">
        <v>0</v>
      </c>
      <c r="ACH92">
        <v>0</v>
      </c>
      <c r="ACI92">
        <v>0</v>
      </c>
      <c r="ACJ92">
        <v>-256.16438356164383</v>
      </c>
      <c r="ACK92">
        <v>0</v>
      </c>
      <c r="ACL92">
        <v>0</v>
      </c>
      <c r="ACM92">
        <v>0</v>
      </c>
      <c r="ACN92">
        <v>0</v>
      </c>
      <c r="ACO92">
        <v>0</v>
      </c>
      <c r="ACP92">
        <v>0</v>
      </c>
      <c r="ACQ92">
        <v>0</v>
      </c>
      <c r="ACR92">
        <v>0</v>
      </c>
      <c r="ACS92">
        <v>0</v>
      </c>
      <c r="ACT92">
        <v>0</v>
      </c>
      <c r="ACU92">
        <v>0</v>
      </c>
      <c r="ACV92">
        <v>0</v>
      </c>
      <c r="ACW92">
        <v>0</v>
      </c>
      <c r="ACX92">
        <v>0</v>
      </c>
      <c r="ACY92">
        <v>0</v>
      </c>
      <c r="ACZ92">
        <v>0</v>
      </c>
      <c r="ADA92">
        <v>0</v>
      </c>
      <c r="ADB92">
        <v>0</v>
      </c>
      <c r="ADC92">
        <v>0</v>
      </c>
      <c r="ADD92">
        <v>0</v>
      </c>
      <c r="ADE92">
        <v>0</v>
      </c>
      <c r="ADF92">
        <v>0</v>
      </c>
      <c r="ADG92">
        <v>0</v>
      </c>
      <c r="ADH92">
        <v>0</v>
      </c>
      <c r="ADI92">
        <v>0</v>
      </c>
      <c r="ADJ92">
        <v>0</v>
      </c>
      <c r="ADK92">
        <v>0</v>
      </c>
      <c r="ADL92">
        <v>0</v>
      </c>
      <c r="ADM92">
        <v>0</v>
      </c>
      <c r="ADN92">
        <v>0</v>
      </c>
      <c r="ADO92">
        <v>0</v>
      </c>
      <c r="ADP92">
        <v>0</v>
      </c>
      <c r="ADQ92">
        <v>0</v>
      </c>
      <c r="ADR92">
        <v>0</v>
      </c>
      <c r="ADS92">
        <v>0</v>
      </c>
      <c r="ADT92">
        <v>0</v>
      </c>
      <c r="ADU92">
        <v>0</v>
      </c>
      <c r="ADV92">
        <v>0</v>
      </c>
      <c r="ADW92">
        <v>0</v>
      </c>
      <c r="ADX92">
        <v>0</v>
      </c>
      <c r="ADY92">
        <v>0</v>
      </c>
      <c r="ADZ92">
        <v>0</v>
      </c>
      <c r="AEA92">
        <v>0</v>
      </c>
      <c r="AEB92">
        <v>0</v>
      </c>
      <c r="AEC92">
        <v>0</v>
      </c>
      <c r="AED92">
        <v>0</v>
      </c>
      <c r="AEE92">
        <v>0</v>
      </c>
      <c r="AEF92">
        <v>0</v>
      </c>
      <c r="AEG92">
        <v>0</v>
      </c>
      <c r="AEH92">
        <v>0</v>
      </c>
      <c r="AEI92">
        <v>0</v>
      </c>
      <c r="AEJ92">
        <v>0</v>
      </c>
      <c r="AEK92">
        <v>0</v>
      </c>
      <c r="AEL92">
        <v>0</v>
      </c>
      <c r="AEM92">
        <v>0</v>
      </c>
      <c r="AEN92">
        <v>0</v>
      </c>
      <c r="AEO92">
        <v>0</v>
      </c>
      <c r="AEP92">
        <v>0</v>
      </c>
      <c r="AEQ92">
        <v>0</v>
      </c>
      <c r="AER92">
        <v>0</v>
      </c>
      <c r="AES92">
        <v>0</v>
      </c>
      <c r="AET92">
        <v>0</v>
      </c>
      <c r="AEU92">
        <v>0</v>
      </c>
      <c r="AEV92">
        <v>0</v>
      </c>
      <c r="AEW92">
        <v>0</v>
      </c>
      <c r="AEX92">
        <v>0</v>
      </c>
      <c r="AEY92">
        <v>0</v>
      </c>
      <c r="AEZ92">
        <v>0</v>
      </c>
      <c r="AFA92">
        <v>0</v>
      </c>
      <c r="AFB92">
        <v>0</v>
      </c>
      <c r="AFC92">
        <v>0</v>
      </c>
      <c r="AFD92">
        <v>0</v>
      </c>
      <c r="AFE92">
        <v>0</v>
      </c>
      <c r="AFF92">
        <v>0</v>
      </c>
      <c r="AFG92">
        <v>0</v>
      </c>
      <c r="AFH92">
        <v>0</v>
      </c>
      <c r="AFI92">
        <v>0</v>
      </c>
      <c r="AFJ92">
        <v>0</v>
      </c>
      <c r="AFK92">
        <v>0</v>
      </c>
      <c r="AFL92">
        <v>0</v>
      </c>
      <c r="AFM92">
        <v>0</v>
      </c>
      <c r="AFN92">
        <v>0</v>
      </c>
      <c r="AFO92">
        <v>0</v>
      </c>
      <c r="AFP92">
        <v>0</v>
      </c>
      <c r="AFQ92">
        <v>0</v>
      </c>
      <c r="AFR92">
        <v>0</v>
      </c>
      <c r="AFS92">
        <v>0</v>
      </c>
      <c r="AFT92">
        <v>0</v>
      </c>
      <c r="AFU92">
        <v>0</v>
      </c>
      <c r="AFV92">
        <v>0</v>
      </c>
      <c r="AFW92">
        <v>0</v>
      </c>
      <c r="AFX92">
        <v>0</v>
      </c>
      <c r="AFY92">
        <v>0</v>
      </c>
      <c r="AFZ92">
        <v>0</v>
      </c>
      <c r="AGA92">
        <v>0</v>
      </c>
      <c r="AGB92">
        <v>-120</v>
      </c>
      <c r="AGC92">
        <v>0</v>
      </c>
      <c r="AGD92">
        <v>0</v>
      </c>
      <c r="AGE92">
        <v>0</v>
      </c>
      <c r="AGF92">
        <v>0</v>
      </c>
      <c r="AGG92">
        <v>0</v>
      </c>
      <c r="AGH92">
        <v>0</v>
      </c>
      <c r="AGI92">
        <v>0</v>
      </c>
      <c r="AGJ92">
        <v>0</v>
      </c>
      <c r="AGK92">
        <v>0</v>
      </c>
      <c r="AGL92">
        <v>0</v>
      </c>
      <c r="AGM92">
        <v>0</v>
      </c>
      <c r="AGN92">
        <v>0</v>
      </c>
      <c r="AGO92">
        <v>0</v>
      </c>
      <c r="AGP92">
        <v>0</v>
      </c>
      <c r="AGQ92">
        <v>0</v>
      </c>
      <c r="AGR92">
        <v>0</v>
      </c>
      <c r="AGS92">
        <v>0</v>
      </c>
      <c r="AGT92">
        <v>0</v>
      </c>
      <c r="AGU92">
        <v>0</v>
      </c>
      <c r="AGV92">
        <v>0</v>
      </c>
      <c r="AGW92">
        <v>0</v>
      </c>
      <c r="AGX92">
        <v>0</v>
      </c>
      <c r="AGY92">
        <v>0</v>
      </c>
      <c r="AGZ92">
        <v>0</v>
      </c>
      <c r="AHA92">
        <v>0</v>
      </c>
      <c r="AHB92">
        <v>0</v>
      </c>
      <c r="AHC92">
        <v>0</v>
      </c>
      <c r="AHD92">
        <v>0</v>
      </c>
      <c r="AHE92">
        <v>0</v>
      </c>
      <c r="AHF92">
        <v>0</v>
      </c>
      <c r="AHG92">
        <v>0</v>
      </c>
      <c r="AHH92">
        <v>0</v>
      </c>
      <c r="AHI92">
        <v>0</v>
      </c>
      <c r="AHJ92">
        <v>0</v>
      </c>
      <c r="AHK92">
        <v>0</v>
      </c>
      <c r="AHL92">
        <v>0</v>
      </c>
      <c r="AHM92">
        <v>0</v>
      </c>
      <c r="AHN92">
        <v>0</v>
      </c>
      <c r="AHO92">
        <v>0</v>
      </c>
      <c r="AHP92">
        <v>0</v>
      </c>
      <c r="AHQ92">
        <v>0</v>
      </c>
      <c r="AHR92">
        <v>0</v>
      </c>
      <c r="AHS92">
        <v>0</v>
      </c>
      <c r="AHT92">
        <v>0</v>
      </c>
      <c r="AHU92">
        <v>0</v>
      </c>
      <c r="AHV92">
        <v>0</v>
      </c>
      <c r="AHW92">
        <v>0</v>
      </c>
      <c r="AHX92">
        <v>0</v>
      </c>
      <c r="AHY92">
        <v>0</v>
      </c>
      <c r="AHZ92">
        <v>0</v>
      </c>
      <c r="AIA92">
        <v>0</v>
      </c>
      <c r="AIB92">
        <v>0</v>
      </c>
      <c r="AIC92">
        <v>0</v>
      </c>
      <c r="AID92">
        <v>0</v>
      </c>
      <c r="AIE92">
        <v>0</v>
      </c>
      <c r="AIF92">
        <v>0</v>
      </c>
      <c r="AIG92">
        <v>0</v>
      </c>
      <c r="AIH92">
        <v>0</v>
      </c>
      <c r="AII92">
        <v>0</v>
      </c>
      <c r="AIJ92">
        <v>0</v>
      </c>
      <c r="AIK92">
        <v>0</v>
      </c>
      <c r="AIL92">
        <v>0</v>
      </c>
      <c r="AIM92">
        <v>0</v>
      </c>
      <c r="AIN92">
        <v>0</v>
      </c>
      <c r="AIO92">
        <v>0</v>
      </c>
      <c r="AIP92">
        <v>0</v>
      </c>
      <c r="AIQ92">
        <v>0</v>
      </c>
      <c r="AIR92">
        <v>0</v>
      </c>
      <c r="AIS92">
        <v>0</v>
      </c>
      <c r="AIT92">
        <v>0</v>
      </c>
      <c r="AIU92">
        <v>0</v>
      </c>
      <c r="AIV92">
        <v>0</v>
      </c>
      <c r="AIW92">
        <v>0</v>
      </c>
      <c r="AIX92">
        <v>0</v>
      </c>
      <c r="AIY92">
        <v>0</v>
      </c>
      <c r="AIZ92">
        <v>0</v>
      </c>
      <c r="AJA92">
        <v>0</v>
      </c>
      <c r="AJB92">
        <v>0</v>
      </c>
      <c r="AJC92">
        <v>0</v>
      </c>
      <c r="AJD92">
        <v>0</v>
      </c>
      <c r="AJE92">
        <v>0</v>
      </c>
      <c r="AJF92">
        <v>0</v>
      </c>
      <c r="AJG92">
        <v>0</v>
      </c>
      <c r="AJH92">
        <v>0</v>
      </c>
      <c r="AJI92">
        <v>0</v>
      </c>
      <c r="AJJ92">
        <v>0</v>
      </c>
      <c r="AJK92">
        <v>0</v>
      </c>
      <c r="AJL92">
        <v>0</v>
      </c>
      <c r="AJM92">
        <v>0</v>
      </c>
      <c r="AJN92">
        <v>0</v>
      </c>
      <c r="AJO92">
        <v>0</v>
      </c>
      <c r="AJP92">
        <v>0</v>
      </c>
      <c r="AJQ92">
        <v>0</v>
      </c>
      <c r="AJR92">
        <v>0</v>
      </c>
      <c r="AJS92">
        <v>0</v>
      </c>
      <c r="AJT92">
        <v>-4500</v>
      </c>
      <c r="AJU92">
        <v>0</v>
      </c>
      <c r="AJV92">
        <v>0</v>
      </c>
      <c r="AJW92">
        <v>0</v>
      </c>
      <c r="AJX92">
        <v>0</v>
      </c>
      <c r="AJY92">
        <v>0</v>
      </c>
    </row>
    <row r="93" spans="1:961" x14ac:dyDescent="0.3">
      <c r="A93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10000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5000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0</v>
      </c>
      <c r="LD93">
        <v>0</v>
      </c>
      <c r="LE93">
        <v>0</v>
      </c>
      <c r="LF93">
        <v>0</v>
      </c>
      <c r="LG93">
        <v>0</v>
      </c>
      <c r="LH93">
        <v>0</v>
      </c>
      <c r="LI93">
        <v>0</v>
      </c>
      <c r="LJ93">
        <v>0</v>
      </c>
      <c r="LK93">
        <v>0</v>
      </c>
      <c r="LL93">
        <v>0</v>
      </c>
      <c r="LM93">
        <v>0</v>
      </c>
      <c r="LN93">
        <v>0</v>
      </c>
      <c r="LO93">
        <v>0</v>
      </c>
      <c r="LP93">
        <v>0</v>
      </c>
      <c r="LQ93">
        <v>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0</v>
      </c>
      <c r="ME93">
        <v>0</v>
      </c>
      <c r="MF93">
        <v>0</v>
      </c>
      <c r="MG93">
        <v>0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0</v>
      </c>
      <c r="MU93">
        <v>0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</v>
      </c>
      <c r="OL93">
        <v>0</v>
      </c>
      <c r="OM93">
        <v>0</v>
      </c>
      <c r="ON93">
        <v>0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0</v>
      </c>
      <c r="OV93">
        <v>0</v>
      </c>
      <c r="OW93">
        <v>0</v>
      </c>
      <c r="OX93">
        <v>0</v>
      </c>
      <c r="OY93">
        <v>0</v>
      </c>
      <c r="OZ93">
        <v>0</v>
      </c>
      <c r="PA93">
        <v>0</v>
      </c>
      <c r="PB93">
        <v>0</v>
      </c>
      <c r="PC93">
        <v>0</v>
      </c>
      <c r="PD93">
        <v>0</v>
      </c>
      <c r="PE93">
        <v>0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0</v>
      </c>
      <c r="PN93">
        <v>0</v>
      </c>
      <c r="PO93">
        <v>0</v>
      </c>
      <c r="PP93">
        <v>0</v>
      </c>
      <c r="PQ93">
        <v>0</v>
      </c>
      <c r="PR93">
        <v>0</v>
      </c>
      <c r="PS93">
        <v>0</v>
      </c>
      <c r="PT93">
        <v>0</v>
      </c>
      <c r="PU93">
        <v>0</v>
      </c>
      <c r="PV93">
        <v>0</v>
      </c>
      <c r="PW93">
        <v>0</v>
      </c>
      <c r="PX93">
        <v>0</v>
      </c>
      <c r="PY93">
        <v>0</v>
      </c>
      <c r="PZ93">
        <v>0</v>
      </c>
      <c r="QA93">
        <v>0</v>
      </c>
      <c r="QB93">
        <v>0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0</v>
      </c>
      <c r="QP93">
        <v>0</v>
      </c>
      <c r="QQ93">
        <v>0</v>
      </c>
      <c r="QR93">
        <v>0</v>
      </c>
      <c r="QS93">
        <v>0</v>
      </c>
      <c r="QT93">
        <v>0</v>
      </c>
      <c r="QU93">
        <v>0</v>
      </c>
      <c r="QV93">
        <v>0</v>
      </c>
      <c r="QW93">
        <v>0</v>
      </c>
      <c r="QX93">
        <v>0</v>
      </c>
      <c r="QY93">
        <v>0</v>
      </c>
      <c r="QZ93">
        <v>0</v>
      </c>
      <c r="RA93">
        <v>0</v>
      </c>
      <c r="RB93">
        <v>0</v>
      </c>
      <c r="RC93">
        <v>0</v>
      </c>
      <c r="RD93">
        <v>0</v>
      </c>
      <c r="RE93">
        <v>0</v>
      </c>
      <c r="RF93">
        <v>0</v>
      </c>
      <c r="RG93">
        <v>0</v>
      </c>
      <c r="RH93">
        <v>0</v>
      </c>
      <c r="RI93">
        <v>-150</v>
      </c>
      <c r="RJ93">
        <v>0</v>
      </c>
      <c r="RK93">
        <v>0</v>
      </c>
      <c r="RL93">
        <v>0</v>
      </c>
      <c r="RM93">
        <v>0</v>
      </c>
      <c r="RN93">
        <v>0</v>
      </c>
      <c r="RO93">
        <v>0</v>
      </c>
      <c r="RP93">
        <v>0</v>
      </c>
      <c r="RQ93">
        <v>0</v>
      </c>
      <c r="RR93">
        <v>0</v>
      </c>
      <c r="RS93">
        <v>0</v>
      </c>
      <c r="RT93">
        <v>0</v>
      </c>
      <c r="RU93">
        <v>0</v>
      </c>
      <c r="RV93">
        <v>0</v>
      </c>
      <c r="RW93">
        <v>0</v>
      </c>
      <c r="RX93">
        <v>0</v>
      </c>
      <c r="RY93">
        <v>0</v>
      </c>
      <c r="RZ93">
        <v>0</v>
      </c>
      <c r="SA93">
        <v>0</v>
      </c>
      <c r="SB93">
        <v>0</v>
      </c>
      <c r="SC93">
        <v>0</v>
      </c>
      <c r="SD93">
        <v>0</v>
      </c>
      <c r="SE93">
        <v>0</v>
      </c>
      <c r="SF93">
        <v>0</v>
      </c>
      <c r="SG93">
        <v>0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</v>
      </c>
      <c r="SO93">
        <v>0</v>
      </c>
      <c r="SP93">
        <v>0</v>
      </c>
      <c r="SQ93">
        <v>0</v>
      </c>
      <c r="SR93">
        <v>0</v>
      </c>
      <c r="SS93">
        <v>0</v>
      </c>
      <c r="ST93">
        <v>0</v>
      </c>
      <c r="SU93">
        <v>0</v>
      </c>
      <c r="SV93">
        <v>0</v>
      </c>
      <c r="SW93">
        <v>0</v>
      </c>
      <c r="SX93">
        <v>0</v>
      </c>
      <c r="SY93">
        <v>0</v>
      </c>
      <c r="SZ93">
        <v>0</v>
      </c>
      <c r="TA93">
        <v>0</v>
      </c>
      <c r="TB93">
        <v>0</v>
      </c>
      <c r="TC93">
        <v>0</v>
      </c>
      <c r="TD93">
        <v>0</v>
      </c>
      <c r="TE93">
        <v>0</v>
      </c>
      <c r="TF93">
        <v>0</v>
      </c>
      <c r="TG93">
        <v>0</v>
      </c>
      <c r="TH93">
        <v>0</v>
      </c>
      <c r="TI93">
        <v>0</v>
      </c>
      <c r="TJ93">
        <v>0</v>
      </c>
      <c r="TK93">
        <v>0</v>
      </c>
      <c r="TL93">
        <v>0</v>
      </c>
      <c r="TM93">
        <v>0</v>
      </c>
      <c r="TN93">
        <v>0</v>
      </c>
      <c r="TO93">
        <v>0</v>
      </c>
      <c r="TP93">
        <v>0</v>
      </c>
      <c r="TQ93">
        <v>0</v>
      </c>
      <c r="TR93">
        <v>0</v>
      </c>
      <c r="TS93">
        <v>0</v>
      </c>
      <c r="TT93">
        <v>0</v>
      </c>
      <c r="TU93">
        <v>0</v>
      </c>
      <c r="TV93">
        <v>0</v>
      </c>
      <c r="TW93">
        <v>0</v>
      </c>
      <c r="TX93">
        <v>0</v>
      </c>
      <c r="TY93">
        <v>0</v>
      </c>
      <c r="TZ93">
        <v>0</v>
      </c>
      <c r="UA93">
        <v>0</v>
      </c>
      <c r="UB93">
        <v>0</v>
      </c>
      <c r="UC93">
        <v>0</v>
      </c>
      <c r="UD93">
        <v>0</v>
      </c>
      <c r="UE93">
        <v>0</v>
      </c>
      <c r="UF93">
        <v>0</v>
      </c>
      <c r="UG93">
        <v>0</v>
      </c>
      <c r="UH93">
        <v>0</v>
      </c>
      <c r="UI93">
        <v>0</v>
      </c>
      <c r="UJ93">
        <v>0</v>
      </c>
      <c r="UK93">
        <v>0</v>
      </c>
      <c r="UL93">
        <v>0</v>
      </c>
      <c r="UM93">
        <v>0</v>
      </c>
      <c r="UN93">
        <v>0</v>
      </c>
      <c r="UO93">
        <v>0</v>
      </c>
      <c r="UP93">
        <v>0</v>
      </c>
      <c r="UQ93">
        <v>0</v>
      </c>
      <c r="UR93">
        <v>0</v>
      </c>
      <c r="US93">
        <v>0</v>
      </c>
      <c r="UT93">
        <v>0</v>
      </c>
      <c r="UU93">
        <v>0</v>
      </c>
      <c r="UV93">
        <v>0</v>
      </c>
      <c r="UW93">
        <v>0</v>
      </c>
      <c r="UX93">
        <v>0</v>
      </c>
      <c r="UY93">
        <v>0</v>
      </c>
      <c r="UZ93">
        <v>0</v>
      </c>
      <c r="VA93">
        <v>-1000</v>
      </c>
      <c r="VB93">
        <v>0</v>
      </c>
      <c r="VC93">
        <v>0</v>
      </c>
      <c r="VD93">
        <v>0</v>
      </c>
      <c r="VE93">
        <v>0</v>
      </c>
      <c r="VF93">
        <v>0</v>
      </c>
      <c r="VG93">
        <v>0</v>
      </c>
      <c r="VH93">
        <v>0</v>
      </c>
      <c r="VI93">
        <v>0</v>
      </c>
      <c r="VJ93">
        <v>0</v>
      </c>
      <c r="VK93">
        <v>0</v>
      </c>
      <c r="VL93">
        <v>0</v>
      </c>
      <c r="VM93">
        <v>0</v>
      </c>
      <c r="VN93">
        <v>0</v>
      </c>
      <c r="VO93">
        <v>0</v>
      </c>
      <c r="VP93">
        <v>0</v>
      </c>
      <c r="VQ93">
        <v>0</v>
      </c>
      <c r="VR93">
        <v>0</v>
      </c>
      <c r="VS93">
        <v>0</v>
      </c>
      <c r="VT93">
        <v>0</v>
      </c>
      <c r="VU93">
        <v>0</v>
      </c>
      <c r="VV93">
        <v>0</v>
      </c>
      <c r="VW93">
        <v>0</v>
      </c>
      <c r="VX93">
        <v>0</v>
      </c>
      <c r="VY93">
        <v>0</v>
      </c>
      <c r="VZ93">
        <v>0</v>
      </c>
      <c r="WA93">
        <v>0</v>
      </c>
      <c r="WB93">
        <v>0</v>
      </c>
      <c r="WC93">
        <v>0</v>
      </c>
      <c r="WD93">
        <v>0</v>
      </c>
      <c r="WE93">
        <v>0</v>
      </c>
      <c r="WF93">
        <v>0</v>
      </c>
      <c r="WG93">
        <v>0</v>
      </c>
      <c r="WH93">
        <v>0</v>
      </c>
      <c r="WI93">
        <v>0</v>
      </c>
      <c r="WJ93">
        <v>0</v>
      </c>
      <c r="WK93">
        <v>0</v>
      </c>
      <c r="WL93">
        <v>0</v>
      </c>
      <c r="WM93">
        <v>0</v>
      </c>
      <c r="WN93">
        <v>0</v>
      </c>
      <c r="WO93">
        <v>0</v>
      </c>
      <c r="WP93">
        <v>0</v>
      </c>
      <c r="WQ93">
        <v>0</v>
      </c>
      <c r="WR93">
        <v>0</v>
      </c>
      <c r="WS93">
        <v>0</v>
      </c>
      <c r="WT93">
        <v>0</v>
      </c>
      <c r="WU93">
        <v>0</v>
      </c>
      <c r="WV93">
        <v>0</v>
      </c>
      <c r="WW93">
        <v>0</v>
      </c>
      <c r="WX93">
        <v>0</v>
      </c>
      <c r="WY93">
        <v>0</v>
      </c>
      <c r="WZ93">
        <v>0</v>
      </c>
      <c r="XA93">
        <v>0</v>
      </c>
      <c r="XB93">
        <v>0</v>
      </c>
      <c r="XC93">
        <v>0</v>
      </c>
      <c r="XD93">
        <v>0</v>
      </c>
      <c r="XE93">
        <v>0</v>
      </c>
      <c r="XF93">
        <v>0</v>
      </c>
      <c r="XG93">
        <v>0</v>
      </c>
      <c r="XH93">
        <v>0</v>
      </c>
      <c r="XI93">
        <v>0</v>
      </c>
      <c r="XJ93">
        <v>0</v>
      </c>
      <c r="XK93">
        <v>0</v>
      </c>
      <c r="XL93">
        <v>0</v>
      </c>
      <c r="XM93">
        <v>0</v>
      </c>
      <c r="XN93">
        <v>0</v>
      </c>
      <c r="XO93">
        <v>0</v>
      </c>
      <c r="XP93">
        <v>0</v>
      </c>
      <c r="XQ93">
        <v>0</v>
      </c>
      <c r="XR93">
        <v>0</v>
      </c>
      <c r="XS93">
        <v>0</v>
      </c>
      <c r="XT93">
        <v>0</v>
      </c>
      <c r="XU93">
        <v>0</v>
      </c>
      <c r="XV93">
        <v>0</v>
      </c>
      <c r="XW93">
        <v>0</v>
      </c>
      <c r="XX93">
        <v>0</v>
      </c>
      <c r="XY93">
        <v>0</v>
      </c>
      <c r="XZ93">
        <v>0</v>
      </c>
      <c r="YA93">
        <v>0</v>
      </c>
      <c r="YB93">
        <v>0</v>
      </c>
      <c r="YC93">
        <v>0</v>
      </c>
      <c r="YD93">
        <v>0</v>
      </c>
      <c r="YE93">
        <v>0</v>
      </c>
      <c r="YF93">
        <v>0</v>
      </c>
      <c r="YG93">
        <v>0</v>
      </c>
      <c r="YH93">
        <v>0</v>
      </c>
      <c r="YI93">
        <v>0</v>
      </c>
      <c r="YJ93">
        <v>0</v>
      </c>
      <c r="YK93">
        <v>0</v>
      </c>
      <c r="YL93">
        <v>0</v>
      </c>
      <c r="YM93">
        <v>0</v>
      </c>
      <c r="YN93">
        <v>0</v>
      </c>
      <c r="YO93">
        <v>0</v>
      </c>
      <c r="YP93">
        <v>0</v>
      </c>
      <c r="YQ93">
        <v>0</v>
      </c>
      <c r="YR93">
        <v>0</v>
      </c>
      <c r="YS93">
        <v>-5</v>
      </c>
      <c r="YT93">
        <v>0</v>
      </c>
      <c r="YU93">
        <v>0</v>
      </c>
      <c r="YV93">
        <v>0</v>
      </c>
      <c r="YW93">
        <v>0</v>
      </c>
      <c r="YX93">
        <v>0</v>
      </c>
      <c r="YY93">
        <v>0</v>
      </c>
      <c r="YZ93">
        <v>0</v>
      </c>
      <c r="ZA93">
        <v>0</v>
      </c>
      <c r="ZB93">
        <v>0</v>
      </c>
      <c r="ZC93">
        <v>0</v>
      </c>
      <c r="ZD93">
        <v>0</v>
      </c>
      <c r="ZE93">
        <v>0</v>
      </c>
      <c r="ZF93">
        <v>0</v>
      </c>
      <c r="ZG93">
        <v>0</v>
      </c>
      <c r="ZH93">
        <v>0</v>
      </c>
      <c r="ZI93">
        <v>0</v>
      </c>
      <c r="ZJ93">
        <v>0</v>
      </c>
      <c r="ZK93">
        <v>0</v>
      </c>
      <c r="ZL93">
        <v>0</v>
      </c>
      <c r="ZM93">
        <v>0</v>
      </c>
      <c r="ZN93">
        <v>0</v>
      </c>
      <c r="ZO93">
        <v>0</v>
      </c>
      <c r="ZP93">
        <v>0</v>
      </c>
      <c r="ZQ93">
        <v>0</v>
      </c>
      <c r="ZR93">
        <v>0</v>
      </c>
      <c r="ZS93">
        <v>0</v>
      </c>
      <c r="ZT93">
        <v>0</v>
      </c>
      <c r="ZU93">
        <v>0</v>
      </c>
      <c r="ZV93">
        <v>0</v>
      </c>
      <c r="ZW93">
        <v>0</v>
      </c>
      <c r="ZX93">
        <v>0</v>
      </c>
      <c r="ZY93">
        <v>0</v>
      </c>
      <c r="ZZ93">
        <v>0</v>
      </c>
      <c r="AAA93">
        <v>0</v>
      </c>
      <c r="AAB93">
        <v>0</v>
      </c>
      <c r="AAC93">
        <v>0</v>
      </c>
      <c r="AAD93">
        <v>0</v>
      </c>
      <c r="AAE93">
        <v>0</v>
      </c>
      <c r="AAF93">
        <v>0</v>
      </c>
      <c r="AAG93">
        <v>0</v>
      </c>
      <c r="AAH93">
        <v>0</v>
      </c>
      <c r="AAI93">
        <v>0</v>
      </c>
      <c r="AAJ93">
        <v>0</v>
      </c>
      <c r="AAK93">
        <v>0</v>
      </c>
      <c r="AAL93">
        <v>0</v>
      </c>
      <c r="AAM93">
        <v>0</v>
      </c>
      <c r="AAN93">
        <v>0</v>
      </c>
      <c r="AAO93">
        <v>0</v>
      </c>
      <c r="AAP93">
        <v>0</v>
      </c>
      <c r="AAQ93">
        <v>0</v>
      </c>
      <c r="AAR93">
        <v>0</v>
      </c>
      <c r="AAS93">
        <v>0</v>
      </c>
      <c r="AAT93">
        <v>0</v>
      </c>
      <c r="AAU93">
        <v>0</v>
      </c>
      <c r="AAV93">
        <v>0</v>
      </c>
      <c r="AAW93">
        <v>0</v>
      </c>
      <c r="AAX93">
        <v>0</v>
      </c>
      <c r="AAY93">
        <v>0</v>
      </c>
      <c r="AAZ93">
        <v>0</v>
      </c>
      <c r="ABA93">
        <v>0</v>
      </c>
      <c r="ABB93">
        <v>0</v>
      </c>
      <c r="ABC93">
        <v>0</v>
      </c>
      <c r="ABD93">
        <v>0</v>
      </c>
      <c r="ABE93">
        <v>0</v>
      </c>
      <c r="ABF93">
        <v>0</v>
      </c>
      <c r="ABG93">
        <v>0</v>
      </c>
      <c r="ABH93">
        <v>0</v>
      </c>
      <c r="ABI93">
        <v>0</v>
      </c>
      <c r="ABJ93">
        <v>0</v>
      </c>
      <c r="ABK93">
        <v>0</v>
      </c>
      <c r="ABL93">
        <v>0</v>
      </c>
      <c r="ABM93">
        <v>0</v>
      </c>
      <c r="ABN93">
        <v>0</v>
      </c>
      <c r="ABO93">
        <v>0</v>
      </c>
      <c r="ABP93">
        <v>0</v>
      </c>
      <c r="ABQ93">
        <v>0</v>
      </c>
      <c r="ABR93">
        <v>0</v>
      </c>
      <c r="ABS93">
        <v>0</v>
      </c>
      <c r="ABT93">
        <v>0</v>
      </c>
      <c r="ABU93">
        <v>0</v>
      </c>
      <c r="ABV93">
        <v>0</v>
      </c>
      <c r="ABW93">
        <v>0</v>
      </c>
      <c r="ABX93">
        <v>0</v>
      </c>
      <c r="ABY93">
        <v>0</v>
      </c>
      <c r="ABZ93">
        <v>0</v>
      </c>
      <c r="ACA93">
        <v>0</v>
      </c>
      <c r="ACB93">
        <v>0</v>
      </c>
      <c r="ACC93">
        <v>0</v>
      </c>
      <c r="ACD93">
        <v>0</v>
      </c>
      <c r="ACE93">
        <v>0</v>
      </c>
      <c r="ACF93">
        <v>0</v>
      </c>
      <c r="ACG93">
        <v>0</v>
      </c>
      <c r="ACH93">
        <v>0</v>
      </c>
      <c r="ACI93">
        <v>0</v>
      </c>
      <c r="ACJ93">
        <v>0</v>
      </c>
      <c r="ACK93">
        <v>-256.16438356164383</v>
      </c>
      <c r="ACL93">
        <v>0</v>
      </c>
      <c r="ACM93">
        <v>0</v>
      </c>
      <c r="ACN93">
        <v>0</v>
      </c>
      <c r="ACO93">
        <v>0</v>
      </c>
      <c r="ACP93">
        <v>0</v>
      </c>
      <c r="ACQ93">
        <v>0</v>
      </c>
      <c r="ACR93">
        <v>0</v>
      </c>
      <c r="ACS93">
        <v>0</v>
      </c>
      <c r="ACT93">
        <v>0</v>
      </c>
      <c r="ACU93">
        <v>0</v>
      </c>
      <c r="ACV93">
        <v>0</v>
      </c>
      <c r="ACW93">
        <v>0</v>
      </c>
      <c r="ACX93">
        <v>0</v>
      </c>
      <c r="ACY93">
        <v>0</v>
      </c>
      <c r="ACZ93">
        <v>0</v>
      </c>
      <c r="ADA93">
        <v>0</v>
      </c>
      <c r="ADB93">
        <v>0</v>
      </c>
      <c r="ADC93">
        <v>0</v>
      </c>
      <c r="ADD93">
        <v>0</v>
      </c>
      <c r="ADE93">
        <v>0</v>
      </c>
      <c r="ADF93">
        <v>0</v>
      </c>
      <c r="ADG93">
        <v>0</v>
      </c>
      <c r="ADH93">
        <v>0</v>
      </c>
      <c r="ADI93">
        <v>0</v>
      </c>
      <c r="ADJ93">
        <v>0</v>
      </c>
      <c r="ADK93">
        <v>0</v>
      </c>
      <c r="ADL93">
        <v>0</v>
      </c>
      <c r="ADM93">
        <v>0</v>
      </c>
      <c r="ADN93">
        <v>0</v>
      </c>
      <c r="ADO93">
        <v>0</v>
      </c>
      <c r="ADP93">
        <v>0</v>
      </c>
      <c r="ADQ93">
        <v>0</v>
      </c>
      <c r="ADR93">
        <v>0</v>
      </c>
      <c r="ADS93">
        <v>0</v>
      </c>
      <c r="ADT93">
        <v>0</v>
      </c>
      <c r="ADU93">
        <v>0</v>
      </c>
      <c r="ADV93">
        <v>0</v>
      </c>
      <c r="ADW93">
        <v>0</v>
      </c>
      <c r="ADX93">
        <v>0</v>
      </c>
      <c r="ADY93">
        <v>0</v>
      </c>
      <c r="ADZ93">
        <v>0</v>
      </c>
      <c r="AEA93">
        <v>0</v>
      </c>
      <c r="AEB93">
        <v>0</v>
      </c>
      <c r="AEC93">
        <v>0</v>
      </c>
      <c r="AED93">
        <v>0</v>
      </c>
      <c r="AEE93">
        <v>0</v>
      </c>
      <c r="AEF93">
        <v>0</v>
      </c>
      <c r="AEG93">
        <v>0</v>
      </c>
      <c r="AEH93">
        <v>0</v>
      </c>
      <c r="AEI93">
        <v>0</v>
      </c>
      <c r="AEJ93">
        <v>0</v>
      </c>
      <c r="AEK93">
        <v>0</v>
      </c>
      <c r="AEL93">
        <v>0</v>
      </c>
      <c r="AEM93">
        <v>0</v>
      </c>
      <c r="AEN93">
        <v>0</v>
      </c>
      <c r="AEO93">
        <v>0</v>
      </c>
      <c r="AEP93">
        <v>0</v>
      </c>
      <c r="AEQ93">
        <v>0</v>
      </c>
      <c r="AER93">
        <v>0</v>
      </c>
      <c r="AES93">
        <v>0</v>
      </c>
      <c r="AET93">
        <v>0</v>
      </c>
      <c r="AEU93">
        <v>0</v>
      </c>
      <c r="AEV93">
        <v>0</v>
      </c>
      <c r="AEW93">
        <v>0</v>
      </c>
      <c r="AEX93">
        <v>0</v>
      </c>
      <c r="AEY93">
        <v>0</v>
      </c>
      <c r="AEZ93">
        <v>0</v>
      </c>
      <c r="AFA93">
        <v>0</v>
      </c>
      <c r="AFB93">
        <v>0</v>
      </c>
      <c r="AFC93">
        <v>0</v>
      </c>
      <c r="AFD93">
        <v>0</v>
      </c>
      <c r="AFE93">
        <v>0</v>
      </c>
      <c r="AFF93">
        <v>0</v>
      </c>
      <c r="AFG93">
        <v>0</v>
      </c>
      <c r="AFH93">
        <v>0</v>
      </c>
      <c r="AFI93">
        <v>0</v>
      </c>
      <c r="AFJ93">
        <v>0</v>
      </c>
      <c r="AFK93">
        <v>0</v>
      </c>
      <c r="AFL93">
        <v>0</v>
      </c>
      <c r="AFM93">
        <v>0</v>
      </c>
      <c r="AFN93">
        <v>0</v>
      </c>
      <c r="AFO93">
        <v>0</v>
      </c>
      <c r="AFP93">
        <v>0</v>
      </c>
      <c r="AFQ93">
        <v>0</v>
      </c>
      <c r="AFR93">
        <v>0</v>
      </c>
      <c r="AFS93">
        <v>0</v>
      </c>
      <c r="AFT93">
        <v>0</v>
      </c>
      <c r="AFU93">
        <v>0</v>
      </c>
      <c r="AFV93">
        <v>0</v>
      </c>
      <c r="AFW93">
        <v>0</v>
      </c>
      <c r="AFX93">
        <v>0</v>
      </c>
      <c r="AFY93">
        <v>0</v>
      </c>
      <c r="AFZ93">
        <v>0</v>
      </c>
      <c r="AGA93">
        <v>0</v>
      </c>
      <c r="AGB93">
        <v>0</v>
      </c>
      <c r="AGC93">
        <v>-120</v>
      </c>
      <c r="AGD93">
        <v>0</v>
      </c>
      <c r="AGE93">
        <v>0</v>
      </c>
      <c r="AGF93">
        <v>0</v>
      </c>
      <c r="AGG93">
        <v>0</v>
      </c>
      <c r="AGH93">
        <v>0</v>
      </c>
      <c r="AGI93">
        <v>0</v>
      </c>
      <c r="AGJ93">
        <v>0</v>
      </c>
      <c r="AGK93">
        <v>0</v>
      </c>
      <c r="AGL93">
        <v>0</v>
      </c>
      <c r="AGM93">
        <v>0</v>
      </c>
      <c r="AGN93">
        <v>0</v>
      </c>
      <c r="AGO93">
        <v>0</v>
      </c>
      <c r="AGP93">
        <v>0</v>
      </c>
      <c r="AGQ93">
        <v>0</v>
      </c>
      <c r="AGR93">
        <v>0</v>
      </c>
      <c r="AGS93">
        <v>0</v>
      </c>
      <c r="AGT93">
        <v>0</v>
      </c>
      <c r="AGU93">
        <v>0</v>
      </c>
      <c r="AGV93">
        <v>0</v>
      </c>
      <c r="AGW93">
        <v>0</v>
      </c>
      <c r="AGX93">
        <v>0</v>
      </c>
      <c r="AGY93">
        <v>0</v>
      </c>
      <c r="AGZ93">
        <v>0</v>
      </c>
      <c r="AHA93">
        <v>0</v>
      </c>
      <c r="AHB93">
        <v>0</v>
      </c>
      <c r="AHC93">
        <v>0</v>
      </c>
      <c r="AHD93">
        <v>0</v>
      </c>
      <c r="AHE93">
        <v>0</v>
      </c>
      <c r="AHF93">
        <v>0</v>
      </c>
      <c r="AHG93">
        <v>0</v>
      </c>
      <c r="AHH93">
        <v>0</v>
      </c>
      <c r="AHI93">
        <v>0</v>
      </c>
      <c r="AHJ93">
        <v>0</v>
      </c>
      <c r="AHK93">
        <v>0</v>
      </c>
      <c r="AHL93">
        <v>0</v>
      </c>
      <c r="AHM93">
        <v>0</v>
      </c>
      <c r="AHN93">
        <v>0</v>
      </c>
      <c r="AHO93">
        <v>0</v>
      </c>
      <c r="AHP93">
        <v>0</v>
      </c>
      <c r="AHQ93">
        <v>0</v>
      </c>
      <c r="AHR93">
        <v>0</v>
      </c>
      <c r="AHS93">
        <v>0</v>
      </c>
      <c r="AHT93">
        <v>0</v>
      </c>
      <c r="AHU93">
        <v>0</v>
      </c>
      <c r="AHV93">
        <v>0</v>
      </c>
      <c r="AHW93">
        <v>0</v>
      </c>
      <c r="AHX93">
        <v>0</v>
      </c>
      <c r="AHY93">
        <v>0</v>
      </c>
      <c r="AHZ93">
        <v>0</v>
      </c>
      <c r="AIA93">
        <v>0</v>
      </c>
      <c r="AIB93">
        <v>0</v>
      </c>
      <c r="AIC93">
        <v>0</v>
      </c>
      <c r="AID93">
        <v>0</v>
      </c>
      <c r="AIE93">
        <v>0</v>
      </c>
      <c r="AIF93">
        <v>0</v>
      </c>
      <c r="AIG93">
        <v>0</v>
      </c>
      <c r="AIH93">
        <v>0</v>
      </c>
      <c r="AII93">
        <v>0</v>
      </c>
      <c r="AIJ93">
        <v>0</v>
      </c>
      <c r="AIK93">
        <v>0</v>
      </c>
      <c r="AIL93">
        <v>0</v>
      </c>
      <c r="AIM93">
        <v>0</v>
      </c>
      <c r="AIN93">
        <v>0</v>
      </c>
      <c r="AIO93">
        <v>0</v>
      </c>
      <c r="AIP93">
        <v>0</v>
      </c>
      <c r="AIQ93">
        <v>0</v>
      </c>
      <c r="AIR93">
        <v>0</v>
      </c>
      <c r="AIS93">
        <v>0</v>
      </c>
      <c r="AIT93">
        <v>0</v>
      </c>
      <c r="AIU93">
        <v>0</v>
      </c>
      <c r="AIV93">
        <v>0</v>
      </c>
      <c r="AIW93">
        <v>0</v>
      </c>
      <c r="AIX93">
        <v>0</v>
      </c>
      <c r="AIY93">
        <v>0</v>
      </c>
      <c r="AIZ93">
        <v>0</v>
      </c>
      <c r="AJA93">
        <v>0</v>
      </c>
      <c r="AJB93">
        <v>0</v>
      </c>
      <c r="AJC93">
        <v>0</v>
      </c>
      <c r="AJD93">
        <v>0</v>
      </c>
      <c r="AJE93">
        <v>0</v>
      </c>
      <c r="AJF93">
        <v>0</v>
      </c>
      <c r="AJG93">
        <v>0</v>
      </c>
      <c r="AJH93">
        <v>0</v>
      </c>
      <c r="AJI93">
        <v>0</v>
      </c>
      <c r="AJJ93">
        <v>0</v>
      </c>
      <c r="AJK93">
        <v>0</v>
      </c>
      <c r="AJL93">
        <v>0</v>
      </c>
      <c r="AJM93">
        <v>0</v>
      </c>
      <c r="AJN93">
        <v>0</v>
      </c>
      <c r="AJO93">
        <v>0</v>
      </c>
      <c r="AJP93">
        <v>0</v>
      </c>
      <c r="AJQ93">
        <v>0</v>
      </c>
      <c r="AJR93">
        <v>0</v>
      </c>
      <c r="AJS93">
        <v>0</v>
      </c>
      <c r="AJT93">
        <v>0</v>
      </c>
      <c r="AJU93">
        <v>-4500</v>
      </c>
      <c r="AJV93">
        <v>0</v>
      </c>
      <c r="AJW93">
        <v>0</v>
      </c>
      <c r="AJX93">
        <v>0</v>
      </c>
      <c r="AJY93">
        <v>0</v>
      </c>
    </row>
    <row r="94" spans="1:961" x14ac:dyDescent="0.3">
      <c r="A94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10000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5000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  <c r="KP94">
        <v>0</v>
      </c>
      <c r="KQ94">
        <v>0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0</v>
      </c>
      <c r="LA94">
        <v>0</v>
      </c>
      <c r="LB94">
        <v>0</v>
      </c>
      <c r="LC94">
        <v>0</v>
      </c>
      <c r="LD94">
        <v>0</v>
      </c>
      <c r="LE94">
        <v>0</v>
      </c>
      <c r="LF94">
        <v>0</v>
      </c>
      <c r="LG94">
        <v>0</v>
      </c>
      <c r="LH94">
        <v>0</v>
      </c>
      <c r="LI94">
        <v>0</v>
      </c>
      <c r="LJ94">
        <v>0</v>
      </c>
      <c r="LK94">
        <v>0</v>
      </c>
      <c r="LL94">
        <v>0</v>
      </c>
      <c r="LM94">
        <v>0</v>
      </c>
      <c r="LN94">
        <v>0</v>
      </c>
      <c r="LO94">
        <v>0</v>
      </c>
      <c r="LP94">
        <v>0</v>
      </c>
      <c r="LQ94">
        <v>0</v>
      </c>
      <c r="LR94">
        <v>0</v>
      </c>
      <c r="LS94">
        <v>0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  <c r="MC94">
        <v>0</v>
      </c>
      <c r="MD94">
        <v>0</v>
      </c>
      <c r="ME94">
        <v>0</v>
      </c>
      <c r="MF94">
        <v>0</v>
      </c>
      <c r="MG94">
        <v>0</v>
      </c>
      <c r="MH94">
        <v>0</v>
      </c>
      <c r="MI94">
        <v>0</v>
      </c>
      <c r="MJ94">
        <v>0</v>
      </c>
      <c r="MK94">
        <v>0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0</v>
      </c>
      <c r="MR94">
        <v>0</v>
      </c>
      <c r="MS94">
        <v>0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0</v>
      </c>
      <c r="NL94">
        <v>0</v>
      </c>
      <c r="NM94">
        <v>0</v>
      </c>
      <c r="NN94">
        <v>0</v>
      </c>
      <c r="NO94">
        <v>0</v>
      </c>
      <c r="NP94">
        <v>0</v>
      </c>
      <c r="NQ94">
        <v>0</v>
      </c>
      <c r="NR94">
        <v>-5400</v>
      </c>
      <c r="NS94">
        <v>0</v>
      </c>
      <c r="NT94">
        <v>0</v>
      </c>
      <c r="NU94">
        <v>0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0</v>
      </c>
      <c r="ON94">
        <v>0</v>
      </c>
      <c r="OO94">
        <v>0</v>
      </c>
      <c r="OP94">
        <v>0</v>
      </c>
      <c r="OQ94">
        <v>0</v>
      </c>
      <c r="OR94">
        <v>0</v>
      </c>
      <c r="OS94">
        <v>0</v>
      </c>
      <c r="OT94">
        <v>0</v>
      </c>
      <c r="OU94">
        <v>0</v>
      </c>
      <c r="OV94">
        <v>0</v>
      </c>
      <c r="OW94">
        <v>0</v>
      </c>
      <c r="OX94">
        <v>0</v>
      </c>
      <c r="OY94">
        <v>0</v>
      </c>
      <c r="OZ94">
        <v>0</v>
      </c>
      <c r="PA94">
        <v>0</v>
      </c>
      <c r="PB94">
        <v>0</v>
      </c>
      <c r="PC94">
        <v>0</v>
      </c>
      <c r="PD94">
        <v>0</v>
      </c>
      <c r="PE94">
        <v>0</v>
      </c>
      <c r="PF94">
        <v>0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</v>
      </c>
      <c r="PO94">
        <v>0</v>
      </c>
      <c r="PP94">
        <v>0</v>
      </c>
      <c r="PQ94">
        <v>0</v>
      </c>
      <c r="PR94">
        <v>0</v>
      </c>
      <c r="PS94">
        <v>0</v>
      </c>
      <c r="PT94">
        <v>0</v>
      </c>
      <c r="PU94">
        <v>0</v>
      </c>
      <c r="PV94">
        <v>0</v>
      </c>
      <c r="PW94">
        <v>0</v>
      </c>
      <c r="PX94">
        <v>0</v>
      </c>
      <c r="PY94">
        <v>0</v>
      </c>
      <c r="PZ94">
        <v>0</v>
      </c>
      <c r="QA94">
        <v>0</v>
      </c>
      <c r="QB94">
        <v>0</v>
      </c>
      <c r="QC94">
        <v>0</v>
      </c>
      <c r="QD94">
        <v>0</v>
      </c>
      <c r="QE94">
        <v>0</v>
      </c>
      <c r="QF94">
        <v>0</v>
      </c>
      <c r="QG94">
        <v>0</v>
      </c>
      <c r="QH94">
        <v>0</v>
      </c>
      <c r="QI94">
        <v>0</v>
      </c>
      <c r="QJ94">
        <v>0</v>
      </c>
      <c r="QK94">
        <v>0</v>
      </c>
      <c r="QL94">
        <v>0</v>
      </c>
      <c r="QM94">
        <v>0</v>
      </c>
      <c r="QN94">
        <v>0</v>
      </c>
      <c r="QO94">
        <v>0</v>
      </c>
      <c r="QP94">
        <v>0</v>
      </c>
      <c r="QQ94">
        <v>0</v>
      </c>
      <c r="QR94">
        <v>0</v>
      </c>
      <c r="QS94">
        <v>0</v>
      </c>
      <c r="QT94">
        <v>0</v>
      </c>
      <c r="QU94">
        <v>0</v>
      </c>
      <c r="QV94">
        <v>0</v>
      </c>
      <c r="QW94">
        <v>0</v>
      </c>
      <c r="QX94">
        <v>0</v>
      </c>
      <c r="QY94">
        <v>0</v>
      </c>
      <c r="QZ94">
        <v>0</v>
      </c>
      <c r="RA94">
        <v>0</v>
      </c>
      <c r="RB94">
        <v>0</v>
      </c>
      <c r="RC94">
        <v>0</v>
      </c>
      <c r="RD94">
        <v>0</v>
      </c>
      <c r="RE94">
        <v>0</v>
      </c>
      <c r="RF94">
        <v>0</v>
      </c>
      <c r="RG94">
        <v>0</v>
      </c>
      <c r="RH94">
        <v>0</v>
      </c>
      <c r="RI94">
        <v>0</v>
      </c>
      <c r="RJ94">
        <v>-150</v>
      </c>
      <c r="RK94">
        <v>0</v>
      </c>
      <c r="RL94">
        <v>0</v>
      </c>
      <c r="RM94">
        <v>0</v>
      </c>
      <c r="RN94">
        <v>0</v>
      </c>
      <c r="RO94">
        <v>0</v>
      </c>
      <c r="RP94">
        <v>0</v>
      </c>
      <c r="RQ94">
        <v>0</v>
      </c>
      <c r="RR94">
        <v>0</v>
      </c>
      <c r="RS94">
        <v>0</v>
      </c>
      <c r="RT94">
        <v>0</v>
      </c>
      <c r="RU94">
        <v>0</v>
      </c>
      <c r="RV94">
        <v>0</v>
      </c>
      <c r="RW94">
        <v>0</v>
      </c>
      <c r="RX94">
        <v>0</v>
      </c>
      <c r="RY94">
        <v>0</v>
      </c>
      <c r="RZ94">
        <v>0</v>
      </c>
      <c r="SA94">
        <v>0</v>
      </c>
      <c r="SB94">
        <v>0</v>
      </c>
      <c r="SC94">
        <v>0</v>
      </c>
      <c r="SD94">
        <v>0</v>
      </c>
      <c r="SE94">
        <v>0</v>
      </c>
      <c r="SF94">
        <v>0</v>
      </c>
      <c r="SG94">
        <v>0</v>
      </c>
      <c r="SH94">
        <v>0</v>
      </c>
      <c r="SI94">
        <v>0</v>
      </c>
      <c r="SJ94">
        <v>0</v>
      </c>
      <c r="SK94">
        <v>0</v>
      </c>
      <c r="SL94">
        <v>0</v>
      </c>
      <c r="SM94">
        <v>0</v>
      </c>
      <c r="SN94">
        <v>0</v>
      </c>
      <c r="SO94">
        <v>0</v>
      </c>
      <c r="SP94">
        <v>0</v>
      </c>
      <c r="SQ94">
        <v>0</v>
      </c>
      <c r="SR94">
        <v>0</v>
      </c>
      <c r="SS94">
        <v>0</v>
      </c>
      <c r="ST94">
        <v>0</v>
      </c>
      <c r="SU94">
        <v>0</v>
      </c>
      <c r="SV94">
        <v>0</v>
      </c>
      <c r="SW94">
        <v>0</v>
      </c>
      <c r="SX94">
        <v>0</v>
      </c>
      <c r="SY94">
        <v>0</v>
      </c>
      <c r="SZ94">
        <v>0</v>
      </c>
      <c r="TA94">
        <v>0</v>
      </c>
      <c r="TB94">
        <v>0</v>
      </c>
      <c r="TC94">
        <v>0</v>
      </c>
      <c r="TD94">
        <v>0</v>
      </c>
      <c r="TE94">
        <v>0</v>
      </c>
      <c r="TF94">
        <v>0</v>
      </c>
      <c r="TG94">
        <v>0</v>
      </c>
      <c r="TH94">
        <v>0</v>
      </c>
      <c r="TI94">
        <v>0</v>
      </c>
      <c r="TJ94">
        <v>0</v>
      </c>
      <c r="TK94">
        <v>0</v>
      </c>
      <c r="TL94">
        <v>0</v>
      </c>
      <c r="TM94">
        <v>0</v>
      </c>
      <c r="TN94">
        <v>0</v>
      </c>
      <c r="TO94">
        <v>0</v>
      </c>
      <c r="TP94">
        <v>0</v>
      </c>
      <c r="TQ94">
        <v>0</v>
      </c>
      <c r="TR94">
        <v>0</v>
      </c>
      <c r="TS94">
        <v>0</v>
      </c>
      <c r="TT94">
        <v>0</v>
      </c>
      <c r="TU94">
        <v>0</v>
      </c>
      <c r="TV94">
        <v>0</v>
      </c>
      <c r="TW94">
        <v>0</v>
      </c>
      <c r="TX94">
        <v>0</v>
      </c>
      <c r="TY94">
        <v>0</v>
      </c>
      <c r="TZ94">
        <v>0</v>
      </c>
      <c r="UA94">
        <v>0</v>
      </c>
      <c r="UB94">
        <v>0</v>
      </c>
      <c r="UC94">
        <v>0</v>
      </c>
      <c r="UD94">
        <v>0</v>
      </c>
      <c r="UE94">
        <v>0</v>
      </c>
      <c r="UF94">
        <v>0</v>
      </c>
      <c r="UG94">
        <v>0</v>
      </c>
      <c r="UH94">
        <v>0</v>
      </c>
      <c r="UI94">
        <v>0</v>
      </c>
      <c r="UJ94">
        <v>0</v>
      </c>
      <c r="UK94">
        <v>0</v>
      </c>
      <c r="UL94">
        <v>0</v>
      </c>
      <c r="UM94">
        <v>0</v>
      </c>
      <c r="UN94">
        <v>0</v>
      </c>
      <c r="UO94">
        <v>0</v>
      </c>
      <c r="UP94">
        <v>0</v>
      </c>
      <c r="UQ94">
        <v>0</v>
      </c>
      <c r="UR94">
        <v>0</v>
      </c>
      <c r="US94">
        <v>0</v>
      </c>
      <c r="UT94">
        <v>0</v>
      </c>
      <c r="UU94">
        <v>0</v>
      </c>
      <c r="UV94">
        <v>0</v>
      </c>
      <c r="UW94">
        <v>0</v>
      </c>
      <c r="UX94">
        <v>0</v>
      </c>
      <c r="UY94">
        <v>0</v>
      </c>
      <c r="UZ94">
        <v>0</v>
      </c>
      <c r="VA94">
        <v>0</v>
      </c>
      <c r="VB94">
        <v>-1000</v>
      </c>
      <c r="VC94">
        <v>0</v>
      </c>
      <c r="VD94">
        <v>0</v>
      </c>
      <c r="VE94">
        <v>0</v>
      </c>
      <c r="VF94">
        <v>0</v>
      </c>
      <c r="VG94">
        <v>0</v>
      </c>
      <c r="VH94">
        <v>0</v>
      </c>
      <c r="VI94">
        <v>0</v>
      </c>
      <c r="VJ94">
        <v>0</v>
      </c>
      <c r="VK94">
        <v>0</v>
      </c>
      <c r="VL94">
        <v>0</v>
      </c>
      <c r="VM94">
        <v>0</v>
      </c>
      <c r="VN94">
        <v>0</v>
      </c>
      <c r="VO94">
        <v>0</v>
      </c>
      <c r="VP94">
        <v>0</v>
      </c>
      <c r="VQ94">
        <v>0</v>
      </c>
      <c r="VR94">
        <v>0</v>
      </c>
      <c r="VS94">
        <v>0</v>
      </c>
      <c r="VT94">
        <v>0</v>
      </c>
      <c r="VU94">
        <v>0</v>
      </c>
      <c r="VV94">
        <v>0</v>
      </c>
      <c r="VW94">
        <v>0</v>
      </c>
      <c r="VX94">
        <v>0</v>
      </c>
      <c r="VY94">
        <v>0</v>
      </c>
      <c r="VZ94">
        <v>0</v>
      </c>
      <c r="WA94">
        <v>0</v>
      </c>
      <c r="WB94">
        <v>0</v>
      </c>
      <c r="WC94">
        <v>0</v>
      </c>
      <c r="WD94">
        <v>0</v>
      </c>
      <c r="WE94">
        <v>0</v>
      </c>
      <c r="WF94">
        <v>0</v>
      </c>
      <c r="WG94">
        <v>0</v>
      </c>
      <c r="WH94">
        <v>0</v>
      </c>
      <c r="WI94">
        <v>0</v>
      </c>
      <c r="WJ94">
        <v>0</v>
      </c>
      <c r="WK94">
        <v>0</v>
      </c>
      <c r="WL94">
        <v>0</v>
      </c>
      <c r="WM94">
        <v>0</v>
      </c>
      <c r="WN94">
        <v>0</v>
      </c>
      <c r="WO94">
        <v>0</v>
      </c>
      <c r="WP94">
        <v>0</v>
      </c>
      <c r="WQ94">
        <v>0</v>
      </c>
      <c r="WR94">
        <v>0</v>
      </c>
      <c r="WS94">
        <v>0</v>
      </c>
      <c r="WT94">
        <v>0</v>
      </c>
      <c r="WU94">
        <v>0</v>
      </c>
      <c r="WV94">
        <v>0</v>
      </c>
      <c r="WW94">
        <v>0</v>
      </c>
      <c r="WX94">
        <v>0</v>
      </c>
      <c r="WY94">
        <v>0</v>
      </c>
      <c r="WZ94">
        <v>0</v>
      </c>
      <c r="XA94">
        <v>0</v>
      </c>
      <c r="XB94">
        <v>0</v>
      </c>
      <c r="XC94">
        <v>0</v>
      </c>
      <c r="XD94">
        <v>0</v>
      </c>
      <c r="XE94">
        <v>0</v>
      </c>
      <c r="XF94">
        <v>0</v>
      </c>
      <c r="XG94">
        <v>0</v>
      </c>
      <c r="XH94">
        <v>0</v>
      </c>
      <c r="XI94">
        <v>0</v>
      </c>
      <c r="XJ94">
        <v>0</v>
      </c>
      <c r="XK94">
        <v>0</v>
      </c>
      <c r="XL94">
        <v>0</v>
      </c>
      <c r="XM94">
        <v>0</v>
      </c>
      <c r="XN94">
        <v>0</v>
      </c>
      <c r="XO94">
        <v>0</v>
      </c>
      <c r="XP94">
        <v>0</v>
      </c>
      <c r="XQ94">
        <v>0</v>
      </c>
      <c r="XR94">
        <v>0</v>
      </c>
      <c r="XS94">
        <v>0</v>
      </c>
      <c r="XT94">
        <v>0</v>
      </c>
      <c r="XU94">
        <v>0</v>
      </c>
      <c r="XV94">
        <v>0</v>
      </c>
      <c r="XW94">
        <v>0</v>
      </c>
      <c r="XX94">
        <v>0</v>
      </c>
      <c r="XY94">
        <v>0</v>
      </c>
      <c r="XZ94">
        <v>0</v>
      </c>
      <c r="YA94">
        <v>0</v>
      </c>
      <c r="YB94">
        <v>0</v>
      </c>
      <c r="YC94">
        <v>0</v>
      </c>
      <c r="YD94">
        <v>0</v>
      </c>
      <c r="YE94">
        <v>0</v>
      </c>
      <c r="YF94">
        <v>0</v>
      </c>
      <c r="YG94">
        <v>0</v>
      </c>
      <c r="YH94">
        <v>0</v>
      </c>
      <c r="YI94">
        <v>0</v>
      </c>
      <c r="YJ94">
        <v>0</v>
      </c>
      <c r="YK94">
        <v>0</v>
      </c>
      <c r="YL94">
        <v>0</v>
      </c>
      <c r="YM94">
        <v>0</v>
      </c>
      <c r="YN94">
        <v>0</v>
      </c>
      <c r="YO94">
        <v>0</v>
      </c>
      <c r="YP94">
        <v>0</v>
      </c>
      <c r="YQ94">
        <v>0</v>
      </c>
      <c r="YR94">
        <v>0</v>
      </c>
      <c r="YS94">
        <v>0</v>
      </c>
      <c r="YT94">
        <v>-5</v>
      </c>
      <c r="YU94">
        <v>0</v>
      </c>
      <c r="YV94">
        <v>0</v>
      </c>
      <c r="YW94">
        <v>0</v>
      </c>
      <c r="YX94">
        <v>0</v>
      </c>
      <c r="YY94">
        <v>0</v>
      </c>
      <c r="YZ94">
        <v>0</v>
      </c>
      <c r="ZA94">
        <v>0</v>
      </c>
      <c r="ZB94">
        <v>0</v>
      </c>
      <c r="ZC94">
        <v>0</v>
      </c>
      <c r="ZD94">
        <v>0</v>
      </c>
      <c r="ZE94">
        <v>0</v>
      </c>
      <c r="ZF94">
        <v>0</v>
      </c>
      <c r="ZG94">
        <v>0</v>
      </c>
      <c r="ZH94">
        <v>0</v>
      </c>
      <c r="ZI94">
        <v>0</v>
      </c>
      <c r="ZJ94">
        <v>0</v>
      </c>
      <c r="ZK94">
        <v>0</v>
      </c>
      <c r="ZL94">
        <v>0</v>
      </c>
      <c r="ZM94">
        <v>0</v>
      </c>
      <c r="ZN94">
        <v>0</v>
      </c>
      <c r="ZO94">
        <v>0</v>
      </c>
      <c r="ZP94">
        <v>0</v>
      </c>
      <c r="ZQ94">
        <v>0</v>
      </c>
      <c r="ZR94">
        <v>0</v>
      </c>
      <c r="ZS94">
        <v>0</v>
      </c>
      <c r="ZT94">
        <v>0</v>
      </c>
      <c r="ZU94">
        <v>0</v>
      </c>
      <c r="ZV94">
        <v>0</v>
      </c>
      <c r="ZW94">
        <v>0</v>
      </c>
      <c r="ZX94">
        <v>0</v>
      </c>
      <c r="ZY94">
        <v>0</v>
      </c>
      <c r="ZZ94">
        <v>0</v>
      </c>
      <c r="AAA94">
        <v>0</v>
      </c>
      <c r="AAB94">
        <v>0</v>
      </c>
      <c r="AAC94">
        <v>0</v>
      </c>
      <c r="AAD94">
        <v>0</v>
      </c>
      <c r="AAE94">
        <v>0</v>
      </c>
      <c r="AAF94">
        <v>0</v>
      </c>
      <c r="AAG94">
        <v>0</v>
      </c>
      <c r="AAH94">
        <v>0</v>
      </c>
      <c r="AAI94">
        <v>0</v>
      </c>
      <c r="AAJ94">
        <v>0</v>
      </c>
      <c r="AAK94">
        <v>0</v>
      </c>
      <c r="AAL94">
        <v>0</v>
      </c>
      <c r="AAM94">
        <v>0</v>
      </c>
      <c r="AAN94">
        <v>0</v>
      </c>
      <c r="AAO94">
        <v>0</v>
      </c>
      <c r="AAP94">
        <v>0</v>
      </c>
      <c r="AAQ94">
        <v>0</v>
      </c>
      <c r="AAR94">
        <v>0</v>
      </c>
      <c r="AAS94">
        <v>0</v>
      </c>
      <c r="AAT94">
        <v>0</v>
      </c>
      <c r="AAU94">
        <v>0</v>
      </c>
      <c r="AAV94">
        <v>0</v>
      </c>
      <c r="AAW94">
        <v>0</v>
      </c>
      <c r="AAX94">
        <v>0</v>
      </c>
      <c r="AAY94">
        <v>0</v>
      </c>
      <c r="AAZ94">
        <v>0</v>
      </c>
      <c r="ABA94">
        <v>0</v>
      </c>
      <c r="ABB94">
        <v>0</v>
      </c>
      <c r="ABC94">
        <v>0</v>
      </c>
      <c r="ABD94">
        <v>0</v>
      </c>
      <c r="ABE94">
        <v>0</v>
      </c>
      <c r="ABF94">
        <v>0</v>
      </c>
      <c r="ABG94">
        <v>0</v>
      </c>
      <c r="ABH94">
        <v>0</v>
      </c>
      <c r="ABI94">
        <v>0</v>
      </c>
      <c r="ABJ94">
        <v>0</v>
      </c>
      <c r="ABK94">
        <v>0</v>
      </c>
      <c r="ABL94">
        <v>0</v>
      </c>
      <c r="ABM94">
        <v>0</v>
      </c>
      <c r="ABN94">
        <v>0</v>
      </c>
      <c r="ABO94">
        <v>0</v>
      </c>
      <c r="ABP94">
        <v>0</v>
      </c>
      <c r="ABQ94">
        <v>0</v>
      </c>
      <c r="ABR94">
        <v>0</v>
      </c>
      <c r="ABS94">
        <v>0</v>
      </c>
      <c r="ABT94">
        <v>0</v>
      </c>
      <c r="ABU94">
        <v>0</v>
      </c>
      <c r="ABV94">
        <v>0</v>
      </c>
      <c r="ABW94">
        <v>0</v>
      </c>
      <c r="ABX94">
        <v>0</v>
      </c>
      <c r="ABY94">
        <v>0</v>
      </c>
      <c r="ABZ94">
        <v>0</v>
      </c>
      <c r="ACA94">
        <v>0</v>
      </c>
      <c r="ACB94">
        <v>0</v>
      </c>
      <c r="ACC94">
        <v>0</v>
      </c>
      <c r="ACD94">
        <v>0</v>
      </c>
      <c r="ACE94">
        <v>0</v>
      </c>
      <c r="ACF94">
        <v>0</v>
      </c>
      <c r="ACG94">
        <v>0</v>
      </c>
      <c r="ACH94">
        <v>0</v>
      </c>
      <c r="ACI94">
        <v>0</v>
      </c>
      <c r="ACJ94">
        <v>0</v>
      </c>
      <c r="ACK94">
        <v>0</v>
      </c>
      <c r="ACL94">
        <v>-256.16438356164383</v>
      </c>
      <c r="ACM94">
        <v>0</v>
      </c>
      <c r="ACN94">
        <v>0</v>
      </c>
      <c r="ACO94">
        <v>0</v>
      </c>
      <c r="ACP94">
        <v>0</v>
      </c>
      <c r="ACQ94">
        <v>0</v>
      </c>
      <c r="ACR94">
        <v>0</v>
      </c>
      <c r="ACS94">
        <v>0</v>
      </c>
      <c r="ACT94">
        <v>0</v>
      </c>
      <c r="ACU94">
        <v>0</v>
      </c>
      <c r="ACV94">
        <v>0</v>
      </c>
      <c r="ACW94">
        <v>0</v>
      </c>
      <c r="ACX94">
        <v>0</v>
      </c>
      <c r="ACY94">
        <v>0</v>
      </c>
      <c r="ACZ94">
        <v>0</v>
      </c>
      <c r="ADA94">
        <v>0</v>
      </c>
      <c r="ADB94">
        <v>0</v>
      </c>
      <c r="ADC94">
        <v>0</v>
      </c>
      <c r="ADD94">
        <v>0</v>
      </c>
      <c r="ADE94">
        <v>0</v>
      </c>
      <c r="ADF94">
        <v>0</v>
      </c>
      <c r="ADG94">
        <v>0</v>
      </c>
      <c r="ADH94">
        <v>0</v>
      </c>
      <c r="ADI94">
        <v>0</v>
      </c>
      <c r="ADJ94">
        <v>0</v>
      </c>
      <c r="ADK94">
        <v>0</v>
      </c>
      <c r="ADL94">
        <v>0</v>
      </c>
      <c r="ADM94">
        <v>0</v>
      </c>
      <c r="ADN94">
        <v>0</v>
      </c>
      <c r="ADO94">
        <v>0</v>
      </c>
      <c r="ADP94">
        <v>0</v>
      </c>
      <c r="ADQ94">
        <v>0</v>
      </c>
      <c r="ADR94">
        <v>0</v>
      </c>
      <c r="ADS94">
        <v>0</v>
      </c>
      <c r="ADT94">
        <v>0</v>
      </c>
      <c r="ADU94">
        <v>0</v>
      </c>
      <c r="ADV94">
        <v>0</v>
      </c>
      <c r="ADW94">
        <v>0</v>
      </c>
      <c r="ADX94">
        <v>0</v>
      </c>
      <c r="ADY94">
        <v>0</v>
      </c>
      <c r="ADZ94">
        <v>0</v>
      </c>
      <c r="AEA94">
        <v>0</v>
      </c>
      <c r="AEB94">
        <v>0</v>
      </c>
      <c r="AEC94">
        <v>0</v>
      </c>
      <c r="AED94">
        <v>0</v>
      </c>
      <c r="AEE94">
        <v>0</v>
      </c>
      <c r="AEF94">
        <v>0</v>
      </c>
      <c r="AEG94">
        <v>0</v>
      </c>
      <c r="AEH94">
        <v>0</v>
      </c>
      <c r="AEI94">
        <v>0</v>
      </c>
      <c r="AEJ94">
        <v>0</v>
      </c>
      <c r="AEK94">
        <v>0</v>
      </c>
      <c r="AEL94">
        <v>0</v>
      </c>
      <c r="AEM94">
        <v>0</v>
      </c>
      <c r="AEN94">
        <v>0</v>
      </c>
      <c r="AEO94">
        <v>0</v>
      </c>
      <c r="AEP94">
        <v>0</v>
      </c>
      <c r="AEQ94">
        <v>0</v>
      </c>
      <c r="AER94">
        <v>0</v>
      </c>
      <c r="AES94">
        <v>0</v>
      </c>
      <c r="AET94">
        <v>0</v>
      </c>
      <c r="AEU94">
        <v>0</v>
      </c>
      <c r="AEV94">
        <v>0</v>
      </c>
      <c r="AEW94">
        <v>0</v>
      </c>
      <c r="AEX94">
        <v>0</v>
      </c>
      <c r="AEY94">
        <v>0</v>
      </c>
      <c r="AEZ94">
        <v>0</v>
      </c>
      <c r="AFA94">
        <v>0</v>
      </c>
      <c r="AFB94">
        <v>0</v>
      </c>
      <c r="AFC94">
        <v>0</v>
      </c>
      <c r="AFD94">
        <v>0</v>
      </c>
      <c r="AFE94">
        <v>0</v>
      </c>
      <c r="AFF94">
        <v>0</v>
      </c>
      <c r="AFG94">
        <v>0</v>
      </c>
      <c r="AFH94">
        <v>0</v>
      </c>
      <c r="AFI94">
        <v>0</v>
      </c>
      <c r="AFJ94">
        <v>0</v>
      </c>
      <c r="AFK94">
        <v>0</v>
      </c>
      <c r="AFL94">
        <v>0</v>
      </c>
      <c r="AFM94">
        <v>0</v>
      </c>
      <c r="AFN94">
        <v>0</v>
      </c>
      <c r="AFO94">
        <v>0</v>
      </c>
      <c r="AFP94">
        <v>0</v>
      </c>
      <c r="AFQ94">
        <v>0</v>
      </c>
      <c r="AFR94">
        <v>0</v>
      </c>
      <c r="AFS94">
        <v>0</v>
      </c>
      <c r="AFT94">
        <v>0</v>
      </c>
      <c r="AFU94">
        <v>0</v>
      </c>
      <c r="AFV94">
        <v>0</v>
      </c>
      <c r="AFW94">
        <v>0</v>
      </c>
      <c r="AFX94">
        <v>0</v>
      </c>
      <c r="AFY94">
        <v>0</v>
      </c>
      <c r="AFZ94">
        <v>0</v>
      </c>
      <c r="AGA94">
        <v>0</v>
      </c>
      <c r="AGB94">
        <v>0</v>
      </c>
      <c r="AGC94">
        <v>0</v>
      </c>
      <c r="AGD94">
        <v>-120</v>
      </c>
      <c r="AGE94">
        <v>0</v>
      </c>
      <c r="AGF94">
        <v>0</v>
      </c>
      <c r="AGG94">
        <v>0</v>
      </c>
      <c r="AGH94">
        <v>0</v>
      </c>
      <c r="AGI94">
        <v>0</v>
      </c>
      <c r="AGJ94">
        <v>0</v>
      </c>
      <c r="AGK94">
        <v>0</v>
      </c>
      <c r="AGL94">
        <v>0</v>
      </c>
      <c r="AGM94">
        <v>0</v>
      </c>
      <c r="AGN94">
        <v>0</v>
      </c>
      <c r="AGO94">
        <v>0</v>
      </c>
      <c r="AGP94">
        <v>0</v>
      </c>
      <c r="AGQ94">
        <v>0</v>
      </c>
      <c r="AGR94">
        <v>0</v>
      </c>
      <c r="AGS94">
        <v>0</v>
      </c>
      <c r="AGT94">
        <v>0</v>
      </c>
      <c r="AGU94">
        <v>0</v>
      </c>
      <c r="AGV94">
        <v>0</v>
      </c>
      <c r="AGW94">
        <v>0</v>
      </c>
      <c r="AGX94">
        <v>0</v>
      </c>
      <c r="AGY94">
        <v>0</v>
      </c>
      <c r="AGZ94">
        <v>0</v>
      </c>
      <c r="AHA94">
        <v>0</v>
      </c>
      <c r="AHB94">
        <v>0</v>
      </c>
      <c r="AHC94">
        <v>0</v>
      </c>
      <c r="AHD94">
        <v>0</v>
      </c>
      <c r="AHE94">
        <v>0</v>
      </c>
      <c r="AHF94">
        <v>0</v>
      </c>
      <c r="AHG94">
        <v>0</v>
      </c>
      <c r="AHH94">
        <v>0</v>
      </c>
      <c r="AHI94">
        <v>0</v>
      </c>
      <c r="AHJ94">
        <v>0</v>
      </c>
      <c r="AHK94">
        <v>0</v>
      </c>
      <c r="AHL94">
        <v>0</v>
      </c>
      <c r="AHM94">
        <v>0</v>
      </c>
      <c r="AHN94">
        <v>0</v>
      </c>
      <c r="AHO94">
        <v>0</v>
      </c>
      <c r="AHP94">
        <v>0</v>
      </c>
      <c r="AHQ94">
        <v>0</v>
      </c>
      <c r="AHR94">
        <v>0</v>
      </c>
      <c r="AHS94">
        <v>0</v>
      </c>
      <c r="AHT94">
        <v>0</v>
      </c>
      <c r="AHU94">
        <v>0</v>
      </c>
      <c r="AHV94">
        <v>0</v>
      </c>
      <c r="AHW94">
        <v>0</v>
      </c>
      <c r="AHX94">
        <v>0</v>
      </c>
      <c r="AHY94">
        <v>0</v>
      </c>
      <c r="AHZ94">
        <v>0</v>
      </c>
      <c r="AIA94">
        <v>0</v>
      </c>
      <c r="AIB94">
        <v>0</v>
      </c>
      <c r="AIC94">
        <v>0</v>
      </c>
      <c r="AID94">
        <v>0</v>
      </c>
      <c r="AIE94">
        <v>0</v>
      </c>
      <c r="AIF94">
        <v>0</v>
      </c>
      <c r="AIG94">
        <v>0</v>
      </c>
      <c r="AIH94">
        <v>0</v>
      </c>
      <c r="AII94">
        <v>0</v>
      </c>
      <c r="AIJ94">
        <v>0</v>
      </c>
      <c r="AIK94">
        <v>0</v>
      </c>
      <c r="AIL94">
        <v>0</v>
      </c>
      <c r="AIM94">
        <v>0</v>
      </c>
      <c r="AIN94">
        <v>0</v>
      </c>
      <c r="AIO94">
        <v>0</v>
      </c>
      <c r="AIP94">
        <v>0</v>
      </c>
      <c r="AIQ94">
        <v>0</v>
      </c>
      <c r="AIR94">
        <v>0</v>
      </c>
      <c r="AIS94">
        <v>0</v>
      </c>
      <c r="AIT94">
        <v>0</v>
      </c>
      <c r="AIU94">
        <v>0</v>
      </c>
      <c r="AIV94">
        <v>0</v>
      </c>
      <c r="AIW94">
        <v>0</v>
      </c>
      <c r="AIX94">
        <v>0</v>
      </c>
      <c r="AIY94">
        <v>0</v>
      </c>
      <c r="AIZ94">
        <v>0</v>
      </c>
      <c r="AJA94">
        <v>0</v>
      </c>
      <c r="AJB94">
        <v>0</v>
      </c>
      <c r="AJC94">
        <v>0</v>
      </c>
      <c r="AJD94">
        <v>0</v>
      </c>
      <c r="AJE94">
        <v>0</v>
      </c>
      <c r="AJF94">
        <v>0</v>
      </c>
      <c r="AJG94">
        <v>0</v>
      </c>
      <c r="AJH94">
        <v>0</v>
      </c>
      <c r="AJI94">
        <v>0</v>
      </c>
      <c r="AJJ94">
        <v>0</v>
      </c>
      <c r="AJK94">
        <v>0</v>
      </c>
      <c r="AJL94">
        <v>0</v>
      </c>
      <c r="AJM94">
        <v>0</v>
      </c>
      <c r="AJN94">
        <v>0</v>
      </c>
      <c r="AJO94">
        <v>0</v>
      </c>
      <c r="AJP94">
        <v>0</v>
      </c>
      <c r="AJQ94">
        <v>0</v>
      </c>
      <c r="AJR94">
        <v>0</v>
      </c>
      <c r="AJS94">
        <v>0</v>
      </c>
      <c r="AJT94">
        <v>0</v>
      </c>
      <c r="AJU94">
        <v>0</v>
      </c>
      <c r="AJV94">
        <v>-4500</v>
      </c>
      <c r="AJW94">
        <v>0</v>
      </c>
      <c r="AJX94">
        <v>0</v>
      </c>
      <c r="AJY94">
        <v>0</v>
      </c>
    </row>
    <row r="95" spans="1:961" x14ac:dyDescent="0.3">
      <c r="A95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10000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5000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0</v>
      </c>
      <c r="LD95">
        <v>0</v>
      </c>
      <c r="LE95">
        <v>0</v>
      </c>
      <c r="LF95">
        <v>0</v>
      </c>
      <c r="LG95">
        <v>0</v>
      </c>
      <c r="LH95">
        <v>0</v>
      </c>
      <c r="LI95">
        <v>0</v>
      </c>
      <c r="LJ95">
        <v>0</v>
      </c>
      <c r="LK95">
        <v>0</v>
      </c>
      <c r="LL95">
        <v>0</v>
      </c>
      <c r="LM95">
        <v>0</v>
      </c>
      <c r="LN95">
        <v>0</v>
      </c>
      <c r="LO95">
        <v>0</v>
      </c>
      <c r="LP95">
        <v>0</v>
      </c>
      <c r="LQ95">
        <v>0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0</v>
      </c>
      <c r="ME95">
        <v>0</v>
      </c>
      <c r="MF95">
        <v>0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0</v>
      </c>
      <c r="NN95">
        <v>0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0</v>
      </c>
      <c r="OP95">
        <v>0</v>
      </c>
      <c r="OQ95">
        <v>0</v>
      </c>
      <c r="OR95">
        <v>0</v>
      </c>
      <c r="OS95">
        <v>0</v>
      </c>
      <c r="OT95">
        <v>0</v>
      </c>
      <c r="OU95">
        <v>0</v>
      </c>
      <c r="OV95">
        <v>0</v>
      </c>
      <c r="OW95">
        <v>0</v>
      </c>
      <c r="OX95">
        <v>0</v>
      </c>
      <c r="OY95">
        <v>0</v>
      </c>
      <c r="OZ95">
        <v>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</v>
      </c>
      <c r="PM95">
        <v>0</v>
      </c>
      <c r="PN95">
        <v>0</v>
      </c>
      <c r="PO95">
        <v>0</v>
      </c>
      <c r="PP95">
        <v>0</v>
      </c>
      <c r="PQ95">
        <v>0</v>
      </c>
      <c r="PR95">
        <v>0</v>
      </c>
      <c r="PS95">
        <v>0</v>
      </c>
      <c r="PT95">
        <v>0</v>
      </c>
      <c r="PU95">
        <v>0</v>
      </c>
      <c r="PV95">
        <v>0</v>
      </c>
      <c r="PW95">
        <v>0</v>
      </c>
      <c r="PX95">
        <v>0</v>
      </c>
      <c r="PY95">
        <v>0</v>
      </c>
      <c r="PZ95">
        <v>0</v>
      </c>
      <c r="QA95">
        <v>0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0</v>
      </c>
      <c r="QO95">
        <v>0</v>
      </c>
      <c r="QP95">
        <v>0</v>
      </c>
      <c r="QQ95">
        <v>0</v>
      </c>
      <c r="QR95">
        <v>0</v>
      </c>
      <c r="QS95">
        <v>0</v>
      </c>
      <c r="QT95">
        <v>0</v>
      </c>
      <c r="QU95">
        <v>0</v>
      </c>
      <c r="QV95">
        <v>0</v>
      </c>
      <c r="QW95">
        <v>0</v>
      </c>
      <c r="QX95">
        <v>0</v>
      </c>
      <c r="QY95">
        <v>0</v>
      </c>
      <c r="QZ95">
        <v>0</v>
      </c>
      <c r="RA95">
        <v>0</v>
      </c>
      <c r="RB95">
        <v>0</v>
      </c>
      <c r="RC95">
        <v>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-150</v>
      </c>
      <c r="RL95">
        <v>0</v>
      </c>
      <c r="RM95">
        <v>0</v>
      </c>
      <c r="RN95">
        <v>0</v>
      </c>
      <c r="RO95">
        <v>0</v>
      </c>
      <c r="RP95">
        <v>0</v>
      </c>
      <c r="RQ95">
        <v>0</v>
      </c>
      <c r="RR95">
        <v>0</v>
      </c>
      <c r="RS95">
        <v>0</v>
      </c>
      <c r="RT95">
        <v>0</v>
      </c>
      <c r="RU95">
        <v>0</v>
      </c>
      <c r="RV95">
        <v>0</v>
      </c>
      <c r="RW95">
        <v>0</v>
      </c>
      <c r="RX95">
        <v>0</v>
      </c>
      <c r="RY95">
        <v>0</v>
      </c>
      <c r="RZ95">
        <v>0</v>
      </c>
      <c r="SA95">
        <v>0</v>
      </c>
      <c r="SB95">
        <v>0</v>
      </c>
      <c r="SC95">
        <v>0</v>
      </c>
      <c r="SD95">
        <v>0</v>
      </c>
      <c r="SE95">
        <v>0</v>
      </c>
      <c r="SF95">
        <v>0</v>
      </c>
      <c r="SG95">
        <v>0</v>
      </c>
      <c r="SH95">
        <v>0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</v>
      </c>
      <c r="SO95">
        <v>0</v>
      </c>
      <c r="SP95">
        <v>0</v>
      </c>
      <c r="SQ95">
        <v>0</v>
      </c>
      <c r="SR95">
        <v>0</v>
      </c>
      <c r="SS95">
        <v>0</v>
      </c>
      <c r="ST95">
        <v>0</v>
      </c>
      <c r="SU95">
        <v>0</v>
      </c>
      <c r="SV95">
        <v>0</v>
      </c>
      <c r="SW95">
        <v>0</v>
      </c>
      <c r="SX95">
        <v>0</v>
      </c>
      <c r="SY95">
        <v>0</v>
      </c>
      <c r="SZ95">
        <v>0</v>
      </c>
      <c r="TA95">
        <v>0</v>
      </c>
      <c r="TB95">
        <v>0</v>
      </c>
      <c r="TC95">
        <v>0</v>
      </c>
      <c r="TD95">
        <v>0</v>
      </c>
      <c r="TE95">
        <v>0</v>
      </c>
      <c r="TF95">
        <v>0</v>
      </c>
      <c r="TG95">
        <v>0</v>
      </c>
      <c r="TH95">
        <v>0</v>
      </c>
      <c r="TI95">
        <v>0</v>
      </c>
      <c r="TJ95">
        <v>0</v>
      </c>
      <c r="TK95">
        <v>0</v>
      </c>
      <c r="TL95">
        <v>0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0</v>
      </c>
      <c r="TU95">
        <v>0</v>
      </c>
      <c r="TV95">
        <v>0</v>
      </c>
      <c r="TW95">
        <v>0</v>
      </c>
      <c r="TX95">
        <v>0</v>
      </c>
      <c r="TY95">
        <v>0</v>
      </c>
      <c r="TZ95">
        <v>0</v>
      </c>
      <c r="UA95">
        <v>0</v>
      </c>
      <c r="UB95">
        <v>0</v>
      </c>
      <c r="UC95">
        <v>0</v>
      </c>
      <c r="UD95">
        <v>0</v>
      </c>
      <c r="UE95">
        <v>0</v>
      </c>
      <c r="UF95">
        <v>0</v>
      </c>
      <c r="UG95">
        <v>0</v>
      </c>
      <c r="UH95">
        <v>0</v>
      </c>
      <c r="UI95">
        <v>0</v>
      </c>
      <c r="UJ95">
        <v>0</v>
      </c>
      <c r="UK95">
        <v>0</v>
      </c>
      <c r="UL95">
        <v>0</v>
      </c>
      <c r="UM95">
        <v>0</v>
      </c>
      <c r="UN95">
        <v>0</v>
      </c>
      <c r="UO95">
        <v>0</v>
      </c>
      <c r="UP95">
        <v>0</v>
      </c>
      <c r="UQ95">
        <v>0</v>
      </c>
      <c r="UR95">
        <v>0</v>
      </c>
      <c r="US95">
        <v>0</v>
      </c>
      <c r="UT95">
        <v>0</v>
      </c>
      <c r="UU95">
        <v>0</v>
      </c>
      <c r="UV95">
        <v>0</v>
      </c>
      <c r="UW95">
        <v>0</v>
      </c>
      <c r="UX95">
        <v>0</v>
      </c>
      <c r="UY95">
        <v>0</v>
      </c>
      <c r="UZ95">
        <v>0</v>
      </c>
      <c r="VA95">
        <v>0</v>
      </c>
      <c r="VB95">
        <v>0</v>
      </c>
      <c r="VC95">
        <v>-1000</v>
      </c>
      <c r="VD95">
        <v>0</v>
      </c>
      <c r="VE95">
        <v>0</v>
      </c>
      <c r="VF95">
        <v>0</v>
      </c>
      <c r="VG95">
        <v>0</v>
      </c>
      <c r="VH95">
        <v>0</v>
      </c>
      <c r="VI95">
        <v>0</v>
      </c>
      <c r="VJ95">
        <v>0</v>
      </c>
      <c r="VK95">
        <v>0</v>
      </c>
      <c r="VL95">
        <v>0</v>
      </c>
      <c r="VM95">
        <v>0</v>
      </c>
      <c r="VN95">
        <v>0</v>
      </c>
      <c r="VO95">
        <v>0</v>
      </c>
      <c r="VP95">
        <v>0</v>
      </c>
      <c r="VQ95">
        <v>0</v>
      </c>
      <c r="VR95">
        <v>0</v>
      </c>
      <c r="VS95">
        <v>0</v>
      </c>
      <c r="VT95">
        <v>0</v>
      </c>
      <c r="VU95">
        <v>0</v>
      </c>
      <c r="VV95">
        <v>0</v>
      </c>
      <c r="VW95">
        <v>0</v>
      </c>
      <c r="VX95">
        <v>0</v>
      </c>
      <c r="VY95">
        <v>0</v>
      </c>
      <c r="VZ95">
        <v>0</v>
      </c>
      <c r="WA95">
        <v>0</v>
      </c>
      <c r="WB95">
        <v>0</v>
      </c>
      <c r="WC95">
        <v>0</v>
      </c>
      <c r="WD95">
        <v>0</v>
      </c>
      <c r="WE95">
        <v>0</v>
      </c>
      <c r="WF95">
        <v>0</v>
      </c>
      <c r="WG95">
        <v>0</v>
      </c>
      <c r="WH95">
        <v>0</v>
      </c>
      <c r="WI95">
        <v>0</v>
      </c>
      <c r="WJ95">
        <v>0</v>
      </c>
      <c r="WK95">
        <v>0</v>
      </c>
      <c r="WL95">
        <v>0</v>
      </c>
      <c r="WM95">
        <v>0</v>
      </c>
      <c r="WN95">
        <v>0</v>
      </c>
      <c r="WO95">
        <v>0</v>
      </c>
      <c r="WP95">
        <v>0</v>
      </c>
      <c r="WQ95">
        <v>0</v>
      </c>
      <c r="WR95">
        <v>0</v>
      </c>
      <c r="WS95">
        <v>0</v>
      </c>
      <c r="WT95">
        <v>0</v>
      </c>
      <c r="WU95">
        <v>0</v>
      </c>
      <c r="WV95">
        <v>0</v>
      </c>
      <c r="WW95">
        <v>0</v>
      </c>
      <c r="WX95">
        <v>0</v>
      </c>
      <c r="WY95">
        <v>0</v>
      </c>
      <c r="WZ95">
        <v>0</v>
      </c>
      <c r="XA95">
        <v>0</v>
      </c>
      <c r="XB95">
        <v>0</v>
      </c>
      <c r="XC95">
        <v>0</v>
      </c>
      <c r="XD95">
        <v>0</v>
      </c>
      <c r="XE95">
        <v>0</v>
      </c>
      <c r="XF95">
        <v>0</v>
      </c>
      <c r="XG95">
        <v>0</v>
      </c>
      <c r="XH95">
        <v>0</v>
      </c>
      <c r="XI95">
        <v>0</v>
      </c>
      <c r="XJ95">
        <v>0</v>
      </c>
      <c r="XK95">
        <v>0</v>
      </c>
      <c r="XL95">
        <v>0</v>
      </c>
      <c r="XM95">
        <v>0</v>
      </c>
      <c r="XN95">
        <v>0</v>
      </c>
      <c r="XO95">
        <v>0</v>
      </c>
      <c r="XP95">
        <v>0</v>
      </c>
      <c r="XQ95">
        <v>0</v>
      </c>
      <c r="XR95">
        <v>0</v>
      </c>
      <c r="XS95">
        <v>0</v>
      </c>
      <c r="XT95">
        <v>0</v>
      </c>
      <c r="XU95">
        <v>0</v>
      </c>
      <c r="XV95">
        <v>0</v>
      </c>
      <c r="XW95">
        <v>0</v>
      </c>
      <c r="XX95">
        <v>0</v>
      </c>
      <c r="XY95">
        <v>0</v>
      </c>
      <c r="XZ95">
        <v>0</v>
      </c>
      <c r="YA95">
        <v>0</v>
      </c>
      <c r="YB95">
        <v>0</v>
      </c>
      <c r="YC95">
        <v>0</v>
      </c>
      <c r="YD95">
        <v>0</v>
      </c>
      <c r="YE95">
        <v>0</v>
      </c>
      <c r="YF95">
        <v>0</v>
      </c>
      <c r="YG95">
        <v>0</v>
      </c>
      <c r="YH95">
        <v>0</v>
      </c>
      <c r="YI95">
        <v>0</v>
      </c>
      <c r="YJ95">
        <v>0</v>
      </c>
      <c r="YK95">
        <v>0</v>
      </c>
      <c r="YL95">
        <v>0</v>
      </c>
      <c r="YM95">
        <v>0</v>
      </c>
      <c r="YN95">
        <v>0</v>
      </c>
      <c r="YO95">
        <v>0</v>
      </c>
      <c r="YP95">
        <v>0</v>
      </c>
      <c r="YQ95">
        <v>0</v>
      </c>
      <c r="YR95">
        <v>0</v>
      </c>
      <c r="YS95">
        <v>0</v>
      </c>
      <c r="YT95">
        <v>0</v>
      </c>
      <c r="YU95">
        <v>-5</v>
      </c>
      <c r="YV95">
        <v>0</v>
      </c>
      <c r="YW95">
        <v>0</v>
      </c>
      <c r="YX95">
        <v>0</v>
      </c>
      <c r="YY95">
        <v>0</v>
      </c>
      <c r="YZ95">
        <v>0</v>
      </c>
      <c r="ZA95">
        <v>0</v>
      </c>
      <c r="ZB95">
        <v>0</v>
      </c>
      <c r="ZC95">
        <v>0</v>
      </c>
      <c r="ZD95">
        <v>0</v>
      </c>
      <c r="ZE95">
        <v>0</v>
      </c>
      <c r="ZF95">
        <v>0</v>
      </c>
      <c r="ZG95">
        <v>0</v>
      </c>
      <c r="ZH95">
        <v>0</v>
      </c>
      <c r="ZI95">
        <v>0</v>
      </c>
      <c r="ZJ95">
        <v>0</v>
      </c>
      <c r="ZK95">
        <v>0</v>
      </c>
      <c r="ZL95">
        <v>0</v>
      </c>
      <c r="ZM95">
        <v>0</v>
      </c>
      <c r="ZN95">
        <v>0</v>
      </c>
      <c r="ZO95">
        <v>0</v>
      </c>
      <c r="ZP95">
        <v>0</v>
      </c>
      <c r="ZQ95">
        <v>0</v>
      </c>
      <c r="ZR95">
        <v>0</v>
      </c>
      <c r="ZS95">
        <v>0</v>
      </c>
      <c r="ZT95">
        <v>0</v>
      </c>
      <c r="ZU95">
        <v>0</v>
      </c>
      <c r="ZV95">
        <v>0</v>
      </c>
      <c r="ZW95">
        <v>0</v>
      </c>
      <c r="ZX95">
        <v>0</v>
      </c>
      <c r="ZY95">
        <v>0</v>
      </c>
      <c r="ZZ95">
        <v>0</v>
      </c>
      <c r="AAA95">
        <v>0</v>
      </c>
      <c r="AAB95">
        <v>0</v>
      </c>
      <c r="AAC95">
        <v>0</v>
      </c>
      <c r="AAD95">
        <v>0</v>
      </c>
      <c r="AAE95">
        <v>0</v>
      </c>
      <c r="AAF95">
        <v>0</v>
      </c>
      <c r="AAG95">
        <v>0</v>
      </c>
      <c r="AAH95">
        <v>0</v>
      </c>
      <c r="AAI95">
        <v>0</v>
      </c>
      <c r="AAJ95">
        <v>0</v>
      </c>
      <c r="AAK95">
        <v>0</v>
      </c>
      <c r="AAL95">
        <v>0</v>
      </c>
      <c r="AAM95">
        <v>0</v>
      </c>
      <c r="AAN95">
        <v>0</v>
      </c>
      <c r="AAO95">
        <v>0</v>
      </c>
      <c r="AAP95">
        <v>0</v>
      </c>
      <c r="AAQ95">
        <v>0</v>
      </c>
      <c r="AAR95">
        <v>0</v>
      </c>
      <c r="AAS95">
        <v>0</v>
      </c>
      <c r="AAT95">
        <v>0</v>
      </c>
      <c r="AAU95">
        <v>0</v>
      </c>
      <c r="AAV95">
        <v>0</v>
      </c>
      <c r="AAW95">
        <v>0</v>
      </c>
      <c r="AAX95">
        <v>0</v>
      </c>
      <c r="AAY95">
        <v>0</v>
      </c>
      <c r="AAZ95">
        <v>0</v>
      </c>
      <c r="ABA95">
        <v>0</v>
      </c>
      <c r="ABB95">
        <v>0</v>
      </c>
      <c r="ABC95">
        <v>0</v>
      </c>
      <c r="ABD95">
        <v>0</v>
      </c>
      <c r="ABE95">
        <v>0</v>
      </c>
      <c r="ABF95">
        <v>0</v>
      </c>
      <c r="ABG95">
        <v>0</v>
      </c>
      <c r="ABH95">
        <v>0</v>
      </c>
      <c r="ABI95">
        <v>0</v>
      </c>
      <c r="ABJ95">
        <v>0</v>
      </c>
      <c r="ABK95">
        <v>0</v>
      </c>
      <c r="ABL95">
        <v>0</v>
      </c>
      <c r="ABM95">
        <v>0</v>
      </c>
      <c r="ABN95">
        <v>0</v>
      </c>
      <c r="ABO95">
        <v>0</v>
      </c>
      <c r="ABP95">
        <v>0</v>
      </c>
      <c r="ABQ95">
        <v>0</v>
      </c>
      <c r="ABR95">
        <v>0</v>
      </c>
      <c r="ABS95">
        <v>0</v>
      </c>
      <c r="ABT95">
        <v>0</v>
      </c>
      <c r="ABU95">
        <v>0</v>
      </c>
      <c r="ABV95">
        <v>0</v>
      </c>
      <c r="ABW95">
        <v>0</v>
      </c>
      <c r="ABX95">
        <v>0</v>
      </c>
      <c r="ABY95">
        <v>0</v>
      </c>
      <c r="ABZ95">
        <v>0</v>
      </c>
      <c r="ACA95">
        <v>0</v>
      </c>
      <c r="ACB95">
        <v>0</v>
      </c>
      <c r="ACC95">
        <v>0</v>
      </c>
      <c r="ACD95">
        <v>0</v>
      </c>
      <c r="ACE95">
        <v>0</v>
      </c>
      <c r="ACF95">
        <v>0</v>
      </c>
      <c r="ACG95">
        <v>0</v>
      </c>
      <c r="ACH95">
        <v>0</v>
      </c>
      <c r="ACI95">
        <v>0</v>
      </c>
      <c r="ACJ95">
        <v>0</v>
      </c>
      <c r="ACK95">
        <v>0</v>
      </c>
      <c r="ACL95">
        <v>0</v>
      </c>
      <c r="ACM95">
        <v>-256.16438356164383</v>
      </c>
      <c r="ACN95">
        <v>0</v>
      </c>
      <c r="ACO95">
        <v>0</v>
      </c>
      <c r="ACP95">
        <v>0</v>
      </c>
      <c r="ACQ95">
        <v>0</v>
      </c>
      <c r="ACR95">
        <v>0</v>
      </c>
      <c r="ACS95">
        <v>0</v>
      </c>
      <c r="ACT95">
        <v>0</v>
      </c>
      <c r="ACU95">
        <v>0</v>
      </c>
      <c r="ACV95">
        <v>0</v>
      </c>
      <c r="ACW95">
        <v>0</v>
      </c>
      <c r="ACX95">
        <v>0</v>
      </c>
      <c r="ACY95">
        <v>0</v>
      </c>
      <c r="ACZ95">
        <v>0</v>
      </c>
      <c r="ADA95">
        <v>0</v>
      </c>
      <c r="ADB95">
        <v>0</v>
      </c>
      <c r="ADC95">
        <v>0</v>
      </c>
      <c r="ADD95">
        <v>0</v>
      </c>
      <c r="ADE95">
        <v>0</v>
      </c>
      <c r="ADF95">
        <v>0</v>
      </c>
      <c r="ADG95">
        <v>0</v>
      </c>
      <c r="ADH95">
        <v>0</v>
      </c>
      <c r="ADI95">
        <v>0</v>
      </c>
      <c r="ADJ95">
        <v>0</v>
      </c>
      <c r="ADK95">
        <v>0</v>
      </c>
      <c r="ADL95">
        <v>0</v>
      </c>
      <c r="ADM95">
        <v>0</v>
      </c>
      <c r="ADN95">
        <v>0</v>
      </c>
      <c r="ADO95">
        <v>0</v>
      </c>
      <c r="ADP95">
        <v>0</v>
      </c>
      <c r="ADQ95">
        <v>0</v>
      </c>
      <c r="ADR95">
        <v>0</v>
      </c>
      <c r="ADS95">
        <v>0</v>
      </c>
      <c r="ADT95">
        <v>0</v>
      </c>
      <c r="ADU95">
        <v>0</v>
      </c>
      <c r="ADV95">
        <v>0</v>
      </c>
      <c r="ADW95">
        <v>0</v>
      </c>
      <c r="ADX95">
        <v>0</v>
      </c>
      <c r="ADY95">
        <v>0</v>
      </c>
      <c r="ADZ95">
        <v>0</v>
      </c>
      <c r="AEA95">
        <v>0</v>
      </c>
      <c r="AEB95">
        <v>0</v>
      </c>
      <c r="AEC95">
        <v>0</v>
      </c>
      <c r="AED95">
        <v>0</v>
      </c>
      <c r="AEE95">
        <v>0</v>
      </c>
      <c r="AEF95">
        <v>0</v>
      </c>
      <c r="AEG95">
        <v>0</v>
      </c>
      <c r="AEH95">
        <v>0</v>
      </c>
      <c r="AEI95">
        <v>0</v>
      </c>
      <c r="AEJ95">
        <v>0</v>
      </c>
      <c r="AEK95">
        <v>0</v>
      </c>
      <c r="AEL95">
        <v>0</v>
      </c>
      <c r="AEM95">
        <v>0</v>
      </c>
      <c r="AEN95">
        <v>0</v>
      </c>
      <c r="AEO95">
        <v>0</v>
      </c>
      <c r="AEP95">
        <v>0</v>
      </c>
      <c r="AEQ95">
        <v>0</v>
      </c>
      <c r="AER95">
        <v>0</v>
      </c>
      <c r="AES95">
        <v>0</v>
      </c>
      <c r="AET95">
        <v>0</v>
      </c>
      <c r="AEU95">
        <v>0</v>
      </c>
      <c r="AEV95">
        <v>0</v>
      </c>
      <c r="AEW95">
        <v>0</v>
      </c>
      <c r="AEX95">
        <v>0</v>
      </c>
      <c r="AEY95">
        <v>0</v>
      </c>
      <c r="AEZ95">
        <v>0</v>
      </c>
      <c r="AFA95">
        <v>0</v>
      </c>
      <c r="AFB95">
        <v>0</v>
      </c>
      <c r="AFC95">
        <v>0</v>
      </c>
      <c r="AFD95">
        <v>0</v>
      </c>
      <c r="AFE95">
        <v>0</v>
      </c>
      <c r="AFF95">
        <v>0</v>
      </c>
      <c r="AFG95">
        <v>0</v>
      </c>
      <c r="AFH95">
        <v>0</v>
      </c>
      <c r="AFI95">
        <v>0</v>
      </c>
      <c r="AFJ95">
        <v>0</v>
      </c>
      <c r="AFK95">
        <v>0</v>
      </c>
      <c r="AFL95">
        <v>0</v>
      </c>
      <c r="AFM95">
        <v>0</v>
      </c>
      <c r="AFN95">
        <v>0</v>
      </c>
      <c r="AFO95">
        <v>0</v>
      </c>
      <c r="AFP95">
        <v>0</v>
      </c>
      <c r="AFQ95">
        <v>0</v>
      </c>
      <c r="AFR95">
        <v>0</v>
      </c>
      <c r="AFS95">
        <v>0</v>
      </c>
      <c r="AFT95">
        <v>0</v>
      </c>
      <c r="AFU95">
        <v>0</v>
      </c>
      <c r="AFV95">
        <v>0</v>
      </c>
      <c r="AFW95">
        <v>0</v>
      </c>
      <c r="AFX95">
        <v>0</v>
      </c>
      <c r="AFY95">
        <v>0</v>
      </c>
      <c r="AFZ95">
        <v>0</v>
      </c>
      <c r="AGA95">
        <v>0</v>
      </c>
      <c r="AGB95">
        <v>0</v>
      </c>
      <c r="AGC95">
        <v>0</v>
      </c>
      <c r="AGD95">
        <v>0</v>
      </c>
      <c r="AGE95">
        <v>-120</v>
      </c>
      <c r="AGF95">
        <v>0</v>
      </c>
      <c r="AGG95">
        <v>0</v>
      </c>
      <c r="AGH95">
        <v>0</v>
      </c>
      <c r="AGI95">
        <v>0</v>
      </c>
      <c r="AGJ95">
        <v>0</v>
      </c>
      <c r="AGK95">
        <v>0</v>
      </c>
      <c r="AGL95">
        <v>0</v>
      </c>
      <c r="AGM95">
        <v>0</v>
      </c>
      <c r="AGN95">
        <v>0</v>
      </c>
      <c r="AGO95">
        <v>0</v>
      </c>
      <c r="AGP95">
        <v>0</v>
      </c>
      <c r="AGQ95">
        <v>0</v>
      </c>
      <c r="AGR95">
        <v>0</v>
      </c>
      <c r="AGS95">
        <v>0</v>
      </c>
      <c r="AGT95">
        <v>0</v>
      </c>
      <c r="AGU95">
        <v>0</v>
      </c>
      <c r="AGV95">
        <v>0</v>
      </c>
      <c r="AGW95">
        <v>0</v>
      </c>
      <c r="AGX95">
        <v>0</v>
      </c>
      <c r="AGY95">
        <v>0</v>
      </c>
      <c r="AGZ95">
        <v>0</v>
      </c>
      <c r="AHA95">
        <v>0</v>
      </c>
      <c r="AHB95">
        <v>0</v>
      </c>
      <c r="AHC95">
        <v>0</v>
      </c>
      <c r="AHD95">
        <v>0</v>
      </c>
      <c r="AHE95">
        <v>0</v>
      </c>
      <c r="AHF95">
        <v>0</v>
      </c>
      <c r="AHG95">
        <v>0</v>
      </c>
      <c r="AHH95">
        <v>0</v>
      </c>
      <c r="AHI95">
        <v>0</v>
      </c>
      <c r="AHJ95">
        <v>0</v>
      </c>
      <c r="AHK95">
        <v>0</v>
      </c>
      <c r="AHL95">
        <v>0</v>
      </c>
      <c r="AHM95">
        <v>0</v>
      </c>
      <c r="AHN95">
        <v>0</v>
      </c>
      <c r="AHO95">
        <v>0</v>
      </c>
      <c r="AHP95">
        <v>0</v>
      </c>
      <c r="AHQ95">
        <v>0</v>
      </c>
      <c r="AHR95">
        <v>0</v>
      </c>
      <c r="AHS95">
        <v>0</v>
      </c>
      <c r="AHT95">
        <v>0</v>
      </c>
      <c r="AHU95">
        <v>0</v>
      </c>
      <c r="AHV95">
        <v>0</v>
      </c>
      <c r="AHW95">
        <v>0</v>
      </c>
      <c r="AHX95">
        <v>0</v>
      </c>
      <c r="AHY95">
        <v>0</v>
      </c>
      <c r="AHZ95">
        <v>0</v>
      </c>
      <c r="AIA95">
        <v>0</v>
      </c>
      <c r="AIB95">
        <v>0</v>
      </c>
      <c r="AIC95">
        <v>0</v>
      </c>
      <c r="AID95">
        <v>0</v>
      </c>
      <c r="AIE95">
        <v>0</v>
      </c>
      <c r="AIF95">
        <v>0</v>
      </c>
      <c r="AIG95">
        <v>0</v>
      </c>
      <c r="AIH95">
        <v>0</v>
      </c>
      <c r="AII95">
        <v>0</v>
      </c>
      <c r="AIJ95">
        <v>0</v>
      </c>
      <c r="AIK95">
        <v>0</v>
      </c>
      <c r="AIL95">
        <v>0</v>
      </c>
      <c r="AIM95">
        <v>0</v>
      </c>
      <c r="AIN95">
        <v>0</v>
      </c>
      <c r="AIO95">
        <v>0</v>
      </c>
      <c r="AIP95">
        <v>0</v>
      </c>
      <c r="AIQ95">
        <v>0</v>
      </c>
      <c r="AIR95">
        <v>0</v>
      </c>
      <c r="AIS95">
        <v>0</v>
      </c>
      <c r="AIT95">
        <v>0</v>
      </c>
      <c r="AIU95">
        <v>0</v>
      </c>
      <c r="AIV95">
        <v>0</v>
      </c>
      <c r="AIW95">
        <v>0</v>
      </c>
      <c r="AIX95">
        <v>0</v>
      </c>
      <c r="AIY95">
        <v>0</v>
      </c>
      <c r="AIZ95">
        <v>0</v>
      </c>
      <c r="AJA95">
        <v>0</v>
      </c>
      <c r="AJB95">
        <v>0</v>
      </c>
      <c r="AJC95">
        <v>0</v>
      </c>
      <c r="AJD95">
        <v>0</v>
      </c>
      <c r="AJE95">
        <v>0</v>
      </c>
      <c r="AJF95">
        <v>0</v>
      </c>
      <c r="AJG95">
        <v>0</v>
      </c>
      <c r="AJH95">
        <v>0</v>
      </c>
      <c r="AJI95">
        <v>0</v>
      </c>
      <c r="AJJ95">
        <v>0</v>
      </c>
      <c r="AJK95">
        <v>0</v>
      </c>
      <c r="AJL95">
        <v>0</v>
      </c>
      <c r="AJM95">
        <v>0</v>
      </c>
      <c r="AJN95">
        <v>0</v>
      </c>
      <c r="AJO95">
        <v>0</v>
      </c>
      <c r="AJP95">
        <v>0</v>
      </c>
      <c r="AJQ95">
        <v>0</v>
      </c>
      <c r="AJR95">
        <v>0</v>
      </c>
      <c r="AJS95">
        <v>0</v>
      </c>
      <c r="AJT95">
        <v>0</v>
      </c>
      <c r="AJU95">
        <v>0</v>
      </c>
      <c r="AJV95">
        <v>0</v>
      </c>
      <c r="AJW95">
        <v>-4500</v>
      </c>
      <c r="AJX95">
        <v>0</v>
      </c>
      <c r="AJY95">
        <v>0</v>
      </c>
    </row>
    <row r="96" spans="1:961" x14ac:dyDescent="0.3">
      <c r="A96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10000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5000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  <c r="KP96">
        <v>0</v>
      </c>
      <c r="KQ96">
        <v>0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0</v>
      </c>
      <c r="LA96">
        <v>0</v>
      </c>
      <c r="LB96">
        <v>0</v>
      </c>
      <c r="LC96">
        <v>0</v>
      </c>
      <c r="LD96">
        <v>0</v>
      </c>
      <c r="LE96">
        <v>0</v>
      </c>
      <c r="LF96">
        <v>0</v>
      </c>
      <c r="LG96">
        <v>0</v>
      </c>
      <c r="LH96">
        <v>0</v>
      </c>
      <c r="LI96">
        <v>0</v>
      </c>
      <c r="LJ96">
        <v>0</v>
      </c>
      <c r="LK96">
        <v>0</v>
      </c>
      <c r="LL96">
        <v>0</v>
      </c>
      <c r="LM96">
        <v>0</v>
      </c>
      <c r="LN96">
        <v>0</v>
      </c>
      <c r="LO96">
        <v>0</v>
      </c>
      <c r="LP96">
        <v>0</v>
      </c>
      <c r="LQ96">
        <v>0</v>
      </c>
      <c r="LR96">
        <v>0</v>
      </c>
      <c r="LS96">
        <v>0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0</v>
      </c>
      <c r="MD96">
        <v>0</v>
      </c>
      <c r="ME96">
        <v>0</v>
      </c>
      <c r="MF96">
        <v>0</v>
      </c>
      <c r="MG96">
        <v>0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0</v>
      </c>
      <c r="NK96">
        <v>0</v>
      </c>
      <c r="NL96">
        <v>0</v>
      </c>
      <c r="NM96">
        <v>0</v>
      </c>
      <c r="NN96">
        <v>0</v>
      </c>
      <c r="NO96">
        <v>0</v>
      </c>
      <c r="NP96">
        <v>0</v>
      </c>
      <c r="NQ96">
        <v>0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0</v>
      </c>
      <c r="OL96">
        <v>0</v>
      </c>
      <c r="OM96">
        <v>0</v>
      </c>
      <c r="ON96">
        <v>0</v>
      </c>
      <c r="OO96">
        <v>0</v>
      </c>
      <c r="OP96">
        <v>0</v>
      </c>
      <c r="OQ96">
        <v>0</v>
      </c>
      <c r="OR96">
        <v>0</v>
      </c>
      <c r="OS96">
        <v>0</v>
      </c>
      <c r="OT96">
        <v>0</v>
      </c>
      <c r="OU96">
        <v>0</v>
      </c>
      <c r="OV96">
        <v>0</v>
      </c>
      <c r="OW96">
        <v>0</v>
      </c>
      <c r="OX96">
        <v>0</v>
      </c>
      <c r="OY96">
        <v>0</v>
      </c>
      <c r="OZ96">
        <v>0</v>
      </c>
      <c r="PA96">
        <v>0</v>
      </c>
      <c r="PB96">
        <v>0</v>
      </c>
      <c r="PC96">
        <v>0</v>
      </c>
      <c r="PD96">
        <v>0</v>
      </c>
      <c r="PE96">
        <v>0</v>
      </c>
      <c r="PF96">
        <v>0</v>
      </c>
      <c r="PG96">
        <v>0</v>
      </c>
      <c r="PH96">
        <v>0</v>
      </c>
      <c r="PI96">
        <v>0</v>
      </c>
      <c r="PJ96">
        <v>0</v>
      </c>
      <c r="PK96">
        <v>0</v>
      </c>
      <c r="PL96">
        <v>0</v>
      </c>
      <c r="PM96">
        <v>0</v>
      </c>
      <c r="PN96">
        <v>0</v>
      </c>
      <c r="PO96">
        <v>0</v>
      </c>
      <c r="PP96">
        <v>0</v>
      </c>
      <c r="PQ96">
        <v>0</v>
      </c>
      <c r="PR96">
        <v>0</v>
      </c>
      <c r="PS96">
        <v>0</v>
      </c>
      <c r="PT96">
        <v>0</v>
      </c>
      <c r="PU96">
        <v>0</v>
      </c>
      <c r="PV96">
        <v>0</v>
      </c>
      <c r="PW96">
        <v>0</v>
      </c>
      <c r="PX96">
        <v>0</v>
      </c>
      <c r="PY96">
        <v>0</v>
      </c>
      <c r="PZ96">
        <v>0</v>
      </c>
      <c r="QA96">
        <v>0</v>
      </c>
      <c r="QB96">
        <v>0</v>
      </c>
      <c r="QC96">
        <v>0</v>
      </c>
      <c r="QD96">
        <v>0</v>
      </c>
      <c r="QE96">
        <v>0</v>
      </c>
      <c r="QF96">
        <v>0</v>
      </c>
      <c r="QG96">
        <v>0</v>
      </c>
      <c r="QH96">
        <v>0</v>
      </c>
      <c r="QI96">
        <v>0</v>
      </c>
      <c r="QJ96">
        <v>0</v>
      </c>
      <c r="QK96">
        <v>0</v>
      </c>
      <c r="QL96">
        <v>0</v>
      </c>
      <c r="QM96">
        <v>0</v>
      </c>
      <c r="QN96">
        <v>0</v>
      </c>
      <c r="QO96">
        <v>0</v>
      </c>
      <c r="QP96">
        <v>0</v>
      </c>
      <c r="QQ96">
        <v>0</v>
      </c>
      <c r="QR96">
        <v>0</v>
      </c>
      <c r="QS96">
        <v>0</v>
      </c>
      <c r="QT96">
        <v>0</v>
      </c>
      <c r="QU96">
        <v>0</v>
      </c>
      <c r="QV96">
        <v>0</v>
      </c>
      <c r="QW96">
        <v>0</v>
      </c>
      <c r="QX96">
        <v>0</v>
      </c>
      <c r="QY96">
        <v>0</v>
      </c>
      <c r="QZ96">
        <v>0</v>
      </c>
      <c r="RA96">
        <v>0</v>
      </c>
      <c r="RB96">
        <v>0</v>
      </c>
      <c r="RC96">
        <v>0</v>
      </c>
      <c r="RD96">
        <v>0</v>
      </c>
      <c r="RE96">
        <v>0</v>
      </c>
      <c r="RF96">
        <v>0</v>
      </c>
      <c r="RG96">
        <v>0</v>
      </c>
      <c r="RH96">
        <v>0</v>
      </c>
      <c r="RI96">
        <v>0</v>
      </c>
      <c r="RJ96">
        <v>0</v>
      </c>
      <c r="RK96">
        <v>0</v>
      </c>
      <c r="RL96">
        <v>-150</v>
      </c>
      <c r="RM96">
        <v>0</v>
      </c>
      <c r="RN96">
        <v>0</v>
      </c>
      <c r="RO96">
        <v>0</v>
      </c>
      <c r="RP96">
        <v>0</v>
      </c>
      <c r="RQ96">
        <v>0</v>
      </c>
      <c r="RR96">
        <v>0</v>
      </c>
      <c r="RS96">
        <v>0</v>
      </c>
      <c r="RT96">
        <v>0</v>
      </c>
      <c r="RU96">
        <v>0</v>
      </c>
      <c r="RV96">
        <v>0</v>
      </c>
      <c r="RW96">
        <v>0</v>
      </c>
      <c r="RX96">
        <v>0</v>
      </c>
      <c r="RY96">
        <v>0</v>
      </c>
      <c r="RZ96">
        <v>0</v>
      </c>
      <c r="SA96">
        <v>0</v>
      </c>
      <c r="SB96">
        <v>0</v>
      </c>
      <c r="SC96">
        <v>0</v>
      </c>
      <c r="SD96">
        <v>0</v>
      </c>
      <c r="SE96">
        <v>0</v>
      </c>
      <c r="SF96">
        <v>0</v>
      </c>
      <c r="SG96">
        <v>0</v>
      </c>
      <c r="SH96">
        <v>0</v>
      </c>
      <c r="SI96">
        <v>0</v>
      </c>
      <c r="SJ96">
        <v>0</v>
      </c>
      <c r="SK96">
        <v>0</v>
      </c>
      <c r="SL96">
        <v>0</v>
      </c>
      <c r="SM96">
        <v>0</v>
      </c>
      <c r="SN96">
        <v>0</v>
      </c>
      <c r="SO96">
        <v>0</v>
      </c>
      <c r="SP96">
        <v>0</v>
      </c>
      <c r="SQ96">
        <v>0</v>
      </c>
      <c r="SR96">
        <v>0</v>
      </c>
      <c r="SS96">
        <v>0</v>
      </c>
      <c r="ST96">
        <v>0</v>
      </c>
      <c r="SU96">
        <v>0</v>
      </c>
      <c r="SV96">
        <v>0</v>
      </c>
      <c r="SW96">
        <v>0</v>
      </c>
      <c r="SX96">
        <v>0</v>
      </c>
      <c r="SY96">
        <v>0</v>
      </c>
      <c r="SZ96">
        <v>0</v>
      </c>
      <c r="TA96">
        <v>0</v>
      </c>
      <c r="TB96">
        <v>0</v>
      </c>
      <c r="TC96">
        <v>0</v>
      </c>
      <c r="TD96">
        <v>0</v>
      </c>
      <c r="TE96">
        <v>0</v>
      </c>
      <c r="TF96">
        <v>0</v>
      </c>
      <c r="TG96">
        <v>0</v>
      </c>
      <c r="TH96">
        <v>0</v>
      </c>
      <c r="TI96">
        <v>0</v>
      </c>
      <c r="TJ96">
        <v>0</v>
      </c>
      <c r="TK96">
        <v>0</v>
      </c>
      <c r="TL96">
        <v>0</v>
      </c>
      <c r="TM96">
        <v>0</v>
      </c>
      <c r="TN96">
        <v>0</v>
      </c>
      <c r="TO96">
        <v>0</v>
      </c>
      <c r="TP96">
        <v>0</v>
      </c>
      <c r="TQ96">
        <v>0</v>
      </c>
      <c r="TR96">
        <v>0</v>
      </c>
      <c r="TS96">
        <v>0</v>
      </c>
      <c r="TT96">
        <v>0</v>
      </c>
      <c r="TU96">
        <v>0</v>
      </c>
      <c r="TV96">
        <v>0</v>
      </c>
      <c r="TW96">
        <v>0</v>
      </c>
      <c r="TX96">
        <v>0</v>
      </c>
      <c r="TY96">
        <v>0</v>
      </c>
      <c r="TZ96">
        <v>0</v>
      </c>
      <c r="UA96">
        <v>0</v>
      </c>
      <c r="UB96">
        <v>0</v>
      </c>
      <c r="UC96">
        <v>0</v>
      </c>
      <c r="UD96">
        <v>0</v>
      </c>
      <c r="UE96">
        <v>0</v>
      </c>
      <c r="UF96">
        <v>0</v>
      </c>
      <c r="UG96">
        <v>0</v>
      </c>
      <c r="UH96">
        <v>0</v>
      </c>
      <c r="UI96">
        <v>0</v>
      </c>
      <c r="UJ96">
        <v>0</v>
      </c>
      <c r="UK96">
        <v>0</v>
      </c>
      <c r="UL96">
        <v>0</v>
      </c>
      <c r="UM96">
        <v>0</v>
      </c>
      <c r="UN96">
        <v>0</v>
      </c>
      <c r="UO96">
        <v>0</v>
      </c>
      <c r="UP96">
        <v>0</v>
      </c>
      <c r="UQ96">
        <v>0</v>
      </c>
      <c r="UR96">
        <v>0</v>
      </c>
      <c r="US96">
        <v>0</v>
      </c>
      <c r="UT96">
        <v>0</v>
      </c>
      <c r="UU96">
        <v>0</v>
      </c>
      <c r="UV96">
        <v>0</v>
      </c>
      <c r="UW96">
        <v>0</v>
      </c>
      <c r="UX96">
        <v>0</v>
      </c>
      <c r="UY96">
        <v>0</v>
      </c>
      <c r="UZ96">
        <v>0</v>
      </c>
      <c r="VA96">
        <v>0</v>
      </c>
      <c r="VB96">
        <v>0</v>
      </c>
      <c r="VC96">
        <v>0</v>
      </c>
      <c r="VD96">
        <v>-1000</v>
      </c>
      <c r="VE96">
        <v>0</v>
      </c>
      <c r="VF96">
        <v>0</v>
      </c>
      <c r="VG96">
        <v>0</v>
      </c>
      <c r="VH96">
        <v>0</v>
      </c>
      <c r="VI96">
        <v>0</v>
      </c>
      <c r="VJ96">
        <v>0</v>
      </c>
      <c r="VK96">
        <v>0</v>
      </c>
      <c r="VL96">
        <v>0</v>
      </c>
      <c r="VM96">
        <v>0</v>
      </c>
      <c r="VN96">
        <v>0</v>
      </c>
      <c r="VO96">
        <v>0</v>
      </c>
      <c r="VP96">
        <v>0</v>
      </c>
      <c r="VQ96">
        <v>0</v>
      </c>
      <c r="VR96">
        <v>0</v>
      </c>
      <c r="VS96">
        <v>0</v>
      </c>
      <c r="VT96">
        <v>0</v>
      </c>
      <c r="VU96">
        <v>0</v>
      </c>
      <c r="VV96">
        <v>0</v>
      </c>
      <c r="VW96">
        <v>0</v>
      </c>
      <c r="VX96">
        <v>0</v>
      </c>
      <c r="VY96">
        <v>0</v>
      </c>
      <c r="VZ96">
        <v>0</v>
      </c>
      <c r="WA96">
        <v>0</v>
      </c>
      <c r="WB96">
        <v>0</v>
      </c>
      <c r="WC96">
        <v>0</v>
      </c>
      <c r="WD96">
        <v>0</v>
      </c>
      <c r="WE96">
        <v>0</v>
      </c>
      <c r="WF96">
        <v>0</v>
      </c>
      <c r="WG96">
        <v>0</v>
      </c>
      <c r="WH96">
        <v>0</v>
      </c>
      <c r="WI96">
        <v>0</v>
      </c>
      <c r="WJ96">
        <v>0</v>
      </c>
      <c r="WK96">
        <v>0</v>
      </c>
      <c r="WL96">
        <v>0</v>
      </c>
      <c r="WM96">
        <v>0</v>
      </c>
      <c r="WN96">
        <v>0</v>
      </c>
      <c r="WO96">
        <v>0</v>
      </c>
      <c r="WP96">
        <v>0</v>
      </c>
      <c r="WQ96">
        <v>0</v>
      </c>
      <c r="WR96">
        <v>0</v>
      </c>
      <c r="WS96">
        <v>0</v>
      </c>
      <c r="WT96">
        <v>0</v>
      </c>
      <c r="WU96">
        <v>0</v>
      </c>
      <c r="WV96">
        <v>0</v>
      </c>
      <c r="WW96">
        <v>0</v>
      </c>
      <c r="WX96">
        <v>0</v>
      </c>
      <c r="WY96">
        <v>0</v>
      </c>
      <c r="WZ96">
        <v>0</v>
      </c>
      <c r="XA96">
        <v>0</v>
      </c>
      <c r="XB96">
        <v>0</v>
      </c>
      <c r="XC96">
        <v>0</v>
      </c>
      <c r="XD96">
        <v>0</v>
      </c>
      <c r="XE96">
        <v>0</v>
      </c>
      <c r="XF96">
        <v>0</v>
      </c>
      <c r="XG96">
        <v>0</v>
      </c>
      <c r="XH96">
        <v>0</v>
      </c>
      <c r="XI96">
        <v>0</v>
      </c>
      <c r="XJ96">
        <v>0</v>
      </c>
      <c r="XK96">
        <v>0</v>
      </c>
      <c r="XL96">
        <v>0</v>
      </c>
      <c r="XM96">
        <v>0</v>
      </c>
      <c r="XN96">
        <v>0</v>
      </c>
      <c r="XO96">
        <v>0</v>
      </c>
      <c r="XP96">
        <v>0</v>
      </c>
      <c r="XQ96">
        <v>0</v>
      </c>
      <c r="XR96">
        <v>0</v>
      </c>
      <c r="XS96">
        <v>0</v>
      </c>
      <c r="XT96">
        <v>0</v>
      </c>
      <c r="XU96">
        <v>0</v>
      </c>
      <c r="XV96">
        <v>0</v>
      </c>
      <c r="XW96">
        <v>0</v>
      </c>
      <c r="XX96">
        <v>0</v>
      </c>
      <c r="XY96">
        <v>0</v>
      </c>
      <c r="XZ96">
        <v>0</v>
      </c>
      <c r="YA96">
        <v>0</v>
      </c>
      <c r="YB96">
        <v>0</v>
      </c>
      <c r="YC96">
        <v>0</v>
      </c>
      <c r="YD96">
        <v>0</v>
      </c>
      <c r="YE96">
        <v>0</v>
      </c>
      <c r="YF96">
        <v>0</v>
      </c>
      <c r="YG96">
        <v>0</v>
      </c>
      <c r="YH96">
        <v>0</v>
      </c>
      <c r="YI96">
        <v>0</v>
      </c>
      <c r="YJ96">
        <v>0</v>
      </c>
      <c r="YK96">
        <v>0</v>
      </c>
      <c r="YL96">
        <v>0</v>
      </c>
      <c r="YM96">
        <v>0</v>
      </c>
      <c r="YN96">
        <v>0</v>
      </c>
      <c r="YO96">
        <v>0</v>
      </c>
      <c r="YP96">
        <v>0</v>
      </c>
      <c r="YQ96">
        <v>0</v>
      </c>
      <c r="YR96">
        <v>0</v>
      </c>
      <c r="YS96">
        <v>0</v>
      </c>
      <c r="YT96">
        <v>0</v>
      </c>
      <c r="YU96">
        <v>0</v>
      </c>
      <c r="YV96">
        <v>-5</v>
      </c>
      <c r="YW96">
        <v>0</v>
      </c>
      <c r="YX96">
        <v>0</v>
      </c>
      <c r="YY96">
        <v>0</v>
      </c>
      <c r="YZ96">
        <v>0</v>
      </c>
      <c r="ZA96">
        <v>0</v>
      </c>
      <c r="ZB96">
        <v>0</v>
      </c>
      <c r="ZC96">
        <v>0</v>
      </c>
      <c r="ZD96">
        <v>0</v>
      </c>
      <c r="ZE96">
        <v>0</v>
      </c>
      <c r="ZF96">
        <v>0</v>
      </c>
      <c r="ZG96">
        <v>0</v>
      </c>
      <c r="ZH96">
        <v>0</v>
      </c>
      <c r="ZI96">
        <v>0</v>
      </c>
      <c r="ZJ96">
        <v>0</v>
      </c>
      <c r="ZK96">
        <v>0</v>
      </c>
      <c r="ZL96">
        <v>0</v>
      </c>
      <c r="ZM96">
        <v>0</v>
      </c>
      <c r="ZN96">
        <v>0</v>
      </c>
      <c r="ZO96">
        <v>0</v>
      </c>
      <c r="ZP96">
        <v>0</v>
      </c>
      <c r="ZQ96">
        <v>0</v>
      </c>
      <c r="ZR96">
        <v>0</v>
      </c>
      <c r="ZS96">
        <v>0</v>
      </c>
      <c r="ZT96">
        <v>0</v>
      </c>
      <c r="ZU96">
        <v>0</v>
      </c>
      <c r="ZV96">
        <v>0</v>
      </c>
      <c r="ZW96">
        <v>0</v>
      </c>
      <c r="ZX96">
        <v>0</v>
      </c>
      <c r="ZY96">
        <v>0</v>
      </c>
      <c r="ZZ96">
        <v>0</v>
      </c>
      <c r="AAA96">
        <v>0</v>
      </c>
      <c r="AAB96">
        <v>0</v>
      </c>
      <c r="AAC96">
        <v>0</v>
      </c>
      <c r="AAD96">
        <v>0</v>
      </c>
      <c r="AAE96">
        <v>0</v>
      </c>
      <c r="AAF96">
        <v>0</v>
      </c>
      <c r="AAG96">
        <v>0</v>
      </c>
      <c r="AAH96">
        <v>0</v>
      </c>
      <c r="AAI96">
        <v>0</v>
      </c>
      <c r="AAJ96">
        <v>0</v>
      </c>
      <c r="AAK96">
        <v>0</v>
      </c>
      <c r="AAL96">
        <v>0</v>
      </c>
      <c r="AAM96">
        <v>0</v>
      </c>
      <c r="AAN96">
        <v>0</v>
      </c>
      <c r="AAO96">
        <v>0</v>
      </c>
      <c r="AAP96">
        <v>0</v>
      </c>
      <c r="AAQ96">
        <v>0</v>
      </c>
      <c r="AAR96">
        <v>0</v>
      </c>
      <c r="AAS96">
        <v>0</v>
      </c>
      <c r="AAT96">
        <v>0</v>
      </c>
      <c r="AAU96">
        <v>0</v>
      </c>
      <c r="AAV96">
        <v>0</v>
      </c>
      <c r="AAW96">
        <v>0</v>
      </c>
      <c r="AAX96">
        <v>0</v>
      </c>
      <c r="AAY96">
        <v>0</v>
      </c>
      <c r="AAZ96">
        <v>0</v>
      </c>
      <c r="ABA96">
        <v>0</v>
      </c>
      <c r="ABB96">
        <v>0</v>
      </c>
      <c r="ABC96">
        <v>0</v>
      </c>
      <c r="ABD96">
        <v>0</v>
      </c>
      <c r="ABE96">
        <v>0</v>
      </c>
      <c r="ABF96">
        <v>0</v>
      </c>
      <c r="ABG96">
        <v>0</v>
      </c>
      <c r="ABH96">
        <v>0</v>
      </c>
      <c r="ABI96">
        <v>0</v>
      </c>
      <c r="ABJ96">
        <v>0</v>
      </c>
      <c r="ABK96">
        <v>0</v>
      </c>
      <c r="ABL96">
        <v>0</v>
      </c>
      <c r="ABM96">
        <v>0</v>
      </c>
      <c r="ABN96">
        <v>0</v>
      </c>
      <c r="ABO96">
        <v>0</v>
      </c>
      <c r="ABP96">
        <v>0</v>
      </c>
      <c r="ABQ96">
        <v>0</v>
      </c>
      <c r="ABR96">
        <v>0</v>
      </c>
      <c r="ABS96">
        <v>0</v>
      </c>
      <c r="ABT96">
        <v>0</v>
      </c>
      <c r="ABU96">
        <v>0</v>
      </c>
      <c r="ABV96">
        <v>0</v>
      </c>
      <c r="ABW96">
        <v>0</v>
      </c>
      <c r="ABX96">
        <v>0</v>
      </c>
      <c r="ABY96">
        <v>0</v>
      </c>
      <c r="ABZ96">
        <v>0</v>
      </c>
      <c r="ACA96">
        <v>0</v>
      </c>
      <c r="ACB96">
        <v>0</v>
      </c>
      <c r="ACC96">
        <v>0</v>
      </c>
      <c r="ACD96">
        <v>0</v>
      </c>
      <c r="ACE96">
        <v>0</v>
      </c>
      <c r="ACF96">
        <v>0</v>
      </c>
      <c r="ACG96">
        <v>0</v>
      </c>
      <c r="ACH96">
        <v>0</v>
      </c>
      <c r="ACI96">
        <v>0</v>
      </c>
      <c r="ACJ96">
        <v>0</v>
      </c>
      <c r="ACK96">
        <v>0</v>
      </c>
      <c r="ACL96">
        <v>0</v>
      </c>
      <c r="ACM96">
        <v>0</v>
      </c>
      <c r="ACN96">
        <v>-256.16438356164383</v>
      </c>
      <c r="ACO96">
        <v>0</v>
      </c>
      <c r="ACP96">
        <v>0</v>
      </c>
      <c r="ACQ96">
        <v>0</v>
      </c>
      <c r="ACR96">
        <v>0</v>
      </c>
      <c r="ACS96">
        <v>0</v>
      </c>
      <c r="ACT96">
        <v>0</v>
      </c>
      <c r="ACU96">
        <v>0</v>
      </c>
      <c r="ACV96">
        <v>0</v>
      </c>
      <c r="ACW96">
        <v>0</v>
      </c>
      <c r="ACX96">
        <v>0</v>
      </c>
      <c r="ACY96">
        <v>0</v>
      </c>
      <c r="ACZ96">
        <v>0</v>
      </c>
      <c r="ADA96">
        <v>0</v>
      </c>
      <c r="ADB96">
        <v>0</v>
      </c>
      <c r="ADC96">
        <v>0</v>
      </c>
      <c r="ADD96">
        <v>0</v>
      </c>
      <c r="ADE96">
        <v>0</v>
      </c>
      <c r="ADF96">
        <v>0</v>
      </c>
      <c r="ADG96">
        <v>0</v>
      </c>
      <c r="ADH96">
        <v>0</v>
      </c>
      <c r="ADI96">
        <v>0</v>
      </c>
      <c r="ADJ96">
        <v>0</v>
      </c>
      <c r="ADK96">
        <v>0</v>
      </c>
      <c r="ADL96">
        <v>0</v>
      </c>
      <c r="ADM96">
        <v>0</v>
      </c>
      <c r="ADN96">
        <v>0</v>
      </c>
      <c r="ADO96">
        <v>0</v>
      </c>
      <c r="ADP96">
        <v>0</v>
      </c>
      <c r="ADQ96">
        <v>0</v>
      </c>
      <c r="ADR96">
        <v>0</v>
      </c>
      <c r="ADS96">
        <v>0</v>
      </c>
      <c r="ADT96">
        <v>0</v>
      </c>
      <c r="ADU96">
        <v>0</v>
      </c>
      <c r="ADV96">
        <v>0</v>
      </c>
      <c r="ADW96">
        <v>0</v>
      </c>
      <c r="ADX96">
        <v>0</v>
      </c>
      <c r="ADY96">
        <v>0</v>
      </c>
      <c r="ADZ96">
        <v>0</v>
      </c>
      <c r="AEA96">
        <v>0</v>
      </c>
      <c r="AEB96">
        <v>0</v>
      </c>
      <c r="AEC96">
        <v>0</v>
      </c>
      <c r="AED96">
        <v>0</v>
      </c>
      <c r="AEE96">
        <v>0</v>
      </c>
      <c r="AEF96">
        <v>0</v>
      </c>
      <c r="AEG96">
        <v>0</v>
      </c>
      <c r="AEH96">
        <v>0</v>
      </c>
      <c r="AEI96">
        <v>0</v>
      </c>
      <c r="AEJ96">
        <v>0</v>
      </c>
      <c r="AEK96">
        <v>0</v>
      </c>
      <c r="AEL96">
        <v>0</v>
      </c>
      <c r="AEM96">
        <v>0</v>
      </c>
      <c r="AEN96">
        <v>0</v>
      </c>
      <c r="AEO96">
        <v>0</v>
      </c>
      <c r="AEP96">
        <v>0</v>
      </c>
      <c r="AEQ96">
        <v>0</v>
      </c>
      <c r="AER96">
        <v>0</v>
      </c>
      <c r="AES96">
        <v>0</v>
      </c>
      <c r="AET96">
        <v>0</v>
      </c>
      <c r="AEU96">
        <v>0</v>
      </c>
      <c r="AEV96">
        <v>0</v>
      </c>
      <c r="AEW96">
        <v>0</v>
      </c>
      <c r="AEX96">
        <v>0</v>
      </c>
      <c r="AEY96">
        <v>0</v>
      </c>
      <c r="AEZ96">
        <v>0</v>
      </c>
      <c r="AFA96">
        <v>0</v>
      </c>
      <c r="AFB96">
        <v>0</v>
      </c>
      <c r="AFC96">
        <v>0</v>
      </c>
      <c r="AFD96">
        <v>0</v>
      </c>
      <c r="AFE96">
        <v>0</v>
      </c>
      <c r="AFF96">
        <v>0</v>
      </c>
      <c r="AFG96">
        <v>0</v>
      </c>
      <c r="AFH96">
        <v>0</v>
      </c>
      <c r="AFI96">
        <v>0</v>
      </c>
      <c r="AFJ96">
        <v>0</v>
      </c>
      <c r="AFK96">
        <v>0</v>
      </c>
      <c r="AFL96">
        <v>0</v>
      </c>
      <c r="AFM96">
        <v>0</v>
      </c>
      <c r="AFN96">
        <v>0</v>
      </c>
      <c r="AFO96">
        <v>0</v>
      </c>
      <c r="AFP96">
        <v>0</v>
      </c>
      <c r="AFQ96">
        <v>0</v>
      </c>
      <c r="AFR96">
        <v>0</v>
      </c>
      <c r="AFS96">
        <v>0</v>
      </c>
      <c r="AFT96">
        <v>0</v>
      </c>
      <c r="AFU96">
        <v>0</v>
      </c>
      <c r="AFV96">
        <v>0</v>
      </c>
      <c r="AFW96">
        <v>0</v>
      </c>
      <c r="AFX96">
        <v>0</v>
      </c>
      <c r="AFY96">
        <v>0</v>
      </c>
      <c r="AFZ96">
        <v>0</v>
      </c>
      <c r="AGA96">
        <v>0</v>
      </c>
      <c r="AGB96">
        <v>0</v>
      </c>
      <c r="AGC96">
        <v>0</v>
      </c>
      <c r="AGD96">
        <v>0</v>
      </c>
      <c r="AGE96">
        <v>0</v>
      </c>
      <c r="AGF96">
        <v>-120</v>
      </c>
      <c r="AGG96">
        <v>0</v>
      </c>
      <c r="AGH96">
        <v>0</v>
      </c>
      <c r="AGI96">
        <v>0</v>
      </c>
      <c r="AGJ96">
        <v>0</v>
      </c>
      <c r="AGK96">
        <v>0</v>
      </c>
      <c r="AGL96">
        <v>0</v>
      </c>
      <c r="AGM96">
        <v>0</v>
      </c>
      <c r="AGN96">
        <v>0</v>
      </c>
      <c r="AGO96">
        <v>0</v>
      </c>
      <c r="AGP96">
        <v>0</v>
      </c>
      <c r="AGQ96">
        <v>0</v>
      </c>
      <c r="AGR96">
        <v>0</v>
      </c>
      <c r="AGS96">
        <v>0</v>
      </c>
      <c r="AGT96">
        <v>0</v>
      </c>
      <c r="AGU96">
        <v>0</v>
      </c>
      <c r="AGV96">
        <v>0</v>
      </c>
      <c r="AGW96">
        <v>0</v>
      </c>
      <c r="AGX96">
        <v>0</v>
      </c>
      <c r="AGY96">
        <v>0</v>
      </c>
      <c r="AGZ96">
        <v>0</v>
      </c>
      <c r="AHA96">
        <v>0</v>
      </c>
      <c r="AHB96">
        <v>0</v>
      </c>
      <c r="AHC96">
        <v>0</v>
      </c>
      <c r="AHD96">
        <v>0</v>
      </c>
      <c r="AHE96">
        <v>0</v>
      </c>
      <c r="AHF96">
        <v>0</v>
      </c>
      <c r="AHG96">
        <v>0</v>
      </c>
      <c r="AHH96">
        <v>0</v>
      </c>
      <c r="AHI96">
        <v>0</v>
      </c>
      <c r="AHJ96">
        <v>0</v>
      </c>
      <c r="AHK96">
        <v>0</v>
      </c>
      <c r="AHL96">
        <v>0</v>
      </c>
      <c r="AHM96">
        <v>0</v>
      </c>
      <c r="AHN96">
        <v>0</v>
      </c>
      <c r="AHO96">
        <v>0</v>
      </c>
      <c r="AHP96">
        <v>0</v>
      </c>
      <c r="AHQ96">
        <v>0</v>
      </c>
      <c r="AHR96">
        <v>0</v>
      </c>
      <c r="AHS96">
        <v>0</v>
      </c>
      <c r="AHT96">
        <v>0</v>
      </c>
      <c r="AHU96">
        <v>0</v>
      </c>
      <c r="AHV96">
        <v>0</v>
      </c>
      <c r="AHW96">
        <v>0</v>
      </c>
      <c r="AHX96">
        <v>0</v>
      </c>
      <c r="AHY96">
        <v>0</v>
      </c>
      <c r="AHZ96">
        <v>0</v>
      </c>
      <c r="AIA96">
        <v>0</v>
      </c>
      <c r="AIB96">
        <v>0</v>
      </c>
      <c r="AIC96">
        <v>0</v>
      </c>
      <c r="AID96">
        <v>0</v>
      </c>
      <c r="AIE96">
        <v>0</v>
      </c>
      <c r="AIF96">
        <v>0</v>
      </c>
      <c r="AIG96">
        <v>0</v>
      </c>
      <c r="AIH96">
        <v>0</v>
      </c>
      <c r="AII96">
        <v>0</v>
      </c>
      <c r="AIJ96">
        <v>0</v>
      </c>
      <c r="AIK96">
        <v>0</v>
      </c>
      <c r="AIL96">
        <v>0</v>
      </c>
      <c r="AIM96">
        <v>0</v>
      </c>
      <c r="AIN96">
        <v>0</v>
      </c>
      <c r="AIO96">
        <v>0</v>
      </c>
      <c r="AIP96">
        <v>0</v>
      </c>
      <c r="AIQ96">
        <v>0</v>
      </c>
      <c r="AIR96">
        <v>0</v>
      </c>
      <c r="AIS96">
        <v>0</v>
      </c>
      <c r="AIT96">
        <v>0</v>
      </c>
      <c r="AIU96">
        <v>0</v>
      </c>
      <c r="AIV96">
        <v>0</v>
      </c>
      <c r="AIW96">
        <v>0</v>
      </c>
      <c r="AIX96">
        <v>0</v>
      </c>
      <c r="AIY96">
        <v>0</v>
      </c>
      <c r="AIZ96">
        <v>0</v>
      </c>
      <c r="AJA96">
        <v>0</v>
      </c>
      <c r="AJB96">
        <v>0</v>
      </c>
      <c r="AJC96">
        <v>0</v>
      </c>
      <c r="AJD96">
        <v>0</v>
      </c>
      <c r="AJE96">
        <v>0</v>
      </c>
      <c r="AJF96">
        <v>0</v>
      </c>
      <c r="AJG96">
        <v>0</v>
      </c>
      <c r="AJH96">
        <v>0</v>
      </c>
      <c r="AJI96">
        <v>0</v>
      </c>
      <c r="AJJ96">
        <v>0</v>
      </c>
      <c r="AJK96">
        <v>0</v>
      </c>
      <c r="AJL96">
        <v>0</v>
      </c>
      <c r="AJM96">
        <v>0</v>
      </c>
      <c r="AJN96">
        <v>0</v>
      </c>
      <c r="AJO96">
        <v>0</v>
      </c>
      <c r="AJP96">
        <v>0</v>
      </c>
      <c r="AJQ96">
        <v>0</v>
      </c>
      <c r="AJR96">
        <v>0</v>
      </c>
      <c r="AJS96">
        <v>0</v>
      </c>
      <c r="AJT96">
        <v>0</v>
      </c>
      <c r="AJU96">
        <v>0</v>
      </c>
      <c r="AJV96">
        <v>0</v>
      </c>
      <c r="AJW96">
        <v>0</v>
      </c>
      <c r="AJX96">
        <v>-4500</v>
      </c>
      <c r="AJY96">
        <v>0</v>
      </c>
    </row>
    <row r="97" spans="1:961" x14ac:dyDescent="0.3">
      <c r="A97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10000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5000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  <c r="KP97">
        <v>0</v>
      </c>
      <c r="KQ97">
        <v>0</v>
      </c>
      <c r="KR97">
        <v>0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0</v>
      </c>
      <c r="LA97">
        <v>0</v>
      </c>
      <c r="LB97">
        <v>0</v>
      </c>
      <c r="LC97">
        <v>0</v>
      </c>
      <c r="LD97">
        <v>0</v>
      </c>
      <c r="LE97">
        <v>0</v>
      </c>
      <c r="LF97">
        <v>0</v>
      </c>
      <c r="LG97">
        <v>0</v>
      </c>
      <c r="LH97">
        <v>0</v>
      </c>
      <c r="LI97">
        <v>0</v>
      </c>
      <c r="LJ97">
        <v>0</v>
      </c>
      <c r="LK97">
        <v>0</v>
      </c>
      <c r="LL97">
        <v>0</v>
      </c>
      <c r="LM97">
        <v>0</v>
      </c>
      <c r="LN97">
        <v>0</v>
      </c>
      <c r="LO97">
        <v>0</v>
      </c>
      <c r="LP97">
        <v>0</v>
      </c>
      <c r="LQ97">
        <v>0</v>
      </c>
      <c r="LR97">
        <v>0</v>
      </c>
      <c r="LS97">
        <v>0</v>
      </c>
      <c r="LT97">
        <v>0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  <c r="MC97">
        <v>0</v>
      </c>
      <c r="MD97">
        <v>0</v>
      </c>
      <c r="ME97">
        <v>0</v>
      </c>
      <c r="MF97">
        <v>0</v>
      </c>
      <c r="MG97">
        <v>0</v>
      </c>
      <c r="MH97">
        <v>0</v>
      </c>
      <c r="MI97">
        <v>0</v>
      </c>
      <c r="MJ97">
        <v>0</v>
      </c>
      <c r="MK97">
        <v>0</v>
      </c>
      <c r="ML97">
        <v>0</v>
      </c>
      <c r="MM97">
        <v>0</v>
      </c>
      <c r="MN97">
        <v>0</v>
      </c>
      <c r="MO97">
        <v>0</v>
      </c>
      <c r="MP97">
        <v>0</v>
      </c>
      <c r="MQ97">
        <v>0</v>
      </c>
      <c r="MR97">
        <v>0</v>
      </c>
      <c r="MS97">
        <v>0</v>
      </c>
      <c r="MT97">
        <v>0</v>
      </c>
      <c r="MU97">
        <v>0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0</v>
      </c>
      <c r="NJ97">
        <v>0</v>
      </c>
      <c r="NK97">
        <v>0</v>
      </c>
      <c r="NL97">
        <v>0</v>
      </c>
      <c r="NM97">
        <v>0</v>
      </c>
      <c r="NN97">
        <v>0</v>
      </c>
      <c r="NO97">
        <v>0</v>
      </c>
      <c r="NP97">
        <v>0</v>
      </c>
      <c r="NQ97">
        <v>0</v>
      </c>
      <c r="NR97">
        <v>0</v>
      </c>
      <c r="NS97">
        <v>0</v>
      </c>
      <c r="NT97">
        <v>0</v>
      </c>
      <c r="NU97">
        <v>0</v>
      </c>
      <c r="NV97">
        <v>0</v>
      </c>
      <c r="NW97">
        <v>0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0</v>
      </c>
      <c r="OL97">
        <v>0</v>
      </c>
      <c r="OM97">
        <v>0</v>
      </c>
      <c r="ON97">
        <v>0</v>
      </c>
      <c r="OO97">
        <v>0</v>
      </c>
      <c r="OP97">
        <v>0</v>
      </c>
      <c r="OQ97">
        <v>0</v>
      </c>
      <c r="OR97">
        <v>0</v>
      </c>
      <c r="OS97">
        <v>0</v>
      </c>
      <c r="OT97">
        <v>0</v>
      </c>
      <c r="OU97">
        <v>0</v>
      </c>
      <c r="OV97">
        <v>0</v>
      </c>
      <c r="OW97">
        <v>0</v>
      </c>
      <c r="OX97">
        <v>0</v>
      </c>
      <c r="OY97">
        <v>0</v>
      </c>
      <c r="OZ97">
        <v>0</v>
      </c>
      <c r="PA97">
        <v>0</v>
      </c>
      <c r="PB97">
        <v>0</v>
      </c>
      <c r="PC97">
        <v>0</v>
      </c>
      <c r="PD97">
        <v>0</v>
      </c>
      <c r="PE97">
        <v>0</v>
      </c>
      <c r="PF97">
        <v>0</v>
      </c>
      <c r="PG97">
        <v>0</v>
      </c>
      <c r="PH97">
        <v>0</v>
      </c>
      <c r="PI97">
        <v>0</v>
      </c>
      <c r="PJ97">
        <v>0</v>
      </c>
      <c r="PK97">
        <v>0</v>
      </c>
      <c r="PL97">
        <v>0</v>
      </c>
      <c r="PM97">
        <v>0</v>
      </c>
      <c r="PN97">
        <v>0</v>
      </c>
      <c r="PO97">
        <v>0</v>
      </c>
      <c r="PP97">
        <v>0</v>
      </c>
      <c r="PQ97">
        <v>0</v>
      </c>
      <c r="PR97">
        <v>0</v>
      </c>
      <c r="PS97">
        <v>0</v>
      </c>
      <c r="PT97">
        <v>0</v>
      </c>
      <c r="PU97">
        <v>0</v>
      </c>
      <c r="PV97">
        <v>0</v>
      </c>
      <c r="PW97">
        <v>0</v>
      </c>
      <c r="PX97">
        <v>0</v>
      </c>
      <c r="PY97">
        <v>0</v>
      </c>
      <c r="PZ97">
        <v>0</v>
      </c>
      <c r="QA97">
        <v>0</v>
      </c>
      <c r="QB97">
        <v>0</v>
      </c>
      <c r="QC97">
        <v>0</v>
      </c>
      <c r="QD97">
        <v>0</v>
      </c>
      <c r="QE97">
        <v>0</v>
      </c>
      <c r="QF97">
        <v>0</v>
      </c>
      <c r="QG97">
        <v>0</v>
      </c>
      <c r="QH97">
        <v>0</v>
      </c>
      <c r="QI97">
        <v>0</v>
      </c>
      <c r="QJ97">
        <v>0</v>
      </c>
      <c r="QK97">
        <v>0</v>
      </c>
      <c r="QL97">
        <v>0</v>
      </c>
      <c r="QM97">
        <v>0</v>
      </c>
      <c r="QN97">
        <v>0</v>
      </c>
      <c r="QO97">
        <v>0</v>
      </c>
      <c r="QP97">
        <v>0</v>
      </c>
      <c r="QQ97">
        <v>0</v>
      </c>
      <c r="QR97">
        <v>0</v>
      </c>
      <c r="QS97">
        <v>0</v>
      </c>
      <c r="QT97">
        <v>0</v>
      </c>
      <c r="QU97">
        <v>0</v>
      </c>
      <c r="QV97">
        <v>0</v>
      </c>
      <c r="QW97">
        <v>0</v>
      </c>
      <c r="QX97">
        <v>0</v>
      </c>
      <c r="QY97">
        <v>0</v>
      </c>
      <c r="QZ97">
        <v>0</v>
      </c>
      <c r="RA97">
        <v>0</v>
      </c>
      <c r="RB97">
        <v>0</v>
      </c>
      <c r="RC97">
        <v>0</v>
      </c>
      <c r="RD97">
        <v>0</v>
      </c>
      <c r="RE97">
        <v>0</v>
      </c>
      <c r="RF97">
        <v>0</v>
      </c>
      <c r="RG97">
        <v>0</v>
      </c>
      <c r="RH97">
        <v>0</v>
      </c>
      <c r="RI97">
        <v>0</v>
      </c>
      <c r="RJ97">
        <v>0</v>
      </c>
      <c r="RK97">
        <v>0</v>
      </c>
      <c r="RL97">
        <v>0</v>
      </c>
      <c r="RM97">
        <v>-150</v>
      </c>
      <c r="RN97">
        <v>0</v>
      </c>
      <c r="RO97">
        <v>0</v>
      </c>
      <c r="RP97">
        <v>0</v>
      </c>
      <c r="RQ97">
        <v>0</v>
      </c>
      <c r="RR97">
        <v>0</v>
      </c>
      <c r="RS97">
        <v>0</v>
      </c>
      <c r="RT97">
        <v>0</v>
      </c>
      <c r="RU97">
        <v>0</v>
      </c>
      <c r="RV97">
        <v>0</v>
      </c>
      <c r="RW97">
        <v>0</v>
      </c>
      <c r="RX97">
        <v>0</v>
      </c>
      <c r="RY97">
        <v>0</v>
      </c>
      <c r="RZ97">
        <v>0</v>
      </c>
      <c r="SA97">
        <v>0</v>
      </c>
      <c r="SB97">
        <v>0</v>
      </c>
      <c r="SC97">
        <v>0</v>
      </c>
      <c r="SD97">
        <v>0</v>
      </c>
      <c r="SE97">
        <v>0</v>
      </c>
      <c r="SF97">
        <v>0</v>
      </c>
      <c r="SG97">
        <v>0</v>
      </c>
      <c r="SH97">
        <v>0</v>
      </c>
      <c r="SI97">
        <v>0</v>
      </c>
      <c r="SJ97">
        <v>0</v>
      </c>
      <c r="SK97">
        <v>0</v>
      </c>
      <c r="SL97">
        <v>0</v>
      </c>
      <c r="SM97">
        <v>0</v>
      </c>
      <c r="SN97">
        <v>0</v>
      </c>
      <c r="SO97">
        <v>0</v>
      </c>
      <c r="SP97">
        <v>0</v>
      </c>
      <c r="SQ97">
        <v>0</v>
      </c>
      <c r="SR97">
        <v>0</v>
      </c>
      <c r="SS97">
        <v>0</v>
      </c>
      <c r="ST97">
        <v>0</v>
      </c>
      <c r="SU97">
        <v>0</v>
      </c>
      <c r="SV97">
        <v>0</v>
      </c>
      <c r="SW97">
        <v>0</v>
      </c>
      <c r="SX97">
        <v>0</v>
      </c>
      <c r="SY97">
        <v>0</v>
      </c>
      <c r="SZ97">
        <v>0</v>
      </c>
      <c r="TA97">
        <v>0</v>
      </c>
      <c r="TB97">
        <v>0</v>
      </c>
      <c r="TC97">
        <v>0</v>
      </c>
      <c r="TD97">
        <v>0</v>
      </c>
      <c r="TE97">
        <v>0</v>
      </c>
      <c r="TF97">
        <v>0</v>
      </c>
      <c r="TG97">
        <v>0</v>
      </c>
      <c r="TH97">
        <v>0</v>
      </c>
      <c r="TI97">
        <v>0</v>
      </c>
      <c r="TJ97">
        <v>0</v>
      </c>
      <c r="TK97">
        <v>0</v>
      </c>
      <c r="TL97">
        <v>0</v>
      </c>
      <c r="TM97">
        <v>0</v>
      </c>
      <c r="TN97">
        <v>0</v>
      </c>
      <c r="TO97">
        <v>0</v>
      </c>
      <c r="TP97">
        <v>0</v>
      </c>
      <c r="TQ97">
        <v>0</v>
      </c>
      <c r="TR97">
        <v>0</v>
      </c>
      <c r="TS97">
        <v>0</v>
      </c>
      <c r="TT97">
        <v>0</v>
      </c>
      <c r="TU97">
        <v>0</v>
      </c>
      <c r="TV97">
        <v>0</v>
      </c>
      <c r="TW97">
        <v>0</v>
      </c>
      <c r="TX97">
        <v>0</v>
      </c>
      <c r="TY97">
        <v>0</v>
      </c>
      <c r="TZ97">
        <v>0</v>
      </c>
      <c r="UA97">
        <v>0</v>
      </c>
      <c r="UB97">
        <v>0</v>
      </c>
      <c r="UC97">
        <v>0</v>
      </c>
      <c r="UD97">
        <v>0</v>
      </c>
      <c r="UE97">
        <v>0</v>
      </c>
      <c r="UF97">
        <v>0</v>
      </c>
      <c r="UG97">
        <v>0</v>
      </c>
      <c r="UH97">
        <v>0</v>
      </c>
      <c r="UI97">
        <v>0</v>
      </c>
      <c r="UJ97">
        <v>0</v>
      </c>
      <c r="UK97">
        <v>0</v>
      </c>
      <c r="UL97">
        <v>0</v>
      </c>
      <c r="UM97">
        <v>0</v>
      </c>
      <c r="UN97">
        <v>0</v>
      </c>
      <c r="UO97">
        <v>0</v>
      </c>
      <c r="UP97">
        <v>0</v>
      </c>
      <c r="UQ97">
        <v>0</v>
      </c>
      <c r="UR97">
        <v>0</v>
      </c>
      <c r="US97">
        <v>0</v>
      </c>
      <c r="UT97">
        <v>0</v>
      </c>
      <c r="UU97">
        <v>0</v>
      </c>
      <c r="UV97">
        <v>0</v>
      </c>
      <c r="UW97">
        <v>0</v>
      </c>
      <c r="UX97">
        <v>0</v>
      </c>
      <c r="UY97">
        <v>0</v>
      </c>
      <c r="UZ97">
        <v>0</v>
      </c>
      <c r="VA97">
        <v>0</v>
      </c>
      <c r="VB97">
        <v>0</v>
      </c>
      <c r="VC97">
        <v>0</v>
      </c>
      <c r="VD97">
        <v>0</v>
      </c>
      <c r="VE97">
        <v>-1000</v>
      </c>
      <c r="VF97">
        <v>0</v>
      </c>
      <c r="VG97">
        <v>0</v>
      </c>
      <c r="VH97">
        <v>0</v>
      </c>
      <c r="VI97">
        <v>0</v>
      </c>
      <c r="VJ97">
        <v>0</v>
      </c>
      <c r="VK97">
        <v>0</v>
      </c>
      <c r="VL97">
        <v>0</v>
      </c>
      <c r="VM97">
        <v>0</v>
      </c>
      <c r="VN97">
        <v>0</v>
      </c>
      <c r="VO97">
        <v>0</v>
      </c>
      <c r="VP97">
        <v>0</v>
      </c>
      <c r="VQ97">
        <v>0</v>
      </c>
      <c r="VR97">
        <v>0</v>
      </c>
      <c r="VS97">
        <v>0</v>
      </c>
      <c r="VT97">
        <v>0</v>
      </c>
      <c r="VU97">
        <v>0</v>
      </c>
      <c r="VV97">
        <v>0</v>
      </c>
      <c r="VW97">
        <v>0</v>
      </c>
      <c r="VX97">
        <v>0</v>
      </c>
      <c r="VY97">
        <v>0</v>
      </c>
      <c r="VZ97">
        <v>0</v>
      </c>
      <c r="WA97">
        <v>0</v>
      </c>
      <c r="WB97">
        <v>0</v>
      </c>
      <c r="WC97">
        <v>0</v>
      </c>
      <c r="WD97">
        <v>0</v>
      </c>
      <c r="WE97">
        <v>0</v>
      </c>
      <c r="WF97">
        <v>0</v>
      </c>
      <c r="WG97">
        <v>0</v>
      </c>
      <c r="WH97">
        <v>0</v>
      </c>
      <c r="WI97">
        <v>0</v>
      </c>
      <c r="WJ97">
        <v>0</v>
      </c>
      <c r="WK97">
        <v>0</v>
      </c>
      <c r="WL97">
        <v>0</v>
      </c>
      <c r="WM97">
        <v>0</v>
      </c>
      <c r="WN97">
        <v>0</v>
      </c>
      <c r="WO97">
        <v>0</v>
      </c>
      <c r="WP97">
        <v>0</v>
      </c>
      <c r="WQ97">
        <v>0</v>
      </c>
      <c r="WR97">
        <v>0</v>
      </c>
      <c r="WS97">
        <v>0</v>
      </c>
      <c r="WT97">
        <v>0</v>
      </c>
      <c r="WU97">
        <v>0</v>
      </c>
      <c r="WV97">
        <v>0</v>
      </c>
      <c r="WW97">
        <v>0</v>
      </c>
      <c r="WX97">
        <v>0</v>
      </c>
      <c r="WY97">
        <v>0</v>
      </c>
      <c r="WZ97">
        <v>0</v>
      </c>
      <c r="XA97">
        <v>0</v>
      </c>
      <c r="XB97">
        <v>0</v>
      </c>
      <c r="XC97">
        <v>0</v>
      </c>
      <c r="XD97">
        <v>0</v>
      </c>
      <c r="XE97">
        <v>0</v>
      </c>
      <c r="XF97">
        <v>0</v>
      </c>
      <c r="XG97">
        <v>0</v>
      </c>
      <c r="XH97">
        <v>0</v>
      </c>
      <c r="XI97">
        <v>0</v>
      </c>
      <c r="XJ97">
        <v>0</v>
      </c>
      <c r="XK97">
        <v>0</v>
      </c>
      <c r="XL97">
        <v>0</v>
      </c>
      <c r="XM97">
        <v>0</v>
      </c>
      <c r="XN97">
        <v>0</v>
      </c>
      <c r="XO97">
        <v>0</v>
      </c>
      <c r="XP97">
        <v>0</v>
      </c>
      <c r="XQ97">
        <v>0</v>
      </c>
      <c r="XR97">
        <v>0</v>
      </c>
      <c r="XS97">
        <v>0</v>
      </c>
      <c r="XT97">
        <v>0</v>
      </c>
      <c r="XU97">
        <v>0</v>
      </c>
      <c r="XV97">
        <v>0</v>
      </c>
      <c r="XW97">
        <v>0</v>
      </c>
      <c r="XX97">
        <v>0</v>
      </c>
      <c r="XY97">
        <v>0</v>
      </c>
      <c r="XZ97">
        <v>0</v>
      </c>
      <c r="YA97">
        <v>0</v>
      </c>
      <c r="YB97">
        <v>0</v>
      </c>
      <c r="YC97">
        <v>0</v>
      </c>
      <c r="YD97">
        <v>0</v>
      </c>
      <c r="YE97">
        <v>0</v>
      </c>
      <c r="YF97">
        <v>0</v>
      </c>
      <c r="YG97">
        <v>0</v>
      </c>
      <c r="YH97">
        <v>0</v>
      </c>
      <c r="YI97">
        <v>0</v>
      </c>
      <c r="YJ97">
        <v>0</v>
      </c>
      <c r="YK97">
        <v>0</v>
      </c>
      <c r="YL97">
        <v>0</v>
      </c>
      <c r="YM97">
        <v>0</v>
      </c>
      <c r="YN97">
        <v>0</v>
      </c>
      <c r="YO97">
        <v>0</v>
      </c>
      <c r="YP97">
        <v>0</v>
      </c>
      <c r="YQ97">
        <v>0</v>
      </c>
      <c r="YR97">
        <v>0</v>
      </c>
      <c r="YS97">
        <v>0</v>
      </c>
      <c r="YT97">
        <v>0</v>
      </c>
      <c r="YU97">
        <v>0</v>
      </c>
      <c r="YV97">
        <v>0</v>
      </c>
      <c r="YW97">
        <v>-5</v>
      </c>
      <c r="YX97">
        <v>0</v>
      </c>
      <c r="YY97">
        <v>0</v>
      </c>
      <c r="YZ97">
        <v>0</v>
      </c>
      <c r="ZA97">
        <v>0</v>
      </c>
      <c r="ZB97">
        <v>0</v>
      </c>
      <c r="ZC97">
        <v>0</v>
      </c>
      <c r="ZD97">
        <v>0</v>
      </c>
      <c r="ZE97">
        <v>0</v>
      </c>
      <c r="ZF97">
        <v>0</v>
      </c>
      <c r="ZG97">
        <v>0</v>
      </c>
      <c r="ZH97">
        <v>0</v>
      </c>
      <c r="ZI97">
        <v>0</v>
      </c>
      <c r="ZJ97">
        <v>0</v>
      </c>
      <c r="ZK97">
        <v>0</v>
      </c>
      <c r="ZL97">
        <v>0</v>
      </c>
      <c r="ZM97">
        <v>0</v>
      </c>
      <c r="ZN97">
        <v>0</v>
      </c>
      <c r="ZO97">
        <v>0</v>
      </c>
      <c r="ZP97">
        <v>0</v>
      </c>
      <c r="ZQ97">
        <v>0</v>
      </c>
      <c r="ZR97">
        <v>0</v>
      </c>
      <c r="ZS97">
        <v>0</v>
      </c>
      <c r="ZT97">
        <v>0</v>
      </c>
      <c r="ZU97">
        <v>0</v>
      </c>
      <c r="ZV97">
        <v>0</v>
      </c>
      <c r="ZW97">
        <v>0</v>
      </c>
      <c r="ZX97">
        <v>0</v>
      </c>
      <c r="ZY97">
        <v>0</v>
      </c>
      <c r="ZZ97">
        <v>0</v>
      </c>
      <c r="AAA97">
        <v>0</v>
      </c>
      <c r="AAB97">
        <v>0</v>
      </c>
      <c r="AAC97">
        <v>0</v>
      </c>
      <c r="AAD97">
        <v>0</v>
      </c>
      <c r="AAE97">
        <v>0</v>
      </c>
      <c r="AAF97">
        <v>0</v>
      </c>
      <c r="AAG97">
        <v>0</v>
      </c>
      <c r="AAH97">
        <v>0</v>
      </c>
      <c r="AAI97">
        <v>0</v>
      </c>
      <c r="AAJ97">
        <v>0</v>
      </c>
      <c r="AAK97">
        <v>0</v>
      </c>
      <c r="AAL97">
        <v>0</v>
      </c>
      <c r="AAM97">
        <v>0</v>
      </c>
      <c r="AAN97">
        <v>0</v>
      </c>
      <c r="AAO97">
        <v>0</v>
      </c>
      <c r="AAP97">
        <v>0</v>
      </c>
      <c r="AAQ97">
        <v>0</v>
      </c>
      <c r="AAR97">
        <v>0</v>
      </c>
      <c r="AAS97">
        <v>0</v>
      </c>
      <c r="AAT97">
        <v>0</v>
      </c>
      <c r="AAU97">
        <v>0</v>
      </c>
      <c r="AAV97">
        <v>0</v>
      </c>
      <c r="AAW97">
        <v>0</v>
      </c>
      <c r="AAX97">
        <v>0</v>
      </c>
      <c r="AAY97">
        <v>0</v>
      </c>
      <c r="AAZ97">
        <v>0</v>
      </c>
      <c r="ABA97">
        <v>0</v>
      </c>
      <c r="ABB97">
        <v>0</v>
      </c>
      <c r="ABC97">
        <v>0</v>
      </c>
      <c r="ABD97">
        <v>0</v>
      </c>
      <c r="ABE97">
        <v>0</v>
      </c>
      <c r="ABF97">
        <v>0</v>
      </c>
      <c r="ABG97">
        <v>0</v>
      </c>
      <c r="ABH97">
        <v>0</v>
      </c>
      <c r="ABI97">
        <v>0</v>
      </c>
      <c r="ABJ97">
        <v>0</v>
      </c>
      <c r="ABK97">
        <v>0</v>
      </c>
      <c r="ABL97">
        <v>0</v>
      </c>
      <c r="ABM97">
        <v>0</v>
      </c>
      <c r="ABN97">
        <v>0</v>
      </c>
      <c r="ABO97">
        <v>0</v>
      </c>
      <c r="ABP97">
        <v>0</v>
      </c>
      <c r="ABQ97">
        <v>0</v>
      </c>
      <c r="ABR97">
        <v>0</v>
      </c>
      <c r="ABS97">
        <v>0</v>
      </c>
      <c r="ABT97">
        <v>0</v>
      </c>
      <c r="ABU97">
        <v>0</v>
      </c>
      <c r="ABV97">
        <v>0</v>
      </c>
      <c r="ABW97">
        <v>0</v>
      </c>
      <c r="ABX97">
        <v>0</v>
      </c>
      <c r="ABY97">
        <v>0</v>
      </c>
      <c r="ABZ97">
        <v>0</v>
      </c>
      <c r="ACA97">
        <v>0</v>
      </c>
      <c r="ACB97">
        <v>0</v>
      </c>
      <c r="ACC97">
        <v>0</v>
      </c>
      <c r="ACD97">
        <v>0</v>
      </c>
      <c r="ACE97">
        <v>0</v>
      </c>
      <c r="ACF97">
        <v>0</v>
      </c>
      <c r="ACG97">
        <v>0</v>
      </c>
      <c r="ACH97">
        <v>0</v>
      </c>
      <c r="ACI97">
        <v>0</v>
      </c>
      <c r="ACJ97">
        <v>0</v>
      </c>
      <c r="ACK97">
        <v>0</v>
      </c>
      <c r="ACL97">
        <v>0</v>
      </c>
      <c r="ACM97">
        <v>0</v>
      </c>
      <c r="ACN97">
        <v>0</v>
      </c>
      <c r="ACO97">
        <v>-256.16438356164383</v>
      </c>
      <c r="ACP97">
        <v>0</v>
      </c>
      <c r="ACQ97">
        <v>0</v>
      </c>
      <c r="ACR97">
        <v>0</v>
      </c>
      <c r="ACS97">
        <v>0</v>
      </c>
      <c r="ACT97">
        <v>0</v>
      </c>
      <c r="ACU97">
        <v>0</v>
      </c>
      <c r="ACV97">
        <v>0</v>
      </c>
      <c r="ACW97">
        <v>0</v>
      </c>
      <c r="ACX97">
        <v>0</v>
      </c>
      <c r="ACY97">
        <v>0</v>
      </c>
      <c r="ACZ97">
        <v>0</v>
      </c>
      <c r="ADA97">
        <v>0</v>
      </c>
      <c r="ADB97">
        <v>0</v>
      </c>
      <c r="ADC97">
        <v>0</v>
      </c>
      <c r="ADD97">
        <v>0</v>
      </c>
      <c r="ADE97">
        <v>0</v>
      </c>
      <c r="ADF97">
        <v>0</v>
      </c>
      <c r="ADG97">
        <v>0</v>
      </c>
      <c r="ADH97">
        <v>0</v>
      </c>
      <c r="ADI97">
        <v>0</v>
      </c>
      <c r="ADJ97">
        <v>0</v>
      </c>
      <c r="ADK97">
        <v>0</v>
      </c>
      <c r="ADL97">
        <v>0</v>
      </c>
      <c r="ADM97">
        <v>0</v>
      </c>
      <c r="ADN97">
        <v>0</v>
      </c>
      <c r="ADO97">
        <v>0</v>
      </c>
      <c r="ADP97">
        <v>0</v>
      </c>
      <c r="ADQ97">
        <v>0</v>
      </c>
      <c r="ADR97">
        <v>0</v>
      </c>
      <c r="ADS97">
        <v>0</v>
      </c>
      <c r="ADT97">
        <v>0</v>
      </c>
      <c r="ADU97">
        <v>0</v>
      </c>
      <c r="ADV97">
        <v>0</v>
      </c>
      <c r="ADW97">
        <v>0</v>
      </c>
      <c r="ADX97">
        <v>0</v>
      </c>
      <c r="ADY97">
        <v>0</v>
      </c>
      <c r="ADZ97">
        <v>0</v>
      </c>
      <c r="AEA97">
        <v>0</v>
      </c>
      <c r="AEB97">
        <v>0</v>
      </c>
      <c r="AEC97">
        <v>0</v>
      </c>
      <c r="AED97">
        <v>0</v>
      </c>
      <c r="AEE97">
        <v>0</v>
      </c>
      <c r="AEF97">
        <v>0</v>
      </c>
      <c r="AEG97">
        <v>0</v>
      </c>
      <c r="AEH97">
        <v>0</v>
      </c>
      <c r="AEI97">
        <v>0</v>
      </c>
      <c r="AEJ97">
        <v>0</v>
      </c>
      <c r="AEK97">
        <v>0</v>
      </c>
      <c r="AEL97">
        <v>0</v>
      </c>
      <c r="AEM97">
        <v>0</v>
      </c>
      <c r="AEN97">
        <v>0</v>
      </c>
      <c r="AEO97">
        <v>0</v>
      </c>
      <c r="AEP97">
        <v>0</v>
      </c>
      <c r="AEQ97">
        <v>0</v>
      </c>
      <c r="AER97">
        <v>0</v>
      </c>
      <c r="AES97">
        <v>0</v>
      </c>
      <c r="AET97">
        <v>0</v>
      </c>
      <c r="AEU97">
        <v>0</v>
      </c>
      <c r="AEV97">
        <v>0</v>
      </c>
      <c r="AEW97">
        <v>0</v>
      </c>
      <c r="AEX97">
        <v>0</v>
      </c>
      <c r="AEY97">
        <v>0</v>
      </c>
      <c r="AEZ97">
        <v>0</v>
      </c>
      <c r="AFA97">
        <v>0</v>
      </c>
      <c r="AFB97">
        <v>0</v>
      </c>
      <c r="AFC97">
        <v>0</v>
      </c>
      <c r="AFD97">
        <v>0</v>
      </c>
      <c r="AFE97">
        <v>0</v>
      </c>
      <c r="AFF97">
        <v>0</v>
      </c>
      <c r="AFG97">
        <v>0</v>
      </c>
      <c r="AFH97">
        <v>0</v>
      </c>
      <c r="AFI97">
        <v>0</v>
      </c>
      <c r="AFJ97">
        <v>0</v>
      </c>
      <c r="AFK97">
        <v>0</v>
      </c>
      <c r="AFL97">
        <v>0</v>
      </c>
      <c r="AFM97">
        <v>0</v>
      </c>
      <c r="AFN97">
        <v>0</v>
      </c>
      <c r="AFO97">
        <v>0</v>
      </c>
      <c r="AFP97">
        <v>0</v>
      </c>
      <c r="AFQ97">
        <v>0</v>
      </c>
      <c r="AFR97">
        <v>0</v>
      </c>
      <c r="AFS97">
        <v>0</v>
      </c>
      <c r="AFT97">
        <v>0</v>
      </c>
      <c r="AFU97">
        <v>0</v>
      </c>
      <c r="AFV97">
        <v>0</v>
      </c>
      <c r="AFW97">
        <v>0</v>
      </c>
      <c r="AFX97">
        <v>0</v>
      </c>
      <c r="AFY97">
        <v>0</v>
      </c>
      <c r="AFZ97">
        <v>0</v>
      </c>
      <c r="AGA97">
        <v>0</v>
      </c>
      <c r="AGB97">
        <v>0</v>
      </c>
      <c r="AGC97">
        <v>0</v>
      </c>
      <c r="AGD97">
        <v>0</v>
      </c>
      <c r="AGE97">
        <v>0</v>
      </c>
      <c r="AGF97">
        <v>0</v>
      </c>
      <c r="AGG97">
        <v>-120</v>
      </c>
      <c r="AGH97">
        <v>0</v>
      </c>
      <c r="AGI97">
        <v>0</v>
      </c>
      <c r="AGJ97">
        <v>0</v>
      </c>
      <c r="AGK97">
        <v>0</v>
      </c>
      <c r="AGL97">
        <v>0</v>
      </c>
      <c r="AGM97">
        <v>0</v>
      </c>
      <c r="AGN97">
        <v>0</v>
      </c>
      <c r="AGO97">
        <v>0</v>
      </c>
      <c r="AGP97">
        <v>0</v>
      </c>
      <c r="AGQ97">
        <v>0</v>
      </c>
      <c r="AGR97">
        <v>0</v>
      </c>
      <c r="AGS97">
        <v>0</v>
      </c>
      <c r="AGT97">
        <v>0</v>
      </c>
      <c r="AGU97">
        <v>0</v>
      </c>
      <c r="AGV97">
        <v>0</v>
      </c>
      <c r="AGW97">
        <v>0</v>
      </c>
      <c r="AGX97">
        <v>0</v>
      </c>
      <c r="AGY97">
        <v>0</v>
      </c>
      <c r="AGZ97">
        <v>0</v>
      </c>
      <c r="AHA97">
        <v>0</v>
      </c>
      <c r="AHB97">
        <v>0</v>
      </c>
      <c r="AHC97">
        <v>0</v>
      </c>
      <c r="AHD97">
        <v>0</v>
      </c>
      <c r="AHE97">
        <v>0</v>
      </c>
      <c r="AHF97">
        <v>0</v>
      </c>
      <c r="AHG97">
        <v>0</v>
      </c>
      <c r="AHH97">
        <v>0</v>
      </c>
      <c r="AHI97">
        <v>0</v>
      </c>
      <c r="AHJ97">
        <v>0</v>
      </c>
      <c r="AHK97">
        <v>0</v>
      </c>
      <c r="AHL97">
        <v>0</v>
      </c>
      <c r="AHM97">
        <v>0</v>
      </c>
      <c r="AHN97">
        <v>0</v>
      </c>
      <c r="AHO97">
        <v>0</v>
      </c>
      <c r="AHP97">
        <v>0</v>
      </c>
      <c r="AHQ97">
        <v>0</v>
      </c>
      <c r="AHR97">
        <v>0</v>
      </c>
      <c r="AHS97">
        <v>0</v>
      </c>
      <c r="AHT97">
        <v>0</v>
      </c>
      <c r="AHU97">
        <v>0</v>
      </c>
      <c r="AHV97">
        <v>0</v>
      </c>
      <c r="AHW97">
        <v>0</v>
      </c>
      <c r="AHX97">
        <v>0</v>
      </c>
      <c r="AHY97">
        <v>0</v>
      </c>
      <c r="AHZ97">
        <v>0</v>
      </c>
      <c r="AIA97">
        <v>0</v>
      </c>
      <c r="AIB97">
        <v>0</v>
      </c>
      <c r="AIC97">
        <v>0</v>
      </c>
      <c r="AID97">
        <v>0</v>
      </c>
      <c r="AIE97">
        <v>0</v>
      </c>
      <c r="AIF97">
        <v>0</v>
      </c>
      <c r="AIG97">
        <v>0</v>
      </c>
      <c r="AIH97">
        <v>0</v>
      </c>
      <c r="AII97">
        <v>0</v>
      </c>
      <c r="AIJ97">
        <v>0</v>
      </c>
      <c r="AIK97">
        <v>0</v>
      </c>
      <c r="AIL97">
        <v>0</v>
      </c>
      <c r="AIM97">
        <v>0</v>
      </c>
      <c r="AIN97">
        <v>0</v>
      </c>
      <c r="AIO97">
        <v>0</v>
      </c>
      <c r="AIP97">
        <v>0</v>
      </c>
      <c r="AIQ97">
        <v>0</v>
      </c>
      <c r="AIR97">
        <v>0</v>
      </c>
      <c r="AIS97">
        <v>0</v>
      </c>
      <c r="AIT97">
        <v>0</v>
      </c>
      <c r="AIU97">
        <v>0</v>
      </c>
      <c r="AIV97">
        <v>0</v>
      </c>
      <c r="AIW97">
        <v>0</v>
      </c>
      <c r="AIX97">
        <v>0</v>
      </c>
      <c r="AIY97">
        <v>0</v>
      </c>
      <c r="AIZ97">
        <v>0</v>
      </c>
      <c r="AJA97">
        <v>0</v>
      </c>
      <c r="AJB97">
        <v>0</v>
      </c>
      <c r="AJC97">
        <v>0</v>
      </c>
      <c r="AJD97">
        <v>0</v>
      </c>
      <c r="AJE97">
        <v>0</v>
      </c>
      <c r="AJF97">
        <v>0</v>
      </c>
      <c r="AJG97">
        <v>0</v>
      </c>
      <c r="AJH97">
        <v>0</v>
      </c>
      <c r="AJI97">
        <v>0</v>
      </c>
      <c r="AJJ97">
        <v>0</v>
      </c>
      <c r="AJK97">
        <v>0</v>
      </c>
      <c r="AJL97">
        <v>0</v>
      </c>
      <c r="AJM97">
        <v>0</v>
      </c>
      <c r="AJN97">
        <v>0</v>
      </c>
      <c r="AJO97">
        <v>0</v>
      </c>
      <c r="AJP97">
        <v>0</v>
      </c>
      <c r="AJQ97">
        <v>0</v>
      </c>
      <c r="AJR97">
        <v>0</v>
      </c>
      <c r="AJS97">
        <v>0</v>
      </c>
      <c r="AJT97">
        <v>0</v>
      </c>
      <c r="AJU97">
        <v>0</v>
      </c>
      <c r="AJV97">
        <v>0</v>
      </c>
      <c r="AJW97">
        <v>0</v>
      </c>
      <c r="AJX97">
        <v>0</v>
      </c>
      <c r="AJY97">
        <v>-4500</v>
      </c>
    </row>
    <row r="98" spans="1:961" x14ac:dyDescent="0.3">
      <c r="A98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0</v>
      </c>
      <c r="LN98">
        <v>0</v>
      </c>
      <c r="LO98">
        <v>0</v>
      </c>
      <c r="LP98">
        <v>0</v>
      </c>
      <c r="LQ98">
        <v>0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0</v>
      </c>
      <c r="ME98">
        <v>0</v>
      </c>
      <c r="MF98">
        <v>0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0</v>
      </c>
      <c r="MQ98">
        <v>0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0</v>
      </c>
      <c r="NQ98">
        <v>0</v>
      </c>
      <c r="NR98">
        <v>0</v>
      </c>
      <c r="NS98">
        <v>0</v>
      </c>
      <c r="NT98">
        <v>0</v>
      </c>
      <c r="NU98">
        <v>0</v>
      </c>
      <c r="NV98">
        <v>37.5</v>
      </c>
      <c r="NW98">
        <v>37.5</v>
      </c>
      <c r="NX98">
        <v>37.5</v>
      </c>
      <c r="NY98">
        <v>37.5</v>
      </c>
      <c r="NZ98">
        <v>37.5</v>
      </c>
      <c r="OA98">
        <v>37.5</v>
      </c>
      <c r="OB98">
        <v>37.5</v>
      </c>
      <c r="OC98">
        <v>37.5</v>
      </c>
      <c r="OD98">
        <v>37.5</v>
      </c>
      <c r="OE98">
        <v>37.5</v>
      </c>
      <c r="OF98">
        <v>37.5</v>
      </c>
      <c r="OG98">
        <v>37.5</v>
      </c>
      <c r="OH98">
        <v>37.5</v>
      </c>
      <c r="OI98">
        <v>37.5</v>
      </c>
      <c r="OJ98">
        <v>37.5</v>
      </c>
      <c r="OK98">
        <v>37.5</v>
      </c>
      <c r="OL98">
        <v>37.5</v>
      </c>
      <c r="OM98">
        <v>37.5</v>
      </c>
      <c r="ON98">
        <v>37.5</v>
      </c>
      <c r="OO98">
        <v>37.5</v>
      </c>
      <c r="OP98">
        <v>37.5</v>
      </c>
      <c r="OQ98">
        <v>37.5</v>
      </c>
      <c r="OR98">
        <v>37.5</v>
      </c>
      <c r="OS98">
        <v>37.5</v>
      </c>
      <c r="OT98">
        <v>37.5</v>
      </c>
      <c r="OU98">
        <v>37.5</v>
      </c>
      <c r="OV98">
        <v>37.5</v>
      </c>
      <c r="OW98">
        <v>37.5</v>
      </c>
      <c r="OX98">
        <v>37.5</v>
      </c>
      <c r="OY98">
        <v>37.5</v>
      </c>
      <c r="OZ98">
        <v>37.5</v>
      </c>
      <c r="PA98">
        <v>37.5</v>
      </c>
      <c r="PB98">
        <v>37.5</v>
      </c>
      <c r="PC98">
        <v>37.5</v>
      </c>
      <c r="PD98">
        <v>37.5</v>
      </c>
      <c r="PE98">
        <v>37.5</v>
      </c>
      <c r="PF98">
        <v>37.5</v>
      </c>
      <c r="PG98">
        <v>37.5</v>
      </c>
      <c r="PH98">
        <v>37.5</v>
      </c>
      <c r="PI98">
        <v>37.5</v>
      </c>
      <c r="PJ98">
        <v>37.5</v>
      </c>
      <c r="PK98">
        <v>37.5</v>
      </c>
      <c r="PL98">
        <v>37.5</v>
      </c>
      <c r="PM98">
        <v>37.5</v>
      </c>
      <c r="PN98">
        <v>37.5</v>
      </c>
      <c r="PO98">
        <v>37.5</v>
      </c>
      <c r="PP98">
        <v>37.5</v>
      </c>
      <c r="PQ98">
        <v>37.5</v>
      </c>
      <c r="PR98">
        <v>37.5</v>
      </c>
      <c r="PS98">
        <v>37.5</v>
      </c>
      <c r="PT98">
        <v>37.5</v>
      </c>
      <c r="PU98">
        <v>37.5</v>
      </c>
      <c r="PV98">
        <v>37.5</v>
      </c>
      <c r="PW98">
        <v>37.5</v>
      </c>
      <c r="PX98">
        <v>37.5</v>
      </c>
      <c r="PY98">
        <v>37.5</v>
      </c>
      <c r="PZ98">
        <v>37.5</v>
      </c>
      <c r="QA98">
        <v>37.5</v>
      </c>
      <c r="QB98">
        <v>37.5</v>
      </c>
      <c r="QC98">
        <v>37.5</v>
      </c>
      <c r="QD98">
        <v>37.5</v>
      </c>
      <c r="QE98">
        <v>37.5</v>
      </c>
      <c r="QF98">
        <v>37.5</v>
      </c>
      <c r="QG98">
        <v>37.5</v>
      </c>
      <c r="QH98">
        <v>37.5</v>
      </c>
      <c r="QI98">
        <v>37.5</v>
      </c>
      <c r="QJ98">
        <v>37.5</v>
      </c>
      <c r="QK98">
        <v>37.5</v>
      </c>
      <c r="QL98">
        <v>37.5</v>
      </c>
      <c r="QM98">
        <v>37.5</v>
      </c>
      <c r="QN98">
        <v>37.5</v>
      </c>
      <c r="QO98">
        <v>37.5</v>
      </c>
      <c r="QP98">
        <v>37.5</v>
      </c>
      <c r="QQ98">
        <v>37.5</v>
      </c>
      <c r="QR98">
        <v>37.5</v>
      </c>
      <c r="QS98">
        <v>37.5</v>
      </c>
      <c r="QT98">
        <v>37.5</v>
      </c>
      <c r="QU98">
        <v>37.5</v>
      </c>
      <c r="QV98">
        <v>37.5</v>
      </c>
      <c r="QW98">
        <v>37.5</v>
      </c>
      <c r="QX98">
        <v>37.5</v>
      </c>
      <c r="QY98">
        <v>37.5</v>
      </c>
      <c r="QZ98">
        <v>37.5</v>
      </c>
      <c r="RA98">
        <v>37.5</v>
      </c>
      <c r="RB98">
        <v>37.5</v>
      </c>
      <c r="RC98">
        <v>37.5</v>
      </c>
      <c r="RD98">
        <v>37.5</v>
      </c>
      <c r="RE98">
        <v>37.5</v>
      </c>
      <c r="RF98">
        <v>37.5</v>
      </c>
      <c r="RG98">
        <v>37.5</v>
      </c>
      <c r="RH98">
        <v>37.5</v>
      </c>
      <c r="RI98">
        <v>37.5</v>
      </c>
      <c r="RJ98">
        <v>37.5</v>
      </c>
      <c r="RK98">
        <v>37.5</v>
      </c>
      <c r="RL98">
        <v>37.5</v>
      </c>
      <c r="RM98">
        <v>37.5</v>
      </c>
      <c r="RN98">
        <v>0</v>
      </c>
      <c r="RO98">
        <v>0</v>
      </c>
      <c r="RP98">
        <v>0</v>
      </c>
      <c r="RQ98">
        <v>0</v>
      </c>
      <c r="RR98">
        <v>0</v>
      </c>
      <c r="RS98">
        <v>0</v>
      </c>
      <c r="RT98">
        <v>0</v>
      </c>
      <c r="RU98">
        <v>0</v>
      </c>
      <c r="RV98">
        <v>0</v>
      </c>
      <c r="RW98">
        <v>0</v>
      </c>
      <c r="RX98">
        <v>0</v>
      </c>
      <c r="RY98">
        <v>0</v>
      </c>
      <c r="RZ98">
        <v>0</v>
      </c>
      <c r="SA98">
        <v>0</v>
      </c>
      <c r="SB98">
        <v>0</v>
      </c>
      <c r="SC98">
        <v>0</v>
      </c>
      <c r="SD98">
        <v>0</v>
      </c>
      <c r="SE98">
        <v>0</v>
      </c>
      <c r="SF98">
        <v>0</v>
      </c>
      <c r="SG98">
        <v>0</v>
      </c>
      <c r="SH98">
        <v>0</v>
      </c>
      <c r="SI98">
        <v>0</v>
      </c>
      <c r="SJ98">
        <v>0</v>
      </c>
      <c r="SK98">
        <v>0</v>
      </c>
      <c r="SL98">
        <v>0</v>
      </c>
      <c r="SM98">
        <v>0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0</v>
      </c>
      <c r="SZ98">
        <v>0</v>
      </c>
      <c r="TA98">
        <v>0</v>
      </c>
      <c r="TB98">
        <v>0</v>
      </c>
      <c r="TC98">
        <v>0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0</v>
      </c>
      <c r="TL98">
        <v>0</v>
      </c>
      <c r="TM98">
        <v>0</v>
      </c>
      <c r="TN98">
        <v>0</v>
      </c>
      <c r="TO98">
        <v>0</v>
      </c>
      <c r="TP98">
        <v>0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  <c r="TW98">
        <v>0</v>
      </c>
      <c r="TX98">
        <v>0</v>
      </c>
      <c r="TY98">
        <v>0</v>
      </c>
      <c r="TZ98">
        <v>0</v>
      </c>
      <c r="UA98">
        <v>0</v>
      </c>
      <c r="UB98">
        <v>0</v>
      </c>
      <c r="UC98">
        <v>0</v>
      </c>
      <c r="UD98">
        <v>0</v>
      </c>
      <c r="UE98">
        <v>0</v>
      </c>
      <c r="UF98">
        <v>0</v>
      </c>
      <c r="UG98">
        <v>0</v>
      </c>
      <c r="UH98">
        <v>0</v>
      </c>
      <c r="UI98">
        <v>0</v>
      </c>
      <c r="UJ98">
        <v>0</v>
      </c>
      <c r="UK98">
        <v>0</v>
      </c>
      <c r="UL98">
        <v>0</v>
      </c>
      <c r="UM98">
        <v>0</v>
      </c>
      <c r="UN98">
        <v>0</v>
      </c>
      <c r="UO98">
        <v>0</v>
      </c>
      <c r="UP98">
        <v>0</v>
      </c>
      <c r="UQ98">
        <v>0</v>
      </c>
      <c r="UR98">
        <v>0</v>
      </c>
      <c r="US98">
        <v>0</v>
      </c>
      <c r="UT98">
        <v>0</v>
      </c>
      <c r="UU98">
        <v>0</v>
      </c>
      <c r="UV98">
        <v>0</v>
      </c>
      <c r="UW98">
        <v>0</v>
      </c>
      <c r="UX98">
        <v>0</v>
      </c>
      <c r="UY98">
        <v>0</v>
      </c>
      <c r="UZ98">
        <v>0</v>
      </c>
      <c r="VA98">
        <v>0</v>
      </c>
      <c r="VB98">
        <v>0</v>
      </c>
      <c r="VC98">
        <v>0</v>
      </c>
      <c r="VD98">
        <v>0</v>
      </c>
      <c r="VE98">
        <v>0</v>
      </c>
      <c r="VF98">
        <v>0</v>
      </c>
      <c r="VG98">
        <v>0</v>
      </c>
      <c r="VH98">
        <v>0</v>
      </c>
      <c r="VI98">
        <v>0</v>
      </c>
      <c r="VJ98">
        <v>0</v>
      </c>
      <c r="VK98">
        <v>0</v>
      </c>
      <c r="VL98">
        <v>0</v>
      </c>
      <c r="VM98">
        <v>0</v>
      </c>
      <c r="VN98">
        <v>0</v>
      </c>
      <c r="VO98">
        <v>0</v>
      </c>
      <c r="VP98">
        <v>0</v>
      </c>
      <c r="VQ98">
        <v>0</v>
      </c>
      <c r="VR98">
        <v>0</v>
      </c>
      <c r="VS98">
        <v>0</v>
      </c>
      <c r="VT98">
        <v>0</v>
      </c>
      <c r="VU98">
        <v>0</v>
      </c>
      <c r="VV98">
        <v>0</v>
      </c>
      <c r="VW98">
        <v>0</v>
      </c>
      <c r="VX98">
        <v>0</v>
      </c>
      <c r="VY98">
        <v>0</v>
      </c>
      <c r="VZ98">
        <v>0</v>
      </c>
      <c r="WA98">
        <v>0</v>
      </c>
      <c r="WB98">
        <v>0</v>
      </c>
      <c r="WC98">
        <v>0</v>
      </c>
      <c r="WD98">
        <v>0</v>
      </c>
      <c r="WE98">
        <v>0</v>
      </c>
      <c r="WF98">
        <v>0</v>
      </c>
      <c r="WG98">
        <v>0</v>
      </c>
      <c r="WH98">
        <v>0</v>
      </c>
      <c r="WI98">
        <v>0</v>
      </c>
      <c r="WJ98">
        <v>0</v>
      </c>
      <c r="WK98">
        <v>0</v>
      </c>
      <c r="WL98">
        <v>0</v>
      </c>
      <c r="WM98">
        <v>0</v>
      </c>
      <c r="WN98">
        <v>0</v>
      </c>
      <c r="WO98">
        <v>0</v>
      </c>
      <c r="WP98">
        <v>0</v>
      </c>
      <c r="WQ98">
        <v>0</v>
      </c>
      <c r="WR98">
        <v>0</v>
      </c>
      <c r="WS98">
        <v>0</v>
      </c>
      <c r="WT98">
        <v>0</v>
      </c>
      <c r="WU98">
        <v>0</v>
      </c>
      <c r="WV98">
        <v>0</v>
      </c>
      <c r="WW98">
        <v>0</v>
      </c>
      <c r="WX98">
        <v>0</v>
      </c>
      <c r="WY98">
        <v>0</v>
      </c>
      <c r="WZ98">
        <v>0</v>
      </c>
      <c r="XA98">
        <v>0</v>
      </c>
      <c r="XB98">
        <v>0</v>
      </c>
      <c r="XC98">
        <v>0</v>
      </c>
      <c r="XD98">
        <v>0</v>
      </c>
      <c r="XE98">
        <v>0</v>
      </c>
      <c r="XF98">
        <v>0</v>
      </c>
      <c r="XG98">
        <v>0</v>
      </c>
      <c r="XH98">
        <v>0</v>
      </c>
      <c r="XI98">
        <v>0</v>
      </c>
      <c r="XJ98">
        <v>0</v>
      </c>
      <c r="XK98">
        <v>0</v>
      </c>
      <c r="XL98">
        <v>0</v>
      </c>
      <c r="XM98">
        <v>0</v>
      </c>
      <c r="XN98">
        <v>0</v>
      </c>
      <c r="XO98">
        <v>0</v>
      </c>
      <c r="XP98">
        <v>0</v>
      </c>
      <c r="XQ98">
        <v>0</v>
      </c>
      <c r="XR98">
        <v>0</v>
      </c>
      <c r="XS98">
        <v>0</v>
      </c>
      <c r="XT98">
        <v>0</v>
      </c>
      <c r="XU98">
        <v>0</v>
      </c>
      <c r="XV98">
        <v>0</v>
      </c>
      <c r="XW98">
        <v>0</v>
      </c>
      <c r="XX98">
        <v>0</v>
      </c>
      <c r="XY98">
        <v>0</v>
      </c>
      <c r="XZ98">
        <v>0</v>
      </c>
      <c r="YA98">
        <v>0</v>
      </c>
      <c r="YB98">
        <v>0</v>
      </c>
      <c r="YC98">
        <v>0</v>
      </c>
      <c r="YD98">
        <v>0</v>
      </c>
      <c r="YE98">
        <v>0</v>
      </c>
      <c r="YF98">
        <v>0</v>
      </c>
      <c r="YG98">
        <v>0</v>
      </c>
      <c r="YH98">
        <v>0</v>
      </c>
      <c r="YI98">
        <v>0</v>
      </c>
      <c r="YJ98">
        <v>0</v>
      </c>
      <c r="YK98">
        <v>0</v>
      </c>
      <c r="YL98">
        <v>0</v>
      </c>
      <c r="YM98">
        <v>0</v>
      </c>
      <c r="YN98">
        <v>0</v>
      </c>
      <c r="YO98">
        <v>0</v>
      </c>
      <c r="YP98">
        <v>0</v>
      </c>
      <c r="YQ98">
        <v>0</v>
      </c>
      <c r="YR98">
        <v>0</v>
      </c>
      <c r="YS98">
        <v>0</v>
      </c>
      <c r="YT98">
        <v>0</v>
      </c>
      <c r="YU98">
        <v>0</v>
      </c>
      <c r="YV98">
        <v>0</v>
      </c>
      <c r="YW98">
        <v>0</v>
      </c>
      <c r="YX98">
        <v>0</v>
      </c>
      <c r="YY98">
        <v>0</v>
      </c>
      <c r="YZ98">
        <v>0</v>
      </c>
      <c r="ZA98">
        <v>0</v>
      </c>
      <c r="ZB98">
        <v>0</v>
      </c>
      <c r="ZC98">
        <v>0</v>
      </c>
      <c r="ZD98">
        <v>0</v>
      </c>
      <c r="ZE98">
        <v>0</v>
      </c>
      <c r="ZF98">
        <v>0</v>
      </c>
      <c r="ZG98">
        <v>0</v>
      </c>
      <c r="ZH98">
        <v>0</v>
      </c>
      <c r="ZI98">
        <v>0</v>
      </c>
      <c r="ZJ98">
        <v>0</v>
      </c>
      <c r="ZK98">
        <v>0</v>
      </c>
      <c r="ZL98">
        <v>0</v>
      </c>
      <c r="ZM98">
        <v>0</v>
      </c>
      <c r="ZN98">
        <v>0</v>
      </c>
      <c r="ZO98">
        <v>0</v>
      </c>
      <c r="ZP98">
        <v>0</v>
      </c>
      <c r="ZQ98">
        <v>0</v>
      </c>
      <c r="ZR98">
        <v>0</v>
      </c>
      <c r="ZS98">
        <v>0</v>
      </c>
      <c r="ZT98">
        <v>0</v>
      </c>
      <c r="ZU98">
        <v>0</v>
      </c>
      <c r="ZV98">
        <v>0</v>
      </c>
      <c r="ZW98">
        <v>0</v>
      </c>
      <c r="ZX98">
        <v>0</v>
      </c>
      <c r="ZY98">
        <v>0</v>
      </c>
      <c r="ZZ98">
        <v>0</v>
      </c>
      <c r="AAA98">
        <v>0</v>
      </c>
      <c r="AAB98">
        <v>0</v>
      </c>
      <c r="AAC98">
        <v>0</v>
      </c>
      <c r="AAD98">
        <v>0</v>
      </c>
      <c r="AAE98">
        <v>0</v>
      </c>
      <c r="AAF98">
        <v>0</v>
      </c>
      <c r="AAG98">
        <v>0</v>
      </c>
      <c r="AAH98">
        <v>0</v>
      </c>
      <c r="AAI98">
        <v>0</v>
      </c>
      <c r="AAJ98">
        <v>0</v>
      </c>
      <c r="AAK98">
        <v>0</v>
      </c>
      <c r="AAL98">
        <v>0</v>
      </c>
      <c r="AAM98">
        <v>0</v>
      </c>
      <c r="AAN98">
        <v>0</v>
      </c>
      <c r="AAO98">
        <v>0</v>
      </c>
      <c r="AAP98">
        <v>0</v>
      </c>
      <c r="AAQ98">
        <v>0</v>
      </c>
      <c r="AAR98">
        <v>0</v>
      </c>
      <c r="AAS98">
        <v>0</v>
      </c>
      <c r="AAT98">
        <v>0</v>
      </c>
      <c r="AAU98">
        <v>0</v>
      </c>
      <c r="AAV98">
        <v>0</v>
      </c>
      <c r="AAW98">
        <v>0</v>
      </c>
      <c r="AAX98">
        <v>0</v>
      </c>
      <c r="AAY98">
        <v>0</v>
      </c>
      <c r="AAZ98">
        <v>0</v>
      </c>
      <c r="ABA98">
        <v>0</v>
      </c>
      <c r="ABB98">
        <v>0</v>
      </c>
      <c r="ABC98">
        <v>0</v>
      </c>
      <c r="ABD98">
        <v>0</v>
      </c>
      <c r="ABE98">
        <v>0</v>
      </c>
      <c r="ABF98">
        <v>0</v>
      </c>
      <c r="ABG98">
        <v>0</v>
      </c>
      <c r="ABH98">
        <v>0</v>
      </c>
      <c r="ABI98">
        <v>0</v>
      </c>
      <c r="ABJ98">
        <v>0</v>
      </c>
      <c r="ABK98">
        <v>0</v>
      </c>
      <c r="ABL98">
        <v>0</v>
      </c>
      <c r="ABM98">
        <v>0</v>
      </c>
      <c r="ABN98">
        <v>0</v>
      </c>
      <c r="ABO98">
        <v>0</v>
      </c>
      <c r="ABP98">
        <v>0</v>
      </c>
      <c r="ABQ98">
        <v>0</v>
      </c>
      <c r="ABR98">
        <v>0</v>
      </c>
      <c r="ABS98">
        <v>0</v>
      </c>
      <c r="ABT98">
        <v>0</v>
      </c>
      <c r="ABU98">
        <v>0</v>
      </c>
      <c r="ABV98">
        <v>0</v>
      </c>
      <c r="ABW98">
        <v>0</v>
      </c>
      <c r="ABX98">
        <v>0</v>
      </c>
      <c r="ABY98">
        <v>0</v>
      </c>
      <c r="ABZ98">
        <v>0</v>
      </c>
      <c r="ACA98">
        <v>0</v>
      </c>
      <c r="ACB98">
        <v>0</v>
      </c>
      <c r="ACC98">
        <v>0</v>
      </c>
      <c r="ACD98">
        <v>0</v>
      </c>
      <c r="ACE98">
        <v>0</v>
      </c>
      <c r="ACF98">
        <v>0</v>
      </c>
      <c r="ACG98">
        <v>0</v>
      </c>
      <c r="ACH98">
        <v>0</v>
      </c>
      <c r="ACI98">
        <v>0</v>
      </c>
      <c r="ACJ98">
        <v>0</v>
      </c>
      <c r="ACK98">
        <v>0</v>
      </c>
      <c r="ACL98">
        <v>0</v>
      </c>
      <c r="ACM98">
        <v>0</v>
      </c>
      <c r="ACN98">
        <v>0</v>
      </c>
      <c r="ACO98">
        <v>0</v>
      </c>
      <c r="ACP98">
        <v>0</v>
      </c>
      <c r="ACQ98">
        <v>0</v>
      </c>
      <c r="ACR98">
        <v>0</v>
      </c>
      <c r="ACS98">
        <v>0</v>
      </c>
      <c r="ACT98">
        <v>0</v>
      </c>
      <c r="ACU98">
        <v>0</v>
      </c>
      <c r="ACV98">
        <v>0</v>
      </c>
      <c r="ACW98">
        <v>0</v>
      </c>
      <c r="ACX98">
        <v>0</v>
      </c>
      <c r="ACY98">
        <v>0</v>
      </c>
      <c r="ACZ98">
        <v>0</v>
      </c>
      <c r="ADA98">
        <v>0</v>
      </c>
      <c r="ADB98">
        <v>0</v>
      </c>
      <c r="ADC98">
        <v>0</v>
      </c>
      <c r="ADD98">
        <v>0</v>
      </c>
      <c r="ADE98">
        <v>0</v>
      </c>
      <c r="ADF98">
        <v>0</v>
      </c>
      <c r="ADG98">
        <v>0</v>
      </c>
      <c r="ADH98">
        <v>0</v>
      </c>
      <c r="ADI98">
        <v>0</v>
      </c>
      <c r="ADJ98">
        <v>0</v>
      </c>
      <c r="ADK98">
        <v>0</v>
      </c>
      <c r="ADL98">
        <v>0</v>
      </c>
      <c r="ADM98">
        <v>0</v>
      </c>
      <c r="ADN98">
        <v>0</v>
      </c>
      <c r="ADO98">
        <v>0</v>
      </c>
      <c r="ADP98">
        <v>0</v>
      </c>
      <c r="ADQ98">
        <v>0</v>
      </c>
      <c r="ADR98">
        <v>0</v>
      </c>
      <c r="ADS98">
        <v>0</v>
      </c>
      <c r="ADT98">
        <v>0</v>
      </c>
      <c r="ADU98">
        <v>0</v>
      </c>
      <c r="ADV98">
        <v>0</v>
      </c>
      <c r="ADW98">
        <v>0</v>
      </c>
      <c r="ADX98">
        <v>0</v>
      </c>
      <c r="ADY98">
        <v>0</v>
      </c>
      <c r="ADZ98">
        <v>0</v>
      </c>
      <c r="AEA98">
        <v>0</v>
      </c>
      <c r="AEB98">
        <v>0</v>
      </c>
      <c r="AEC98">
        <v>0</v>
      </c>
      <c r="AED98">
        <v>0</v>
      </c>
      <c r="AEE98">
        <v>0</v>
      </c>
      <c r="AEF98">
        <v>0</v>
      </c>
      <c r="AEG98">
        <v>0</v>
      </c>
      <c r="AEH98">
        <v>0</v>
      </c>
      <c r="AEI98">
        <v>0</v>
      </c>
      <c r="AEJ98">
        <v>0</v>
      </c>
      <c r="AEK98">
        <v>0</v>
      </c>
      <c r="AEL98">
        <v>0</v>
      </c>
      <c r="AEM98">
        <v>0</v>
      </c>
      <c r="AEN98">
        <v>0</v>
      </c>
      <c r="AEO98">
        <v>0</v>
      </c>
      <c r="AEP98">
        <v>0</v>
      </c>
      <c r="AEQ98">
        <v>0</v>
      </c>
      <c r="AER98">
        <v>0</v>
      </c>
      <c r="AES98">
        <v>0</v>
      </c>
      <c r="AET98">
        <v>0</v>
      </c>
      <c r="AEU98">
        <v>0</v>
      </c>
      <c r="AEV98">
        <v>0</v>
      </c>
      <c r="AEW98">
        <v>0</v>
      </c>
      <c r="AEX98">
        <v>0</v>
      </c>
      <c r="AEY98">
        <v>0</v>
      </c>
      <c r="AEZ98">
        <v>0</v>
      </c>
      <c r="AFA98">
        <v>0</v>
      </c>
      <c r="AFB98">
        <v>0</v>
      </c>
      <c r="AFC98">
        <v>0</v>
      </c>
      <c r="AFD98">
        <v>0</v>
      </c>
      <c r="AFE98">
        <v>0</v>
      </c>
      <c r="AFF98">
        <v>0</v>
      </c>
      <c r="AFG98">
        <v>0</v>
      </c>
      <c r="AFH98">
        <v>0</v>
      </c>
      <c r="AFI98">
        <v>0</v>
      </c>
      <c r="AFJ98">
        <v>0</v>
      </c>
      <c r="AFK98">
        <v>0</v>
      </c>
      <c r="AFL98">
        <v>0</v>
      </c>
      <c r="AFM98">
        <v>0</v>
      </c>
      <c r="AFN98">
        <v>0</v>
      </c>
      <c r="AFO98">
        <v>0</v>
      </c>
      <c r="AFP98">
        <v>0</v>
      </c>
      <c r="AFQ98">
        <v>0</v>
      </c>
      <c r="AFR98">
        <v>0</v>
      </c>
      <c r="AFS98">
        <v>0</v>
      </c>
      <c r="AFT98">
        <v>0</v>
      </c>
      <c r="AFU98">
        <v>0</v>
      </c>
      <c r="AFV98">
        <v>0</v>
      </c>
      <c r="AFW98">
        <v>0</v>
      </c>
      <c r="AFX98">
        <v>0</v>
      </c>
      <c r="AFY98">
        <v>0</v>
      </c>
      <c r="AFZ98">
        <v>0</v>
      </c>
      <c r="AGA98">
        <v>0</v>
      </c>
      <c r="AGB98">
        <v>0</v>
      </c>
      <c r="AGC98">
        <v>0</v>
      </c>
      <c r="AGD98">
        <v>0</v>
      </c>
      <c r="AGE98">
        <v>0</v>
      </c>
      <c r="AGF98">
        <v>0</v>
      </c>
      <c r="AGG98">
        <v>0</v>
      </c>
      <c r="AGH98">
        <v>0</v>
      </c>
      <c r="AGI98">
        <v>0</v>
      </c>
      <c r="AGJ98">
        <v>0</v>
      </c>
      <c r="AGK98">
        <v>0</v>
      </c>
      <c r="AGL98">
        <v>0</v>
      </c>
      <c r="AGM98">
        <v>0</v>
      </c>
      <c r="AGN98">
        <v>0</v>
      </c>
      <c r="AGO98">
        <v>0</v>
      </c>
      <c r="AGP98">
        <v>0</v>
      </c>
      <c r="AGQ98">
        <v>0</v>
      </c>
      <c r="AGR98">
        <v>0</v>
      </c>
      <c r="AGS98">
        <v>0</v>
      </c>
      <c r="AGT98">
        <v>0</v>
      </c>
      <c r="AGU98">
        <v>0</v>
      </c>
      <c r="AGV98">
        <v>0</v>
      </c>
      <c r="AGW98">
        <v>0</v>
      </c>
      <c r="AGX98">
        <v>0</v>
      </c>
      <c r="AGY98">
        <v>0</v>
      </c>
      <c r="AGZ98">
        <v>0</v>
      </c>
      <c r="AHA98">
        <v>0</v>
      </c>
      <c r="AHB98">
        <v>0</v>
      </c>
      <c r="AHC98">
        <v>0</v>
      </c>
      <c r="AHD98">
        <v>0</v>
      </c>
      <c r="AHE98">
        <v>0</v>
      </c>
      <c r="AHF98">
        <v>0</v>
      </c>
      <c r="AHG98">
        <v>0</v>
      </c>
      <c r="AHH98">
        <v>0</v>
      </c>
      <c r="AHI98">
        <v>0</v>
      </c>
      <c r="AHJ98">
        <v>0</v>
      </c>
      <c r="AHK98">
        <v>0</v>
      </c>
      <c r="AHL98">
        <v>0</v>
      </c>
      <c r="AHM98">
        <v>0</v>
      </c>
      <c r="AHN98">
        <v>0</v>
      </c>
      <c r="AHO98">
        <v>0</v>
      </c>
      <c r="AHP98">
        <v>0</v>
      </c>
      <c r="AHQ98">
        <v>0</v>
      </c>
      <c r="AHR98">
        <v>0</v>
      </c>
      <c r="AHS98">
        <v>0</v>
      </c>
      <c r="AHT98">
        <v>0</v>
      </c>
      <c r="AHU98">
        <v>0</v>
      </c>
      <c r="AHV98">
        <v>0</v>
      </c>
      <c r="AHW98">
        <v>0</v>
      </c>
      <c r="AHX98">
        <v>0</v>
      </c>
      <c r="AHY98">
        <v>0</v>
      </c>
      <c r="AHZ98">
        <v>0</v>
      </c>
      <c r="AIA98">
        <v>0</v>
      </c>
      <c r="AIB98">
        <v>0</v>
      </c>
      <c r="AIC98">
        <v>0</v>
      </c>
      <c r="AID98">
        <v>0</v>
      </c>
      <c r="AIE98">
        <v>0</v>
      </c>
      <c r="AIF98">
        <v>0</v>
      </c>
      <c r="AIG98">
        <v>0</v>
      </c>
      <c r="AIH98">
        <v>0</v>
      </c>
      <c r="AII98">
        <v>0</v>
      </c>
      <c r="AIJ98">
        <v>0</v>
      </c>
      <c r="AIK98">
        <v>0</v>
      </c>
      <c r="AIL98">
        <v>0</v>
      </c>
      <c r="AIM98">
        <v>0</v>
      </c>
      <c r="AIN98">
        <v>0</v>
      </c>
      <c r="AIO98">
        <v>0</v>
      </c>
      <c r="AIP98">
        <v>0</v>
      </c>
      <c r="AIQ98">
        <v>0</v>
      </c>
      <c r="AIR98">
        <v>0</v>
      </c>
      <c r="AIS98">
        <v>0</v>
      </c>
      <c r="AIT98">
        <v>0</v>
      </c>
      <c r="AIU98">
        <v>0</v>
      </c>
      <c r="AIV98">
        <v>0</v>
      </c>
      <c r="AIW98">
        <v>0</v>
      </c>
      <c r="AIX98">
        <v>0</v>
      </c>
      <c r="AIY98">
        <v>0</v>
      </c>
      <c r="AIZ98">
        <v>0</v>
      </c>
      <c r="AJA98">
        <v>0</v>
      </c>
      <c r="AJB98">
        <v>0</v>
      </c>
      <c r="AJC98">
        <v>0</v>
      </c>
      <c r="AJD98">
        <v>0</v>
      </c>
      <c r="AJE98">
        <v>0</v>
      </c>
      <c r="AJF98">
        <v>0</v>
      </c>
      <c r="AJG98">
        <v>0</v>
      </c>
      <c r="AJH98">
        <v>0</v>
      </c>
      <c r="AJI98">
        <v>0</v>
      </c>
      <c r="AJJ98">
        <v>0</v>
      </c>
      <c r="AJK98">
        <v>0</v>
      </c>
      <c r="AJL98">
        <v>0</v>
      </c>
      <c r="AJM98">
        <v>0</v>
      </c>
      <c r="AJN98">
        <v>0</v>
      </c>
      <c r="AJO98">
        <v>0</v>
      </c>
      <c r="AJP98">
        <v>0</v>
      </c>
      <c r="AJQ98">
        <v>0</v>
      </c>
      <c r="AJR98">
        <v>0</v>
      </c>
      <c r="AJS98">
        <v>0</v>
      </c>
      <c r="AJT98">
        <v>0</v>
      </c>
      <c r="AJU98">
        <v>0</v>
      </c>
      <c r="AJV98">
        <v>0</v>
      </c>
      <c r="AJW98">
        <v>0</v>
      </c>
      <c r="AJX98">
        <v>0</v>
      </c>
      <c r="AJY98">
        <v>0</v>
      </c>
    </row>
    <row r="99" spans="1:961" x14ac:dyDescent="0.3">
      <c r="A99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  <c r="KP99">
        <v>0</v>
      </c>
      <c r="KQ99">
        <v>0</v>
      </c>
      <c r="KR99">
        <v>0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0</v>
      </c>
      <c r="LE99">
        <v>0</v>
      </c>
      <c r="LF99">
        <v>0</v>
      </c>
      <c r="LG99">
        <v>0</v>
      </c>
      <c r="LH99">
        <v>0</v>
      </c>
      <c r="LI99">
        <v>0</v>
      </c>
      <c r="LJ99">
        <v>0</v>
      </c>
      <c r="LK99">
        <v>0</v>
      </c>
      <c r="LL99">
        <v>0</v>
      </c>
      <c r="LM99">
        <v>0</v>
      </c>
      <c r="LN99">
        <v>0</v>
      </c>
      <c r="LO99">
        <v>0</v>
      </c>
      <c r="LP99">
        <v>0</v>
      </c>
      <c r="LQ99">
        <v>0</v>
      </c>
      <c r="LR99">
        <v>0</v>
      </c>
      <c r="LS99">
        <v>0</v>
      </c>
      <c r="LT99">
        <v>0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0</v>
      </c>
      <c r="ME99">
        <v>0</v>
      </c>
      <c r="MF99">
        <v>0</v>
      </c>
      <c r="MG99">
        <v>0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0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0</v>
      </c>
      <c r="OP99">
        <v>0</v>
      </c>
      <c r="OQ99">
        <v>0</v>
      </c>
      <c r="OR99">
        <v>0</v>
      </c>
      <c r="OS99">
        <v>0</v>
      </c>
      <c r="OT99">
        <v>0</v>
      </c>
      <c r="OU99">
        <v>0</v>
      </c>
      <c r="OV99">
        <v>0</v>
      </c>
      <c r="OW99">
        <v>0</v>
      </c>
      <c r="OX99">
        <v>0</v>
      </c>
      <c r="OY99">
        <v>0</v>
      </c>
      <c r="OZ99">
        <v>0</v>
      </c>
      <c r="PA99">
        <v>0</v>
      </c>
      <c r="PB99">
        <v>0</v>
      </c>
      <c r="PC99">
        <v>0</v>
      </c>
      <c r="PD99">
        <v>0</v>
      </c>
      <c r="PE99">
        <v>0</v>
      </c>
      <c r="PF99">
        <v>0</v>
      </c>
      <c r="PG99">
        <v>0</v>
      </c>
      <c r="PH99">
        <v>0</v>
      </c>
      <c r="PI99">
        <v>0</v>
      </c>
      <c r="PJ99">
        <v>0</v>
      </c>
      <c r="PK99">
        <v>0</v>
      </c>
      <c r="PL99">
        <v>0</v>
      </c>
      <c r="PM99">
        <v>0</v>
      </c>
      <c r="PN99">
        <v>0</v>
      </c>
      <c r="PO99">
        <v>0</v>
      </c>
      <c r="PP99">
        <v>0</v>
      </c>
      <c r="PQ99">
        <v>0</v>
      </c>
      <c r="PR99">
        <v>0</v>
      </c>
      <c r="PS99">
        <v>0</v>
      </c>
      <c r="PT99">
        <v>0</v>
      </c>
      <c r="PU99">
        <v>0</v>
      </c>
      <c r="PV99">
        <v>0</v>
      </c>
      <c r="PW99">
        <v>0</v>
      </c>
      <c r="PX99">
        <v>0</v>
      </c>
      <c r="PY99">
        <v>0</v>
      </c>
      <c r="PZ99">
        <v>0</v>
      </c>
      <c r="QA99">
        <v>0</v>
      </c>
      <c r="QB99">
        <v>0</v>
      </c>
      <c r="QC99">
        <v>0</v>
      </c>
      <c r="QD99">
        <v>0</v>
      </c>
      <c r="QE99">
        <v>0</v>
      </c>
      <c r="QF99">
        <v>0</v>
      </c>
      <c r="QG99">
        <v>0</v>
      </c>
      <c r="QH99">
        <v>0</v>
      </c>
      <c r="QI99">
        <v>0</v>
      </c>
      <c r="QJ99">
        <v>0</v>
      </c>
      <c r="QK99">
        <v>0</v>
      </c>
      <c r="QL99">
        <v>0</v>
      </c>
      <c r="QM99">
        <v>0</v>
      </c>
      <c r="QN99">
        <v>0</v>
      </c>
      <c r="QO99">
        <v>0</v>
      </c>
      <c r="QP99">
        <v>0</v>
      </c>
      <c r="QQ99">
        <v>0</v>
      </c>
      <c r="QR99">
        <v>0</v>
      </c>
      <c r="QS99">
        <v>0</v>
      </c>
      <c r="QT99">
        <v>0</v>
      </c>
      <c r="QU99">
        <v>0</v>
      </c>
      <c r="QV99">
        <v>0</v>
      </c>
      <c r="QW99">
        <v>0</v>
      </c>
      <c r="QX99">
        <v>0</v>
      </c>
      <c r="QY99">
        <v>0</v>
      </c>
      <c r="QZ99">
        <v>0</v>
      </c>
      <c r="RA99">
        <v>0</v>
      </c>
      <c r="RB99">
        <v>0</v>
      </c>
      <c r="RC99">
        <v>0</v>
      </c>
      <c r="RD99">
        <v>0</v>
      </c>
      <c r="RE99">
        <v>0</v>
      </c>
      <c r="RF99">
        <v>0</v>
      </c>
      <c r="RG99">
        <v>0</v>
      </c>
      <c r="RH99">
        <v>0</v>
      </c>
      <c r="RI99">
        <v>0</v>
      </c>
      <c r="RJ99">
        <v>0</v>
      </c>
      <c r="RK99">
        <v>0</v>
      </c>
      <c r="RL99">
        <v>0</v>
      </c>
      <c r="RM99">
        <v>0</v>
      </c>
      <c r="RN99">
        <v>250</v>
      </c>
      <c r="RO99">
        <v>250</v>
      </c>
      <c r="RP99">
        <v>250</v>
      </c>
      <c r="RQ99">
        <v>250</v>
      </c>
      <c r="RR99">
        <v>250</v>
      </c>
      <c r="RS99">
        <v>250</v>
      </c>
      <c r="RT99">
        <v>250</v>
      </c>
      <c r="RU99">
        <v>250</v>
      </c>
      <c r="RV99">
        <v>250</v>
      </c>
      <c r="RW99">
        <v>250</v>
      </c>
      <c r="RX99">
        <v>250</v>
      </c>
      <c r="RY99">
        <v>250</v>
      </c>
      <c r="RZ99">
        <v>250</v>
      </c>
      <c r="SA99">
        <v>250</v>
      </c>
      <c r="SB99">
        <v>250</v>
      </c>
      <c r="SC99">
        <v>250</v>
      </c>
      <c r="SD99">
        <v>250</v>
      </c>
      <c r="SE99">
        <v>250</v>
      </c>
      <c r="SF99">
        <v>250</v>
      </c>
      <c r="SG99">
        <v>250</v>
      </c>
      <c r="SH99">
        <v>250</v>
      </c>
      <c r="SI99">
        <v>250</v>
      </c>
      <c r="SJ99">
        <v>250</v>
      </c>
      <c r="SK99">
        <v>250</v>
      </c>
      <c r="SL99">
        <v>250</v>
      </c>
      <c r="SM99">
        <v>250</v>
      </c>
      <c r="SN99">
        <v>250</v>
      </c>
      <c r="SO99">
        <v>250</v>
      </c>
      <c r="SP99">
        <v>250</v>
      </c>
      <c r="SQ99">
        <v>250</v>
      </c>
      <c r="SR99">
        <v>250</v>
      </c>
      <c r="SS99">
        <v>250</v>
      </c>
      <c r="ST99">
        <v>250</v>
      </c>
      <c r="SU99">
        <v>250</v>
      </c>
      <c r="SV99">
        <v>250</v>
      </c>
      <c r="SW99">
        <v>250</v>
      </c>
      <c r="SX99">
        <v>250</v>
      </c>
      <c r="SY99">
        <v>250</v>
      </c>
      <c r="SZ99">
        <v>250</v>
      </c>
      <c r="TA99">
        <v>250</v>
      </c>
      <c r="TB99">
        <v>250</v>
      </c>
      <c r="TC99">
        <v>250</v>
      </c>
      <c r="TD99">
        <v>250</v>
      </c>
      <c r="TE99">
        <v>250</v>
      </c>
      <c r="TF99">
        <v>250</v>
      </c>
      <c r="TG99">
        <v>250</v>
      </c>
      <c r="TH99">
        <v>250</v>
      </c>
      <c r="TI99">
        <v>250</v>
      </c>
      <c r="TJ99">
        <v>250</v>
      </c>
      <c r="TK99">
        <v>250</v>
      </c>
      <c r="TL99">
        <v>250</v>
      </c>
      <c r="TM99">
        <v>250</v>
      </c>
      <c r="TN99">
        <v>250</v>
      </c>
      <c r="TO99">
        <v>250</v>
      </c>
      <c r="TP99">
        <v>250</v>
      </c>
      <c r="TQ99">
        <v>250</v>
      </c>
      <c r="TR99">
        <v>250</v>
      </c>
      <c r="TS99">
        <v>250</v>
      </c>
      <c r="TT99">
        <v>250</v>
      </c>
      <c r="TU99">
        <v>250</v>
      </c>
      <c r="TV99">
        <v>250</v>
      </c>
      <c r="TW99">
        <v>250</v>
      </c>
      <c r="TX99">
        <v>250</v>
      </c>
      <c r="TY99">
        <v>250</v>
      </c>
      <c r="TZ99">
        <v>250</v>
      </c>
      <c r="UA99">
        <v>250</v>
      </c>
      <c r="UB99">
        <v>250</v>
      </c>
      <c r="UC99">
        <v>250</v>
      </c>
      <c r="UD99">
        <v>250</v>
      </c>
      <c r="UE99">
        <v>250</v>
      </c>
      <c r="UF99">
        <v>250</v>
      </c>
      <c r="UG99">
        <v>250</v>
      </c>
      <c r="UH99">
        <v>250</v>
      </c>
      <c r="UI99">
        <v>250</v>
      </c>
      <c r="UJ99">
        <v>250</v>
      </c>
      <c r="UK99">
        <v>250</v>
      </c>
      <c r="UL99">
        <v>250</v>
      </c>
      <c r="UM99">
        <v>250</v>
      </c>
      <c r="UN99">
        <v>250</v>
      </c>
      <c r="UO99">
        <v>250</v>
      </c>
      <c r="UP99">
        <v>250</v>
      </c>
      <c r="UQ99">
        <v>250</v>
      </c>
      <c r="UR99">
        <v>250</v>
      </c>
      <c r="US99">
        <v>250</v>
      </c>
      <c r="UT99">
        <v>250</v>
      </c>
      <c r="UU99">
        <v>250</v>
      </c>
      <c r="UV99">
        <v>250</v>
      </c>
      <c r="UW99">
        <v>250</v>
      </c>
      <c r="UX99">
        <v>250</v>
      </c>
      <c r="UY99">
        <v>250</v>
      </c>
      <c r="UZ99">
        <v>250</v>
      </c>
      <c r="VA99">
        <v>250</v>
      </c>
      <c r="VB99">
        <v>250</v>
      </c>
      <c r="VC99">
        <v>250</v>
      </c>
      <c r="VD99">
        <v>250</v>
      </c>
      <c r="VE99">
        <v>250</v>
      </c>
      <c r="VF99">
        <v>0</v>
      </c>
      <c r="VG99">
        <v>0</v>
      </c>
      <c r="VH99">
        <v>0</v>
      </c>
      <c r="VI99">
        <v>0</v>
      </c>
      <c r="VJ99">
        <v>0</v>
      </c>
      <c r="VK99">
        <v>0</v>
      </c>
      <c r="VL99">
        <v>0</v>
      </c>
      <c r="VM99">
        <v>0</v>
      </c>
      <c r="VN99">
        <v>0</v>
      </c>
      <c r="VO99">
        <v>0</v>
      </c>
      <c r="VP99">
        <v>0</v>
      </c>
      <c r="VQ99">
        <v>0</v>
      </c>
      <c r="VR99">
        <v>0</v>
      </c>
      <c r="VS99">
        <v>0</v>
      </c>
      <c r="VT99">
        <v>0</v>
      </c>
      <c r="VU99">
        <v>0</v>
      </c>
      <c r="VV99">
        <v>0</v>
      </c>
      <c r="VW99">
        <v>0</v>
      </c>
      <c r="VX99">
        <v>0</v>
      </c>
      <c r="VY99">
        <v>0</v>
      </c>
      <c r="VZ99">
        <v>0</v>
      </c>
      <c r="WA99">
        <v>0</v>
      </c>
      <c r="WB99">
        <v>0</v>
      </c>
      <c r="WC99">
        <v>0</v>
      </c>
      <c r="WD99">
        <v>0</v>
      </c>
      <c r="WE99">
        <v>0</v>
      </c>
      <c r="WF99">
        <v>0</v>
      </c>
      <c r="WG99">
        <v>0</v>
      </c>
      <c r="WH99">
        <v>0</v>
      </c>
      <c r="WI99">
        <v>0</v>
      </c>
      <c r="WJ99">
        <v>0</v>
      </c>
      <c r="WK99">
        <v>0</v>
      </c>
      <c r="WL99">
        <v>0</v>
      </c>
      <c r="WM99">
        <v>0</v>
      </c>
      <c r="WN99">
        <v>0</v>
      </c>
      <c r="WO99">
        <v>0</v>
      </c>
      <c r="WP99">
        <v>0</v>
      </c>
      <c r="WQ99">
        <v>0</v>
      </c>
      <c r="WR99">
        <v>0</v>
      </c>
      <c r="WS99">
        <v>0</v>
      </c>
      <c r="WT99">
        <v>0</v>
      </c>
      <c r="WU99">
        <v>0</v>
      </c>
      <c r="WV99">
        <v>0</v>
      </c>
      <c r="WW99">
        <v>0</v>
      </c>
      <c r="WX99">
        <v>0</v>
      </c>
      <c r="WY99">
        <v>0</v>
      </c>
      <c r="WZ99">
        <v>0</v>
      </c>
      <c r="XA99">
        <v>0</v>
      </c>
      <c r="XB99">
        <v>0</v>
      </c>
      <c r="XC99">
        <v>0</v>
      </c>
      <c r="XD99">
        <v>0</v>
      </c>
      <c r="XE99">
        <v>0</v>
      </c>
      <c r="XF99">
        <v>0</v>
      </c>
      <c r="XG99">
        <v>0</v>
      </c>
      <c r="XH99">
        <v>0</v>
      </c>
      <c r="XI99">
        <v>0</v>
      </c>
      <c r="XJ99">
        <v>0</v>
      </c>
      <c r="XK99">
        <v>0</v>
      </c>
      <c r="XL99">
        <v>0</v>
      </c>
      <c r="XM99">
        <v>0</v>
      </c>
      <c r="XN99">
        <v>0</v>
      </c>
      <c r="XO99">
        <v>0</v>
      </c>
      <c r="XP99">
        <v>0</v>
      </c>
      <c r="XQ99">
        <v>0</v>
      </c>
      <c r="XR99">
        <v>0</v>
      </c>
      <c r="XS99">
        <v>0</v>
      </c>
      <c r="XT99">
        <v>0</v>
      </c>
      <c r="XU99">
        <v>0</v>
      </c>
      <c r="XV99">
        <v>0</v>
      </c>
      <c r="XW99">
        <v>0</v>
      </c>
      <c r="XX99">
        <v>0</v>
      </c>
      <c r="XY99">
        <v>0</v>
      </c>
      <c r="XZ99">
        <v>0</v>
      </c>
      <c r="YA99">
        <v>0</v>
      </c>
      <c r="YB99">
        <v>0</v>
      </c>
      <c r="YC99">
        <v>0</v>
      </c>
      <c r="YD99">
        <v>0</v>
      </c>
      <c r="YE99">
        <v>0</v>
      </c>
      <c r="YF99">
        <v>0</v>
      </c>
      <c r="YG99">
        <v>0</v>
      </c>
      <c r="YH99">
        <v>0</v>
      </c>
      <c r="YI99">
        <v>0</v>
      </c>
      <c r="YJ99">
        <v>0</v>
      </c>
      <c r="YK99">
        <v>0</v>
      </c>
      <c r="YL99">
        <v>0</v>
      </c>
      <c r="YM99">
        <v>0</v>
      </c>
      <c r="YN99">
        <v>0</v>
      </c>
      <c r="YO99">
        <v>0</v>
      </c>
      <c r="YP99">
        <v>0</v>
      </c>
      <c r="YQ99">
        <v>0</v>
      </c>
      <c r="YR99">
        <v>0</v>
      </c>
      <c r="YS99">
        <v>0</v>
      </c>
      <c r="YT99">
        <v>0</v>
      </c>
      <c r="YU99">
        <v>0</v>
      </c>
      <c r="YV99">
        <v>0</v>
      </c>
      <c r="YW99">
        <v>0</v>
      </c>
      <c r="YX99">
        <v>0</v>
      </c>
      <c r="YY99">
        <v>0</v>
      </c>
      <c r="YZ99">
        <v>0</v>
      </c>
      <c r="ZA99">
        <v>0</v>
      </c>
      <c r="ZB99">
        <v>0</v>
      </c>
      <c r="ZC99">
        <v>0</v>
      </c>
      <c r="ZD99">
        <v>0</v>
      </c>
      <c r="ZE99">
        <v>0</v>
      </c>
      <c r="ZF99">
        <v>0</v>
      </c>
      <c r="ZG99">
        <v>0</v>
      </c>
      <c r="ZH99">
        <v>0</v>
      </c>
      <c r="ZI99">
        <v>0</v>
      </c>
      <c r="ZJ99">
        <v>0</v>
      </c>
      <c r="ZK99">
        <v>0</v>
      </c>
      <c r="ZL99">
        <v>0</v>
      </c>
      <c r="ZM99">
        <v>0</v>
      </c>
      <c r="ZN99">
        <v>0</v>
      </c>
      <c r="ZO99">
        <v>0</v>
      </c>
      <c r="ZP99">
        <v>0</v>
      </c>
      <c r="ZQ99">
        <v>0</v>
      </c>
      <c r="ZR99">
        <v>0</v>
      </c>
      <c r="ZS99">
        <v>0</v>
      </c>
      <c r="ZT99">
        <v>0</v>
      </c>
      <c r="ZU99">
        <v>0</v>
      </c>
      <c r="ZV99">
        <v>0</v>
      </c>
      <c r="ZW99">
        <v>0</v>
      </c>
      <c r="ZX99">
        <v>0</v>
      </c>
      <c r="ZY99">
        <v>0</v>
      </c>
      <c r="ZZ99">
        <v>0</v>
      </c>
      <c r="AAA99">
        <v>0</v>
      </c>
      <c r="AAB99">
        <v>0</v>
      </c>
      <c r="AAC99">
        <v>0</v>
      </c>
      <c r="AAD99">
        <v>0</v>
      </c>
      <c r="AAE99">
        <v>0</v>
      </c>
      <c r="AAF99">
        <v>0</v>
      </c>
      <c r="AAG99">
        <v>0</v>
      </c>
      <c r="AAH99">
        <v>0</v>
      </c>
      <c r="AAI99">
        <v>0</v>
      </c>
      <c r="AAJ99">
        <v>0</v>
      </c>
      <c r="AAK99">
        <v>0</v>
      </c>
      <c r="AAL99">
        <v>0</v>
      </c>
      <c r="AAM99">
        <v>0</v>
      </c>
      <c r="AAN99">
        <v>0</v>
      </c>
      <c r="AAO99">
        <v>0</v>
      </c>
      <c r="AAP99">
        <v>0</v>
      </c>
      <c r="AAQ99">
        <v>0</v>
      </c>
      <c r="AAR99">
        <v>0</v>
      </c>
      <c r="AAS99">
        <v>0</v>
      </c>
      <c r="AAT99">
        <v>0</v>
      </c>
      <c r="AAU99">
        <v>0</v>
      </c>
      <c r="AAV99">
        <v>0</v>
      </c>
      <c r="AAW99">
        <v>0</v>
      </c>
      <c r="AAX99">
        <v>0</v>
      </c>
      <c r="AAY99">
        <v>0</v>
      </c>
      <c r="AAZ99">
        <v>0</v>
      </c>
      <c r="ABA99">
        <v>0</v>
      </c>
      <c r="ABB99">
        <v>0</v>
      </c>
      <c r="ABC99">
        <v>0</v>
      </c>
      <c r="ABD99">
        <v>0</v>
      </c>
      <c r="ABE99">
        <v>0</v>
      </c>
      <c r="ABF99">
        <v>0</v>
      </c>
      <c r="ABG99">
        <v>0</v>
      </c>
      <c r="ABH99">
        <v>0</v>
      </c>
      <c r="ABI99">
        <v>0</v>
      </c>
      <c r="ABJ99">
        <v>0</v>
      </c>
      <c r="ABK99">
        <v>0</v>
      </c>
      <c r="ABL99">
        <v>0</v>
      </c>
      <c r="ABM99">
        <v>0</v>
      </c>
      <c r="ABN99">
        <v>0</v>
      </c>
      <c r="ABO99">
        <v>0</v>
      </c>
      <c r="ABP99">
        <v>0</v>
      </c>
      <c r="ABQ99">
        <v>0</v>
      </c>
      <c r="ABR99">
        <v>0</v>
      </c>
      <c r="ABS99">
        <v>0</v>
      </c>
      <c r="ABT99">
        <v>0</v>
      </c>
      <c r="ABU99">
        <v>0</v>
      </c>
      <c r="ABV99">
        <v>0</v>
      </c>
      <c r="ABW99">
        <v>0</v>
      </c>
      <c r="ABX99">
        <v>0</v>
      </c>
      <c r="ABY99">
        <v>0</v>
      </c>
      <c r="ABZ99">
        <v>0</v>
      </c>
      <c r="ACA99">
        <v>0</v>
      </c>
      <c r="ACB99">
        <v>0</v>
      </c>
      <c r="ACC99">
        <v>0</v>
      </c>
      <c r="ACD99">
        <v>0</v>
      </c>
      <c r="ACE99">
        <v>0</v>
      </c>
      <c r="ACF99">
        <v>0</v>
      </c>
      <c r="ACG99">
        <v>0</v>
      </c>
      <c r="ACH99">
        <v>0</v>
      </c>
      <c r="ACI99">
        <v>0</v>
      </c>
      <c r="ACJ99">
        <v>0</v>
      </c>
      <c r="ACK99">
        <v>0</v>
      </c>
      <c r="ACL99">
        <v>0</v>
      </c>
      <c r="ACM99">
        <v>0</v>
      </c>
      <c r="ACN99">
        <v>0</v>
      </c>
      <c r="ACO99">
        <v>0</v>
      </c>
      <c r="ACP99">
        <v>0</v>
      </c>
      <c r="ACQ99">
        <v>0</v>
      </c>
      <c r="ACR99">
        <v>0</v>
      </c>
      <c r="ACS99">
        <v>0</v>
      </c>
      <c r="ACT99">
        <v>0</v>
      </c>
      <c r="ACU99">
        <v>0</v>
      </c>
      <c r="ACV99">
        <v>0</v>
      </c>
      <c r="ACW99">
        <v>0</v>
      </c>
      <c r="ACX99">
        <v>0</v>
      </c>
      <c r="ACY99">
        <v>0</v>
      </c>
      <c r="ACZ99">
        <v>0</v>
      </c>
      <c r="ADA99">
        <v>0</v>
      </c>
      <c r="ADB99">
        <v>0</v>
      </c>
      <c r="ADC99">
        <v>0</v>
      </c>
      <c r="ADD99">
        <v>0</v>
      </c>
      <c r="ADE99">
        <v>0</v>
      </c>
      <c r="ADF99">
        <v>0</v>
      </c>
      <c r="ADG99">
        <v>0</v>
      </c>
      <c r="ADH99">
        <v>0</v>
      </c>
      <c r="ADI99">
        <v>0</v>
      </c>
      <c r="ADJ99">
        <v>0</v>
      </c>
      <c r="ADK99">
        <v>0</v>
      </c>
      <c r="ADL99">
        <v>0</v>
      </c>
      <c r="ADM99">
        <v>0</v>
      </c>
      <c r="ADN99">
        <v>0</v>
      </c>
      <c r="ADO99">
        <v>0</v>
      </c>
      <c r="ADP99">
        <v>0</v>
      </c>
      <c r="ADQ99">
        <v>0</v>
      </c>
      <c r="ADR99">
        <v>0</v>
      </c>
      <c r="ADS99">
        <v>0</v>
      </c>
      <c r="ADT99">
        <v>0</v>
      </c>
      <c r="ADU99">
        <v>0</v>
      </c>
      <c r="ADV99">
        <v>0</v>
      </c>
      <c r="ADW99">
        <v>0</v>
      </c>
      <c r="ADX99">
        <v>0</v>
      </c>
      <c r="ADY99">
        <v>0</v>
      </c>
      <c r="ADZ99">
        <v>0</v>
      </c>
      <c r="AEA99">
        <v>0</v>
      </c>
      <c r="AEB99">
        <v>0</v>
      </c>
      <c r="AEC99">
        <v>0</v>
      </c>
      <c r="AED99">
        <v>0</v>
      </c>
      <c r="AEE99">
        <v>0</v>
      </c>
      <c r="AEF99">
        <v>0</v>
      </c>
      <c r="AEG99">
        <v>0</v>
      </c>
      <c r="AEH99">
        <v>0</v>
      </c>
      <c r="AEI99">
        <v>0</v>
      </c>
      <c r="AEJ99">
        <v>0</v>
      </c>
      <c r="AEK99">
        <v>0</v>
      </c>
      <c r="AEL99">
        <v>0</v>
      </c>
      <c r="AEM99">
        <v>0</v>
      </c>
      <c r="AEN99">
        <v>0</v>
      </c>
      <c r="AEO99">
        <v>0</v>
      </c>
      <c r="AEP99">
        <v>0</v>
      </c>
      <c r="AEQ99">
        <v>0</v>
      </c>
      <c r="AER99">
        <v>0</v>
      </c>
      <c r="AES99">
        <v>0</v>
      </c>
      <c r="AET99">
        <v>0</v>
      </c>
      <c r="AEU99">
        <v>0</v>
      </c>
      <c r="AEV99">
        <v>0</v>
      </c>
      <c r="AEW99">
        <v>0</v>
      </c>
      <c r="AEX99">
        <v>0</v>
      </c>
      <c r="AEY99">
        <v>0</v>
      </c>
      <c r="AEZ99">
        <v>0</v>
      </c>
      <c r="AFA99">
        <v>0</v>
      </c>
      <c r="AFB99">
        <v>0</v>
      </c>
      <c r="AFC99">
        <v>0</v>
      </c>
      <c r="AFD99">
        <v>0</v>
      </c>
      <c r="AFE99">
        <v>0</v>
      </c>
      <c r="AFF99">
        <v>0</v>
      </c>
      <c r="AFG99">
        <v>0</v>
      </c>
      <c r="AFH99">
        <v>0</v>
      </c>
      <c r="AFI99">
        <v>0</v>
      </c>
      <c r="AFJ99">
        <v>0</v>
      </c>
      <c r="AFK99">
        <v>0</v>
      </c>
      <c r="AFL99">
        <v>0</v>
      </c>
      <c r="AFM99">
        <v>0</v>
      </c>
      <c r="AFN99">
        <v>0</v>
      </c>
      <c r="AFO99">
        <v>0</v>
      </c>
      <c r="AFP99">
        <v>0</v>
      </c>
      <c r="AFQ99">
        <v>0</v>
      </c>
      <c r="AFR99">
        <v>0</v>
      </c>
      <c r="AFS99">
        <v>0</v>
      </c>
      <c r="AFT99">
        <v>0</v>
      </c>
      <c r="AFU99">
        <v>0</v>
      </c>
      <c r="AFV99">
        <v>0</v>
      </c>
      <c r="AFW99">
        <v>0</v>
      </c>
      <c r="AFX99">
        <v>0</v>
      </c>
      <c r="AFY99">
        <v>0</v>
      </c>
      <c r="AFZ99">
        <v>0</v>
      </c>
      <c r="AGA99">
        <v>0</v>
      </c>
      <c r="AGB99">
        <v>0</v>
      </c>
      <c r="AGC99">
        <v>0</v>
      </c>
      <c r="AGD99">
        <v>0</v>
      </c>
      <c r="AGE99">
        <v>0</v>
      </c>
      <c r="AGF99">
        <v>0</v>
      </c>
      <c r="AGG99">
        <v>0</v>
      </c>
      <c r="AGH99">
        <v>0</v>
      </c>
      <c r="AGI99">
        <v>0</v>
      </c>
      <c r="AGJ99">
        <v>0</v>
      </c>
      <c r="AGK99">
        <v>0</v>
      </c>
      <c r="AGL99">
        <v>0</v>
      </c>
      <c r="AGM99">
        <v>0</v>
      </c>
      <c r="AGN99">
        <v>0</v>
      </c>
      <c r="AGO99">
        <v>0</v>
      </c>
      <c r="AGP99">
        <v>0</v>
      </c>
      <c r="AGQ99">
        <v>0</v>
      </c>
      <c r="AGR99">
        <v>0</v>
      </c>
      <c r="AGS99">
        <v>0</v>
      </c>
      <c r="AGT99">
        <v>0</v>
      </c>
      <c r="AGU99">
        <v>0</v>
      </c>
      <c r="AGV99">
        <v>0</v>
      </c>
      <c r="AGW99">
        <v>0</v>
      </c>
      <c r="AGX99">
        <v>0</v>
      </c>
      <c r="AGY99">
        <v>0</v>
      </c>
      <c r="AGZ99">
        <v>0</v>
      </c>
      <c r="AHA99">
        <v>0</v>
      </c>
      <c r="AHB99">
        <v>0</v>
      </c>
      <c r="AHC99">
        <v>0</v>
      </c>
      <c r="AHD99">
        <v>0</v>
      </c>
      <c r="AHE99">
        <v>0</v>
      </c>
      <c r="AHF99">
        <v>0</v>
      </c>
      <c r="AHG99">
        <v>0</v>
      </c>
      <c r="AHH99">
        <v>0</v>
      </c>
      <c r="AHI99">
        <v>0</v>
      </c>
      <c r="AHJ99">
        <v>0</v>
      </c>
      <c r="AHK99">
        <v>0</v>
      </c>
      <c r="AHL99">
        <v>0</v>
      </c>
      <c r="AHM99">
        <v>0</v>
      </c>
      <c r="AHN99">
        <v>0</v>
      </c>
      <c r="AHO99">
        <v>0</v>
      </c>
      <c r="AHP99">
        <v>0</v>
      </c>
      <c r="AHQ99">
        <v>0</v>
      </c>
      <c r="AHR99">
        <v>0</v>
      </c>
      <c r="AHS99">
        <v>0</v>
      </c>
      <c r="AHT99">
        <v>0</v>
      </c>
      <c r="AHU99">
        <v>0</v>
      </c>
      <c r="AHV99">
        <v>0</v>
      </c>
      <c r="AHW99">
        <v>0</v>
      </c>
      <c r="AHX99">
        <v>0</v>
      </c>
      <c r="AHY99">
        <v>0</v>
      </c>
      <c r="AHZ99">
        <v>0</v>
      </c>
      <c r="AIA99">
        <v>0</v>
      </c>
      <c r="AIB99">
        <v>0</v>
      </c>
      <c r="AIC99">
        <v>0</v>
      </c>
      <c r="AID99">
        <v>0</v>
      </c>
      <c r="AIE99">
        <v>0</v>
      </c>
      <c r="AIF99">
        <v>0</v>
      </c>
      <c r="AIG99">
        <v>0</v>
      </c>
      <c r="AIH99">
        <v>0</v>
      </c>
      <c r="AII99">
        <v>0</v>
      </c>
      <c r="AIJ99">
        <v>0</v>
      </c>
      <c r="AIK99">
        <v>0</v>
      </c>
      <c r="AIL99">
        <v>0</v>
      </c>
      <c r="AIM99">
        <v>0</v>
      </c>
      <c r="AIN99">
        <v>0</v>
      </c>
      <c r="AIO99">
        <v>0</v>
      </c>
      <c r="AIP99">
        <v>0</v>
      </c>
      <c r="AIQ99">
        <v>0</v>
      </c>
      <c r="AIR99">
        <v>0</v>
      </c>
      <c r="AIS99">
        <v>0</v>
      </c>
      <c r="AIT99">
        <v>0</v>
      </c>
      <c r="AIU99">
        <v>0</v>
      </c>
      <c r="AIV99">
        <v>0</v>
      </c>
      <c r="AIW99">
        <v>0</v>
      </c>
      <c r="AIX99">
        <v>0</v>
      </c>
      <c r="AIY99">
        <v>0</v>
      </c>
      <c r="AIZ99">
        <v>0</v>
      </c>
      <c r="AJA99">
        <v>0</v>
      </c>
      <c r="AJB99">
        <v>0</v>
      </c>
      <c r="AJC99">
        <v>0</v>
      </c>
      <c r="AJD99">
        <v>0</v>
      </c>
      <c r="AJE99">
        <v>0</v>
      </c>
      <c r="AJF99">
        <v>0</v>
      </c>
      <c r="AJG99">
        <v>0</v>
      </c>
      <c r="AJH99">
        <v>0</v>
      </c>
      <c r="AJI99">
        <v>0</v>
      </c>
      <c r="AJJ99">
        <v>0</v>
      </c>
      <c r="AJK99">
        <v>0</v>
      </c>
      <c r="AJL99">
        <v>0</v>
      </c>
      <c r="AJM99">
        <v>0</v>
      </c>
      <c r="AJN99">
        <v>0</v>
      </c>
      <c r="AJO99">
        <v>0</v>
      </c>
      <c r="AJP99">
        <v>0</v>
      </c>
      <c r="AJQ99">
        <v>0</v>
      </c>
      <c r="AJR99">
        <v>0</v>
      </c>
      <c r="AJS99">
        <v>0</v>
      </c>
      <c r="AJT99">
        <v>0</v>
      </c>
      <c r="AJU99">
        <v>0</v>
      </c>
      <c r="AJV99">
        <v>0</v>
      </c>
      <c r="AJW99">
        <v>0</v>
      </c>
      <c r="AJX99">
        <v>0</v>
      </c>
      <c r="AJY99">
        <v>0</v>
      </c>
    </row>
    <row r="100" spans="1:961" x14ac:dyDescent="0.3">
      <c r="A100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  <c r="KP100">
        <v>0</v>
      </c>
      <c r="KQ100">
        <v>0</v>
      </c>
      <c r="KR100">
        <v>0</v>
      </c>
      <c r="KS100">
        <v>0</v>
      </c>
      <c r="KT100">
        <v>0</v>
      </c>
      <c r="KU100">
        <v>0</v>
      </c>
      <c r="KV100">
        <v>0</v>
      </c>
      <c r="KW100">
        <v>0</v>
      </c>
      <c r="KX100">
        <v>0</v>
      </c>
      <c r="KY100">
        <v>0</v>
      </c>
      <c r="KZ100">
        <v>0</v>
      </c>
      <c r="LA100">
        <v>0</v>
      </c>
      <c r="LB100">
        <v>0</v>
      </c>
      <c r="LC100">
        <v>0</v>
      </c>
      <c r="LD100">
        <v>0</v>
      </c>
      <c r="LE100">
        <v>0</v>
      </c>
      <c r="LF100">
        <v>0</v>
      </c>
      <c r="LG100">
        <v>0</v>
      </c>
      <c r="LH100">
        <v>0</v>
      </c>
      <c r="LI100">
        <v>0</v>
      </c>
      <c r="LJ100">
        <v>0</v>
      </c>
      <c r="LK100">
        <v>0</v>
      </c>
      <c r="LL100">
        <v>0</v>
      </c>
      <c r="LM100">
        <v>0</v>
      </c>
      <c r="LN100">
        <v>0</v>
      </c>
      <c r="LO100">
        <v>0</v>
      </c>
      <c r="LP100">
        <v>0</v>
      </c>
      <c r="LQ100">
        <v>0</v>
      </c>
      <c r="LR100">
        <v>0</v>
      </c>
      <c r="LS100">
        <v>0</v>
      </c>
      <c r="LT100">
        <v>0</v>
      </c>
      <c r="LU100">
        <v>0</v>
      </c>
      <c r="LV100">
        <v>0</v>
      </c>
      <c r="LW100">
        <v>0</v>
      </c>
      <c r="LX100">
        <v>0</v>
      </c>
      <c r="LY100">
        <v>0</v>
      </c>
      <c r="LZ100">
        <v>0</v>
      </c>
      <c r="MA100">
        <v>0</v>
      </c>
      <c r="MB100">
        <v>0</v>
      </c>
      <c r="MC100">
        <v>0</v>
      </c>
      <c r="MD100">
        <v>0</v>
      </c>
      <c r="ME100">
        <v>0</v>
      </c>
      <c r="MF100">
        <v>0</v>
      </c>
      <c r="MG100">
        <v>0</v>
      </c>
      <c r="MH100">
        <v>0</v>
      </c>
      <c r="MI100">
        <v>0</v>
      </c>
      <c r="MJ100">
        <v>0</v>
      </c>
      <c r="MK100">
        <v>0</v>
      </c>
      <c r="ML100">
        <v>0</v>
      </c>
      <c r="MM100">
        <v>0</v>
      </c>
      <c r="MN100">
        <v>0</v>
      </c>
      <c r="MO100">
        <v>0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0</v>
      </c>
      <c r="MW100">
        <v>0</v>
      </c>
      <c r="MX100">
        <v>0</v>
      </c>
      <c r="MY100">
        <v>0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0</v>
      </c>
      <c r="NL100">
        <v>0</v>
      </c>
      <c r="NM100">
        <v>0</v>
      </c>
      <c r="NN100">
        <v>0</v>
      </c>
      <c r="NO100">
        <v>0</v>
      </c>
      <c r="NP100">
        <v>0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0</v>
      </c>
      <c r="OA100">
        <v>0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</v>
      </c>
      <c r="OL100">
        <v>0</v>
      </c>
      <c r="OM100">
        <v>0</v>
      </c>
      <c r="ON100">
        <v>0</v>
      </c>
      <c r="OO100">
        <v>0</v>
      </c>
      <c r="OP100">
        <v>0</v>
      </c>
      <c r="OQ100">
        <v>0</v>
      </c>
      <c r="OR100">
        <v>0</v>
      </c>
      <c r="OS100">
        <v>0</v>
      </c>
      <c r="OT100">
        <v>0</v>
      </c>
      <c r="OU100">
        <v>0</v>
      </c>
      <c r="OV100">
        <v>0</v>
      </c>
      <c r="OW100">
        <v>0</v>
      </c>
      <c r="OX100">
        <v>0</v>
      </c>
      <c r="OY100">
        <v>0</v>
      </c>
      <c r="OZ100">
        <v>0</v>
      </c>
      <c r="PA100">
        <v>0</v>
      </c>
      <c r="PB100">
        <v>0</v>
      </c>
      <c r="PC100">
        <v>0</v>
      </c>
      <c r="PD100">
        <v>0</v>
      </c>
      <c r="PE100">
        <v>0</v>
      </c>
      <c r="PF100">
        <v>0</v>
      </c>
      <c r="PG100">
        <v>0</v>
      </c>
      <c r="PH100">
        <v>0</v>
      </c>
      <c r="PI100">
        <v>0</v>
      </c>
      <c r="PJ100">
        <v>0</v>
      </c>
      <c r="PK100">
        <v>0</v>
      </c>
      <c r="PL100">
        <v>0</v>
      </c>
      <c r="PM100">
        <v>0</v>
      </c>
      <c r="PN100">
        <v>0</v>
      </c>
      <c r="PO100">
        <v>0</v>
      </c>
      <c r="PP100">
        <v>0</v>
      </c>
      <c r="PQ100">
        <v>0</v>
      </c>
      <c r="PR100">
        <v>0</v>
      </c>
      <c r="PS100">
        <v>0</v>
      </c>
      <c r="PT100">
        <v>0</v>
      </c>
      <c r="PU100">
        <v>0</v>
      </c>
      <c r="PV100">
        <v>0</v>
      </c>
      <c r="PW100">
        <v>0</v>
      </c>
      <c r="PX100">
        <v>0</v>
      </c>
      <c r="PY100">
        <v>0</v>
      </c>
      <c r="PZ100">
        <v>0</v>
      </c>
      <c r="QA100">
        <v>0</v>
      </c>
      <c r="QB100">
        <v>0</v>
      </c>
      <c r="QC100">
        <v>0</v>
      </c>
      <c r="QD100">
        <v>0</v>
      </c>
      <c r="QE100">
        <v>0</v>
      </c>
      <c r="QF100">
        <v>0</v>
      </c>
      <c r="QG100">
        <v>0</v>
      </c>
      <c r="QH100">
        <v>0</v>
      </c>
      <c r="QI100">
        <v>0</v>
      </c>
      <c r="QJ100">
        <v>0</v>
      </c>
      <c r="QK100">
        <v>0</v>
      </c>
      <c r="QL100">
        <v>0</v>
      </c>
      <c r="QM100">
        <v>0</v>
      </c>
      <c r="QN100">
        <v>0</v>
      </c>
      <c r="QO100">
        <v>0</v>
      </c>
      <c r="QP100">
        <v>0</v>
      </c>
      <c r="QQ100">
        <v>0</v>
      </c>
      <c r="QR100">
        <v>0</v>
      </c>
      <c r="QS100">
        <v>0</v>
      </c>
      <c r="QT100">
        <v>0</v>
      </c>
      <c r="QU100">
        <v>0</v>
      </c>
      <c r="QV100">
        <v>0</v>
      </c>
      <c r="QW100">
        <v>0</v>
      </c>
      <c r="QX100">
        <v>0</v>
      </c>
      <c r="QY100">
        <v>0</v>
      </c>
      <c r="QZ100">
        <v>0</v>
      </c>
      <c r="RA100">
        <v>0</v>
      </c>
      <c r="RB100">
        <v>0</v>
      </c>
      <c r="RC100">
        <v>0</v>
      </c>
      <c r="RD100">
        <v>0</v>
      </c>
      <c r="RE100">
        <v>0</v>
      </c>
      <c r="RF100">
        <v>0</v>
      </c>
      <c r="RG100">
        <v>0</v>
      </c>
      <c r="RH100">
        <v>0</v>
      </c>
      <c r="RI100">
        <v>0</v>
      </c>
      <c r="RJ100">
        <v>0</v>
      </c>
      <c r="RK100">
        <v>0</v>
      </c>
      <c r="RL100">
        <v>0</v>
      </c>
      <c r="RM100">
        <v>0</v>
      </c>
      <c r="RN100">
        <v>0</v>
      </c>
      <c r="RO100">
        <v>0</v>
      </c>
      <c r="RP100">
        <v>0</v>
      </c>
      <c r="RQ100">
        <v>0</v>
      </c>
      <c r="RR100">
        <v>0</v>
      </c>
      <c r="RS100">
        <v>0</v>
      </c>
      <c r="RT100">
        <v>0</v>
      </c>
      <c r="RU100">
        <v>0</v>
      </c>
      <c r="RV100">
        <v>0</v>
      </c>
      <c r="RW100">
        <v>0</v>
      </c>
      <c r="RX100">
        <v>0</v>
      </c>
      <c r="RY100">
        <v>0</v>
      </c>
      <c r="RZ100">
        <v>0</v>
      </c>
      <c r="SA100">
        <v>0</v>
      </c>
      <c r="SB100">
        <v>0</v>
      </c>
      <c r="SC100">
        <v>0</v>
      </c>
      <c r="SD100">
        <v>0</v>
      </c>
      <c r="SE100">
        <v>0</v>
      </c>
      <c r="SF100">
        <v>0</v>
      </c>
      <c r="SG100">
        <v>0</v>
      </c>
      <c r="SH100">
        <v>0</v>
      </c>
      <c r="SI100">
        <v>0</v>
      </c>
      <c r="SJ100">
        <v>0</v>
      </c>
      <c r="SK100">
        <v>0</v>
      </c>
      <c r="SL100">
        <v>0</v>
      </c>
      <c r="SM100">
        <v>0</v>
      </c>
      <c r="SN100">
        <v>0</v>
      </c>
      <c r="SO100">
        <v>0</v>
      </c>
      <c r="SP100">
        <v>0</v>
      </c>
      <c r="SQ100">
        <v>0</v>
      </c>
      <c r="SR100">
        <v>0</v>
      </c>
      <c r="SS100">
        <v>0</v>
      </c>
      <c r="ST100">
        <v>0</v>
      </c>
      <c r="SU100">
        <v>0</v>
      </c>
      <c r="SV100">
        <v>0</v>
      </c>
      <c r="SW100">
        <v>0</v>
      </c>
      <c r="SX100">
        <v>0</v>
      </c>
      <c r="SY100">
        <v>0</v>
      </c>
      <c r="SZ100">
        <v>0</v>
      </c>
      <c r="TA100">
        <v>0</v>
      </c>
      <c r="TB100">
        <v>0</v>
      </c>
      <c r="TC100">
        <v>0</v>
      </c>
      <c r="TD100">
        <v>0</v>
      </c>
      <c r="TE100">
        <v>0</v>
      </c>
      <c r="TF100">
        <v>0</v>
      </c>
      <c r="TG100">
        <v>0</v>
      </c>
      <c r="TH100">
        <v>0</v>
      </c>
      <c r="TI100">
        <v>0</v>
      </c>
      <c r="TJ100">
        <v>0</v>
      </c>
      <c r="TK100">
        <v>0</v>
      </c>
      <c r="TL100">
        <v>0</v>
      </c>
      <c r="TM100">
        <v>0</v>
      </c>
      <c r="TN100">
        <v>0</v>
      </c>
      <c r="TO100">
        <v>0</v>
      </c>
      <c r="TP100">
        <v>0</v>
      </c>
      <c r="TQ100">
        <v>0</v>
      </c>
      <c r="TR100">
        <v>0</v>
      </c>
      <c r="TS100">
        <v>0</v>
      </c>
      <c r="TT100">
        <v>0</v>
      </c>
      <c r="TU100">
        <v>0</v>
      </c>
      <c r="TV100">
        <v>0</v>
      </c>
      <c r="TW100">
        <v>0</v>
      </c>
      <c r="TX100">
        <v>0</v>
      </c>
      <c r="TY100">
        <v>0</v>
      </c>
      <c r="TZ100">
        <v>0</v>
      </c>
      <c r="UA100">
        <v>0</v>
      </c>
      <c r="UB100">
        <v>0</v>
      </c>
      <c r="UC100">
        <v>0</v>
      </c>
      <c r="UD100">
        <v>0</v>
      </c>
      <c r="UE100">
        <v>0</v>
      </c>
      <c r="UF100">
        <v>0</v>
      </c>
      <c r="UG100">
        <v>0</v>
      </c>
      <c r="UH100">
        <v>0</v>
      </c>
      <c r="UI100">
        <v>0</v>
      </c>
      <c r="UJ100">
        <v>0</v>
      </c>
      <c r="UK100">
        <v>0</v>
      </c>
      <c r="UL100">
        <v>0</v>
      </c>
      <c r="UM100">
        <v>0</v>
      </c>
      <c r="UN100">
        <v>0</v>
      </c>
      <c r="UO100">
        <v>0</v>
      </c>
      <c r="UP100">
        <v>0</v>
      </c>
      <c r="UQ100">
        <v>0</v>
      </c>
      <c r="UR100">
        <v>0</v>
      </c>
      <c r="US100">
        <v>0</v>
      </c>
      <c r="UT100">
        <v>0</v>
      </c>
      <c r="UU100">
        <v>0</v>
      </c>
      <c r="UV100">
        <v>0</v>
      </c>
      <c r="UW100">
        <v>0</v>
      </c>
      <c r="UX100">
        <v>0</v>
      </c>
      <c r="UY100">
        <v>0</v>
      </c>
      <c r="UZ100">
        <v>0</v>
      </c>
      <c r="VA100">
        <v>0</v>
      </c>
      <c r="VB100">
        <v>0</v>
      </c>
      <c r="VC100">
        <v>0</v>
      </c>
      <c r="VD100">
        <v>0</v>
      </c>
      <c r="VE100">
        <v>0</v>
      </c>
      <c r="VF100">
        <v>1.25</v>
      </c>
      <c r="VG100">
        <v>1.25</v>
      </c>
      <c r="VH100">
        <v>1.25</v>
      </c>
      <c r="VI100">
        <v>1.25</v>
      </c>
      <c r="VJ100">
        <v>1.25</v>
      </c>
      <c r="VK100">
        <v>1.25</v>
      </c>
      <c r="VL100">
        <v>1.25</v>
      </c>
      <c r="VM100">
        <v>1.25</v>
      </c>
      <c r="VN100">
        <v>1.25</v>
      </c>
      <c r="VO100">
        <v>1.25</v>
      </c>
      <c r="VP100">
        <v>1.25</v>
      </c>
      <c r="VQ100">
        <v>1.25</v>
      </c>
      <c r="VR100">
        <v>1.25</v>
      </c>
      <c r="VS100">
        <v>1.25</v>
      </c>
      <c r="VT100">
        <v>1.25</v>
      </c>
      <c r="VU100">
        <v>1.25</v>
      </c>
      <c r="VV100">
        <v>1.25</v>
      </c>
      <c r="VW100">
        <v>1.25</v>
      </c>
      <c r="VX100">
        <v>1.25</v>
      </c>
      <c r="VY100">
        <v>1.25</v>
      </c>
      <c r="VZ100">
        <v>1.25</v>
      </c>
      <c r="WA100">
        <v>1.25</v>
      </c>
      <c r="WB100">
        <v>1.25</v>
      </c>
      <c r="WC100">
        <v>1.25</v>
      </c>
      <c r="WD100">
        <v>1.25</v>
      </c>
      <c r="WE100">
        <v>1.25</v>
      </c>
      <c r="WF100">
        <v>1.25</v>
      </c>
      <c r="WG100">
        <v>1.25</v>
      </c>
      <c r="WH100">
        <v>1.25</v>
      </c>
      <c r="WI100">
        <v>1.25</v>
      </c>
      <c r="WJ100">
        <v>1.25</v>
      </c>
      <c r="WK100">
        <v>1.25</v>
      </c>
      <c r="WL100">
        <v>1.25</v>
      </c>
      <c r="WM100">
        <v>1.25</v>
      </c>
      <c r="WN100">
        <v>1.25</v>
      </c>
      <c r="WO100">
        <v>1.25</v>
      </c>
      <c r="WP100">
        <v>1.25</v>
      </c>
      <c r="WQ100">
        <v>1.25</v>
      </c>
      <c r="WR100">
        <v>1.25</v>
      </c>
      <c r="WS100">
        <v>1.25</v>
      </c>
      <c r="WT100">
        <v>1.25</v>
      </c>
      <c r="WU100">
        <v>1.25</v>
      </c>
      <c r="WV100">
        <v>1.25</v>
      </c>
      <c r="WW100">
        <v>1.25</v>
      </c>
      <c r="WX100">
        <v>1.25</v>
      </c>
      <c r="WY100">
        <v>1.25</v>
      </c>
      <c r="WZ100">
        <v>1.25</v>
      </c>
      <c r="XA100">
        <v>1.25</v>
      </c>
      <c r="XB100">
        <v>1.25</v>
      </c>
      <c r="XC100">
        <v>1.25</v>
      </c>
      <c r="XD100">
        <v>1.25</v>
      </c>
      <c r="XE100">
        <v>1.25</v>
      </c>
      <c r="XF100">
        <v>1.25</v>
      </c>
      <c r="XG100">
        <v>1.25</v>
      </c>
      <c r="XH100">
        <v>1.25</v>
      </c>
      <c r="XI100">
        <v>1.25</v>
      </c>
      <c r="XJ100">
        <v>1.25</v>
      </c>
      <c r="XK100">
        <v>1.25</v>
      </c>
      <c r="XL100">
        <v>1.25</v>
      </c>
      <c r="XM100">
        <v>1.25</v>
      </c>
      <c r="XN100">
        <v>1.25</v>
      </c>
      <c r="XO100">
        <v>1.25</v>
      </c>
      <c r="XP100">
        <v>1.25</v>
      </c>
      <c r="XQ100">
        <v>1.25</v>
      </c>
      <c r="XR100">
        <v>1.25</v>
      </c>
      <c r="XS100">
        <v>1.25</v>
      </c>
      <c r="XT100">
        <v>1.25</v>
      </c>
      <c r="XU100">
        <v>1.25</v>
      </c>
      <c r="XV100">
        <v>1.25</v>
      </c>
      <c r="XW100">
        <v>1.25</v>
      </c>
      <c r="XX100">
        <v>1.25</v>
      </c>
      <c r="XY100">
        <v>1.25</v>
      </c>
      <c r="XZ100">
        <v>1.25</v>
      </c>
      <c r="YA100">
        <v>1.25</v>
      </c>
      <c r="YB100">
        <v>1.25</v>
      </c>
      <c r="YC100">
        <v>1.25</v>
      </c>
      <c r="YD100">
        <v>1.25</v>
      </c>
      <c r="YE100">
        <v>1.25</v>
      </c>
      <c r="YF100">
        <v>1.25</v>
      </c>
      <c r="YG100">
        <v>1.25</v>
      </c>
      <c r="YH100">
        <v>1.25</v>
      </c>
      <c r="YI100">
        <v>1.25</v>
      </c>
      <c r="YJ100">
        <v>1.25</v>
      </c>
      <c r="YK100">
        <v>1.25</v>
      </c>
      <c r="YL100">
        <v>1.25</v>
      </c>
      <c r="YM100">
        <v>1.25</v>
      </c>
      <c r="YN100">
        <v>1.25</v>
      </c>
      <c r="YO100">
        <v>1.25</v>
      </c>
      <c r="YP100">
        <v>1.25</v>
      </c>
      <c r="YQ100">
        <v>1.25</v>
      </c>
      <c r="YR100">
        <v>1.25</v>
      </c>
      <c r="YS100">
        <v>1.25</v>
      </c>
      <c r="YT100">
        <v>1.25</v>
      </c>
      <c r="YU100">
        <v>1.25</v>
      </c>
      <c r="YV100">
        <v>1.25</v>
      </c>
      <c r="YW100">
        <v>1.25</v>
      </c>
      <c r="YX100">
        <v>0</v>
      </c>
      <c r="YY100">
        <v>0</v>
      </c>
      <c r="YZ100">
        <v>0</v>
      </c>
      <c r="ZA100">
        <v>0</v>
      </c>
      <c r="ZB100">
        <v>0</v>
      </c>
      <c r="ZC100">
        <v>0</v>
      </c>
      <c r="ZD100">
        <v>0</v>
      </c>
      <c r="ZE100">
        <v>0</v>
      </c>
      <c r="ZF100">
        <v>0</v>
      </c>
      <c r="ZG100">
        <v>0</v>
      </c>
      <c r="ZH100">
        <v>0</v>
      </c>
      <c r="ZI100">
        <v>0</v>
      </c>
      <c r="ZJ100">
        <v>0</v>
      </c>
      <c r="ZK100">
        <v>0</v>
      </c>
      <c r="ZL100">
        <v>0</v>
      </c>
      <c r="ZM100">
        <v>0</v>
      </c>
      <c r="ZN100">
        <v>0</v>
      </c>
      <c r="ZO100">
        <v>0</v>
      </c>
      <c r="ZP100">
        <v>0</v>
      </c>
      <c r="ZQ100">
        <v>0</v>
      </c>
      <c r="ZR100">
        <v>0</v>
      </c>
      <c r="ZS100">
        <v>0</v>
      </c>
      <c r="ZT100">
        <v>0</v>
      </c>
      <c r="ZU100">
        <v>0</v>
      </c>
      <c r="ZV100">
        <v>0</v>
      </c>
      <c r="ZW100">
        <v>0</v>
      </c>
      <c r="ZX100">
        <v>0</v>
      </c>
      <c r="ZY100">
        <v>0</v>
      </c>
      <c r="ZZ100">
        <v>0</v>
      </c>
      <c r="AAA100">
        <v>0</v>
      </c>
      <c r="AAB100">
        <v>0</v>
      </c>
      <c r="AAC100">
        <v>0</v>
      </c>
      <c r="AAD100">
        <v>0</v>
      </c>
      <c r="AAE100">
        <v>0</v>
      </c>
      <c r="AAF100">
        <v>0</v>
      </c>
      <c r="AAG100">
        <v>0</v>
      </c>
      <c r="AAH100">
        <v>0</v>
      </c>
      <c r="AAI100">
        <v>0</v>
      </c>
      <c r="AAJ100">
        <v>0</v>
      </c>
      <c r="AAK100">
        <v>0</v>
      </c>
      <c r="AAL100">
        <v>0</v>
      </c>
      <c r="AAM100">
        <v>0</v>
      </c>
      <c r="AAN100">
        <v>0</v>
      </c>
      <c r="AAO100">
        <v>0</v>
      </c>
      <c r="AAP100">
        <v>0</v>
      </c>
      <c r="AAQ100">
        <v>0</v>
      </c>
      <c r="AAR100">
        <v>0</v>
      </c>
      <c r="AAS100">
        <v>0</v>
      </c>
      <c r="AAT100">
        <v>0</v>
      </c>
      <c r="AAU100">
        <v>0</v>
      </c>
      <c r="AAV100">
        <v>0</v>
      </c>
      <c r="AAW100">
        <v>0</v>
      </c>
      <c r="AAX100">
        <v>0</v>
      </c>
      <c r="AAY100">
        <v>0</v>
      </c>
      <c r="AAZ100">
        <v>0</v>
      </c>
      <c r="ABA100">
        <v>0</v>
      </c>
      <c r="ABB100">
        <v>0</v>
      </c>
      <c r="ABC100">
        <v>0</v>
      </c>
      <c r="ABD100">
        <v>0</v>
      </c>
      <c r="ABE100">
        <v>0</v>
      </c>
      <c r="ABF100">
        <v>0</v>
      </c>
      <c r="ABG100">
        <v>0</v>
      </c>
      <c r="ABH100">
        <v>0</v>
      </c>
      <c r="ABI100">
        <v>0</v>
      </c>
      <c r="ABJ100">
        <v>0</v>
      </c>
      <c r="ABK100">
        <v>0</v>
      </c>
      <c r="ABL100">
        <v>0</v>
      </c>
      <c r="ABM100">
        <v>0</v>
      </c>
      <c r="ABN100">
        <v>0</v>
      </c>
      <c r="ABO100">
        <v>0</v>
      </c>
      <c r="ABP100">
        <v>0</v>
      </c>
      <c r="ABQ100">
        <v>0</v>
      </c>
      <c r="ABR100">
        <v>0</v>
      </c>
      <c r="ABS100">
        <v>0</v>
      </c>
      <c r="ABT100">
        <v>0</v>
      </c>
      <c r="ABU100">
        <v>0</v>
      </c>
      <c r="ABV100">
        <v>0</v>
      </c>
      <c r="ABW100">
        <v>0</v>
      </c>
      <c r="ABX100">
        <v>0</v>
      </c>
      <c r="ABY100">
        <v>0</v>
      </c>
      <c r="ABZ100">
        <v>0</v>
      </c>
      <c r="ACA100">
        <v>0</v>
      </c>
      <c r="ACB100">
        <v>0</v>
      </c>
      <c r="ACC100">
        <v>0</v>
      </c>
      <c r="ACD100">
        <v>0</v>
      </c>
      <c r="ACE100">
        <v>0</v>
      </c>
      <c r="ACF100">
        <v>0</v>
      </c>
      <c r="ACG100">
        <v>0</v>
      </c>
      <c r="ACH100">
        <v>0</v>
      </c>
      <c r="ACI100">
        <v>0</v>
      </c>
      <c r="ACJ100">
        <v>0</v>
      </c>
      <c r="ACK100">
        <v>0</v>
      </c>
      <c r="ACL100">
        <v>0</v>
      </c>
      <c r="ACM100">
        <v>0</v>
      </c>
      <c r="ACN100">
        <v>0</v>
      </c>
      <c r="ACO100">
        <v>0</v>
      </c>
      <c r="ACP100">
        <v>0</v>
      </c>
      <c r="ACQ100">
        <v>0</v>
      </c>
      <c r="ACR100">
        <v>0</v>
      </c>
      <c r="ACS100">
        <v>0</v>
      </c>
      <c r="ACT100">
        <v>0</v>
      </c>
      <c r="ACU100">
        <v>0</v>
      </c>
      <c r="ACV100">
        <v>0</v>
      </c>
      <c r="ACW100">
        <v>0</v>
      </c>
      <c r="ACX100">
        <v>0</v>
      </c>
      <c r="ACY100">
        <v>0</v>
      </c>
      <c r="ACZ100">
        <v>0</v>
      </c>
      <c r="ADA100">
        <v>0</v>
      </c>
      <c r="ADB100">
        <v>0</v>
      </c>
      <c r="ADC100">
        <v>0</v>
      </c>
      <c r="ADD100">
        <v>0</v>
      </c>
      <c r="ADE100">
        <v>0</v>
      </c>
      <c r="ADF100">
        <v>0</v>
      </c>
      <c r="ADG100">
        <v>0</v>
      </c>
      <c r="ADH100">
        <v>0</v>
      </c>
      <c r="ADI100">
        <v>0</v>
      </c>
      <c r="ADJ100">
        <v>0</v>
      </c>
      <c r="ADK100">
        <v>0</v>
      </c>
      <c r="ADL100">
        <v>0</v>
      </c>
      <c r="ADM100">
        <v>0</v>
      </c>
      <c r="ADN100">
        <v>0</v>
      </c>
      <c r="ADO100">
        <v>0</v>
      </c>
      <c r="ADP100">
        <v>0</v>
      </c>
      <c r="ADQ100">
        <v>0</v>
      </c>
      <c r="ADR100">
        <v>0</v>
      </c>
      <c r="ADS100">
        <v>0</v>
      </c>
      <c r="ADT100">
        <v>0</v>
      </c>
      <c r="ADU100">
        <v>0</v>
      </c>
      <c r="ADV100">
        <v>0</v>
      </c>
      <c r="ADW100">
        <v>0</v>
      </c>
      <c r="ADX100">
        <v>0</v>
      </c>
      <c r="ADY100">
        <v>0</v>
      </c>
      <c r="ADZ100">
        <v>0</v>
      </c>
      <c r="AEA100">
        <v>0</v>
      </c>
      <c r="AEB100">
        <v>0</v>
      </c>
      <c r="AEC100">
        <v>0</v>
      </c>
      <c r="AED100">
        <v>0</v>
      </c>
      <c r="AEE100">
        <v>0</v>
      </c>
      <c r="AEF100">
        <v>0</v>
      </c>
      <c r="AEG100">
        <v>0</v>
      </c>
      <c r="AEH100">
        <v>0</v>
      </c>
      <c r="AEI100">
        <v>0</v>
      </c>
      <c r="AEJ100">
        <v>0</v>
      </c>
      <c r="AEK100">
        <v>0</v>
      </c>
      <c r="AEL100">
        <v>0</v>
      </c>
      <c r="AEM100">
        <v>0</v>
      </c>
      <c r="AEN100">
        <v>0</v>
      </c>
      <c r="AEO100">
        <v>0</v>
      </c>
      <c r="AEP100">
        <v>0</v>
      </c>
      <c r="AEQ100">
        <v>0</v>
      </c>
      <c r="AER100">
        <v>0</v>
      </c>
      <c r="AES100">
        <v>0</v>
      </c>
      <c r="AET100">
        <v>0</v>
      </c>
      <c r="AEU100">
        <v>0</v>
      </c>
      <c r="AEV100">
        <v>0</v>
      </c>
      <c r="AEW100">
        <v>0</v>
      </c>
      <c r="AEX100">
        <v>0</v>
      </c>
      <c r="AEY100">
        <v>0</v>
      </c>
      <c r="AEZ100">
        <v>0</v>
      </c>
      <c r="AFA100">
        <v>0</v>
      </c>
      <c r="AFB100">
        <v>0</v>
      </c>
      <c r="AFC100">
        <v>0</v>
      </c>
      <c r="AFD100">
        <v>0</v>
      </c>
      <c r="AFE100">
        <v>0</v>
      </c>
      <c r="AFF100">
        <v>0</v>
      </c>
      <c r="AFG100">
        <v>0</v>
      </c>
      <c r="AFH100">
        <v>0</v>
      </c>
      <c r="AFI100">
        <v>0</v>
      </c>
      <c r="AFJ100">
        <v>0</v>
      </c>
      <c r="AFK100">
        <v>0</v>
      </c>
      <c r="AFL100">
        <v>0</v>
      </c>
      <c r="AFM100">
        <v>0</v>
      </c>
      <c r="AFN100">
        <v>0</v>
      </c>
      <c r="AFO100">
        <v>0</v>
      </c>
      <c r="AFP100">
        <v>0</v>
      </c>
      <c r="AFQ100">
        <v>0</v>
      </c>
      <c r="AFR100">
        <v>0</v>
      </c>
      <c r="AFS100">
        <v>0</v>
      </c>
      <c r="AFT100">
        <v>0</v>
      </c>
      <c r="AFU100">
        <v>0</v>
      </c>
      <c r="AFV100">
        <v>0</v>
      </c>
      <c r="AFW100">
        <v>0</v>
      </c>
      <c r="AFX100">
        <v>0</v>
      </c>
      <c r="AFY100">
        <v>0</v>
      </c>
      <c r="AFZ100">
        <v>0</v>
      </c>
      <c r="AGA100">
        <v>0</v>
      </c>
      <c r="AGB100">
        <v>0</v>
      </c>
      <c r="AGC100">
        <v>0</v>
      </c>
      <c r="AGD100">
        <v>0</v>
      </c>
      <c r="AGE100">
        <v>0</v>
      </c>
      <c r="AGF100">
        <v>0</v>
      </c>
      <c r="AGG100">
        <v>0</v>
      </c>
      <c r="AGH100">
        <v>0</v>
      </c>
      <c r="AGI100">
        <v>0</v>
      </c>
      <c r="AGJ100">
        <v>0</v>
      </c>
      <c r="AGK100">
        <v>0</v>
      </c>
      <c r="AGL100">
        <v>0</v>
      </c>
      <c r="AGM100">
        <v>0</v>
      </c>
      <c r="AGN100">
        <v>0</v>
      </c>
      <c r="AGO100">
        <v>0</v>
      </c>
      <c r="AGP100">
        <v>0</v>
      </c>
      <c r="AGQ100">
        <v>0</v>
      </c>
      <c r="AGR100">
        <v>0</v>
      </c>
      <c r="AGS100">
        <v>0</v>
      </c>
      <c r="AGT100">
        <v>0</v>
      </c>
      <c r="AGU100">
        <v>0</v>
      </c>
      <c r="AGV100">
        <v>0</v>
      </c>
      <c r="AGW100">
        <v>0</v>
      </c>
      <c r="AGX100">
        <v>0</v>
      </c>
      <c r="AGY100">
        <v>0</v>
      </c>
      <c r="AGZ100">
        <v>0</v>
      </c>
      <c r="AHA100">
        <v>0</v>
      </c>
      <c r="AHB100">
        <v>0</v>
      </c>
      <c r="AHC100">
        <v>0</v>
      </c>
      <c r="AHD100">
        <v>0</v>
      </c>
      <c r="AHE100">
        <v>0</v>
      </c>
      <c r="AHF100">
        <v>0</v>
      </c>
      <c r="AHG100">
        <v>0</v>
      </c>
      <c r="AHH100">
        <v>0</v>
      </c>
      <c r="AHI100">
        <v>0</v>
      </c>
      <c r="AHJ100">
        <v>0</v>
      </c>
      <c r="AHK100">
        <v>0</v>
      </c>
      <c r="AHL100">
        <v>0</v>
      </c>
      <c r="AHM100">
        <v>0</v>
      </c>
      <c r="AHN100">
        <v>0</v>
      </c>
      <c r="AHO100">
        <v>0</v>
      </c>
      <c r="AHP100">
        <v>0</v>
      </c>
      <c r="AHQ100">
        <v>0</v>
      </c>
      <c r="AHR100">
        <v>0</v>
      </c>
      <c r="AHS100">
        <v>0</v>
      </c>
      <c r="AHT100">
        <v>0</v>
      </c>
      <c r="AHU100">
        <v>0</v>
      </c>
      <c r="AHV100">
        <v>0</v>
      </c>
      <c r="AHW100">
        <v>0</v>
      </c>
      <c r="AHX100">
        <v>0</v>
      </c>
      <c r="AHY100">
        <v>0</v>
      </c>
      <c r="AHZ100">
        <v>0</v>
      </c>
      <c r="AIA100">
        <v>0</v>
      </c>
      <c r="AIB100">
        <v>0</v>
      </c>
      <c r="AIC100">
        <v>0</v>
      </c>
      <c r="AID100">
        <v>0</v>
      </c>
      <c r="AIE100">
        <v>0</v>
      </c>
      <c r="AIF100">
        <v>0</v>
      </c>
      <c r="AIG100">
        <v>0</v>
      </c>
      <c r="AIH100">
        <v>0</v>
      </c>
      <c r="AII100">
        <v>0</v>
      </c>
      <c r="AIJ100">
        <v>0</v>
      </c>
      <c r="AIK100">
        <v>0</v>
      </c>
      <c r="AIL100">
        <v>0</v>
      </c>
      <c r="AIM100">
        <v>0</v>
      </c>
      <c r="AIN100">
        <v>0</v>
      </c>
      <c r="AIO100">
        <v>0</v>
      </c>
      <c r="AIP100">
        <v>0</v>
      </c>
      <c r="AIQ100">
        <v>0</v>
      </c>
      <c r="AIR100">
        <v>0</v>
      </c>
      <c r="AIS100">
        <v>0</v>
      </c>
      <c r="AIT100">
        <v>0</v>
      </c>
      <c r="AIU100">
        <v>0</v>
      </c>
      <c r="AIV100">
        <v>0</v>
      </c>
      <c r="AIW100">
        <v>0</v>
      </c>
      <c r="AIX100">
        <v>0</v>
      </c>
      <c r="AIY100">
        <v>0</v>
      </c>
      <c r="AIZ100">
        <v>0</v>
      </c>
      <c r="AJA100">
        <v>0</v>
      </c>
      <c r="AJB100">
        <v>0</v>
      </c>
      <c r="AJC100">
        <v>0</v>
      </c>
      <c r="AJD100">
        <v>0</v>
      </c>
      <c r="AJE100">
        <v>0</v>
      </c>
      <c r="AJF100">
        <v>0</v>
      </c>
      <c r="AJG100">
        <v>0</v>
      </c>
      <c r="AJH100">
        <v>0</v>
      </c>
      <c r="AJI100">
        <v>0</v>
      </c>
      <c r="AJJ100">
        <v>0</v>
      </c>
      <c r="AJK100">
        <v>0</v>
      </c>
      <c r="AJL100">
        <v>0</v>
      </c>
      <c r="AJM100">
        <v>0</v>
      </c>
      <c r="AJN100">
        <v>0</v>
      </c>
      <c r="AJO100">
        <v>0</v>
      </c>
      <c r="AJP100">
        <v>0</v>
      </c>
      <c r="AJQ100">
        <v>0</v>
      </c>
      <c r="AJR100">
        <v>0</v>
      </c>
      <c r="AJS100">
        <v>0</v>
      </c>
      <c r="AJT100">
        <v>0</v>
      </c>
      <c r="AJU100">
        <v>0</v>
      </c>
      <c r="AJV100">
        <v>0</v>
      </c>
      <c r="AJW100">
        <v>0</v>
      </c>
      <c r="AJX100">
        <v>0</v>
      </c>
      <c r="AJY100">
        <v>0</v>
      </c>
    </row>
    <row r="101" spans="1:961" x14ac:dyDescent="0.3">
      <c r="A101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0</v>
      </c>
      <c r="LF101">
        <v>0</v>
      </c>
      <c r="LG101">
        <v>0</v>
      </c>
      <c r="LH101">
        <v>0</v>
      </c>
      <c r="LI101">
        <v>0</v>
      </c>
      <c r="LJ101">
        <v>0</v>
      </c>
      <c r="LK101">
        <v>0</v>
      </c>
      <c r="LL101">
        <v>0</v>
      </c>
      <c r="LM101">
        <v>0</v>
      </c>
      <c r="LN101">
        <v>0</v>
      </c>
      <c r="LO101">
        <v>0</v>
      </c>
      <c r="LP101">
        <v>0</v>
      </c>
      <c r="LQ101">
        <v>0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0</v>
      </c>
      <c r="ME101">
        <v>0</v>
      </c>
      <c r="MF101">
        <v>0</v>
      </c>
      <c r="MG101">
        <v>0</v>
      </c>
      <c r="MH101">
        <v>0</v>
      </c>
      <c r="MI101">
        <v>0</v>
      </c>
      <c r="MJ101">
        <v>0</v>
      </c>
      <c r="MK101">
        <v>0</v>
      </c>
      <c r="ML101">
        <v>0</v>
      </c>
      <c r="MM101">
        <v>0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0</v>
      </c>
      <c r="NM101">
        <v>0</v>
      </c>
      <c r="NN101">
        <v>0</v>
      </c>
      <c r="NO101">
        <v>0</v>
      </c>
      <c r="NP101">
        <v>0</v>
      </c>
      <c r="NQ101">
        <v>0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0</v>
      </c>
      <c r="OO101">
        <v>0</v>
      </c>
      <c r="OP101">
        <v>0</v>
      </c>
      <c r="OQ101">
        <v>0</v>
      </c>
      <c r="OR101">
        <v>0</v>
      </c>
      <c r="OS101">
        <v>0</v>
      </c>
      <c r="OT101">
        <v>0</v>
      </c>
      <c r="OU101">
        <v>0</v>
      </c>
      <c r="OV101">
        <v>0</v>
      </c>
      <c r="OW101">
        <v>0</v>
      </c>
      <c r="OX101">
        <v>0</v>
      </c>
      <c r="OY101">
        <v>0</v>
      </c>
      <c r="OZ101">
        <v>0</v>
      </c>
      <c r="PA101">
        <v>0</v>
      </c>
      <c r="PB101">
        <v>0</v>
      </c>
      <c r="PC101">
        <v>0</v>
      </c>
      <c r="PD101">
        <v>0</v>
      </c>
      <c r="PE101">
        <v>0</v>
      </c>
      <c r="PF101">
        <v>0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</v>
      </c>
      <c r="PO101">
        <v>0</v>
      </c>
      <c r="PP101">
        <v>0</v>
      </c>
      <c r="PQ101">
        <v>0</v>
      </c>
      <c r="PR101">
        <v>0</v>
      </c>
      <c r="PS101">
        <v>0</v>
      </c>
      <c r="PT101">
        <v>0</v>
      </c>
      <c r="PU101">
        <v>0</v>
      </c>
      <c r="PV101">
        <v>0</v>
      </c>
      <c r="PW101">
        <v>0</v>
      </c>
      <c r="PX101">
        <v>0</v>
      </c>
      <c r="PY101">
        <v>0</v>
      </c>
      <c r="PZ101">
        <v>0</v>
      </c>
      <c r="QA101">
        <v>0</v>
      </c>
      <c r="QB101">
        <v>0</v>
      </c>
      <c r="QC101">
        <v>0</v>
      </c>
      <c r="QD101">
        <v>0</v>
      </c>
      <c r="QE101">
        <v>0</v>
      </c>
      <c r="QF101">
        <v>0</v>
      </c>
      <c r="QG101">
        <v>0</v>
      </c>
      <c r="QH101">
        <v>0</v>
      </c>
      <c r="QI101">
        <v>0</v>
      </c>
      <c r="QJ101">
        <v>0</v>
      </c>
      <c r="QK101">
        <v>0</v>
      </c>
      <c r="QL101">
        <v>0</v>
      </c>
      <c r="QM101">
        <v>0</v>
      </c>
      <c r="QN101">
        <v>0</v>
      </c>
      <c r="QO101">
        <v>0</v>
      </c>
      <c r="QP101">
        <v>0</v>
      </c>
      <c r="QQ101">
        <v>0</v>
      </c>
      <c r="QR101">
        <v>0</v>
      </c>
      <c r="QS101">
        <v>0</v>
      </c>
      <c r="QT101">
        <v>0</v>
      </c>
      <c r="QU101">
        <v>0</v>
      </c>
      <c r="QV101">
        <v>0</v>
      </c>
      <c r="QW101">
        <v>0</v>
      </c>
      <c r="QX101">
        <v>0</v>
      </c>
      <c r="QY101">
        <v>0</v>
      </c>
      <c r="QZ101">
        <v>0</v>
      </c>
      <c r="RA101">
        <v>0</v>
      </c>
      <c r="RB101">
        <v>0</v>
      </c>
      <c r="RC101">
        <v>0</v>
      </c>
      <c r="RD101">
        <v>0</v>
      </c>
      <c r="RE101">
        <v>0</v>
      </c>
      <c r="RF101">
        <v>0</v>
      </c>
      <c r="RG101">
        <v>0</v>
      </c>
      <c r="RH101">
        <v>0</v>
      </c>
      <c r="RI101">
        <v>0</v>
      </c>
      <c r="RJ101">
        <v>0</v>
      </c>
      <c r="RK101">
        <v>0</v>
      </c>
      <c r="RL101">
        <v>0</v>
      </c>
      <c r="RM101">
        <v>0</v>
      </c>
      <c r="RN101">
        <v>0</v>
      </c>
      <c r="RO101">
        <v>0</v>
      </c>
      <c r="RP101">
        <v>0</v>
      </c>
      <c r="RQ101">
        <v>0</v>
      </c>
      <c r="RR101">
        <v>0</v>
      </c>
      <c r="RS101">
        <v>0</v>
      </c>
      <c r="RT101">
        <v>0</v>
      </c>
      <c r="RU101">
        <v>0</v>
      </c>
      <c r="RV101">
        <v>0</v>
      </c>
      <c r="RW101">
        <v>0</v>
      </c>
      <c r="RX101">
        <v>0</v>
      </c>
      <c r="RY101">
        <v>0</v>
      </c>
      <c r="RZ101">
        <v>0</v>
      </c>
      <c r="SA101">
        <v>0</v>
      </c>
      <c r="SB101">
        <v>0</v>
      </c>
      <c r="SC101">
        <v>0</v>
      </c>
      <c r="SD101">
        <v>0</v>
      </c>
      <c r="SE101">
        <v>0</v>
      </c>
      <c r="SF101">
        <v>0</v>
      </c>
      <c r="SG101">
        <v>0</v>
      </c>
      <c r="SH101">
        <v>0</v>
      </c>
      <c r="SI101">
        <v>0</v>
      </c>
      <c r="SJ101">
        <v>0</v>
      </c>
      <c r="SK101">
        <v>0</v>
      </c>
      <c r="SL101">
        <v>0</v>
      </c>
      <c r="SM101">
        <v>0</v>
      </c>
      <c r="SN101">
        <v>0</v>
      </c>
      <c r="SO101">
        <v>0</v>
      </c>
      <c r="SP101">
        <v>0</v>
      </c>
      <c r="SQ101">
        <v>0</v>
      </c>
      <c r="SR101">
        <v>0</v>
      </c>
      <c r="SS101">
        <v>0</v>
      </c>
      <c r="ST101">
        <v>0</v>
      </c>
      <c r="SU101">
        <v>0</v>
      </c>
      <c r="SV101">
        <v>0</v>
      </c>
      <c r="SW101">
        <v>0</v>
      </c>
      <c r="SX101">
        <v>0</v>
      </c>
      <c r="SY101">
        <v>0</v>
      </c>
      <c r="SZ101">
        <v>0</v>
      </c>
      <c r="TA101">
        <v>0</v>
      </c>
      <c r="TB101">
        <v>0</v>
      </c>
      <c r="TC101">
        <v>0</v>
      </c>
      <c r="TD101">
        <v>0</v>
      </c>
      <c r="TE101">
        <v>0</v>
      </c>
      <c r="TF101">
        <v>0</v>
      </c>
      <c r="TG101">
        <v>0</v>
      </c>
      <c r="TH101">
        <v>0</v>
      </c>
      <c r="TI101">
        <v>0</v>
      </c>
      <c r="TJ101">
        <v>0</v>
      </c>
      <c r="TK101">
        <v>0</v>
      </c>
      <c r="TL101">
        <v>0</v>
      </c>
      <c r="TM101">
        <v>0</v>
      </c>
      <c r="TN101">
        <v>0</v>
      </c>
      <c r="TO101">
        <v>0</v>
      </c>
      <c r="TP101">
        <v>0</v>
      </c>
      <c r="TQ101">
        <v>0</v>
      </c>
      <c r="TR101">
        <v>0</v>
      </c>
      <c r="TS101">
        <v>0</v>
      </c>
      <c r="TT101">
        <v>0</v>
      </c>
      <c r="TU101">
        <v>0</v>
      </c>
      <c r="TV101">
        <v>0</v>
      </c>
      <c r="TW101">
        <v>0</v>
      </c>
      <c r="TX101">
        <v>0</v>
      </c>
      <c r="TY101">
        <v>0</v>
      </c>
      <c r="TZ101">
        <v>0</v>
      </c>
      <c r="UA101">
        <v>0</v>
      </c>
      <c r="UB101">
        <v>0</v>
      </c>
      <c r="UC101">
        <v>0</v>
      </c>
      <c r="UD101">
        <v>0</v>
      </c>
      <c r="UE101">
        <v>0</v>
      </c>
      <c r="UF101">
        <v>0</v>
      </c>
      <c r="UG101">
        <v>0</v>
      </c>
      <c r="UH101">
        <v>0</v>
      </c>
      <c r="UI101">
        <v>0</v>
      </c>
      <c r="UJ101">
        <v>0</v>
      </c>
      <c r="UK101">
        <v>0</v>
      </c>
      <c r="UL101">
        <v>0</v>
      </c>
      <c r="UM101">
        <v>0</v>
      </c>
      <c r="UN101">
        <v>0</v>
      </c>
      <c r="UO101">
        <v>0</v>
      </c>
      <c r="UP101">
        <v>0</v>
      </c>
      <c r="UQ101">
        <v>0</v>
      </c>
      <c r="UR101">
        <v>0</v>
      </c>
      <c r="US101">
        <v>0</v>
      </c>
      <c r="UT101">
        <v>0</v>
      </c>
      <c r="UU101">
        <v>0</v>
      </c>
      <c r="UV101">
        <v>0</v>
      </c>
      <c r="UW101">
        <v>0</v>
      </c>
      <c r="UX101">
        <v>0</v>
      </c>
      <c r="UY101">
        <v>0</v>
      </c>
      <c r="UZ101">
        <v>0</v>
      </c>
      <c r="VA101">
        <v>0</v>
      </c>
      <c r="VB101">
        <v>0</v>
      </c>
      <c r="VC101">
        <v>0</v>
      </c>
      <c r="VD101">
        <v>0</v>
      </c>
      <c r="VE101">
        <v>0</v>
      </c>
      <c r="VF101">
        <v>0</v>
      </c>
      <c r="VG101">
        <v>0</v>
      </c>
      <c r="VH101">
        <v>0</v>
      </c>
      <c r="VI101">
        <v>0</v>
      </c>
      <c r="VJ101">
        <v>0</v>
      </c>
      <c r="VK101">
        <v>0</v>
      </c>
      <c r="VL101">
        <v>0</v>
      </c>
      <c r="VM101">
        <v>0</v>
      </c>
      <c r="VN101">
        <v>0</v>
      </c>
      <c r="VO101">
        <v>0</v>
      </c>
      <c r="VP101">
        <v>0</v>
      </c>
      <c r="VQ101">
        <v>0</v>
      </c>
      <c r="VR101">
        <v>0</v>
      </c>
      <c r="VS101">
        <v>0</v>
      </c>
      <c r="VT101">
        <v>0</v>
      </c>
      <c r="VU101">
        <v>0</v>
      </c>
      <c r="VV101">
        <v>0</v>
      </c>
      <c r="VW101">
        <v>0</v>
      </c>
      <c r="VX101">
        <v>0</v>
      </c>
      <c r="VY101">
        <v>0</v>
      </c>
      <c r="VZ101">
        <v>0</v>
      </c>
      <c r="WA101">
        <v>0</v>
      </c>
      <c r="WB101">
        <v>0</v>
      </c>
      <c r="WC101">
        <v>0</v>
      </c>
      <c r="WD101">
        <v>0</v>
      </c>
      <c r="WE101">
        <v>0</v>
      </c>
      <c r="WF101">
        <v>0</v>
      </c>
      <c r="WG101">
        <v>0</v>
      </c>
      <c r="WH101">
        <v>0</v>
      </c>
      <c r="WI101">
        <v>0</v>
      </c>
      <c r="WJ101">
        <v>0</v>
      </c>
      <c r="WK101">
        <v>0</v>
      </c>
      <c r="WL101">
        <v>0</v>
      </c>
      <c r="WM101">
        <v>0</v>
      </c>
      <c r="WN101">
        <v>0</v>
      </c>
      <c r="WO101">
        <v>0</v>
      </c>
      <c r="WP101">
        <v>0</v>
      </c>
      <c r="WQ101">
        <v>0</v>
      </c>
      <c r="WR101">
        <v>0</v>
      </c>
      <c r="WS101">
        <v>0</v>
      </c>
      <c r="WT101">
        <v>0</v>
      </c>
      <c r="WU101">
        <v>0</v>
      </c>
      <c r="WV101">
        <v>0</v>
      </c>
      <c r="WW101">
        <v>0</v>
      </c>
      <c r="WX101">
        <v>0</v>
      </c>
      <c r="WY101">
        <v>0</v>
      </c>
      <c r="WZ101">
        <v>0</v>
      </c>
      <c r="XA101">
        <v>0</v>
      </c>
      <c r="XB101">
        <v>0</v>
      </c>
      <c r="XC101">
        <v>0</v>
      </c>
      <c r="XD101">
        <v>0</v>
      </c>
      <c r="XE101">
        <v>0</v>
      </c>
      <c r="XF101">
        <v>0</v>
      </c>
      <c r="XG101">
        <v>0</v>
      </c>
      <c r="XH101">
        <v>0</v>
      </c>
      <c r="XI101">
        <v>0</v>
      </c>
      <c r="XJ101">
        <v>0</v>
      </c>
      <c r="XK101">
        <v>0</v>
      </c>
      <c r="XL101">
        <v>0</v>
      </c>
      <c r="XM101">
        <v>0</v>
      </c>
      <c r="XN101">
        <v>0</v>
      </c>
      <c r="XO101">
        <v>0</v>
      </c>
      <c r="XP101">
        <v>0</v>
      </c>
      <c r="XQ101">
        <v>0</v>
      </c>
      <c r="XR101">
        <v>0</v>
      </c>
      <c r="XS101">
        <v>0</v>
      </c>
      <c r="XT101">
        <v>0</v>
      </c>
      <c r="XU101">
        <v>0</v>
      </c>
      <c r="XV101">
        <v>0</v>
      </c>
      <c r="XW101">
        <v>0</v>
      </c>
      <c r="XX101">
        <v>0</v>
      </c>
      <c r="XY101">
        <v>0</v>
      </c>
      <c r="XZ101">
        <v>0</v>
      </c>
      <c r="YA101">
        <v>0</v>
      </c>
      <c r="YB101">
        <v>0</v>
      </c>
      <c r="YC101">
        <v>0</v>
      </c>
      <c r="YD101">
        <v>0</v>
      </c>
      <c r="YE101">
        <v>0</v>
      </c>
      <c r="YF101">
        <v>0</v>
      </c>
      <c r="YG101">
        <v>0</v>
      </c>
      <c r="YH101">
        <v>0</v>
      </c>
      <c r="YI101">
        <v>0</v>
      </c>
      <c r="YJ101">
        <v>0</v>
      </c>
      <c r="YK101">
        <v>0</v>
      </c>
      <c r="YL101">
        <v>0</v>
      </c>
      <c r="YM101">
        <v>0</v>
      </c>
      <c r="YN101">
        <v>0</v>
      </c>
      <c r="YO101">
        <v>0</v>
      </c>
      <c r="YP101">
        <v>0</v>
      </c>
      <c r="YQ101">
        <v>0</v>
      </c>
      <c r="YR101">
        <v>0</v>
      </c>
      <c r="YS101">
        <v>0</v>
      </c>
      <c r="YT101">
        <v>0</v>
      </c>
      <c r="YU101">
        <v>0</v>
      </c>
      <c r="YV101">
        <v>0</v>
      </c>
      <c r="YW101">
        <v>0</v>
      </c>
      <c r="YX101">
        <v>64.041095890410958</v>
      </c>
      <c r="YY101">
        <v>64.041095890410958</v>
      </c>
      <c r="YZ101">
        <v>64.041095890410958</v>
      </c>
      <c r="ZA101">
        <v>64.041095890410958</v>
      </c>
      <c r="ZB101">
        <v>64.041095890410958</v>
      </c>
      <c r="ZC101">
        <v>64.041095890410958</v>
      </c>
      <c r="ZD101">
        <v>64.041095890410958</v>
      </c>
      <c r="ZE101">
        <v>64.041095890410958</v>
      </c>
      <c r="ZF101">
        <v>64.041095890410958</v>
      </c>
      <c r="ZG101">
        <v>64.041095890410958</v>
      </c>
      <c r="ZH101">
        <v>64.041095890410958</v>
      </c>
      <c r="ZI101">
        <v>64.041095890410958</v>
      </c>
      <c r="ZJ101">
        <v>64.041095890410958</v>
      </c>
      <c r="ZK101">
        <v>64.041095890410958</v>
      </c>
      <c r="ZL101">
        <v>64.041095890410958</v>
      </c>
      <c r="ZM101">
        <v>64.041095890410958</v>
      </c>
      <c r="ZN101">
        <v>64.041095890410958</v>
      </c>
      <c r="ZO101">
        <v>64.041095890410958</v>
      </c>
      <c r="ZP101">
        <v>64.041095890410958</v>
      </c>
      <c r="ZQ101">
        <v>64.041095890410958</v>
      </c>
      <c r="ZR101">
        <v>64.041095890410958</v>
      </c>
      <c r="ZS101">
        <v>64.041095890410958</v>
      </c>
      <c r="ZT101">
        <v>64.041095890410958</v>
      </c>
      <c r="ZU101">
        <v>64.041095890410958</v>
      </c>
      <c r="ZV101">
        <v>64.041095890410958</v>
      </c>
      <c r="ZW101">
        <v>64.041095890410958</v>
      </c>
      <c r="ZX101">
        <v>64.041095890410958</v>
      </c>
      <c r="ZY101">
        <v>64.041095890410958</v>
      </c>
      <c r="ZZ101">
        <v>64.041095890410958</v>
      </c>
      <c r="AAA101">
        <v>64.041095890410958</v>
      </c>
      <c r="AAB101">
        <v>64.041095890410958</v>
      </c>
      <c r="AAC101">
        <v>64.041095890410958</v>
      </c>
      <c r="AAD101">
        <v>64.041095890410958</v>
      </c>
      <c r="AAE101">
        <v>64.041095890410958</v>
      </c>
      <c r="AAF101">
        <v>64.041095890410958</v>
      </c>
      <c r="AAG101">
        <v>64.041095890410958</v>
      </c>
      <c r="AAH101">
        <v>64.041095890410958</v>
      </c>
      <c r="AAI101">
        <v>64.041095890410958</v>
      </c>
      <c r="AAJ101">
        <v>64.041095890410958</v>
      </c>
      <c r="AAK101">
        <v>64.041095890410958</v>
      </c>
      <c r="AAL101">
        <v>64.041095890410958</v>
      </c>
      <c r="AAM101">
        <v>64.041095890410958</v>
      </c>
      <c r="AAN101">
        <v>64.041095890410958</v>
      </c>
      <c r="AAO101">
        <v>64.041095890410958</v>
      </c>
      <c r="AAP101">
        <v>64.041095890410958</v>
      </c>
      <c r="AAQ101">
        <v>64.041095890410958</v>
      </c>
      <c r="AAR101">
        <v>64.041095890410958</v>
      </c>
      <c r="AAS101">
        <v>64.041095890410958</v>
      </c>
      <c r="AAT101">
        <v>64.041095890410958</v>
      </c>
      <c r="AAU101">
        <v>64.041095890410958</v>
      </c>
      <c r="AAV101">
        <v>64.041095890410958</v>
      </c>
      <c r="AAW101">
        <v>64.041095890410958</v>
      </c>
      <c r="AAX101">
        <v>64.041095890410958</v>
      </c>
      <c r="AAY101">
        <v>64.041095890410958</v>
      </c>
      <c r="AAZ101">
        <v>64.041095890410958</v>
      </c>
      <c r="ABA101">
        <v>64.041095890410958</v>
      </c>
      <c r="ABB101">
        <v>64.041095890410958</v>
      </c>
      <c r="ABC101">
        <v>64.041095890410958</v>
      </c>
      <c r="ABD101">
        <v>64.041095890410958</v>
      </c>
      <c r="ABE101">
        <v>64.041095890410958</v>
      </c>
      <c r="ABF101">
        <v>64.041095890410958</v>
      </c>
      <c r="ABG101">
        <v>64.041095890410958</v>
      </c>
      <c r="ABH101">
        <v>64.041095890410958</v>
      </c>
      <c r="ABI101">
        <v>64.041095890410958</v>
      </c>
      <c r="ABJ101">
        <v>64.041095890410958</v>
      </c>
      <c r="ABK101">
        <v>64.041095890410958</v>
      </c>
      <c r="ABL101">
        <v>64.041095890410958</v>
      </c>
      <c r="ABM101">
        <v>64.041095890410958</v>
      </c>
      <c r="ABN101">
        <v>64.041095890410958</v>
      </c>
      <c r="ABO101">
        <v>64.041095890410958</v>
      </c>
      <c r="ABP101">
        <v>64.041095890410958</v>
      </c>
      <c r="ABQ101">
        <v>64.041095890410958</v>
      </c>
      <c r="ABR101">
        <v>64.041095890410958</v>
      </c>
      <c r="ABS101">
        <v>64.041095890410958</v>
      </c>
      <c r="ABT101">
        <v>64.041095890410958</v>
      </c>
      <c r="ABU101">
        <v>64.041095890410958</v>
      </c>
      <c r="ABV101">
        <v>64.041095890410958</v>
      </c>
      <c r="ABW101">
        <v>64.041095890410958</v>
      </c>
      <c r="ABX101">
        <v>64.041095890410958</v>
      </c>
      <c r="ABY101">
        <v>64.041095890410958</v>
      </c>
      <c r="ABZ101">
        <v>64.041095890410958</v>
      </c>
      <c r="ACA101">
        <v>64.041095890410958</v>
      </c>
      <c r="ACB101">
        <v>64.041095890410958</v>
      </c>
      <c r="ACC101">
        <v>64.041095890410958</v>
      </c>
      <c r="ACD101">
        <v>64.041095890410958</v>
      </c>
      <c r="ACE101">
        <v>64.041095890410958</v>
      </c>
      <c r="ACF101">
        <v>64.041095890410958</v>
      </c>
      <c r="ACG101">
        <v>64.041095890410958</v>
      </c>
      <c r="ACH101">
        <v>64.041095890410958</v>
      </c>
      <c r="ACI101">
        <v>64.041095890410958</v>
      </c>
      <c r="ACJ101">
        <v>64.041095890410958</v>
      </c>
      <c r="ACK101">
        <v>64.041095890410958</v>
      </c>
      <c r="ACL101">
        <v>64.041095890410958</v>
      </c>
      <c r="ACM101">
        <v>64.041095890410958</v>
      </c>
      <c r="ACN101">
        <v>64.041095890410958</v>
      </c>
      <c r="ACO101">
        <v>64.041095890410958</v>
      </c>
      <c r="ACP101">
        <v>0</v>
      </c>
      <c r="ACQ101">
        <v>0</v>
      </c>
      <c r="ACR101">
        <v>0</v>
      </c>
      <c r="ACS101">
        <v>0</v>
      </c>
      <c r="ACT101">
        <v>0</v>
      </c>
      <c r="ACU101">
        <v>0</v>
      </c>
      <c r="ACV101">
        <v>0</v>
      </c>
      <c r="ACW101">
        <v>0</v>
      </c>
      <c r="ACX101">
        <v>0</v>
      </c>
      <c r="ACY101">
        <v>0</v>
      </c>
      <c r="ACZ101">
        <v>0</v>
      </c>
      <c r="ADA101">
        <v>0</v>
      </c>
      <c r="ADB101">
        <v>0</v>
      </c>
      <c r="ADC101">
        <v>0</v>
      </c>
      <c r="ADD101">
        <v>0</v>
      </c>
      <c r="ADE101">
        <v>0</v>
      </c>
      <c r="ADF101">
        <v>0</v>
      </c>
      <c r="ADG101">
        <v>0</v>
      </c>
      <c r="ADH101">
        <v>0</v>
      </c>
      <c r="ADI101">
        <v>0</v>
      </c>
      <c r="ADJ101">
        <v>0</v>
      </c>
      <c r="ADK101">
        <v>0</v>
      </c>
      <c r="ADL101">
        <v>0</v>
      </c>
      <c r="ADM101">
        <v>0</v>
      </c>
      <c r="ADN101">
        <v>0</v>
      </c>
      <c r="ADO101">
        <v>0</v>
      </c>
      <c r="ADP101">
        <v>0</v>
      </c>
      <c r="ADQ101">
        <v>0</v>
      </c>
      <c r="ADR101">
        <v>0</v>
      </c>
      <c r="ADS101">
        <v>0</v>
      </c>
      <c r="ADT101">
        <v>0</v>
      </c>
      <c r="ADU101">
        <v>0</v>
      </c>
      <c r="ADV101">
        <v>0</v>
      </c>
      <c r="ADW101">
        <v>0</v>
      </c>
      <c r="ADX101">
        <v>0</v>
      </c>
      <c r="ADY101">
        <v>0</v>
      </c>
      <c r="ADZ101">
        <v>0</v>
      </c>
      <c r="AEA101">
        <v>0</v>
      </c>
      <c r="AEB101">
        <v>0</v>
      </c>
      <c r="AEC101">
        <v>0</v>
      </c>
      <c r="AED101">
        <v>0</v>
      </c>
      <c r="AEE101">
        <v>0</v>
      </c>
      <c r="AEF101">
        <v>0</v>
      </c>
      <c r="AEG101">
        <v>0</v>
      </c>
      <c r="AEH101">
        <v>0</v>
      </c>
      <c r="AEI101">
        <v>0</v>
      </c>
      <c r="AEJ101">
        <v>0</v>
      </c>
      <c r="AEK101">
        <v>0</v>
      </c>
      <c r="AEL101">
        <v>0</v>
      </c>
      <c r="AEM101">
        <v>0</v>
      </c>
      <c r="AEN101">
        <v>0</v>
      </c>
      <c r="AEO101">
        <v>0</v>
      </c>
      <c r="AEP101">
        <v>0</v>
      </c>
      <c r="AEQ101">
        <v>0</v>
      </c>
      <c r="AER101">
        <v>0</v>
      </c>
      <c r="AES101">
        <v>0</v>
      </c>
      <c r="AET101">
        <v>0</v>
      </c>
      <c r="AEU101">
        <v>0</v>
      </c>
      <c r="AEV101">
        <v>0</v>
      </c>
      <c r="AEW101">
        <v>0</v>
      </c>
      <c r="AEX101">
        <v>0</v>
      </c>
      <c r="AEY101">
        <v>0</v>
      </c>
      <c r="AEZ101">
        <v>0</v>
      </c>
      <c r="AFA101">
        <v>0</v>
      </c>
      <c r="AFB101">
        <v>0</v>
      </c>
      <c r="AFC101">
        <v>0</v>
      </c>
      <c r="AFD101">
        <v>0</v>
      </c>
      <c r="AFE101">
        <v>0</v>
      </c>
      <c r="AFF101">
        <v>0</v>
      </c>
      <c r="AFG101">
        <v>0</v>
      </c>
      <c r="AFH101">
        <v>0</v>
      </c>
      <c r="AFI101">
        <v>0</v>
      </c>
      <c r="AFJ101">
        <v>0</v>
      </c>
      <c r="AFK101">
        <v>0</v>
      </c>
      <c r="AFL101">
        <v>0</v>
      </c>
      <c r="AFM101">
        <v>0</v>
      </c>
      <c r="AFN101">
        <v>0</v>
      </c>
      <c r="AFO101">
        <v>0</v>
      </c>
      <c r="AFP101">
        <v>0</v>
      </c>
      <c r="AFQ101">
        <v>0</v>
      </c>
      <c r="AFR101">
        <v>0</v>
      </c>
      <c r="AFS101">
        <v>0</v>
      </c>
      <c r="AFT101">
        <v>0</v>
      </c>
      <c r="AFU101">
        <v>0</v>
      </c>
      <c r="AFV101">
        <v>0</v>
      </c>
      <c r="AFW101">
        <v>0</v>
      </c>
      <c r="AFX101">
        <v>0</v>
      </c>
      <c r="AFY101">
        <v>0</v>
      </c>
      <c r="AFZ101">
        <v>0</v>
      </c>
      <c r="AGA101">
        <v>0</v>
      </c>
      <c r="AGB101">
        <v>0</v>
      </c>
      <c r="AGC101">
        <v>0</v>
      </c>
      <c r="AGD101">
        <v>0</v>
      </c>
      <c r="AGE101">
        <v>0</v>
      </c>
      <c r="AGF101">
        <v>0</v>
      </c>
      <c r="AGG101">
        <v>0</v>
      </c>
      <c r="AGH101">
        <v>0</v>
      </c>
      <c r="AGI101">
        <v>0</v>
      </c>
      <c r="AGJ101">
        <v>0</v>
      </c>
      <c r="AGK101">
        <v>0</v>
      </c>
      <c r="AGL101">
        <v>0</v>
      </c>
      <c r="AGM101">
        <v>0</v>
      </c>
      <c r="AGN101">
        <v>0</v>
      </c>
      <c r="AGO101">
        <v>0</v>
      </c>
      <c r="AGP101">
        <v>0</v>
      </c>
      <c r="AGQ101">
        <v>0</v>
      </c>
      <c r="AGR101">
        <v>0</v>
      </c>
      <c r="AGS101">
        <v>0</v>
      </c>
      <c r="AGT101">
        <v>0</v>
      </c>
      <c r="AGU101">
        <v>0</v>
      </c>
      <c r="AGV101">
        <v>0</v>
      </c>
      <c r="AGW101">
        <v>0</v>
      </c>
      <c r="AGX101">
        <v>0</v>
      </c>
      <c r="AGY101">
        <v>0</v>
      </c>
      <c r="AGZ101">
        <v>0</v>
      </c>
      <c r="AHA101">
        <v>0</v>
      </c>
      <c r="AHB101">
        <v>0</v>
      </c>
      <c r="AHC101">
        <v>0</v>
      </c>
      <c r="AHD101">
        <v>0</v>
      </c>
      <c r="AHE101">
        <v>0</v>
      </c>
      <c r="AHF101">
        <v>0</v>
      </c>
      <c r="AHG101">
        <v>0</v>
      </c>
      <c r="AHH101">
        <v>0</v>
      </c>
      <c r="AHI101">
        <v>0</v>
      </c>
      <c r="AHJ101">
        <v>0</v>
      </c>
      <c r="AHK101">
        <v>0</v>
      </c>
      <c r="AHL101">
        <v>0</v>
      </c>
      <c r="AHM101">
        <v>0</v>
      </c>
      <c r="AHN101">
        <v>0</v>
      </c>
      <c r="AHO101">
        <v>0</v>
      </c>
      <c r="AHP101">
        <v>0</v>
      </c>
      <c r="AHQ101">
        <v>0</v>
      </c>
      <c r="AHR101">
        <v>0</v>
      </c>
      <c r="AHS101">
        <v>0</v>
      </c>
      <c r="AHT101">
        <v>0</v>
      </c>
      <c r="AHU101">
        <v>0</v>
      </c>
      <c r="AHV101">
        <v>0</v>
      </c>
      <c r="AHW101">
        <v>0</v>
      </c>
      <c r="AHX101">
        <v>0</v>
      </c>
      <c r="AHY101">
        <v>0</v>
      </c>
      <c r="AHZ101">
        <v>0</v>
      </c>
      <c r="AIA101">
        <v>0</v>
      </c>
      <c r="AIB101">
        <v>0</v>
      </c>
      <c r="AIC101">
        <v>0</v>
      </c>
      <c r="AID101">
        <v>0</v>
      </c>
      <c r="AIE101">
        <v>0</v>
      </c>
      <c r="AIF101">
        <v>0</v>
      </c>
      <c r="AIG101">
        <v>0</v>
      </c>
      <c r="AIH101">
        <v>0</v>
      </c>
      <c r="AII101">
        <v>0</v>
      </c>
      <c r="AIJ101">
        <v>0</v>
      </c>
      <c r="AIK101">
        <v>0</v>
      </c>
      <c r="AIL101">
        <v>0</v>
      </c>
      <c r="AIM101">
        <v>0</v>
      </c>
      <c r="AIN101">
        <v>0</v>
      </c>
      <c r="AIO101">
        <v>0</v>
      </c>
      <c r="AIP101">
        <v>0</v>
      </c>
      <c r="AIQ101">
        <v>0</v>
      </c>
      <c r="AIR101">
        <v>0</v>
      </c>
      <c r="AIS101">
        <v>0</v>
      </c>
      <c r="AIT101">
        <v>0</v>
      </c>
      <c r="AIU101">
        <v>0</v>
      </c>
      <c r="AIV101">
        <v>0</v>
      </c>
      <c r="AIW101">
        <v>0</v>
      </c>
      <c r="AIX101">
        <v>0</v>
      </c>
      <c r="AIY101">
        <v>0</v>
      </c>
      <c r="AIZ101">
        <v>0</v>
      </c>
      <c r="AJA101">
        <v>0</v>
      </c>
      <c r="AJB101">
        <v>0</v>
      </c>
      <c r="AJC101">
        <v>0</v>
      </c>
      <c r="AJD101">
        <v>0</v>
      </c>
      <c r="AJE101">
        <v>0</v>
      </c>
      <c r="AJF101">
        <v>0</v>
      </c>
      <c r="AJG101">
        <v>0</v>
      </c>
      <c r="AJH101">
        <v>0</v>
      </c>
      <c r="AJI101">
        <v>0</v>
      </c>
      <c r="AJJ101">
        <v>0</v>
      </c>
      <c r="AJK101">
        <v>0</v>
      </c>
      <c r="AJL101">
        <v>0</v>
      </c>
      <c r="AJM101">
        <v>0</v>
      </c>
      <c r="AJN101">
        <v>0</v>
      </c>
      <c r="AJO101">
        <v>0</v>
      </c>
      <c r="AJP101">
        <v>0</v>
      </c>
      <c r="AJQ101">
        <v>0</v>
      </c>
      <c r="AJR101">
        <v>0</v>
      </c>
      <c r="AJS101">
        <v>0</v>
      </c>
      <c r="AJT101">
        <v>0</v>
      </c>
      <c r="AJU101">
        <v>0</v>
      </c>
      <c r="AJV101">
        <v>0</v>
      </c>
      <c r="AJW101">
        <v>0</v>
      </c>
      <c r="AJX101">
        <v>0</v>
      </c>
      <c r="AJY101">
        <v>0</v>
      </c>
    </row>
    <row r="102" spans="1:961" x14ac:dyDescent="0.3">
      <c r="A102">
        <v>100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  <c r="KP102">
        <v>0</v>
      </c>
      <c r="KQ102">
        <v>0</v>
      </c>
      <c r="KR102">
        <v>0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0</v>
      </c>
      <c r="LA102">
        <v>0</v>
      </c>
      <c r="LB102">
        <v>0</v>
      </c>
      <c r="LC102">
        <v>0</v>
      </c>
      <c r="LD102">
        <v>0</v>
      </c>
      <c r="LE102">
        <v>0</v>
      </c>
      <c r="LF102">
        <v>0</v>
      </c>
      <c r="LG102">
        <v>0</v>
      </c>
      <c r="LH102">
        <v>0</v>
      </c>
      <c r="LI102">
        <v>0</v>
      </c>
      <c r="LJ102">
        <v>0</v>
      </c>
      <c r="LK102">
        <v>0</v>
      </c>
      <c r="LL102">
        <v>0</v>
      </c>
      <c r="LM102">
        <v>0</v>
      </c>
      <c r="LN102">
        <v>0</v>
      </c>
      <c r="LO102">
        <v>0</v>
      </c>
      <c r="LP102">
        <v>0</v>
      </c>
      <c r="LQ102">
        <v>0</v>
      </c>
      <c r="LR102">
        <v>0</v>
      </c>
      <c r="LS102">
        <v>0</v>
      </c>
      <c r="LT102">
        <v>0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  <c r="MC102">
        <v>0</v>
      </c>
      <c r="MD102">
        <v>0</v>
      </c>
      <c r="ME102">
        <v>0</v>
      </c>
      <c r="MF102">
        <v>0</v>
      </c>
      <c r="MG102">
        <v>0</v>
      </c>
      <c r="MH102">
        <v>0</v>
      </c>
      <c r="MI102">
        <v>0</v>
      </c>
      <c r="MJ102">
        <v>0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0</v>
      </c>
      <c r="MT102">
        <v>0</v>
      </c>
      <c r="MU102">
        <v>0</v>
      </c>
      <c r="MV102">
        <v>0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0</v>
      </c>
      <c r="NI102">
        <v>0</v>
      </c>
      <c r="NJ102">
        <v>0</v>
      </c>
      <c r="NK102">
        <v>0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0</v>
      </c>
      <c r="OK102">
        <v>0</v>
      </c>
      <c r="OL102">
        <v>0</v>
      </c>
      <c r="OM102">
        <v>0</v>
      </c>
      <c r="ON102">
        <v>0</v>
      </c>
      <c r="OO102">
        <v>0</v>
      </c>
      <c r="OP102">
        <v>0</v>
      </c>
      <c r="OQ102">
        <v>0</v>
      </c>
      <c r="OR102">
        <v>0</v>
      </c>
      <c r="OS102">
        <v>0</v>
      </c>
      <c r="OT102">
        <v>0</v>
      </c>
      <c r="OU102">
        <v>0</v>
      </c>
      <c r="OV102">
        <v>0</v>
      </c>
      <c r="OW102">
        <v>0</v>
      </c>
      <c r="OX102">
        <v>0</v>
      </c>
      <c r="OY102">
        <v>0</v>
      </c>
      <c r="OZ102">
        <v>0</v>
      </c>
      <c r="PA102">
        <v>0</v>
      </c>
      <c r="PB102">
        <v>0</v>
      </c>
      <c r="PC102">
        <v>0</v>
      </c>
      <c r="PD102">
        <v>0</v>
      </c>
      <c r="PE102">
        <v>0</v>
      </c>
      <c r="PF102">
        <v>0</v>
      </c>
      <c r="PG102">
        <v>0</v>
      </c>
      <c r="PH102">
        <v>0</v>
      </c>
      <c r="PI102">
        <v>0</v>
      </c>
      <c r="PJ102">
        <v>0</v>
      </c>
      <c r="PK102">
        <v>0</v>
      </c>
      <c r="PL102">
        <v>0</v>
      </c>
      <c r="PM102">
        <v>0</v>
      </c>
      <c r="PN102">
        <v>0</v>
      </c>
      <c r="PO102">
        <v>0</v>
      </c>
      <c r="PP102">
        <v>0</v>
      </c>
      <c r="PQ102">
        <v>0</v>
      </c>
      <c r="PR102">
        <v>0</v>
      </c>
      <c r="PS102">
        <v>0</v>
      </c>
      <c r="PT102">
        <v>0</v>
      </c>
      <c r="PU102">
        <v>0</v>
      </c>
      <c r="PV102">
        <v>0</v>
      </c>
      <c r="PW102">
        <v>0</v>
      </c>
      <c r="PX102">
        <v>0</v>
      </c>
      <c r="PY102">
        <v>0</v>
      </c>
      <c r="PZ102">
        <v>0</v>
      </c>
      <c r="QA102">
        <v>0</v>
      </c>
      <c r="QB102">
        <v>0</v>
      </c>
      <c r="QC102">
        <v>0</v>
      </c>
      <c r="QD102">
        <v>0</v>
      </c>
      <c r="QE102">
        <v>0</v>
      </c>
      <c r="QF102">
        <v>0</v>
      </c>
      <c r="QG102">
        <v>0</v>
      </c>
      <c r="QH102">
        <v>0</v>
      </c>
      <c r="QI102">
        <v>0</v>
      </c>
      <c r="QJ102">
        <v>0</v>
      </c>
      <c r="QK102">
        <v>0</v>
      </c>
      <c r="QL102">
        <v>0</v>
      </c>
      <c r="QM102">
        <v>0</v>
      </c>
      <c r="QN102">
        <v>0</v>
      </c>
      <c r="QO102">
        <v>0</v>
      </c>
      <c r="QP102">
        <v>0</v>
      </c>
      <c r="QQ102">
        <v>0</v>
      </c>
      <c r="QR102">
        <v>0</v>
      </c>
      <c r="QS102">
        <v>0</v>
      </c>
      <c r="QT102">
        <v>0</v>
      </c>
      <c r="QU102">
        <v>0</v>
      </c>
      <c r="QV102">
        <v>0</v>
      </c>
      <c r="QW102">
        <v>0</v>
      </c>
      <c r="QX102">
        <v>0</v>
      </c>
      <c r="QY102">
        <v>0</v>
      </c>
      <c r="QZ102">
        <v>0</v>
      </c>
      <c r="RA102">
        <v>0</v>
      </c>
      <c r="RB102">
        <v>0</v>
      </c>
      <c r="RC102">
        <v>0</v>
      </c>
      <c r="RD102">
        <v>0</v>
      </c>
      <c r="RE102">
        <v>0</v>
      </c>
      <c r="RF102">
        <v>0</v>
      </c>
      <c r="RG102">
        <v>0</v>
      </c>
      <c r="RH102">
        <v>0</v>
      </c>
      <c r="RI102">
        <v>0</v>
      </c>
      <c r="RJ102">
        <v>0</v>
      </c>
      <c r="RK102">
        <v>0</v>
      </c>
      <c r="RL102">
        <v>0</v>
      </c>
      <c r="RM102">
        <v>0</v>
      </c>
      <c r="RN102">
        <v>0</v>
      </c>
      <c r="RO102">
        <v>0</v>
      </c>
      <c r="RP102">
        <v>0</v>
      </c>
      <c r="RQ102">
        <v>0</v>
      </c>
      <c r="RR102">
        <v>0</v>
      </c>
      <c r="RS102">
        <v>0</v>
      </c>
      <c r="RT102">
        <v>0</v>
      </c>
      <c r="RU102">
        <v>0</v>
      </c>
      <c r="RV102">
        <v>0</v>
      </c>
      <c r="RW102">
        <v>0</v>
      </c>
      <c r="RX102">
        <v>0</v>
      </c>
      <c r="RY102">
        <v>0</v>
      </c>
      <c r="RZ102">
        <v>0</v>
      </c>
      <c r="SA102">
        <v>0</v>
      </c>
      <c r="SB102">
        <v>0</v>
      </c>
      <c r="SC102">
        <v>0</v>
      </c>
      <c r="SD102">
        <v>0</v>
      </c>
      <c r="SE102">
        <v>0</v>
      </c>
      <c r="SF102">
        <v>0</v>
      </c>
      <c r="SG102">
        <v>0</v>
      </c>
      <c r="SH102">
        <v>0</v>
      </c>
      <c r="SI102">
        <v>0</v>
      </c>
      <c r="SJ102">
        <v>0</v>
      </c>
      <c r="SK102">
        <v>0</v>
      </c>
      <c r="SL102">
        <v>0</v>
      </c>
      <c r="SM102">
        <v>0</v>
      </c>
      <c r="SN102">
        <v>0</v>
      </c>
      <c r="SO102">
        <v>0</v>
      </c>
      <c r="SP102">
        <v>0</v>
      </c>
      <c r="SQ102">
        <v>0</v>
      </c>
      <c r="SR102">
        <v>0</v>
      </c>
      <c r="SS102">
        <v>0</v>
      </c>
      <c r="ST102">
        <v>0</v>
      </c>
      <c r="SU102">
        <v>0</v>
      </c>
      <c r="SV102">
        <v>0</v>
      </c>
      <c r="SW102">
        <v>0</v>
      </c>
      <c r="SX102">
        <v>0</v>
      </c>
      <c r="SY102">
        <v>0</v>
      </c>
      <c r="SZ102">
        <v>0</v>
      </c>
      <c r="TA102">
        <v>0</v>
      </c>
      <c r="TB102">
        <v>0</v>
      </c>
      <c r="TC102">
        <v>0</v>
      </c>
      <c r="TD102">
        <v>0</v>
      </c>
      <c r="TE102">
        <v>0</v>
      </c>
      <c r="TF102">
        <v>0</v>
      </c>
      <c r="TG102">
        <v>0</v>
      </c>
      <c r="TH102">
        <v>0</v>
      </c>
      <c r="TI102">
        <v>0</v>
      </c>
      <c r="TJ102">
        <v>0</v>
      </c>
      <c r="TK102">
        <v>0</v>
      </c>
      <c r="TL102">
        <v>0</v>
      </c>
      <c r="TM102">
        <v>0</v>
      </c>
      <c r="TN102">
        <v>0</v>
      </c>
      <c r="TO102">
        <v>0</v>
      </c>
      <c r="TP102">
        <v>0</v>
      </c>
      <c r="TQ102">
        <v>0</v>
      </c>
      <c r="TR102">
        <v>0</v>
      </c>
      <c r="TS102">
        <v>0</v>
      </c>
      <c r="TT102">
        <v>0</v>
      </c>
      <c r="TU102">
        <v>0</v>
      </c>
      <c r="TV102">
        <v>0</v>
      </c>
      <c r="TW102">
        <v>0</v>
      </c>
      <c r="TX102">
        <v>0</v>
      </c>
      <c r="TY102">
        <v>0</v>
      </c>
      <c r="TZ102">
        <v>0</v>
      </c>
      <c r="UA102">
        <v>0</v>
      </c>
      <c r="UB102">
        <v>0</v>
      </c>
      <c r="UC102">
        <v>0</v>
      </c>
      <c r="UD102">
        <v>0</v>
      </c>
      <c r="UE102">
        <v>0</v>
      </c>
      <c r="UF102">
        <v>0</v>
      </c>
      <c r="UG102">
        <v>0</v>
      </c>
      <c r="UH102">
        <v>0</v>
      </c>
      <c r="UI102">
        <v>0</v>
      </c>
      <c r="UJ102">
        <v>0</v>
      </c>
      <c r="UK102">
        <v>0</v>
      </c>
      <c r="UL102">
        <v>0</v>
      </c>
      <c r="UM102">
        <v>0</v>
      </c>
      <c r="UN102">
        <v>0</v>
      </c>
      <c r="UO102">
        <v>0</v>
      </c>
      <c r="UP102">
        <v>0</v>
      </c>
      <c r="UQ102">
        <v>0</v>
      </c>
      <c r="UR102">
        <v>0</v>
      </c>
      <c r="US102">
        <v>0</v>
      </c>
      <c r="UT102">
        <v>0</v>
      </c>
      <c r="UU102">
        <v>0</v>
      </c>
      <c r="UV102">
        <v>0</v>
      </c>
      <c r="UW102">
        <v>0</v>
      </c>
      <c r="UX102">
        <v>0</v>
      </c>
      <c r="UY102">
        <v>0</v>
      </c>
      <c r="UZ102">
        <v>0</v>
      </c>
      <c r="VA102">
        <v>0</v>
      </c>
      <c r="VB102">
        <v>0</v>
      </c>
      <c r="VC102">
        <v>0</v>
      </c>
      <c r="VD102">
        <v>0</v>
      </c>
      <c r="VE102">
        <v>0</v>
      </c>
      <c r="VF102">
        <v>0</v>
      </c>
      <c r="VG102">
        <v>0</v>
      </c>
      <c r="VH102">
        <v>0</v>
      </c>
      <c r="VI102">
        <v>0</v>
      </c>
      <c r="VJ102">
        <v>0</v>
      </c>
      <c r="VK102">
        <v>0</v>
      </c>
      <c r="VL102">
        <v>0</v>
      </c>
      <c r="VM102">
        <v>0</v>
      </c>
      <c r="VN102">
        <v>0</v>
      </c>
      <c r="VO102">
        <v>0</v>
      </c>
      <c r="VP102">
        <v>0</v>
      </c>
      <c r="VQ102">
        <v>0</v>
      </c>
      <c r="VR102">
        <v>0</v>
      </c>
      <c r="VS102">
        <v>0</v>
      </c>
      <c r="VT102">
        <v>0</v>
      </c>
      <c r="VU102">
        <v>0</v>
      </c>
      <c r="VV102">
        <v>0</v>
      </c>
      <c r="VW102">
        <v>0</v>
      </c>
      <c r="VX102">
        <v>0</v>
      </c>
      <c r="VY102">
        <v>0</v>
      </c>
      <c r="VZ102">
        <v>0</v>
      </c>
      <c r="WA102">
        <v>0</v>
      </c>
      <c r="WB102">
        <v>0</v>
      </c>
      <c r="WC102">
        <v>0</v>
      </c>
      <c r="WD102">
        <v>0</v>
      </c>
      <c r="WE102">
        <v>0</v>
      </c>
      <c r="WF102">
        <v>0</v>
      </c>
      <c r="WG102">
        <v>0</v>
      </c>
      <c r="WH102">
        <v>0</v>
      </c>
      <c r="WI102">
        <v>0</v>
      </c>
      <c r="WJ102">
        <v>0</v>
      </c>
      <c r="WK102">
        <v>0</v>
      </c>
      <c r="WL102">
        <v>0</v>
      </c>
      <c r="WM102">
        <v>0</v>
      </c>
      <c r="WN102">
        <v>0</v>
      </c>
      <c r="WO102">
        <v>0</v>
      </c>
      <c r="WP102">
        <v>0</v>
      </c>
      <c r="WQ102">
        <v>0</v>
      </c>
      <c r="WR102">
        <v>0</v>
      </c>
      <c r="WS102">
        <v>0</v>
      </c>
      <c r="WT102">
        <v>0</v>
      </c>
      <c r="WU102">
        <v>0</v>
      </c>
      <c r="WV102">
        <v>0</v>
      </c>
      <c r="WW102">
        <v>0</v>
      </c>
      <c r="WX102">
        <v>0</v>
      </c>
      <c r="WY102">
        <v>0</v>
      </c>
      <c r="WZ102">
        <v>0</v>
      </c>
      <c r="XA102">
        <v>0</v>
      </c>
      <c r="XB102">
        <v>0</v>
      </c>
      <c r="XC102">
        <v>0</v>
      </c>
      <c r="XD102">
        <v>0</v>
      </c>
      <c r="XE102">
        <v>0</v>
      </c>
      <c r="XF102">
        <v>0</v>
      </c>
      <c r="XG102">
        <v>0</v>
      </c>
      <c r="XH102">
        <v>0</v>
      </c>
      <c r="XI102">
        <v>0</v>
      </c>
      <c r="XJ102">
        <v>0</v>
      </c>
      <c r="XK102">
        <v>0</v>
      </c>
      <c r="XL102">
        <v>0</v>
      </c>
      <c r="XM102">
        <v>0</v>
      </c>
      <c r="XN102">
        <v>0</v>
      </c>
      <c r="XO102">
        <v>0</v>
      </c>
      <c r="XP102">
        <v>0</v>
      </c>
      <c r="XQ102">
        <v>0</v>
      </c>
      <c r="XR102">
        <v>0</v>
      </c>
      <c r="XS102">
        <v>0</v>
      </c>
      <c r="XT102">
        <v>0</v>
      </c>
      <c r="XU102">
        <v>0</v>
      </c>
      <c r="XV102">
        <v>0</v>
      </c>
      <c r="XW102">
        <v>0</v>
      </c>
      <c r="XX102">
        <v>0</v>
      </c>
      <c r="XY102">
        <v>0</v>
      </c>
      <c r="XZ102">
        <v>0</v>
      </c>
      <c r="YA102">
        <v>0</v>
      </c>
      <c r="YB102">
        <v>0</v>
      </c>
      <c r="YC102">
        <v>0</v>
      </c>
      <c r="YD102">
        <v>0</v>
      </c>
      <c r="YE102">
        <v>0</v>
      </c>
      <c r="YF102">
        <v>0</v>
      </c>
      <c r="YG102">
        <v>0</v>
      </c>
      <c r="YH102">
        <v>0</v>
      </c>
      <c r="YI102">
        <v>0</v>
      </c>
      <c r="YJ102">
        <v>0</v>
      </c>
      <c r="YK102">
        <v>0</v>
      </c>
      <c r="YL102">
        <v>0</v>
      </c>
      <c r="YM102">
        <v>0</v>
      </c>
      <c r="YN102">
        <v>0</v>
      </c>
      <c r="YO102">
        <v>0</v>
      </c>
      <c r="YP102">
        <v>0</v>
      </c>
      <c r="YQ102">
        <v>0</v>
      </c>
      <c r="YR102">
        <v>0</v>
      </c>
      <c r="YS102">
        <v>0</v>
      </c>
      <c r="YT102">
        <v>0</v>
      </c>
      <c r="YU102">
        <v>0</v>
      </c>
      <c r="YV102">
        <v>0</v>
      </c>
      <c r="YW102">
        <v>0</v>
      </c>
      <c r="YX102">
        <v>0</v>
      </c>
      <c r="YY102">
        <v>0</v>
      </c>
      <c r="YZ102">
        <v>0</v>
      </c>
      <c r="ZA102">
        <v>0</v>
      </c>
      <c r="ZB102">
        <v>0</v>
      </c>
      <c r="ZC102">
        <v>0</v>
      </c>
      <c r="ZD102">
        <v>0</v>
      </c>
      <c r="ZE102">
        <v>0</v>
      </c>
      <c r="ZF102">
        <v>0</v>
      </c>
      <c r="ZG102">
        <v>0</v>
      </c>
      <c r="ZH102">
        <v>0</v>
      </c>
      <c r="ZI102">
        <v>0</v>
      </c>
      <c r="ZJ102">
        <v>0</v>
      </c>
      <c r="ZK102">
        <v>0</v>
      </c>
      <c r="ZL102">
        <v>0</v>
      </c>
      <c r="ZM102">
        <v>0</v>
      </c>
      <c r="ZN102">
        <v>0</v>
      </c>
      <c r="ZO102">
        <v>0</v>
      </c>
      <c r="ZP102">
        <v>0</v>
      </c>
      <c r="ZQ102">
        <v>0</v>
      </c>
      <c r="ZR102">
        <v>0</v>
      </c>
      <c r="ZS102">
        <v>0</v>
      </c>
      <c r="ZT102">
        <v>0</v>
      </c>
      <c r="ZU102">
        <v>0</v>
      </c>
      <c r="ZV102">
        <v>0</v>
      </c>
      <c r="ZW102">
        <v>0</v>
      </c>
      <c r="ZX102">
        <v>0</v>
      </c>
      <c r="ZY102">
        <v>0</v>
      </c>
      <c r="ZZ102">
        <v>0</v>
      </c>
      <c r="AAA102">
        <v>0</v>
      </c>
      <c r="AAB102">
        <v>0</v>
      </c>
      <c r="AAC102">
        <v>0</v>
      </c>
      <c r="AAD102">
        <v>0</v>
      </c>
      <c r="AAE102">
        <v>0</v>
      </c>
      <c r="AAF102">
        <v>0</v>
      </c>
      <c r="AAG102">
        <v>0</v>
      </c>
      <c r="AAH102">
        <v>0</v>
      </c>
      <c r="AAI102">
        <v>0</v>
      </c>
      <c r="AAJ102">
        <v>0</v>
      </c>
      <c r="AAK102">
        <v>0</v>
      </c>
      <c r="AAL102">
        <v>0</v>
      </c>
      <c r="AAM102">
        <v>0</v>
      </c>
      <c r="AAN102">
        <v>0</v>
      </c>
      <c r="AAO102">
        <v>0</v>
      </c>
      <c r="AAP102">
        <v>0</v>
      </c>
      <c r="AAQ102">
        <v>0</v>
      </c>
      <c r="AAR102">
        <v>0</v>
      </c>
      <c r="AAS102">
        <v>0</v>
      </c>
      <c r="AAT102">
        <v>0</v>
      </c>
      <c r="AAU102">
        <v>0</v>
      </c>
      <c r="AAV102">
        <v>0</v>
      </c>
      <c r="AAW102">
        <v>0</v>
      </c>
      <c r="AAX102">
        <v>0</v>
      </c>
      <c r="AAY102">
        <v>0</v>
      </c>
      <c r="AAZ102">
        <v>0</v>
      </c>
      <c r="ABA102">
        <v>0</v>
      </c>
      <c r="ABB102">
        <v>0</v>
      </c>
      <c r="ABC102">
        <v>0</v>
      </c>
      <c r="ABD102">
        <v>0</v>
      </c>
      <c r="ABE102">
        <v>0</v>
      </c>
      <c r="ABF102">
        <v>0</v>
      </c>
      <c r="ABG102">
        <v>0</v>
      </c>
      <c r="ABH102">
        <v>0</v>
      </c>
      <c r="ABI102">
        <v>0</v>
      </c>
      <c r="ABJ102">
        <v>0</v>
      </c>
      <c r="ABK102">
        <v>0</v>
      </c>
      <c r="ABL102">
        <v>0</v>
      </c>
      <c r="ABM102">
        <v>0</v>
      </c>
      <c r="ABN102">
        <v>0</v>
      </c>
      <c r="ABO102">
        <v>0</v>
      </c>
      <c r="ABP102">
        <v>0</v>
      </c>
      <c r="ABQ102">
        <v>0</v>
      </c>
      <c r="ABR102">
        <v>0</v>
      </c>
      <c r="ABS102">
        <v>0</v>
      </c>
      <c r="ABT102">
        <v>0</v>
      </c>
      <c r="ABU102">
        <v>0</v>
      </c>
      <c r="ABV102">
        <v>0</v>
      </c>
      <c r="ABW102">
        <v>0</v>
      </c>
      <c r="ABX102">
        <v>0</v>
      </c>
      <c r="ABY102">
        <v>0</v>
      </c>
      <c r="ABZ102">
        <v>0</v>
      </c>
      <c r="ACA102">
        <v>0</v>
      </c>
      <c r="ACB102">
        <v>0</v>
      </c>
      <c r="ACC102">
        <v>0</v>
      </c>
      <c r="ACD102">
        <v>0</v>
      </c>
      <c r="ACE102">
        <v>0</v>
      </c>
      <c r="ACF102">
        <v>0</v>
      </c>
      <c r="ACG102">
        <v>0</v>
      </c>
      <c r="ACH102">
        <v>0</v>
      </c>
      <c r="ACI102">
        <v>0</v>
      </c>
      <c r="ACJ102">
        <v>0</v>
      </c>
      <c r="ACK102">
        <v>0</v>
      </c>
      <c r="ACL102">
        <v>0</v>
      </c>
      <c r="ACM102">
        <v>0</v>
      </c>
      <c r="ACN102">
        <v>0</v>
      </c>
      <c r="ACO102">
        <v>0</v>
      </c>
      <c r="ACP102">
        <v>30</v>
      </c>
      <c r="ACQ102">
        <v>30</v>
      </c>
      <c r="ACR102">
        <v>30</v>
      </c>
      <c r="ACS102">
        <v>30</v>
      </c>
      <c r="ACT102">
        <v>30</v>
      </c>
      <c r="ACU102">
        <v>30</v>
      </c>
      <c r="ACV102">
        <v>30</v>
      </c>
      <c r="ACW102">
        <v>30</v>
      </c>
      <c r="ACX102">
        <v>30</v>
      </c>
      <c r="ACY102">
        <v>30</v>
      </c>
      <c r="ACZ102">
        <v>30</v>
      </c>
      <c r="ADA102">
        <v>30</v>
      </c>
      <c r="ADB102">
        <v>30</v>
      </c>
      <c r="ADC102">
        <v>30</v>
      </c>
      <c r="ADD102">
        <v>30</v>
      </c>
      <c r="ADE102">
        <v>30</v>
      </c>
      <c r="ADF102">
        <v>30</v>
      </c>
      <c r="ADG102">
        <v>30</v>
      </c>
      <c r="ADH102">
        <v>30</v>
      </c>
      <c r="ADI102">
        <v>30</v>
      </c>
      <c r="ADJ102">
        <v>30</v>
      </c>
      <c r="ADK102">
        <v>30</v>
      </c>
      <c r="ADL102">
        <v>30</v>
      </c>
      <c r="ADM102">
        <v>30</v>
      </c>
      <c r="ADN102">
        <v>30</v>
      </c>
      <c r="ADO102">
        <v>30</v>
      </c>
      <c r="ADP102">
        <v>30</v>
      </c>
      <c r="ADQ102">
        <v>30</v>
      </c>
      <c r="ADR102">
        <v>30</v>
      </c>
      <c r="ADS102">
        <v>30</v>
      </c>
      <c r="ADT102">
        <v>30</v>
      </c>
      <c r="ADU102">
        <v>30</v>
      </c>
      <c r="ADV102">
        <v>30</v>
      </c>
      <c r="ADW102">
        <v>30</v>
      </c>
      <c r="ADX102">
        <v>30</v>
      </c>
      <c r="ADY102">
        <v>30</v>
      </c>
      <c r="ADZ102">
        <v>30</v>
      </c>
      <c r="AEA102">
        <v>30</v>
      </c>
      <c r="AEB102">
        <v>30</v>
      </c>
      <c r="AEC102">
        <v>30</v>
      </c>
      <c r="AED102">
        <v>30</v>
      </c>
      <c r="AEE102">
        <v>30</v>
      </c>
      <c r="AEF102">
        <v>30</v>
      </c>
      <c r="AEG102">
        <v>30</v>
      </c>
      <c r="AEH102">
        <v>30</v>
      </c>
      <c r="AEI102">
        <v>30</v>
      </c>
      <c r="AEJ102">
        <v>30</v>
      </c>
      <c r="AEK102">
        <v>30</v>
      </c>
      <c r="AEL102">
        <v>30</v>
      </c>
      <c r="AEM102">
        <v>30</v>
      </c>
      <c r="AEN102">
        <v>30</v>
      </c>
      <c r="AEO102">
        <v>30</v>
      </c>
      <c r="AEP102">
        <v>30</v>
      </c>
      <c r="AEQ102">
        <v>30</v>
      </c>
      <c r="AER102">
        <v>30</v>
      </c>
      <c r="AES102">
        <v>30</v>
      </c>
      <c r="AET102">
        <v>30</v>
      </c>
      <c r="AEU102">
        <v>30</v>
      </c>
      <c r="AEV102">
        <v>30</v>
      </c>
      <c r="AEW102">
        <v>30</v>
      </c>
      <c r="AEX102">
        <v>30</v>
      </c>
      <c r="AEY102">
        <v>30</v>
      </c>
      <c r="AEZ102">
        <v>30</v>
      </c>
      <c r="AFA102">
        <v>30</v>
      </c>
      <c r="AFB102">
        <v>30</v>
      </c>
      <c r="AFC102">
        <v>30</v>
      </c>
      <c r="AFD102">
        <v>30</v>
      </c>
      <c r="AFE102">
        <v>30</v>
      </c>
      <c r="AFF102">
        <v>30</v>
      </c>
      <c r="AFG102">
        <v>30</v>
      </c>
      <c r="AFH102">
        <v>30</v>
      </c>
      <c r="AFI102">
        <v>30</v>
      </c>
      <c r="AFJ102">
        <v>30</v>
      </c>
      <c r="AFK102">
        <v>30</v>
      </c>
      <c r="AFL102">
        <v>30</v>
      </c>
      <c r="AFM102">
        <v>30</v>
      </c>
      <c r="AFN102">
        <v>30</v>
      </c>
      <c r="AFO102">
        <v>30</v>
      </c>
      <c r="AFP102">
        <v>30</v>
      </c>
      <c r="AFQ102">
        <v>30</v>
      </c>
      <c r="AFR102">
        <v>30</v>
      </c>
      <c r="AFS102">
        <v>30</v>
      </c>
      <c r="AFT102">
        <v>30</v>
      </c>
      <c r="AFU102">
        <v>30</v>
      </c>
      <c r="AFV102">
        <v>30</v>
      </c>
      <c r="AFW102">
        <v>30</v>
      </c>
      <c r="AFX102">
        <v>30</v>
      </c>
      <c r="AFY102">
        <v>30</v>
      </c>
      <c r="AFZ102">
        <v>30</v>
      </c>
      <c r="AGA102">
        <v>30</v>
      </c>
      <c r="AGB102">
        <v>30</v>
      </c>
      <c r="AGC102">
        <v>30</v>
      </c>
      <c r="AGD102">
        <v>30</v>
      </c>
      <c r="AGE102">
        <v>30</v>
      </c>
      <c r="AGF102">
        <v>30</v>
      </c>
      <c r="AGG102">
        <v>30</v>
      </c>
      <c r="AGH102">
        <v>0</v>
      </c>
      <c r="AGI102">
        <v>0</v>
      </c>
      <c r="AGJ102">
        <v>0</v>
      </c>
      <c r="AGK102">
        <v>0</v>
      </c>
      <c r="AGL102">
        <v>0</v>
      </c>
      <c r="AGM102">
        <v>0</v>
      </c>
      <c r="AGN102">
        <v>0</v>
      </c>
      <c r="AGO102">
        <v>0</v>
      </c>
      <c r="AGP102">
        <v>0</v>
      </c>
      <c r="AGQ102">
        <v>0</v>
      </c>
      <c r="AGR102">
        <v>0</v>
      </c>
      <c r="AGS102">
        <v>0</v>
      </c>
      <c r="AGT102">
        <v>0</v>
      </c>
      <c r="AGU102">
        <v>0</v>
      </c>
      <c r="AGV102">
        <v>0</v>
      </c>
      <c r="AGW102">
        <v>0</v>
      </c>
      <c r="AGX102">
        <v>0</v>
      </c>
      <c r="AGY102">
        <v>0</v>
      </c>
      <c r="AGZ102">
        <v>0</v>
      </c>
      <c r="AHA102">
        <v>0</v>
      </c>
      <c r="AHB102">
        <v>0</v>
      </c>
      <c r="AHC102">
        <v>0</v>
      </c>
      <c r="AHD102">
        <v>0</v>
      </c>
      <c r="AHE102">
        <v>0</v>
      </c>
      <c r="AHF102">
        <v>0</v>
      </c>
      <c r="AHG102">
        <v>0</v>
      </c>
      <c r="AHH102">
        <v>0</v>
      </c>
      <c r="AHI102">
        <v>0</v>
      </c>
      <c r="AHJ102">
        <v>0</v>
      </c>
      <c r="AHK102">
        <v>0</v>
      </c>
      <c r="AHL102">
        <v>0</v>
      </c>
      <c r="AHM102">
        <v>0</v>
      </c>
      <c r="AHN102">
        <v>0</v>
      </c>
      <c r="AHO102">
        <v>0</v>
      </c>
      <c r="AHP102">
        <v>0</v>
      </c>
      <c r="AHQ102">
        <v>0</v>
      </c>
      <c r="AHR102">
        <v>0</v>
      </c>
      <c r="AHS102">
        <v>0</v>
      </c>
      <c r="AHT102">
        <v>0</v>
      </c>
      <c r="AHU102">
        <v>0</v>
      </c>
      <c r="AHV102">
        <v>0</v>
      </c>
      <c r="AHW102">
        <v>0</v>
      </c>
      <c r="AHX102">
        <v>0</v>
      </c>
      <c r="AHY102">
        <v>0</v>
      </c>
      <c r="AHZ102">
        <v>0</v>
      </c>
      <c r="AIA102">
        <v>0</v>
      </c>
      <c r="AIB102">
        <v>0</v>
      </c>
      <c r="AIC102">
        <v>0</v>
      </c>
      <c r="AID102">
        <v>0</v>
      </c>
      <c r="AIE102">
        <v>0</v>
      </c>
      <c r="AIF102">
        <v>0</v>
      </c>
      <c r="AIG102">
        <v>0</v>
      </c>
      <c r="AIH102">
        <v>0</v>
      </c>
      <c r="AII102">
        <v>0</v>
      </c>
      <c r="AIJ102">
        <v>0</v>
      </c>
      <c r="AIK102">
        <v>0</v>
      </c>
      <c r="AIL102">
        <v>0</v>
      </c>
      <c r="AIM102">
        <v>0</v>
      </c>
      <c r="AIN102">
        <v>0</v>
      </c>
      <c r="AIO102">
        <v>0</v>
      </c>
      <c r="AIP102">
        <v>0</v>
      </c>
      <c r="AIQ102">
        <v>0</v>
      </c>
      <c r="AIR102">
        <v>0</v>
      </c>
      <c r="AIS102">
        <v>0</v>
      </c>
      <c r="AIT102">
        <v>0</v>
      </c>
      <c r="AIU102">
        <v>0</v>
      </c>
      <c r="AIV102">
        <v>0</v>
      </c>
      <c r="AIW102">
        <v>0</v>
      </c>
      <c r="AIX102">
        <v>0</v>
      </c>
      <c r="AIY102">
        <v>0</v>
      </c>
      <c r="AIZ102">
        <v>0</v>
      </c>
      <c r="AJA102">
        <v>0</v>
      </c>
      <c r="AJB102">
        <v>0</v>
      </c>
      <c r="AJC102">
        <v>0</v>
      </c>
      <c r="AJD102">
        <v>0</v>
      </c>
      <c r="AJE102">
        <v>0</v>
      </c>
      <c r="AJF102">
        <v>0</v>
      </c>
      <c r="AJG102">
        <v>0</v>
      </c>
      <c r="AJH102">
        <v>0</v>
      </c>
      <c r="AJI102">
        <v>0</v>
      </c>
      <c r="AJJ102">
        <v>0</v>
      </c>
      <c r="AJK102">
        <v>0</v>
      </c>
      <c r="AJL102">
        <v>0</v>
      </c>
      <c r="AJM102">
        <v>0</v>
      </c>
      <c r="AJN102">
        <v>0</v>
      </c>
      <c r="AJO102">
        <v>0</v>
      </c>
      <c r="AJP102">
        <v>0</v>
      </c>
      <c r="AJQ102">
        <v>0</v>
      </c>
      <c r="AJR102">
        <v>0</v>
      </c>
      <c r="AJS102">
        <v>0</v>
      </c>
      <c r="AJT102">
        <v>0</v>
      </c>
      <c r="AJU102">
        <v>0</v>
      </c>
      <c r="AJV102">
        <v>0</v>
      </c>
      <c r="AJW102">
        <v>0</v>
      </c>
      <c r="AJX102">
        <v>0</v>
      </c>
      <c r="AJY102">
        <v>0</v>
      </c>
    </row>
    <row r="103" spans="1:961" x14ac:dyDescent="0.3">
      <c r="A103">
        <v>101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  <c r="KQ103">
        <v>0</v>
      </c>
      <c r="KR103">
        <v>0</v>
      </c>
      <c r="KS103">
        <v>0</v>
      </c>
      <c r="KT103">
        <v>0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0</v>
      </c>
      <c r="LA103">
        <v>0</v>
      </c>
      <c r="LB103">
        <v>0</v>
      </c>
      <c r="LC103">
        <v>0</v>
      </c>
      <c r="LD103">
        <v>0</v>
      </c>
      <c r="LE103">
        <v>0</v>
      </c>
      <c r="LF103">
        <v>0</v>
      </c>
      <c r="LG103">
        <v>0</v>
      </c>
      <c r="LH103">
        <v>0</v>
      </c>
      <c r="LI103">
        <v>0</v>
      </c>
      <c r="LJ103">
        <v>0</v>
      </c>
      <c r="LK103">
        <v>0</v>
      </c>
      <c r="LL103">
        <v>0</v>
      </c>
      <c r="LM103">
        <v>0</v>
      </c>
      <c r="LN103">
        <v>0</v>
      </c>
      <c r="LO103">
        <v>0</v>
      </c>
      <c r="LP103">
        <v>0</v>
      </c>
      <c r="LQ103">
        <v>0</v>
      </c>
      <c r="LR103">
        <v>0</v>
      </c>
      <c r="LS103">
        <v>0</v>
      </c>
      <c r="LT103">
        <v>0</v>
      </c>
      <c r="LU103">
        <v>0</v>
      </c>
      <c r="LV103">
        <v>0</v>
      </c>
      <c r="LW103">
        <v>0</v>
      </c>
      <c r="LX103">
        <v>0</v>
      </c>
      <c r="LY103">
        <v>0</v>
      </c>
      <c r="LZ103">
        <v>0</v>
      </c>
      <c r="MA103">
        <v>0</v>
      </c>
      <c r="MB103">
        <v>0</v>
      </c>
      <c r="MC103">
        <v>0</v>
      </c>
      <c r="MD103">
        <v>0</v>
      </c>
      <c r="ME103">
        <v>0</v>
      </c>
      <c r="MF103">
        <v>0</v>
      </c>
      <c r="MG103">
        <v>0</v>
      </c>
      <c r="MH103">
        <v>0</v>
      </c>
      <c r="MI103">
        <v>0</v>
      </c>
      <c r="MJ103">
        <v>0</v>
      </c>
      <c r="MK103">
        <v>0</v>
      </c>
      <c r="ML103">
        <v>0</v>
      </c>
      <c r="MM103">
        <v>0</v>
      </c>
      <c r="MN103">
        <v>0</v>
      </c>
      <c r="MO103">
        <v>0</v>
      </c>
      <c r="MP103">
        <v>0</v>
      </c>
      <c r="MQ103">
        <v>0</v>
      </c>
      <c r="MR103">
        <v>0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0</v>
      </c>
      <c r="NP103">
        <v>0</v>
      </c>
      <c r="NQ103">
        <v>0</v>
      </c>
      <c r="NR103">
        <v>0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0</v>
      </c>
      <c r="OQ103">
        <v>0</v>
      </c>
      <c r="OR103">
        <v>0</v>
      </c>
      <c r="OS103">
        <v>0</v>
      </c>
      <c r="OT103">
        <v>0</v>
      </c>
      <c r="OU103">
        <v>0</v>
      </c>
      <c r="OV103">
        <v>0</v>
      </c>
      <c r="OW103">
        <v>0</v>
      </c>
      <c r="OX103">
        <v>0</v>
      </c>
      <c r="OY103">
        <v>0</v>
      </c>
      <c r="OZ103">
        <v>0</v>
      </c>
      <c r="PA103">
        <v>0</v>
      </c>
      <c r="PB103">
        <v>0</v>
      </c>
      <c r="PC103">
        <v>0</v>
      </c>
      <c r="PD103">
        <v>0</v>
      </c>
      <c r="PE103">
        <v>0</v>
      </c>
      <c r="PF103">
        <v>0</v>
      </c>
      <c r="PG103">
        <v>0</v>
      </c>
      <c r="PH103">
        <v>0</v>
      </c>
      <c r="PI103">
        <v>0</v>
      </c>
      <c r="PJ103">
        <v>0</v>
      </c>
      <c r="PK103">
        <v>0</v>
      </c>
      <c r="PL103">
        <v>0</v>
      </c>
      <c r="PM103">
        <v>0</v>
      </c>
      <c r="PN103">
        <v>0</v>
      </c>
      <c r="PO103">
        <v>0</v>
      </c>
      <c r="PP103">
        <v>0</v>
      </c>
      <c r="PQ103">
        <v>0</v>
      </c>
      <c r="PR103">
        <v>0</v>
      </c>
      <c r="PS103">
        <v>0</v>
      </c>
      <c r="PT103">
        <v>0</v>
      </c>
      <c r="PU103">
        <v>0</v>
      </c>
      <c r="PV103">
        <v>0</v>
      </c>
      <c r="PW103">
        <v>0</v>
      </c>
      <c r="PX103">
        <v>0</v>
      </c>
      <c r="PY103">
        <v>0</v>
      </c>
      <c r="PZ103">
        <v>0</v>
      </c>
      <c r="QA103">
        <v>0</v>
      </c>
      <c r="QB103">
        <v>0</v>
      </c>
      <c r="QC103">
        <v>0</v>
      </c>
      <c r="QD103">
        <v>0</v>
      </c>
      <c r="QE103">
        <v>0</v>
      </c>
      <c r="QF103">
        <v>0</v>
      </c>
      <c r="QG103">
        <v>0</v>
      </c>
      <c r="QH103">
        <v>0</v>
      </c>
      <c r="QI103">
        <v>0</v>
      </c>
      <c r="QJ103">
        <v>0</v>
      </c>
      <c r="QK103">
        <v>0</v>
      </c>
      <c r="QL103">
        <v>0</v>
      </c>
      <c r="QM103">
        <v>0</v>
      </c>
      <c r="QN103">
        <v>0</v>
      </c>
      <c r="QO103">
        <v>0</v>
      </c>
      <c r="QP103">
        <v>0</v>
      </c>
      <c r="QQ103">
        <v>0</v>
      </c>
      <c r="QR103">
        <v>0</v>
      </c>
      <c r="QS103">
        <v>0</v>
      </c>
      <c r="QT103">
        <v>0</v>
      </c>
      <c r="QU103">
        <v>0</v>
      </c>
      <c r="QV103">
        <v>0</v>
      </c>
      <c r="QW103">
        <v>0</v>
      </c>
      <c r="QX103">
        <v>0</v>
      </c>
      <c r="QY103">
        <v>0</v>
      </c>
      <c r="QZ103">
        <v>0</v>
      </c>
      <c r="RA103">
        <v>0</v>
      </c>
      <c r="RB103">
        <v>0</v>
      </c>
      <c r="RC103">
        <v>0</v>
      </c>
      <c r="RD103">
        <v>0</v>
      </c>
      <c r="RE103">
        <v>0</v>
      </c>
      <c r="RF103">
        <v>0</v>
      </c>
      <c r="RG103">
        <v>0</v>
      </c>
      <c r="RH103">
        <v>0</v>
      </c>
      <c r="RI103">
        <v>0</v>
      </c>
      <c r="RJ103">
        <v>0</v>
      </c>
      <c r="RK103">
        <v>0</v>
      </c>
      <c r="RL103">
        <v>0</v>
      </c>
      <c r="RM103">
        <v>0</v>
      </c>
      <c r="RN103">
        <v>0</v>
      </c>
      <c r="RO103">
        <v>0</v>
      </c>
      <c r="RP103">
        <v>0</v>
      </c>
      <c r="RQ103">
        <v>0</v>
      </c>
      <c r="RR103">
        <v>0</v>
      </c>
      <c r="RS103">
        <v>0</v>
      </c>
      <c r="RT103">
        <v>0</v>
      </c>
      <c r="RU103">
        <v>0</v>
      </c>
      <c r="RV103">
        <v>0</v>
      </c>
      <c r="RW103">
        <v>0</v>
      </c>
      <c r="RX103">
        <v>0</v>
      </c>
      <c r="RY103">
        <v>0</v>
      </c>
      <c r="RZ103">
        <v>0</v>
      </c>
      <c r="SA103">
        <v>0</v>
      </c>
      <c r="SB103">
        <v>0</v>
      </c>
      <c r="SC103">
        <v>0</v>
      </c>
      <c r="SD103">
        <v>0</v>
      </c>
      <c r="SE103">
        <v>0</v>
      </c>
      <c r="SF103">
        <v>0</v>
      </c>
      <c r="SG103">
        <v>0</v>
      </c>
      <c r="SH103">
        <v>0</v>
      </c>
      <c r="SI103">
        <v>0</v>
      </c>
      <c r="SJ103">
        <v>0</v>
      </c>
      <c r="SK103">
        <v>0</v>
      </c>
      <c r="SL103">
        <v>0</v>
      </c>
      <c r="SM103">
        <v>0</v>
      </c>
      <c r="SN103">
        <v>0</v>
      </c>
      <c r="SO103">
        <v>0</v>
      </c>
      <c r="SP103">
        <v>0</v>
      </c>
      <c r="SQ103">
        <v>0</v>
      </c>
      <c r="SR103">
        <v>0</v>
      </c>
      <c r="SS103">
        <v>0</v>
      </c>
      <c r="ST103">
        <v>0</v>
      </c>
      <c r="SU103">
        <v>0</v>
      </c>
      <c r="SV103">
        <v>0</v>
      </c>
      <c r="SW103">
        <v>0</v>
      </c>
      <c r="SX103">
        <v>0</v>
      </c>
      <c r="SY103">
        <v>0</v>
      </c>
      <c r="SZ103">
        <v>0</v>
      </c>
      <c r="TA103">
        <v>0</v>
      </c>
      <c r="TB103">
        <v>0</v>
      </c>
      <c r="TC103">
        <v>0</v>
      </c>
      <c r="TD103">
        <v>0</v>
      </c>
      <c r="TE103">
        <v>0</v>
      </c>
      <c r="TF103">
        <v>0</v>
      </c>
      <c r="TG103">
        <v>0</v>
      </c>
      <c r="TH103">
        <v>0</v>
      </c>
      <c r="TI103">
        <v>0</v>
      </c>
      <c r="TJ103">
        <v>0</v>
      </c>
      <c r="TK103">
        <v>0</v>
      </c>
      <c r="TL103">
        <v>0</v>
      </c>
      <c r="TM103">
        <v>0</v>
      </c>
      <c r="TN103">
        <v>0</v>
      </c>
      <c r="TO103">
        <v>0</v>
      </c>
      <c r="TP103">
        <v>0</v>
      </c>
      <c r="TQ103">
        <v>0</v>
      </c>
      <c r="TR103">
        <v>0</v>
      </c>
      <c r="TS103">
        <v>0</v>
      </c>
      <c r="TT103">
        <v>0</v>
      </c>
      <c r="TU103">
        <v>0</v>
      </c>
      <c r="TV103">
        <v>0</v>
      </c>
      <c r="TW103">
        <v>0</v>
      </c>
      <c r="TX103">
        <v>0</v>
      </c>
      <c r="TY103">
        <v>0</v>
      </c>
      <c r="TZ103">
        <v>0</v>
      </c>
      <c r="UA103">
        <v>0</v>
      </c>
      <c r="UB103">
        <v>0</v>
      </c>
      <c r="UC103">
        <v>0</v>
      </c>
      <c r="UD103">
        <v>0</v>
      </c>
      <c r="UE103">
        <v>0</v>
      </c>
      <c r="UF103">
        <v>0</v>
      </c>
      <c r="UG103">
        <v>0</v>
      </c>
      <c r="UH103">
        <v>0</v>
      </c>
      <c r="UI103">
        <v>0</v>
      </c>
      <c r="UJ103">
        <v>0</v>
      </c>
      <c r="UK103">
        <v>0</v>
      </c>
      <c r="UL103">
        <v>0</v>
      </c>
      <c r="UM103">
        <v>0</v>
      </c>
      <c r="UN103">
        <v>0</v>
      </c>
      <c r="UO103">
        <v>0</v>
      </c>
      <c r="UP103">
        <v>0</v>
      </c>
      <c r="UQ103">
        <v>0</v>
      </c>
      <c r="UR103">
        <v>0</v>
      </c>
      <c r="US103">
        <v>0</v>
      </c>
      <c r="UT103">
        <v>0</v>
      </c>
      <c r="UU103">
        <v>0</v>
      </c>
      <c r="UV103">
        <v>0</v>
      </c>
      <c r="UW103">
        <v>0</v>
      </c>
      <c r="UX103">
        <v>0</v>
      </c>
      <c r="UY103">
        <v>0</v>
      </c>
      <c r="UZ103">
        <v>0</v>
      </c>
      <c r="VA103">
        <v>0</v>
      </c>
      <c r="VB103">
        <v>0</v>
      </c>
      <c r="VC103">
        <v>0</v>
      </c>
      <c r="VD103">
        <v>0</v>
      </c>
      <c r="VE103">
        <v>0</v>
      </c>
      <c r="VF103">
        <v>0</v>
      </c>
      <c r="VG103">
        <v>0</v>
      </c>
      <c r="VH103">
        <v>0</v>
      </c>
      <c r="VI103">
        <v>0</v>
      </c>
      <c r="VJ103">
        <v>0</v>
      </c>
      <c r="VK103">
        <v>0</v>
      </c>
      <c r="VL103">
        <v>0</v>
      </c>
      <c r="VM103">
        <v>0</v>
      </c>
      <c r="VN103">
        <v>0</v>
      </c>
      <c r="VO103">
        <v>0</v>
      </c>
      <c r="VP103">
        <v>0</v>
      </c>
      <c r="VQ103">
        <v>0</v>
      </c>
      <c r="VR103">
        <v>0</v>
      </c>
      <c r="VS103">
        <v>0</v>
      </c>
      <c r="VT103">
        <v>0</v>
      </c>
      <c r="VU103">
        <v>0</v>
      </c>
      <c r="VV103">
        <v>0</v>
      </c>
      <c r="VW103">
        <v>0</v>
      </c>
      <c r="VX103">
        <v>0</v>
      </c>
      <c r="VY103">
        <v>0</v>
      </c>
      <c r="VZ103">
        <v>0</v>
      </c>
      <c r="WA103">
        <v>0</v>
      </c>
      <c r="WB103">
        <v>0</v>
      </c>
      <c r="WC103">
        <v>0</v>
      </c>
      <c r="WD103">
        <v>0</v>
      </c>
      <c r="WE103">
        <v>0</v>
      </c>
      <c r="WF103">
        <v>0</v>
      </c>
      <c r="WG103">
        <v>0</v>
      </c>
      <c r="WH103">
        <v>0</v>
      </c>
      <c r="WI103">
        <v>0</v>
      </c>
      <c r="WJ103">
        <v>0</v>
      </c>
      <c r="WK103">
        <v>0</v>
      </c>
      <c r="WL103">
        <v>0</v>
      </c>
      <c r="WM103">
        <v>0</v>
      </c>
      <c r="WN103">
        <v>0</v>
      </c>
      <c r="WO103">
        <v>0</v>
      </c>
      <c r="WP103">
        <v>0</v>
      </c>
      <c r="WQ103">
        <v>0</v>
      </c>
      <c r="WR103">
        <v>0</v>
      </c>
      <c r="WS103">
        <v>0</v>
      </c>
      <c r="WT103">
        <v>0</v>
      </c>
      <c r="WU103">
        <v>0</v>
      </c>
      <c r="WV103">
        <v>0</v>
      </c>
      <c r="WW103">
        <v>0</v>
      </c>
      <c r="WX103">
        <v>0</v>
      </c>
      <c r="WY103">
        <v>0</v>
      </c>
      <c r="WZ103">
        <v>0</v>
      </c>
      <c r="XA103">
        <v>0</v>
      </c>
      <c r="XB103">
        <v>0</v>
      </c>
      <c r="XC103">
        <v>0</v>
      </c>
      <c r="XD103">
        <v>0</v>
      </c>
      <c r="XE103">
        <v>0</v>
      </c>
      <c r="XF103">
        <v>0</v>
      </c>
      <c r="XG103">
        <v>0</v>
      </c>
      <c r="XH103">
        <v>0</v>
      </c>
      <c r="XI103">
        <v>0</v>
      </c>
      <c r="XJ103">
        <v>0</v>
      </c>
      <c r="XK103">
        <v>0</v>
      </c>
      <c r="XL103">
        <v>0</v>
      </c>
      <c r="XM103">
        <v>0</v>
      </c>
      <c r="XN103">
        <v>0</v>
      </c>
      <c r="XO103">
        <v>0</v>
      </c>
      <c r="XP103">
        <v>0</v>
      </c>
      <c r="XQ103">
        <v>0</v>
      </c>
      <c r="XR103">
        <v>0</v>
      </c>
      <c r="XS103">
        <v>0</v>
      </c>
      <c r="XT103">
        <v>0</v>
      </c>
      <c r="XU103">
        <v>0</v>
      </c>
      <c r="XV103">
        <v>0</v>
      </c>
      <c r="XW103">
        <v>0</v>
      </c>
      <c r="XX103">
        <v>0</v>
      </c>
      <c r="XY103">
        <v>0</v>
      </c>
      <c r="XZ103">
        <v>0</v>
      </c>
      <c r="YA103">
        <v>0</v>
      </c>
      <c r="YB103">
        <v>0</v>
      </c>
      <c r="YC103">
        <v>0</v>
      </c>
      <c r="YD103">
        <v>0</v>
      </c>
      <c r="YE103">
        <v>0</v>
      </c>
      <c r="YF103">
        <v>0</v>
      </c>
      <c r="YG103">
        <v>0</v>
      </c>
      <c r="YH103">
        <v>0</v>
      </c>
      <c r="YI103">
        <v>0</v>
      </c>
      <c r="YJ103">
        <v>0</v>
      </c>
      <c r="YK103">
        <v>0</v>
      </c>
      <c r="YL103">
        <v>0</v>
      </c>
      <c r="YM103">
        <v>0</v>
      </c>
      <c r="YN103">
        <v>0</v>
      </c>
      <c r="YO103">
        <v>0</v>
      </c>
      <c r="YP103">
        <v>0</v>
      </c>
      <c r="YQ103">
        <v>0</v>
      </c>
      <c r="YR103">
        <v>0</v>
      </c>
      <c r="YS103">
        <v>0</v>
      </c>
      <c r="YT103">
        <v>0</v>
      </c>
      <c r="YU103">
        <v>0</v>
      </c>
      <c r="YV103">
        <v>0</v>
      </c>
      <c r="YW103">
        <v>0</v>
      </c>
      <c r="YX103">
        <v>0</v>
      </c>
      <c r="YY103">
        <v>0</v>
      </c>
      <c r="YZ103">
        <v>0</v>
      </c>
      <c r="ZA103">
        <v>0</v>
      </c>
      <c r="ZB103">
        <v>0</v>
      </c>
      <c r="ZC103">
        <v>0</v>
      </c>
      <c r="ZD103">
        <v>0</v>
      </c>
      <c r="ZE103">
        <v>0</v>
      </c>
      <c r="ZF103">
        <v>0</v>
      </c>
      <c r="ZG103">
        <v>0</v>
      </c>
      <c r="ZH103">
        <v>0</v>
      </c>
      <c r="ZI103">
        <v>0</v>
      </c>
      <c r="ZJ103">
        <v>0</v>
      </c>
      <c r="ZK103">
        <v>0</v>
      </c>
      <c r="ZL103">
        <v>0</v>
      </c>
      <c r="ZM103">
        <v>0</v>
      </c>
      <c r="ZN103">
        <v>0</v>
      </c>
      <c r="ZO103">
        <v>0</v>
      </c>
      <c r="ZP103">
        <v>0</v>
      </c>
      <c r="ZQ103">
        <v>0</v>
      </c>
      <c r="ZR103">
        <v>0</v>
      </c>
      <c r="ZS103">
        <v>0</v>
      </c>
      <c r="ZT103">
        <v>0</v>
      </c>
      <c r="ZU103">
        <v>0</v>
      </c>
      <c r="ZV103">
        <v>0</v>
      </c>
      <c r="ZW103">
        <v>0</v>
      </c>
      <c r="ZX103">
        <v>0</v>
      </c>
      <c r="ZY103">
        <v>0</v>
      </c>
      <c r="ZZ103">
        <v>0</v>
      </c>
      <c r="AAA103">
        <v>0</v>
      </c>
      <c r="AAB103">
        <v>0</v>
      </c>
      <c r="AAC103">
        <v>0</v>
      </c>
      <c r="AAD103">
        <v>0</v>
      </c>
      <c r="AAE103">
        <v>0</v>
      </c>
      <c r="AAF103">
        <v>0</v>
      </c>
      <c r="AAG103">
        <v>0</v>
      </c>
      <c r="AAH103">
        <v>0</v>
      </c>
      <c r="AAI103">
        <v>0</v>
      </c>
      <c r="AAJ103">
        <v>0</v>
      </c>
      <c r="AAK103">
        <v>0</v>
      </c>
      <c r="AAL103">
        <v>0</v>
      </c>
      <c r="AAM103">
        <v>0</v>
      </c>
      <c r="AAN103">
        <v>0</v>
      </c>
      <c r="AAO103">
        <v>0</v>
      </c>
      <c r="AAP103">
        <v>0</v>
      </c>
      <c r="AAQ103">
        <v>0</v>
      </c>
      <c r="AAR103">
        <v>0</v>
      </c>
      <c r="AAS103">
        <v>0</v>
      </c>
      <c r="AAT103">
        <v>0</v>
      </c>
      <c r="AAU103">
        <v>0</v>
      </c>
      <c r="AAV103">
        <v>0</v>
      </c>
      <c r="AAW103">
        <v>0</v>
      </c>
      <c r="AAX103">
        <v>0</v>
      </c>
      <c r="AAY103">
        <v>0</v>
      </c>
      <c r="AAZ103">
        <v>0</v>
      </c>
      <c r="ABA103">
        <v>0</v>
      </c>
      <c r="ABB103">
        <v>0</v>
      </c>
      <c r="ABC103">
        <v>0</v>
      </c>
      <c r="ABD103">
        <v>0</v>
      </c>
      <c r="ABE103">
        <v>0</v>
      </c>
      <c r="ABF103">
        <v>0</v>
      </c>
      <c r="ABG103">
        <v>0</v>
      </c>
      <c r="ABH103">
        <v>0</v>
      </c>
      <c r="ABI103">
        <v>0</v>
      </c>
      <c r="ABJ103">
        <v>0</v>
      </c>
      <c r="ABK103">
        <v>0</v>
      </c>
      <c r="ABL103">
        <v>0</v>
      </c>
      <c r="ABM103">
        <v>0</v>
      </c>
      <c r="ABN103">
        <v>0</v>
      </c>
      <c r="ABO103">
        <v>0</v>
      </c>
      <c r="ABP103">
        <v>0</v>
      </c>
      <c r="ABQ103">
        <v>0</v>
      </c>
      <c r="ABR103">
        <v>0</v>
      </c>
      <c r="ABS103">
        <v>0</v>
      </c>
      <c r="ABT103">
        <v>0</v>
      </c>
      <c r="ABU103">
        <v>0</v>
      </c>
      <c r="ABV103">
        <v>0</v>
      </c>
      <c r="ABW103">
        <v>0</v>
      </c>
      <c r="ABX103">
        <v>0</v>
      </c>
      <c r="ABY103">
        <v>0</v>
      </c>
      <c r="ABZ103">
        <v>0</v>
      </c>
      <c r="ACA103">
        <v>0</v>
      </c>
      <c r="ACB103">
        <v>0</v>
      </c>
      <c r="ACC103">
        <v>0</v>
      </c>
      <c r="ACD103">
        <v>0</v>
      </c>
      <c r="ACE103">
        <v>0</v>
      </c>
      <c r="ACF103">
        <v>0</v>
      </c>
      <c r="ACG103">
        <v>0</v>
      </c>
      <c r="ACH103">
        <v>0</v>
      </c>
      <c r="ACI103">
        <v>0</v>
      </c>
      <c r="ACJ103">
        <v>0</v>
      </c>
      <c r="ACK103">
        <v>0</v>
      </c>
      <c r="ACL103">
        <v>0</v>
      </c>
      <c r="ACM103">
        <v>0</v>
      </c>
      <c r="ACN103">
        <v>0</v>
      </c>
      <c r="ACO103">
        <v>0</v>
      </c>
      <c r="ACP103">
        <v>0</v>
      </c>
      <c r="ACQ103">
        <v>0</v>
      </c>
      <c r="ACR103">
        <v>0</v>
      </c>
      <c r="ACS103">
        <v>0</v>
      </c>
      <c r="ACT103">
        <v>0</v>
      </c>
      <c r="ACU103">
        <v>0</v>
      </c>
      <c r="ACV103">
        <v>0</v>
      </c>
      <c r="ACW103">
        <v>0</v>
      </c>
      <c r="ACX103">
        <v>0</v>
      </c>
      <c r="ACY103">
        <v>0</v>
      </c>
      <c r="ACZ103">
        <v>0</v>
      </c>
      <c r="ADA103">
        <v>0</v>
      </c>
      <c r="ADB103">
        <v>0</v>
      </c>
      <c r="ADC103">
        <v>0</v>
      </c>
      <c r="ADD103">
        <v>0</v>
      </c>
      <c r="ADE103">
        <v>0</v>
      </c>
      <c r="ADF103">
        <v>0</v>
      </c>
      <c r="ADG103">
        <v>0</v>
      </c>
      <c r="ADH103">
        <v>0</v>
      </c>
      <c r="ADI103">
        <v>0</v>
      </c>
      <c r="ADJ103">
        <v>0</v>
      </c>
      <c r="ADK103">
        <v>0</v>
      </c>
      <c r="ADL103">
        <v>0</v>
      </c>
      <c r="ADM103">
        <v>0</v>
      </c>
      <c r="ADN103">
        <v>0</v>
      </c>
      <c r="ADO103">
        <v>0</v>
      </c>
      <c r="ADP103">
        <v>0</v>
      </c>
      <c r="ADQ103">
        <v>0</v>
      </c>
      <c r="ADR103">
        <v>0</v>
      </c>
      <c r="ADS103">
        <v>0</v>
      </c>
      <c r="ADT103">
        <v>0</v>
      </c>
      <c r="ADU103">
        <v>0</v>
      </c>
      <c r="ADV103">
        <v>0</v>
      </c>
      <c r="ADW103">
        <v>0</v>
      </c>
      <c r="ADX103">
        <v>0</v>
      </c>
      <c r="ADY103">
        <v>0</v>
      </c>
      <c r="ADZ103">
        <v>0</v>
      </c>
      <c r="AEA103">
        <v>0</v>
      </c>
      <c r="AEB103">
        <v>0</v>
      </c>
      <c r="AEC103">
        <v>0</v>
      </c>
      <c r="AED103">
        <v>0</v>
      </c>
      <c r="AEE103">
        <v>0</v>
      </c>
      <c r="AEF103">
        <v>0</v>
      </c>
      <c r="AEG103">
        <v>0</v>
      </c>
      <c r="AEH103">
        <v>0</v>
      </c>
      <c r="AEI103">
        <v>0</v>
      </c>
      <c r="AEJ103">
        <v>0</v>
      </c>
      <c r="AEK103">
        <v>0</v>
      </c>
      <c r="AEL103">
        <v>0</v>
      </c>
      <c r="AEM103">
        <v>0</v>
      </c>
      <c r="AEN103">
        <v>0</v>
      </c>
      <c r="AEO103">
        <v>0</v>
      </c>
      <c r="AEP103">
        <v>0</v>
      </c>
      <c r="AEQ103">
        <v>0</v>
      </c>
      <c r="AER103">
        <v>0</v>
      </c>
      <c r="AES103">
        <v>0</v>
      </c>
      <c r="AET103">
        <v>0</v>
      </c>
      <c r="AEU103">
        <v>0</v>
      </c>
      <c r="AEV103">
        <v>0</v>
      </c>
      <c r="AEW103">
        <v>0</v>
      </c>
      <c r="AEX103">
        <v>0</v>
      </c>
      <c r="AEY103">
        <v>0</v>
      </c>
      <c r="AEZ103">
        <v>0</v>
      </c>
      <c r="AFA103">
        <v>0</v>
      </c>
      <c r="AFB103">
        <v>0</v>
      </c>
      <c r="AFC103">
        <v>0</v>
      </c>
      <c r="AFD103">
        <v>0</v>
      </c>
      <c r="AFE103">
        <v>0</v>
      </c>
      <c r="AFF103">
        <v>0</v>
      </c>
      <c r="AFG103">
        <v>0</v>
      </c>
      <c r="AFH103">
        <v>0</v>
      </c>
      <c r="AFI103">
        <v>0</v>
      </c>
      <c r="AFJ103">
        <v>0</v>
      </c>
      <c r="AFK103">
        <v>0</v>
      </c>
      <c r="AFL103">
        <v>0</v>
      </c>
      <c r="AFM103">
        <v>0</v>
      </c>
      <c r="AFN103">
        <v>0</v>
      </c>
      <c r="AFO103">
        <v>0</v>
      </c>
      <c r="AFP103">
        <v>0</v>
      </c>
      <c r="AFQ103">
        <v>0</v>
      </c>
      <c r="AFR103">
        <v>0</v>
      </c>
      <c r="AFS103">
        <v>0</v>
      </c>
      <c r="AFT103">
        <v>0</v>
      </c>
      <c r="AFU103">
        <v>0</v>
      </c>
      <c r="AFV103">
        <v>0</v>
      </c>
      <c r="AFW103">
        <v>0</v>
      </c>
      <c r="AFX103">
        <v>0</v>
      </c>
      <c r="AFY103">
        <v>0</v>
      </c>
      <c r="AFZ103">
        <v>0</v>
      </c>
      <c r="AGA103">
        <v>0</v>
      </c>
      <c r="AGB103">
        <v>0</v>
      </c>
      <c r="AGC103">
        <v>0</v>
      </c>
      <c r="AGD103">
        <v>0</v>
      </c>
      <c r="AGE103">
        <v>0</v>
      </c>
      <c r="AGF103">
        <v>0</v>
      </c>
      <c r="AGG103">
        <v>0</v>
      </c>
      <c r="AGH103">
        <v>1125</v>
      </c>
      <c r="AGI103">
        <v>1125</v>
      </c>
      <c r="AGJ103">
        <v>1125</v>
      </c>
      <c r="AGK103">
        <v>1125</v>
      </c>
      <c r="AGL103">
        <v>1125</v>
      </c>
      <c r="AGM103">
        <v>1125</v>
      </c>
      <c r="AGN103">
        <v>1125</v>
      </c>
      <c r="AGO103">
        <v>1125</v>
      </c>
      <c r="AGP103">
        <v>1125</v>
      </c>
      <c r="AGQ103">
        <v>1125</v>
      </c>
      <c r="AGR103">
        <v>1125</v>
      </c>
      <c r="AGS103">
        <v>1125</v>
      </c>
      <c r="AGT103">
        <v>1125</v>
      </c>
      <c r="AGU103">
        <v>1125</v>
      </c>
      <c r="AGV103">
        <v>1125</v>
      </c>
      <c r="AGW103">
        <v>1125</v>
      </c>
      <c r="AGX103">
        <v>1125</v>
      </c>
      <c r="AGY103">
        <v>1125</v>
      </c>
      <c r="AGZ103">
        <v>1125</v>
      </c>
      <c r="AHA103">
        <v>1125</v>
      </c>
      <c r="AHB103">
        <v>1125</v>
      </c>
      <c r="AHC103">
        <v>1125</v>
      </c>
      <c r="AHD103">
        <v>1125</v>
      </c>
      <c r="AHE103">
        <v>1125</v>
      </c>
      <c r="AHF103">
        <v>1125</v>
      </c>
      <c r="AHG103">
        <v>1125</v>
      </c>
      <c r="AHH103">
        <v>1125</v>
      </c>
      <c r="AHI103">
        <v>1125</v>
      </c>
      <c r="AHJ103">
        <v>1125</v>
      </c>
      <c r="AHK103">
        <v>1125</v>
      </c>
      <c r="AHL103">
        <v>1125</v>
      </c>
      <c r="AHM103">
        <v>1125</v>
      </c>
      <c r="AHN103">
        <v>1125</v>
      </c>
      <c r="AHO103">
        <v>1125</v>
      </c>
      <c r="AHP103">
        <v>1125</v>
      </c>
      <c r="AHQ103">
        <v>1125</v>
      </c>
      <c r="AHR103">
        <v>1125</v>
      </c>
      <c r="AHS103">
        <v>1125</v>
      </c>
      <c r="AHT103">
        <v>1125</v>
      </c>
      <c r="AHU103">
        <v>1125</v>
      </c>
      <c r="AHV103">
        <v>1125</v>
      </c>
      <c r="AHW103">
        <v>1125</v>
      </c>
      <c r="AHX103">
        <v>1125</v>
      </c>
      <c r="AHY103">
        <v>1125</v>
      </c>
      <c r="AHZ103">
        <v>1125</v>
      </c>
      <c r="AIA103">
        <v>1125</v>
      </c>
      <c r="AIB103">
        <v>1125</v>
      </c>
      <c r="AIC103">
        <v>1125</v>
      </c>
      <c r="AID103">
        <v>1125</v>
      </c>
      <c r="AIE103">
        <v>1125</v>
      </c>
      <c r="AIF103">
        <v>1125</v>
      </c>
      <c r="AIG103">
        <v>1125</v>
      </c>
      <c r="AIH103">
        <v>1125</v>
      </c>
      <c r="AII103">
        <v>1125</v>
      </c>
      <c r="AIJ103">
        <v>1125</v>
      </c>
      <c r="AIK103">
        <v>1125</v>
      </c>
      <c r="AIL103">
        <v>1125</v>
      </c>
      <c r="AIM103">
        <v>1125</v>
      </c>
      <c r="AIN103">
        <v>1125</v>
      </c>
      <c r="AIO103">
        <v>1125</v>
      </c>
      <c r="AIP103">
        <v>1125</v>
      </c>
      <c r="AIQ103">
        <v>1125</v>
      </c>
      <c r="AIR103">
        <v>1125</v>
      </c>
      <c r="AIS103">
        <v>1125</v>
      </c>
      <c r="AIT103">
        <v>1125</v>
      </c>
      <c r="AIU103">
        <v>1125</v>
      </c>
      <c r="AIV103">
        <v>1125</v>
      </c>
      <c r="AIW103">
        <v>1125</v>
      </c>
      <c r="AIX103">
        <v>1125</v>
      </c>
      <c r="AIY103">
        <v>1125</v>
      </c>
      <c r="AIZ103">
        <v>1125</v>
      </c>
      <c r="AJA103">
        <v>1125</v>
      </c>
      <c r="AJB103">
        <v>1125</v>
      </c>
      <c r="AJC103">
        <v>1125</v>
      </c>
      <c r="AJD103">
        <v>1125</v>
      </c>
      <c r="AJE103">
        <v>1125</v>
      </c>
      <c r="AJF103">
        <v>1125</v>
      </c>
      <c r="AJG103">
        <v>1125</v>
      </c>
      <c r="AJH103">
        <v>1125</v>
      </c>
      <c r="AJI103">
        <v>1125</v>
      </c>
      <c r="AJJ103">
        <v>1125</v>
      </c>
      <c r="AJK103">
        <v>1125</v>
      </c>
      <c r="AJL103">
        <v>1125</v>
      </c>
      <c r="AJM103">
        <v>1125</v>
      </c>
      <c r="AJN103">
        <v>1125</v>
      </c>
      <c r="AJO103">
        <v>1125</v>
      </c>
      <c r="AJP103">
        <v>1125</v>
      </c>
      <c r="AJQ103">
        <v>1125</v>
      </c>
      <c r="AJR103">
        <v>1125</v>
      </c>
      <c r="AJS103">
        <v>1125</v>
      </c>
      <c r="AJT103">
        <v>1125</v>
      </c>
      <c r="AJU103">
        <v>1125</v>
      </c>
      <c r="AJV103">
        <v>1125</v>
      </c>
      <c r="AJW103">
        <v>1125</v>
      </c>
      <c r="AJX103">
        <v>1125</v>
      </c>
      <c r="AJY103">
        <v>1125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36BF4-514E-487C-8F9C-5F96D8B7BBBC}">
  <sheetPr codeName="Sheet23"/>
  <dimension ref="A1:B103"/>
  <sheetViews>
    <sheetView zoomScale="85" workbookViewId="0"/>
  </sheetViews>
  <sheetFormatPr defaultRowHeight="14.4" x14ac:dyDescent="0.3"/>
  <sheetData>
    <row r="1" spans="1:2" x14ac:dyDescent="0.3">
      <c r="B1" t="s">
        <v>283</v>
      </c>
    </row>
    <row r="2" spans="1:2" x14ac:dyDescent="0.3">
      <c r="A2">
        <v>0</v>
      </c>
      <c r="B2">
        <v>0</v>
      </c>
    </row>
    <row r="3" spans="1:2" x14ac:dyDescent="0.3">
      <c r="A3">
        <v>1</v>
      </c>
      <c r="B3">
        <v>0</v>
      </c>
    </row>
    <row r="4" spans="1:2" x14ac:dyDescent="0.3">
      <c r="A4">
        <v>2</v>
      </c>
      <c r="B4">
        <v>0</v>
      </c>
    </row>
    <row r="5" spans="1:2" x14ac:dyDescent="0.3">
      <c r="A5">
        <v>3</v>
      </c>
      <c r="B5">
        <v>0</v>
      </c>
    </row>
    <row r="6" spans="1:2" x14ac:dyDescent="0.3">
      <c r="A6">
        <v>4</v>
      </c>
      <c r="B6">
        <v>0</v>
      </c>
    </row>
    <row r="7" spans="1:2" x14ac:dyDescent="0.3">
      <c r="A7">
        <v>5</v>
      </c>
      <c r="B7">
        <v>0</v>
      </c>
    </row>
    <row r="8" spans="1:2" x14ac:dyDescent="0.3">
      <c r="A8">
        <v>6</v>
      </c>
      <c r="B8">
        <v>0</v>
      </c>
    </row>
    <row r="9" spans="1:2" x14ac:dyDescent="0.3">
      <c r="A9">
        <v>7</v>
      </c>
      <c r="B9">
        <v>0</v>
      </c>
    </row>
    <row r="10" spans="1:2" x14ac:dyDescent="0.3">
      <c r="A10">
        <v>8</v>
      </c>
      <c r="B10">
        <v>0</v>
      </c>
    </row>
    <row r="11" spans="1:2" x14ac:dyDescent="0.3">
      <c r="A11">
        <v>9</v>
      </c>
      <c r="B11">
        <v>0</v>
      </c>
    </row>
    <row r="12" spans="1:2" x14ac:dyDescent="0.3">
      <c r="A12">
        <v>10</v>
      </c>
      <c r="B12">
        <v>0</v>
      </c>
    </row>
    <row r="13" spans="1:2" x14ac:dyDescent="0.3">
      <c r="A13">
        <v>11</v>
      </c>
      <c r="B13">
        <v>0</v>
      </c>
    </row>
    <row r="14" spans="1:2" x14ac:dyDescent="0.3">
      <c r="A14">
        <v>12</v>
      </c>
      <c r="B14">
        <v>0</v>
      </c>
    </row>
    <row r="15" spans="1:2" x14ac:dyDescent="0.3">
      <c r="A15">
        <v>13</v>
      </c>
      <c r="B15">
        <v>0</v>
      </c>
    </row>
    <row r="16" spans="1:2" x14ac:dyDescent="0.3">
      <c r="A16">
        <v>14</v>
      </c>
      <c r="B16">
        <v>0</v>
      </c>
    </row>
    <row r="17" spans="1:2" x14ac:dyDescent="0.3">
      <c r="A17">
        <v>15</v>
      </c>
      <c r="B17">
        <v>0</v>
      </c>
    </row>
    <row r="18" spans="1:2" x14ac:dyDescent="0.3">
      <c r="A18">
        <v>16</v>
      </c>
      <c r="B18">
        <v>0</v>
      </c>
    </row>
    <row r="19" spans="1:2" x14ac:dyDescent="0.3">
      <c r="A19">
        <v>17</v>
      </c>
      <c r="B19">
        <v>0</v>
      </c>
    </row>
    <row r="20" spans="1:2" x14ac:dyDescent="0.3">
      <c r="A20">
        <v>18</v>
      </c>
      <c r="B20">
        <v>0</v>
      </c>
    </row>
    <row r="21" spans="1:2" x14ac:dyDescent="0.3">
      <c r="A21">
        <v>19</v>
      </c>
      <c r="B21">
        <v>0</v>
      </c>
    </row>
    <row r="22" spans="1:2" x14ac:dyDescent="0.3">
      <c r="A22">
        <v>20</v>
      </c>
      <c r="B22">
        <v>0</v>
      </c>
    </row>
    <row r="23" spans="1:2" x14ac:dyDescent="0.3">
      <c r="A23">
        <v>21</v>
      </c>
      <c r="B23">
        <v>0</v>
      </c>
    </row>
    <row r="24" spans="1:2" x14ac:dyDescent="0.3">
      <c r="A24">
        <v>22</v>
      </c>
      <c r="B24">
        <v>0</v>
      </c>
    </row>
    <row r="25" spans="1:2" x14ac:dyDescent="0.3">
      <c r="A25">
        <v>23</v>
      </c>
      <c r="B25">
        <v>0</v>
      </c>
    </row>
    <row r="26" spans="1:2" x14ac:dyDescent="0.3">
      <c r="A26">
        <v>24</v>
      </c>
      <c r="B26">
        <v>0</v>
      </c>
    </row>
    <row r="27" spans="1:2" x14ac:dyDescent="0.3">
      <c r="A27">
        <v>25</v>
      </c>
      <c r="B27">
        <v>0</v>
      </c>
    </row>
    <row r="28" spans="1:2" x14ac:dyDescent="0.3">
      <c r="A28">
        <v>26</v>
      </c>
      <c r="B28">
        <v>0</v>
      </c>
    </row>
    <row r="29" spans="1:2" x14ac:dyDescent="0.3">
      <c r="A29">
        <v>27</v>
      </c>
      <c r="B29">
        <v>0</v>
      </c>
    </row>
    <row r="30" spans="1:2" x14ac:dyDescent="0.3">
      <c r="A30">
        <v>28</v>
      </c>
      <c r="B30">
        <v>0</v>
      </c>
    </row>
    <row r="31" spans="1:2" x14ac:dyDescent="0.3">
      <c r="A31">
        <v>29</v>
      </c>
      <c r="B31">
        <v>0</v>
      </c>
    </row>
    <row r="32" spans="1:2" x14ac:dyDescent="0.3">
      <c r="A32">
        <v>30</v>
      </c>
      <c r="B32">
        <v>0</v>
      </c>
    </row>
    <row r="33" spans="1:2" x14ac:dyDescent="0.3">
      <c r="A33">
        <v>31</v>
      </c>
      <c r="B33">
        <v>0</v>
      </c>
    </row>
    <row r="34" spans="1:2" x14ac:dyDescent="0.3">
      <c r="A34">
        <v>32</v>
      </c>
      <c r="B34">
        <v>0</v>
      </c>
    </row>
    <row r="35" spans="1:2" x14ac:dyDescent="0.3">
      <c r="A35">
        <v>33</v>
      </c>
      <c r="B35">
        <v>0</v>
      </c>
    </row>
    <row r="36" spans="1:2" x14ac:dyDescent="0.3">
      <c r="A36">
        <v>34</v>
      </c>
      <c r="B36">
        <v>0</v>
      </c>
    </row>
    <row r="37" spans="1:2" x14ac:dyDescent="0.3">
      <c r="A37">
        <v>35</v>
      </c>
      <c r="B37">
        <v>0</v>
      </c>
    </row>
    <row r="38" spans="1:2" x14ac:dyDescent="0.3">
      <c r="A38">
        <v>36</v>
      </c>
      <c r="B38">
        <v>0</v>
      </c>
    </row>
    <row r="39" spans="1:2" x14ac:dyDescent="0.3">
      <c r="A39">
        <v>37</v>
      </c>
      <c r="B39">
        <v>0</v>
      </c>
    </row>
    <row r="40" spans="1:2" x14ac:dyDescent="0.3">
      <c r="A40">
        <v>38</v>
      </c>
      <c r="B40">
        <v>0</v>
      </c>
    </row>
    <row r="41" spans="1:2" x14ac:dyDescent="0.3">
      <c r="A41">
        <v>39</v>
      </c>
      <c r="B41">
        <v>0</v>
      </c>
    </row>
    <row r="42" spans="1:2" x14ac:dyDescent="0.3">
      <c r="A42">
        <v>40</v>
      </c>
      <c r="B42">
        <v>0</v>
      </c>
    </row>
    <row r="43" spans="1:2" x14ac:dyDescent="0.3">
      <c r="A43">
        <v>41</v>
      </c>
      <c r="B43">
        <v>0</v>
      </c>
    </row>
    <row r="44" spans="1:2" x14ac:dyDescent="0.3">
      <c r="A44">
        <v>42</v>
      </c>
      <c r="B44">
        <v>0</v>
      </c>
    </row>
    <row r="45" spans="1:2" x14ac:dyDescent="0.3">
      <c r="A45">
        <v>43</v>
      </c>
      <c r="B45">
        <v>0</v>
      </c>
    </row>
    <row r="46" spans="1:2" x14ac:dyDescent="0.3">
      <c r="A46">
        <v>44</v>
      </c>
      <c r="B46">
        <v>0</v>
      </c>
    </row>
    <row r="47" spans="1:2" x14ac:dyDescent="0.3">
      <c r="A47">
        <v>45</v>
      </c>
      <c r="B47">
        <v>0</v>
      </c>
    </row>
    <row r="48" spans="1:2" x14ac:dyDescent="0.3">
      <c r="A48">
        <v>46</v>
      </c>
      <c r="B48">
        <v>0</v>
      </c>
    </row>
    <row r="49" spans="1:2" x14ac:dyDescent="0.3">
      <c r="A49">
        <v>47</v>
      </c>
      <c r="B49">
        <v>0</v>
      </c>
    </row>
    <row r="50" spans="1:2" x14ac:dyDescent="0.3">
      <c r="A50">
        <v>48</v>
      </c>
      <c r="B50">
        <v>0</v>
      </c>
    </row>
    <row r="51" spans="1:2" x14ac:dyDescent="0.3">
      <c r="A51">
        <v>49</v>
      </c>
      <c r="B51">
        <v>0</v>
      </c>
    </row>
    <row r="52" spans="1:2" x14ac:dyDescent="0.3">
      <c r="A52">
        <v>50</v>
      </c>
      <c r="B52">
        <v>0</v>
      </c>
    </row>
    <row r="53" spans="1:2" x14ac:dyDescent="0.3">
      <c r="A53">
        <v>51</v>
      </c>
      <c r="B53">
        <v>0</v>
      </c>
    </row>
    <row r="54" spans="1:2" x14ac:dyDescent="0.3">
      <c r="A54">
        <v>52</v>
      </c>
      <c r="B54">
        <v>0</v>
      </c>
    </row>
    <row r="55" spans="1:2" x14ac:dyDescent="0.3">
      <c r="A55">
        <v>53</v>
      </c>
      <c r="B55">
        <v>0</v>
      </c>
    </row>
    <row r="56" spans="1:2" x14ac:dyDescent="0.3">
      <c r="A56">
        <v>54</v>
      </c>
      <c r="B56">
        <v>0</v>
      </c>
    </row>
    <row r="57" spans="1:2" x14ac:dyDescent="0.3">
      <c r="A57">
        <v>55</v>
      </c>
      <c r="B57">
        <v>0</v>
      </c>
    </row>
    <row r="58" spans="1:2" x14ac:dyDescent="0.3">
      <c r="A58">
        <v>56</v>
      </c>
      <c r="B58">
        <v>0</v>
      </c>
    </row>
    <row r="59" spans="1:2" x14ac:dyDescent="0.3">
      <c r="A59">
        <v>57</v>
      </c>
      <c r="B59">
        <v>0</v>
      </c>
    </row>
    <row r="60" spans="1:2" x14ac:dyDescent="0.3">
      <c r="A60">
        <v>58</v>
      </c>
      <c r="B60">
        <v>0</v>
      </c>
    </row>
    <row r="61" spans="1:2" x14ac:dyDescent="0.3">
      <c r="A61">
        <v>59</v>
      </c>
      <c r="B61">
        <v>0</v>
      </c>
    </row>
    <row r="62" spans="1:2" x14ac:dyDescent="0.3">
      <c r="A62">
        <v>60</v>
      </c>
      <c r="B62">
        <v>0</v>
      </c>
    </row>
    <row r="63" spans="1:2" x14ac:dyDescent="0.3">
      <c r="A63">
        <v>61</v>
      </c>
      <c r="B63">
        <v>0</v>
      </c>
    </row>
    <row r="64" spans="1:2" x14ac:dyDescent="0.3">
      <c r="A64">
        <v>62</v>
      </c>
      <c r="B64">
        <v>0</v>
      </c>
    </row>
    <row r="65" spans="1:2" x14ac:dyDescent="0.3">
      <c r="A65">
        <v>63</v>
      </c>
      <c r="B65">
        <v>0</v>
      </c>
    </row>
    <row r="66" spans="1:2" x14ac:dyDescent="0.3">
      <c r="A66">
        <v>64</v>
      </c>
      <c r="B66">
        <v>0</v>
      </c>
    </row>
    <row r="67" spans="1:2" x14ac:dyDescent="0.3">
      <c r="A67">
        <v>65</v>
      </c>
      <c r="B67">
        <v>0</v>
      </c>
    </row>
    <row r="68" spans="1:2" x14ac:dyDescent="0.3">
      <c r="A68">
        <v>66</v>
      </c>
      <c r="B68">
        <v>0</v>
      </c>
    </row>
    <row r="69" spans="1:2" x14ac:dyDescent="0.3">
      <c r="A69">
        <v>67</v>
      </c>
      <c r="B69">
        <v>0</v>
      </c>
    </row>
    <row r="70" spans="1:2" x14ac:dyDescent="0.3">
      <c r="A70">
        <v>68</v>
      </c>
      <c r="B70">
        <v>0</v>
      </c>
    </row>
    <row r="71" spans="1:2" x14ac:dyDescent="0.3">
      <c r="A71">
        <v>69</v>
      </c>
      <c r="B71">
        <v>0</v>
      </c>
    </row>
    <row r="72" spans="1:2" x14ac:dyDescent="0.3">
      <c r="A72">
        <v>70</v>
      </c>
      <c r="B72">
        <v>0</v>
      </c>
    </row>
    <row r="73" spans="1:2" x14ac:dyDescent="0.3">
      <c r="A73">
        <v>71</v>
      </c>
      <c r="B73">
        <v>0</v>
      </c>
    </row>
    <row r="74" spans="1:2" x14ac:dyDescent="0.3">
      <c r="A74">
        <v>72</v>
      </c>
      <c r="B74">
        <v>0</v>
      </c>
    </row>
    <row r="75" spans="1:2" x14ac:dyDescent="0.3">
      <c r="A75">
        <v>73</v>
      </c>
      <c r="B75">
        <v>0</v>
      </c>
    </row>
    <row r="76" spans="1:2" x14ac:dyDescent="0.3">
      <c r="A76">
        <v>74</v>
      </c>
      <c r="B76">
        <v>0</v>
      </c>
    </row>
    <row r="77" spans="1:2" x14ac:dyDescent="0.3">
      <c r="A77">
        <v>75</v>
      </c>
      <c r="B77">
        <v>0</v>
      </c>
    </row>
    <row r="78" spans="1:2" x14ac:dyDescent="0.3">
      <c r="A78">
        <v>76</v>
      </c>
      <c r="B78">
        <v>0</v>
      </c>
    </row>
    <row r="79" spans="1:2" x14ac:dyDescent="0.3">
      <c r="A79">
        <v>77</v>
      </c>
      <c r="B79">
        <v>0</v>
      </c>
    </row>
    <row r="80" spans="1:2" x14ac:dyDescent="0.3">
      <c r="A80">
        <v>78</v>
      </c>
      <c r="B80">
        <v>0</v>
      </c>
    </row>
    <row r="81" spans="1:2" x14ac:dyDescent="0.3">
      <c r="A81">
        <v>79</v>
      </c>
      <c r="B81">
        <v>0</v>
      </c>
    </row>
    <row r="82" spans="1:2" x14ac:dyDescent="0.3">
      <c r="A82">
        <v>80</v>
      </c>
      <c r="B82">
        <v>0</v>
      </c>
    </row>
    <row r="83" spans="1:2" x14ac:dyDescent="0.3">
      <c r="A83">
        <v>81</v>
      </c>
      <c r="B83">
        <v>0</v>
      </c>
    </row>
    <row r="84" spans="1:2" x14ac:dyDescent="0.3">
      <c r="A84">
        <v>82</v>
      </c>
      <c r="B84">
        <v>0</v>
      </c>
    </row>
    <row r="85" spans="1:2" x14ac:dyDescent="0.3">
      <c r="A85">
        <v>83</v>
      </c>
      <c r="B85">
        <v>0</v>
      </c>
    </row>
    <row r="86" spans="1:2" x14ac:dyDescent="0.3">
      <c r="A86">
        <v>84</v>
      </c>
      <c r="B86">
        <v>0</v>
      </c>
    </row>
    <row r="87" spans="1:2" x14ac:dyDescent="0.3">
      <c r="A87">
        <v>85</v>
      </c>
      <c r="B87">
        <v>0</v>
      </c>
    </row>
    <row r="88" spans="1:2" x14ac:dyDescent="0.3">
      <c r="A88">
        <v>86</v>
      </c>
      <c r="B88">
        <v>0</v>
      </c>
    </row>
    <row r="89" spans="1:2" x14ac:dyDescent="0.3">
      <c r="A89">
        <v>87</v>
      </c>
      <c r="B89">
        <v>0</v>
      </c>
    </row>
    <row r="90" spans="1:2" x14ac:dyDescent="0.3">
      <c r="A90">
        <v>88</v>
      </c>
      <c r="B90">
        <v>0</v>
      </c>
    </row>
    <row r="91" spans="1:2" x14ac:dyDescent="0.3">
      <c r="A91">
        <v>89</v>
      </c>
      <c r="B91">
        <v>0</v>
      </c>
    </row>
    <row r="92" spans="1:2" x14ac:dyDescent="0.3">
      <c r="A92">
        <v>90</v>
      </c>
      <c r="B92">
        <v>0</v>
      </c>
    </row>
    <row r="93" spans="1:2" x14ac:dyDescent="0.3">
      <c r="A93">
        <v>91</v>
      </c>
      <c r="B93">
        <v>0</v>
      </c>
    </row>
    <row r="94" spans="1:2" x14ac:dyDescent="0.3">
      <c r="A94">
        <v>92</v>
      </c>
      <c r="B94">
        <v>0</v>
      </c>
    </row>
    <row r="95" spans="1:2" x14ac:dyDescent="0.3">
      <c r="A95">
        <v>93</v>
      </c>
      <c r="B95">
        <v>0</v>
      </c>
    </row>
    <row r="96" spans="1:2" x14ac:dyDescent="0.3">
      <c r="A96">
        <v>94</v>
      </c>
      <c r="B96">
        <v>0</v>
      </c>
    </row>
    <row r="97" spans="1:2" x14ac:dyDescent="0.3">
      <c r="A97">
        <v>95</v>
      </c>
      <c r="B97">
        <v>0</v>
      </c>
    </row>
    <row r="98" spans="1:2" x14ac:dyDescent="0.3">
      <c r="A98">
        <v>96</v>
      </c>
      <c r="B98">
        <v>600</v>
      </c>
    </row>
    <row r="99" spans="1:2" x14ac:dyDescent="0.3">
      <c r="A99">
        <v>97</v>
      </c>
      <c r="B99">
        <v>500</v>
      </c>
    </row>
    <row r="100" spans="1:2" x14ac:dyDescent="0.3">
      <c r="A100">
        <v>98</v>
      </c>
      <c r="B100">
        <v>120</v>
      </c>
    </row>
    <row r="101" spans="1:2" x14ac:dyDescent="0.3">
      <c r="A101">
        <v>99</v>
      </c>
      <c r="B101">
        <v>3073.972602739726</v>
      </c>
    </row>
    <row r="102" spans="1:2" x14ac:dyDescent="0.3">
      <c r="A102">
        <v>100</v>
      </c>
      <c r="B102">
        <v>840</v>
      </c>
    </row>
    <row r="103" spans="1:2" x14ac:dyDescent="0.3">
      <c r="A103">
        <v>101</v>
      </c>
      <c r="B103">
        <v>6750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359C-A082-4092-9625-F52231EBE7A8}">
  <sheetPr codeName="Sheet24"/>
  <dimension ref="A1:B961"/>
  <sheetViews>
    <sheetView workbookViewId="0"/>
  </sheetViews>
  <sheetFormatPr defaultRowHeight="14.4" x14ac:dyDescent="0.3"/>
  <sheetData>
    <row r="1" spans="1:2" x14ac:dyDescent="0.3">
      <c r="B1" t="s">
        <v>284</v>
      </c>
    </row>
    <row r="2" spans="1:2" x14ac:dyDescent="0.3">
      <c r="A2">
        <v>0</v>
      </c>
      <c r="B2">
        <v>-12</v>
      </c>
    </row>
    <row r="3" spans="1:2" x14ac:dyDescent="0.3">
      <c r="A3">
        <v>1</v>
      </c>
      <c r="B3">
        <v>-12</v>
      </c>
    </row>
    <row r="4" spans="1:2" x14ac:dyDescent="0.3">
      <c r="A4">
        <v>2</v>
      </c>
      <c r="B4">
        <v>-12</v>
      </c>
    </row>
    <row r="5" spans="1:2" x14ac:dyDescent="0.3">
      <c r="A5">
        <v>3</v>
      </c>
      <c r="B5">
        <v>-12</v>
      </c>
    </row>
    <row r="6" spans="1:2" x14ac:dyDescent="0.3">
      <c r="A6">
        <v>4</v>
      </c>
      <c r="B6">
        <v>-12</v>
      </c>
    </row>
    <row r="7" spans="1:2" x14ac:dyDescent="0.3">
      <c r="A7">
        <v>5</v>
      </c>
      <c r="B7">
        <v>-12</v>
      </c>
    </row>
    <row r="8" spans="1:2" x14ac:dyDescent="0.3">
      <c r="A8">
        <v>6</v>
      </c>
      <c r="B8">
        <v>-12</v>
      </c>
    </row>
    <row r="9" spans="1:2" x14ac:dyDescent="0.3">
      <c r="A9">
        <v>7</v>
      </c>
      <c r="B9">
        <v>-12</v>
      </c>
    </row>
    <row r="10" spans="1:2" x14ac:dyDescent="0.3">
      <c r="A10">
        <v>8</v>
      </c>
      <c r="B10">
        <v>-12</v>
      </c>
    </row>
    <row r="11" spans="1:2" x14ac:dyDescent="0.3">
      <c r="A11">
        <v>9</v>
      </c>
      <c r="B11">
        <v>-12</v>
      </c>
    </row>
    <row r="12" spans="1:2" x14ac:dyDescent="0.3">
      <c r="A12">
        <v>10</v>
      </c>
      <c r="B12">
        <v>-12</v>
      </c>
    </row>
    <row r="13" spans="1:2" x14ac:dyDescent="0.3">
      <c r="A13">
        <v>11</v>
      </c>
      <c r="B13">
        <v>-12</v>
      </c>
    </row>
    <row r="14" spans="1:2" x14ac:dyDescent="0.3">
      <c r="A14">
        <v>12</v>
      </c>
      <c r="B14">
        <v>-12</v>
      </c>
    </row>
    <row r="15" spans="1:2" x14ac:dyDescent="0.3">
      <c r="A15">
        <v>13</v>
      </c>
      <c r="B15">
        <v>-12</v>
      </c>
    </row>
    <row r="16" spans="1:2" x14ac:dyDescent="0.3">
      <c r="A16">
        <v>14</v>
      </c>
      <c r="B16">
        <v>-12</v>
      </c>
    </row>
    <row r="17" spans="1:2" x14ac:dyDescent="0.3">
      <c r="A17">
        <v>15</v>
      </c>
      <c r="B17">
        <v>-12</v>
      </c>
    </row>
    <row r="18" spans="1:2" x14ac:dyDescent="0.3">
      <c r="A18">
        <v>16</v>
      </c>
      <c r="B18">
        <v>-12</v>
      </c>
    </row>
    <row r="19" spans="1:2" x14ac:dyDescent="0.3">
      <c r="A19">
        <v>17</v>
      </c>
      <c r="B19">
        <v>-12</v>
      </c>
    </row>
    <row r="20" spans="1:2" x14ac:dyDescent="0.3">
      <c r="A20">
        <v>18</v>
      </c>
      <c r="B20">
        <v>-12</v>
      </c>
    </row>
    <row r="21" spans="1:2" x14ac:dyDescent="0.3">
      <c r="A21">
        <v>19</v>
      </c>
      <c r="B21">
        <v>-12</v>
      </c>
    </row>
    <row r="22" spans="1:2" x14ac:dyDescent="0.3">
      <c r="A22">
        <v>20</v>
      </c>
      <c r="B22">
        <v>-12</v>
      </c>
    </row>
    <row r="23" spans="1:2" x14ac:dyDescent="0.3">
      <c r="A23">
        <v>21</v>
      </c>
      <c r="B23">
        <v>-12</v>
      </c>
    </row>
    <row r="24" spans="1:2" x14ac:dyDescent="0.3">
      <c r="A24">
        <v>22</v>
      </c>
      <c r="B24">
        <v>-12</v>
      </c>
    </row>
    <row r="25" spans="1:2" x14ac:dyDescent="0.3">
      <c r="A25">
        <v>23</v>
      </c>
      <c r="B25">
        <v>-12</v>
      </c>
    </row>
    <row r="26" spans="1:2" x14ac:dyDescent="0.3">
      <c r="A26">
        <v>24</v>
      </c>
      <c r="B26">
        <v>-12</v>
      </c>
    </row>
    <row r="27" spans="1:2" x14ac:dyDescent="0.3">
      <c r="A27">
        <v>25</v>
      </c>
      <c r="B27">
        <v>-12</v>
      </c>
    </row>
    <row r="28" spans="1:2" x14ac:dyDescent="0.3">
      <c r="A28">
        <v>26</v>
      </c>
      <c r="B28">
        <v>-12</v>
      </c>
    </row>
    <row r="29" spans="1:2" x14ac:dyDescent="0.3">
      <c r="A29">
        <v>27</v>
      </c>
      <c r="B29">
        <v>-12</v>
      </c>
    </row>
    <row r="30" spans="1:2" x14ac:dyDescent="0.3">
      <c r="A30">
        <v>28</v>
      </c>
      <c r="B30">
        <v>-12</v>
      </c>
    </row>
    <row r="31" spans="1:2" x14ac:dyDescent="0.3">
      <c r="A31">
        <v>29</v>
      </c>
      <c r="B31">
        <v>-12</v>
      </c>
    </row>
    <row r="32" spans="1:2" x14ac:dyDescent="0.3">
      <c r="A32">
        <v>30</v>
      </c>
      <c r="B32">
        <v>-12</v>
      </c>
    </row>
    <row r="33" spans="1:2" x14ac:dyDescent="0.3">
      <c r="A33">
        <v>31</v>
      </c>
      <c r="B33">
        <v>-12</v>
      </c>
    </row>
    <row r="34" spans="1:2" x14ac:dyDescent="0.3">
      <c r="A34">
        <v>32</v>
      </c>
      <c r="B34">
        <v>-12</v>
      </c>
    </row>
    <row r="35" spans="1:2" x14ac:dyDescent="0.3">
      <c r="A35">
        <v>33</v>
      </c>
      <c r="B35">
        <v>-12</v>
      </c>
    </row>
    <row r="36" spans="1:2" x14ac:dyDescent="0.3">
      <c r="A36">
        <v>34</v>
      </c>
      <c r="B36">
        <v>-12</v>
      </c>
    </row>
    <row r="37" spans="1:2" x14ac:dyDescent="0.3">
      <c r="A37">
        <v>35</v>
      </c>
      <c r="B37">
        <v>-12</v>
      </c>
    </row>
    <row r="38" spans="1:2" x14ac:dyDescent="0.3">
      <c r="A38">
        <v>36</v>
      </c>
      <c r="B38">
        <v>-12</v>
      </c>
    </row>
    <row r="39" spans="1:2" x14ac:dyDescent="0.3">
      <c r="A39">
        <v>37</v>
      </c>
      <c r="B39">
        <v>-12</v>
      </c>
    </row>
    <row r="40" spans="1:2" x14ac:dyDescent="0.3">
      <c r="A40">
        <v>38</v>
      </c>
      <c r="B40">
        <v>-12</v>
      </c>
    </row>
    <row r="41" spans="1:2" x14ac:dyDescent="0.3">
      <c r="A41">
        <v>39</v>
      </c>
      <c r="B41">
        <v>-12</v>
      </c>
    </row>
    <row r="42" spans="1:2" x14ac:dyDescent="0.3">
      <c r="A42">
        <v>40</v>
      </c>
      <c r="B42">
        <v>-12</v>
      </c>
    </row>
    <row r="43" spans="1:2" x14ac:dyDescent="0.3">
      <c r="A43">
        <v>41</v>
      </c>
      <c r="B43">
        <v>-12</v>
      </c>
    </row>
    <row r="44" spans="1:2" x14ac:dyDescent="0.3">
      <c r="A44">
        <v>42</v>
      </c>
      <c r="B44">
        <v>-12</v>
      </c>
    </row>
    <row r="45" spans="1:2" x14ac:dyDescent="0.3">
      <c r="A45">
        <v>43</v>
      </c>
      <c r="B45">
        <v>-12</v>
      </c>
    </row>
    <row r="46" spans="1:2" x14ac:dyDescent="0.3">
      <c r="A46">
        <v>44</v>
      </c>
      <c r="B46">
        <v>-12</v>
      </c>
    </row>
    <row r="47" spans="1:2" x14ac:dyDescent="0.3">
      <c r="A47">
        <v>45</v>
      </c>
      <c r="B47">
        <v>-12</v>
      </c>
    </row>
    <row r="48" spans="1:2" x14ac:dyDescent="0.3">
      <c r="A48">
        <v>46</v>
      </c>
      <c r="B48">
        <v>-12</v>
      </c>
    </row>
    <row r="49" spans="1:2" x14ac:dyDescent="0.3">
      <c r="A49">
        <v>47</v>
      </c>
      <c r="B49">
        <v>-12</v>
      </c>
    </row>
    <row r="50" spans="1:2" x14ac:dyDescent="0.3">
      <c r="A50">
        <v>48</v>
      </c>
      <c r="B50">
        <v>-12</v>
      </c>
    </row>
    <row r="51" spans="1:2" x14ac:dyDescent="0.3">
      <c r="A51">
        <v>49</v>
      </c>
      <c r="B51">
        <v>-12</v>
      </c>
    </row>
    <row r="52" spans="1:2" x14ac:dyDescent="0.3">
      <c r="A52">
        <v>50</v>
      </c>
      <c r="B52">
        <v>-12</v>
      </c>
    </row>
    <row r="53" spans="1:2" x14ac:dyDescent="0.3">
      <c r="A53">
        <v>51</v>
      </c>
      <c r="B53">
        <v>-12</v>
      </c>
    </row>
    <row r="54" spans="1:2" x14ac:dyDescent="0.3">
      <c r="A54">
        <v>52</v>
      </c>
      <c r="B54">
        <v>-12</v>
      </c>
    </row>
    <row r="55" spans="1:2" x14ac:dyDescent="0.3">
      <c r="A55">
        <v>53</v>
      </c>
      <c r="B55">
        <v>-12</v>
      </c>
    </row>
    <row r="56" spans="1:2" x14ac:dyDescent="0.3">
      <c r="A56">
        <v>54</v>
      </c>
      <c r="B56">
        <v>-12</v>
      </c>
    </row>
    <row r="57" spans="1:2" x14ac:dyDescent="0.3">
      <c r="A57">
        <v>55</v>
      </c>
      <c r="B57">
        <v>-12</v>
      </c>
    </row>
    <row r="58" spans="1:2" x14ac:dyDescent="0.3">
      <c r="A58">
        <v>56</v>
      </c>
      <c r="B58">
        <v>-12</v>
      </c>
    </row>
    <row r="59" spans="1:2" x14ac:dyDescent="0.3">
      <c r="A59">
        <v>57</v>
      </c>
      <c r="B59">
        <v>-12</v>
      </c>
    </row>
    <row r="60" spans="1:2" x14ac:dyDescent="0.3">
      <c r="A60">
        <v>58</v>
      </c>
      <c r="B60">
        <v>-12</v>
      </c>
    </row>
    <row r="61" spans="1:2" x14ac:dyDescent="0.3">
      <c r="A61">
        <v>59</v>
      </c>
      <c r="B61">
        <v>-12</v>
      </c>
    </row>
    <row r="62" spans="1:2" x14ac:dyDescent="0.3">
      <c r="A62">
        <v>60</v>
      </c>
      <c r="B62">
        <v>-12</v>
      </c>
    </row>
    <row r="63" spans="1:2" x14ac:dyDescent="0.3">
      <c r="A63">
        <v>61</v>
      </c>
      <c r="B63">
        <v>-12</v>
      </c>
    </row>
    <row r="64" spans="1:2" x14ac:dyDescent="0.3">
      <c r="A64">
        <v>62</v>
      </c>
      <c r="B64">
        <v>-12</v>
      </c>
    </row>
    <row r="65" spans="1:2" x14ac:dyDescent="0.3">
      <c r="A65">
        <v>63</v>
      </c>
      <c r="B65">
        <v>-12</v>
      </c>
    </row>
    <row r="66" spans="1:2" x14ac:dyDescent="0.3">
      <c r="A66">
        <v>64</v>
      </c>
      <c r="B66">
        <v>-12</v>
      </c>
    </row>
    <row r="67" spans="1:2" x14ac:dyDescent="0.3">
      <c r="A67">
        <v>65</v>
      </c>
      <c r="B67">
        <v>-12</v>
      </c>
    </row>
    <row r="68" spans="1:2" x14ac:dyDescent="0.3">
      <c r="A68">
        <v>66</v>
      </c>
      <c r="B68">
        <v>-12</v>
      </c>
    </row>
    <row r="69" spans="1:2" x14ac:dyDescent="0.3">
      <c r="A69">
        <v>67</v>
      </c>
      <c r="B69">
        <v>-12</v>
      </c>
    </row>
    <row r="70" spans="1:2" x14ac:dyDescent="0.3">
      <c r="A70">
        <v>68</v>
      </c>
      <c r="B70">
        <v>-12</v>
      </c>
    </row>
    <row r="71" spans="1:2" x14ac:dyDescent="0.3">
      <c r="A71">
        <v>69</v>
      </c>
      <c r="B71">
        <v>-12</v>
      </c>
    </row>
    <row r="72" spans="1:2" x14ac:dyDescent="0.3">
      <c r="A72">
        <v>70</v>
      </c>
      <c r="B72">
        <v>-12</v>
      </c>
    </row>
    <row r="73" spans="1:2" x14ac:dyDescent="0.3">
      <c r="A73">
        <v>71</v>
      </c>
      <c r="B73">
        <v>-12</v>
      </c>
    </row>
    <row r="74" spans="1:2" x14ac:dyDescent="0.3">
      <c r="A74">
        <v>72</v>
      </c>
      <c r="B74">
        <v>-12</v>
      </c>
    </row>
    <row r="75" spans="1:2" x14ac:dyDescent="0.3">
      <c r="A75">
        <v>73</v>
      </c>
      <c r="B75">
        <v>-12</v>
      </c>
    </row>
    <row r="76" spans="1:2" x14ac:dyDescent="0.3">
      <c r="A76">
        <v>74</v>
      </c>
      <c r="B76">
        <v>-12</v>
      </c>
    </row>
    <row r="77" spans="1:2" x14ac:dyDescent="0.3">
      <c r="A77">
        <v>75</v>
      </c>
      <c r="B77">
        <v>-12</v>
      </c>
    </row>
    <row r="78" spans="1:2" x14ac:dyDescent="0.3">
      <c r="A78">
        <v>76</v>
      </c>
      <c r="B78">
        <v>-12</v>
      </c>
    </row>
    <row r="79" spans="1:2" x14ac:dyDescent="0.3">
      <c r="A79">
        <v>77</v>
      </c>
      <c r="B79">
        <v>-12</v>
      </c>
    </row>
    <row r="80" spans="1:2" x14ac:dyDescent="0.3">
      <c r="A80">
        <v>78</v>
      </c>
      <c r="B80">
        <v>-12</v>
      </c>
    </row>
    <row r="81" spans="1:2" x14ac:dyDescent="0.3">
      <c r="A81">
        <v>79</v>
      </c>
      <c r="B81">
        <v>-12</v>
      </c>
    </row>
    <row r="82" spans="1:2" x14ac:dyDescent="0.3">
      <c r="A82">
        <v>80</v>
      </c>
      <c r="B82">
        <v>-12</v>
      </c>
    </row>
    <row r="83" spans="1:2" x14ac:dyDescent="0.3">
      <c r="A83">
        <v>81</v>
      </c>
      <c r="B83">
        <v>-12</v>
      </c>
    </row>
    <row r="84" spans="1:2" x14ac:dyDescent="0.3">
      <c r="A84">
        <v>82</v>
      </c>
      <c r="B84">
        <v>-12</v>
      </c>
    </row>
    <row r="85" spans="1:2" x14ac:dyDescent="0.3">
      <c r="A85">
        <v>83</v>
      </c>
      <c r="B85">
        <v>-12</v>
      </c>
    </row>
    <row r="86" spans="1:2" x14ac:dyDescent="0.3">
      <c r="A86">
        <v>84</v>
      </c>
      <c r="B86">
        <v>-12</v>
      </c>
    </row>
    <row r="87" spans="1:2" x14ac:dyDescent="0.3">
      <c r="A87">
        <v>85</v>
      </c>
      <c r="B87">
        <v>-12</v>
      </c>
    </row>
    <row r="88" spans="1:2" x14ac:dyDescent="0.3">
      <c r="A88">
        <v>86</v>
      </c>
      <c r="B88">
        <v>-12</v>
      </c>
    </row>
    <row r="89" spans="1:2" x14ac:dyDescent="0.3">
      <c r="A89">
        <v>87</v>
      </c>
      <c r="B89">
        <v>-12</v>
      </c>
    </row>
    <row r="90" spans="1:2" x14ac:dyDescent="0.3">
      <c r="A90">
        <v>88</v>
      </c>
      <c r="B90">
        <v>-12</v>
      </c>
    </row>
    <row r="91" spans="1:2" x14ac:dyDescent="0.3">
      <c r="A91">
        <v>89</v>
      </c>
      <c r="B91">
        <v>-12</v>
      </c>
    </row>
    <row r="92" spans="1:2" x14ac:dyDescent="0.3">
      <c r="A92">
        <v>90</v>
      </c>
      <c r="B92">
        <v>-12</v>
      </c>
    </row>
    <row r="93" spans="1:2" x14ac:dyDescent="0.3">
      <c r="A93">
        <v>91</v>
      </c>
      <c r="B93">
        <v>-12</v>
      </c>
    </row>
    <row r="94" spans="1:2" x14ac:dyDescent="0.3">
      <c r="A94">
        <v>92</v>
      </c>
      <c r="B94">
        <v>-12</v>
      </c>
    </row>
    <row r="95" spans="1:2" x14ac:dyDescent="0.3">
      <c r="A95">
        <v>93</v>
      </c>
      <c r="B95">
        <v>-12</v>
      </c>
    </row>
    <row r="96" spans="1:2" x14ac:dyDescent="0.3">
      <c r="A96">
        <v>94</v>
      </c>
      <c r="B96">
        <v>-12</v>
      </c>
    </row>
    <row r="97" spans="1:2" x14ac:dyDescent="0.3">
      <c r="A97">
        <v>95</v>
      </c>
      <c r="B97">
        <v>-12</v>
      </c>
    </row>
    <row r="98" spans="1:2" x14ac:dyDescent="0.3">
      <c r="A98">
        <v>96</v>
      </c>
      <c r="B98">
        <v>-4</v>
      </c>
    </row>
    <row r="99" spans="1:2" x14ac:dyDescent="0.3">
      <c r="A99">
        <v>97</v>
      </c>
      <c r="B99">
        <v>-4</v>
      </c>
    </row>
    <row r="100" spans="1:2" x14ac:dyDescent="0.3">
      <c r="A100">
        <v>98</v>
      </c>
      <c r="B100">
        <v>-4</v>
      </c>
    </row>
    <row r="101" spans="1:2" x14ac:dyDescent="0.3">
      <c r="A101">
        <v>99</v>
      </c>
      <c r="B101">
        <v>-4</v>
      </c>
    </row>
    <row r="102" spans="1:2" x14ac:dyDescent="0.3">
      <c r="A102">
        <v>100</v>
      </c>
      <c r="B102">
        <v>-4</v>
      </c>
    </row>
    <row r="103" spans="1:2" x14ac:dyDescent="0.3">
      <c r="A103">
        <v>101</v>
      </c>
      <c r="B103">
        <v>-4</v>
      </c>
    </row>
    <row r="104" spans="1:2" x14ac:dyDescent="0.3">
      <c r="A104">
        <v>102</v>
      </c>
      <c r="B104">
        <v>-4</v>
      </c>
    </row>
    <row r="105" spans="1:2" x14ac:dyDescent="0.3">
      <c r="A105">
        <v>103</v>
      </c>
      <c r="B105">
        <v>-4</v>
      </c>
    </row>
    <row r="106" spans="1:2" x14ac:dyDescent="0.3">
      <c r="A106">
        <v>104</v>
      </c>
      <c r="B106">
        <v>-4</v>
      </c>
    </row>
    <row r="107" spans="1:2" x14ac:dyDescent="0.3">
      <c r="A107">
        <v>105</v>
      </c>
      <c r="B107">
        <v>-4</v>
      </c>
    </row>
    <row r="108" spans="1:2" x14ac:dyDescent="0.3">
      <c r="A108">
        <v>106</v>
      </c>
      <c r="B108">
        <v>-4</v>
      </c>
    </row>
    <row r="109" spans="1:2" x14ac:dyDescent="0.3">
      <c r="A109">
        <v>107</v>
      </c>
      <c r="B109">
        <v>-4</v>
      </c>
    </row>
    <row r="110" spans="1:2" x14ac:dyDescent="0.3">
      <c r="A110">
        <v>108</v>
      </c>
      <c r="B110">
        <v>-4</v>
      </c>
    </row>
    <row r="111" spans="1:2" x14ac:dyDescent="0.3">
      <c r="A111">
        <v>109</v>
      </c>
      <c r="B111">
        <v>-4</v>
      </c>
    </row>
    <row r="112" spans="1:2" x14ac:dyDescent="0.3">
      <c r="A112">
        <v>110</v>
      </c>
      <c r="B112">
        <v>-4</v>
      </c>
    </row>
    <row r="113" spans="1:2" x14ac:dyDescent="0.3">
      <c r="A113">
        <v>111</v>
      </c>
      <c r="B113">
        <v>-4</v>
      </c>
    </row>
    <row r="114" spans="1:2" x14ac:dyDescent="0.3">
      <c r="A114">
        <v>112</v>
      </c>
      <c r="B114">
        <v>-4</v>
      </c>
    </row>
    <row r="115" spans="1:2" x14ac:dyDescent="0.3">
      <c r="A115">
        <v>113</v>
      </c>
      <c r="B115">
        <v>-4</v>
      </c>
    </row>
    <row r="116" spans="1:2" x14ac:dyDescent="0.3">
      <c r="A116">
        <v>114</v>
      </c>
      <c r="B116">
        <v>-4</v>
      </c>
    </row>
    <row r="117" spans="1:2" x14ac:dyDescent="0.3">
      <c r="A117">
        <v>115</v>
      </c>
      <c r="B117">
        <v>-4</v>
      </c>
    </row>
    <row r="118" spans="1:2" x14ac:dyDescent="0.3">
      <c r="A118">
        <v>116</v>
      </c>
      <c r="B118">
        <v>-4</v>
      </c>
    </row>
    <row r="119" spans="1:2" x14ac:dyDescent="0.3">
      <c r="A119">
        <v>117</v>
      </c>
      <c r="B119">
        <v>-4</v>
      </c>
    </row>
    <row r="120" spans="1:2" x14ac:dyDescent="0.3">
      <c r="A120">
        <v>118</v>
      </c>
      <c r="B120">
        <v>-4</v>
      </c>
    </row>
    <row r="121" spans="1:2" x14ac:dyDescent="0.3">
      <c r="A121">
        <v>119</v>
      </c>
      <c r="B121">
        <v>-4</v>
      </c>
    </row>
    <row r="122" spans="1:2" x14ac:dyDescent="0.3">
      <c r="A122">
        <v>120</v>
      </c>
      <c r="B122">
        <v>-4</v>
      </c>
    </row>
    <row r="123" spans="1:2" x14ac:dyDescent="0.3">
      <c r="A123">
        <v>121</v>
      </c>
      <c r="B123">
        <v>-4</v>
      </c>
    </row>
    <row r="124" spans="1:2" x14ac:dyDescent="0.3">
      <c r="A124">
        <v>122</v>
      </c>
      <c r="B124">
        <v>-4</v>
      </c>
    </row>
    <row r="125" spans="1:2" x14ac:dyDescent="0.3">
      <c r="A125">
        <v>123</v>
      </c>
      <c r="B125">
        <v>-4</v>
      </c>
    </row>
    <row r="126" spans="1:2" x14ac:dyDescent="0.3">
      <c r="A126">
        <v>124</v>
      </c>
      <c r="B126">
        <v>-4</v>
      </c>
    </row>
    <row r="127" spans="1:2" x14ac:dyDescent="0.3">
      <c r="A127">
        <v>125</v>
      </c>
      <c r="B127">
        <v>-4</v>
      </c>
    </row>
    <row r="128" spans="1:2" x14ac:dyDescent="0.3">
      <c r="A128">
        <v>126</v>
      </c>
      <c r="B128">
        <v>-4</v>
      </c>
    </row>
    <row r="129" spans="1:2" x14ac:dyDescent="0.3">
      <c r="A129">
        <v>127</v>
      </c>
      <c r="B129">
        <v>-4</v>
      </c>
    </row>
    <row r="130" spans="1:2" x14ac:dyDescent="0.3">
      <c r="A130">
        <v>128</v>
      </c>
      <c r="B130">
        <v>-4</v>
      </c>
    </row>
    <row r="131" spans="1:2" x14ac:dyDescent="0.3">
      <c r="A131">
        <v>129</v>
      </c>
      <c r="B131">
        <v>-4</v>
      </c>
    </row>
    <row r="132" spans="1:2" x14ac:dyDescent="0.3">
      <c r="A132">
        <v>130</v>
      </c>
      <c r="B132">
        <v>-4</v>
      </c>
    </row>
    <row r="133" spans="1:2" x14ac:dyDescent="0.3">
      <c r="A133">
        <v>131</v>
      </c>
      <c r="B133">
        <v>-4</v>
      </c>
    </row>
    <row r="134" spans="1:2" x14ac:dyDescent="0.3">
      <c r="A134">
        <v>132</v>
      </c>
      <c r="B134">
        <v>-4</v>
      </c>
    </row>
    <row r="135" spans="1:2" x14ac:dyDescent="0.3">
      <c r="A135">
        <v>133</v>
      </c>
      <c r="B135">
        <v>-4</v>
      </c>
    </row>
    <row r="136" spans="1:2" x14ac:dyDescent="0.3">
      <c r="A136">
        <v>134</v>
      </c>
      <c r="B136">
        <v>-4</v>
      </c>
    </row>
    <row r="137" spans="1:2" x14ac:dyDescent="0.3">
      <c r="A137">
        <v>135</v>
      </c>
      <c r="B137">
        <v>-4</v>
      </c>
    </row>
    <row r="138" spans="1:2" x14ac:dyDescent="0.3">
      <c r="A138">
        <v>136</v>
      </c>
      <c r="B138">
        <v>-4</v>
      </c>
    </row>
    <row r="139" spans="1:2" x14ac:dyDescent="0.3">
      <c r="A139">
        <v>137</v>
      </c>
      <c r="B139">
        <v>-4</v>
      </c>
    </row>
    <row r="140" spans="1:2" x14ac:dyDescent="0.3">
      <c r="A140">
        <v>138</v>
      </c>
      <c r="B140">
        <v>-4</v>
      </c>
    </row>
    <row r="141" spans="1:2" x14ac:dyDescent="0.3">
      <c r="A141">
        <v>139</v>
      </c>
      <c r="B141">
        <v>-4</v>
      </c>
    </row>
    <row r="142" spans="1:2" x14ac:dyDescent="0.3">
      <c r="A142">
        <v>140</v>
      </c>
      <c r="B142">
        <v>-4</v>
      </c>
    </row>
    <row r="143" spans="1:2" x14ac:dyDescent="0.3">
      <c r="A143">
        <v>141</v>
      </c>
      <c r="B143">
        <v>-4</v>
      </c>
    </row>
    <row r="144" spans="1:2" x14ac:dyDescent="0.3">
      <c r="A144">
        <v>142</v>
      </c>
      <c r="B144">
        <v>-4</v>
      </c>
    </row>
    <row r="145" spans="1:2" x14ac:dyDescent="0.3">
      <c r="A145">
        <v>143</v>
      </c>
      <c r="B145">
        <v>-4</v>
      </c>
    </row>
    <row r="146" spans="1:2" x14ac:dyDescent="0.3">
      <c r="A146">
        <v>144</v>
      </c>
      <c r="B146">
        <v>-4</v>
      </c>
    </row>
    <row r="147" spans="1:2" x14ac:dyDescent="0.3">
      <c r="A147">
        <v>145</v>
      </c>
      <c r="B147">
        <v>-4</v>
      </c>
    </row>
    <row r="148" spans="1:2" x14ac:dyDescent="0.3">
      <c r="A148">
        <v>146</v>
      </c>
      <c r="B148">
        <v>-4</v>
      </c>
    </row>
    <row r="149" spans="1:2" x14ac:dyDescent="0.3">
      <c r="A149">
        <v>147</v>
      </c>
      <c r="B149">
        <v>-4</v>
      </c>
    </row>
    <row r="150" spans="1:2" x14ac:dyDescent="0.3">
      <c r="A150">
        <v>148</v>
      </c>
      <c r="B150">
        <v>-4</v>
      </c>
    </row>
    <row r="151" spans="1:2" x14ac:dyDescent="0.3">
      <c r="A151">
        <v>149</v>
      </c>
      <c r="B151">
        <v>-4</v>
      </c>
    </row>
    <row r="152" spans="1:2" x14ac:dyDescent="0.3">
      <c r="A152">
        <v>150</v>
      </c>
      <c r="B152">
        <v>-4</v>
      </c>
    </row>
    <row r="153" spans="1:2" x14ac:dyDescent="0.3">
      <c r="A153">
        <v>151</v>
      </c>
      <c r="B153">
        <v>-4</v>
      </c>
    </row>
    <row r="154" spans="1:2" x14ac:dyDescent="0.3">
      <c r="A154">
        <v>152</v>
      </c>
      <c r="B154">
        <v>-4</v>
      </c>
    </row>
    <row r="155" spans="1:2" x14ac:dyDescent="0.3">
      <c r="A155">
        <v>153</v>
      </c>
      <c r="B155">
        <v>-4</v>
      </c>
    </row>
    <row r="156" spans="1:2" x14ac:dyDescent="0.3">
      <c r="A156">
        <v>154</v>
      </c>
      <c r="B156">
        <v>-4</v>
      </c>
    </row>
    <row r="157" spans="1:2" x14ac:dyDescent="0.3">
      <c r="A157">
        <v>155</v>
      </c>
      <c r="B157">
        <v>-4</v>
      </c>
    </row>
    <row r="158" spans="1:2" x14ac:dyDescent="0.3">
      <c r="A158">
        <v>156</v>
      </c>
      <c r="B158">
        <v>-4</v>
      </c>
    </row>
    <row r="159" spans="1:2" x14ac:dyDescent="0.3">
      <c r="A159">
        <v>157</v>
      </c>
      <c r="B159">
        <v>-4</v>
      </c>
    </row>
    <row r="160" spans="1:2" x14ac:dyDescent="0.3">
      <c r="A160">
        <v>158</v>
      </c>
      <c r="B160">
        <v>-4</v>
      </c>
    </row>
    <row r="161" spans="1:2" x14ac:dyDescent="0.3">
      <c r="A161">
        <v>159</v>
      </c>
      <c r="B161">
        <v>-4</v>
      </c>
    </row>
    <row r="162" spans="1:2" x14ac:dyDescent="0.3">
      <c r="A162">
        <v>160</v>
      </c>
      <c r="B162">
        <v>-4</v>
      </c>
    </row>
    <row r="163" spans="1:2" x14ac:dyDescent="0.3">
      <c r="A163">
        <v>161</v>
      </c>
      <c r="B163">
        <v>-4</v>
      </c>
    </row>
    <row r="164" spans="1:2" x14ac:dyDescent="0.3">
      <c r="A164">
        <v>162</v>
      </c>
      <c r="B164">
        <v>-4</v>
      </c>
    </row>
    <row r="165" spans="1:2" x14ac:dyDescent="0.3">
      <c r="A165">
        <v>163</v>
      </c>
      <c r="B165">
        <v>-4</v>
      </c>
    </row>
    <row r="166" spans="1:2" x14ac:dyDescent="0.3">
      <c r="A166">
        <v>164</v>
      </c>
      <c r="B166">
        <v>-4</v>
      </c>
    </row>
    <row r="167" spans="1:2" x14ac:dyDescent="0.3">
      <c r="A167">
        <v>165</v>
      </c>
      <c r="B167">
        <v>-4</v>
      </c>
    </row>
    <row r="168" spans="1:2" x14ac:dyDescent="0.3">
      <c r="A168">
        <v>166</v>
      </c>
      <c r="B168">
        <v>-4</v>
      </c>
    </row>
    <row r="169" spans="1:2" x14ac:dyDescent="0.3">
      <c r="A169">
        <v>167</v>
      </c>
      <c r="B169">
        <v>-4</v>
      </c>
    </row>
    <row r="170" spans="1:2" x14ac:dyDescent="0.3">
      <c r="A170">
        <v>168</v>
      </c>
      <c r="B170">
        <v>-4</v>
      </c>
    </row>
    <row r="171" spans="1:2" x14ac:dyDescent="0.3">
      <c r="A171">
        <v>169</v>
      </c>
      <c r="B171">
        <v>-4</v>
      </c>
    </row>
    <row r="172" spans="1:2" x14ac:dyDescent="0.3">
      <c r="A172">
        <v>170</v>
      </c>
      <c r="B172">
        <v>-4</v>
      </c>
    </row>
    <row r="173" spans="1:2" x14ac:dyDescent="0.3">
      <c r="A173">
        <v>171</v>
      </c>
      <c r="B173">
        <v>-4</v>
      </c>
    </row>
    <row r="174" spans="1:2" x14ac:dyDescent="0.3">
      <c r="A174">
        <v>172</v>
      </c>
      <c r="B174">
        <v>-4</v>
      </c>
    </row>
    <row r="175" spans="1:2" x14ac:dyDescent="0.3">
      <c r="A175">
        <v>173</v>
      </c>
      <c r="B175">
        <v>-4</v>
      </c>
    </row>
    <row r="176" spans="1:2" x14ac:dyDescent="0.3">
      <c r="A176">
        <v>174</v>
      </c>
      <c r="B176">
        <v>-4</v>
      </c>
    </row>
    <row r="177" spans="1:2" x14ac:dyDescent="0.3">
      <c r="A177">
        <v>175</v>
      </c>
      <c r="B177">
        <v>-4</v>
      </c>
    </row>
    <row r="178" spans="1:2" x14ac:dyDescent="0.3">
      <c r="A178">
        <v>176</v>
      </c>
      <c r="B178">
        <v>-4</v>
      </c>
    </row>
    <row r="179" spans="1:2" x14ac:dyDescent="0.3">
      <c r="A179">
        <v>177</v>
      </c>
      <c r="B179">
        <v>-4</v>
      </c>
    </row>
    <row r="180" spans="1:2" x14ac:dyDescent="0.3">
      <c r="A180">
        <v>178</v>
      </c>
      <c r="B180">
        <v>-4</v>
      </c>
    </row>
    <row r="181" spans="1:2" x14ac:dyDescent="0.3">
      <c r="A181">
        <v>179</v>
      </c>
      <c r="B181">
        <v>-4</v>
      </c>
    </row>
    <row r="182" spans="1:2" x14ac:dyDescent="0.3">
      <c r="A182">
        <v>180</v>
      </c>
      <c r="B182">
        <v>-4</v>
      </c>
    </row>
    <row r="183" spans="1:2" x14ac:dyDescent="0.3">
      <c r="A183">
        <v>181</v>
      </c>
      <c r="B183">
        <v>-4</v>
      </c>
    </row>
    <row r="184" spans="1:2" x14ac:dyDescent="0.3">
      <c r="A184">
        <v>182</v>
      </c>
      <c r="B184">
        <v>-4</v>
      </c>
    </row>
    <row r="185" spans="1:2" x14ac:dyDescent="0.3">
      <c r="A185">
        <v>183</v>
      </c>
      <c r="B185">
        <v>-4</v>
      </c>
    </row>
    <row r="186" spans="1:2" x14ac:dyDescent="0.3">
      <c r="A186">
        <v>184</v>
      </c>
      <c r="B186">
        <v>-4</v>
      </c>
    </row>
    <row r="187" spans="1:2" x14ac:dyDescent="0.3">
      <c r="A187">
        <v>185</v>
      </c>
      <c r="B187">
        <v>-4</v>
      </c>
    </row>
    <row r="188" spans="1:2" x14ac:dyDescent="0.3">
      <c r="A188">
        <v>186</v>
      </c>
      <c r="B188">
        <v>-4</v>
      </c>
    </row>
    <row r="189" spans="1:2" x14ac:dyDescent="0.3">
      <c r="A189">
        <v>187</v>
      </c>
      <c r="B189">
        <v>-4</v>
      </c>
    </row>
    <row r="190" spans="1:2" x14ac:dyDescent="0.3">
      <c r="A190">
        <v>188</v>
      </c>
      <c r="B190">
        <v>-4</v>
      </c>
    </row>
    <row r="191" spans="1:2" x14ac:dyDescent="0.3">
      <c r="A191">
        <v>189</v>
      </c>
      <c r="B191">
        <v>-4</v>
      </c>
    </row>
    <row r="192" spans="1:2" x14ac:dyDescent="0.3">
      <c r="A192">
        <v>190</v>
      </c>
      <c r="B192">
        <v>-4</v>
      </c>
    </row>
    <row r="193" spans="1:2" x14ac:dyDescent="0.3">
      <c r="A193">
        <v>191</v>
      </c>
      <c r="B193">
        <v>-4</v>
      </c>
    </row>
    <row r="194" spans="1:2" x14ac:dyDescent="0.3">
      <c r="A194">
        <v>192</v>
      </c>
      <c r="B194">
        <v>9.9</v>
      </c>
    </row>
    <row r="195" spans="1:2" x14ac:dyDescent="0.3">
      <c r="A195">
        <v>193</v>
      </c>
      <c r="B195">
        <v>9.9</v>
      </c>
    </row>
    <row r="196" spans="1:2" x14ac:dyDescent="0.3">
      <c r="A196">
        <v>194</v>
      </c>
      <c r="B196">
        <v>9.9</v>
      </c>
    </row>
    <row r="197" spans="1:2" x14ac:dyDescent="0.3">
      <c r="A197">
        <v>195</v>
      </c>
      <c r="B197">
        <v>9.9</v>
      </c>
    </row>
    <row r="198" spans="1:2" x14ac:dyDescent="0.3">
      <c r="A198">
        <v>196</v>
      </c>
      <c r="B198">
        <v>9.9</v>
      </c>
    </row>
    <row r="199" spans="1:2" x14ac:dyDescent="0.3">
      <c r="A199">
        <v>197</v>
      </c>
      <c r="B199">
        <v>9.9</v>
      </c>
    </row>
    <row r="200" spans="1:2" x14ac:dyDescent="0.3">
      <c r="A200">
        <v>198</v>
      </c>
      <c r="B200">
        <v>9.9</v>
      </c>
    </row>
    <row r="201" spans="1:2" x14ac:dyDescent="0.3">
      <c r="A201">
        <v>199</v>
      </c>
      <c r="B201">
        <v>9.9</v>
      </c>
    </row>
    <row r="202" spans="1:2" x14ac:dyDescent="0.3">
      <c r="A202">
        <v>200</v>
      </c>
      <c r="B202">
        <v>9.9</v>
      </c>
    </row>
    <row r="203" spans="1:2" x14ac:dyDescent="0.3">
      <c r="A203">
        <v>201</v>
      </c>
      <c r="B203">
        <v>9.9</v>
      </c>
    </row>
    <row r="204" spans="1:2" x14ac:dyDescent="0.3">
      <c r="A204">
        <v>202</v>
      </c>
      <c r="B204">
        <v>9.9</v>
      </c>
    </row>
    <row r="205" spans="1:2" x14ac:dyDescent="0.3">
      <c r="A205">
        <v>203</v>
      </c>
      <c r="B205">
        <v>9.9</v>
      </c>
    </row>
    <row r="206" spans="1:2" x14ac:dyDescent="0.3">
      <c r="A206">
        <v>204</v>
      </c>
      <c r="B206">
        <v>9.9</v>
      </c>
    </row>
    <row r="207" spans="1:2" x14ac:dyDescent="0.3">
      <c r="A207">
        <v>205</v>
      </c>
      <c r="B207">
        <v>9.9</v>
      </c>
    </row>
    <row r="208" spans="1:2" x14ac:dyDescent="0.3">
      <c r="A208">
        <v>206</v>
      </c>
      <c r="B208">
        <v>9.9</v>
      </c>
    </row>
    <row r="209" spans="1:2" x14ac:dyDescent="0.3">
      <c r="A209">
        <v>207</v>
      </c>
      <c r="B209">
        <v>9.9</v>
      </c>
    </row>
    <row r="210" spans="1:2" x14ac:dyDescent="0.3">
      <c r="A210">
        <v>208</v>
      </c>
      <c r="B210">
        <v>9.9</v>
      </c>
    </row>
    <row r="211" spans="1:2" x14ac:dyDescent="0.3">
      <c r="A211">
        <v>209</v>
      </c>
      <c r="B211">
        <v>9.9</v>
      </c>
    </row>
    <row r="212" spans="1:2" x14ac:dyDescent="0.3">
      <c r="A212">
        <v>210</v>
      </c>
      <c r="B212">
        <v>9.9</v>
      </c>
    </row>
    <row r="213" spans="1:2" x14ac:dyDescent="0.3">
      <c r="A213">
        <v>211</v>
      </c>
      <c r="B213">
        <v>9.9</v>
      </c>
    </row>
    <row r="214" spans="1:2" x14ac:dyDescent="0.3">
      <c r="A214">
        <v>212</v>
      </c>
      <c r="B214">
        <v>9.9</v>
      </c>
    </row>
    <row r="215" spans="1:2" x14ac:dyDescent="0.3">
      <c r="A215">
        <v>213</v>
      </c>
      <c r="B215">
        <v>9.9</v>
      </c>
    </row>
    <row r="216" spans="1:2" x14ac:dyDescent="0.3">
      <c r="A216">
        <v>214</v>
      </c>
      <c r="B216">
        <v>9.9</v>
      </c>
    </row>
    <row r="217" spans="1:2" x14ac:dyDescent="0.3">
      <c r="A217">
        <v>215</v>
      </c>
      <c r="B217">
        <v>9.9</v>
      </c>
    </row>
    <row r="218" spans="1:2" x14ac:dyDescent="0.3">
      <c r="A218">
        <v>216</v>
      </c>
      <c r="B218">
        <v>9.9</v>
      </c>
    </row>
    <row r="219" spans="1:2" x14ac:dyDescent="0.3">
      <c r="A219">
        <v>217</v>
      </c>
      <c r="B219">
        <v>9.9</v>
      </c>
    </row>
    <row r="220" spans="1:2" x14ac:dyDescent="0.3">
      <c r="A220">
        <v>218</v>
      </c>
      <c r="B220">
        <v>9.9</v>
      </c>
    </row>
    <row r="221" spans="1:2" x14ac:dyDescent="0.3">
      <c r="A221">
        <v>219</v>
      </c>
      <c r="B221">
        <v>9.9</v>
      </c>
    </row>
    <row r="222" spans="1:2" x14ac:dyDescent="0.3">
      <c r="A222">
        <v>220</v>
      </c>
      <c r="B222">
        <v>9.9</v>
      </c>
    </row>
    <row r="223" spans="1:2" x14ac:dyDescent="0.3">
      <c r="A223">
        <v>221</v>
      </c>
      <c r="B223">
        <v>9.9</v>
      </c>
    </row>
    <row r="224" spans="1:2" x14ac:dyDescent="0.3">
      <c r="A224">
        <v>222</v>
      </c>
      <c r="B224">
        <v>9.9</v>
      </c>
    </row>
    <row r="225" spans="1:2" x14ac:dyDescent="0.3">
      <c r="A225">
        <v>223</v>
      </c>
      <c r="B225">
        <v>9.9</v>
      </c>
    </row>
    <row r="226" spans="1:2" x14ac:dyDescent="0.3">
      <c r="A226">
        <v>224</v>
      </c>
      <c r="B226">
        <v>9.9</v>
      </c>
    </row>
    <row r="227" spans="1:2" x14ac:dyDescent="0.3">
      <c r="A227">
        <v>225</v>
      </c>
      <c r="B227">
        <v>9.9</v>
      </c>
    </row>
    <row r="228" spans="1:2" x14ac:dyDescent="0.3">
      <c r="A228">
        <v>226</v>
      </c>
      <c r="B228">
        <v>9.9</v>
      </c>
    </row>
    <row r="229" spans="1:2" x14ac:dyDescent="0.3">
      <c r="A229">
        <v>227</v>
      </c>
      <c r="B229">
        <v>9.9</v>
      </c>
    </row>
    <row r="230" spans="1:2" x14ac:dyDescent="0.3">
      <c r="A230">
        <v>228</v>
      </c>
      <c r="B230">
        <v>9.9</v>
      </c>
    </row>
    <row r="231" spans="1:2" x14ac:dyDescent="0.3">
      <c r="A231">
        <v>229</v>
      </c>
      <c r="B231">
        <v>9.9</v>
      </c>
    </row>
    <row r="232" spans="1:2" x14ac:dyDescent="0.3">
      <c r="A232">
        <v>230</v>
      </c>
      <c r="B232">
        <v>9.9</v>
      </c>
    </row>
    <row r="233" spans="1:2" x14ac:dyDescent="0.3">
      <c r="A233">
        <v>231</v>
      </c>
      <c r="B233">
        <v>9.9</v>
      </c>
    </row>
    <row r="234" spans="1:2" x14ac:dyDescent="0.3">
      <c r="A234">
        <v>232</v>
      </c>
      <c r="B234">
        <v>9.9</v>
      </c>
    </row>
    <row r="235" spans="1:2" x14ac:dyDescent="0.3">
      <c r="A235">
        <v>233</v>
      </c>
      <c r="B235">
        <v>9.9</v>
      </c>
    </row>
    <row r="236" spans="1:2" x14ac:dyDescent="0.3">
      <c r="A236">
        <v>234</v>
      </c>
      <c r="B236">
        <v>9.9</v>
      </c>
    </row>
    <row r="237" spans="1:2" x14ac:dyDescent="0.3">
      <c r="A237">
        <v>235</v>
      </c>
      <c r="B237">
        <v>9.9</v>
      </c>
    </row>
    <row r="238" spans="1:2" x14ac:dyDescent="0.3">
      <c r="A238">
        <v>236</v>
      </c>
      <c r="B238">
        <v>9.9</v>
      </c>
    </row>
    <row r="239" spans="1:2" x14ac:dyDescent="0.3">
      <c r="A239">
        <v>237</v>
      </c>
      <c r="B239">
        <v>9.9</v>
      </c>
    </row>
    <row r="240" spans="1:2" x14ac:dyDescent="0.3">
      <c r="A240">
        <v>238</v>
      </c>
      <c r="B240">
        <v>9.9</v>
      </c>
    </row>
    <row r="241" spans="1:2" x14ac:dyDescent="0.3">
      <c r="A241">
        <v>239</v>
      </c>
      <c r="B241">
        <v>9.9</v>
      </c>
    </row>
    <row r="242" spans="1:2" x14ac:dyDescent="0.3">
      <c r="A242">
        <v>240</v>
      </c>
      <c r="B242">
        <v>9.9</v>
      </c>
    </row>
    <row r="243" spans="1:2" x14ac:dyDescent="0.3">
      <c r="A243">
        <v>241</v>
      </c>
      <c r="B243">
        <v>9.9</v>
      </c>
    </row>
    <row r="244" spans="1:2" x14ac:dyDescent="0.3">
      <c r="A244">
        <v>242</v>
      </c>
      <c r="B244">
        <v>9.9</v>
      </c>
    </row>
    <row r="245" spans="1:2" x14ac:dyDescent="0.3">
      <c r="A245">
        <v>243</v>
      </c>
      <c r="B245">
        <v>9.9</v>
      </c>
    </row>
    <row r="246" spans="1:2" x14ac:dyDescent="0.3">
      <c r="A246">
        <v>244</v>
      </c>
      <c r="B246">
        <v>9.9</v>
      </c>
    </row>
    <row r="247" spans="1:2" x14ac:dyDescent="0.3">
      <c r="A247">
        <v>245</v>
      </c>
      <c r="B247">
        <v>9.9</v>
      </c>
    </row>
    <row r="248" spans="1:2" x14ac:dyDescent="0.3">
      <c r="A248">
        <v>246</v>
      </c>
      <c r="B248">
        <v>9.9</v>
      </c>
    </row>
    <row r="249" spans="1:2" x14ac:dyDescent="0.3">
      <c r="A249">
        <v>247</v>
      </c>
      <c r="B249">
        <v>9.9</v>
      </c>
    </row>
    <row r="250" spans="1:2" x14ac:dyDescent="0.3">
      <c r="A250">
        <v>248</v>
      </c>
      <c r="B250">
        <v>9.9</v>
      </c>
    </row>
    <row r="251" spans="1:2" x14ac:dyDescent="0.3">
      <c r="A251">
        <v>249</v>
      </c>
      <c r="B251">
        <v>9.9</v>
      </c>
    </row>
    <row r="252" spans="1:2" x14ac:dyDescent="0.3">
      <c r="A252">
        <v>250</v>
      </c>
      <c r="B252">
        <v>9.9</v>
      </c>
    </row>
    <row r="253" spans="1:2" x14ac:dyDescent="0.3">
      <c r="A253">
        <v>251</v>
      </c>
      <c r="B253">
        <v>9.9</v>
      </c>
    </row>
    <row r="254" spans="1:2" x14ac:dyDescent="0.3">
      <c r="A254">
        <v>252</v>
      </c>
      <c r="B254">
        <v>9.9</v>
      </c>
    </row>
    <row r="255" spans="1:2" x14ac:dyDescent="0.3">
      <c r="A255">
        <v>253</v>
      </c>
      <c r="B255">
        <v>9.9</v>
      </c>
    </row>
    <row r="256" spans="1:2" x14ac:dyDescent="0.3">
      <c r="A256">
        <v>254</v>
      </c>
      <c r="B256">
        <v>9.9</v>
      </c>
    </row>
    <row r="257" spans="1:2" x14ac:dyDescent="0.3">
      <c r="A257">
        <v>255</v>
      </c>
      <c r="B257">
        <v>9.9</v>
      </c>
    </row>
    <row r="258" spans="1:2" x14ac:dyDescent="0.3">
      <c r="A258">
        <v>256</v>
      </c>
      <c r="B258">
        <v>9.9</v>
      </c>
    </row>
    <row r="259" spans="1:2" x14ac:dyDescent="0.3">
      <c r="A259">
        <v>257</v>
      </c>
      <c r="B259">
        <v>9.9</v>
      </c>
    </row>
    <row r="260" spans="1:2" x14ac:dyDescent="0.3">
      <c r="A260">
        <v>258</v>
      </c>
      <c r="B260">
        <v>9.9</v>
      </c>
    </row>
    <row r="261" spans="1:2" x14ac:dyDescent="0.3">
      <c r="A261">
        <v>259</v>
      </c>
      <c r="B261">
        <v>9.9</v>
      </c>
    </row>
    <row r="262" spans="1:2" x14ac:dyDescent="0.3">
      <c r="A262">
        <v>260</v>
      </c>
      <c r="B262">
        <v>9.9</v>
      </c>
    </row>
    <row r="263" spans="1:2" x14ac:dyDescent="0.3">
      <c r="A263">
        <v>261</v>
      </c>
      <c r="B263">
        <v>9.9</v>
      </c>
    </row>
    <row r="264" spans="1:2" x14ac:dyDescent="0.3">
      <c r="A264">
        <v>262</v>
      </c>
      <c r="B264">
        <v>9.9</v>
      </c>
    </row>
    <row r="265" spans="1:2" x14ac:dyDescent="0.3">
      <c r="A265">
        <v>263</v>
      </c>
      <c r="B265">
        <v>9.9</v>
      </c>
    </row>
    <row r="266" spans="1:2" x14ac:dyDescent="0.3">
      <c r="A266">
        <v>264</v>
      </c>
      <c r="B266">
        <v>9.9</v>
      </c>
    </row>
    <row r="267" spans="1:2" x14ac:dyDescent="0.3">
      <c r="A267">
        <v>265</v>
      </c>
      <c r="B267">
        <v>9.9</v>
      </c>
    </row>
    <row r="268" spans="1:2" x14ac:dyDescent="0.3">
      <c r="A268">
        <v>266</v>
      </c>
      <c r="B268">
        <v>9.9</v>
      </c>
    </row>
    <row r="269" spans="1:2" x14ac:dyDescent="0.3">
      <c r="A269">
        <v>267</v>
      </c>
      <c r="B269">
        <v>9.9</v>
      </c>
    </row>
    <row r="270" spans="1:2" x14ac:dyDescent="0.3">
      <c r="A270">
        <v>268</v>
      </c>
      <c r="B270">
        <v>9.9</v>
      </c>
    </row>
    <row r="271" spans="1:2" x14ac:dyDescent="0.3">
      <c r="A271">
        <v>269</v>
      </c>
      <c r="B271">
        <v>9.9</v>
      </c>
    </row>
    <row r="272" spans="1:2" x14ac:dyDescent="0.3">
      <c r="A272">
        <v>270</v>
      </c>
      <c r="B272">
        <v>9.9</v>
      </c>
    </row>
    <row r="273" spans="1:2" x14ac:dyDescent="0.3">
      <c r="A273">
        <v>271</v>
      </c>
      <c r="B273">
        <v>9.9</v>
      </c>
    </row>
    <row r="274" spans="1:2" x14ac:dyDescent="0.3">
      <c r="A274">
        <v>272</v>
      </c>
      <c r="B274">
        <v>9.9</v>
      </c>
    </row>
    <row r="275" spans="1:2" x14ac:dyDescent="0.3">
      <c r="A275">
        <v>273</v>
      </c>
      <c r="B275">
        <v>9.9</v>
      </c>
    </row>
    <row r="276" spans="1:2" x14ac:dyDescent="0.3">
      <c r="A276">
        <v>274</v>
      </c>
      <c r="B276">
        <v>9.9</v>
      </c>
    </row>
    <row r="277" spans="1:2" x14ac:dyDescent="0.3">
      <c r="A277">
        <v>275</v>
      </c>
      <c r="B277">
        <v>9.9</v>
      </c>
    </row>
    <row r="278" spans="1:2" x14ac:dyDescent="0.3">
      <c r="A278">
        <v>276</v>
      </c>
      <c r="B278">
        <v>9.9</v>
      </c>
    </row>
    <row r="279" spans="1:2" x14ac:dyDescent="0.3">
      <c r="A279">
        <v>277</v>
      </c>
      <c r="B279">
        <v>9.9</v>
      </c>
    </row>
    <row r="280" spans="1:2" x14ac:dyDescent="0.3">
      <c r="A280">
        <v>278</v>
      </c>
      <c r="B280">
        <v>9.9</v>
      </c>
    </row>
    <row r="281" spans="1:2" x14ac:dyDescent="0.3">
      <c r="A281">
        <v>279</v>
      </c>
      <c r="B281">
        <v>9.9</v>
      </c>
    </row>
    <row r="282" spans="1:2" x14ac:dyDescent="0.3">
      <c r="A282">
        <v>280</v>
      </c>
      <c r="B282">
        <v>9.9</v>
      </c>
    </row>
    <row r="283" spans="1:2" x14ac:dyDescent="0.3">
      <c r="A283">
        <v>281</v>
      </c>
      <c r="B283">
        <v>9.9</v>
      </c>
    </row>
    <row r="284" spans="1:2" x14ac:dyDescent="0.3">
      <c r="A284">
        <v>282</v>
      </c>
      <c r="B284">
        <v>9.9</v>
      </c>
    </row>
    <row r="285" spans="1:2" x14ac:dyDescent="0.3">
      <c r="A285">
        <v>283</v>
      </c>
      <c r="B285">
        <v>9.9</v>
      </c>
    </row>
    <row r="286" spans="1:2" x14ac:dyDescent="0.3">
      <c r="A286">
        <v>284</v>
      </c>
      <c r="B286">
        <v>9.9</v>
      </c>
    </row>
    <row r="287" spans="1:2" x14ac:dyDescent="0.3">
      <c r="A287">
        <v>285</v>
      </c>
      <c r="B287">
        <v>9.9</v>
      </c>
    </row>
    <row r="288" spans="1:2" x14ac:dyDescent="0.3">
      <c r="A288">
        <v>286</v>
      </c>
      <c r="B288">
        <v>9.9</v>
      </c>
    </row>
    <row r="289" spans="1:2" x14ac:dyDescent="0.3">
      <c r="A289">
        <v>287</v>
      </c>
      <c r="B289">
        <v>9.9</v>
      </c>
    </row>
    <row r="290" spans="1:2" x14ac:dyDescent="0.3">
      <c r="A290">
        <v>288</v>
      </c>
      <c r="B290">
        <v>130</v>
      </c>
    </row>
    <row r="291" spans="1:2" x14ac:dyDescent="0.3">
      <c r="A291">
        <v>289</v>
      </c>
      <c r="B291">
        <v>130</v>
      </c>
    </row>
    <row r="292" spans="1:2" x14ac:dyDescent="0.3">
      <c r="A292">
        <v>290</v>
      </c>
      <c r="B292">
        <v>130</v>
      </c>
    </row>
    <row r="293" spans="1:2" x14ac:dyDescent="0.3">
      <c r="A293">
        <v>291</v>
      </c>
      <c r="B293">
        <v>130</v>
      </c>
    </row>
    <row r="294" spans="1:2" x14ac:dyDescent="0.3">
      <c r="A294">
        <v>292</v>
      </c>
      <c r="B294">
        <v>130</v>
      </c>
    </row>
    <row r="295" spans="1:2" x14ac:dyDescent="0.3">
      <c r="A295">
        <v>293</v>
      </c>
      <c r="B295">
        <v>130</v>
      </c>
    </row>
    <row r="296" spans="1:2" x14ac:dyDescent="0.3">
      <c r="A296">
        <v>294</v>
      </c>
      <c r="B296">
        <v>130</v>
      </c>
    </row>
    <row r="297" spans="1:2" x14ac:dyDescent="0.3">
      <c r="A297">
        <v>295</v>
      </c>
      <c r="B297">
        <v>130</v>
      </c>
    </row>
    <row r="298" spans="1:2" x14ac:dyDescent="0.3">
      <c r="A298">
        <v>296</v>
      </c>
      <c r="B298">
        <v>130</v>
      </c>
    </row>
    <row r="299" spans="1:2" x14ac:dyDescent="0.3">
      <c r="A299">
        <v>297</v>
      </c>
      <c r="B299">
        <v>130</v>
      </c>
    </row>
    <row r="300" spans="1:2" x14ac:dyDescent="0.3">
      <c r="A300">
        <v>298</v>
      </c>
      <c r="B300">
        <v>130</v>
      </c>
    </row>
    <row r="301" spans="1:2" x14ac:dyDescent="0.3">
      <c r="A301">
        <v>299</v>
      </c>
      <c r="B301">
        <v>130</v>
      </c>
    </row>
    <row r="302" spans="1:2" x14ac:dyDescent="0.3">
      <c r="A302">
        <v>300</v>
      </c>
      <c r="B302">
        <v>130</v>
      </c>
    </row>
    <row r="303" spans="1:2" x14ac:dyDescent="0.3">
      <c r="A303">
        <v>301</v>
      </c>
      <c r="B303">
        <v>130</v>
      </c>
    </row>
    <row r="304" spans="1:2" x14ac:dyDescent="0.3">
      <c r="A304">
        <v>302</v>
      </c>
      <c r="B304">
        <v>130</v>
      </c>
    </row>
    <row r="305" spans="1:2" x14ac:dyDescent="0.3">
      <c r="A305">
        <v>303</v>
      </c>
      <c r="B305">
        <v>130</v>
      </c>
    </row>
    <row r="306" spans="1:2" x14ac:dyDescent="0.3">
      <c r="A306">
        <v>304</v>
      </c>
      <c r="B306">
        <v>130</v>
      </c>
    </row>
    <row r="307" spans="1:2" x14ac:dyDescent="0.3">
      <c r="A307">
        <v>305</v>
      </c>
      <c r="B307">
        <v>130</v>
      </c>
    </row>
    <row r="308" spans="1:2" x14ac:dyDescent="0.3">
      <c r="A308">
        <v>306</v>
      </c>
      <c r="B308">
        <v>130</v>
      </c>
    </row>
    <row r="309" spans="1:2" x14ac:dyDescent="0.3">
      <c r="A309">
        <v>307</v>
      </c>
      <c r="B309">
        <v>130</v>
      </c>
    </row>
    <row r="310" spans="1:2" x14ac:dyDescent="0.3">
      <c r="A310">
        <v>308</v>
      </c>
      <c r="B310">
        <v>130</v>
      </c>
    </row>
    <row r="311" spans="1:2" x14ac:dyDescent="0.3">
      <c r="A311">
        <v>309</v>
      </c>
      <c r="B311">
        <v>130</v>
      </c>
    </row>
    <row r="312" spans="1:2" x14ac:dyDescent="0.3">
      <c r="A312">
        <v>310</v>
      </c>
      <c r="B312">
        <v>130</v>
      </c>
    </row>
    <row r="313" spans="1:2" x14ac:dyDescent="0.3">
      <c r="A313">
        <v>311</v>
      </c>
      <c r="B313">
        <v>130</v>
      </c>
    </row>
    <row r="314" spans="1:2" x14ac:dyDescent="0.3">
      <c r="A314">
        <v>312</v>
      </c>
      <c r="B314">
        <v>130</v>
      </c>
    </row>
    <row r="315" spans="1:2" x14ac:dyDescent="0.3">
      <c r="A315">
        <v>313</v>
      </c>
      <c r="B315">
        <v>130</v>
      </c>
    </row>
    <row r="316" spans="1:2" x14ac:dyDescent="0.3">
      <c r="A316">
        <v>314</v>
      </c>
      <c r="B316">
        <v>130</v>
      </c>
    </row>
    <row r="317" spans="1:2" x14ac:dyDescent="0.3">
      <c r="A317">
        <v>315</v>
      </c>
      <c r="B317">
        <v>130</v>
      </c>
    </row>
    <row r="318" spans="1:2" x14ac:dyDescent="0.3">
      <c r="A318">
        <v>316</v>
      </c>
      <c r="B318">
        <v>130</v>
      </c>
    </row>
    <row r="319" spans="1:2" x14ac:dyDescent="0.3">
      <c r="A319">
        <v>317</v>
      </c>
      <c r="B319">
        <v>130</v>
      </c>
    </row>
    <row r="320" spans="1:2" x14ac:dyDescent="0.3">
      <c r="A320">
        <v>318</v>
      </c>
      <c r="B320">
        <v>130</v>
      </c>
    </row>
    <row r="321" spans="1:2" x14ac:dyDescent="0.3">
      <c r="A321">
        <v>319</v>
      </c>
      <c r="B321">
        <v>130</v>
      </c>
    </row>
    <row r="322" spans="1:2" x14ac:dyDescent="0.3">
      <c r="A322">
        <v>320</v>
      </c>
      <c r="B322">
        <v>130</v>
      </c>
    </row>
    <row r="323" spans="1:2" x14ac:dyDescent="0.3">
      <c r="A323">
        <v>321</v>
      </c>
      <c r="B323">
        <v>130</v>
      </c>
    </row>
    <row r="324" spans="1:2" x14ac:dyDescent="0.3">
      <c r="A324">
        <v>322</v>
      </c>
      <c r="B324">
        <v>130</v>
      </c>
    </row>
    <row r="325" spans="1:2" x14ac:dyDescent="0.3">
      <c r="A325">
        <v>323</v>
      </c>
      <c r="B325">
        <v>130</v>
      </c>
    </row>
    <row r="326" spans="1:2" x14ac:dyDescent="0.3">
      <c r="A326">
        <v>324</v>
      </c>
      <c r="B326">
        <v>130</v>
      </c>
    </row>
    <row r="327" spans="1:2" x14ac:dyDescent="0.3">
      <c r="A327">
        <v>325</v>
      </c>
      <c r="B327">
        <v>130</v>
      </c>
    </row>
    <row r="328" spans="1:2" x14ac:dyDescent="0.3">
      <c r="A328">
        <v>326</v>
      </c>
      <c r="B328">
        <v>130</v>
      </c>
    </row>
    <row r="329" spans="1:2" x14ac:dyDescent="0.3">
      <c r="A329">
        <v>327</v>
      </c>
      <c r="B329">
        <v>130</v>
      </c>
    </row>
    <row r="330" spans="1:2" x14ac:dyDescent="0.3">
      <c r="A330">
        <v>328</v>
      </c>
      <c r="B330">
        <v>130</v>
      </c>
    </row>
    <row r="331" spans="1:2" x14ac:dyDescent="0.3">
      <c r="A331">
        <v>329</v>
      </c>
      <c r="B331">
        <v>130</v>
      </c>
    </row>
    <row r="332" spans="1:2" x14ac:dyDescent="0.3">
      <c r="A332">
        <v>330</v>
      </c>
      <c r="B332">
        <v>130</v>
      </c>
    </row>
    <row r="333" spans="1:2" x14ac:dyDescent="0.3">
      <c r="A333">
        <v>331</v>
      </c>
      <c r="B333">
        <v>130</v>
      </c>
    </row>
    <row r="334" spans="1:2" x14ac:dyDescent="0.3">
      <c r="A334">
        <v>332</v>
      </c>
      <c r="B334">
        <v>130</v>
      </c>
    </row>
    <row r="335" spans="1:2" x14ac:dyDescent="0.3">
      <c r="A335">
        <v>333</v>
      </c>
      <c r="B335">
        <v>130</v>
      </c>
    </row>
    <row r="336" spans="1:2" x14ac:dyDescent="0.3">
      <c r="A336">
        <v>334</v>
      </c>
      <c r="B336">
        <v>130</v>
      </c>
    </row>
    <row r="337" spans="1:2" x14ac:dyDescent="0.3">
      <c r="A337">
        <v>335</v>
      </c>
      <c r="B337">
        <v>130</v>
      </c>
    </row>
    <row r="338" spans="1:2" x14ac:dyDescent="0.3">
      <c r="A338">
        <v>336</v>
      </c>
      <c r="B338">
        <v>130</v>
      </c>
    </row>
    <row r="339" spans="1:2" x14ac:dyDescent="0.3">
      <c r="A339">
        <v>337</v>
      </c>
      <c r="B339">
        <v>130</v>
      </c>
    </row>
    <row r="340" spans="1:2" x14ac:dyDescent="0.3">
      <c r="A340">
        <v>338</v>
      </c>
      <c r="B340">
        <v>130</v>
      </c>
    </row>
    <row r="341" spans="1:2" x14ac:dyDescent="0.3">
      <c r="A341">
        <v>339</v>
      </c>
      <c r="B341">
        <v>130</v>
      </c>
    </row>
    <row r="342" spans="1:2" x14ac:dyDescent="0.3">
      <c r="A342">
        <v>340</v>
      </c>
      <c r="B342">
        <v>130</v>
      </c>
    </row>
    <row r="343" spans="1:2" x14ac:dyDescent="0.3">
      <c r="A343">
        <v>341</v>
      </c>
      <c r="B343">
        <v>130</v>
      </c>
    </row>
    <row r="344" spans="1:2" x14ac:dyDescent="0.3">
      <c r="A344">
        <v>342</v>
      </c>
      <c r="B344">
        <v>130</v>
      </c>
    </row>
    <row r="345" spans="1:2" x14ac:dyDescent="0.3">
      <c r="A345">
        <v>343</v>
      </c>
      <c r="B345">
        <v>130</v>
      </c>
    </row>
    <row r="346" spans="1:2" x14ac:dyDescent="0.3">
      <c r="A346">
        <v>344</v>
      </c>
      <c r="B346">
        <v>130</v>
      </c>
    </row>
    <row r="347" spans="1:2" x14ac:dyDescent="0.3">
      <c r="A347">
        <v>345</v>
      </c>
      <c r="B347">
        <v>130</v>
      </c>
    </row>
    <row r="348" spans="1:2" x14ac:dyDescent="0.3">
      <c r="A348">
        <v>346</v>
      </c>
      <c r="B348">
        <v>130</v>
      </c>
    </row>
    <row r="349" spans="1:2" x14ac:dyDescent="0.3">
      <c r="A349">
        <v>347</v>
      </c>
      <c r="B349">
        <v>130</v>
      </c>
    </row>
    <row r="350" spans="1:2" x14ac:dyDescent="0.3">
      <c r="A350">
        <v>348</v>
      </c>
      <c r="B350">
        <v>130</v>
      </c>
    </row>
    <row r="351" spans="1:2" x14ac:dyDescent="0.3">
      <c r="A351">
        <v>349</v>
      </c>
      <c r="B351">
        <v>130</v>
      </c>
    </row>
    <row r="352" spans="1:2" x14ac:dyDescent="0.3">
      <c r="A352">
        <v>350</v>
      </c>
      <c r="B352">
        <v>130</v>
      </c>
    </row>
    <row r="353" spans="1:2" x14ac:dyDescent="0.3">
      <c r="A353">
        <v>351</v>
      </c>
      <c r="B353">
        <v>130</v>
      </c>
    </row>
    <row r="354" spans="1:2" x14ac:dyDescent="0.3">
      <c r="A354">
        <v>352</v>
      </c>
      <c r="B354">
        <v>130</v>
      </c>
    </row>
    <row r="355" spans="1:2" x14ac:dyDescent="0.3">
      <c r="A355">
        <v>353</v>
      </c>
      <c r="B355">
        <v>130</v>
      </c>
    </row>
    <row r="356" spans="1:2" x14ac:dyDescent="0.3">
      <c r="A356">
        <v>354</v>
      </c>
      <c r="B356">
        <v>130</v>
      </c>
    </row>
    <row r="357" spans="1:2" x14ac:dyDescent="0.3">
      <c r="A357">
        <v>355</v>
      </c>
      <c r="B357">
        <v>130</v>
      </c>
    </row>
    <row r="358" spans="1:2" x14ac:dyDescent="0.3">
      <c r="A358">
        <v>356</v>
      </c>
      <c r="B358">
        <v>130</v>
      </c>
    </row>
    <row r="359" spans="1:2" x14ac:dyDescent="0.3">
      <c r="A359">
        <v>357</v>
      </c>
      <c r="B359">
        <v>130</v>
      </c>
    </row>
    <row r="360" spans="1:2" x14ac:dyDescent="0.3">
      <c r="A360">
        <v>358</v>
      </c>
      <c r="B360">
        <v>130</v>
      </c>
    </row>
    <row r="361" spans="1:2" x14ac:dyDescent="0.3">
      <c r="A361">
        <v>359</v>
      </c>
      <c r="B361">
        <v>130</v>
      </c>
    </row>
    <row r="362" spans="1:2" x14ac:dyDescent="0.3">
      <c r="A362">
        <v>360</v>
      </c>
      <c r="B362">
        <v>130</v>
      </c>
    </row>
    <row r="363" spans="1:2" x14ac:dyDescent="0.3">
      <c r="A363">
        <v>361</v>
      </c>
      <c r="B363">
        <v>130</v>
      </c>
    </row>
    <row r="364" spans="1:2" x14ac:dyDescent="0.3">
      <c r="A364">
        <v>362</v>
      </c>
      <c r="B364">
        <v>130</v>
      </c>
    </row>
    <row r="365" spans="1:2" x14ac:dyDescent="0.3">
      <c r="A365">
        <v>363</v>
      </c>
      <c r="B365">
        <v>130</v>
      </c>
    </row>
    <row r="366" spans="1:2" x14ac:dyDescent="0.3">
      <c r="A366">
        <v>364</v>
      </c>
      <c r="B366">
        <v>130</v>
      </c>
    </row>
    <row r="367" spans="1:2" x14ac:dyDescent="0.3">
      <c r="A367">
        <v>365</v>
      </c>
      <c r="B367">
        <v>130</v>
      </c>
    </row>
    <row r="368" spans="1:2" x14ac:dyDescent="0.3">
      <c r="A368">
        <v>366</v>
      </c>
      <c r="B368">
        <v>130</v>
      </c>
    </row>
    <row r="369" spans="1:2" x14ac:dyDescent="0.3">
      <c r="A369">
        <v>367</v>
      </c>
      <c r="B369">
        <v>130</v>
      </c>
    </row>
    <row r="370" spans="1:2" x14ac:dyDescent="0.3">
      <c r="A370">
        <v>368</v>
      </c>
      <c r="B370">
        <v>130</v>
      </c>
    </row>
    <row r="371" spans="1:2" x14ac:dyDescent="0.3">
      <c r="A371">
        <v>369</v>
      </c>
      <c r="B371">
        <v>130</v>
      </c>
    </row>
    <row r="372" spans="1:2" x14ac:dyDescent="0.3">
      <c r="A372">
        <v>370</v>
      </c>
      <c r="B372">
        <v>130</v>
      </c>
    </row>
    <row r="373" spans="1:2" x14ac:dyDescent="0.3">
      <c r="A373">
        <v>371</v>
      </c>
      <c r="B373">
        <v>130</v>
      </c>
    </row>
    <row r="374" spans="1:2" x14ac:dyDescent="0.3">
      <c r="A374">
        <v>372</v>
      </c>
      <c r="B374">
        <v>130</v>
      </c>
    </row>
    <row r="375" spans="1:2" x14ac:dyDescent="0.3">
      <c r="A375">
        <v>373</v>
      </c>
      <c r="B375">
        <v>130</v>
      </c>
    </row>
    <row r="376" spans="1:2" x14ac:dyDescent="0.3">
      <c r="A376">
        <v>374</v>
      </c>
      <c r="B376">
        <v>130</v>
      </c>
    </row>
    <row r="377" spans="1:2" x14ac:dyDescent="0.3">
      <c r="A377">
        <v>375</v>
      </c>
      <c r="B377">
        <v>130</v>
      </c>
    </row>
    <row r="378" spans="1:2" x14ac:dyDescent="0.3">
      <c r="A378">
        <v>376</v>
      </c>
      <c r="B378">
        <v>130</v>
      </c>
    </row>
    <row r="379" spans="1:2" x14ac:dyDescent="0.3">
      <c r="A379">
        <v>377</v>
      </c>
      <c r="B379">
        <v>130</v>
      </c>
    </row>
    <row r="380" spans="1:2" x14ac:dyDescent="0.3">
      <c r="A380">
        <v>378</v>
      </c>
      <c r="B380">
        <v>130</v>
      </c>
    </row>
    <row r="381" spans="1:2" x14ac:dyDescent="0.3">
      <c r="A381">
        <v>379</v>
      </c>
      <c r="B381">
        <v>130</v>
      </c>
    </row>
    <row r="382" spans="1:2" x14ac:dyDescent="0.3">
      <c r="A382">
        <v>380</v>
      </c>
      <c r="B382">
        <v>130</v>
      </c>
    </row>
    <row r="383" spans="1:2" x14ac:dyDescent="0.3">
      <c r="A383">
        <v>381</v>
      </c>
      <c r="B383">
        <v>130</v>
      </c>
    </row>
    <row r="384" spans="1:2" x14ac:dyDescent="0.3">
      <c r="A384">
        <v>382</v>
      </c>
      <c r="B384">
        <v>130</v>
      </c>
    </row>
    <row r="385" spans="1:2" x14ac:dyDescent="0.3">
      <c r="A385">
        <v>383</v>
      </c>
      <c r="B385">
        <v>130</v>
      </c>
    </row>
    <row r="386" spans="1:2" x14ac:dyDescent="0.3">
      <c r="A386">
        <v>384</v>
      </c>
      <c r="B386">
        <v>140</v>
      </c>
    </row>
    <row r="387" spans="1:2" x14ac:dyDescent="0.3">
      <c r="A387">
        <v>385</v>
      </c>
      <c r="B387">
        <v>140</v>
      </c>
    </row>
    <row r="388" spans="1:2" x14ac:dyDescent="0.3">
      <c r="A388">
        <v>386</v>
      </c>
      <c r="B388">
        <v>140</v>
      </c>
    </row>
    <row r="389" spans="1:2" x14ac:dyDescent="0.3">
      <c r="A389">
        <v>387</v>
      </c>
      <c r="B389">
        <v>140</v>
      </c>
    </row>
    <row r="390" spans="1:2" x14ac:dyDescent="0.3">
      <c r="A390">
        <v>388</v>
      </c>
      <c r="B390">
        <v>140</v>
      </c>
    </row>
    <row r="391" spans="1:2" x14ac:dyDescent="0.3">
      <c r="A391">
        <v>389</v>
      </c>
      <c r="B391">
        <v>140</v>
      </c>
    </row>
    <row r="392" spans="1:2" x14ac:dyDescent="0.3">
      <c r="A392">
        <v>390</v>
      </c>
      <c r="B392">
        <v>140</v>
      </c>
    </row>
    <row r="393" spans="1:2" x14ac:dyDescent="0.3">
      <c r="A393">
        <v>391</v>
      </c>
      <c r="B393">
        <v>140</v>
      </c>
    </row>
    <row r="394" spans="1:2" x14ac:dyDescent="0.3">
      <c r="A394">
        <v>392</v>
      </c>
      <c r="B394">
        <v>140</v>
      </c>
    </row>
    <row r="395" spans="1:2" x14ac:dyDescent="0.3">
      <c r="A395">
        <v>393</v>
      </c>
      <c r="B395">
        <v>140</v>
      </c>
    </row>
    <row r="396" spans="1:2" x14ac:dyDescent="0.3">
      <c r="A396">
        <v>394</v>
      </c>
      <c r="B396">
        <v>140</v>
      </c>
    </row>
    <row r="397" spans="1:2" x14ac:dyDescent="0.3">
      <c r="A397">
        <v>395</v>
      </c>
      <c r="B397">
        <v>140</v>
      </c>
    </row>
    <row r="398" spans="1:2" x14ac:dyDescent="0.3">
      <c r="A398">
        <v>396</v>
      </c>
      <c r="B398">
        <v>140</v>
      </c>
    </row>
    <row r="399" spans="1:2" x14ac:dyDescent="0.3">
      <c r="A399">
        <v>397</v>
      </c>
      <c r="B399">
        <v>140</v>
      </c>
    </row>
    <row r="400" spans="1:2" x14ac:dyDescent="0.3">
      <c r="A400">
        <v>398</v>
      </c>
      <c r="B400">
        <v>140</v>
      </c>
    </row>
    <row r="401" spans="1:2" x14ac:dyDescent="0.3">
      <c r="A401">
        <v>399</v>
      </c>
      <c r="B401">
        <v>140</v>
      </c>
    </row>
    <row r="402" spans="1:2" x14ac:dyDescent="0.3">
      <c r="A402">
        <v>400</v>
      </c>
      <c r="B402">
        <v>140</v>
      </c>
    </row>
    <row r="403" spans="1:2" x14ac:dyDescent="0.3">
      <c r="A403">
        <v>401</v>
      </c>
      <c r="B403">
        <v>140</v>
      </c>
    </row>
    <row r="404" spans="1:2" x14ac:dyDescent="0.3">
      <c r="A404">
        <v>402</v>
      </c>
      <c r="B404">
        <v>140</v>
      </c>
    </row>
    <row r="405" spans="1:2" x14ac:dyDescent="0.3">
      <c r="A405">
        <v>403</v>
      </c>
      <c r="B405">
        <v>140</v>
      </c>
    </row>
    <row r="406" spans="1:2" x14ac:dyDescent="0.3">
      <c r="A406">
        <v>404</v>
      </c>
      <c r="B406">
        <v>140</v>
      </c>
    </row>
    <row r="407" spans="1:2" x14ac:dyDescent="0.3">
      <c r="A407">
        <v>405</v>
      </c>
      <c r="B407">
        <v>140</v>
      </c>
    </row>
    <row r="408" spans="1:2" x14ac:dyDescent="0.3">
      <c r="A408">
        <v>406</v>
      </c>
      <c r="B408">
        <v>140</v>
      </c>
    </row>
    <row r="409" spans="1:2" x14ac:dyDescent="0.3">
      <c r="A409">
        <v>407</v>
      </c>
      <c r="B409">
        <v>140</v>
      </c>
    </row>
    <row r="410" spans="1:2" x14ac:dyDescent="0.3">
      <c r="A410">
        <v>408</v>
      </c>
      <c r="B410">
        <v>140</v>
      </c>
    </row>
    <row r="411" spans="1:2" x14ac:dyDescent="0.3">
      <c r="A411">
        <v>409</v>
      </c>
      <c r="B411">
        <v>140</v>
      </c>
    </row>
    <row r="412" spans="1:2" x14ac:dyDescent="0.3">
      <c r="A412">
        <v>410</v>
      </c>
      <c r="B412">
        <v>140</v>
      </c>
    </row>
    <row r="413" spans="1:2" x14ac:dyDescent="0.3">
      <c r="A413">
        <v>411</v>
      </c>
      <c r="B413">
        <v>140</v>
      </c>
    </row>
    <row r="414" spans="1:2" x14ac:dyDescent="0.3">
      <c r="A414">
        <v>412</v>
      </c>
      <c r="B414">
        <v>140</v>
      </c>
    </row>
    <row r="415" spans="1:2" x14ac:dyDescent="0.3">
      <c r="A415">
        <v>413</v>
      </c>
      <c r="B415">
        <v>140</v>
      </c>
    </row>
    <row r="416" spans="1:2" x14ac:dyDescent="0.3">
      <c r="A416">
        <v>414</v>
      </c>
      <c r="B416">
        <v>140</v>
      </c>
    </row>
    <row r="417" spans="1:2" x14ac:dyDescent="0.3">
      <c r="A417">
        <v>415</v>
      </c>
      <c r="B417">
        <v>140</v>
      </c>
    </row>
    <row r="418" spans="1:2" x14ac:dyDescent="0.3">
      <c r="A418">
        <v>416</v>
      </c>
      <c r="B418">
        <v>140</v>
      </c>
    </row>
    <row r="419" spans="1:2" x14ac:dyDescent="0.3">
      <c r="A419">
        <v>417</v>
      </c>
      <c r="B419">
        <v>140</v>
      </c>
    </row>
    <row r="420" spans="1:2" x14ac:dyDescent="0.3">
      <c r="A420">
        <v>418</v>
      </c>
      <c r="B420">
        <v>140</v>
      </c>
    </row>
    <row r="421" spans="1:2" x14ac:dyDescent="0.3">
      <c r="A421">
        <v>419</v>
      </c>
      <c r="B421">
        <v>140</v>
      </c>
    </row>
    <row r="422" spans="1:2" x14ac:dyDescent="0.3">
      <c r="A422">
        <v>420</v>
      </c>
      <c r="B422">
        <v>140</v>
      </c>
    </row>
    <row r="423" spans="1:2" x14ac:dyDescent="0.3">
      <c r="A423">
        <v>421</v>
      </c>
      <c r="B423">
        <v>140</v>
      </c>
    </row>
    <row r="424" spans="1:2" x14ac:dyDescent="0.3">
      <c r="A424">
        <v>422</v>
      </c>
      <c r="B424">
        <v>140</v>
      </c>
    </row>
    <row r="425" spans="1:2" x14ac:dyDescent="0.3">
      <c r="A425">
        <v>423</v>
      </c>
      <c r="B425">
        <v>140</v>
      </c>
    </row>
    <row r="426" spans="1:2" x14ac:dyDescent="0.3">
      <c r="A426">
        <v>424</v>
      </c>
      <c r="B426">
        <v>140</v>
      </c>
    </row>
    <row r="427" spans="1:2" x14ac:dyDescent="0.3">
      <c r="A427">
        <v>425</v>
      </c>
      <c r="B427">
        <v>140</v>
      </c>
    </row>
    <row r="428" spans="1:2" x14ac:dyDescent="0.3">
      <c r="A428">
        <v>426</v>
      </c>
      <c r="B428">
        <v>140</v>
      </c>
    </row>
    <row r="429" spans="1:2" x14ac:dyDescent="0.3">
      <c r="A429">
        <v>427</v>
      </c>
      <c r="B429">
        <v>140</v>
      </c>
    </row>
    <row r="430" spans="1:2" x14ac:dyDescent="0.3">
      <c r="A430">
        <v>428</v>
      </c>
      <c r="B430">
        <v>140</v>
      </c>
    </row>
    <row r="431" spans="1:2" x14ac:dyDescent="0.3">
      <c r="A431">
        <v>429</v>
      </c>
      <c r="B431">
        <v>140</v>
      </c>
    </row>
    <row r="432" spans="1:2" x14ac:dyDescent="0.3">
      <c r="A432">
        <v>430</v>
      </c>
      <c r="B432">
        <v>140</v>
      </c>
    </row>
    <row r="433" spans="1:2" x14ac:dyDescent="0.3">
      <c r="A433">
        <v>431</v>
      </c>
      <c r="B433">
        <v>140</v>
      </c>
    </row>
    <row r="434" spans="1:2" x14ac:dyDescent="0.3">
      <c r="A434">
        <v>432</v>
      </c>
      <c r="B434">
        <v>140</v>
      </c>
    </row>
    <row r="435" spans="1:2" x14ac:dyDescent="0.3">
      <c r="A435">
        <v>433</v>
      </c>
      <c r="B435">
        <v>140</v>
      </c>
    </row>
    <row r="436" spans="1:2" x14ac:dyDescent="0.3">
      <c r="A436">
        <v>434</v>
      </c>
      <c r="B436">
        <v>140</v>
      </c>
    </row>
    <row r="437" spans="1:2" x14ac:dyDescent="0.3">
      <c r="A437">
        <v>435</v>
      </c>
      <c r="B437">
        <v>140</v>
      </c>
    </row>
    <row r="438" spans="1:2" x14ac:dyDescent="0.3">
      <c r="A438">
        <v>436</v>
      </c>
      <c r="B438">
        <v>140</v>
      </c>
    </row>
    <row r="439" spans="1:2" x14ac:dyDescent="0.3">
      <c r="A439">
        <v>437</v>
      </c>
      <c r="B439">
        <v>140</v>
      </c>
    </row>
    <row r="440" spans="1:2" x14ac:dyDescent="0.3">
      <c r="A440">
        <v>438</v>
      </c>
      <c r="B440">
        <v>140</v>
      </c>
    </row>
    <row r="441" spans="1:2" x14ac:dyDescent="0.3">
      <c r="A441">
        <v>439</v>
      </c>
      <c r="B441">
        <v>140</v>
      </c>
    </row>
    <row r="442" spans="1:2" x14ac:dyDescent="0.3">
      <c r="A442">
        <v>440</v>
      </c>
      <c r="B442">
        <v>140</v>
      </c>
    </row>
    <row r="443" spans="1:2" x14ac:dyDescent="0.3">
      <c r="A443">
        <v>441</v>
      </c>
      <c r="B443">
        <v>140</v>
      </c>
    </row>
    <row r="444" spans="1:2" x14ac:dyDescent="0.3">
      <c r="A444">
        <v>442</v>
      </c>
      <c r="B444">
        <v>140</v>
      </c>
    </row>
    <row r="445" spans="1:2" x14ac:dyDescent="0.3">
      <c r="A445">
        <v>443</v>
      </c>
      <c r="B445">
        <v>140</v>
      </c>
    </row>
    <row r="446" spans="1:2" x14ac:dyDescent="0.3">
      <c r="A446">
        <v>444</v>
      </c>
      <c r="B446">
        <v>140</v>
      </c>
    </row>
    <row r="447" spans="1:2" x14ac:dyDescent="0.3">
      <c r="A447">
        <v>445</v>
      </c>
      <c r="B447">
        <v>140</v>
      </c>
    </row>
    <row r="448" spans="1:2" x14ac:dyDescent="0.3">
      <c r="A448">
        <v>446</v>
      </c>
      <c r="B448">
        <v>140</v>
      </c>
    </row>
    <row r="449" spans="1:2" x14ac:dyDescent="0.3">
      <c r="A449">
        <v>447</v>
      </c>
      <c r="B449">
        <v>140</v>
      </c>
    </row>
    <row r="450" spans="1:2" x14ac:dyDescent="0.3">
      <c r="A450">
        <v>448</v>
      </c>
      <c r="B450">
        <v>140</v>
      </c>
    </row>
    <row r="451" spans="1:2" x14ac:dyDescent="0.3">
      <c r="A451">
        <v>449</v>
      </c>
      <c r="B451">
        <v>140</v>
      </c>
    </row>
    <row r="452" spans="1:2" x14ac:dyDescent="0.3">
      <c r="A452">
        <v>450</v>
      </c>
      <c r="B452">
        <v>140</v>
      </c>
    </row>
    <row r="453" spans="1:2" x14ac:dyDescent="0.3">
      <c r="A453">
        <v>451</v>
      </c>
      <c r="B453">
        <v>140</v>
      </c>
    </row>
    <row r="454" spans="1:2" x14ac:dyDescent="0.3">
      <c r="A454">
        <v>452</v>
      </c>
      <c r="B454">
        <v>140</v>
      </c>
    </row>
    <row r="455" spans="1:2" x14ac:dyDescent="0.3">
      <c r="A455">
        <v>453</v>
      </c>
      <c r="B455">
        <v>140</v>
      </c>
    </row>
    <row r="456" spans="1:2" x14ac:dyDescent="0.3">
      <c r="A456">
        <v>454</v>
      </c>
      <c r="B456">
        <v>140</v>
      </c>
    </row>
    <row r="457" spans="1:2" x14ac:dyDescent="0.3">
      <c r="A457">
        <v>455</v>
      </c>
      <c r="B457">
        <v>140</v>
      </c>
    </row>
    <row r="458" spans="1:2" x14ac:dyDescent="0.3">
      <c r="A458">
        <v>456</v>
      </c>
      <c r="B458">
        <v>140</v>
      </c>
    </row>
    <row r="459" spans="1:2" x14ac:dyDescent="0.3">
      <c r="A459">
        <v>457</v>
      </c>
      <c r="B459">
        <v>140</v>
      </c>
    </row>
    <row r="460" spans="1:2" x14ac:dyDescent="0.3">
      <c r="A460">
        <v>458</v>
      </c>
      <c r="B460">
        <v>140</v>
      </c>
    </row>
    <row r="461" spans="1:2" x14ac:dyDescent="0.3">
      <c r="A461">
        <v>459</v>
      </c>
      <c r="B461">
        <v>140</v>
      </c>
    </row>
    <row r="462" spans="1:2" x14ac:dyDescent="0.3">
      <c r="A462">
        <v>460</v>
      </c>
      <c r="B462">
        <v>140</v>
      </c>
    </row>
    <row r="463" spans="1:2" x14ac:dyDescent="0.3">
      <c r="A463">
        <v>461</v>
      </c>
      <c r="B463">
        <v>140</v>
      </c>
    </row>
    <row r="464" spans="1:2" x14ac:dyDescent="0.3">
      <c r="A464">
        <v>462</v>
      </c>
      <c r="B464">
        <v>140</v>
      </c>
    </row>
    <row r="465" spans="1:2" x14ac:dyDescent="0.3">
      <c r="A465">
        <v>463</v>
      </c>
      <c r="B465">
        <v>140</v>
      </c>
    </row>
    <row r="466" spans="1:2" x14ac:dyDescent="0.3">
      <c r="A466">
        <v>464</v>
      </c>
      <c r="B466">
        <v>140</v>
      </c>
    </row>
    <row r="467" spans="1:2" x14ac:dyDescent="0.3">
      <c r="A467">
        <v>465</v>
      </c>
      <c r="B467">
        <v>140</v>
      </c>
    </row>
    <row r="468" spans="1:2" x14ac:dyDescent="0.3">
      <c r="A468">
        <v>466</v>
      </c>
      <c r="B468">
        <v>140</v>
      </c>
    </row>
    <row r="469" spans="1:2" x14ac:dyDescent="0.3">
      <c r="A469">
        <v>467</v>
      </c>
      <c r="B469">
        <v>140</v>
      </c>
    </row>
    <row r="470" spans="1:2" x14ac:dyDescent="0.3">
      <c r="A470">
        <v>468</v>
      </c>
      <c r="B470">
        <v>140</v>
      </c>
    </row>
    <row r="471" spans="1:2" x14ac:dyDescent="0.3">
      <c r="A471">
        <v>469</v>
      </c>
      <c r="B471">
        <v>140</v>
      </c>
    </row>
    <row r="472" spans="1:2" x14ac:dyDescent="0.3">
      <c r="A472">
        <v>470</v>
      </c>
      <c r="B472">
        <v>140</v>
      </c>
    </row>
    <row r="473" spans="1:2" x14ac:dyDescent="0.3">
      <c r="A473">
        <v>471</v>
      </c>
      <c r="B473">
        <v>140</v>
      </c>
    </row>
    <row r="474" spans="1:2" x14ac:dyDescent="0.3">
      <c r="A474">
        <v>472</v>
      </c>
      <c r="B474">
        <v>140</v>
      </c>
    </row>
    <row r="475" spans="1:2" x14ac:dyDescent="0.3">
      <c r="A475">
        <v>473</v>
      </c>
      <c r="B475">
        <v>140</v>
      </c>
    </row>
    <row r="476" spans="1:2" x14ac:dyDescent="0.3">
      <c r="A476">
        <v>474</v>
      </c>
      <c r="B476">
        <v>140</v>
      </c>
    </row>
    <row r="477" spans="1:2" x14ac:dyDescent="0.3">
      <c r="A477">
        <v>475</v>
      </c>
      <c r="B477">
        <v>140</v>
      </c>
    </row>
    <row r="478" spans="1:2" x14ac:dyDescent="0.3">
      <c r="A478">
        <v>476</v>
      </c>
      <c r="B478">
        <v>140</v>
      </c>
    </row>
    <row r="479" spans="1:2" x14ac:dyDescent="0.3">
      <c r="A479">
        <v>477</v>
      </c>
      <c r="B479">
        <v>140</v>
      </c>
    </row>
    <row r="480" spans="1:2" x14ac:dyDescent="0.3">
      <c r="A480">
        <v>478</v>
      </c>
      <c r="B480">
        <v>140</v>
      </c>
    </row>
    <row r="481" spans="1:2" x14ac:dyDescent="0.3">
      <c r="A481">
        <v>479</v>
      </c>
      <c r="B481">
        <v>140</v>
      </c>
    </row>
    <row r="482" spans="1:2" x14ac:dyDescent="0.3">
      <c r="A482">
        <v>480</v>
      </c>
      <c r="B482">
        <v>11</v>
      </c>
    </row>
    <row r="483" spans="1:2" x14ac:dyDescent="0.3">
      <c r="A483">
        <v>481</v>
      </c>
      <c r="B483">
        <v>11</v>
      </c>
    </row>
    <row r="484" spans="1:2" x14ac:dyDescent="0.3">
      <c r="A484">
        <v>482</v>
      </c>
      <c r="B484">
        <v>11</v>
      </c>
    </row>
    <row r="485" spans="1:2" x14ac:dyDescent="0.3">
      <c r="A485">
        <v>483</v>
      </c>
      <c r="B485">
        <v>11</v>
      </c>
    </row>
    <row r="486" spans="1:2" x14ac:dyDescent="0.3">
      <c r="A486">
        <v>484</v>
      </c>
      <c r="B486">
        <v>11</v>
      </c>
    </row>
    <row r="487" spans="1:2" x14ac:dyDescent="0.3">
      <c r="A487">
        <v>485</v>
      </c>
      <c r="B487">
        <v>11</v>
      </c>
    </row>
    <row r="488" spans="1:2" x14ac:dyDescent="0.3">
      <c r="A488">
        <v>486</v>
      </c>
      <c r="B488">
        <v>11</v>
      </c>
    </row>
    <row r="489" spans="1:2" x14ac:dyDescent="0.3">
      <c r="A489">
        <v>487</v>
      </c>
      <c r="B489">
        <v>11</v>
      </c>
    </row>
    <row r="490" spans="1:2" x14ac:dyDescent="0.3">
      <c r="A490">
        <v>488</v>
      </c>
      <c r="B490">
        <v>11</v>
      </c>
    </row>
    <row r="491" spans="1:2" x14ac:dyDescent="0.3">
      <c r="A491">
        <v>489</v>
      </c>
      <c r="B491">
        <v>11</v>
      </c>
    </row>
    <row r="492" spans="1:2" x14ac:dyDescent="0.3">
      <c r="A492">
        <v>490</v>
      </c>
      <c r="B492">
        <v>11</v>
      </c>
    </row>
    <row r="493" spans="1:2" x14ac:dyDescent="0.3">
      <c r="A493">
        <v>491</v>
      </c>
      <c r="B493">
        <v>11</v>
      </c>
    </row>
    <row r="494" spans="1:2" x14ac:dyDescent="0.3">
      <c r="A494">
        <v>492</v>
      </c>
      <c r="B494">
        <v>11</v>
      </c>
    </row>
    <row r="495" spans="1:2" x14ac:dyDescent="0.3">
      <c r="A495">
        <v>493</v>
      </c>
      <c r="B495">
        <v>11</v>
      </c>
    </row>
    <row r="496" spans="1:2" x14ac:dyDescent="0.3">
      <c r="A496">
        <v>494</v>
      </c>
      <c r="B496">
        <v>11</v>
      </c>
    </row>
    <row r="497" spans="1:2" x14ac:dyDescent="0.3">
      <c r="A497">
        <v>495</v>
      </c>
      <c r="B497">
        <v>11</v>
      </c>
    </row>
    <row r="498" spans="1:2" x14ac:dyDescent="0.3">
      <c r="A498">
        <v>496</v>
      </c>
      <c r="B498">
        <v>11</v>
      </c>
    </row>
    <row r="499" spans="1:2" x14ac:dyDescent="0.3">
      <c r="A499">
        <v>497</v>
      </c>
      <c r="B499">
        <v>11</v>
      </c>
    </row>
    <row r="500" spans="1:2" x14ac:dyDescent="0.3">
      <c r="A500">
        <v>498</v>
      </c>
      <c r="B500">
        <v>11</v>
      </c>
    </row>
    <row r="501" spans="1:2" x14ac:dyDescent="0.3">
      <c r="A501">
        <v>499</v>
      </c>
      <c r="B501">
        <v>11</v>
      </c>
    </row>
    <row r="502" spans="1:2" x14ac:dyDescent="0.3">
      <c r="A502">
        <v>500</v>
      </c>
      <c r="B502">
        <v>11</v>
      </c>
    </row>
    <row r="503" spans="1:2" x14ac:dyDescent="0.3">
      <c r="A503">
        <v>501</v>
      </c>
      <c r="B503">
        <v>11</v>
      </c>
    </row>
    <row r="504" spans="1:2" x14ac:dyDescent="0.3">
      <c r="A504">
        <v>502</v>
      </c>
      <c r="B504">
        <v>11</v>
      </c>
    </row>
    <row r="505" spans="1:2" x14ac:dyDescent="0.3">
      <c r="A505">
        <v>503</v>
      </c>
      <c r="B505">
        <v>11</v>
      </c>
    </row>
    <row r="506" spans="1:2" x14ac:dyDescent="0.3">
      <c r="A506">
        <v>504</v>
      </c>
      <c r="B506">
        <v>11</v>
      </c>
    </row>
    <row r="507" spans="1:2" x14ac:dyDescent="0.3">
      <c r="A507">
        <v>505</v>
      </c>
      <c r="B507">
        <v>110</v>
      </c>
    </row>
    <row r="508" spans="1:2" x14ac:dyDescent="0.3">
      <c r="A508">
        <v>506</v>
      </c>
      <c r="B508">
        <v>110</v>
      </c>
    </row>
    <row r="509" spans="1:2" x14ac:dyDescent="0.3">
      <c r="A509">
        <v>507</v>
      </c>
      <c r="B509">
        <v>110</v>
      </c>
    </row>
    <row r="510" spans="1:2" x14ac:dyDescent="0.3">
      <c r="A510">
        <v>508</v>
      </c>
      <c r="B510">
        <v>110</v>
      </c>
    </row>
    <row r="511" spans="1:2" x14ac:dyDescent="0.3">
      <c r="A511">
        <v>509</v>
      </c>
      <c r="B511">
        <v>110</v>
      </c>
    </row>
    <row r="512" spans="1:2" x14ac:dyDescent="0.3">
      <c r="A512">
        <v>510</v>
      </c>
      <c r="B512">
        <v>110</v>
      </c>
    </row>
    <row r="513" spans="1:2" x14ac:dyDescent="0.3">
      <c r="A513">
        <v>511</v>
      </c>
      <c r="B513">
        <v>110</v>
      </c>
    </row>
    <row r="514" spans="1:2" x14ac:dyDescent="0.3">
      <c r="A514">
        <v>512</v>
      </c>
      <c r="B514">
        <v>110</v>
      </c>
    </row>
    <row r="515" spans="1:2" x14ac:dyDescent="0.3">
      <c r="A515">
        <v>513</v>
      </c>
      <c r="B515">
        <v>110</v>
      </c>
    </row>
    <row r="516" spans="1:2" x14ac:dyDescent="0.3">
      <c r="A516">
        <v>514</v>
      </c>
      <c r="B516">
        <v>110</v>
      </c>
    </row>
    <row r="517" spans="1:2" x14ac:dyDescent="0.3">
      <c r="A517">
        <v>515</v>
      </c>
      <c r="B517">
        <v>110</v>
      </c>
    </row>
    <row r="518" spans="1:2" x14ac:dyDescent="0.3">
      <c r="A518">
        <v>516</v>
      </c>
      <c r="B518">
        <v>110</v>
      </c>
    </row>
    <row r="519" spans="1:2" x14ac:dyDescent="0.3">
      <c r="A519">
        <v>517</v>
      </c>
      <c r="B519">
        <v>11</v>
      </c>
    </row>
    <row r="520" spans="1:2" x14ac:dyDescent="0.3">
      <c r="A520">
        <v>518</v>
      </c>
      <c r="B520">
        <v>11</v>
      </c>
    </row>
    <row r="521" spans="1:2" x14ac:dyDescent="0.3">
      <c r="A521">
        <v>519</v>
      </c>
      <c r="B521">
        <v>11</v>
      </c>
    </row>
    <row r="522" spans="1:2" x14ac:dyDescent="0.3">
      <c r="A522">
        <v>520</v>
      </c>
      <c r="B522">
        <v>11</v>
      </c>
    </row>
    <row r="523" spans="1:2" x14ac:dyDescent="0.3">
      <c r="A523">
        <v>521</v>
      </c>
      <c r="B523">
        <v>110</v>
      </c>
    </row>
    <row r="524" spans="1:2" x14ac:dyDescent="0.3">
      <c r="A524">
        <v>522</v>
      </c>
      <c r="B524">
        <v>110</v>
      </c>
    </row>
    <row r="525" spans="1:2" x14ac:dyDescent="0.3">
      <c r="A525">
        <v>523</v>
      </c>
      <c r="B525">
        <v>110</v>
      </c>
    </row>
    <row r="526" spans="1:2" x14ac:dyDescent="0.3">
      <c r="A526">
        <v>524</v>
      </c>
      <c r="B526">
        <v>110</v>
      </c>
    </row>
    <row r="527" spans="1:2" x14ac:dyDescent="0.3">
      <c r="A527">
        <v>525</v>
      </c>
      <c r="B527">
        <v>110</v>
      </c>
    </row>
    <row r="528" spans="1:2" x14ac:dyDescent="0.3">
      <c r="A528">
        <v>526</v>
      </c>
      <c r="B528">
        <v>110</v>
      </c>
    </row>
    <row r="529" spans="1:2" x14ac:dyDescent="0.3">
      <c r="A529">
        <v>527</v>
      </c>
      <c r="B529">
        <v>110</v>
      </c>
    </row>
    <row r="530" spans="1:2" x14ac:dyDescent="0.3">
      <c r="A530">
        <v>528</v>
      </c>
      <c r="B530">
        <v>110</v>
      </c>
    </row>
    <row r="531" spans="1:2" x14ac:dyDescent="0.3">
      <c r="A531">
        <v>529</v>
      </c>
      <c r="B531">
        <v>11</v>
      </c>
    </row>
    <row r="532" spans="1:2" x14ac:dyDescent="0.3">
      <c r="A532">
        <v>530</v>
      </c>
      <c r="B532">
        <v>11</v>
      </c>
    </row>
    <row r="533" spans="1:2" x14ac:dyDescent="0.3">
      <c r="A533">
        <v>531</v>
      </c>
      <c r="B533">
        <v>11</v>
      </c>
    </row>
    <row r="534" spans="1:2" x14ac:dyDescent="0.3">
      <c r="A534">
        <v>532</v>
      </c>
      <c r="B534">
        <v>11</v>
      </c>
    </row>
    <row r="535" spans="1:2" x14ac:dyDescent="0.3">
      <c r="A535">
        <v>533</v>
      </c>
      <c r="B535">
        <v>11</v>
      </c>
    </row>
    <row r="536" spans="1:2" x14ac:dyDescent="0.3">
      <c r="A536">
        <v>534</v>
      </c>
      <c r="B536">
        <v>11</v>
      </c>
    </row>
    <row r="537" spans="1:2" x14ac:dyDescent="0.3">
      <c r="A537">
        <v>535</v>
      </c>
      <c r="B537">
        <v>11</v>
      </c>
    </row>
    <row r="538" spans="1:2" x14ac:dyDescent="0.3">
      <c r="A538">
        <v>536</v>
      </c>
      <c r="B538">
        <v>11</v>
      </c>
    </row>
    <row r="539" spans="1:2" x14ac:dyDescent="0.3">
      <c r="A539">
        <v>537</v>
      </c>
      <c r="B539">
        <v>11</v>
      </c>
    </row>
    <row r="540" spans="1:2" x14ac:dyDescent="0.3">
      <c r="A540">
        <v>538</v>
      </c>
      <c r="B540">
        <v>11</v>
      </c>
    </row>
    <row r="541" spans="1:2" x14ac:dyDescent="0.3">
      <c r="A541">
        <v>539</v>
      </c>
      <c r="B541">
        <v>11</v>
      </c>
    </row>
    <row r="542" spans="1:2" x14ac:dyDescent="0.3">
      <c r="A542">
        <v>540</v>
      </c>
      <c r="B542">
        <v>11</v>
      </c>
    </row>
    <row r="543" spans="1:2" x14ac:dyDescent="0.3">
      <c r="A543">
        <v>541</v>
      </c>
      <c r="B543">
        <v>11</v>
      </c>
    </row>
    <row r="544" spans="1:2" x14ac:dyDescent="0.3">
      <c r="A544">
        <v>542</v>
      </c>
      <c r="B544">
        <v>11</v>
      </c>
    </row>
    <row r="545" spans="1:2" x14ac:dyDescent="0.3">
      <c r="A545">
        <v>543</v>
      </c>
      <c r="B545">
        <v>11</v>
      </c>
    </row>
    <row r="546" spans="1:2" x14ac:dyDescent="0.3">
      <c r="A546">
        <v>544</v>
      </c>
      <c r="B546">
        <v>110</v>
      </c>
    </row>
    <row r="547" spans="1:2" x14ac:dyDescent="0.3">
      <c r="A547">
        <v>545</v>
      </c>
      <c r="B547">
        <v>110</v>
      </c>
    </row>
    <row r="548" spans="1:2" x14ac:dyDescent="0.3">
      <c r="A548">
        <v>546</v>
      </c>
      <c r="B548">
        <v>110</v>
      </c>
    </row>
    <row r="549" spans="1:2" x14ac:dyDescent="0.3">
      <c r="A549">
        <v>547</v>
      </c>
      <c r="B549">
        <v>110</v>
      </c>
    </row>
    <row r="550" spans="1:2" x14ac:dyDescent="0.3">
      <c r="A550">
        <v>548</v>
      </c>
      <c r="B550">
        <v>110</v>
      </c>
    </row>
    <row r="551" spans="1:2" x14ac:dyDescent="0.3">
      <c r="A551">
        <v>549</v>
      </c>
      <c r="B551">
        <v>110</v>
      </c>
    </row>
    <row r="552" spans="1:2" x14ac:dyDescent="0.3">
      <c r="A552">
        <v>550</v>
      </c>
      <c r="B552">
        <v>110</v>
      </c>
    </row>
    <row r="553" spans="1:2" x14ac:dyDescent="0.3">
      <c r="A553">
        <v>551</v>
      </c>
      <c r="B553">
        <v>110</v>
      </c>
    </row>
    <row r="554" spans="1:2" x14ac:dyDescent="0.3">
      <c r="A554">
        <v>552</v>
      </c>
      <c r="B554">
        <v>11</v>
      </c>
    </row>
    <row r="555" spans="1:2" x14ac:dyDescent="0.3">
      <c r="A555">
        <v>553</v>
      </c>
      <c r="B555">
        <v>11</v>
      </c>
    </row>
    <row r="556" spans="1:2" x14ac:dyDescent="0.3">
      <c r="A556">
        <v>554</v>
      </c>
      <c r="B556">
        <v>11</v>
      </c>
    </row>
    <row r="557" spans="1:2" x14ac:dyDescent="0.3">
      <c r="A557">
        <v>555</v>
      </c>
      <c r="B557">
        <v>11</v>
      </c>
    </row>
    <row r="558" spans="1:2" x14ac:dyDescent="0.3">
      <c r="A558">
        <v>556</v>
      </c>
      <c r="B558">
        <v>11</v>
      </c>
    </row>
    <row r="559" spans="1:2" x14ac:dyDescent="0.3">
      <c r="A559">
        <v>557</v>
      </c>
      <c r="B559">
        <v>11</v>
      </c>
    </row>
    <row r="560" spans="1:2" x14ac:dyDescent="0.3">
      <c r="A560">
        <v>558</v>
      </c>
      <c r="B560">
        <v>11</v>
      </c>
    </row>
    <row r="561" spans="1:2" x14ac:dyDescent="0.3">
      <c r="A561">
        <v>559</v>
      </c>
      <c r="B561">
        <v>11</v>
      </c>
    </row>
    <row r="562" spans="1:2" x14ac:dyDescent="0.3">
      <c r="A562">
        <v>560</v>
      </c>
      <c r="B562">
        <v>11</v>
      </c>
    </row>
    <row r="563" spans="1:2" x14ac:dyDescent="0.3">
      <c r="A563">
        <v>561</v>
      </c>
      <c r="B563">
        <v>11</v>
      </c>
    </row>
    <row r="564" spans="1:2" x14ac:dyDescent="0.3">
      <c r="A564">
        <v>562</v>
      </c>
      <c r="B564">
        <v>11</v>
      </c>
    </row>
    <row r="565" spans="1:2" x14ac:dyDescent="0.3">
      <c r="A565">
        <v>563</v>
      </c>
      <c r="B565">
        <v>11</v>
      </c>
    </row>
    <row r="566" spans="1:2" x14ac:dyDescent="0.3">
      <c r="A566">
        <v>564</v>
      </c>
      <c r="B566">
        <v>11</v>
      </c>
    </row>
    <row r="567" spans="1:2" x14ac:dyDescent="0.3">
      <c r="A567">
        <v>565</v>
      </c>
      <c r="B567">
        <v>11</v>
      </c>
    </row>
    <row r="568" spans="1:2" x14ac:dyDescent="0.3">
      <c r="A568">
        <v>566</v>
      </c>
      <c r="B568">
        <v>11</v>
      </c>
    </row>
    <row r="569" spans="1:2" x14ac:dyDescent="0.3">
      <c r="A569">
        <v>567</v>
      </c>
      <c r="B569">
        <v>11</v>
      </c>
    </row>
    <row r="570" spans="1:2" x14ac:dyDescent="0.3">
      <c r="A570">
        <v>568</v>
      </c>
      <c r="B570">
        <v>11</v>
      </c>
    </row>
    <row r="571" spans="1:2" x14ac:dyDescent="0.3">
      <c r="A571">
        <v>569</v>
      </c>
      <c r="B571">
        <v>11</v>
      </c>
    </row>
    <row r="572" spans="1:2" x14ac:dyDescent="0.3">
      <c r="A572">
        <v>570</v>
      </c>
      <c r="B572">
        <v>11</v>
      </c>
    </row>
    <row r="573" spans="1:2" x14ac:dyDescent="0.3">
      <c r="A573">
        <v>571</v>
      </c>
      <c r="B573">
        <v>11</v>
      </c>
    </row>
    <row r="574" spans="1:2" x14ac:dyDescent="0.3">
      <c r="A574">
        <v>572</v>
      </c>
      <c r="B574">
        <v>11</v>
      </c>
    </row>
    <row r="575" spans="1:2" x14ac:dyDescent="0.3">
      <c r="A575">
        <v>573</v>
      </c>
      <c r="B575">
        <v>11</v>
      </c>
    </row>
    <row r="576" spans="1:2" x14ac:dyDescent="0.3">
      <c r="A576">
        <v>574</v>
      </c>
      <c r="B576">
        <v>11</v>
      </c>
    </row>
    <row r="577" spans="1:2" x14ac:dyDescent="0.3">
      <c r="A577">
        <v>575</v>
      </c>
      <c r="B577">
        <v>11</v>
      </c>
    </row>
    <row r="578" spans="1:2" x14ac:dyDescent="0.3">
      <c r="A578">
        <v>576</v>
      </c>
      <c r="B578">
        <v>100</v>
      </c>
    </row>
    <row r="579" spans="1:2" x14ac:dyDescent="0.3">
      <c r="A579">
        <v>577</v>
      </c>
      <c r="B579">
        <v>100</v>
      </c>
    </row>
    <row r="580" spans="1:2" x14ac:dyDescent="0.3">
      <c r="A580">
        <v>578</v>
      </c>
      <c r="B580">
        <v>100</v>
      </c>
    </row>
    <row r="581" spans="1:2" x14ac:dyDescent="0.3">
      <c r="A581">
        <v>579</v>
      </c>
      <c r="B581">
        <v>100</v>
      </c>
    </row>
    <row r="582" spans="1:2" x14ac:dyDescent="0.3">
      <c r="A582">
        <v>580</v>
      </c>
      <c r="B582">
        <v>100</v>
      </c>
    </row>
    <row r="583" spans="1:2" x14ac:dyDescent="0.3">
      <c r="A583">
        <v>581</v>
      </c>
      <c r="B583">
        <v>100</v>
      </c>
    </row>
    <row r="584" spans="1:2" x14ac:dyDescent="0.3">
      <c r="A584">
        <v>582</v>
      </c>
      <c r="B584">
        <v>100</v>
      </c>
    </row>
    <row r="585" spans="1:2" x14ac:dyDescent="0.3">
      <c r="A585">
        <v>583</v>
      </c>
      <c r="B585">
        <v>100</v>
      </c>
    </row>
    <row r="586" spans="1:2" x14ac:dyDescent="0.3">
      <c r="A586">
        <v>584</v>
      </c>
      <c r="B586">
        <v>100</v>
      </c>
    </row>
    <row r="587" spans="1:2" x14ac:dyDescent="0.3">
      <c r="A587">
        <v>585</v>
      </c>
      <c r="B587">
        <v>100</v>
      </c>
    </row>
    <row r="588" spans="1:2" x14ac:dyDescent="0.3">
      <c r="A588">
        <v>586</v>
      </c>
      <c r="B588">
        <v>100</v>
      </c>
    </row>
    <row r="589" spans="1:2" x14ac:dyDescent="0.3">
      <c r="A589">
        <v>587</v>
      </c>
      <c r="B589">
        <v>100</v>
      </c>
    </row>
    <row r="590" spans="1:2" x14ac:dyDescent="0.3">
      <c r="A590">
        <v>588</v>
      </c>
      <c r="B590">
        <v>100</v>
      </c>
    </row>
    <row r="591" spans="1:2" x14ac:dyDescent="0.3">
      <c r="A591">
        <v>589</v>
      </c>
      <c r="B591">
        <v>100</v>
      </c>
    </row>
    <row r="592" spans="1:2" x14ac:dyDescent="0.3">
      <c r="A592">
        <v>590</v>
      </c>
      <c r="B592">
        <v>100</v>
      </c>
    </row>
    <row r="593" spans="1:2" x14ac:dyDescent="0.3">
      <c r="A593">
        <v>591</v>
      </c>
      <c r="B593">
        <v>100</v>
      </c>
    </row>
    <row r="594" spans="1:2" x14ac:dyDescent="0.3">
      <c r="A594">
        <v>592</v>
      </c>
      <c r="B594">
        <v>100</v>
      </c>
    </row>
    <row r="595" spans="1:2" x14ac:dyDescent="0.3">
      <c r="A595">
        <v>593</v>
      </c>
      <c r="B595">
        <v>100</v>
      </c>
    </row>
    <row r="596" spans="1:2" x14ac:dyDescent="0.3">
      <c r="A596">
        <v>594</v>
      </c>
      <c r="B596">
        <v>100</v>
      </c>
    </row>
    <row r="597" spans="1:2" x14ac:dyDescent="0.3">
      <c r="A597">
        <v>595</v>
      </c>
      <c r="B597">
        <v>100</v>
      </c>
    </row>
    <row r="598" spans="1:2" x14ac:dyDescent="0.3">
      <c r="A598">
        <v>596</v>
      </c>
      <c r="B598">
        <v>100</v>
      </c>
    </row>
    <row r="599" spans="1:2" x14ac:dyDescent="0.3">
      <c r="A599">
        <v>597</v>
      </c>
      <c r="B599">
        <v>100</v>
      </c>
    </row>
    <row r="600" spans="1:2" x14ac:dyDescent="0.3">
      <c r="A600">
        <v>598</v>
      </c>
      <c r="B600">
        <v>100</v>
      </c>
    </row>
    <row r="601" spans="1:2" x14ac:dyDescent="0.3">
      <c r="A601">
        <v>599</v>
      </c>
      <c r="B601">
        <v>100</v>
      </c>
    </row>
    <row r="602" spans="1:2" x14ac:dyDescent="0.3">
      <c r="A602">
        <v>600</v>
      </c>
      <c r="B602">
        <v>100</v>
      </c>
    </row>
    <row r="603" spans="1:2" x14ac:dyDescent="0.3">
      <c r="A603">
        <v>601</v>
      </c>
      <c r="B603">
        <v>100</v>
      </c>
    </row>
    <row r="604" spans="1:2" x14ac:dyDescent="0.3">
      <c r="A604">
        <v>602</v>
      </c>
      <c r="B604">
        <v>100</v>
      </c>
    </row>
    <row r="605" spans="1:2" x14ac:dyDescent="0.3">
      <c r="A605">
        <v>603</v>
      </c>
      <c r="B605">
        <v>100</v>
      </c>
    </row>
    <row r="606" spans="1:2" x14ac:dyDescent="0.3">
      <c r="A606">
        <v>604</v>
      </c>
      <c r="B606">
        <v>100</v>
      </c>
    </row>
    <row r="607" spans="1:2" x14ac:dyDescent="0.3">
      <c r="A607">
        <v>605</v>
      </c>
      <c r="B607">
        <v>100</v>
      </c>
    </row>
    <row r="608" spans="1:2" x14ac:dyDescent="0.3">
      <c r="A608">
        <v>606</v>
      </c>
      <c r="B608">
        <v>100</v>
      </c>
    </row>
    <row r="609" spans="1:2" x14ac:dyDescent="0.3">
      <c r="A609">
        <v>607</v>
      </c>
      <c r="B609">
        <v>100</v>
      </c>
    </row>
    <row r="610" spans="1:2" x14ac:dyDescent="0.3">
      <c r="A610">
        <v>608</v>
      </c>
      <c r="B610">
        <v>100</v>
      </c>
    </row>
    <row r="611" spans="1:2" x14ac:dyDescent="0.3">
      <c r="A611">
        <v>609</v>
      </c>
      <c r="B611">
        <v>100</v>
      </c>
    </row>
    <row r="612" spans="1:2" x14ac:dyDescent="0.3">
      <c r="A612">
        <v>610</v>
      </c>
      <c r="B612">
        <v>100</v>
      </c>
    </row>
    <row r="613" spans="1:2" x14ac:dyDescent="0.3">
      <c r="A613">
        <v>611</v>
      </c>
      <c r="B613">
        <v>100</v>
      </c>
    </row>
    <row r="614" spans="1:2" x14ac:dyDescent="0.3">
      <c r="A614">
        <v>612</v>
      </c>
      <c r="B614">
        <v>100</v>
      </c>
    </row>
    <row r="615" spans="1:2" x14ac:dyDescent="0.3">
      <c r="A615">
        <v>613</v>
      </c>
      <c r="B615">
        <v>100</v>
      </c>
    </row>
    <row r="616" spans="1:2" x14ac:dyDescent="0.3">
      <c r="A616">
        <v>614</v>
      </c>
      <c r="B616">
        <v>100</v>
      </c>
    </row>
    <row r="617" spans="1:2" x14ac:dyDescent="0.3">
      <c r="A617">
        <v>615</v>
      </c>
      <c r="B617">
        <v>100</v>
      </c>
    </row>
    <row r="618" spans="1:2" x14ac:dyDescent="0.3">
      <c r="A618">
        <v>616</v>
      </c>
      <c r="B618">
        <v>100</v>
      </c>
    </row>
    <row r="619" spans="1:2" x14ac:dyDescent="0.3">
      <c r="A619">
        <v>617</v>
      </c>
      <c r="B619">
        <v>100</v>
      </c>
    </row>
    <row r="620" spans="1:2" x14ac:dyDescent="0.3">
      <c r="A620">
        <v>618</v>
      </c>
      <c r="B620">
        <v>100</v>
      </c>
    </row>
    <row r="621" spans="1:2" x14ac:dyDescent="0.3">
      <c r="A621">
        <v>619</v>
      </c>
      <c r="B621">
        <v>100</v>
      </c>
    </row>
    <row r="622" spans="1:2" x14ac:dyDescent="0.3">
      <c r="A622">
        <v>620</v>
      </c>
      <c r="B622">
        <v>100</v>
      </c>
    </row>
    <row r="623" spans="1:2" x14ac:dyDescent="0.3">
      <c r="A623">
        <v>621</v>
      </c>
      <c r="B623">
        <v>100</v>
      </c>
    </row>
    <row r="624" spans="1:2" x14ac:dyDescent="0.3">
      <c r="A624">
        <v>622</v>
      </c>
      <c r="B624">
        <v>100</v>
      </c>
    </row>
    <row r="625" spans="1:2" x14ac:dyDescent="0.3">
      <c r="A625">
        <v>623</v>
      </c>
      <c r="B625">
        <v>100</v>
      </c>
    </row>
    <row r="626" spans="1:2" x14ac:dyDescent="0.3">
      <c r="A626">
        <v>624</v>
      </c>
      <c r="B626">
        <v>100</v>
      </c>
    </row>
    <row r="627" spans="1:2" x14ac:dyDescent="0.3">
      <c r="A627">
        <v>625</v>
      </c>
      <c r="B627">
        <v>100</v>
      </c>
    </row>
    <row r="628" spans="1:2" x14ac:dyDescent="0.3">
      <c r="A628">
        <v>626</v>
      </c>
      <c r="B628">
        <v>100</v>
      </c>
    </row>
    <row r="629" spans="1:2" x14ac:dyDescent="0.3">
      <c r="A629">
        <v>627</v>
      </c>
      <c r="B629">
        <v>100</v>
      </c>
    </row>
    <row r="630" spans="1:2" x14ac:dyDescent="0.3">
      <c r="A630">
        <v>628</v>
      </c>
      <c r="B630">
        <v>100</v>
      </c>
    </row>
    <row r="631" spans="1:2" x14ac:dyDescent="0.3">
      <c r="A631">
        <v>629</v>
      </c>
      <c r="B631">
        <v>100</v>
      </c>
    </row>
    <row r="632" spans="1:2" x14ac:dyDescent="0.3">
      <c r="A632">
        <v>630</v>
      </c>
      <c r="B632">
        <v>100</v>
      </c>
    </row>
    <row r="633" spans="1:2" x14ac:dyDescent="0.3">
      <c r="A633">
        <v>631</v>
      </c>
      <c r="B633">
        <v>100</v>
      </c>
    </row>
    <row r="634" spans="1:2" x14ac:dyDescent="0.3">
      <c r="A634">
        <v>632</v>
      </c>
      <c r="B634">
        <v>100</v>
      </c>
    </row>
    <row r="635" spans="1:2" x14ac:dyDescent="0.3">
      <c r="A635">
        <v>633</v>
      </c>
      <c r="B635">
        <v>100</v>
      </c>
    </row>
    <row r="636" spans="1:2" x14ac:dyDescent="0.3">
      <c r="A636">
        <v>634</v>
      </c>
      <c r="B636">
        <v>100</v>
      </c>
    </row>
    <row r="637" spans="1:2" x14ac:dyDescent="0.3">
      <c r="A637">
        <v>635</v>
      </c>
      <c r="B637">
        <v>100</v>
      </c>
    </row>
    <row r="638" spans="1:2" x14ac:dyDescent="0.3">
      <c r="A638">
        <v>636</v>
      </c>
      <c r="B638">
        <v>100</v>
      </c>
    </row>
    <row r="639" spans="1:2" x14ac:dyDescent="0.3">
      <c r="A639">
        <v>637</v>
      </c>
      <c r="B639">
        <v>100</v>
      </c>
    </row>
    <row r="640" spans="1:2" x14ac:dyDescent="0.3">
      <c r="A640">
        <v>638</v>
      </c>
      <c r="B640">
        <v>100</v>
      </c>
    </row>
    <row r="641" spans="1:2" x14ac:dyDescent="0.3">
      <c r="A641">
        <v>639</v>
      </c>
      <c r="B641">
        <v>100</v>
      </c>
    </row>
    <row r="642" spans="1:2" x14ac:dyDescent="0.3">
      <c r="A642">
        <v>640</v>
      </c>
      <c r="B642">
        <v>100</v>
      </c>
    </row>
    <row r="643" spans="1:2" x14ac:dyDescent="0.3">
      <c r="A643">
        <v>641</v>
      </c>
      <c r="B643">
        <v>100</v>
      </c>
    </row>
    <row r="644" spans="1:2" x14ac:dyDescent="0.3">
      <c r="A644">
        <v>642</v>
      </c>
      <c r="B644">
        <v>100</v>
      </c>
    </row>
    <row r="645" spans="1:2" x14ac:dyDescent="0.3">
      <c r="A645">
        <v>643</v>
      </c>
      <c r="B645">
        <v>100</v>
      </c>
    </row>
    <row r="646" spans="1:2" x14ac:dyDescent="0.3">
      <c r="A646">
        <v>644</v>
      </c>
      <c r="B646">
        <v>100</v>
      </c>
    </row>
    <row r="647" spans="1:2" x14ac:dyDescent="0.3">
      <c r="A647">
        <v>645</v>
      </c>
      <c r="B647">
        <v>100</v>
      </c>
    </row>
    <row r="648" spans="1:2" x14ac:dyDescent="0.3">
      <c r="A648">
        <v>646</v>
      </c>
      <c r="B648">
        <v>100</v>
      </c>
    </row>
    <row r="649" spans="1:2" x14ac:dyDescent="0.3">
      <c r="A649">
        <v>647</v>
      </c>
      <c r="B649">
        <v>100</v>
      </c>
    </row>
    <row r="650" spans="1:2" x14ac:dyDescent="0.3">
      <c r="A650">
        <v>648</v>
      </c>
      <c r="B650">
        <v>100</v>
      </c>
    </row>
    <row r="651" spans="1:2" x14ac:dyDescent="0.3">
      <c r="A651">
        <v>649</v>
      </c>
      <c r="B651">
        <v>100</v>
      </c>
    </row>
    <row r="652" spans="1:2" x14ac:dyDescent="0.3">
      <c r="A652">
        <v>650</v>
      </c>
      <c r="B652">
        <v>100</v>
      </c>
    </row>
    <row r="653" spans="1:2" x14ac:dyDescent="0.3">
      <c r="A653">
        <v>651</v>
      </c>
      <c r="B653">
        <v>100</v>
      </c>
    </row>
    <row r="654" spans="1:2" x14ac:dyDescent="0.3">
      <c r="A654">
        <v>652</v>
      </c>
      <c r="B654">
        <v>100</v>
      </c>
    </row>
    <row r="655" spans="1:2" x14ac:dyDescent="0.3">
      <c r="A655">
        <v>653</v>
      </c>
      <c r="B655">
        <v>100</v>
      </c>
    </row>
    <row r="656" spans="1:2" x14ac:dyDescent="0.3">
      <c r="A656">
        <v>654</v>
      </c>
      <c r="B656">
        <v>100</v>
      </c>
    </row>
    <row r="657" spans="1:2" x14ac:dyDescent="0.3">
      <c r="A657">
        <v>655</v>
      </c>
      <c r="B657">
        <v>100</v>
      </c>
    </row>
    <row r="658" spans="1:2" x14ac:dyDescent="0.3">
      <c r="A658">
        <v>656</v>
      </c>
      <c r="B658">
        <v>100</v>
      </c>
    </row>
    <row r="659" spans="1:2" x14ac:dyDescent="0.3">
      <c r="A659">
        <v>657</v>
      </c>
      <c r="B659">
        <v>100</v>
      </c>
    </row>
    <row r="660" spans="1:2" x14ac:dyDescent="0.3">
      <c r="A660">
        <v>658</v>
      </c>
      <c r="B660">
        <v>100</v>
      </c>
    </row>
    <row r="661" spans="1:2" x14ac:dyDescent="0.3">
      <c r="A661">
        <v>659</v>
      </c>
      <c r="B661">
        <v>100</v>
      </c>
    </row>
    <row r="662" spans="1:2" x14ac:dyDescent="0.3">
      <c r="A662">
        <v>660</v>
      </c>
      <c r="B662">
        <v>100</v>
      </c>
    </row>
    <row r="663" spans="1:2" x14ac:dyDescent="0.3">
      <c r="A663">
        <v>661</v>
      </c>
      <c r="B663">
        <v>100</v>
      </c>
    </row>
    <row r="664" spans="1:2" x14ac:dyDescent="0.3">
      <c r="A664">
        <v>662</v>
      </c>
      <c r="B664">
        <v>100</v>
      </c>
    </row>
    <row r="665" spans="1:2" x14ac:dyDescent="0.3">
      <c r="A665">
        <v>663</v>
      </c>
      <c r="B665">
        <v>100</v>
      </c>
    </row>
    <row r="666" spans="1:2" x14ac:dyDescent="0.3">
      <c r="A666">
        <v>664</v>
      </c>
      <c r="B666">
        <v>100</v>
      </c>
    </row>
    <row r="667" spans="1:2" x14ac:dyDescent="0.3">
      <c r="A667">
        <v>665</v>
      </c>
      <c r="B667">
        <v>100</v>
      </c>
    </row>
    <row r="668" spans="1:2" x14ac:dyDescent="0.3">
      <c r="A668">
        <v>666</v>
      </c>
      <c r="B668">
        <v>100</v>
      </c>
    </row>
    <row r="669" spans="1:2" x14ac:dyDescent="0.3">
      <c r="A669">
        <v>667</v>
      </c>
      <c r="B669">
        <v>100</v>
      </c>
    </row>
    <row r="670" spans="1:2" x14ac:dyDescent="0.3">
      <c r="A670">
        <v>668</v>
      </c>
      <c r="B670">
        <v>100</v>
      </c>
    </row>
    <row r="671" spans="1:2" x14ac:dyDescent="0.3">
      <c r="A671">
        <v>669</v>
      </c>
      <c r="B671">
        <v>100</v>
      </c>
    </row>
    <row r="672" spans="1:2" x14ac:dyDescent="0.3">
      <c r="A672">
        <v>670</v>
      </c>
      <c r="B672">
        <v>100</v>
      </c>
    </row>
    <row r="673" spans="1:2" x14ac:dyDescent="0.3">
      <c r="A673">
        <v>671</v>
      </c>
      <c r="B673">
        <v>100</v>
      </c>
    </row>
    <row r="674" spans="1:2" x14ac:dyDescent="0.3">
      <c r="A674">
        <v>672</v>
      </c>
      <c r="B674">
        <v>9</v>
      </c>
    </row>
    <row r="675" spans="1:2" x14ac:dyDescent="0.3">
      <c r="A675">
        <v>673</v>
      </c>
      <c r="B675">
        <v>9</v>
      </c>
    </row>
    <row r="676" spans="1:2" x14ac:dyDescent="0.3">
      <c r="A676">
        <v>674</v>
      </c>
      <c r="B676">
        <v>90</v>
      </c>
    </row>
    <row r="677" spans="1:2" x14ac:dyDescent="0.3">
      <c r="A677">
        <v>675</v>
      </c>
      <c r="B677">
        <v>90</v>
      </c>
    </row>
    <row r="678" spans="1:2" x14ac:dyDescent="0.3">
      <c r="A678">
        <v>676</v>
      </c>
      <c r="B678">
        <v>9</v>
      </c>
    </row>
    <row r="679" spans="1:2" x14ac:dyDescent="0.3">
      <c r="A679">
        <v>677</v>
      </c>
      <c r="B679">
        <v>9</v>
      </c>
    </row>
    <row r="680" spans="1:2" x14ac:dyDescent="0.3">
      <c r="A680">
        <v>678</v>
      </c>
      <c r="B680">
        <v>90</v>
      </c>
    </row>
    <row r="681" spans="1:2" x14ac:dyDescent="0.3">
      <c r="A681">
        <v>679</v>
      </c>
      <c r="B681">
        <v>90</v>
      </c>
    </row>
    <row r="682" spans="1:2" x14ac:dyDescent="0.3">
      <c r="A682">
        <v>680</v>
      </c>
      <c r="B682">
        <v>9</v>
      </c>
    </row>
    <row r="683" spans="1:2" x14ac:dyDescent="0.3">
      <c r="A683">
        <v>681</v>
      </c>
      <c r="B683">
        <v>9</v>
      </c>
    </row>
    <row r="684" spans="1:2" x14ac:dyDescent="0.3">
      <c r="A684">
        <v>682</v>
      </c>
      <c r="B684">
        <v>90</v>
      </c>
    </row>
    <row r="685" spans="1:2" x14ac:dyDescent="0.3">
      <c r="A685">
        <v>683</v>
      </c>
      <c r="B685">
        <v>90</v>
      </c>
    </row>
    <row r="686" spans="1:2" x14ac:dyDescent="0.3">
      <c r="A686">
        <v>684</v>
      </c>
      <c r="B686">
        <v>9</v>
      </c>
    </row>
    <row r="687" spans="1:2" x14ac:dyDescent="0.3">
      <c r="A687">
        <v>685</v>
      </c>
      <c r="B687">
        <v>9</v>
      </c>
    </row>
    <row r="688" spans="1:2" x14ac:dyDescent="0.3">
      <c r="A688">
        <v>686</v>
      </c>
      <c r="B688">
        <v>90</v>
      </c>
    </row>
    <row r="689" spans="1:2" x14ac:dyDescent="0.3">
      <c r="A689">
        <v>687</v>
      </c>
      <c r="B689">
        <v>90</v>
      </c>
    </row>
    <row r="690" spans="1:2" x14ac:dyDescent="0.3">
      <c r="A690">
        <v>688</v>
      </c>
      <c r="B690">
        <v>9</v>
      </c>
    </row>
    <row r="691" spans="1:2" x14ac:dyDescent="0.3">
      <c r="A691">
        <v>689</v>
      </c>
      <c r="B691">
        <v>9</v>
      </c>
    </row>
    <row r="692" spans="1:2" x14ac:dyDescent="0.3">
      <c r="A692">
        <v>690</v>
      </c>
      <c r="B692">
        <v>90</v>
      </c>
    </row>
    <row r="693" spans="1:2" x14ac:dyDescent="0.3">
      <c r="A693">
        <v>691</v>
      </c>
      <c r="B693">
        <v>90</v>
      </c>
    </row>
    <row r="694" spans="1:2" x14ac:dyDescent="0.3">
      <c r="A694">
        <v>692</v>
      </c>
      <c r="B694">
        <v>9</v>
      </c>
    </row>
    <row r="695" spans="1:2" x14ac:dyDescent="0.3">
      <c r="A695">
        <v>693</v>
      </c>
      <c r="B695">
        <v>9</v>
      </c>
    </row>
    <row r="696" spans="1:2" x14ac:dyDescent="0.3">
      <c r="A696">
        <v>694</v>
      </c>
      <c r="B696">
        <v>90</v>
      </c>
    </row>
    <row r="697" spans="1:2" x14ac:dyDescent="0.3">
      <c r="A697">
        <v>695</v>
      </c>
      <c r="B697">
        <v>90</v>
      </c>
    </row>
    <row r="698" spans="1:2" x14ac:dyDescent="0.3">
      <c r="A698">
        <v>696</v>
      </c>
      <c r="B698">
        <v>9</v>
      </c>
    </row>
    <row r="699" spans="1:2" x14ac:dyDescent="0.3">
      <c r="A699">
        <v>697</v>
      </c>
      <c r="B699">
        <v>9</v>
      </c>
    </row>
    <row r="700" spans="1:2" x14ac:dyDescent="0.3">
      <c r="A700">
        <v>698</v>
      </c>
      <c r="B700">
        <v>90</v>
      </c>
    </row>
    <row r="701" spans="1:2" x14ac:dyDescent="0.3">
      <c r="A701">
        <v>699</v>
      </c>
      <c r="B701">
        <v>90</v>
      </c>
    </row>
    <row r="702" spans="1:2" x14ac:dyDescent="0.3">
      <c r="A702">
        <v>700</v>
      </c>
      <c r="B702">
        <v>9</v>
      </c>
    </row>
    <row r="703" spans="1:2" x14ac:dyDescent="0.3">
      <c r="A703">
        <v>701</v>
      </c>
      <c r="B703">
        <v>9</v>
      </c>
    </row>
    <row r="704" spans="1:2" x14ac:dyDescent="0.3">
      <c r="A704">
        <v>702</v>
      </c>
      <c r="B704">
        <v>90</v>
      </c>
    </row>
    <row r="705" spans="1:2" x14ac:dyDescent="0.3">
      <c r="A705">
        <v>703</v>
      </c>
      <c r="B705">
        <v>90</v>
      </c>
    </row>
    <row r="706" spans="1:2" x14ac:dyDescent="0.3">
      <c r="A706">
        <v>704</v>
      </c>
      <c r="B706">
        <v>9</v>
      </c>
    </row>
    <row r="707" spans="1:2" x14ac:dyDescent="0.3">
      <c r="A707">
        <v>705</v>
      </c>
      <c r="B707">
        <v>9</v>
      </c>
    </row>
    <row r="708" spans="1:2" x14ac:dyDescent="0.3">
      <c r="A708">
        <v>706</v>
      </c>
      <c r="B708">
        <v>90</v>
      </c>
    </row>
    <row r="709" spans="1:2" x14ac:dyDescent="0.3">
      <c r="A709">
        <v>707</v>
      </c>
      <c r="B709">
        <v>90</v>
      </c>
    </row>
    <row r="710" spans="1:2" x14ac:dyDescent="0.3">
      <c r="A710">
        <v>708</v>
      </c>
      <c r="B710">
        <v>9</v>
      </c>
    </row>
    <row r="711" spans="1:2" x14ac:dyDescent="0.3">
      <c r="A711">
        <v>709</v>
      </c>
      <c r="B711">
        <v>9</v>
      </c>
    </row>
    <row r="712" spans="1:2" x14ac:dyDescent="0.3">
      <c r="A712">
        <v>710</v>
      </c>
      <c r="B712">
        <v>90</v>
      </c>
    </row>
    <row r="713" spans="1:2" x14ac:dyDescent="0.3">
      <c r="A713">
        <v>711</v>
      </c>
      <c r="B713">
        <v>90</v>
      </c>
    </row>
    <row r="714" spans="1:2" x14ac:dyDescent="0.3">
      <c r="A714">
        <v>712</v>
      </c>
      <c r="B714">
        <v>9</v>
      </c>
    </row>
    <row r="715" spans="1:2" x14ac:dyDescent="0.3">
      <c r="A715">
        <v>713</v>
      </c>
      <c r="B715">
        <v>9</v>
      </c>
    </row>
    <row r="716" spans="1:2" x14ac:dyDescent="0.3">
      <c r="A716">
        <v>714</v>
      </c>
      <c r="B716">
        <v>90</v>
      </c>
    </row>
    <row r="717" spans="1:2" x14ac:dyDescent="0.3">
      <c r="A717">
        <v>715</v>
      </c>
      <c r="B717">
        <v>90</v>
      </c>
    </row>
    <row r="718" spans="1:2" x14ac:dyDescent="0.3">
      <c r="A718">
        <v>716</v>
      </c>
      <c r="B718">
        <v>9</v>
      </c>
    </row>
    <row r="719" spans="1:2" x14ac:dyDescent="0.3">
      <c r="A719">
        <v>717</v>
      </c>
      <c r="B719">
        <v>9</v>
      </c>
    </row>
    <row r="720" spans="1:2" x14ac:dyDescent="0.3">
      <c r="A720">
        <v>718</v>
      </c>
      <c r="B720">
        <v>90</v>
      </c>
    </row>
    <row r="721" spans="1:2" x14ac:dyDescent="0.3">
      <c r="A721">
        <v>719</v>
      </c>
      <c r="B721">
        <v>90</v>
      </c>
    </row>
    <row r="722" spans="1:2" x14ac:dyDescent="0.3">
      <c r="A722">
        <v>720</v>
      </c>
      <c r="B722">
        <v>9</v>
      </c>
    </row>
    <row r="723" spans="1:2" x14ac:dyDescent="0.3">
      <c r="A723">
        <v>721</v>
      </c>
      <c r="B723">
        <v>9</v>
      </c>
    </row>
    <row r="724" spans="1:2" x14ac:dyDescent="0.3">
      <c r="A724">
        <v>722</v>
      </c>
      <c r="B724">
        <v>90</v>
      </c>
    </row>
    <row r="725" spans="1:2" x14ac:dyDescent="0.3">
      <c r="A725">
        <v>723</v>
      </c>
      <c r="B725">
        <v>90</v>
      </c>
    </row>
    <row r="726" spans="1:2" x14ac:dyDescent="0.3">
      <c r="A726">
        <v>724</v>
      </c>
      <c r="B726">
        <v>9</v>
      </c>
    </row>
    <row r="727" spans="1:2" x14ac:dyDescent="0.3">
      <c r="A727">
        <v>725</v>
      </c>
      <c r="B727">
        <v>9</v>
      </c>
    </row>
    <row r="728" spans="1:2" x14ac:dyDescent="0.3">
      <c r="A728">
        <v>726</v>
      </c>
      <c r="B728">
        <v>90</v>
      </c>
    </row>
    <row r="729" spans="1:2" x14ac:dyDescent="0.3">
      <c r="A729">
        <v>727</v>
      </c>
      <c r="B729">
        <v>90</v>
      </c>
    </row>
    <row r="730" spans="1:2" x14ac:dyDescent="0.3">
      <c r="A730">
        <v>728</v>
      </c>
      <c r="B730">
        <v>9</v>
      </c>
    </row>
    <row r="731" spans="1:2" x14ac:dyDescent="0.3">
      <c r="A731">
        <v>729</v>
      </c>
      <c r="B731">
        <v>9</v>
      </c>
    </row>
    <row r="732" spans="1:2" x14ac:dyDescent="0.3">
      <c r="A732">
        <v>730</v>
      </c>
      <c r="B732">
        <v>90</v>
      </c>
    </row>
    <row r="733" spans="1:2" x14ac:dyDescent="0.3">
      <c r="A733">
        <v>731</v>
      </c>
      <c r="B733">
        <v>90</v>
      </c>
    </row>
    <row r="734" spans="1:2" x14ac:dyDescent="0.3">
      <c r="A734">
        <v>732</v>
      </c>
      <c r="B734">
        <v>9</v>
      </c>
    </row>
    <row r="735" spans="1:2" x14ac:dyDescent="0.3">
      <c r="A735">
        <v>733</v>
      </c>
      <c r="B735">
        <v>9</v>
      </c>
    </row>
    <row r="736" spans="1:2" x14ac:dyDescent="0.3">
      <c r="A736">
        <v>734</v>
      </c>
      <c r="B736">
        <v>90</v>
      </c>
    </row>
    <row r="737" spans="1:2" x14ac:dyDescent="0.3">
      <c r="A737">
        <v>735</v>
      </c>
      <c r="B737">
        <v>90</v>
      </c>
    </row>
    <row r="738" spans="1:2" x14ac:dyDescent="0.3">
      <c r="A738">
        <v>736</v>
      </c>
      <c r="B738">
        <v>9</v>
      </c>
    </row>
    <row r="739" spans="1:2" x14ac:dyDescent="0.3">
      <c r="A739">
        <v>737</v>
      </c>
      <c r="B739">
        <v>9</v>
      </c>
    </row>
    <row r="740" spans="1:2" x14ac:dyDescent="0.3">
      <c r="A740">
        <v>738</v>
      </c>
      <c r="B740">
        <v>90</v>
      </c>
    </row>
    <row r="741" spans="1:2" x14ac:dyDescent="0.3">
      <c r="A741">
        <v>739</v>
      </c>
      <c r="B741">
        <v>90</v>
      </c>
    </row>
    <row r="742" spans="1:2" x14ac:dyDescent="0.3">
      <c r="A742">
        <v>740</v>
      </c>
      <c r="B742">
        <v>9</v>
      </c>
    </row>
    <row r="743" spans="1:2" x14ac:dyDescent="0.3">
      <c r="A743">
        <v>741</v>
      </c>
      <c r="B743">
        <v>9</v>
      </c>
    </row>
    <row r="744" spans="1:2" x14ac:dyDescent="0.3">
      <c r="A744">
        <v>742</v>
      </c>
      <c r="B744">
        <v>90</v>
      </c>
    </row>
    <row r="745" spans="1:2" x14ac:dyDescent="0.3">
      <c r="A745">
        <v>743</v>
      </c>
      <c r="B745">
        <v>90</v>
      </c>
    </row>
    <row r="746" spans="1:2" x14ac:dyDescent="0.3">
      <c r="A746">
        <v>744</v>
      </c>
      <c r="B746">
        <v>9</v>
      </c>
    </row>
    <row r="747" spans="1:2" x14ac:dyDescent="0.3">
      <c r="A747">
        <v>745</v>
      </c>
      <c r="B747">
        <v>9</v>
      </c>
    </row>
    <row r="748" spans="1:2" x14ac:dyDescent="0.3">
      <c r="A748">
        <v>746</v>
      </c>
      <c r="B748">
        <v>90</v>
      </c>
    </row>
    <row r="749" spans="1:2" x14ac:dyDescent="0.3">
      <c r="A749">
        <v>747</v>
      </c>
      <c r="B749">
        <v>90</v>
      </c>
    </row>
    <row r="750" spans="1:2" x14ac:dyDescent="0.3">
      <c r="A750">
        <v>748</v>
      </c>
      <c r="B750">
        <v>9</v>
      </c>
    </row>
    <row r="751" spans="1:2" x14ac:dyDescent="0.3">
      <c r="A751">
        <v>749</v>
      </c>
      <c r="B751">
        <v>9</v>
      </c>
    </row>
    <row r="752" spans="1:2" x14ac:dyDescent="0.3">
      <c r="A752">
        <v>750</v>
      </c>
      <c r="B752">
        <v>90</v>
      </c>
    </row>
    <row r="753" spans="1:2" x14ac:dyDescent="0.3">
      <c r="A753">
        <v>751</v>
      </c>
      <c r="B753">
        <v>90</v>
      </c>
    </row>
    <row r="754" spans="1:2" x14ac:dyDescent="0.3">
      <c r="A754">
        <v>752</v>
      </c>
      <c r="B754">
        <v>9</v>
      </c>
    </row>
    <row r="755" spans="1:2" x14ac:dyDescent="0.3">
      <c r="A755">
        <v>753</v>
      </c>
      <c r="B755">
        <v>9</v>
      </c>
    </row>
    <row r="756" spans="1:2" x14ac:dyDescent="0.3">
      <c r="A756">
        <v>754</v>
      </c>
      <c r="B756">
        <v>90</v>
      </c>
    </row>
    <row r="757" spans="1:2" x14ac:dyDescent="0.3">
      <c r="A757">
        <v>755</v>
      </c>
      <c r="B757">
        <v>90</v>
      </c>
    </row>
    <row r="758" spans="1:2" x14ac:dyDescent="0.3">
      <c r="A758">
        <v>756</v>
      </c>
      <c r="B758">
        <v>9</v>
      </c>
    </row>
    <row r="759" spans="1:2" x14ac:dyDescent="0.3">
      <c r="A759">
        <v>757</v>
      </c>
      <c r="B759">
        <v>9</v>
      </c>
    </row>
    <row r="760" spans="1:2" x14ac:dyDescent="0.3">
      <c r="A760">
        <v>758</v>
      </c>
      <c r="B760">
        <v>90</v>
      </c>
    </row>
    <row r="761" spans="1:2" x14ac:dyDescent="0.3">
      <c r="A761">
        <v>759</v>
      </c>
      <c r="B761">
        <v>90</v>
      </c>
    </row>
    <row r="762" spans="1:2" x14ac:dyDescent="0.3">
      <c r="A762">
        <v>760</v>
      </c>
      <c r="B762">
        <v>9</v>
      </c>
    </row>
    <row r="763" spans="1:2" x14ac:dyDescent="0.3">
      <c r="A763">
        <v>761</v>
      </c>
      <c r="B763">
        <v>9</v>
      </c>
    </row>
    <row r="764" spans="1:2" x14ac:dyDescent="0.3">
      <c r="A764">
        <v>762</v>
      </c>
      <c r="B764">
        <v>90</v>
      </c>
    </row>
    <row r="765" spans="1:2" x14ac:dyDescent="0.3">
      <c r="A765">
        <v>763</v>
      </c>
      <c r="B765">
        <v>90</v>
      </c>
    </row>
    <row r="766" spans="1:2" x14ac:dyDescent="0.3">
      <c r="A766">
        <v>764</v>
      </c>
      <c r="B766">
        <v>9</v>
      </c>
    </row>
    <row r="767" spans="1:2" x14ac:dyDescent="0.3">
      <c r="A767">
        <v>765</v>
      </c>
      <c r="B767">
        <v>9</v>
      </c>
    </row>
    <row r="768" spans="1:2" x14ac:dyDescent="0.3">
      <c r="A768">
        <v>766</v>
      </c>
      <c r="B768">
        <v>90</v>
      </c>
    </row>
    <row r="769" spans="1:2" x14ac:dyDescent="0.3">
      <c r="A769">
        <v>767</v>
      </c>
      <c r="B769">
        <v>90</v>
      </c>
    </row>
    <row r="770" spans="1:2" x14ac:dyDescent="0.3">
      <c r="A770">
        <v>768</v>
      </c>
      <c r="B770">
        <v>120</v>
      </c>
    </row>
    <row r="771" spans="1:2" x14ac:dyDescent="0.3">
      <c r="A771">
        <v>769</v>
      </c>
      <c r="B771">
        <v>120</v>
      </c>
    </row>
    <row r="772" spans="1:2" x14ac:dyDescent="0.3">
      <c r="A772">
        <v>770</v>
      </c>
      <c r="B772">
        <v>120</v>
      </c>
    </row>
    <row r="773" spans="1:2" x14ac:dyDescent="0.3">
      <c r="A773">
        <v>771</v>
      </c>
      <c r="B773">
        <v>120</v>
      </c>
    </row>
    <row r="774" spans="1:2" x14ac:dyDescent="0.3">
      <c r="A774">
        <v>772</v>
      </c>
      <c r="B774">
        <v>12</v>
      </c>
    </row>
    <row r="775" spans="1:2" x14ac:dyDescent="0.3">
      <c r="A775">
        <v>773</v>
      </c>
      <c r="B775">
        <v>12</v>
      </c>
    </row>
    <row r="776" spans="1:2" x14ac:dyDescent="0.3">
      <c r="A776">
        <v>774</v>
      </c>
      <c r="B776">
        <v>12</v>
      </c>
    </row>
    <row r="777" spans="1:2" x14ac:dyDescent="0.3">
      <c r="A777">
        <v>775</v>
      </c>
      <c r="B777">
        <v>12</v>
      </c>
    </row>
    <row r="778" spans="1:2" x14ac:dyDescent="0.3">
      <c r="A778">
        <v>776</v>
      </c>
      <c r="B778">
        <v>12</v>
      </c>
    </row>
    <row r="779" spans="1:2" x14ac:dyDescent="0.3">
      <c r="A779">
        <v>777</v>
      </c>
      <c r="B779">
        <v>12</v>
      </c>
    </row>
    <row r="780" spans="1:2" x14ac:dyDescent="0.3">
      <c r="A780">
        <v>778</v>
      </c>
      <c r="B780">
        <v>12</v>
      </c>
    </row>
    <row r="781" spans="1:2" x14ac:dyDescent="0.3">
      <c r="A781">
        <v>779</v>
      </c>
      <c r="B781">
        <v>12</v>
      </c>
    </row>
    <row r="782" spans="1:2" x14ac:dyDescent="0.3">
      <c r="A782">
        <v>780</v>
      </c>
      <c r="B782">
        <v>12</v>
      </c>
    </row>
    <row r="783" spans="1:2" x14ac:dyDescent="0.3">
      <c r="A783">
        <v>781</v>
      </c>
      <c r="B783">
        <v>12</v>
      </c>
    </row>
    <row r="784" spans="1:2" x14ac:dyDescent="0.3">
      <c r="A784">
        <v>782</v>
      </c>
      <c r="B784">
        <v>12</v>
      </c>
    </row>
    <row r="785" spans="1:2" x14ac:dyDescent="0.3">
      <c r="A785">
        <v>783</v>
      </c>
      <c r="B785">
        <v>12</v>
      </c>
    </row>
    <row r="786" spans="1:2" x14ac:dyDescent="0.3">
      <c r="A786">
        <v>784</v>
      </c>
      <c r="B786">
        <v>12</v>
      </c>
    </row>
    <row r="787" spans="1:2" x14ac:dyDescent="0.3">
      <c r="A787">
        <v>785</v>
      </c>
      <c r="B787">
        <v>12</v>
      </c>
    </row>
    <row r="788" spans="1:2" x14ac:dyDescent="0.3">
      <c r="A788">
        <v>786</v>
      </c>
      <c r="B788">
        <v>12</v>
      </c>
    </row>
    <row r="789" spans="1:2" x14ac:dyDescent="0.3">
      <c r="A789">
        <v>787</v>
      </c>
      <c r="B789">
        <v>12</v>
      </c>
    </row>
    <row r="790" spans="1:2" x14ac:dyDescent="0.3">
      <c r="A790">
        <v>788</v>
      </c>
      <c r="B790">
        <v>12</v>
      </c>
    </row>
    <row r="791" spans="1:2" x14ac:dyDescent="0.3">
      <c r="A791">
        <v>789</v>
      </c>
      <c r="B791">
        <v>12</v>
      </c>
    </row>
    <row r="792" spans="1:2" x14ac:dyDescent="0.3">
      <c r="A792">
        <v>790</v>
      </c>
      <c r="B792">
        <v>12</v>
      </c>
    </row>
    <row r="793" spans="1:2" x14ac:dyDescent="0.3">
      <c r="A793">
        <v>791</v>
      </c>
      <c r="B793">
        <v>12</v>
      </c>
    </row>
    <row r="794" spans="1:2" x14ac:dyDescent="0.3">
      <c r="A794">
        <v>792</v>
      </c>
      <c r="B794">
        <v>12</v>
      </c>
    </row>
    <row r="795" spans="1:2" x14ac:dyDescent="0.3">
      <c r="A795">
        <v>793</v>
      </c>
      <c r="B795">
        <v>12</v>
      </c>
    </row>
    <row r="796" spans="1:2" x14ac:dyDescent="0.3">
      <c r="A796">
        <v>794</v>
      </c>
      <c r="B796">
        <v>12</v>
      </c>
    </row>
    <row r="797" spans="1:2" x14ac:dyDescent="0.3">
      <c r="A797">
        <v>795</v>
      </c>
      <c r="B797">
        <v>12</v>
      </c>
    </row>
    <row r="798" spans="1:2" x14ac:dyDescent="0.3">
      <c r="A798">
        <v>796</v>
      </c>
      <c r="B798">
        <v>12</v>
      </c>
    </row>
    <row r="799" spans="1:2" x14ac:dyDescent="0.3">
      <c r="A799">
        <v>797</v>
      </c>
      <c r="B799">
        <v>12</v>
      </c>
    </row>
    <row r="800" spans="1:2" x14ac:dyDescent="0.3">
      <c r="A800">
        <v>798</v>
      </c>
      <c r="B800">
        <v>12</v>
      </c>
    </row>
    <row r="801" spans="1:2" x14ac:dyDescent="0.3">
      <c r="A801">
        <v>799</v>
      </c>
      <c r="B801">
        <v>12</v>
      </c>
    </row>
    <row r="802" spans="1:2" x14ac:dyDescent="0.3">
      <c r="A802">
        <v>800</v>
      </c>
      <c r="B802">
        <v>12</v>
      </c>
    </row>
    <row r="803" spans="1:2" x14ac:dyDescent="0.3">
      <c r="A803">
        <v>801</v>
      </c>
      <c r="B803">
        <v>12</v>
      </c>
    </row>
    <row r="804" spans="1:2" x14ac:dyDescent="0.3">
      <c r="A804">
        <v>802</v>
      </c>
      <c r="B804">
        <v>12</v>
      </c>
    </row>
    <row r="805" spans="1:2" x14ac:dyDescent="0.3">
      <c r="A805">
        <v>803</v>
      </c>
      <c r="B805">
        <v>12</v>
      </c>
    </row>
    <row r="806" spans="1:2" x14ac:dyDescent="0.3">
      <c r="A806">
        <v>804</v>
      </c>
      <c r="B806">
        <v>12</v>
      </c>
    </row>
    <row r="807" spans="1:2" x14ac:dyDescent="0.3">
      <c r="A807">
        <v>805</v>
      </c>
      <c r="B807">
        <v>12</v>
      </c>
    </row>
    <row r="808" spans="1:2" x14ac:dyDescent="0.3">
      <c r="A808">
        <v>806</v>
      </c>
      <c r="B808">
        <v>12</v>
      </c>
    </row>
    <row r="809" spans="1:2" x14ac:dyDescent="0.3">
      <c r="A809">
        <v>807</v>
      </c>
      <c r="B809">
        <v>12</v>
      </c>
    </row>
    <row r="810" spans="1:2" x14ac:dyDescent="0.3">
      <c r="A810">
        <v>808</v>
      </c>
      <c r="B810">
        <v>12</v>
      </c>
    </row>
    <row r="811" spans="1:2" x14ac:dyDescent="0.3">
      <c r="A811">
        <v>809</v>
      </c>
      <c r="B811">
        <v>12</v>
      </c>
    </row>
    <row r="812" spans="1:2" x14ac:dyDescent="0.3">
      <c r="A812">
        <v>810</v>
      </c>
      <c r="B812">
        <v>12</v>
      </c>
    </row>
    <row r="813" spans="1:2" x14ac:dyDescent="0.3">
      <c r="A813">
        <v>811</v>
      </c>
      <c r="B813">
        <v>12</v>
      </c>
    </row>
    <row r="814" spans="1:2" x14ac:dyDescent="0.3">
      <c r="A814">
        <v>812</v>
      </c>
      <c r="B814">
        <v>12</v>
      </c>
    </row>
    <row r="815" spans="1:2" x14ac:dyDescent="0.3">
      <c r="A815">
        <v>813</v>
      </c>
      <c r="B815">
        <v>12</v>
      </c>
    </row>
    <row r="816" spans="1:2" x14ac:dyDescent="0.3">
      <c r="A816">
        <v>814</v>
      </c>
      <c r="B816">
        <v>12</v>
      </c>
    </row>
    <row r="817" spans="1:2" x14ac:dyDescent="0.3">
      <c r="A817">
        <v>815</v>
      </c>
      <c r="B817">
        <v>12</v>
      </c>
    </row>
    <row r="818" spans="1:2" x14ac:dyDescent="0.3">
      <c r="A818">
        <v>816</v>
      </c>
      <c r="B818">
        <v>12</v>
      </c>
    </row>
    <row r="819" spans="1:2" x14ac:dyDescent="0.3">
      <c r="A819">
        <v>817</v>
      </c>
      <c r="B819">
        <v>12</v>
      </c>
    </row>
    <row r="820" spans="1:2" x14ac:dyDescent="0.3">
      <c r="A820">
        <v>818</v>
      </c>
      <c r="B820">
        <v>12</v>
      </c>
    </row>
    <row r="821" spans="1:2" x14ac:dyDescent="0.3">
      <c r="A821">
        <v>819</v>
      </c>
      <c r="B821">
        <v>12</v>
      </c>
    </row>
    <row r="822" spans="1:2" x14ac:dyDescent="0.3">
      <c r="A822">
        <v>820</v>
      </c>
      <c r="B822">
        <v>12</v>
      </c>
    </row>
    <row r="823" spans="1:2" x14ac:dyDescent="0.3">
      <c r="A823">
        <v>821</v>
      </c>
      <c r="B823">
        <v>12</v>
      </c>
    </row>
    <row r="824" spans="1:2" x14ac:dyDescent="0.3">
      <c r="A824">
        <v>822</v>
      </c>
      <c r="B824">
        <v>12</v>
      </c>
    </row>
    <row r="825" spans="1:2" x14ac:dyDescent="0.3">
      <c r="A825">
        <v>823</v>
      </c>
      <c r="B825">
        <v>12</v>
      </c>
    </row>
    <row r="826" spans="1:2" x14ac:dyDescent="0.3">
      <c r="A826">
        <v>824</v>
      </c>
      <c r="B826">
        <v>12</v>
      </c>
    </row>
    <row r="827" spans="1:2" x14ac:dyDescent="0.3">
      <c r="A827">
        <v>825</v>
      </c>
      <c r="B827">
        <v>12</v>
      </c>
    </row>
    <row r="828" spans="1:2" x14ac:dyDescent="0.3">
      <c r="A828">
        <v>826</v>
      </c>
      <c r="B828">
        <v>12</v>
      </c>
    </row>
    <row r="829" spans="1:2" x14ac:dyDescent="0.3">
      <c r="A829">
        <v>827</v>
      </c>
      <c r="B829">
        <v>12</v>
      </c>
    </row>
    <row r="830" spans="1:2" x14ac:dyDescent="0.3">
      <c r="A830">
        <v>828</v>
      </c>
      <c r="B830">
        <v>12</v>
      </c>
    </row>
    <row r="831" spans="1:2" x14ac:dyDescent="0.3">
      <c r="A831">
        <v>829</v>
      </c>
      <c r="B831">
        <v>12</v>
      </c>
    </row>
    <row r="832" spans="1:2" x14ac:dyDescent="0.3">
      <c r="A832">
        <v>830</v>
      </c>
      <c r="B832">
        <v>12</v>
      </c>
    </row>
    <row r="833" spans="1:2" x14ac:dyDescent="0.3">
      <c r="A833">
        <v>831</v>
      </c>
      <c r="B833">
        <v>12</v>
      </c>
    </row>
    <row r="834" spans="1:2" x14ac:dyDescent="0.3">
      <c r="A834">
        <v>832</v>
      </c>
      <c r="B834">
        <v>12</v>
      </c>
    </row>
    <row r="835" spans="1:2" x14ac:dyDescent="0.3">
      <c r="A835">
        <v>833</v>
      </c>
      <c r="B835">
        <v>12</v>
      </c>
    </row>
    <row r="836" spans="1:2" x14ac:dyDescent="0.3">
      <c r="A836">
        <v>834</v>
      </c>
      <c r="B836">
        <v>12</v>
      </c>
    </row>
    <row r="837" spans="1:2" x14ac:dyDescent="0.3">
      <c r="A837">
        <v>835</v>
      </c>
      <c r="B837">
        <v>12</v>
      </c>
    </row>
    <row r="838" spans="1:2" x14ac:dyDescent="0.3">
      <c r="A838">
        <v>836</v>
      </c>
      <c r="B838">
        <v>120</v>
      </c>
    </row>
    <row r="839" spans="1:2" x14ac:dyDescent="0.3">
      <c r="A839">
        <v>837</v>
      </c>
      <c r="B839">
        <v>120</v>
      </c>
    </row>
    <row r="840" spans="1:2" x14ac:dyDescent="0.3">
      <c r="A840">
        <v>838</v>
      </c>
      <c r="B840">
        <v>120</v>
      </c>
    </row>
    <row r="841" spans="1:2" x14ac:dyDescent="0.3">
      <c r="A841">
        <v>839</v>
      </c>
      <c r="B841">
        <v>120</v>
      </c>
    </row>
    <row r="842" spans="1:2" x14ac:dyDescent="0.3">
      <c r="A842">
        <v>840</v>
      </c>
      <c r="B842">
        <v>120</v>
      </c>
    </row>
    <row r="843" spans="1:2" x14ac:dyDescent="0.3">
      <c r="A843">
        <v>841</v>
      </c>
      <c r="B843">
        <v>120</v>
      </c>
    </row>
    <row r="844" spans="1:2" x14ac:dyDescent="0.3">
      <c r="A844">
        <v>842</v>
      </c>
      <c r="B844">
        <v>120</v>
      </c>
    </row>
    <row r="845" spans="1:2" x14ac:dyDescent="0.3">
      <c r="A845">
        <v>843</v>
      </c>
      <c r="B845">
        <v>120</v>
      </c>
    </row>
    <row r="846" spans="1:2" x14ac:dyDescent="0.3">
      <c r="A846">
        <v>844</v>
      </c>
      <c r="B846">
        <v>120</v>
      </c>
    </row>
    <row r="847" spans="1:2" x14ac:dyDescent="0.3">
      <c r="A847">
        <v>845</v>
      </c>
      <c r="B847">
        <v>120</v>
      </c>
    </row>
    <row r="848" spans="1:2" x14ac:dyDescent="0.3">
      <c r="A848">
        <v>846</v>
      </c>
      <c r="B848">
        <v>120</v>
      </c>
    </row>
    <row r="849" spans="1:2" x14ac:dyDescent="0.3">
      <c r="A849">
        <v>847</v>
      </c>
      <c r="B849">
        <v>120</v>
      </c>
    </row>
    <row r="850" spans="1:2" x14ac:dyDescent="0.3">
      <c r="A850">
        <v>848</v>
      </c>
      <c r="B850">
        <v>120</v>
      </c>
    </row>
    <row r="851" spans="1:2" x14ac:dyDescent="0.3">
      <c r="A851">
        <v>849</v>
      </c>
      <c r="B851">
        <v>120</v>
      </c>
    </row>
    <row r="852" spans="1:2" x14ac:dyDescent="0.3">
      <c r="A852">
        <v>850</v>
      </c>
      <c r="B852">
        <v>120</v>
      </c>
    </row>
    <row r="853" spans="1:2" x14ac:dyDescent="0.3">
      <c r="A853">
        <v>851</v>
      </c>
      <c r="B853">
        <v>120</v>
      </c>
    </row>
    <row r="854" spans="1:2" x14ac:dyDescent="0.3">
      <c r="A854">
        <v>852</v>
      </c>
      <c r="B854">
        <v>120</v>
      </c>
    </row>
    <row r="855" spans="1:2" x14ac:dyDescent="0.3">
      <c r="A855">
        <v>853</v>
      </c>
      <c r="B855">
        <v>120</v>
      </c>
    </row>
    <row r="856" spans="1:2" x14ac:dyDescent="0.3">
      <c r="A856">
        <v>854</v>
      </c>
      <c r="B856">
        <v>120</v>
      </c>
    </row>
    <row r="857" spans="1:2" x14ac:dyDescent="0.3">
      <c r="A857">
        <v>855</v>
      </c>
      <c r="B857">
        <v>120</v>
      </c>
    </row>
    <row r="858" spans="1:2" x14ac:dyDescent="0.3">
      <c r="A858">
        <v>856</v>
      </c>
      <c r="B858">
        <v>120</v>
      </c>
    </row>
    <row r="859" spans="1:2" x14ac:dyDescent="0.3">
      <c r="A859">
        <v>857</v>
      </c>
      <c r="B859">
        <v>120</v>
      </c>
    </row>
    <row r="860" spans="1:2" x14ac:dyDescent="0.3">
      <c r="A860">
        <v>858</v>
      </c>
      <c r="B860">
        <v>120</v>
      </c>
    </row>
    <row r="861" spans="1:2" x14ac:dyDescent="0.3">
      <c r="A861">
        <v>859</v>
      </c>
      <c r="B861">
        <v>120</v>
      </c>
    </row>
    <row r="862" spans="1:2" x14ac:dyDescent="0.3">
      <c r="A862">
        <v>860</v>
      </c>
      <c r="B862">
        <v>120</v>
      </c>
    </row>
    <row r="863" spans="1:2" x14ac:dyDescent="0.3">
      <c r="A863">
        <v>861</v>
      </c>
      <c r="B863">
        <v>120</v>
      </c>
    </row>
    <row r="864" spans="1:2" x14ac:dyDescent="0.3">
      <c r="A864">
        <v>862</v>
      </c>
      <c r="B864">
        <v>120</v>
      </c>
    </row>
    <row r="865" spans="1:2" x14ac:dyDescent="0.3">
      <c r="A865">
        <v>863</v>
      </c>
      <c r="B865">
        <v>120</v>
      </c>
    </row>
    <row r="866" spans="1:2" x14ac:dyDescent="0.3">
      <c r="A866">
        <v>864</v>
      </c>
      <c r="B866">
        <v>8</v>
      </c>
    </row>
    <row r="867" spans="1:2" x14ac:dyDescent="0.3">
      <c r="A867">
        <v>865</v>
      </c>
      <c r="B867">
        <v>8</v>
      </c>
    </row>
    <row r="868" spans="1:2" x14ac:dyDescent="0.3">
      <c r="A868">
        <v>866</v>
      </c>
      <c r="B868">
        <v>8</v>
      </c>
    </row>
    <row r="869" spans="1:2" x14ac:dyDescent="0.3">
      <c r="A869">
        <v>867</v>
      </c>
      <c r="B869">
        <v>8</v>
      </c>
    </row>
    <row r="870" spans="1:2" x14ac:dyDescent="0.3">
      <c r="A870">
        <v>868</v>
      </c>
      <c r="B870">
        <v>8</v>
      </c>
    </row>
    <row r="871" spans="1:2" x14ac:dyDescent="0.3">
      <c r="A871">
        <v>869</v>
      </c>
      <c r="B871">
        <v>8</v>
      </c>
    </row>
    <row r="872" spans="1:2" x14ac:dyDescent="0.3">
      <c r="A872">
        <v>870</v>
      </c>
      <c r="B872">
        <v>8</v>
      </c>
    </row>
    <row r="873" spans="1:2" x14ac:dyDescent="0.3">
      <c r="A873">
        <v>871</v>
      </c>
      <c r="B873">
        <v>8</v>
      </c>
    </row>
    <row r="874" spans="1:2" x14ac:dyDescent="0.3">
      <c r="A874">
        <v>872</v>
      </c>
      <c r="B874">
        <v>8</v>
      </c>
    </row>
    <row r="875" spans="1:2" x14ac:dyDescent="0.3">
      <c r="A875">
        <v>873</v>
      </c>
      <c r="B875">
        <v>8</v>
      </c>
    </row>
    <row r="876" spans="1:2" x14ac:dyDescent="0.3">
      <c r="A876">
        <v>874</v>
      </c>
      <c r="B876">
        <v>8</v>
      </c>
    </row>
    <row r="877" spans="1:2" x14ac:dyDescent="0.3">
      <c r="A877">
        <v>875</v>
      </c>
      <c r="B877">
        <v>8</v>
      </c>
    </row>
    <row r="878" spans="1:2" x14ac:dyDescent="0.3">
      <c r="A878">
        <v>876</v>
      </c>
      <c r="B878">
        <v>8</v>
      </c>
    </row>
    <row r="879" spans="1:2" x14ac:dyDescent="0.3">
      <c r="A879">
        <v>877</v>
      </c>
      <c r="B879">
        <v>8</v>
      </c>
    </row>
    <row r="880" spans="1:2" x14ac:dyDescent="0.3">
      <c r="A880">
        <v>878</v>
      </c>
      <c r="B880">
        <v>8</v>
      </c>
    </row>
    <row r="881" spans="1:2" x14ac:dyDescent="0.3">
      <c r="A881">
        <v>879</v>
      </c>
      <c r="B881">
        <v>8</v>
      </c>
    </row>
    <row r="882" spans="1:2" x14ac:dyDescent="0.3">
      <c r="A882">
        <v>880</v>
      </c>
      <c r="B882">
        <v>8</v>
      </c>
    </row>
    <row r="883" spans="1:2" x14ac:dyDescent="0.3">
      <c r="A883">
        <v>881</v>
      </c>
      <c r="B883">
        <v>8</v>
      </c>
    </row>
    <row r="884" spans="1:2" x14ac:dyDescent="0.3">
      <c r="A884">
        <v>882</v>
      </c>
      <c r="B884">
        <v>8</v>
      </c>
    </row>
    <row r="885" spans="1:2" x14ac:dyDescent="0.3">
      <c r="A885">
        <v>883</v>
      </c>
      <c r="B885">
        <v>8</v>
      </c>
    </row>
    <row r="886" spans="1:2" x14ac:dyDescent="0.3">
      <c r="A886">
        <v>884</v>
      </c>
      <c r="B886">
        <v>8</v>
      </c>
    </row>
    <row r="887" spans="1:2" x14ac:dyDescent="0.3">
      <c r="A887">
        <v>885</v>
      </c>
      <c r="B887">
        <v>8</v>
      </c>
    </row>
    <row r="888" spans="1:2" x14ac:dyDescent="0.3">
      <c r="A888">
        <v>886</v>
      </c>
      <c r="B888">
        <v>8</v>
      </c>
    </row>
    <row r="889" spans="1:2" x14ac:dyDescent="0.3">
      <c r="A889">
        <v>887</v>
      </c>
      <c r="B889">
        <v>8</v>
      </c>
    </row>
    <row r="890" spans="1:2" x14ac:dyDescent="0.3">
      <c r="A890">
        <v>888</v>
      </c>
      <c r="B890">
        <v>8</v>
      </c>
    </row>
    <row r="891" spans="1:2" x14ac:dyDescent="0.3">
      <c r="A891">
        <v>889</v>
      </c>
      <c r="B891">
        <v>8</v>
      </c>
    </row>
    <row r="892" spans="1:2" x14ac:dyDescent="0.3">
      <c r="A892">
        <v>890</v>
      </c>
      <c r="B892">
        <v>8</v>
      </c>
    </row>
    <row r="893" spans="1:2" x14ac:dyDescent="0.3">
      <c r="A893">
        <v>891</v>
      </c>
      <c r="B893">
        <v>80</v>
      </c>
    </row>
    <row r="894" spans="1:2" x14ac:dyDescent="0.3">
      <c r="A894">
        <v>892</v>
      </c>
      <c r="B894">
        <v>80</v>
      </c>
    </row>
    <row r="895" spans="1:2" x14ac:dyDescent="0.3">
      <c r="A895">
        <v>893</v>
      </c>
      <c r="B895">
        <v>80</v>
      </c>
    </row>
    <row r="896" spans="1:2" x14ac:dyDescent="0.3">
      <c r="A896">
        <v>894</v>
      </c>
      <c r="B896">
        <v>80</v>
      </c>
    </row>
    <row r="897" spans="1:2" x14ac:dyDescent="0.3">
      <c r="A897">
        <v>895</v>
      </c>
      <c r="B897">
        <v>80</v>
      </c>
    </row>
    <row r="898" spans="1:2" x14ac:dyDescent="0.3">
      <c r="A898">
        <v>896</v>
      </c>
      <c r="B898">
        <v>80</v>
      </c>
    </row>
    <row r="899" spans="1:2" x14ac:dyDescent="0.3">
      <c r="A899">
        <v>897</v>
      </c>
      <c r="B899">
        <v>80</v>
      </c>
    </row>
    <row r="900" spans="1:2" x14ac:dyDescent="0.3">
      <c r="A900">
        <v>898</v>
      </c>
      <c r="B900">
        <v>80</v>
      </c>
    </row>
    <row r="901" spans="1:2" x14ac:dyDescent="0.3">
      <c r="A901">
        <v>899</v>
      </c>
      <c r="B901">
        <v>80</v>
      </c>
    </row>
    <row r="902" spans="1:2" x14ac:dyDescent="0.3">
      <c r="A902">
        <v>900</v>
      </c>
      <c r="B902">
        <v>80</v>
      </c>
    </row>
    <row r="903" spans="1:2" x14ac:dyDescent="0.3">
      <c r="A903">
        <v>901</v>
      </c>
      <c r="B903">
        <v>80</v>
      </c>
    </row>
    <row r="904" spans="1:2" x14ac:dyDescent="0.3">
      <c r="A904">
        <v>902</v>
      </c>
      <c r="B904">
        <v>80</v>
      </c>
    </row>
    <row r="905" spans="1:2" x14ac:dyDescent="0.3">
      <c r="A905">
        <v>903</v>
      </c>
      <c r="B905">
        <v>8</v>
      </c>
    </row>
    <row r="906" spans="1:2" x14ac:dyDescent="0.3">
      <c r="A906">
        <v>904</v>
      </c>
      <c r="B906">
        <v>8</v>
      </c>
    </row>
    <row r="907" spans="1:2" x14ac:dyDescent="0.3">
      <c r="A907">
        <v>905</v>
      </c>
      <c r="B907">
        <v>8</v>
      </c>
    </row>
    <row r="908" spans="1:2" x14ac:dyDescent="0.3">
      <c r="A908">
        <v>906</v>
      </c>
      <c r="B908">
        <v>8</v>
      </c>
    </row>
    <row r="909" spans="1:2" x14ac:dyDescent="0.3">
      <c r="A909">
        <v>907</v>
      </c>
      <c r="B909">
        <v>8</v>
      </c>
    </row>
    <row r="910" spans="1:2" x14ac:dyDescent="0.3">
      <c r="A910">
        <v>908</v>
      </c>
      <c r="B910">
        <v>8</v>
      </c>
    </row>
    <row r="911" spans="1:2" x14ac:dyDescent="0.3">
      <c r="A911">
        <v>909</v>
      </c>
      <c r="B911">
        <v>80</v>
      </c>
    </row>
    <row r="912" spans="1:2" x14ac:dyDescent="0.3">
      <c r="A912">
        <v>910</v>
      </c>
      <c r="B912">
        <v>80</v>
      </c>
    </row>
    <row r="913" spans="1:2" x14ac:dyDescent="0.3">
      <c r="A913">
        <v>911</v>
      </c>
      <c r="B913">
        <v>80</v>
      </c>
    </row>
    <row r="914" spans="1:2" x14ac:dyDescent="0.3">
      <c r="A914">
        <v>912</v>
      </c>
      <c r="B914">
        <v>80</v>
      </c>
    </row>
    <row r="915" spans="1:2" x14ac:dyDescent="0.3">
      <c r="A915">
        <v>913</v>
      </c>
      <c r="B915">
        <v>8</v>
      </c>
    </row>
    <row r="916" spans="1:2" x14ac:dyDescent="0.3">
      <c r="A916">
        <v>914</v>
      </c>
      <c r="B916">
        <v>8</v>
      </c>
    </row>
    <row r="917" spans="1:2" x14ac:dyDescent="0.3">
      <c r="A917">
        <v>915</v>
      </c>
      <c r="B917">
        <v>8</v>
      </c>
    </row>
    <row r="918" spans="1:2" x14ac:dyDescent="0.3">
      <c r="A918">
        <v>916</v>
      </c>
      <c r="B918">
        <v>8</v>
      </c>
    </row>
    <row r="919" spans="1:2" x14ac:dyDescent="0.3">
      <c r="A919">
        <v>917</v>
      </c>
      <c r="B919">
        <v>8</v>
      </c>
    </row>
    <row r="920" spans="1:2" x14ac:dyDescent="0.3">
      <c r="A920">
        <v>918</v>
      </c>
      <c r="B920">
        <v>8</v>
      </c>
    </row>
    <row r="921" spans="1:2" x14ac:dyDescent="0.3">
      <c r="A921">
        <v>919</v>
      </c>
      <c r="B921">
        <v>8</v>
      </c>
    </row>
    <row r="922" spans="1:2" x14ac:dyDescent="0.3">
      <c r="A922">
        <v>920</v>
      </c>
      <c r="B922">
        <v>8</v>
      </c>
    </row>
    <row r="923" spans="1:2" x14ac:dyDescent="0.3">
      <c r="A923">
        <v>921</v>
      </c>
      <c r="B923">
        <v>8</v>
      </c>
    </row>
    <row r="924" spans="1:2" x14ac:dyDescent="0.3">
      <c r="A924">
        <v>922</v>
      </c>
      <c r="B924">
        <v>8</v>
      </c>
    </row>
    <row r="925" spans="1:2" x14ac:dyDescent="0.3">
      <c r="A925">
        <v>923</v>
      </c>
      <c r="B925">
        <v>8</v>
      </c>
    </row>
    <row r="926" spans="1:2" x14ac:dyDescent="0.3">
      <c r="A926">
        <v>924</v>
      </c>
      <c r="B926">
        <v>8</v>
      </c>
    </row>
    <row r="927" spans="1:2" x14ac:dyDescent="0.3">
      <c r="A927">
        <v>925</v>
      </c>
      <c r="B927">
        <v>8</v>
      </c>
    </row>
    <row r="928" spans="1:2" x14ac:dyDescent="0.3">
      <c r="A928">
        <v>926</v>
      </c>
      <c r="B928">
        <v>8</v>
      </c>
    </row>
    <row r="929" spans="1:2" x14ac:dyDescent="0.3">
      <c r="A929">
        <v>927</v>
      </c>
      <c r="B929">
        <v>8</v>
      </c>
    </row>
    <row r="930" spans="1:2" x14ac:dyDescent="0.3">
      <c r="A930">
        <v>928</v>
      </c>
      <c r="B930">
        <v>8</v>
      </c>
    </row>
    <row r="931" spans="1:2" x14ac:dyDescent="0.3">
      <c r="A931">
        <v>929</v>
      </c>
      <c r="B931">
        <v>8</v>
      </c>
    </row>
    <row r="932" spans="1:2" x14ac:dyDescent="0.3">
      <c r="A932">
        <v>930</v>
      </c>
      <c r="B932">
        <v>8</v>
      </c>
    </row>
    <row r="933" spans="1:2" x14ac:dyDescent="0.3">
      <c r="A933">
        <v>931</v>
      </c>
      <c r="B933">
        <v>8</v>
      </c>
    </row>
    <row r="934" spans="1:2" x14ac:dyDescent="0.3">
      <c r="A934">
        <v>932</v>
      </c>
      <c r="B934">
        <v>8</v>
      </c>
    </row>
    <row r="935" spans="1:2" x14ac:dyDescent="0.3">
      <c r="A935">
        <v>933</v>
      </c>
      <c r="B935">
        <v>8</v>
      </c>
    </row>
    <row r="936" spans="1:2" x14ac:dyDescent="0.3">
      <c r="A936">
        <v>934</v>
      </c>
      <c r="B936">
        <v>8</v>
      </c>
    </row>
    <row r="937" spans="1:2" x14ac:dyDescent="0.3">
      <c r="A937">
        <v>935</v>
      </c>
      <c r="B937">
        <v>8</v>
      </c>
    </row>
    <row r="938" spans="1:2" x14ac:dyDescent="0.3">
      <c r="A938">
        <v>936</v>
      </c>
      <c r="B938">
        <v>8</v>
      </c>
    </row>
    <row r="939" spans="1:2" x14ac:dyDescent="0.3">
      <c r="A939">
        <v>937</v>
      </c>
      <c r="B939">
        <v>8</v>
      </c>
    </row>
    <row r="940" spans="1:2" x14ac:dyDescent="0.3">
      <c r="A940">
        <v>938</v>
      </c>
      <c r="B940">
        <v>8</v>
      </c>
    </row>
    <row r="941" spans="1:2" x14ac:dyDescent="0.3">
      <c r="A941">
        <v>939</v>
      </c>
      <c r="B941">
        <v>80</v>
      </c>
    </row>
    <row r="942" spans="1:2" x14ac:dyDescent="0.3">
      <c r="A942">
        <v>940</v>
      </c>
      <c r="B942">
        <v>80</v>
      </c>
    </row>
    <row r="943" spans="1:2" x14ac:dyDescent="0.3">
      <c r="A943">
        <v>941</v>
      </c>
      <c r="B943">
        <v>80</v>
      </c>
    </row>
    <row r="944" spans="1:2" x14ac:dyDescent="0.3">
      <c r="A944">
        <v>942</v>
      </c>
      <c r="B944">
        <v>80</v>
      </c>
    </row>
    <row r="945" spans="1:2" x14ac:dyDescent="0.3">
      <c r="A945">
        <v>943</v>
      </c>
      <c r="B945">
        <v>80</v>
      </c>
    </row>
    <row r="946" spans="1:2" x14ac:dyDescent="0.3">
      <c r="A946">
        <v>944</v>
      </c>
      <c r="B946">
        <v>80</v>
      </c>
    </row>
    <row r="947" spans="1:2" x14ac:dyDescent="0.3">
      <c r="A947">
        <v>945</v>
      </c>
      <c r="B947">
        <v>80</v>
      </c>
    </row>
    <row r="948" spans="1:2" x14ac:dyDescent="0.3">
      <c r="A948">
        <v>946</v>
      </c>
      <c r="B948">
        <v>80</v>
      </c>
    </row>
    <row r="949" spans="1:2" x14ac:dyDescent="0.3">
      <c r="A949">
        <v>947</v>
      </c>
      <c r="B949">
        <v>8</v>
      </c>
    </row>
    <row r="950" spans="1:2" x14ac:dyDescent="0.3">
      <c r="A950">
        <v>948</v>
      </c>
      <c r="B950">
        <v>8</v>
      </c>
    </row>
    <row r="951" spans="1:2" x14ac:dyDescent="0.3">
      <c r="A951">
        <v>949</v>
      </c>
      <c r="B951">
        <v>8</v>
      </c>
    </row>
    <row r="952" spans="1:2" x14ac:dyDescent="0.3">
      <c r="A952">
        <v>950</v>
      </c>
      <c r="B952">
        <v>8</v>
      </c>
    </row>
    <row r="953" spans="1:2" x14ac:dyDescent="0.3">
      <c r="A953">
        <v>951</v>
      </c>
      <c r="B953">
        <v>8</v>
      </c>
    </row>
    <row r="954" spans="1:2" x14ac:dyDescent="0.3">
      <c r="A954">
        <v>952</v>
      </c>
      <c r="B954">
        <v>8</v>
      </c>
    </row>
    <row r="955" spans="1:2" x14ac:dyDescent="0.3">
      <c r="A955">
        <v>953</v>
      </c>
      <c r="B955">
        <v>8</v>
      </c>
    </row>
    <row r="956" spans="1:2" x14ac:dyDescent="0.3">
      <c r="A956">
        <v>954</v>
      </c>
      <c r="B956">
        <v>8</v>
      </c>
    </row>
    <row r="957" spans="1:2" x14ac:dyDescent="0.3">
      <c r="A957">
        <v>955</v>
      </c>
      <c r="B957">
        <v>8</v>
      </c>
    </row>
    <row r="958" spans="1:2" x14ac:dyDescent="0.3">
      <c r="A958">
        <v>956</v>
      </c>
      <c r="B958">
        <v>8</v>
      </c>
    </row>
    <row r="959" spans="1:2" x14ac:dyDescent="0.3">
      <c r="A959">
        <v>957</v>
      </c>
      <c r="B959">
        <v>8</v>
      </c>
    </row>
    <row r="960" spans="1:2" x14ac:dyDescent="0.3">
      <c r="A960">
        <v>958</v>
      </c>
      <c r="B960">
        <v>8</v>
      </c>
    </row>
    <row r="961" spans="1:2" x14ac:dyDescent="0.3">
      <c r="A961">
        <v>959</v>
      </c>
      <c r="B961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S990"/>
  <sheetViews>
    <sheetView zoomScaleNormal="100" workbookViewId="0"/>
  </sheetViews>
  <sheetFormatPr defaultColWidth="14.44140625" defaultRowHeight="15" customHeight="1" x14ac:dyDescent="0.3"/>
  <cols>
    <col min="1" max="1" width="8.6640625" customWidth="1"/>
    <col min="2" max="2" width="31" bestFit="1" customWidth="1"/>
    <col min="3" max="3" width="8.6640625" customWidth="1"/>
    <col min="4" max="4" width="33.5546875" customWidth="1"/>
    <col min="5" max="5" width="21.109375" bestFit="1" customWidth="1"/>
    <col min="6" max="6" width="27.88671875" bestFit="1" customWidth="1"/>
    <col min="7" max="7" width="13.77734375" bestFit="1" customWidth="1"/>
    <col min="8" max="8" width="23.77734375" bestFit="1" customWidth="1"/>
    <col min="9" max="9" width="13.5546875" bestFit="1" customWidth="1"/>
    <col min="10" max="10" width="23.33203125" bestFit="1" customWidth="1"/>
    <col min="11" max="11" width="21.109375" bestFit="1" customWidth="1"/>
    <col min="12" max="12" width="22.109375" customWidth="1"/>
    <col min="13" max="13" width="10" customWidth="1"/>
    <col min="14" max="15" width="8.6640625" customWidth="1"/>
    <col min="16" max="16" width="26" customWidth="1"/>
    <col min="17" max="24" width="8.6640625" customWidth="1"/>
  </cols>
  <sheetData>
    <row r="1" spans="2:17" ht="14.25" customHeight="1" x14ac:dyDescent="0.3">
      <c r="M1" s="21"/>
    </row>
    <row r="2" spans="2:17" ht="14.25" customHeight="1" x14ac:dyDescent="0.3">
      <c r="B2" s="38" t="s">
        <v>149</v>
      </c>
      <c r="D2" s="31" t="s">
        <v>135</v>
      </c>
      <c r="E2" s="39"/>
      <c r="F2" s="39"/>
      <c r="G2" s="39"/>
      <c r="H2" s="32"/>
      <c r="I2" s="32"/>
      <c r="J2" s="32"/>
      <c r="K2" s="33"/>
      <c r="M2" s="21"/>
    </row>
    <row r="3" spans="2:17" ht="14.25" customHeight="1" x14ac:dyDescent="0.3">
      <c r="B3" s="13" t="s">
        <v>11</v>
      </c>
      <c r="D3" s="15" t="s">
        <v>136</v>
      </c>
      <c r="E3" s="91" t="s">
        <v>191</v>
      </c>
      <c r="F3" s="16" t="s">
        <v>192</v>
      </c>
      <c r="G3" s="91" t="s">
        <v>9</v>
      </c>
      <c r="H3" s="16" t="s">
        <v>150</v>
      </c>
      <c r="I3" s="91" t="s">
        <v>10</v>
      </c>
      <c r="J3" s="16" t="s">
        <v>151</v>
      </c>
      <c r="K3" s="17" t="s">
        <v>137</v>
      </c>
      <c r="M3" s="16"/>
      <c r="P3" s="31" t="s">
        <v>138</v>
      </c>
      <c r="Q3" s="27" t="s">
        <v>139</v>
      </c>
    </row>
    <row r="4" spans="2:17" ht="14.25" customHeight="1" x14ac:dyDescent="0.3">
      <c r="B4" s="13" t="s">
        <v>15</v>
      </c>
      <c r="D4" s="18" t="s">
        <v>12</v>
      </c>
      <c r="E4" s="19">
        <v>4</v>
      </c>
      <c r="F4" s="19">
        <v>4</v>
      </c>
      <c r="G4" s="19">
        <v>25</v>
      </c>
      <c r="H4" s="19">
        <v>25</v>
      </c>
      <c r="I4" s="19">
        <v>25</v>
      </c>
      <c r="J4" s="19">
        <v>25</v>
      </c>
      <c r="K4" s="20" t="s">
        <v>11</v>
      </c>
      <c r="M4" s="21"/>
      <c r="P4" s="18" t="s">
        <v>140</v>
      </c>
      <c r="Q4" s="28">
        <f>8/0.5</f>
        <v>16</v>
      </c>
    </row>
    <row r="5" spans="2:17" ht="14.25" customHeight="1" x14ac:dyDescent="0.3">
      <c r="B5" s="13" t="s">
        <v>20</v>
      </c>
      <c r="D5" s="18" t="s">
        <v>13</v>
      </c>
      <c r="E5" s="19">
        <v>24</v>
      </c>
      <c r="F5" s="19">
        <v>24</v>
      </c>
      <c r="G5" s="19">
        <v>3</v>
      </c>
      <c r="H5" s="19">
        <v>3</v>
      </c>
      <c r="I5" s="19">
        <v>8</v>
      </c>
      <c r="J5" s="19">
        <v>8</v>
      </c>
      <c r="K5" s="23" t="s">
        <v>11</v>
      </c>
      <c r="M5" s="21"/>
      <c r="P5" s="18" t="s">
        <v>6</v>
      </c>
      <c r="Q5" s="28">
        <f>5/0.75</f>
        <v>6.666666666666667</v>
      </c>
    </row>
    <row r="6" spans="2:17" ht="14.25" customHeight="1" x14ac:dyDescent="0.3">
      <c r="B6" s="13" t="s">
        <v>27</v>
      </c>
      <c r="D6" s="18" t="s">
        <v>14</v>
      </c>
      <c r="E6" s="19">
        <v>4</v>
      </c>
      <c r="F6" s="19">
        <v>4</v>
      </c>
      <c r="G6" s="19">
        <v>100</v>
      </c>
      <c r="H6" s="19">
        <v>100</v>
      </c>
      <c r="I6" s="19">
        <v>100</v>
      </c>
      <c r="J6" s="19">
        <v>100</v>
      </c>
      <c r="K6" s="23" t="s">
        <v>11</v>
      </c>
      <c r="M6" s="21"/>
      <c r="P6" s="24" t="s">
        <v>141</v>
      </c>
      <c r="Q6" s="29">
        <f>6/1.42</f>
        <v>4.2253521126760569</v>
      </c>
    </row>
    <row r="7" spans="2:17" ht="14.25" customHeight="1" x14ac:dyDescent="0.3">
      <c r="B7" s="13" t="s">
        <v>31</v>
      </c>
      <c r="D7" s="18" t="s">
        <v>50</v>
      </c>
      <c r="E7" s="19">
        <v>0.5</v>
      </c>
      <c r="F7" s="19">
        <v>0.5</v>
      </c>
      <c r="G7" s="19">
        <v>1500</v>
      </c>
      <c r="H7" s="19">
        <v>1500</v>
      </c>
      <c r="I7" s="19">
        <v>1500</v>
      </c>
      <c r="J7" s="19">
        <v>1500</v>
      </c>
      <c r="K7" s="23" t="s">
        <v>15</v>
      </c>
      <c r="M7" s="21"/>
    </row>
    <row r="8" spans="2:17" ht="14.25" customHeight="1" x14ac:dyDescent="0.3">
      <c r="B8" s="13" t="s">
        <v>33</v>
      </c>
      <c r="D8" s="18" t="s">
        <v>54</v>
      </c>
      <c r="E8" s="19">
        <v>0.25</v>
      </c>
      <c r="F8" s="19">
        <v>0.25</v>
      </c>
      <c r="G8" s="19">
        <v>300</v>
      </c>
      <c r="H8" s="19">
        <v>300</v>
      </c>
      <c r="I8" s="19">
        <v>950</v>
      </c>
      <c r="J8" s="19">
        <v>950</v>
      </c>
      <c r="K8" s="23" t="s">
        <v>15</v>
      </c>
      <c r="M8" s="21"/>
    </row>
    <row r="9" spans="2:17" ht="14.25" customHeight="1" x14ac:dyDescent="0.3">
      <c r="B9" s="13" t="s">
        <v>38</v>
      </c>
      <c r="C9" s="276"/>
      <c r="D9" s="18" t="s">
        <v>58</v>
      </c>
      <c r="E9" s="19">
        <v>0.5</v>
      </c>
      <c r="F9" s="19">
        <v>0.5</v>
      </c>
      <c r="G9" s="19">
        <v>1000</v>
      </c>
      <c r="H9" s="19">
        <v>1000</v>
      </c>
      <c r="I9" s="19">
        <v>1000</v>
      </c>
      <c r="J9" s="19">
        <v>1000</v>
      </c>
      <c r="K9" s="23" t="s">
        <v>15</v>
      </c>
      <c r="M9" s="21"/>
    </row>
    <row r="10" spans="2:17" ht="14.25" customHeight="1" x14ac:dyDescent="0.3">
      <c r="B10" s="14" t="s">
        <v>41</v>
      </c>
      <c r="D10" s="34" t="s">
        <v>62</v>
      </c>
      <c r="E10" s="19">
        <v>0.5</v>
      </c>
      <c r="F10" s="19">
        <v>0.5</v>
      </c>
      <c r="G10" s="35">
        <v>1200</v>
      </c>
      <c r="H10" s="35">
        <v>1200</v>
      </c>
      <c r="I10" s="35">
        <v>2400</v>
      </c>
      <c r="J10" s="35">
        <v>2400</v>
      </c>
      <c r="K10" s="23" t="s">
        <v>15</v>
      </c>
      <c r="M10" s="21"/>
    </row>
    <row r="11" spans="2:17" ht="14.25" customHeight="1" x14ac:dyDescent="0.3">
      <c r="D11" s="54" t="s">
        <v>182</v>
      </c>
      <c r="E11" s="19">
        <v>0.5</v>
      </c>
      <c r="F11" s="19">
        <v>0.5</v>
      </c>
      <c r="G11" s="35">
        <v>1650</v>
      </c>
      <c r="H11" s="35">
        <v>1650</v>
      </c>
      <c r="I11" s="35">
        <v>3300</v>
      </c>
      <c r="J11" s="35">
        <v>3300</v>
      </c>
      <c r="K11" s="23" t="s">
        <v>15</v>
      </c>
      <c r="M11" s="21"/>
    </row>
    <row r="12" spans="2:17" ht="14.25" customHeight="1" x14ac:dyDescent="0.3">
      <c r="B12" s="30" t="s">
        <v>142</v>
      </c>
      <c r="D12" s="34" t="s">
        <v>66</v>
      </c>
      <c r="E12" s="35">
        <v>0.25</v>
      </c>
      <c r="F12" s="35">
        <v>0.25</v>
      </c>
      <c r="G12" s="35">
        <v>170</v>
      </c>
      <c r="H12" s="35">
        <v>170</v>
      </c>
      <c r="I12" s="35">
        <v>170</v>
      </c>
      <c r="J12" s="35">
        <v>170</v>
      </c>
      <c r="K12" s="23" t="s">
        <v>15</v>
      </c>
      <c r="M12" s="21"/>
    </row>
    <row r="13" spans="2:17" ht="14.25" customHeight="1" x14ac:dyDescent="0.3">
      <c r="B13" s="13" t="s">
        <v>140</v>
      </c>
      <c r="D13" s="34" t="s">
        <v>67</v>
      </c>
      <c r="E13" s="19">
        <v>0.5</v>
      </c>
      <c r="F13" s="19">
        <v>0.5</v>
      </c>
      <c r="G13" s="35">
        <v>1650</v>
      </c>
      <c r="H13" s="35">
        <v>1650</v>
      </c>
      <c r="I13" s="35">
        <v>3300</v>
      </c>
      <c r="J13" s="35">
        <v>3300</v>
      </c>
      <c r="K13" s="20" t="s">
        <v>15</v>
      </c>
      <c r="M13" s="21"/>
    </row>
    <row r="14" spans="2:17" ht="14.25" customHeight="1" x14ac:dyDescent="0.3">
      <c r="B14" s="13" t="s">
        <v>6</v>
      </c>
      <c r="D14" s="34" t="s">
        <v>16</v>
      </c>
      <c r="E14" s="35">
        <v>0.5</v>
      </c>
      <c r="F14" s="35">
        <v>0.5</v>
      </c>
      <c r="G14" s="35">
        <v>1200</v>
      </c>
      <c r="H14" s="35">
        <v>1200</v>
      </c>
      <c r="I14" s="35">
        <v>4200</v>
      </c>
      <c r="J14" s="35">
        <v>4200</v>
      </c>
      <c r="K14" s="23" t="s">
        <v>15</v>
      </c>
      <c r="M14" s="21"/>
    </row>
    <row r="15" spans="2:17" ht="14.25" customHeight="1" x14ac:dyDescent="0.3">
      <c r="B15" s="14" t="s">
        <v>141</v>
      </c>
      <c r="C15" s="276"/>
      <c r="D15" s="34" t="s">
        <v>17</v>
      </c>
      <c r="E15" s="281">
        <v>1</v>
      </c>
      <c r="F15" s="35">
        <v>1</v>
      </c>
      <c r="G15" s="35">
        <v>2150</v>
      </c>
      <c r="H15" s="35">
        <v>2150</v>
      </c>
      <c r="I15" s="35">
        <v>2150</v>
      </c>
      <c r="J15" s="35">
        <v>2150</v>
      </c>
      <c r="K15" s="23" t="s">
        <v>15</v>
      </c>
      <c r="M15" s="21"/>
    </row>
    <row r="16" spans="2:17" ht="14.25" customHeight="1" x14ac:dyDescent="0.3">
      <c r="C16" s="276"/>
      <c r="D16" s="34" t="s">
        <v>18</v>
      </c>
      <c r="E16" s="35">
        <v>1</v>
      </c>
      <c r="F16" s="35">
        <v>1</v>
      </c>
      <c r="G16" s="35">
        <v>2100</v>
      </c>
      <c r="H16" s="35">
        <v>2100</v>
      </c>
      <c r="I16" s="35">
        <v>2100</v>
      </c>
      <c r="J16" s="35">
        <v>2100</v>
      </c>
      <c r="K16" s="23" t="s">
        <v>15</v>
      </c>
      <c r="M16" s="21"/>
    </row>
    <row r="17" spans="2:19" ht="14.25" customHeight="1" x14ac:dyDescent="0.3">
      <c r="B17" s="42" t="s">
        <v>159</v>
      </c>
      <c r="D17" s="34" t="s">
        <v>69</v>
      </c>
      <c r="E17" s="35">
        <v>0.5</v>
      </c>
      <c r="F17" s="35">
        <v>0.5</v>
      </c>
      <c r="G17" s="35">
        <v>1300</v>
      </c>
      <c r="H17" s="35">
        <v>1300</v>
      </c>
      <c r="I17" s="35">
        <v>1500</v>
      </c>
      <c r="J17" s="35">
        <v>1500</v>
      </c>
      <c r="K17" s="23" t="s">
        <v>15</v>
      </c>
      <c r="M17" s="21"/>
    </row>
    <row r="18" spans="2:19" ht="14.25" customHeight="1" x14ac:dyDescent="0.3">
      <c r="B18" s="13" t="s">
        <v>140</v>
      </c>
      <c r="D18" s="34" t="s">
        <v>74</v>
      </c>
      <c r="E18" s="19">
        <v>0.5</v>
      </c>
      <c r="F18" s="19">
        <v>0.5</v>
      </c>
      <c r="G18" s="35">
        <v>800</v>
      </c>
      <c r="H18" s="35">
        <v>800</v>
      </c>
      <c r="I18" s="35">
        <v>800</v>
      </c>
      <c r="J18" s="35">
        <v>800</v>
      </c>
      <c r="K18" s="23" t="s">
        <v>15</v>
      </c>
      <c r="M18" s="21"/>
    </row>
    <row r="19" spans="2:19" ht="14.25" customHeight="1" x14ac:dyDescent="0.3">
      <c r="B19" s="13" t="s">
        <v>6</v>
      </c>
      <c r="D19" s="34" t="s">
        <v>75</v>
      </c>
      <c r="E19" s="19">
        <v>0.5</v>
      </c>
      <c r="F19" s="19">
        <v>0.5</v>
      </c>
      <c r="G19" s="35">
        <v>400</v>
      </c>
      <c r="H19" s="35">
        <v>400</v>
      </c>
      <c r="I19" s="35">
        <v>400</v>
      </c>
      <c r="J19" s="35">
        <v>400</v>
      </c>
      <c r="K19" s="23" t="s">
        <v>15</v>
      </c>
      <c r="M19" s="21"/>
    </row>
    <row r="20" spans="2:19" ht="14.25" customHeight="1" x14ac:dyDescent="0.3">
      <c r="B20" s="13" t="s">
        <v>143</v>
      </c>
      <c r="D20" s="18" t="s">
        <v>76</v>
      </c>
      <c r="E20" s="19">
        <v>0.5</v>
      </c>
      <c r="F20" s="19">
        <v>0.5</v>
      </c>
      <c r="G20" s="19">
        <v>1000</v>
      </c>
      <c r="H20" s="19">
        <v>1000</v>
      </c>
      <c r="I20" s="19">
        <v>1000</v>
      </c>
      <c r="J20" s="19">
        <v>1000</v>
      </c>
      <c r="K20" s="23" t="s">
        <v>15</v>
      </c>
      <c r="M20" s="21"/>
    </row>
    <row r="21" spans="2:19" ht="14.25" customHeight="1" x14ac:dyDescent="0.3">
      <c r="B21" s="14" t="s">
        <v>141</v>
      </c>
      <c r="D21" s="18" t="s">
        <v>86</v>
      </c>
      <c r="E21" s="19">
        <v>0.5</v>
      </c>
      <c r="F21" s="19">
        <v>0.5</v>
      </c>
      <c r="G21" s="19">
        <v>1200</v>
      </c>
      <c r="H21" s="19">
        <v>1200</v>
      </c>
      <c r="I21" s="19">
        <v>2925</v>
      </c>
      <c r="J21" s="19">
        <v>2925</v>
      </c>
      <c r="K21" s="23" t="s">
        <v>15</v>
      </c>
      <c r="M21" s="21"/>
    </row>
    <row r="22" spans="2:19" ht="14.25" customHeight="1" x14ac:dyDescent="0.3">
      <c r="D22" s="18" t="s">
        <v>19</v>
      </c>
      <c r="E22" s="19">
        <v>0.5</v>
      </c>
      <c r="F22" s="19">
        <v>0.5</v>
      </c>
      <c r="G22" s="19">
        <v>1000</v>
      </c>
      <c r="H22" s="19">
        <v>1000</v>
      </c>
      <c r="I22" s="19">
        <v>1000</v>
      </c>
      <c r="J22" s="19">
        <v>1000</v>
      </c>
      <c r="K22" s="20" t="s">
        <v>15</v>
      </c>
      <c r="M22" s="21"/>
    </row>
    <row r="23" spans="2:19" ht="14.25" customHeight="1" x14ac:dyDescent="0.3">
      <c r="B23" s="101" t="s">
        <v>202</v>
      </c>
      <c r="D23" s="18" t="s">
        <v>96</v>
      </c>
      <c r="E23" s="19">
        <v>0.5</v>
      </c>
      <c r="F23" s="19">
        <v>0.5</v>
      </c>
      <c r="G23" s="19">
        <v>700</v>
      </c>
      <c r="H23" s="19">
        <v>700</v>
      </c>
      <c r="I23" s="19">
        <v>700</v>
      </c>
      <c r="J23" s="19">
        <v>700</v>
      </c>
      <c r="K23" s="23" t="s">
        <v>15</v>
      </c>
      <c r="M23" s="21"/>
    </row>
    <row r="24" spans="2:19" ht="14.25" customHeight="1" x14ac:dyDescent="0.3">
      <c r="B24" s="167" t="s">
        <v>152</v>
      </c>
      <c r="D24" s="18" t="s">
        <v>101</v>
      </c>
      <c r="E24" s="19">
        <v>0.5</v>
      </c>
      <c r="F24" s="19">
        <v>0.5</v>
      </c>
      <c r="G24" s="19">
        <v>200</v>
      </c>
      <c r="H24" s="19">
        <v>200</v>
      </c>
      <c r="I24" s="19">
        <v>700</v>
      </c>
      <c r="J24" s="19">
        <v>700</v>
      </c>
      <c r="K24" s="23" t="s">
        <v>15</v>
      </c>
      <c r="M24" s="21"/>
    </row>
    <row r="25" spans="2:19" ht="14.25" customHeight="1" x14ac:dyDescent="0.3">
      <c r="B25" s="166" t="s">
        <v>153</v>
      </c>
      <c r="D25" s="18" t="s">
        <v>103</v>
      </c>
      <c r="E25" s="19">
        <v>8</v>
      </c>
      <c r="F25" s="19">
        <v>8</v>
      </c>
      <c r="G25" s="19">
        <v>160</v>
      </c>
      <c r="H25" s="19">
        <v>160</v>
      </c>
      <c r="I25" s="19">
        <v>180</v>
      </c>
      <c r="J25" s="19">
        <v>180</v>
      </c>
      <c r="K25" s="23" t="s">
        <v>15</v>
      </c>
      <c r="M25" s="21"/>
    </row>
    <row r="26" spans="2:19" ht="14.25" customHeight="1" x14ac:dyDescent="0.3">
      <c r="B26" s="166" t="s">
        <v>154</v>
      </c>
      <c r="C26" s="276"/>
      <c r="D26" s="18" t="s">
        <v>111</v>
      </c>
      <c r="E26" s="19">
        <v>0.25</v>
      </c>
      <c r="F26" s="19">
        <v>0.25</v>
      </c>
      <c r="G26" s="19">
        <v>850</v>
      </c>
      <c r="H26" s="19">
        <v>850</v>
      </c>
      <c r="I26" s="19">
        <v>850</v>
      </c>
      <c r="J26" s="19">
        <v>850</v>
      </c>
      <c r="K26" s="23" t="s">
        <v>15</v>
      </c>
      <c r="M26" s="21"/>
    </row>
    <row r="27" spans="2:19" ht="14.25" customHeight="1" x14ac:dyDescent="0.3">
      <c r="B27" s="166" t="s">
        <v>155</v>
      </c>
      <c r="D27" s="18" t="s">
        <v>112</v>
      </c>
      <c r="E27" s="19">
        <v>0.5</v>
      </c>
      <c r="F27" s="19">
        <v>0.5</v>
      </c>
      <c r="G27" s="19">
        <v>1200</v>
      </c>
      <c r="H27" s="19">
        <v>1200</v>
      </c>
      <c r="I27" s="19">
        <v>1200</v>
      </c>
      <c r="J27" s="19">
        <v>1200</v>
      </c>
      <c r="K27" s="23" t="s">
        <v>15</v>
      </c>
      <c r="M27" s="21"/>
    </row>
    <row r="28" spans="2:19" ht="14.25" customHeight="1" x14ac:dyDescent="0.3">
      <c r="B28" s="166" t="s">
        <v>156</v>
      </c>
      <c r="D28" s="18" t="s">
        <v>116</v>
      </c>
      <c r="E28" s="19">
        <v>0.5</v>
      </c>
      <c r="F28" s="19">
        <v>0.5</v>
      </c>
      <c r="G28" s="19">
        <v>1200</v>
      </c>
      <c r="H28" s="19">
        <v>1200</v>
      </c>
      <c r="I28" s="19">
        <v>2925</v>
      </c>
      <c r="J28" s="19">
        <v>2925</v>
      </c>
      <c r="K28" s="23" t="s">
        <v>15</v>
      </c>
      <c r="M28" s="21"/>
    </row>
    <row r="29" spans="2:19" ht="14.25" customHeight="1" x14ac:dyDescent="0.3">
      <c r="B29" s="166" t="s">
        <v>157</v>
      </c>
      <c r="D29" s="18" t="s">
        <v>49</v>
      </c>
      <c r="E29" s="19">
        <v>0.25</v>
      </c>
      <c r="F29" s="19">
        <v>0.25</v>
      </c>
      <c r="G29" s="19">
        <v>1600</v>
      </c>
      <c r="H29" s="19">
        <v>1600</v>
      </c>
      <c r="I29" s="19">
        <v>6100</v>
      </c>
      <c r="J29" s="19">
        <v>6100</v>
      </c>
      <c r="K29" s="23" t="s">
        <v>20</v>
      </c>
      <c r="M29" s="21"/>
    </row>
    <row r="30" spans="2:19" ht="14.25" customHeight="1" x14ac:dyDescent="0.3">
      <c r="B30" s="166" t="s">
        <v>219</v>
      </c>
      <c r="D30" s="18" t="s">
        <v>61</v>
      </c>
      <c r="E30" s="19">
        <v>0.25</v>
      </c>
      <c r="F30" s="19">
        <v>0.25</v>
      </c>
      <c r="G30" s="19">
        <v>1500</v>
      </c>
      <c r="H30" s="19">
        <v>1500</v>
      </c>
      <c r="I30" s="19">
        <v>1500</v>
      </c>
      <c r="J30" s="19">
        <v>1500</v>
      </c>
      <c r="K30" s="23" t="s">
        <v>20</v>
      </c>
      <c r="M30" s="21"/>
    </row>
    <row r="31" spans="2:19" ht="14.25" customHeight="1" x14ac:dyDescent="0.3">
      <c r="B31" s="132" t="s">
        <v>218</v>
      </c>
      <c r="D31" s="18" t="s">
        <v>21</v>
      </c>
      <c r="E31" s="19">
        <v>1</v>
      </c>
      <c r="F31" s="19">
        <v>1</v>
      </c>
      <c r="G31" s="19">
        <v>216</v>
      </c>
      <c r="H31" s="19">
        <v>216</v>
      </c>
      <c r="I31" s="19">
        <v>540</v>
      </c>
      <c r="J31" s="19">
        <v>540</v>
      </c>
      <c r="K31" s="20" t="s">
        <v>20</v>
      </c>
      <c r="M31" s="21"/>
    </row>
    <row r="32" spans="2:19" ht="14.25" customHeight="1" x14ac:dyDescent="0.3">
      <c r="C32" s="276"/>
      <c r="D32" s="18" t="s">
        <v>64</v>
      </c>
      <c r="E32" s="19">
        <v>1</v>
      </c>
      <c r="F32" s="19">
        <v>1</v>
      </c>
      <c r="G32" s="19">
        <v>1500</v>
      </c>
      <c r="H32" s="19">
        <v>1500</v>
      </c>
      <c r="I32" s="19">
        <v>3000</v>
      </c>
      <c r="J32" s="19">
        <v>3000</v>
      </c>
      <c r="K32" s="23" t="s">
        <v>20</v>
      </c>
      <c r="M32" s="21"/>
      <c r="S32" s="21"/>
    </row>
    <row r="33" spans="2:19" ht="14.25" customHeight="1" x14ac:dyDescent="0.3">
      <c r="B33" s="165" t="s">
        <v>7</v>
      </c>
      <c r="D33" s="18" t="s">
        <v>65</v>
      </c>
      <c r="E33" s="19">
        <v>4</v>
      </c>
      <c r="F33" s="19">
        <v>4</v>
      </c>
      <c r="G33" s="19">
        <v>200</v>
      </c>
      <c r="H33" s="19">
        <v>200</v>
      </c>
      <c r="I33" s="19">
        <v>200</v>
      </c>
      <c r="J33" s="19">
        <v>200</v>
      </c>
      <c r="K33" s="23" t="s">
        <v>20</v>
      </c>
      <c r="M33" s="21"/>
      <c r="O33" s="120"/>
      <c r="S33" s="21"/>
    </row>
    <row r="34" spans="2:19" ht="14.25" customHeight="1" x14ac:dyDescent="0.3">
      <c r="B34" s="312" t="s">
        <v>264</v>
      </c>
      <c r="C34" s="276"/>
      <c r="D34" s="18" t="s">
        <v>22</v>
      </c>
      <c r="E34" s="19">
        <v>1</v>
      </c>
      <c r="F34" s="19">
        <v>1</v>
      </c>
      <c r="G34" s="19">
        <v>5400</v>
      </c>
      <c r="H34" s="19">
        <v>5400</v>
      </c>
      <c r="I34" s="19">
        <v>6750</v>
      </c>
      <c r="J34" s="19">
        <v>6750</v>
      </c>
      <c r="K34" s="23" t="s">
        <v>20</v>
      </c>
      <c r="M34" s="21"/>
      <c r="S34" s="21"/>
    </row>
    <row r="35" spans="2:19" ht="14.25" customHeight="1" x14ac:dyDescent="0.3">
      <c r="B35" s="215" t="s">
        <v>265</v>
      </c>
      <c r="D35" s="18" t="s">
        <v>68</v>
      </c>
      <c r="E35" s="19">
        <v>0.25</v>
      </c>
      <c r="F35" s="19">
        <v>0.25</v>
      </c>
      <c r="G35" s="19">
        <v>15</v>
      </c>
      <c r="H35" s="19">
        <v>15</v>
      </c>
      <c r="I35" s="19">
        <v>35</v>
      </c>
      <c r="J35" s="19">
        <v>35</v>
      </c>
      <c r="K35" s="23" t="s">
        <v>20</v>
      </c>
      <c r="M35" s="21"/>
      <c r="P35" s="120"/>
      <c r="S35" s="21"/>
    </row>
    <row r="36" spans="2:19" ht="14.25" customHeight="1" x14ac:dyDescent="0.3">
      <c r="B36" s="313" t="s">
        <v>266</v>
      </c>
      <c r="D36" s="18" t="s">
        <v>23</v>
      </c>
      <c r="E36" s="19">
        <v>12</v>
      </c>
      <c r="F36" s="19">
        <v>12</v>
      </c>
      <c r="G36" s="19">
        <v>1920</v>
      </c>
      <c r="H36" s="19">
        <v>1920</v>
      </c>
      <c r="I36" s="19">
        <v>1920</v>
      </c>
      <c r="J36" s="19">
        <v>1920</v>
      </c>
      <c r="K36" s="23" t="s">
        <v>20</v>
      </c>
      <c r="M36" s="21"/>
      <c r="S36" s="21"/>
    </row>
    <row r="37" spans="2:19" ht="14.25" customHeight="1" x14ac:dyDescent="0.3">
      <c r="D37" s="18" t="s">
        <v>70</v>
      </c>
      <c r="E37" s="19">
        <v>12</v>
      </c>
      <c r="F37" s="19">
        <v>12</v>
      </c>
      <c r="G37" s="19">
        <v>1440</v>
      </c>
      <c r="H37" s="19">
        <v>1440</v>
      </c>
      <c r="I37" s="19">
        <v>1440</v>
      </c>
      <c r="J37" s="19">
        <v>1440</v>
      </c>
      <c r="K37" s="23" t="s">
        <v>20</v>
      </c>
      <c r="M37" s="21"/>
      <c r="S37" s="21"/>
    </row>
    <row r="38" spans="2:19" ht="14.25" customHeight="1" x14ac:dyDescent="0.3">
      <c r="B38" s="101" t="s">
        <v>250</v>
      </c>
      <c r="D38" s="18" t="s">
        <v>71</v>
      </c>
      <c r="E38" s="19">
        <v>8</v>
      </c>
      <c r="F38" s="19">
        <v>8</v>
      </c>
      <c r="G38" s="19">
        <v>11520</v>
      </c>
      <c r="H38" s="19">
        <v>11520</v>
      </c>
      <c r="I38" s="19">
        <v>11520</v>
      </c>
      <c r="J38" s="19">
        <v>11520</v>
      </c>
      <c r="K38" s="23" t="s">
        <v>20</v>
      </c>
      <c r="M38" s="21"/>
      <c r="S38" s="21"/>
    </row>
    <row r="39" spans="2:19" ht="14.25" customHeight="1" x14ac:dyDescent="0.3">
      <c r="B39" s="40">
        <v>1</v>
      </c>
      <c r="D39" s="18" t="s">
        <v>72</v>
      </c>
      <c r="E39" s="19">
        <v>8</v>
      </c>
      <c r="F39" s="19">
        <v>8</v>
      </c>
      <c r="G39" s="19">
        <v>3840</v>
      </c>
      <c r="H39" s="19">
        <v>3840</v>
      </c>
      <c r="I39" s="19">
        <v>3840</v>
      </c>
      <c r="J39" s="19">
        <v>3840</v>
      </c>
      <c r="K39" s="23" t="s">
        <v>20</v>
      </c>
      <c r="M39" s="21"/>
      <c r="S39" s="21"/>
    </row>
    <row r="40" spans="2:19" ht="14.25" customHeight="1" x14ac:dyDescent="0.3">
      <c r="B40" s="40">
        <f>B41/2</f>
        <v>48</v>
      </c>
      <c r="C40" s="276"/>
      <c r="D40" s="18" t="s">
        <v>82</v>
      </c>
      <c r="E40" s="19">
        <v>0.25</v>
      </c>
      <c r="F40" s="19">
        <v>0.25</v>
      </c>
      <c r="G40" s="19">
        <v>875</v>
      </c>
      <c r="H40" s="19">
        <v>875</v>
      </c>
      <c r="I40" s="19">
        <v>2350</v>
      </c>
      <c r="J40" s="19">
        <v>2350</v>
      </c>
      <c r="K40" s="20" t="s">
        <v>20</v>
      </c>
      <c r="M40" s="21"/>
      <c r="S40" s="21"/>
    </row>
    <row r="41" spans="2:19" ht="14.25" customHeight="1" x14ac:dyDescent="0.3">
      <c r="B41" s="132">
        <f>'User Interface'!C127*96</f>
        <v>96</v>
      </c>
      <c r="C41" s="276"/>
      <c r="D41" s="18" t="s">
        <v>83</v>
      </c>
      <c r="E41" s="19">
        <v>0.25</v>
      </c>
      <c r="F41" s="19">
        <v>0.25</v>
      </c>
      <c r="G41" s="19">
        <v>450</v>
      </c>
      <c r="H41" s="19">
        <v>450</v>
      </c>
      <c r="I41" s="19">
        <v>450</v>
      </c>
      <c r="J41" s="19">
        <v>450</v>
      </c>
      <c r="K41" s="23" t="s">
        <v>20</v>
      </c>
      <c r="M41" s="21"/>
      <c r="S41" s="21"/>
    </row>
    <row r="42" spans="2:19" ht="14.25" customHeight="1" x14ac:dyDescent="0.3">
      <c r="D42" s="18" t="s">
        <v>84</v>
      </c>
      <c r="E42" s="19">
        <v>1</v>
      </c>
      <c r="F42" s="19">
        <v>1</v>
      </c>
      <c r="G42" s="19">
        <v>700</v>
      </c>
      <c r="H42" s="19">
        <v>700</v>
      </c>
      <c r="I42" s="19">
        <v>2500</v>
      </c>
      <c r="J42" s="19">
        <v>2500</v>
      </c>
      <c r="K42" s="23" t="s">
        <v>20</v>
      </c>
      <c r="M42" s="21"/>
      <c r="S42" s="21"/>
    </row>
    <row r="43" spans="2:19" ht="14.25" customHeight="1" x14ac:dyDescent="0.3">
      <c r="D43" s="18" t="s">
        <v>85</v>
      </c>
      <c r="E43" s="19">
        <v>0.25</v>
      </c>
      <c r="F43" s="19">
        <v>0.25</v>
      </c>
      <c r="G43" s="19">
        <v>1250</v>
      </c>
      <c r="H43" s="19">
        <v>1250</v>
      </c>
      <c r="I43" s="19">
        <v>1250</v>
      </c>
      <c r="J43" s="19">
        <v>1250</v>
      </c>
      <c r="K43" s="23" t="s">
        <v>20</v>
      </c>
      <c r="M43" s="21"/>
      <c r="S43" s="21"/>
    </row>
    <row r="44" spans="2:19" ht="14.25" customHeight="1" x14ac:dyDescent="0.3">
      <c r="D44" s="18" t="s">
        <v>88</v>
      </c>
      <c r="E44" s="19">
        <v>0.25</v>
      </c>
      <c r="F44" s="19">
        <v>0.25</v>
      </c>
      <c r="G44" s="19">
        <v>50</v>
      </c>
      <c r="H44" s="19">
        <v>50</v>
      </c>
      <c r="I44" s="19">
        <v>200</v>
      </c>
      <c r="J44" s="19">
        <v>200</v>
      </c>
      <c r="K44" s="23" t="s">
        <v>20</v>
      </c>
      <c r="M44" s="21"/>
      <c r="S44" s="21"/>
    </row>
    <row r="45" spans="2:19" ht="14.25" customHeight="1" x14ac:dyDescent="0.3">
      <c r="D45" s="18" t="s">
        <v>89</v>
      </c>
      <c r="E45" s="19">
        <v>0.25</v>
      </c>
      <c r="F45" s="19">
        <v>0.25</v>
      </c>
      <c r="G45" s="19">
        <v>1200</v>
      </c>
      <c r="H45" s="19">
        <v>1200</v>
      </c>
      <c r="I45" s="19">
        <v>1200</v>
      </c>
      <c r="J45" s="19">
        <v>1200</v>
      </c>
      <c r="K45" s="23" t="s">
        <v>20</v>
      </c>
      <c r="M45" s="21"/>
      <c r="S45" s="21"/>
    </row>
    <row r="46" spans="2:19" ht="14.25" customHeight="1" x14ac:dyDescent="0.3">
      <c r="D46" s="54" t="s">
        <v>184</v>
      </c>
      <c r="E46" s="19">
        <v>0.25</v>
      </c>
      <c r="F46" s="19">
        <v>0.25</v>
      </c>
      <c r="G46" s="19">
        <v>650</v>
      </c>
      <c r="H46" s="19">
        <v>650</v>
      </c>
      <c r="I46" s="19">
        <v>950</v>
      </c>
      <c r="J46" s="19">
        <v>950</v>
      </c>
      <c r="K46" s="23" t="s">
        <v>20</v>
      </c>
      <c r="M46" s="21"/>
    </row>
    <row r="47" spans="2:19" ht="14.25" customHeight="1" x14ac:dyDescent="0.3">
      <c r="D47" s="18" t="s">
        <v>24</v>
      </c>
      <c r="E47" s="19">
        <v>5</v>
      </c>
      <c r="F47" s="19">
        <v>5</v>
      </c>
      <c r="G47" s="19">
        <v>250</v>
      </c>
      <c r="H47" s="19">
        <v>250</v>
      </c>
      <c r="I47" s="19">
        <v>250</v>
      </c>
      <c r="J47" s="19">
        <v>250</v>
      </c>
      <c r="K47" s="23" t="s">
        <v>20</v>
      </c>
      <c r="M47" s="21"/>
    </row>
    <row r="48" spans="2:19" ht="14.25" customHeight="1" x14ac:dyDescent="0.3">
      <c r="D48" s="18" t="s">
        <v>102</v>
      </c>
      <c r="E48" s="19">
        <v>8</v>
      </c>
      <c r="F48" s="19">
        <v>8</v>
      </c>
      <c r="G48" s="19">
        <v>500</v>
      </c>
      <c r="H48" s="19">
        <v>500</v>
      </c>
      <c r="I48" s="19">
        <v>500</v>
      </c>
      <c r="J48" s="19">
        <v>500</v>
      </c>
      <c r="K48" s="23" t="s">
        <v>20</v>
      </c>
      <c r="M48" s="21"/>
    </row>
    <row r="49" spans="3:13" ht="14.25" customHeight="1" x14ac:dyDescent="0.3">
      <c r="D49" s="18" t="s">
        <v>104</v>
      </c>
      <c r="E49" s="19">
        <v>0.25</v>
      </c>
      <c r="F49" s="19">
        <v>0.25</v>
      </c>
      <c r="G49" s="19">
        <v>2200</v>
      </c>
      <c r="H49" s="19">
        <v>2200</v>
      </c>
      <c r="I49" s="19">
        <v>2500</v>
      </c>
      <c r="J49" s="19">
        <v>2500</v>
      </c>
      <c r="K49" s="20" t="s">
        <v>20</v>
      </c>
      <c r="M49" s="21"/>
    </row>
    <row r="50" spans="3:13" ht="14.25" customHeight="1" x14ac:dyDescent="0.3">
      <c r="D50" s="18" t="s">
        <v>105</v>
      </c>
      <c r="E50" s="19">
        <v>0.25</v>
      </c>
      <c r="F50" s="19">
        <v>0.25</v>
      </c>
      <c r="G50" s="19">
        <v>75</v>
      </c>
      <c r="H50" s="19">
        <v>75</v>
      </c>
      <c r="I50" s="19">
        <v>375</v>
      </c>
      <c r="J50" s="19">
        <v>375</v>
      </c>
      <c r="K50" s="23" t="s">
        <v>20</v>
      </c>
      <c r="M50" s="21"/>
    </row>
    <row r="51" spans="3:13" ht="14.25" customHeight="1" x14ac:dyDescent="0.3">
      <c r="D51" s="18" t="s">
        <v>25</v>
      </c>
      <c r="E51" s="19">
        <v>0.25</v>
      </c>
      <c r="F51" s="19">
        <v>0.25</v>
      </c>
      <c r="G51" s="19">
        <v>200</v>
      </c>
      <c r="H51" s="19">
        <v>200</v>
      </c>
      <c r="I51" s="19">
        <v>400</v>
      </c>
      <c r="J51" s="19">
        <v>400</v>
      </c>
      <c r="K51" s="23" t="s">
        <v>20</v>
      </c>
      <c r="M51" s="21"/>
    </row>
    <row r="52" spans="3:13" ht="14.25" customHeight="1" x14ac:dyDescent="0.3">
      <c r="C52" s="276"/>
      <c r="D52" s="18" t="s">
        <v>26</v>
      </c>
      <c r="E52" s="19">
        <v>1</v>
      </c>
      <c r="F52" s="19">
        <v>1</v>
      </c>
      <c r="G52" s="19">
        <v>1150</v>
      </c>
      <c r="H52" s="19">
        <v>1150</v>
      </c>
      <c r="I52" s="19">
        <v>3400</v>
      </c>
      <c r="J52" s="19">
        <v>3400</v>
      </c>
      <c r="K52" s="23" t="s">
        <v>20</v>
      </c>
      <c r="M52" s="21"/>
    </row>
    <row r="53" spans="3:13" ht="14.25" customHeight="1" x14ac:dyDescent="0.3">
      <c r="D53" s="18" t="s">
        <v>51</v>
      </c>
      <c r="E53" s="19">
        <v>24</v>
      </c>
      <c r="F53" s="19">
        <v>24</v>
      </c>
      <c r="G53" s="19">
        <v>3</v>
      </c>
      <c r="H53" s="19">
        <v>3</v>
      </c>
      <c r="I53" s="19">
        <v>3</v>
      </c>
      <c r="J53" s="19">
        <v>3</v>
      </c>
      <c r="K53" s="23" t="s">
        <v>27</v>
      </c>
      <c r="M53" s="21"/>
    </row>
    <row r="54" spans="3:13" ht="14.25" customHeight="1" x14ac:dyDescent="0.3">
      <c r="D54" s="18" t="s">
        <v>52</v>
      </c>
      <c r="E54" s="19">
        <v>24</v>
      </c>
      <c r="F54" s="19">
        <v>24</v>
      </c>
      <c r="G54" s="19">
        <v>3</v>
      </c>
      <c r="H54" s="19">
        <v>3</v>
      </c>
      <c r="I54" s="19">
        <v>6</v>
      </c>
      <c r="J54" s="19">
        <v>6</v>
      </c>
      <c r="K54" s="23" t="s">
        <v>27</v>
      </c>
      <c r="M54" s="21"/>
    </row>
    <row r="55" spans="3:13" ht="14.25" customHeight="1" x14ac:dyDescent="0.3">
      <c r="D55" s="18" t="s">
        <v>53</v>
      </c>
      <c r="E55" s="19">
        <v>5</v>
      </c>
      <c r="F55" s="19">
        <v>5</v>
      </c>
      <c r="G55" s="19">
        <v>450</v>
      </c>
      <c r="H55" s="19">
        <v>450</v>
      </c>
      <c r="I55" s="19">
        <v>450</v>
      </c>
      <c r="J55" s="19">
        <v>450</v>
      </c>
      <c r="K55" s="23" t="s">
        <v>27</v>
      </c>
      <c r="M55" s="21"/>
    </row>
    <row r="56" spans="3:13" ht="14.25" customHeight="1" x14ac:dyDescent="0.3">
      <c r="C56" s="276"/>
      <c r="D56" s="18" t="s">
        <v>59</v>
      </c>
      <c r="E56" s="19">
        <v>3</v>
      </c>
      <c r="F56" s="19">
        <v>3</v>
      </c>
      <c r="G56" s="19">
        <v>800</v>
      </c>
      <c r="H56" s="19">
        <v>800</v>
      </c>
      <c r="I56" s="19">
        <v>800</v>
      </c>
      <c r="J56" s="19">
        <v>800</v>
      </c>
      <c r="K56" s="23" t="s">
        <v>27</v>
      </c>
      <c r="M56" s="21"/>
    </row>
    <row r="57" spans="3:13" ht="14.25" customHeight="1" x14ac:dyDescent="0.3">
      <c r="C57" s="276"/>
      <c r="D57" s="18" t="s">
        <v>28</v>
      </c>
      <c r="E57" s="19">
        <v>3</v>
      </c>
      <c r="F57" s="19">
        <v>3</v>
      </c>
      <c r="G57" s="19">
        <v>250</v>
      </c>
      <c r="H57" s="19">
        <v>250</v>
      </c>
      <c r="I57" s="19">
        <v>250</v>
      </c>
      <c r="J57" s="19">
        <v>250</v>
      </c>
      <c r="K57" s="23" t="s">
        <v>27</v>
      </c>
      <c r="M57" s="21"/>
    </row>
    <row r="58" spans="3:13" ht="14.25" customHeight="1" x14ac:dyDescent="0.3">
      <c r="C58" s="276"/>
      <c r="D58" s="18" t="s">
        <v>60</v>
      </c>
      <c r="E58" s="19">
        <v>3</v>
      </c>
      <c r="F58" s="19">
        <v>3</v>
      </c>
      <c r="G58" s="19">
        <v>30</v>
      </c>
      <c r="H58" s="19">
        <v>30</v>
      </c>
      <c r="I58" s="19">
        <v>30</v>
      </c>
      <c r="J58" s="19">
        <v>30</v>
      </c>
      <c r="K58" s="20" t="s">
        <v>27</v>
      </c>
      <c r="M58" s="21"/>
    </row>
    <row r="59" spans="3:13" ht="14.25" customHeight="1" x14ac:dyDescent="0.3">
      <c r="C59" s="276"/>
      <c r="D59" s="18" t="s">
        <v>81</v>
      </c>
      <c r="E59" s="19">
        <v>3</v>
      </c>
      <c r="F59" s="19">
        <v>3</v>
      </c>
      <c r="G59" s="19">
        <v>150</v>
      </c>
      <c r="H59" s="19">
        <v>150</v>
      </c>
      <c r="I59" s="19">
        <v>150</v>
      </c>
      <c r="J59" s="19">
        <v>150</v>
      </c>
      <c r="K59" s="23" t="s">
        <v>27</v>
      </c>
      <c r="M59" s="21"/>
    </row>
    <row r="60" spans="3:13" ht="14.25" customHeight="1" x14ac:dyDescent="0.3">
      <c r="D60" s="18" t="s">
        <v>29</v>
      </c>
      <c r="E60" s="19">
        <v>24</v>
      </c>
      <c r="F60" s="19">
        <v>24</v>
      </c>
      <c r="G60" s="19">
        <v>5</v>
      </c>
      <c r="H60" s="19">
        <v>5</v>
      </c>
      <c r="I60" s="19">
        <v>20</v>
      </c>
      <c r="J60" s="19">
        <v>20</v>
      </c>
      <c r="K60" s="23" t="s">
        <v>27</v>
      </c>
      <c r="M60" s="21"/>
    </row>
    <row r="61" spans="3:13" ht="14.25" customHeight="1" x14ac:dyDescent="0.3">
      <c r="D61" s="18" t="s">
        <v>97</v>
      </c>
      <c r="E61" s="19">
        <v>0.25</v>
      </c>
      <c r="F61" s="19">
        <v>0.25</v>
      </c>
      <c r="G61" s="19">
        <v>500</v>
      </c>
      <c r="H61" s="19">
        <v>500</v>
      </c>
      <c r="I61" s="19">
        <v>500</v>
      </c>
      <c r="J61" s="19">
        <v>500</v>
      </c>
      <c r="K61" s="23" t="s">
        <v>27</v>
      </c>
      <c r="M61" s="21"/>
    </row>
    <row r="62" spans="3:13" ht="14.25" customHeight="1" x14ac:dyDescent="0.3">
      <c r="D62" s="54" t="s">
        <v>183</v>
      </c>
      <c r="E62" s="90">
        <v>5</v>
      </c>
      <c r="F62" s="90">
        <v>5</v>
      </c>
      <c r="G62" s="19">
        <v>450</v>
      </c>
      <c r="H62" s="19">
        <v>450</v>
      </c>
      <c r="I62" s="19">
        <v>450</v>
      </c>
      <c r="J62" s="19">
        <v>450</v>
      </c>
      <c r="K62" s="23" t="s">
        <v>27</v>
      </c>
      <c r="M62" s="21"/>
    </row>
    <row r="63" spans="3:13" ht="14.25" customHeight="1" x14ac:dyDescent="0.3">
      <c r="D63" s="18" t="s">
        <v>108</v>
      </c>
      <c r="E63" s="19">
        <v>5</v>
      </c>
      <c r="F63" s="19">
        <v>5</v>
      </c>
      <c r="G63" s="19">
        <v>17</v>
      </c>
      <c r="H63" s="19">
        <v>17</v>
      </c>
      <c r="I63" s="19">
        <v>17</v>
      </c>
      <c r="J63" s="19">
        <v>17</v>
      </c>
      <c r="K63" s="23" t="s">
        <v>27</v>
      </c>
      <c r="M63" s="21"/>
    </row>
    <row r="64" spans="3:13" ht="14.25" customHeight="1" x14ac:dyDescent="0.3">
      <c r="D64" s="18" t="s">
        <v>109</v>
      </c>
      <c r="E64" s="19">
        <v>5</v>
      </c>
      <c r="F64" s="19">
        <v>5</v>
      </c>
      <c r="G64" s="19">
        <v>240</v>
      </c>
      <c r="H64" s="19">
        <v>240</v>
      </c>
      <c r="I64" s="19">
        <v>240</v>
      </c>
      <c r="J64" s="19">
        <v>240</v>
      </c>
      <c r="K64" s="23" t="s">
        <v>27</v>
      </c>
      <c r="M64" s="21"/>
    </row>
    <row r="65" spans="3:13" ht="14.25" customHeight="1" x14ac:dyDescent="0.3">
      <c r="C65" s="276"/>
      <c r="D65" s="18" t="s">
        <v>30</v>
      </c>
      <c r="E65" s="19">
        <v>5</v>
      </c>
      <c r="F65" s="19">
        <v>5</v>
      </c>
      <c r="G65" s="19">
        <v>85</v>
      </c>
      <c r="H65" s="19">
        <v>85</v>
      </c>
      <c r="I65" s="19">
        <v>85</v>
      </c>
      <c r="J65" s="19">
        <v>85</v>
      </c>
      <c r="K65" s="23" t="s">
        <v>27</v>
      </c>
      <c r="M65" s="21"/>
    </row>
    <row r="66" spans="3:13" ht="14.25" customHeight="1" x14ac:dyDescent="0.3">
      <c r="D66" s="18" t="s">
        <v>110</v>
      </c>
      <c r="E66" s="19">
        <v>5</v>
      </c>
      <c r="F66" s="19">
        <v>5</v>
      </c>
      <c r="G66" s="19">
        <v>230</v>
      </c>
      <c r="H66" s="19">
        <v>230</v>
      </c>
      <c r="I66" s="19">
        <v>230</v>
      </c>
      <c r="J66" s="19">
        <v>230</v>
      </c>
      <c r="K66" s="23" t="s">
        <v>27</v>
      </c>
      <c r="M66" s="21"/>
    </row>
    <row r="67" spans="3:13" ht="14.25" customHeight="1" x14ac:dyDescent="0.3">
      <c r="D67" s="18" t="s">
        <v>113</v>
      </c>
      <c r="E67" s="19">
        <v>1</v>
      </c>
      <c r="F67" s="19">
        <v>1</v>
      </c>
      <c r="G67" s="19">
        <v>280</v>
      </c>
      <c r="H67" s="19">
        <v>280</v>
      </c>
      <c r="I67" s="19">
        <v>1180</v>
      </c>
      <c r="J67" s="19">
        <v>1180</v>
      </c>
      <c r="K67" s="20" t="s">
        <v>27</v>
      </c>
      <c r="M67" s="21"/>
    </row>
    <row r="68" spans="3:13" ht="14.25" customHeight="1" x14ac:dyDescent="0.3">
      <c r="D68" s="18" t="s">
        <v>114</v>
      </c>
      <c r="E68" s="19">
        <v>5</v>
      </c>
      <c r="F68" s="19">
        <v>5</v>
      </c>
      <c r="G68" s="19">
        <v>100</v>
      </c>
      <c r="H68" s="19">
        <v>100</v>
      </c>
      <c r="I68" s="19">
        <v>100</v>
      </c>
      <c r="J68" s="19">
        <v>100</v>
      </c>
      <c r="K68" s="23" t="s">
        <v>27</v>
      </c>
      <c r="M68" s="21"/>
    </row>
    <row r="69" spans="3:13" ht="14.25" customHeight="1" x14ac:dyDescent="0.3">
      <c r="C69" s="276"/>
      <c r="D69" s="18" t="s">
        <v>115</v>
      </c>
      <c r="E69" s="19">
        <v>3</v>
      </c>
      <c r="F69" s="19">
        <v>3</v>
      </c>
      <c r="G69" s="19">
        <v>40</v>
      </c>
      <c r="H69" s="19">
        <v>40</v>
      </c>
      <c r="I69" s="19">
        <v>40</v>
      </c>
      <c r="J69" s="19">
        <v>40</v>
      </c>
      <c r="K69" s="23" t="s">
        <v>27</v>
      </c>
      <c r="M69" s="21"/>
    </row>
    <row r="70" spans="3:13" ht="14.25" customHeight="1" x14ac:dyDescent="0.3">
      <c r="D70" s="54" t="s">
        <v>185</v>
      </c>
      <c r="E70" s="90">
        <v>12</v>
      </c>
      <c r="F70" s="90">
        <v>12</v>
      </c>
      <c r="G70" s="19">
        <v>350</v>
      </c>
      <c r="H70" s="19">
        <v>350</v>
      </c>
      <c r="I70" s="19">
        <v>850</v>
      </c>
      <c r="J70" s="19">
        <v>850</v>
      </c>
      <c r="K70" s="23" t="s">
        <v>31</v>
      </c>
      <c r="M70" s="21"/>
    </row>
    <row r="71" spans="3:13" ht="14.25" customHeight="1" x14ac:dyDescent="0.3">
      <c r="D71" s="18" t="s">
        <v>32</v>
      </c>
      <c r="E71" s="19">
        <v>12</v>
      </c>
      <c r="F71" s="19">
        <v>12</v>
      </c>
      <c r="G71" s="19">
        <v>500</v>
      </c>
      <c r="H71" s="19">
        <v>500</v>
      </c>
      <c r="I71" s="19">
        <v>2000</v>
      </c>
      <c r="J71" s="19">
        <v>2000</v>
      </c>
      <c r="K71" s="23" t="s">
        <v>31</v>
      </c>
      <c r="M71" s="21"/>
    </row>
    <row r="72" spans="3:13" ht="14.25" customHeight="1" x14ac:dyDescent="0.3">
      <c r="C72" s="276"/>
      <c r="D72" s="18" t="s">
        <v>90</v>
      </c>
      <c r="E72" s="19">
        <v>12</v>
      </c>
      <c r="F72" s="19">
        <v>12</v>
      </c>
      <c r="G72" s="19">
        <v>350</v>
      </c>
      <c r="H72" s="19">
        <v>350</v>
      </c>
      <c r="I72" s="19">
        <v>850</v>
      </c>
      <c r="J72" s="19">
        <v>850</v>
      </c>
      <c r="K72" s="23" t="s">
        <v>31</v>
      </c>
      <c r="M72" s="21"/>
    </row>
    <row r="73" spans="3:13" ht="14.25" customHeight="1" x14ac:dyDescent="0.3">
      <c r="D73" s="18" t="s">
        <v>98</v>
      </c>
      <c r="E73" s="19">
        <v>12</v>
      </c>
      <c r="F73" s="19">
        <v>12</v>
      </c>
      <c r="G73" s="22">
        <v>256.16438356164383</v>
      </c>
      <c r="H73" s="22">
        <v>256.16438356164383</v>
      </c>
      <c r="I73" s="22">
        <v>768.49315068493149</v>
      </c>
      <c r="J73" s="22">
        <v>768.49315068493149</v>
      </c>
      <c r="K73" s="23" t="s">
        <v>31</v>
      </c>
      <c r="M73" s="19"/>
    </row>
    <row r="74" spans="3:13" ht="14.25" customHeight="1" x14ac:dyDescent="0.3">
      <c r="D74" s="18" t="s">
        <v>99</v>
      </c>
      <c r="E74" s="19">
        <v>12</v>
      </c>
      <c r="F74" s="19">
        <v>12</v>
      </c>
      <c r="G74" s="22">
        <v>210.61643835616439</v>
      </c>
      <c r="H74" s="22">
        <v>210.61643835616439</v>
      </c>
      <c r="I74" s="22">
        <v>631.84931506849318</v>
      </c>
      <c r="J74" s="22">
        <v>631.84931506849318</v>
      </c>
      <c r="K74" s="23" t="s">
        <v>31</v>
      </c>
      <c r="M74" s="19"/>
    </row>
    <row r="75" spans="3:13" ht="14.25" customHeight="1" x14ac:dyDescent="0.3">
      <c r="D75" s="18" t="s">
        <v>100</v>
      </c>
      <c r="E75" s="19">
        <v>12</v>
      </c>
      <c r="F75" s="19">
        <v>12</v>
      </c>
      <c r="G75" s="22">
        <v>113.69863013698631</v>
      </c>
      <c r="H75" s="22">
        <v>113.69863013698631</v>
      </c>
      <c r="I75" s="22">
        <v>341.09589041095893</v>
      </c>
      <c r="J75" s="22">
        <v>341.09589041095893</v>
      </c>
      <c r="K75" s="23" t="s">
        <v>31</v>
      </c>
      <c r="M75" s="19"/>
    </row>
    <row r="76" spans="3:13" ht="14.25" customHeight="1" x14ac:dyDescent="0.3">
      <c r="D76" s="219" t="s">
        <v>262</v>
      </c>
      <c r="E76" s="19"/>
      <c r="F76" s="22" t="s">
        <v>263</v>
      </c>
      <c r="G76" s="22"/>
      <c r="H76" s="22" t="s">
        <v>263</v>
      </c>
      <c r="I76" s="232">
        <f>'HVAC Appliances'!D108</f>
        <v>5224.2400000000007</v>
      </c>
      <c r="J76" s="22">
        <f>'HVAC Appliances'!D108</f>
        <v>5224.2400000000007</v>
      </c>
      <c r="K76" s="20" t="s">
        <v>33</v>
      </c>
      <c r="M76" s="318"/>
    </row>
    <row r="77" spans="3:13" ht="14.25" customHeight="1" x14ac:dyDescent="0.3">
      <c r="C77" s="276"/>
      <c r="D77" s="18" t="s">
        <v>34</v>
      </c>
      <c r="E77" s="19">
        <f>IF('User Interface'!C8="Extreme Summer",14,7)</f>
        <v>7</v>
      </c>
      <c r="F77" s="19">
        <f>IF('User Interface'!C8="Extreme Summer",14,7)</f>
        <v>7</v>
      </c>
      <c r="G77" s="19">
        <v>60</v>
      </c>
      <c r="H77" s="19">
        <v>60</v>
      </c>
      <c r="I77" s="19">
        <v>130</v>
      </c>
      <c r="J77" s="19">
        <v>130</v>
      </c>
      <c r="K77" s="23" t="s">
        <v>33</v>
      </c>
      <c r="M77" s="21"/>
    </row>
    <row r="78" spans="3:13" ht="14.25" customHeight="1" x14ac:dyDescent="0.3">
      <c r="C78" s="276"/>
      <c r="D78" s="219" t="s">
        <v>260</v>
      </c>
      <c r="E78" s="19"/>
      <c r="F78" s="22" t="s">
        <v>263</v>
      </c>
      <c r="G78" s="19"/>
      <c r="H78" s="213" t="s">
        <v>263</v>
      </c>
      <c r="I78" s="231">
        <f>'HVAC Appliances'!B108</f>
        <v>2632.4639999999999</v>
      </c>
      <c r="J78" s="231">
        <f>'HVAC Appliances'!B108</f>
        <v>2632.4639999999999</v>
      </c>
      <c r="K78" s="23" t="s">
        <v>33</v>
      </c>
      <c r="M78" s="318"/>
    </row>
    <row r="79" spans="3:13" ht="14.25" customHeight="1" x14ac:dyDescent="0.3">
      <c r="D79" s="18" t="s">
        <v>63</v>
      </c>
      <c r="E79" s="19">
        <v>7</v>
      </c>
      <c r="F79" s="19">
        <v>7</v>
      </c>
      <c r="G79" s="19">
        <v>240</v>
      </c>
      <c r="H79" s="19">
        <v>240</v>
      </c>
      <c r="I79" s="19">
        <v>240</v>
      </c>
      <c r="J79" s="19">
        <v>240</v>
      </c>
      <c r="K79" s="23" t="s">
        <v>33</v>
      </c>
      <c r="M79" s="21"/>
    </row>
    <row r="80" spans="3:13" ht="14.25" customHeight="1" x14ac:dyDescent="0.3">
      <c r="D80" s="219" t="s">
        <v>261</v>
      </c>
      <c r="E80" s="19"/>
      <c r="F80" s="22" t="s">
        <v>263</v>
      </c>
      <c r="G80" s="19"/>
      <c r="H80" s="213" t="s">
        <v>263</v>
      </c>
      <c r="I80" s="231">
        <f>'HVAC Appliances'!C108</f>
        <v>534.71600000000001</v>
      </c>
      <c r="J80" s="231">
        <f>'HVAC Appliances'!C108</f>
        <v>534.71600000000001</v>
      </c>
      <c r="K80" s="23" t="s">
        <v>33</v>
      </c>
      <c r="M80" s="21"/>
    </row>
    <row r="81" spans="2:13" ht="14.25" customHeight="1" x14ac:dyDescent="0.3">
      <c r="D81" s="18" t="s">
        <v>87</v>
      </c>
      <c r="E81" s="19">
        <v>7</v>
      </c>
      <c r="F81" s="19">
        <v>7</v>
      </c>
      <c r="G81" s="19">
        <v>175</v>
      </c>
      <c r="H81" s="19">
        <v>175</v>
      </c>
      <c r="I81" s="19">
        <v>175</v>
      </c>
      <c r="J81" s="19">
        <v>175</v>
      </c>
      <c r="K81" s="23" t="s">
        <v>33</v>
      </c>
      <c r="M81" s="21"/>
    </row>
    <row r="82" spans="2:13" ht="14.25" customHeight="1" x14ac:dyDescent="0.3">
      <c r="D82" s="18" t="s">
        <v>95</v>
      </c>
      <c r="E82" s="19">
        <v>7</v>
      </c>
      <c r="F82" s="19">
        <v>7</v>
      </c>
      <c r="G82" s="19">
        <v>120</v>
      </c>
      <c r="H82" s="19">
        <v>120</v>
      </c>
      <c r="I82" s="19">
        <v>160</v>
      </c>
      <c r="J82" s="19">
        <v>160</v>
      </c>
      <c r="K82" s="23" t="s">
        <v>33</v>
      </c>
      <c r="M82" s="21"/>
    </row>
    <row r="83" spans="2:13" ht="14.25" customHeight="1" x14ac:dyDescent="0.3">
      <c r="D83" s="299" t="s">
        <v>307</v>
      </c>
      <c r="E83" s="19"/>
      <c r="F83" s="22" t="s">
        <v>263</v>
      </c>
      <c r="G83" s="19">
        <v>1800</v>
      </c>
      <c r="H83" s="300" t="s">
        <v>308</v>
      </c>
      <c r="I83" s="19">
        <v>1800</v>
      </c>
      <c r="J83" s="300" t="s">
        <v>309</v>
      </c>
      <c r="K83" s="23" t="s">
        <v>33</v>
      </c>
      <c r="M83" s="21"/>
    </row>
    <row r="84" spans="2:13" ht="14.25" customHeight="1" x14ac:dyDescent="0.3">
      <c r="B84" s="21"/>
      <c r="D84" s="18" t="s">
        <v>39</v>
      </c>
      <c r="E84" s="19">
        <v>7</v>
      </c>
      <c r="F84" s="19">
        <v>7</v>
      </c>
      <c r="G84" s="19">
        <v>75</v>
      </c>
      <c r="H84" s="19">
        <v>75</v>
      </c>
      <c r="I84" s="19">
        <v>75</v>
      </c>
      <c r="J84" s="19">
        <v>75</v>
      </c>
      <c r="K84" s="23" t="s">
        <v>38</v>
      </c>
      <c r="M84" s="21"/>
    </row>
    <row r="85" spans="2:13" ht="14.25" customHeight="1" x14ac:dyDescent="0.3">
      <c r="B85" s="21"/>
      <c r="C85" s="276"/>
      <c r="D85" s="274" t="s">
        <v>287</v>
      </c>
      <c r="E85" s="19">
        <v>7</v>
      </c>
      <c r="F85" s="19">
        <v>7</v>
      </c>
      <c r="G85" s="19">
        <v>20</v>
      </c>
      <c r="H85" s="19">
        <v>20</v>
      </c>
      <c r="I85" s="19">
        <v>20</v>
      </c>
      <c r="J85" s="19">
        <v>20</v>
      </c>
      <c r="K85" s="20" t="s">
        <v>38</v>
      </c>
      <c r="M85" s="21"/>
    </row>
    <row r="86" spans="2:13" ht="14.25" customHeight="1" x14ac:dyDescent="0.3">
      <c r="B86" s="21"/>
      <c r="D86" s="18" t="s">
        <v>40</v>
      </c>
      <c r="E86" s="19">
        <v>7</v>
      </c>
      <c r="F86" s="19">
        <v>7</v>
      </c>
      <c r="G86" s="19">
        <v>9</v>
      </c>
      <c r="H86" s="19">
        <v>9</v>
      </c>
      <c r="I86" s="19">
        <v>9</v>
      </c>
      <c r="J86" s="19">
        <v>9</v>
      </c>
      <c r="K86" s="23" t="s">
        <v>38</v>
      </c>
      <c r="M86" s="21"/>
    </row>
    <row r="87" spans="2:13" ht="14.25" customHeight="1" x14ac:dyDescent="0.3">
      <c r="B87" s="21"/>
      <c r="D87" s="18" t="s">
        <v>91</v>
      </c>
      <c r="E87" s="19">
        <v>8</v>
      </c>
      <c r="F87" s="19">
        <v>8</v>
      </c>
      <c r="G87" s="19">
        <v>1</v>
      </c>
      <c r="H87" s="19">
        <v>1</v>
      </c>
      <c r="I87" s="19">
        <v>1</v>
      </c>
      <c r="J87" s="19">
        <v>1</v>
      </c>
      <c r="K87" s="23" t="s">
        <v>38</v>
      </c>
      <c r="M87" s="21"/>
    </row>
    <row r="88" spans="2:13" ht="14.25" customHeight="1" x14ac:dyDescent="0.3">
      <c r="B88" s="21"/>
      <c r="D88" s="18" t="s">
        <v>42</v>
      </c>
      <c r="E88" s="19">
        <v>0.25</v>
      </c>
      <c r="F88" s="19">
        <v>0.25</v>
      </c>
      <c r="G88" s="19">
        <v>1200</v>
      </c>
      <c r="H88" s="19">
        <v>1200</v>
      </c>
      <c r="I88" s="19">
        <v>1300</v>
      </c>
      <c r="J88" s="19">
        <v>1300</v>
      </c>
      <c r="K88" s="23" t="s">
        <v>41</v>
      </c>
      <c r="M88" s="21"/>
    </row>
    <row r="89" spans="2:13" ht="14.25" customHeight="1" x14ac:dyDescent="0.3">
      <c r="B89" s="21"/>
      <c r="D89" s="18" t="s">
        <v>43</v>
      </c>
      <c r="E89" s="19">
        <v>5</v>
      </c>
      <c r="F89" s="19">
        <v>5</v>
      </c>
      <c r="G89" s="19">
        <v>1610</v>
      </c>
      <c r="H89" s="19">
        <v>1610</v>
      </c>
      <c r="I89" s="19">
        <v>2990</v>
      </c>
      <c r="J89" s="19">
        <v>2990</v>
      </c>
      <c r="K89" s="23" t="s">
        <v>41</v>
      </c>
      <c r="M89" s="21"/>
    </row>
    <row r="90" spans="2:13" ht="14.25" customHeight="1" x14ac:dyDescent="0.3">
      <c r="B90" s="21"/>
      <c r="D90" s="18" t="s">
        <v>92</v>
      </c>
      <c r="E90" s="19">
        <v>5</v>
      </c>
      <c r="F90" s="19">
        <v>5</v>
      </c>
      <c r="G90" s="19">
        <v>1288</v>
      </c>
      <c r="H90" s="19">
        <v>1288</v>
      </c>
      <c r="I90" s="19">
        <v>2668</v>
      </c>
      <c r="J90" s="19">
        <v>2668</v>
      </c>
      <c r="K90" s="23" t="s">
        <v>41</v>
      </c>
      <c r="M90" s="21"/>
    </row>
    <row r="91" spans="2:13" ht="14.25" customHeight="1" x14ac:dyDescent="0.3">
      <c r="B91" s="21"/>
      <c r="D91" s="18" t="s">
        <v>93</v>
      </c>
      <c r="E91" s="19">
        <v>5</v>
      </c>
      <c r="F91" s="19">
        <v>5</v>
      </c>
      <c r="G91" s="19">
        <v>2415</v>
      </c>
      <c r="H91" s="19">
        <v>2415</v>
      </c>
      <c r="I91" s="19">
        <v>3795</v>
      </c>
      <c r="J91" s="19">
        <v>3795</v>
      </c>
      <c r="K91" s="23" t="s">
        <v>41</v>
      </c>
      <c r="M91" s="21"/>
    </row>
    <row r="92" spans="2:13" ht="14.25" customHeight="1" x14ac:dyDescent="0.3">
      <c r="B92" s="21"/>
      <c r="D92" s="18" t="s">
        <v>94</v>
      </c>
      <c r="E92" s="19">
        <v>5</v>
      </c>
      <c r="F92" s="19">
        <v>5</v>
      </c>
      <c r="G92" s="19">
        <v>2185</v>
      </c>
      <c r="H92" s="19">
        <v>2185</v>
      </c>
      <c r="I92" s="19">
        <v>3565</v>
      </c>
      <c r="J92" s="19">
        <v>3565</v>
      </c>
      <c r="K92" s="23" t="s">
        <v>41</v>
      </c>
      <c r="M92" s="21"/>
    </row>
    <row r="93" spans="2:13" ht="14.25" customHeight="1" x14ac:dyDescent="0.3">
      <c r="B93" s="19"/>
      <c r="D93" s="18" t="s">
        <v>106</v>
      </c>
      <c r="E93" s="19">
        <v>8</v>
      </c>
      <c r="F93" s="19">
        <v>8</v>
      </c>
      <c r="G93" s="19">
        <v>1050</v>
      </c>
      <c r="H93" s="19">
        <v>1050</v>
      </c>
      <c r="I93" s="19">
        <v>3250</v>
      </c>
      <c r="J93" s="19">
        <v>3250</v>
      </c>
      <c r="K93" s="23" t="s">
        <v>41</v>
      </c>
      <c r="M93" s="21"/>
    </row>
    <row r="94" spans="2:13" ht="14.25" customHeight="1" x14ac:dyDescent="0.3">
      <c r="B94" s="19"/>
      <c r="D94" s="18" t="s">
        <v>107</v>
      </c>
      <c r="E94" s="19">
        <v>8</v>
      </c>
      <c r="F94" s="19">
        <v>8</v>
      </c>
      <c r="G94" s="19">
        <v>800</v>
      </c>
      <c r="H94" s="19">
        <v>800</v>
      </c>
      <c r="I94" s="19">
        <v>2100</v>
      </c>
      <c r="J94" s="19">
        <v>2100</v>
      </c>
      <c r="K94" s="20" t="s">
        <v>41</v>
      </c>
      <c r="M94" s="21"/>
    </row>
    <row r="95" spans="2:13" ht="14.25" customHeight="1" x14ac:dyDescent="0.3">
      <c r="B95" s="19"/>
      <c r="D95" s="18" t="s">
        <v>117</v>
      </c>
      <c r="E95" s="19">
        <v>0.25</v>
      </c>
      <c r="F95" s="19">
        <v>0.25</v>
      </c>
      <c r="G95" s="19">
        <v>100</v>
      </c>
      <c r="H95" s="19">
        <v>100</v>
      </c>
      <c r="I95" s="19">
        <v>100</v>
      </c>
      <c r="J95" s="19">
        <v>100</v>
      </c>
      <c r="K95" s="23" t="s">
        <v>41</v>
      </c>
      <c r="M95" s="21"/>
    </row>
    <row r="96" spans="2:13" ht="14.25" customHeight="1" x14ac:dyDescent="0.3">
      <c r="B96" s="19"/>
      <c r="D96" s="18" t="s">
        <v>44</v>
      </c>
      <c r="E96" s="19">
        <v>0.25</v>
      </c>
      <c r="F96" s="19">
        <v>0.25</v>
      </c>
      <c r="G96" s="19">
        <v>70</v>
      </c>
      <c r="H96" s="19">
        <v>70</v>
      </c>
      <c r="I96" s="19">
        <v>100</v>
      </c>
      <c r="J96" s="19">
        <v>100</v>
      </c>
      <c r="K96" s="23" t="s">
        <v>41</v>
      </c>
      <c r="M96" s="21"/>
    </row>
    <row r="97" spans="2:13" ht="14.25" customHeight="1" x14ac:dyDescent="0.3">
      <c r="B97" s="19"/>
      <c r="D97" s="18" t="s">
        <v>118</v>
      </c>
      <c r="E97" s="19">
        <v>1.5</v>
      </c>
      <c r="F97" s="19">
        <v>1.5</v>
      </c>
      <c r="G97" s="19">
        <v>4500</v>
      </c>
      <c r="H97" s="19">
        <v>4500</v>
      </c>
      <c r="I97" s="19">
        <v>4500</v>
      </c>
      <c r="J97" s="19">
        <v>4500</v>
      </c>
      <c r="K97" s="23" t="s">
        <v>41</v>
      </c>
      <c r="M97" s="19"/>
    </row>
    <row r="98" spans="2:13" ht="14.25" customHeight="1" x14ac:dyDescent="0.3">
      <c r="B98" s="90"/>
      <c r="C98" s="276"/>
      <c r="D98" s="18" t="s">
        <v>119</v>
      </c>
      <c r="E98" s="19">
        <v>1.5</v>
      </c>
      <c r="F98" s="19">
        <v>1.5</v>
      </c>
      <c r="G98" s="19">
        <v>4500</v>
      </c>
      <c r="H98" s="19">
        <v>4500</v>
      </c>
      <c r="I98" s="19">
        <v>4500</v>
      </c>
      <c r="J98" s="19">
        <v>4500</v>
      </c>
      <c r="K98" s="23" t="s">
        <v>41</v>
      </c>
      <c r="M98" s="19"/>
    </row>
    <row r="99" spans="2:13" ht="14.25" customHeight="1" x14ac:dyDescent="0.3">
      <c r="B99" s="19"/>
      <c r="D99" s="18" t="s">
        <v>120</v>
      </c>
      <c r="E99" s="19">
        <v>1.5</v>
      </c>
      <c r="F99" s="19">
        <v>1.5</v>
      </c>
      <c r="G99" s="19">
        <v>4500</v>
      </c>
      <c r="H99" s="19">
        <v>4500</v>
      </c>
      <c r="I99" s="19">
        <v>4500</v>
      </c>
      <c r="J99" s="19">
        <v>4500</v>
      </c>
      <c r="K99" s="23" t="s">
        <v>41</v>
      </c>
      <c r="M99" s="19"/>
    </row>
    <row r="100" spans="2:13" ht="14.25" customHeight="1" x14ac:dyDescent="0.3">
      <c r="B100" s="19"/>
      <c r="D100" s="18" t="s">
        <v>121</v>
      </c>
      <c r="E100" s="19">
        <v>1.5</v>
      </c>
      <c r="F100" s="19">
        <v>1.5</v>
      </c>
      <c r="G100" s="19">
        <v>36000</v>
      </c>
      <c r="H100" s="19">
        <v>36000</v>
      </c>
      <c r="I100" s="19">
        <v>36000</v>
      </c>
      <c r="J100" s="19">
        <v>36000</v>
      </c>
      <c r="K100" s="23" t="s">
        <v>41</v>
      </c>
      <c r="M100" s="19"/>
    </row>
    <row r="101" spans="2:13" ht="14.25" customHeight="1" x14ac:dyDescent="0.3">
      <c r="B101" s="19"/>
      <c r="D101" s="18" t="s">
        <v>122</v>
      </c>
      <c r="E101" s="19">
        <v>1.5</v>
      </c>
      <c r="F101" s="19">
        <v>1.5</v>
      </c>
      <c r="G101" s="19">
        <v>27000</v>
      </c>
      <c r="H101" s="19">
        <v>27000</v>
      </c>
      <c r="I101" s="19">
        <v>27000</v>
      </c>
      <c r="J101" s="19">
        <v>27000</v>
      </c>
      <c r="K101" s="23" t="s">
        <v>41</v>
      </c>
      <c r="M101" s="19"/>
    </row>
    <row r="102" spans="2:13" ht="14.25" customHeight="1" x14ac:dyDescent="0.3">
      <c r="B102" s="19"/>
      <c r="D102" s="18" t="s">
        <v>123</v>
      </c>
      <c r="E102" s="19">
        <v>1.5</v>
      </c>
      <c r="F102" s="19">
        <v>1.5</v>
      </c>
      <c r="G102" s="19">
        <v>18000</v>
      </c>
      <c r="H102" s="19">
        <v>18000</v>
      </c>
      <c r="I102" s="19">
        <v>18000</v>
      </c>
      <c r="J102" s="19">
        <v>18000</v>
      </c>
      <c r="K102" s="23" t="s">
        <v>41</v>
      </c>
      <c r="M102" s="19"/>
    </row>
    <row r="103" spans="2:13" ht="14.25" customHeight="1" x14ac:dyDescent="0.3">
      <c r="B103" s="19"/>
      <c r="D103" s="18" t="s">
        <v>124</v>
      </c>
      <c r="E103" s="19">
        <v>1.5</v>
      </c>
      <c r="F103" s="19">
        <v>1.5</v>
      </c>
      <c r="G103" s="19">
        <v>5</v>
      </c>
      <c r="H103" s="19">
        <v>5</v>
      </c>
      <c r="I103" s="19">
        <v>5</v>
      </c>
      <c r="J103" s="19">
        <v>5</v>
      </c>
      <c r="K103" s="20" t="s">
        <v>41</v>
      </c>
      <c r="M103" s="19"/>
    </row>
    <row r="104" spans="2:13" ht="14.25" customHeight="1" x14ac:dyDescent="0.3">
      <c r="B104" s="19"/>
      <c r="D104" s="18" t="s">
        <v>125</v>
      </c>
      <c r="E104" s="19">
        <v>1.5</v>
      </c>
      <c r="F104" s="19">
        <v>1.5</v>
      </c>
      <c r="G104" s="19">
        <v>5</v>
      </c>
      <c r="H104" s="19">
        <v>5</v>
      </c>
      <c r="I104" s="19">
        <v>5</v>
      </c>
      <c r="J104" s="19">
        <v>5</v>
      </c>
      <c r="K104" s="23" t="s">
        <v>41</v>
      </c>
      <c r="M104" s="19"/>
    </row>
    <row r="105" spans="2:13" ht="14.25" customHeight="1" x14ac:dyDescent="0.3">
      <c r="B105" s="19"/>
      <c r="D105" s="18" t="s">
        <v>126</v>
      </c>
      <c r="E105" s="19">
        <v>1.5</v>
      </c>
      <c r="F105" s="19">
        <v>1.5</v>
      </c>
      <c r="G105" s="19">
        <v>5</v>
      </c>
      <c r="H105" s="19">
        <v>5</v>
      </c>
      <c r="I105" s="19">
        <v>5</v>
      </c>
      <c r="J105" s="19">
        <v>5</v>
      </c>
      <c r="K105" s="23" t="s">
        <v>41</v>
      </c>
      <c r="M105" s="19"/>
    </row>
    <row r="106" spans="2:13" ht="14.25" customHeight="1" x14ac:dyDescent="0.3">
      <c r="B106" s="19"/>
      <c r="D106" s="18" t="s">
        <v>127</v>
      </c>
      <c r="E106" s="19">
        <v>1.5</v>
      </c>
      <c r="F106" s="19">
        <v>1.5</v>
      </c>
      <c r="G106" s="19">
        <v>30</v>
      </c>
      <c r="H106" s="19">
        <v>30</v>
      </c>
      <c r="I106" s="19">
        <v>30</v>
      </c>
      <c r="J106" s="19">
        <v>30</v>
      </c>
      <c r="K106" s="23" t="s">
        <v>41</v>
      </c>
      <c r="M106" s="19"/>
    </row>
    <row r="107" spans="2:13" ht="14.25" customHeight="1" x14ac:dyDescent="0.3">
      <c r="B107" s="19"/>
      <c r="D107" s="18" t="s">
        <v>128</v>
      </c>
      <c r="E107" s="19">
        <v>1.5</v>
      </c>
      <c r="F107" s="19">
        <v>1.5</v>
      </c>
      <c r="G107" s="19">
        <v>30</v>
      </c>
      <c r="H107" s="19">
        <v>30</v>
      </c>
      <c r="I107" s="19">
        <v>30</v>
      </c>
      <c r="J107" s="19">
        <v>30</v>
      </c>
      <c r="K107" s="23" t="s">
        <v>41</v>
      </c>
      <c r="M107" s="19"/>
    </row>
    <row r="108" spans="2:13" ht="14.25" customHeight="1" x14ac:dyDescent="0.3">
      <c r="B108" s="19"/>
      <c r="D108" s="18" t="s">
        <v>129</v>
      </c>
      <c r="E108" s="19">
        <v>1.5</v>
      </c>
      <c r="F108" s="19">
        <v>1.5</v>
      </c>
      <c r="G108" s="19">
        <v>30</v>
      </c>
      <c r="H108" s="19">
        <v>30</v>
      </c>
      <c r="I108" s="21">
        <v>30</v>
      </c>
      <c r="J108" s="21">
        <v>30</v>
      </c>
      <c r="K108" s="23" t="s">
        <v>41</v>
      </c>
      <c r="M108" s="19"/>
    </row>
    <row r="109" spans="2:13" ht="14.25" customHeight="1" x14ac:dyDescent="0.3">
      <c r="B109" s="19"/>
      <c r="D109" s="18" t="s">
        <v>130</v>
      </c>
      <c r="E109" s="19">
        <v>0.5</v>
      </c>
      <c r="F109" s="19">
        <v>0.5</v>
      </c>
      <c r="G109" s="19">
        <v>2500</v>
      </c>
      <c r="H109" s="19">
        <v>2500</v>
      </c>
      <c r="I109" s="19">
        <v>7500</v>
      </c>
      <c r="J109" s="19">
        <v>7500</v>
      </c>
      <c r="K109" s="23" t="s">
        <v>41</v>
      </c>
      <c r="M109" s="21"/>
    </row>
    <row r="110" spans="2:13" ht="14.25" customHeight="1" x14ac:dyDescent="0.3">
      <c r="B110" s="19"/>
      <c r="D110" s="18" t="s">
        <v>131</v>
      </c>
      <c r="E110" s="19">
        <v>0.5</v>
      </c>
      <c r="F110" s="19">
        <v>0.5</v>
      </c>
      <c r="G110" s="19">
        <v>1000</v>
      </c>
      <c r="H110" s="19">
        <v>1000</v>
      </c>
      <c r="I110" s="19">
        <v>3200</v>
      </c>
      <c r="J110" s="19">
        <v>3200</v>
      </c>
      <c r="K110" s="23" t="s">
        <v>41</v>
      </c>
      <c r="M110" s="21"/>
    </row>
    <row r="111" spans="2:13" ht="14.25" customHeight="1" x14ac:dyDescent="0.3">
      <c r="B111" s="35"/>
      <c r="D111" s="24" t="s">
        <v>132</v>
      </c>
      <c r="E111" s="25">
        <v>0.5</v>
      </c>
      <c r="F111" s="25">
        <v>0.5</v>
      </c>
      <c r="G111" s="25">
        <v>3750</v>
      </c>
      <c r="H111" s="25">
        <v>3750</v>
      </c>
      <c r="I111" s="25">
        <v>11250</v>
      </c>
      <c r="J111" s="25">
        <v>11250</v>
      </c>
      <c r="K111" s="26" t="s">
        <v>41</v>
      </c>
      <c r="M111" s="21"/>
    </row>
    <row r="112" spans="2:13" ht="14.25" customHeight="1" x14ac:dyDescent="0.3">
      <c r="B112" s="19"/>
      <c r="M112" s="21"/>
    </row>
    <row r="113" spans="2:13" ht="14.25" customHeight="1" x14ac:dyDescent="0.3">
      <c r="B113" s="19"/>
      <c r="D113" s="259"/>
      <c r="M113" s="21"/>
    </row>
    <row r="114" spans="2:13" ht="14.25" customHeight="1" x14ac:dyDescent="0.3">
      <c r="B114" s="19"/>
      <c r="M114" s="21"/>
    </row>
    <row r="115" spans="2:13" ht="14.25" customHeight="1" x14ac:dyDescent="0.3">
      <c r="B115" s="90"/>
    </row>
    <row r="116" spans="2:13" ht="14.25" customHeight="1" x14ac:dyDescent="0.3">
      <c r="B116" s="19"/>
    </row>
    <row r="117" spans="2:13" ht="14.25" customHeight="1" x14ac:dyDescent="0.3">
      <c r="B117" s="35"/>
    </row>
    <row r="118" spans="2:13" ht="14.25" customHeight="1" x14ac:dyDescent="0.3">
      <c r="B118" s="19"/>
    </row>
    <row r="119" spans="2:13" ht="14.25" customHeight="1" x14ac:dyDescent="0.3">
      <c r="B119" s="35"/>
    </row>
    <row r="120" spans="2:13" ht="14.25" customHeight="1" x14ac:dyDescent="0.3">
      <c r="B120" s="35"/>
    </row>
    <row r="121" spans="2:13" ht="14.25" customHeight="1" x14ac:dyDescent="0.3">
      <c r="B121" s="35"/>
    </row>
    <row r="122" spans="2:13" ht="14.25" customHeight="1" x14ac:dyDescent="0.3">
      <c r="B122" s="19"/>
    </row>
    <row r="123" spans="2:13" ht="14.25" customHeight="1" x14ac:dyDescent="0.3">
      <c r="B123" s="35"/>
    </row>
    <row r="124" spans="2:13" ht="14.25" customHeight="1" x14ac:dyDescent="0.3">
      <c r="B124" s="35"/>
    </row>
    <row r="125" spans="2:13" ht="14.25" customHeight="1" x14ac:dyDescent="0.3">
      <c r="B125" s="19"/>
    </row>
    <row r="126" spans="2:13" ht="14.25" customHeight="1" x14ac:dyDescent="0.3">
      <c r="B126" s="19"/>
    </row>
    <row r="127" spans="2:13" ht="14.25" customHeight="1" x14ac:dyDescent="0.3">
      <c r="B127" s="19"/>
    </row>
    <row r="128" spans="2:13" ht="14.25" customHeight="1" x14ac:dyDescent="0.3">
      <c r="B128" s="19"/>
    </row>
    <row r="129" spans="2:2" ht="14.25" customHeight="1" x14ac:dyDescent="0.3">
      <c r="B129" s="19"/>
    </row>
    <row r="130" spans="2:2" ht="14.25" customHeight="1" x14ac:dyDescent="0.3">
      <c r="B130" s="35"/>
    </row>
    <row r="131" spans="2:2" ht="14.25" customHeight="1" x14ac:dyDescent="0.3">
      <c r="B131" s="35"/>
    </row>
    <row r="132" spans="2:2" ht="14.25" customHeight="1" x14ac:dyDescent="0.3">
      <c r="B132" s="19"/>
    </row>
    <row r="133" spans="2:2" ht="14.25" customHeight="1" x14ac:dyDescent="0.3">
      <c r="B133" s="19"/>
    </row>
    <row r="134" spans="2:2" ht="14.25" customHeight="1" x14ac:dyDescent="0.3">
      <c r="B134" s="19"/>
    </row>
    <row r="135" spans="2:2" ht="14.25" customHeight="1" x14ac:dyDescent="0.3">
      <c r="B135" s="19"/>
    </row>
    <row r="136" spans="2:2" ht="14.25" customHeight="1" x14ac:dyDescent="0.3">
      <c r="B136" s="19"/>
    </row>
    <row r="137" spans="2:2" ht="14.25" customHeight="1" x14ac:dyDescent="0.3">
      <c r="B137" s="19"/>
    </row>
    <row r="138" spans="2:2" ht="14.25" customHeight="1" x14ac:dyDescent="0.3">
      <c r="B138" s="19"/>
    </row>
    <row r="139" spans="2:2" ht="14.25" customHeight="1" x14ac:dyDescent="0.3">
      <c r="B139" s="19"/>
    </row>
    <row r="140" spans="2:2" ht="14.25" customHeight="1" x14ac:dyDescent="0.3">
      <c r="B140" s="19"/>
    </row>
    <row r="141" spans="2:2" ht="14.25" customHeight="1" x14ac:dyDescent="0.3">
      <c r="B141" s="19"/>
    </row>
    <row r="142" spans="2:2" ht="14.25" customHeight="1" x14ac:dyDescent="0.3">
      <c r="B142" s="19"/>
    </row>
    <row r="143" spans="2:2" ht="14.25" customHeight="1" x14ac:dyDescent="0.3">
      <c r="B143" s="19"/>
    </row>
    <row r="144" spans="2:2" ht="14.25" customHeight="1" x14ac:dyDescent="0.3">
      <c r="B144" s="19"/>
    </row>
    <row r="145" spans="2:2" ht="14.25" customHeight="1" x14ac:dyDescent="0.3">
      <c r="B145" s="19"/>
    </row>
    <row r="146" spans="2:2" ht="14.25" customHeight="1" x14ac:dyDescent="0.3">
      <c r="B146" s="19"/>
    </row>
    <row r="147" spans="2:2" ht="14.25" customHeight="1" x14ac:dyDescent="0.3">
      <c r="B147" s="19"/>
    </row>
    <row r="148" spans="2:2" ht="14.25" customHeight="1" x14ac:dyDescent="0.3">
      <c r="B148" s="19"/>
    </row>
    <row r="149" spans="2:2" ht="14.25" customHeight="1" x14ac:dyDescent="0.3">
      <c r="B149" s="19"/>
    </row>
    <row r="150" spans="2:2" ht="14.25" customHeight="1" x14ac:dyDescent="0.3">
      <c r="B150" s="19"/>
    </row>
    <row r="151" spans="2:2" ht="14.25" customHeight="1" x14ac:dyDescent="0.3">
      <c r="B151" s="19"/>
    </row>
    <row r="152" spans="2:2" ht="14.25" customHeight="1" x14ac:dyDescent="0.3">
      <c r="B152" s="19"/>
    </row>
    <row r="153" spans="2:2" ht="14.25" customHeight="1" x14ac:dyDescent="0.3">
      <c r="B153" s="19"/>
    </row>
    <row r="154" spans="2:2" ht="14.25" customHeight="1" x14ac:dyDescent="0.3">
      <c r="B154" s="90"/>
    </row>
    <row r="155" spans="2:2" ht="14.25" customHeight="1" x14ac:dyDescent="0.3">
      <c r="B155" s="19"/>
    </row>
    <row r="156" spans="2:2" ht="14.25" customHeight="1" x14ac:dyDescent="0.3">
      <c r="B156" s="19"/>
    </row>
    <row r="157" spans="2:2" ht="14.25" customHeight="1" x14ac:dyDescent="0.3">
      <c r="B157" s="19"/>
    </row>
    <row r="158" spans="2:2" ht="14.25" customHeight="1" x14ac:dyDescent="0.3">
      <c r="B158" s="19"/>
    </row>
    <row r="159" spans="2:2" ht="14.25" customHeight="1" x14ac:dyDescent="0.3">
      <c r="B159" s="19"/>
    </row>
    <row r="160" spans="2:2" ht="14.25" customHeight="1" x14ac:dyDescent="0.3">
      <c r="B160" s="19"/>
    </row>
    <row r="161" spans="2:2" ht="14.25" customHeight="1" x14ac:dyDescent="0.3">
      <c r="B161" s="19"/>
    </row>
    <row r="162" spans="2:2" ht="14.25" customHeight="1" x14ac:dyDescent="0.3">
      <c r="B162" s="19"/>
    </row>
    <row r="163" spans="2:2" ht="14.25" customHeight="1" x14ac:dyDescent="0.3">
      <c r="B163" s="19"/>
    </row>
    <row r="164" spans="2:2" ht="14.25" customHeight="1" x14ac:dyDescent="0.3">
      <c r="B164" s="19"/>
    </row>
    <row r="165" spans="2:2" ht="14.25" customHeight="1" x14ac:dyDescent="0.3">
      <c r="B165" s="19"/>
    </row>
    <row r="166" spans="2:2" ht="14.25" customHeight="1" x14ac:dyDescent="0.3">
      <c r="B166" s="19"/>
    </row>
    <row r="167" spans="2:2" ht="14.25" customHeight="1" x14ac:dyDescent="0.3">
      <c r="B167" s="19"/>
    </row>
    <row r="168" spans="2:2" ht="14.25" customHeight="1" x14ac:dyDescent="0.3">
      <c r="B168" s="19"/>
    </row>
    <row r="169" spans="2:2" ht="14.25" customHeight="1" x14ac:dyDescent="0.3">
      <c r="B169" s="19"/>
    </row>
    <row r="170" spans="2:2" ht="14.25" customHeight="1" x14ac:dyDescent="0.3">
      <c r="B170" s="19"/>
    </row>
    <row r="171" spans="2:2" ht="14.25" customHeight="1" x14ac:dyDescent="0.3">
      <c r="B171" s="19"/>
    </row>
    <row r="172" spans="2:2" ht="14.25" customHeight="1" x14ac:dyDescent="0.3">
      <c r="B172" s="19"/>
    </row>
    <row r="173" spans="2:2" ht="14.25" customHeight="1" x14ac:dyDescent="0.3">
      <c r="B173" s="90"/>
    </row>
    <row r="174" spans="2:2" ht="14.25" customHeight="1" x14ac:dyDescent="0.3">
      <c r="B174" s="19"/>
    </row>
    <row r="175" spans="2:2" ht="14.25" customHeight="1" x14ac:dyDescent="0.3">
      <c r="B175" s="19"/>
    </row>
    <row r="176" spans="2:2" ht="14.25" customHeight="1" x14ac:dyDescent="0.3">
      <c r="B176" s="19"/>
    </row>
    <row r="177" spans="2:2" ht="14.25" customHeight="1" x14ac:dyDescent="0.3">
      <c r="B177" s="19"/>
    </row>
    <row r="178" spans="2:2" ht="14.25" customHeight="1" x14ac:dyDescent="0.3">
      <c r="B178" s="19"/>
    </row>
    <row r="179" spans="2:2" ht="14.25" customHeight="1" x14ac:dyDescent="0.3">
      <c r="B179" s="19"/>
    </row>
    <row r="180" spans="2:2" ht="14.25" customHeight="1" x14ac:dyDescent="0.3">
      <c r="B180" s="19"/>
    </row>
    <row r="181" spans="2:2" ht="14.25" customHeight="1" x14ac:dyDescent="0.3">
      <c r="B181" s="19"/>
    </row>
    <row r="182" spans="2:2" ht="14.25" customHeight="1" x14ac:dyDescent="0.3">
      <c r="B182" s="19"/>
    </row>
    <row r="183" spans="2:2" ht="14.25" customHeight="1" x14ac:dyDescent="0.3">
      <c r="B183" s="19"/>
    </row>
    <row r="184" spans="2:2" ht="14.25" customHeight="1" x14ac:dyDescent="0.3">
      <c r="B184" s="19"/>
    </row>
    <row r="185" spans="2:2" ht="14.25" customHeight="1" x14ac:dyDescent="0.3">
      <c r="B185" s="19"/>
    </row>
    <row r="186" spans="2:2" ht="14.25" customHeight="1" x14ac:dyDescent="0.3">
      <c r="B186" s="19"/>
    </row>
    <row r="187" spans="2:2" ht="14.25" customHeight="1" x14ac:dyDescent="0.3">
      <c r="B187" s="19"/>
    </row>
    <row r="188" spans="2:2" ht="14.25" customHeight="1" x14ac:dyDescent="0.3">
      <c r="B188" s="19"/>
    </row>
    <row r="189" spans="2:2" ht="14.25" customHeight="1" x14ac:dyDescent="0.3">
      <c r="B189" s="19"/>
    </row>
    <row r="190" spans="2:2" ht="14.25" customHeight="1" x14ac:dyDescent="0.3">
      <c r="B190" s="19"/>
    </row>
    <row r="191" spans="2:2" ht="14.25" customHeight="1" x14ac:dyDescent="0.3">
      <c r="B191" s="19"/>
    </row>
    <row r="192" spans="2:2" ht="14.25" customHeight="1" x14ac:dyDescent="0.3">
      <c r="B192" s="19"/>
    </row>
    <row r="193" spans="2:2" ht="14.25" customHeight="1" x14ac:dyDescent="0.3">
      <c r="B193" s="19"/>
    </row>
    <row r="194" spans="2:2" ht="14.25" customHeight="1" x14ac:dyDescent="0.3">
      <c r="B194" s="19"/>
    </row>
    <row r="195" spans="2:2" ht="14.25" customHeight="1" x14ac:dyDescent="0.3">
      <c r="B195" s="19"/>
    </row>
    <row r="196" spans="2:2" ht="14.25" customHeight="1" x14ac:dyDescent="0.3">
      <c r="B196" s="19"/>
    </row>
    <row r="197" spans="2:2" ht="14.25" customHeight="1" x14ac:dyDescent="0.3">
      <c r="B197" s="19"/>
    </row>
    <row r="198" spans="2:2" ht="14.25" customHeight="1" x14ac:dyDescent="0.3">
      <c r="B198" s="19"/>
    </row>
    <row r="199" spans="2:2" ht="14.25" customHeight="1" x14ac:dyDescent="0.3">
      <c r="B199" s="19"/>
    </row>
    <row r="200" spans="2:2" ht="14.25" customHeight="1" x14ac:dyDescent="0.3">
      <c r="B200" s="19"/>
    </row>
    <row r="201" spans="2:2" ht="14.25" customHeight="1" x14ac:dyDescent="0.3">
      <c r="B201" s="19"/>
    </row>
    <row r="202" spans="2:2" ht="14.25" customHeight="1" x14ac:dyDescent="0.3">
      <c r="B202" s="19"/>
    </row>
    <row r="203" spans="2:2" ht="14.25" customHeight="1" x14ac:dyDescent="0.3">
      <c r="B203" s="19"/>
    </row>
    <row r="204" spans="2:2" ht="14.25" customHeight="1" x14ac:dyDescent="0.3">
      <c r="B204" s="19"/>
    </row>
    <row r="205" spans="2:2" ht="14.25" customHeight="1" x14ac:dyDescent="0.3">
      <c r="B205" s="19"/>
    </row>
    <row r="206" spans="2:2" ht="14.25" customHeight="1" x14ac:dyDescent="0.3">
      <c r="B206" s="19"/>
    </row>
    <row r="207" spans="2:2" ht="14.25" customHeight="1" x14ac:dyDescent="0.3">
      <c r="B207" s="19"/>
    </row>
    <row r="208" spans="2:2" ht="14.25" customHeight="1" x14ac:dyDescent="0.3">
      <c r="B208" s="19"/>
    </row>
    <row r="209" spans="2:2" ht="14.25" customHeight="1" x14ac:dyDescent="0.3">
      <c r="B209" s="19"/>
    </row>
    <row r="210" spans="2:2" ht="14.25" customHeight="1" x14ac:dyDescent="0.3">
      <c r="B210" s="21"/>
    </row>
    <row r="211" spans="2:2" ht="14.25" customHeight="1" x14ac:dyDescent="0.3">
      <c r="B211" s="21"/>
    </row>
    <row r="212" spans="2:2" ht="14.25" customHeight="1" x14ac:dyDescent="0.3"/>
    <row r="213" spans="2:2" ht="14.25" customHeight="1" x14ac:dyDescent="0.3"/>
    <row r="214" spans="2:2" ht="14.25" customHeight="1" x14ac:dyDescent="0.3"/>
    <row r="215" spans="2:2" ht="14.25" customHeight="1" x14ac:dyDescent="0.3"/>
    <row r="216" spans="2:2" ht="14.25" customHeight="1" x14ac:dyDescent="0.3"/>
    <row r="217" spans="2:2" ht="14.25" customHeight="1" x14ac:dyDescent="0.3"/>
    <row r="218" spans="2:2" ht="14.25" customHeight="1" x14ac:dyDescent="0.3"/>
    <row r="219" spans="2:2" ht="14.25" customHeight="1" x14ac:dyDescent="0.3"/>
    <row r="220" spans="2:2" ht="14.25" customHeight="1" x14ac:dyDescent="0.3"/>
    <row r="221" spans="2:2" ht="14.25" customHeight="1" x14ac:dyDescent="0.3"/>
    <row r="222" spans="2:2" ht="14.25" customHeight="1" x14ac:dyDescent="0.3"/>
    <row r="223" spans="2:2" ht="14.25" customHeight="1" x14ac:dyDescent="0.3"/>
    <row r="224" spans="2:2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</sheetData>
  <sortState xmlns:xlrd2="http://schemas.microsoft.com/office/spreadsheetml/2017/richdata2" ref="B93:B209">
    <sortCondition ref="B93:B209"/>
  </sortState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D3FFA-8F43-459E-8DD5-809E4668D5B7}">
  <sheetPr codeName="Sheet25"/>
  <dimension ref="A1:AY305"/>
  <sheetViews>
    <sheetView zoomScale="80" zoomScaleNormal="80" workbookViewId="0"/>
  </sheetViews>
  <sheetFormatPr defaultRowHeight="14.4" x14ac:dyDescent="0.3"/>
  <cols>
    <col min="2" max="2" width="28.88671875" bestFit="1" customWidth="1"/>
    <col min="4" max="5" width="11.77734375" customWidth="1"/>
    <col min="6" max="7" width="13.77734375" customWidth="1"/>
    <col min="8" max="9" width="12.33203125" customWidth="1"/>
    <col min="11" max="12" width="11.77734375" customWidth="1"/>
    <col min="13" max="14" width="13.77734375" customWidth="1"/>
    <col min="15" max="16" width="12.33203125" customWidth="1"/>
    <col min="18" max="19" width="11.77734375" customWidth="1"/>
    <col min="20" max="21" width="13.77734375" customWidth="1"/>
    <col min="22" max="23" width="12.33203125" customWidth="1"/>
    <col min="25" max="26" width="11.77734375" customWidth="1"/>
    <col min="27" max="28" width="13.77734375" customWidth="1"/>
    <col min="29" max="30" width="12.33203125" customWidth="1"/>
    <col min="32" max="33" width="11.77734375" customWidth="1"/>
    <col min="34" max="35" width="13.77734375" customWidth="1"/>
    <col min="36" max="37" width="12.33203125" customWidth="1"/>
    <col min="38" max="38" width="8.88671875" customWidth="1"/>
    <col min="39" max="40" width="11.77734375" customWidth="1"/>
    <col min="41" max="42" width="13.77734375" customWidth="1"/>
    <col min="43" max="44" width="12.33203125" customWidth="1"/>
    <col min="47" max="47" width="10.6640625" bestFit="1" customWidth="1"/>
    <col min="50" max="50" width="10.6640625" bestFit="1" customWidth="1"/>
  </cols>
  <sheetData>
    <row r="1" spans="1:50" x14ac:dyDescent="0.3">
      <c r="D1" s="371" t="s">
        <v>152</v>
      </c>
      <c r="E1" s="372"/>
      <c r="F1" s="372"/>
      <c r="G1" s="237" t="s">
        <v>278</v>
      </c>
      <c r="H1" s="195"/>
      <c r="I1" s="196"/>
      <c r="K1" s="371" t="s">
        <v>153</v>
      </c>
      <c r="L1" s="372"/>
      <c r="M1" s="372"/>
      <c r="N1" s="237" t="s">
        <v>279</v>
      </c>
      <c r="O1" s="195"/>
      <c r="P1" s="196"/>
      <c r="R1" s="371" t="s">
        <v>154</v>
      </c>
      <c r="S1" s="372"/>
      <c r="T1" s="372"/>
      <c r="U1" s="195" t="s">
        <v>271</v>
      </c>
      <c r="V1" s="195"/>
      <c r="W1" s="196"/>
      <c r="Y1" s="371" t="s">
        <v>155</v>
      </c>
      <c r="Z1" s="372"/>
      <c r="AA1" s="372"/>
      <c r="AB1" s="237" t="s">
        <v>280</v>
      </c>
      <c r="AC1" s="195"/>
      <c r="AD1" s="196"/>
      <c r="AF1" s="369" t="s">
        <v>156</v>
      </c>
      <c r="AG1" s="370"/>
      <c r="AH1" s="370"/>
      <c r="AI1" s="288" t="s">
        <v>299</v>
      </c>
      <c r="AJ1" s="288"/>
      <c r="AK1" s="289"/>
      <c r="AL1" s="116"/>
      <c r="AM1" s="371" t="s">
        <v>157</v>
      </c>
      <c r="AN1" s="372"/>
      <c r="AO1" s="372"/>
      <c r="AP1" s="197" t="s">
        <v>259</v>
      </c>
      <c r="AQ1" s="195"/>
      <c r="AR1" s="196"/>
    </row>
    <row r="2" spans="1:50" x14ac:dyDescent="0.3">
      <c r="B2" s="119" t="s">
        <v>213</v>
      </c>
      <c r="D2" s="266" t="s">
        <v>264</v>
      </c>
      <c r="E2" s="136"/>
      <c r="F2" s="216" t="s">
        <v>265</v>
      </c>
      <c r="G2" s="136"/>
      <c r="H2" s="238" t="s">
        <v>266</v>
      </c>
      <c r="I2" s="136"/>
      <c r="K2" s="238" t="s">
        <v>264</v>
      </c>
      <c r="L2" s="136"/>
      <c r="M2" s="216" t="s">
        <v>265</v>
      </c>
      <c r="N2" s="136"/>
      <c r="O2" s="238" t="s">
        <v>266</v>
      </c>
      <c r="P2" s="136"/>
      <c r="R2" s="238" t="s">
        <v>264</v>
      </c>
      <c r="S2" s="136"/>
      <c r="T2" s="216" t="s">
        <v>265</v>
      </c>
      <c r="U2" s="136"/>
      <c r="V2" s="238" t="s">
        <v>266</v>
      </c>
      <c r="W2" s="136"/>
      <c r="Y2" s="238" t="s">
        <v>264</v>
      </c>
      <c r="Z2" s="136"/>
      <c r="AA2" s="216" t="s">
        <v>265</v>
      </c>
      <c r="AB2" s="136"/>
      <c r="AC2" s="238" t="s">
        <v>266</v>
      </c>
      <c r="AD2" s="136"/>
      <c r="AF2" s="238" t="s">
        <v>264</v>
      </c>
      <c r="AG2" s="136"/>
      <c r="AH2" s="216" t="s">
        <v>265</v>
      </c>
      <c r="AI2" s="136"/>
      <c r="AJ2" s="238" t="s">
        <v>266</v>
      </c>
      <c r="AK2" s="136"/>
      <c r="AM2" s="238" t="s">
        <v>264</v>
      </c>
      <c r="AN2" s="136"/>
      <c r="AO2" s="216" t="s">
        <v>265</v>
      </c>
      <c r="AP2" s="136"/>
      <c r="AQ2" s="238" t="s">
        <v>266</v>
      </c>
      <c r="AR2" s="136"/>
      <c r="AT2" s="373" t="s">
        <v>219</v>
      </c>
      <c r="AU2" s="374"/>
      <c r="AW2" s="373" t="s">
        <v>218</v>
      </c>
      <c r="AX2" s="374"/>
    </row>
    <row r="3" spans="1:50" x14ac:dyDescent="0.3">
      <c r="B3" s="41" t="str">
        <f>'User Interface'!C8</f>
        <v>Extreme Winter</v>
      </c>
      <c r="D3" s="124" t="s">
        <v>217</v>
      </c>
      <c r="E3" s="149" t="s">
        <v>235</v>
      </c>
      <c r="F3" s="124" t="s">
        <v>217</v>
      </c>
      <c r="G3" s="149" t="s">
        <v>235</v>
      </c>
      <c r="H3" s="124" t="s">
        <v>217</v>
      </c>
      <c r="I3" s="149" t="s">
        <v>235</v>
      </c>
      <c r="K3" s="124" t="s">
        <v>217</v>
      </c>
      <c r="L3" s="149" t="s">
        <v>235</v>
      </c>
      <c r="M3" s="124" t="s">
        <v>217</v>
      </c>
      <c r="N3" s="149" t="s">
        <v>235</v>
      </c>
      <c r="O3" s="124" t="s">
        <v>217</v>
      </c>
      <c r="P3" s="149" t="s">
        <v>235</v>
      </c>
      <c r="R3" s="124" t="s">
        <v>217</v>
      </c>
      <c r="S3" s="149" t="s">
        <v>235</v>
      </c>
      <c r="T3" s="124" t="s">
        <v>217</v>
      </c>
      <c r="U3" s="149" t="s">
        <v>235</v>
      </c>
      <c r="V3" s="124" t="s">
        <v>217</v>
      </c>
      <c r="W3" s="149" t="s">
        <v>235</v>
      </c>
      <c r="Y3" s="124" t="s">
        <v>217</v>
      </c>
      <c r="Z3" s="149" t="s">
        <v>235</v>
      </c>
      <c r="AA3" s="124" t="s">
        <v>217</v>
      </c>
      <c r="AB3" s="149" t="s">
        <v>235</v>
      </c>
      <c r="AC3" s="124" t="s">
        <v>217</v>
      </c>
      <c r="AD3" s="149" t="s">
        <v>235</v>
      </c>
      <c r="AF3" s="124" t="s">
        <v>217</v>
      </c>
      <c r="AG3" s="149" t="s">
        <v>235</v>
      </c>
      <c r="AH3" s="124" t="s">
        <v>217</v>
      </c>
      <c r="AI3" s="149" t="s">
        <v>235</v>
      </c>
      <c r="AJ3" s="124" t="s">
        <v>217</v>
      </c>
      <c r="AK3" s="149" t="s">
        <v>235</v>
      </c>
      <c r="AM3" s="124" t="s">
        <v>217</v>
      </c>
      <c r="AN3" s="149" t="s">
        <v>235</v>
      </c>
      <c r="AO3" s="124" t="s">
        <v>217</v>
      </c>
      <c r="AP3" s="149" t="s">
        <v>235</v>
      </c>
      <c r="AQ3" s="124" t="s">
        <v>217</v>
      </c>
      <c r="AR3" s="149" t="s">
        <v>235</v>
      </c>
      <c r="AT3" s="124" t="s">
        <v>217</v>
      </c>
      <c r="AU3" s="152" t="s">
        <v>235</v>
      </c>
      <c r="AW3" s="124" t="s">
        <v>217</v>
      </c>
      <c r="AX3" s="152" t="s">
        <v>235</v>
      </c>
    </row>
    <row r="4" spans="1:50" x14ac:dyDescent="0.3">
      <c r="D4" s="110">
        <v>0</v>
      </c>
      <c r="E4" s="146">
        <v>0.465812</v>
      </c>
      <c r="F4" s="110">
        <v>0</v>
      </c>
      <c r="G4" s="146">
        <v>0.95039499999999999</v>
      </c>
      <c r="H4" s="110">
        <v>0</v>
      </c>
      <c r="I4" s="146">
        <v>1.3876200000000001</v>
      </c>
      <c r="K4" s="110">
        <v>0</v>
      </c>
      <c r="L4" s="146">
        <v>0.30271900000000002</v>
      </c>
      <c r="M4" s="110">
        <v>0</v>
      </c>
      <c r="N4" s="146">
        <v>0.42035600000000001</v>
      </c>
      <c r="O4" s="110">
        <v>0</v>
      </c>
      <c r="P4" s="146">
        <v>1.99064</v>
      </c>
      <c r="R4" s="110">
        <v>0</v>
      </c>
      <c r="S4" s="146">
        <v>0.61277099999999995</v>
      </c>
      <c r="T4" s="110">
        <v>0</v>
      </c>
      <c r="U4" s="146">
        <v>0.82660999999999996</v>
      </c>
      <c r="V4" s="110">
        <v>0</v>
      </c>
      <c r="W4" s="146">
        <v>1.0259199999999999</v>
      </c>
      <c r="Y4" s="110">
        <v>0</v>
      </c>
      <c r="Z4" s="146">
        <v>0.35399700000000001</v>
      </c>
      <c r="AA4" s="110">
        <v>0</v>
      </c>
      <c r="AB4" s="146">
        <v>0.41196899999999997</v>
      </c>
      <c r="AC4" s="110">
        <v>0</v>
      </c>
      <c r="AD4" s="146">
        <v>2.9742000000000002</v>
      </c>
      <c r="AF4" s="110">
        <v>0</v>
      </c>
      <c r="AG4" s="146">
        <v>7.0044000000000004</v>
      </c>
      <c r="AH4" s="110">
        <v>0</v>
      </c>
      <c r="AI4" s="180">
        <v>9.1428899999999995</v>
      </c>
      <c r="AJ4" s="110">
        <v>0</v>
      </c>
      <c r="AK4" s="146">
        <v>16.156300000000002</v>
      </c>
      <c r="AL4" s="180"/>
      <c r="AM4" s="110">
        <v>0</v>
      </c>
      <c r="AN4" s="146">
        <v>0.90466999999999997</v>
      </c>
      <c r="AO4" s="110">
        <v>0</v>
      </c>
      <c r="AP4" s="186">
        <v>1.33962</v>
      </c>
      <c r="AQ4" s="110">
        <v>0</v>
      </c>
      <c r="AR4" s="146">
        <v>1.6899599999999999</v>
      </c>
      <c r="AS4" s="186"/>
      <c r="AT4" s="110">
        <v>0</v>
      </c>
      <c r="AU4" s="20"/>
      <c r="AW4" s="110">
        <v>0</v>
      </c>
      <c r="AX4" s="20"/>
    </row>
    <row r="5" spans="1:50" x14ac:dyDescent="0.3">
      <c r="B5" s="156" t="s">
        <v>252</v>
      </c>
      <c r="D5" s="110">
        <v>1.0416666666666666E-2</v>
      </c>
      <c r="E5" s="146">
        <v>0.465812</v>
      </c>
      <c r="F5" s="110">
        <v>1.0416666666666666E-2</v>
      </c>
      <c r="G5" s="146">
        <v>0.95039499999999999</v>
      </c>
      <c r="H5" s="110">
        <v>1.0416666666666666E-2</v>
      </c>
      <c r="I5" s="146">
        <v>1.3876200000000001</v>
      </c>
      <c r="K5" s="110">
        <v>1.0416666666666666E-2</v>
      </c>
      <c r="L5" s="146">
        <v>0.30271900000000002</v>
      </c>
      <c r="M5" s="110">
        <v>1.0416666666666666E-2</v>
      </c>
      <c r="N5" s="146">
        <v>0.42035600000000001</v>
      </c>
      <c r="O5" s="110">
        <v>1.0416666666666666E-2</v>
      </c>
      <c r="P5" s="146">
        <v>1.99064</v>
      </c>
      <c r="R5" s="110">
        <v>1.0416666666666666E-2</v>
      </c>
      <c r="S5" s="146">
        <v>0.61277099999999995</v>
      </c>
      <c r="T5" s="110">
        <v>1.0416666666666666E-2</v>
      </c>
      <c r="U5" s="146">
        <v>0.82660999999999996</v>
      </c>
      <c r="V5" s="110">
        <v>1.0416666666666666E-2</v>
      </c>
      <c r="W5" s="146">
        <v>1.0259199999999999</v>
      </c>
      <c r="Y5" s="110">
        <v>1.0416666666666666E-2</v>
      </c>
      <c r="Z5" s="146">
        <v>0.35399700000000001</v>
      </c>
      <c r="AA5" s="110">
        <v>1.0416666666666666E-2</v>
      </c>
      <c r="AB5" s="146">
        <v>0.41196899999999997</v>
      </c>
      <c r="AC5" s="110">
        <v>1.0416666666666666E-2</v>
      </c>
      <c r="AD5" s="146">
        <v>2.9742000000000002</v>
      </c>
      <c r="AF5" s="110">
        <v>1.0416666666666666E-2</v>
      </c>
      <c r="AG5" s="146">
        <v>7.0044000000000004</v>
      </c>
      <c r="AH5" s="110">
        <v>1.0416666666666666E-2</v>
      </c>
      <c r="AI5" s="180">
        <v>9.1428899999999995</v>
      </c>
      <c r="AJ5" s="110">
        <v>1.0416666666666666E-2</v>
      </c>
      <c r="AK5" s="146">
        <v>16.156300000000002</v>
      </c>
      <c r="AL5" s="180"/>
      <c r="AM5" s="110">
        <v>1.0416666666666666E-2</v>
      </c>
      <c r="AN5" s="146">
        <v>0.90466999999999997</v>
      </c>
      <c r="AO5" s="110">
        <v>1.0416666666666666E-2</v>
      </c>
      <c r="AP5" s="186">
        <v>1.33962</v>
      </c>
      <c r="AQ5" s="110">
        <v>1.0416666666666666E-2</v>
      </c>
      <c r="AR5" s="146">
        <v>1.6899599999999999</v>
      </c>
      <c r="AS5" s="186"/>
      <c r="AT5" s="110">
        <v>1.0416666666666666E-2</v>
      </c>
      <c r="AU5" s="20"/>
      <c r="AW5" s="110">
        <v>1.0416666666666666E-2</v>
      </c>
      <c r="AX5" s="20"/>
    </row>
    <row r="6" spans="1:50" x14ac:dyDescent="0.3">
      <c r="B6" s="41" t="b">
        <v>0</v>
      </c>
      <c r="D6" s="110">
        <v>2.0833333333333301E-2</v>
      </c>
      <c r="E6" s="146">
        <v>0.465812</v>
      </c>
      <c r="F6" s="110">
        <v>2.0833333333333301E-2</v>
      </c>
      <c r="G6" s="146">
        <v>0.95039499999999999</v>
      </c>
      <c r="H6" s="110">
        <v>2.0833333333333301E-2</v>
      </c>
      <c r="I6" s="146">
        <v>1.3876200000000001</v>
      </c>
      <c r="K6" s="110">
        <v>2.0833333333333301E-2</v>
      </c>
      <c r="L6" s="146">
        <v>0.30271900000000002</v>
      </c>
      <c r="M6" s="110">
        <v>2.0833333333333301E-2</v>
      </c>
      <c r="N6" s="146">
        <v>0.42035600000000001</v>
      </c>
      <c r="O6" s="110">
        <v>2.0833333333333301E-2</v>
      </c>
      <c r="P6" s="146">
        <v>1.99064</v>
      </c>
      <c r="R6" s="110">
        <v>2.0833333333333301E-2</v>
      </c>
      <c r="S6" s="146">
        <v>0.61277099999999995</v>
      </c>
      <c r="T6" s="110">
        <v>2.0833333333333301E-2</v>
      </c>
      <c r="U6" s="146">
        <v>0.82660999999999996</v>
      </c>
      <c r="V6" s="110">
        <v>2.0833333333333301E-2</v>
      </c>
      <c r="W6" s="146">
        <v>1.0259199999999999</v>
      </c>
      <c r="Y6" s="110">
        <v>2.0833333333333301E-2</v>
      </c>
      <c r="Z6" s="146">
        <v>0.35399700000000001</v>
      </c>
      <c r="AA6" s="110">
        <v>2.0833333333333301E-2</v>
      </c>
      <c r="AB6" s="146">
        <v>0.41196899999999997</v>
      </c>
      <c r="AC6" s="110">
        <v>2.0833333333333301E-2</v>
      </c>
      <c r="AD6" s="146">
        <v>2.9742000000000002</v>
      </c>
      <c r="AF6" s="110">
        <v>2.0833333333333301E-2</v>
      </c>
      <c r="AG6" s="146">
        <v>7.0044000000000004</v>
      </c>
      <c r="AH6" s="110">
        <v>2.0833333333333301E-2</v>
      </c>
      <c r="AI6" s="180">
        <v>9.1428899999999995</v>
      </c>
      <c r="AJ6" s="110">
        <v>2.0833333333333301E-2</v>
      </c>
      <c r="AK6" s="146">
        <v>16.156300000000002</v>
      </c>
      <c r="AL6" s="180"/>
      <c r="AM6" s="110">
        <v>2.0833333333333301E-2</v>
      </c>
      <c r="AN6" s="146">
        <v>0.90466999999999997</v>
      </c>
      <c r="AO6" s="110">
        <v>2.0833333333333301E-2</v>
      </c>
      <c r="AP6" s="186">
        <v>1.33962</v>
      </c>
      <c r="AQ6" s="110">
        <v>2.0833333333333301E-2</v>
      </c>
      <c r="AR6" s="146">
        <v>1.6899599999999999</v>
      </c>
      <c r="AS6" s="186"/>
      <c r="AT6" s="110">
        <v>2.0833333333333301E-2</v>
      </c>
      <c r="AU6" s="20"/>
      <c r="AW6" s="110">
        <v>2.0833333333333301E-2</v>
      </c>
      <c r="AX6" s="20"/>
    </row>
    <row r="7" spans="1:50" x14ac:dyDescent="0.3">
      <c r="D7" s="110">
        <v>3.125E-2</v>
      </c>
      <c r="E7" s="146">
        <v>0.465812</v>
      </c>
      <c r="F7" s="110">
        <v>3.125E-2</v>
      </c>
      <c r="G7" s="146">
        <v>0.95039499999999999</v>
      </c>
      <c r="H7" s="110">
        <v>3.125E-2</v>
      </c>
      <c r="I7" s="146">
        <v>1.3876200000000001</v>
      </c>
      <c r="K7" s="110">
        <v>3.125E-2</v>
      </c>
      <c r="L7" s="146">
        <v>0.30271900000000002</v>
      </c>
      <c r="M7" s="110">
        <v>3.125E-2</v>
      </c>
      <c r="N7" s="146">
        <v>0.42035600000000001</v>
      </c>
      <c r="O7" s="110">
        <v>3.125E-2</v>
      </c>
      <c r="P7" s="146">
        <v>1.99064</v>
      </c>
      <c r="R7" s="110">
        <v>3.125E-2</v>
      </c>
      <c r="S7" s="146">
        <v>0.61277099999999995</v>
      </c>
      <c r="T7" s="110">
        <v>3.125E-2</v>
      </c>
      <c r="U7" s="146">
        <v>0.82660999999999996</v>
      </c>
      <c r="V7" s="110">
        <v>3.125E-2</v>
      </c>
      <c r="W7" s="146">
        <v>1.0259199999999999</v>
      </c>
      <c r="Y7" s="110">
        <v>3.125E-2</v>
      </c>
      <c r="Z7" s="146">
        <v>0.35399700000000001</v>
      </c>
      <c r="AA7" s="110">
        <v>3.125E-2</v>
      </c>
      <c r="AB7" s="146">
        <v>0.41196899999999997</v>
      </c>
      <c r="AC7" s="110">
        <v>3.125E-2</v>
      </c>
      <c r="AD7" s="146">
        <v>2.9742000000000002</v>
      </c>
      <c r="AF7" s="110">
        <v>3.125E-2</v>
      </c>
      <c r="AG7" s="146">
        <v>7.0044000000000004</v>
      </c>
      <c r="AH7" s="110">
        <v>3.125E-2</v>
      </c>
      <c r="AI7" s="180">
        <v>9.1428899999999995</v>
      </c>
      <c r="AJ7" s="110">
        <v>3.125E-2</v>
      </c>
      <c r="AK7" s="146">
        <v>16.156300000000002</v>
      </c>
      <c r="AL7" s="180"/>
      <c r="AM7" s="110">
        <v>3.125E-2</v>
      </c>
      <c r="AN7" s="146">
        <v>0.90466999999999997</v>
      </c>
      <c r="AO7" s="110">
        <v>3.125E-2</v>
      </c>
      <c r="AP7" s="186">
        <v>1.33962</v>
      </c>
      <c r="AQ7" s="110">
        <v>3.125E-2</v>
      </c>
      <c r="AR7" s="146">
        <v>1.6899599999999999</v>
      </c>
      <c r="AS7" s="186"/>
      <c r="AT7" s="110">
        <v>3.125E-2</v>
      </c>
      <c r="AU7" s="20"/>
      <c r="AW7" s="110">
        <v>3.125E-2</v>
      </c>
      <c r="AX7" s="20"/>
    </row>
    <row r="8" spans="1:50" x14ac:dyDescent="0.3">
      <c r="B8" s="165" t="s">
        <v>253</v>
      </c>
      <c r="D8" s="110">
        <v>4.1666666666666699E-2</v>
      </c>
      <c r="E8" s="146">
        <v>0.55657999999999996</v>
      </c>
      <c r="F8" s="110">
        <v>4.1666666666666699E-2</v>
      </c>
      <c r="G8" s="146">
        <v>0.64626099999999997</v>
      </c>
      <c r="H8" s="110">
        <v>4.1666666666666699E-2</v>
      </c>
      <c r="I8" s="146">
        <v>0.88061199999999995</v>
      </c>
      <c r="K8" s="110">
        <v>4.1666666666666699E-2</v>
      </c>
      <c r="L8" s="146">
        <v>0.26475700000000002</v>
      </c>
      <c r="M8" s="110">
        <v>4.1666666666666699E-2</v>
      </c>
      <c r="N8" s="146">
        <v>0.75714899999999996</v>
      </c>
      <c r="O8" s="110">
        <v>4.1666666666666699E-2</v>
      </c>
      <c r="P8" s="146">
        <v>0.44455800000000001</v>
      </c>
      <c r="R8" s="110">
        <v>4.1666666666666699E-2</v>
      </c>
      <c r="S8" s="146">
        <v>0.53357900000000003</v>
      </c>
      <c r="T8" s="110">
        <v>4.1666666666666699E-2</v>
      </c>
      <c r="U8" s="146">
        <v>0.70214399999999999</v>
      </c>
      <c r="V8" s="110">
        <v>4.1666666666666699E-2</v>
      </c>
      <c r="W8" s="146">
        <v>2.9367999999999999</v>
      </c>
      <c r="Y8" s="110">
        <v>4.1666666666666699E-2</v>
      </c>
      <c r="Z8" s="146">
        <v>0.28101900000000002</v>
      </c>
      <c r="AA8" s="110">
        <v>4.1666666666666699E-2</v>
      </c>
      <c r="AB8" s="146">
        <v>0.355489</v>
      </c>
      <c r="AC8" s="110">
        <v>4.1666666666666699E-2</v>
      </c>
      <c r="AD8" s="146">
        <v>0.43443199999999998</v>
      </c>
      <c r="AF8" s="110">
        <v>4.1666666666666699E-2</v>
      </c>
      <c r="AG8" s="146">
        <v>5.7056500000000003</v>
      </c>
      <c r="AH8" s="110">
        <v>4.1666666666666699E-2</v>
      </c>
      <c r="AI8" s="180">
        <v>10.7628</v>
      </c>
      <c r="AJ8" s="110">
        <v>4.1666666666666699E-2</v>
      </c>
      <c r="AK8" s="146">
        <v>14.725300000000001</v>
      </c>
      <c r="AL8" s="180"/>
      <c r="AM8" s="110">
        <v>4.1666666666666699E-2</v>
      </c>
      <c r="AN8" s="146">
        <v>1.0323500000000001</v>
      </c>
      <c r="AO8" s="110">
        <v>4.1666666666666699E-2</v>
      </c>
      <c r="AP8" s="186">
        <v>1.15829</v>
      </c>
      <c r="AQ8" s="110">
        <v>4.1666666666666699E-2</v>
      </c>
      <c r="AR8" s="146">
        <v>1.4549000000000001</v>
      </c>
      <c r="AS8" s="186"/>
      <c r="AT8" s="110">
        <v>4.1666666666666699E-2</v>
      </c>
      <c r="AU8" s="20"/>
      <c r="AW8" s="110">
        <v>4.1666666666666699E-2</v>
      </c>
      <c r="AX8" s="20"/>
    </row>
    <row r="9" spans="1:50" x14ac:dyDescent="0.3">
      <c r="B9" s="41" t="str">
        <f>'User Interface'!$G$8</f>
        <v>Large - 279 sq m (3000 sq ft)</v>
      </c>
      <c r="D9" s="110">
        <v>5.2083333333333301E-2</v>
      </c>
      <c r="E9" s="146">
        <v>0.55657999999999996</v>
      </c>
      <c r="F9" s="110">
        <v>5.2083333333333301E-2</v>
      </c>
      <c r="G9" s="146">
        <v>0.64626099999999997</v>
      </c>
      <c r="H9" s="110">
        <v>5.2083333333333301E-2</v>
      </c>
      <c r="I9" s="146">
        <v>0.88061199999999995</v>
      </c>
      <c r="K9" s="110">
        <v>5.2083333333333301E-2</v>
      </c>
      <c r="L9" s="146">
        <v>0.26475700000000002</v>
      </c>
      <c r="M9" s="110">
        <v>5.2083333333333301E-2</v>
      </c>
      <c r="N9" s="146">
        <v>0.75714899999999996</v>
      </c>
      <c r="O9" s="110">
        <v>5.2083333333333301E-2</v>
      </c>
      <c r="P9" s="146">
        <v>0.44455800000000001</v>
      </c>
      <c r="R9" s="110">
        <v>5.2083333333333301E-2</v>
      </c>
      <c r="S9" s="146">
        <v>0.53357900000000003</v>
      </c>
      <c r="T9" s="110">
        <v>5.2083333333333301E-2</v>
      </c>
      <c r="U9" s="146">
        <v>0.70214399999999999</v>
      </c>
      <c r="V9" s="110">
        <v>5.2083333333333301E-2</v>
      </c>
      <c r="W9" s="146">
        <v>2.9367999999999999</v>
      </c>
      <c r="Y9" s="110">
        <v>5.2083333333333301E-2</v>
      </c>
      <c r="Z9" s="146">
        <v>0.28101900000000002</v>
      </c>
      <c r="AA9" s="110">
        <v>5.2083333333333301E-2</v>
      </c>
      <c r="AB9" s="146">
        <v>0.355489</v>
      </c>
      <c r="AC9" s="110">
        <v>5.2083333333333301E-2</v>
      </c>
      <c r="AD9" s="146">
        <v>0.43443199999999998</v>
      </c>
      <c r="AF9" s="110">
        <v>5.2083333333333301E-2</v>
      </c>
      <c r="AG9" s="146">
        <v>5.7056500000000003</v>
      </c>
      <c r="AH9" s="110">
        <v>5.2083333333333301E-2</v>
      </c>
      <c r="AI9" s="180">
        <v>10.7628</v>
      </c>
      <c r="AJ9" s="110">
        <v>5.2083333333333301E-2</v>
      </c>
      <c r="AK9" s="146">
        <v>14.725300000000001</v>
      </c>
      <c r="AL9" s="180"/>
      <c r="AM9" s="110">
        <v>5.2083333333333301E-2</v>
      </c>
      <c r="AN9" s="146">
        <v>1.0323500000000001</v>
      </c>
      <c r="AO9" s="110">
        <v>5.2083333333333301E-2</v>
      </c>
      <c r="AP9" s="186">
        <v>1.15829</v>
      </c>
      <c r="AQ9" s="110">
        <v>5.2083333333333301E-2</v>
      </c>
      <c r="AR9" s="146">
        <v>1.4549000000000001</v>
      </c>
      <c r="AS9" s="186"/>
      <c r="AT9" s="110">
        <v>5.2083333333333301E-2</v>
      </c>
      <c r="AU9" s="20"/>
      <c r="AW9" s="110">
        <v>5.2083333333333301E-2</v>
      </c>
      <c r="AX9" s="20"/>
    </row>
    <row r="10" spans="1:50" x14ac:dyDescent="0.3">
      <c r="D10" s="110">
        <v>6.25E-2</v>
      </c>
      <c r="E10" s="146">
        <v>0.55657999999999996</v>
      </c>
      <c r="F10" s="110">
        <v>6.25E-2</v>
      </c>
      <c r="G10" s="146">
        <v>0.64626099999999997</v>
      </c>
      <c r="H10" s="110">
        <v>6.25E-2</v>
      </c>
      <c r="I10" s="146">
        <v>0.88061199999999995</v>
      </c>
      <c r="K10" s="110">
        <v>6.25E-2</v>
      </c>
      <c r="L10" s="146">
        <v>0.26475700000000002</v>
      </c>
      <c r="M10" s="110">
        <v>6.25E-2</v>
      </c>
      <c r="N10" s="146">
        <v>0.75714899999999996</v>
      </c>
      <c r="O10" s="110">
        <v>6.25E-2</v>
      </c>
      <c r="P10" s="146">
        <v>0.44455800000000001</v>
      </c>
      <c r="R10" s="110">
        <v>6.25E-2</v>
      </c>
      <c r="S10" s="146">
        <v>0.53357900000000003</v>
      </c>
      <c r="T10" s="110">
        <v>6.25E-2</v>
      </c>
      <c r="U10" s="146">
        <v>0.70214399999999999</v>
      </c>
      <c r="V10" s="110">
        <v>6.25E-2</v>
      </c>
      <c r="W10" s="146">
        <v>2.9367999999999999</v>
      </c>
      <c r="Y10" s="110">
        <v>6.25E-2</v>
      </c>
      <c r="Z10" s="146">
        <v>0.28101900000000002</v>
      </c>
      <c r="AA10" s="110">
        <v>6.25E-2</v>
      </c>
      <c r="AB10" s="146">
        <v>0.355489</v>
      </c>
      <c r="AC10" s="110">
        <v>6.25E-2</v>
      </c>
      <c r="AD10" s="146">
        <v>0.43443199999999998</v>
      </c>
      <c r="AF10" s="110">
        <v>6.25E-2</v>
      </c>
      <c r="AG10" s="146">
        <v>5.7056500000000003</v>
      </c>
      <c r="AH10" s="110">
        <v>6.25E-2</v>
      </c>
      <c r="AI10" s="180">
        <v>10.7628</v>
      </c>
      <c r="AJ10" s="110">
        <v>6.25E-2</v>
      </c>
      <c r="AK10" s="146">
        <v>14.725300000000001</v>
      </c>
      <c r="AL10" s="180"/>
      <c r="AM10" s="110">
        <v>6.25E-2</v>
      </c>
      <c r="AN10" s="146">
        <v>1.0323500000000001</v>
      </c>
      <c r="AO10" s="110">
        <v>6.25E-2</v>
      </c>
      <c r="AP10" s="186">
        <v>1.15829</v>
      </c>
      <c r="AQ10" s="110">
        <v>6.25E-2</v>
      </c>
      <c r="AR10" s="146">
        <v>1.4549000000000001</v>
      </c>
      <c r="AS10" s="186"/>
      <c r="AT10" s="110">
        <v>6.25E-2</v>
      </c>
      <c r="AU10" s="20"/>
      <c r="AW10" s="110">
        <v>6.25E-2</v>
      </c>
      <c r="AX10" s="20"/>
    </row>
    <row r="11" spans="1:50" x14ac:dyDescent="0.3">
      <c r="A11" s="164" t="s">
        <v>217</v>
      </c>
      <c r="B11" s="154" t="s">
        <v>239</v>
      </c>
      <c r="D11" s="110">
        <v>7.2916666666666699E-2</v>
      </c>
      <c r="E11" s="146">
        <v>0.55657999999999996</v>
      </c>
      <c r="F11" s="110">
        <v>7.2916666666666699E-2</v>
      </c>
      <c r="G11" s="146">
        <v>0.64626099999999997</v>
      </c>
      <c r="H11" s="110">
        <v>7.2916666666666699E-2</v>
      </c>
      <c r="I11" s="146">
        <v>0.88061199999999995</v>
      </c>
      <c r="K11" s="110">
        <v>7.2916666666666699E-2</v>
      </c>
      <c r="L11" s="146">
        <v>0.26475700000000002</v>
      </c>
      <c r="M11" s="110">
        <v>7.2916666666666699E-2</v>
      </c>
      <c r="N11" s="146">
        <v>0.75714899999999996</v>
      </c>
      <c r="O11" s="110">
        <v>7.2916666666666699E-2</v>
      </c>
      <c r="P11" s="146">
        <v>0.44455800000000001</v>
      </c>
      <c r="R11" s="110">
        <v>7.2916666666666699E-2</v>
      </c>
      <c r="S11" s="146">
        <v>0.53357900000000003</v>
      </c>
      <c r="T11" s="110">
        <v>7.2916666666666699E-2</v>
      </c>
      <c r="U11" s="146">
        <v>0.70214399999999999</v>
      </c>
      <c r="V11" s="110">
        <v>7.2916666666666699E-2</v>
      </c>
      <c r="W11" s="146">
        <v>2.9367999999999999</v>
      </c>
      <c r="Y11" s="110">
        <v>7.2916666666666699E-2</v>
      </c>
      <c r="Z11" s="146">
        <v>0.28101900000000002</v>
      </c>
      <c r="AA11" s="110">
        <v>7.2916666666666699E-2</v>
      </c>
      <c r="AB11" s="146">
        <v>0.355489</v>
      </c>
      <c r="AC11" s="110">
        <v>7.2916666666666699E-2</v>
      </c>
      <c r="AD11" s="146">
        <v>0.43443199999999998</v>
      </c>
      <c r="AF11" s="110">
        <v>7.2916666666666699E-2</v>
      </c>
      <c r="AG11" s="146">
        <v>5.7056500000000003</v>
      </c>
      <c r="AH11" s="110">
        <v>7.2916666666666699E-2</v>
      </c>
      <c r="AI11" s="180">
        <v>10.7628</v>
      </c>
      <c r="AJ11" s="110">
        <v>7.2916666666666699E-2</v>
      </c>
      <c r="AK11" s="146">
        <v>14.725300000000001</v>
      </c>
      <c r="AL11" s="180"/>
      <c r="AM11" s="110">
        <v>7.2916666666666699E-2</v>
      </c>
      <c r="AN11" s="146">
        <v>1.0323500000000001</v>
      </c>
      <c r="AO11" s="110">
        <v>7.2916666666666699E-2</v>
      </c>
      <c r="AP11" s="186">
        <v>1.15829</v>
      </c>
      <c r="AQ11" s="110">
        <v>7.2916666666666699E-2</v>
      </c>
      <c r="AR11" s="146">
        <v>1.4549000000000001</v>
      </c>
      <c r="AS11" s="186"/>
      <c r="AT11" s="110">
        <v>7.2916666666666699E-2</v>
      </c>
      <c r="AU11" s="20"/>
      <c r="AW11" s="110">
        <v>7.2916666666666699E-2</v>
      </c>
      <c r="AX11" s="20"/>
    </row>
    <row r="12" spans="1:50" x14ac:dyDescent="0.3">
      <c r="A12" s="108">
        <v>0</v>
      </c>
      <c r="B12" s="117">
        <f>IF(AND($B$3=$D$1,$B$9=$D$2),E4*1000,IF(AND($B$3=$D$1,$B$9=$F$2),G4*1000,IF(AND($B$3=$D$1,$B$9=$H$2),I4*1000,IF(AND($B$3=$K$1,$B$9=$K$2),L4*1000,IF(AND($B$3=$K$1,$B$9=$M$2),N4*1000,IF(AND($B$3=$K$1,$B$9=$O$2),P4*1000,IF(AND($B$3=$R$1,$B$9=$R$2),S4*1000,IF(AND($B$3=$R$1,$B$9=$T$2),U4*1000,IF(AND($B$3=$R$1,$B$9=$V$2),W4*1000,IF(AND($B$3=$Y$1,$B$9=$Y$2),Z4*1000,IF(AND($B$3=$Y$1,$B$9=$AA$2),AB4*1000,IF(AND($B$3=$Y$1,$B$9=$AC$2),AD4*1000,IF(AND($B$3=$AF$1,$B$9=$AF$2),AG4*1000,IF(AND($B$3=$AF$1,$B$9=$AH$2),AI4*1000,IF(AND($B$3=$AF$1,$B$9=$AJ$2),AK4*1000,IF(AND($B$3=$AM$1,$B$9=$AM$2),AN4*1000,IF(AND($B$3=$AM$1,$B$9=$AO$2),AP4*1000,IF(AND($B$3=$AM$1,$B$9=$AQ$2),AR4*1000,IF($B$3=$AT$2,AU4*1000,IF($B$3=$AW$2,AX4*1000,0))))))))))))))))))))</f>
        <v>16156.300000000001</v>
      </c>
      <c r="D12" s="110">
        <v>8.3333333333333301E-2</v>
      </c>
      <c r="E12" s="146">
        <v>0.640876</v>
      </c>
      <c r="F12" s="110">
        <v>8.3333333333333301E-2</v>
      </c>
      <c r="G12" s="146">
        <v>0.78412499999999996</v>
      </c>
      <c r="H12" s="110">
        <v>8.3333333333333301E-2</v>
      </c>
      <c r="I12" s="146">
        <v>1.0262</v>
      </c>
      <c r="K12" s="110">
        <v>8.3333333333333301E-2</v>
      </c>
      <c r="L12" s="146">
        <v>0.24182200000000001</v>
      </c>
      <c r="M12" s="110">
        <v>8.3333333333333301E-2</v>
      </c>
      <c r="N12" s="146">
        <v>0.32979000000000003</v>
      </c>
      <c r="O12" s="110">
        <v>8.3333333333333301E-2</v>
      </c>
      <c r="P12" s="146">
        <v>0.40206599999999998</v>
      </c>
      <c r="R12" s="110">
        <v>8.3333333333333301E-2</v>
      </c>
      <c r="S12" s="146">
        <v>0.48527799999999999</v>
      </c>
      <c r="T12" s="110">
        <v>8.3333333333333301E-2</v>
      </c>
      <c r="U12" s="146">
        <v>0.62562099999999998</v>
      </c>
      <c r="V12" s="110">
        <v>8.3333333333333301E-2</v>
      </c>
      <c r="W12" s="146">
        <v>0.76859500000000003</v>
      </c>
      <c r="Y12" s="110">
        <v>8.3333333333333301E-2</v>
      </c>
      <c r="Z12" s="146">
        <v>0.24265500000000001</v>
      </c>
      <c r="AA12" s="110">
        <v>8.3333333333333301E-2</v>
      </c>
      <c r="AB12" s="146">
        <v>0.32147700000000001</v>
      </c>
      <c r="AC12" s="110">
        <v>8.3333333333333301E-2</v>
      </c>
      <c r="AD12" s="146">
        <v>0.39172400000000002</v>
      </c>
      <c r="AF12" s="110">
        <v>8.3333333333333301E-2</v>
      </c>
      <c r="AG12" s="146">
        <v>5.7199099999999996</v>
      </c>
      <c r="AH12" s="110">
        <v>8.3333333333333301E-2</v>
      </c>
      <c r="AI12" s="180">
        <v>10.7476</v>
      </c>
      <c r="AJ12" s="110">
        <v>8.3333333333333301E-2</v>
      </c>
      <c r="AK12" s="146">
        <v>14.5596</v>
      </c>
      <c r="AL12" s="180"/>
      <c r="AM12" s="110">
        <v>8.3333333333333301E-2</v>
      </c>
      <c r="AN12" s="146">
        <v>0.70507799999999998</v>
      </c>
      <c r="AO12" s="110">
        <v>8.3333333333333301E-2</v>
      </c>
      <c r="AP12" s="186">
        <v>0.99580500000000005</v>
      </c>
      <c r="AQ12" s="110">
        <v>8.3333333333333301E-2</v>
      </c>
      <c r="AR12" s="146">
        <v>1.2412700000000001</v>
      </c>
      <c r="AS12" s="186"/>
      <c r="AT12" s="110">
        <v>8.3333333333333301E-2</v>
      </c>
      <c r="AU12" s="20"/>
      <c r="AW12" s="110">
        <v>8.3333333333333301E-2</v>
      </c>
      <c r="AX12" s="20"/>
    </row>
    <row r="13" spans="1:50" x14ac:dyDescent="0.3">
      <c r="A13" s="108">
        <v>1.0416666666666666E-2</v>
      </c>
      <c r="B13" s="117">
        <f t="shared" ref="B13:B76" si="0">IF(AND($B$3=$D$1,$B$9=$D$2),E5*1000,IF(AND($B$3=$D$1,$B$9=$F$2),G5*1000,IF(AND($B$3=$D$1,$B$9=$H$2),I5*1000,IF(AND($B$3=$K$1,$B$9=$K$2),L5*1000,IF(AND($B$3=$K$1,$B$9=$M$2),N5*1000,IF(AND($B$3=$K$1,$B$9=$O$2),P5*1000,IF(AND($B$3=$R$1,$B$9=$R$2),S5*1000,IF(AND($B$3=$R$1,$B$9=$T$2),U5*1000,IF(AND($B$3=$R$1,$B$9=$V$2),W5*1000,IF(AND($B$3=$Y$1,$B$9=$Y$2),Z5*1000,IF(AND($B$3=$Y$1,$B$9=$AA$2),AB5*1000,IF(AND($B$3=$Y$1,$B$9=$AC$2),AD5*1000,IF(AND($B$3=$AF$1,$B$9=$AF$2),AG5*1000,IF(AND($B$3=$AF$1,$B$9=$AH$2),AI5*1000,IF(AND($B$3=$AF$1,$B$9=$AJ$2),AK5*1000,IF(AND($B$3=$AM$1,$B$9=$AM$2),AN5*1000,IF(AND($B$3=$AM$1,$B$9=$AO$2),AP5*1000,IF(AND($B$3=$AM$1,$B$9=$AQ$2),AR5*1000,IF($B$3=$AT$2,AU5*1000,IF($B$3=$AW$2,AX5*1000,0))))))))))))))))))))</f>
        <v>16156.300000000001</v>
      </c>
      <c r="D13" s="110">
        <v>9.375E-2</v>
      </c>
      <c r="E13" s="146">
        <v>0.640876</v>
      </c>
      <c r="F13" s="110">
        <v>9.375E-2</v>
      </c>
      <c r="G13" s="146">
        <v>0.78412499999999996</v>
      </c>
      <c r="H13" s="110">
        <v>9.375E-2</v>
      </c>
      <c r="I13" s="146">
        <v>1.0262</v>
      </c>
      <c r="K13" s="110">
        <v>9.375E-2</v>
      </c>
      <c r="L13" s="146">
        <v>0.24182200000000001</v>
      </c>
      <c r="M13" s="110">
        <v>9.375E-2</v>
      </c>
      <c r="N13" s="146">
        <v>0.32979000000000003</v>
      </c>
      <c r="O13" s="110">
        <v>9.375E-2</v>
      </c>
      <c r="P13" s="146">
        <v>0.40206599999999998</v>
      </c>
      <c r="R13" s="110">
        <v>9.375E-2</v>
      </c>
      <c r="S13" s="146">
        <v>0.48527799999999999</v>
      </c>
      <c r="T13" s="110">
        <v>9.375E-2</v>
      </c>
      <c r="U13" s="146">
        <v>0.62562099999999998</v>
      </c>
      <c r="V13" s="110">
        <v>9.375E-2</v>
      </c>
      <c r="W13" s="146">
        <v>0.76859500000000003</v>
      </c>
      <c r="Y13" s="110">
        <v>9.375E-2</v>
      </c>
      <c r="Z13" s="146">
        <v>0.24265500000000001</v>
      </c>
      <c r="AA13" s="110">
        <v>9.375E-2</v>
      </c>
      <c r="AB13" s="146">
        <v>0.32147700000000001</v>
      </c>
      <c r="AC13" s="110">
        <v>9.375E-2</v>
      </c>
      <c r="AD13" s="146">
        <v>0.39172400000000002</v>
      </c>
      <c r="AF13" s="110">
        <v>9.375E-2</v>
      </c>
      <c r="AG13" s="146">
        <v>5.7199099999999996</v>
      </c>
      <c r="AH13" s="110">
        <v>9.375E-2</v>
      </c>
      <c r="AI13" s="180">
        <v>10.7476</v>
      </c>
      <c r="AJ13" s="110">
        <v>9.375E-2</v>
      </c>
      <c r="AK13" s="146">
        <v>14.5596</v>
      </c>
      <c r="AL13" s="180"/>
      <c r="AM13" s="110">
        <v>9.375E-2</v>
      </c>
      <c r="AN13" s="146">
        <v>0.70507799999999998</v>
      </c>
      <c r="AO13" s="110">
        <v>9.375E-2</v>
      </c>
      <c r="AP13" s="186">
        <v>0.99580500000000005</v>
      </c>
      <c r="AQ13" s="110">
        <v>9.375E-2</v>
      </c>
      <c r="AR13" s="146">
        <v>1.2412700000000001</v>
      </c>
      <c r="AS13" s="186"/>
      <c r="AT13" s="110">
        <v>9.375E-2</v>
      </c>
      <c r="AU13" s="20"/>
      <c r="AW13" s="110">
        <v>9.375E-2</v>
      </c>
      <c r="AX13" s="20"/>
    </row>
    <row r="14" spans="1:50" x14ac:dyDescent="0.3">
      <c r="A14" s="108">
        <v>2.0833333333333301E-2</v>
      </c>
      <c r="B14" s="117">
        <f t="shared" si="0"/>
        <v>16156.300000000001</v>
      </c>
      <c r="D14" s="110">
        <v>0.104166666666667</v>
      </c>
      <c r="E14" s="146">
        <v>0.640876</v>
      </c>
      <c r="F14" s="110">
        <v>0.104166666666667</v>
      </c>
      <c r="G14" s="146">
        <v>0.78412499999999996</v>
      </c>
      <c r="H14" s="110">
        <v>0.104166666666667</v>
      </c>
      <c r="I14" s="146">
        <v>1.0262</v>
      </c>
      <c r="K14" s="110">
        <v>0.104166666666667</v>
      </c>
      <c r="L14" s="146">
        <v>0.24182200000000001</v>
      </c>
      <c r="M14" s="110">
        <v>0.104166666666667</v>
      </c>
      <c r="N14" s="146">
        <v>0.32979000000000003</v>
      </c>
      <c r="O14" s="110">
        <v>0.104166666666667</v>
      </c>
      <c r="P14" s="146">
        <v>0.40206599999999998</v>
      </c>
      <c r="R14" s="110">
        <v>0.104166666666667</v>
      </c>
      <c r="S14" s="146">
        <v>0.48527799999999999</v>
      </c>
      <c r="T14" s="110">
        <v>0.104166666666667</v>
      </c>
      <c r="U14" s="146">
        <v>0.62562099999999998</v>
      </c>
      <c r="V14" s="110">
        <v>0.104166666666667</v>
      </c>
      <c r="W14" s="146">
        <v>0.76859500000000003</v>
      </c>
      <c r="Y14" s="110">
        <v>0.104166666666667</v>
      </c>
      <c r="Z14" s="146">
        <v>0.24265500000000001</v>
      </c>
      <c r="AA14" s="110">
        <v>0.104166666666667</v>
      </c>
      <c r="AB14" s="146">
        <v>0.32147700000000001</v>
      </c>
      <c r="AC14" s="110">
        <v>0.104166666666667</v>
      </c>
      <c r="AD14" s="146">
        <v>0.39172400000000002</v>
      </c>
      <c r="AF14" s="110">
        <v>0.104166666666667</v>
      </c>
      <c r="AG14" s="146">
        <v>5.7199099999999996</v>
      </c>
      <c r="AH14" s="110">
        <v>0.104166666666667</v>
      </c>
      <c r="AI14" s="180">
        <v>10.7476</v>
      </c>
      <c r="AJ14" s="110">
        <v>0.104166666666667</v>
      </c>
      <c r="AK14" s="146">
        <v>14.5596</v>
      </c>
      <c r="AL14" s="180"/>
      <c r="AM14" s="110">
        <v>0.104166666666667</v>
      </c>
      <c r="AN14" s="146">
        <v>0.70507799999999998</v>
      </c>
      <c r="AO14" s="110">
        <v>0.104166666666667</v>
      </c>
      <c r="AP14" s="186">
        <v>0.99580500000000005</v>
      </c>
      <c r="AQ14" s="110">
        <v>0.104166666666667</v>
      </c>
      <c r="AR14" s="146">
        <v>1.2412700000000001</v>
      </c>
      <c r="AS14" s="186"/>
      <c r="AT14" s="110">
        <v>0.104166666666667</v>
      </c>
      <c r="AU14" s="20"/>
      <c r="AW14" s="110">
        <v>0.104166666666667</v>
      </c>
      <c r="AX14" s="20"/>
    </row>
    <row r="15" spans="1:50" x14ac:dyDescent="0.3">
      <c r="A15" s="108">
        <v>3.125E-2</v>
      </c>
      <c r="B15" s="117">
        <f t="shared" si="0"/>
        <v>16156.300000000001</v>
      </c>
      <c r="D15" s="110">
        <v>0.114583333333333</v>
      </c>
      <c r="E15" s="146">
        <v>0.640876</v>
      </c>
      <c r="F15" s="110">
        <v>0.114583333333333</v>
      </c>
      <c r="G15" s="146">
        <v>0.78412499999999996</v>
      </c>
      <c r="H15" s="110">
        <v>0.114583333333333</v>
      </c>
      <c r="I15" s="146">
        <v>1.0262</v>
      </c>
      <c r="K15" s="110">
        <v>0.114583333333333</v>
      </c>
      <c r="L15" s="146">
        <v>0.24182200000000001</v>
      </c>
      <c r="M15" s="110">
        <v>0.114583333333333</v>
      </c>
      <c r="N15" s="146">
        <v>0.32979000000000003</v>
      </c>
      <c r="O15" s="110">
        <v>0.114583333333333</v>
      </c>
      <c r="P15" s="146">
        <v>0.40206599999999998</v>
      </c>
      <c r="R15" s="110">
        <v>0.114583333333333</v>
      </c>
      <c r="S15" s="146">
        <v>0.48527799999999999</v>
      </c>
      <c r="T15" s="110">
        <v>0.114583333333333</v>
      </c>
      <c r="U15" s="146">
        <v>0.62562099999999998</v>
      </c>
      <c r="V15" s="110">
        <v>0.114583333333333</v>
      </c>
      <c r="W15" s="146">
        <v>0.76859500000000003</v>
      </c>
      <c r="Y15" s="110">
        <v>0.114583333333333</v>
      </c>
      <c r="Z15" s="146">
        <v>0.24265500000000001</v>
      </c>
      <c r="AA15" s="110">
        <v>0.114583333333333</v>
      </c>
      <c r="AB15" s="146">
        <v>0.32147700000000001</v>
      </c>
      <c r="AC15" s="110">
        <v>0.114583333333333</v>
      </c>
      <c r="AD15" s="146">
        <v>0.39172400000000002</v>
      </c>
      <c r="AF15" s="110">
        <v>0.114583333333333</v>
      </c>
      <c r="AG15" s="146">
        <v>5.7199099999999996</v>
      </c>
      <c r="AH15" s="110">
        <v>0.114583333333333</v>
      </c>
      <c r="AI15" s="180">
        <v>10.7476</v>
      </c>
      <c r="AJ15" s="110">
        <v>0.114583333333333</v>
      </c>
      <c r="AK15" s="146">
        <v>14.5596</v>
      </c>
      <c r="AL15" s="180"/>
      <c r="AM15" s="110">
        <v>0.114583333333333</v>
      </c>
      <c r="AN15" s="146">
        <v>0.70507799999999998</v>
      </c>
      <c r="AO15" s="110">
        <v>0.114583333333333</v>
      </c>
      <c r="AP15" s="186">
        <v>0.99580500000000005</v>
      </c>
      <c r="AQ15" s="110">
        <v>0.114583333333333</v>
      </c>
      <c r="AR15" s="146">
        <v>1.2412700000000001</v>
      </c>
      <c r="AS15" s="186"/>
      <c r="AT15" s="110">
        <v>0.114583333333333</v>
      </c>
      <c r="AU15" s="20"/>
      <c r="AW15" s="110">
        <v>0.114583333333333</v>
      </c>
      <c r="AX15" s="20"/>
    </row>
    <row r="16" spans="1:50" x14ac:dyDescent="0.3">
      <c r="A16" s="108">
        <v>4.1666666666666699E-2</v>
      </c>
      <c r="B16" s="117">
        <f t="shared" si="0"/>
        <v>14725.300000000001</v>
      </c>
      <c r="D16" s="110">
        <v>0.125</v>
      </c>
      <c r="E16" s="146">
        <v>0.63649100000000003</v>
      </c>
      <c r="F16" s="110">
        <v>0.125</v>
      </c>
      <c r="G16" s="146">
        <v>0.83232700000000004</v>
      </c>
      <c r="H16" s="110">
        <v>0.125</v>
      </c>
      <c r="I16" s="146">
        <v>1.95357</v>
      </c>
      <c r="K16" s="110">
        <v>0.125</v>
      </c>
      <c r="L16" s="146">
        <v>0.46618199999999999</v>
      </c>
      <c r="M16" s="110">
        <v>0.125</v>
      </c>
      <c r="N16" s="146">
        <v>0.31364900000000001</v>
      </c>
      <c r="O16" s="110">
        <v>0.125</v>
      </c>
      <c r="P16" s="146">
        <v>0.93372699999999997</v>
      </c>
      <c r="R16" s="110">
        <v>0.125</v>
      </c>
      <c r="S16" s="146">
        <v>0.45707199999999998</v>
      </c>
      <c r="T16" s="110">
        <v>0.125</v>
      </c>
      <c r="U16" s="146">
        <v>0.58282400000000001</v>
      </c>
      <c r="V16" s="110">
        <v>0.125</v>
      </c>
      <c r="W16" s="146">
        <v>0.71109500000000003</v>
      </c>
      <c r="Y16" s="110">
        <v>0.125</v>
      </c>
      <c r="Z16" s="146">
        <v>0.22425700000000001</v>
      </c>
      <c r="AA16" s="110">
        <v>0.125</v>
      </c>
      <c r="AB16" s="146">
        <v>0.30557800000000002</v>
      </c>
      <c r="AC16" s="110">
        <v>0.125</v>
      </c>
      <c r="AD16" s="146">
        <v>0.37306800000000001</v>
      </c>
      <c r="AF16" s="110">
        <v>0.125</v>
      </c>
      <c r="AG16" s="146">
        <v>5.8125099999999996</v>
      </c>
      <c r="AH16" s="110">
        <v>0.125</v>
      </c>
      <c r="AI16" s="180">
        <v>10.9841</v>
      </c>
      <c r="AJ16" s="110">
        <v>0.125</v>
      </c>
      <c r="AK16" s="146">
        <v>15.0063</v>
      </c>
      <c r="AL16" s="180"/>
      <c r="AM16" s="110">
        <v>0.125</v>
      </c>
      <c r="AN16" s="146">
        <v>0.60711700000000002</v>
      </c>
      <c r="AO16" s="110">
        <v>0.125</v>
      </c>
      <c r="AP16" s="186">
        <v>0.83643000000000001</v>
      </c>
      <c r="AQ16" s="110">
        <v>0.125</v>
      </c>
      <c r="AR16" s="146">
        <v>1.0503100000000001</v>
      </c>
      <c r="AS16" s="186"/>
      <c r="AT16" s="110">
        <v>0.125</v>
      </c>
      <c r="AU16" s="20"/>
      <c r="AW16" s="110">
        <v>0.125</v>
      </c>
      <c r="AX16" s="20"/>
    </row>
    <row r="17" spans="1:50" x14ac:dyDescent="0.3">
      <c r="A17" s="108">
        <v>5.2083333333333301E-2</v>
      </c>
      <c r="B17" s="117">
        <f t="shared" si="0"/>
        <v>14725.300000000001</v>
      </c>
      <c r="D17" s="110">
        <v>0.13541666666666699</v>
      </c>
      <c r="E17" s="146">
        <v>0.63649100000000003</v>
      </c>
      <c r="F17" s="110">
        <v>0.13541666666666699</v>
      </c>
      <c r="G17" s="146">
        <v>0.83232700000000004</v>
      </c>
      <c r="H17" s="110">
        <v>0.13541666666666699</v>
      </c>
      <c r="I17" s="146">
        <v>1.95357</v>
      </c>
      <c r="K17" s="110">
        <v>0.13541666666666699</v>
      </c>
      <c r="L17" s="146">
        <v>0.46618199999999999</v>
      </c>
      <c r="M17" s="110">
        <v>0.13541666666666699</v>
      </c>
      <c r="N17" s="146">
        <v>0.31364900000000001</v>
      </c>
      <c r="O17" s="110">
        <v>0.13541666666666699</v>
      </c>
      <c r="P17" s="146">
        <v>0.93372699999999997</v>
      </c>
      <c r="R17" s="110">
        <v>0.13541666666666699</v>
      </c>
      <c r="S17" s="146">
        <v>0.45707199999999998</v>
      </c>
      <c r="T17" s="110">
        <v>0.13541666666666699</v>
      </c>
      <c r="U17" s="146">
        <v>0.58282400000000001</v>
      </c>
      <c r="V17" s="110">
        <v>0.13541666666666699</v>
      </c>
      <c r="W17" s="146">
        <v>0.71109500000000003</v>
      </c>
      <c r="Y17" s="110">
        <v>0.13541666666666699</v>
      </c>
      <c r="Z17" s="146">
        <v>0.22425700000000001</v>
      </c>
      <c r="AA17" s="110">
        <v>0.13541666666666699</v>
      </c>
      <c r="AB17" s="146">
        <v>0.30557800000000002</v>
      </c>
      <c r="AC17" s="110">
        <v>0.13541666666666699</v>
      </c>
      <c r="AD17" s="146">
        <v>0.37306800000000001</v>
      </c>
      <c r="AF17" s="110">
        <v>0.13541666666666699</v>
      </c>
      <c r="AG17" s="146">
        <v>5.8125099999999996</v>
      </c>
      <c r="AH17" s="110">
        <v>0.13541666666666699</v>
      </c>
      <c r="AI17" s="180">
        <v>10.9841</v>
      </c>
      <c r="AJ17" s="110">
        <v>0.13541666666666699</v>
      </c>
      <c r="AK17" s="146">
        <v>15.0063</v>
      </c>
      <c r="AL17" s="180"/>
      <c r="AM17" s="110">
        <v>0.13541666666666699</v>
      </c>
      <c r="AN17" s="146">
        <v>0.60711700000000002</v>
      </c>
      <c r="AO17" s="110">
        <v>0.13541666666666699</v>
      </c>
      <c r="AP17" s="186">
        <v>0.83643000000000001</v>
      </c>
      <c r="AQ17" s="110">
        <v>0.13541666666666699</v>
      </c>
      <c r="AR17" s="146">
        <v>1.0503100000000001</v>
      </c>
      <c r="AS17" s="186"/>
      <c r="AT17" s="110">
        <v>0.13541666666666699</v>
      </c>
      <c r="AU17" s="20"/>
      <c r="AW17" s="110">
        <v>0.13541666666666699</v>
      </c>
      <c r="AX17" s="20"/>
    </row>
    <row r="18" spans="1:50" x14ac:dyDescent="0.3">
      <c r="A18" s="108">
        <v>6.25E-2</v>
      </c>
      <c r="B18" s="117">
        <f t="shared" si="0"/>
        <v>14725.300000000001</v>
      </c>
      <c r="D18" s="110">
        <v>0.14583333333333301</v>
      </c>
      <c r="E18" s="146">
        <v>0.63649100000000003</v>
      </c>
      <c r="F18" s="110">
        <v>0.14583333333333301</v>
      </c>
      <c r="G18" s="146">
        <v>0.83232700000000004</v>
      </c>
      <c r="H18" s="110">
        <v>0.14583333333333301</v>
      </c>
      <c r="I18" s="146">
        <v>1.95357</v>
      </c>
      <c r="K18" s="110">
        <v>0.14583333333333301</v>
      </c>
      <c r="L18" s="146">
        <v>0.46618199999999999</v>
      </c>
      <c r="M18" s="110">
        <v>0.14583333333333301</v>
      </c>
      <c r="N18" s="146">
        <v>0.31364900000000001</v>
      </c>
      <c r="O18" s="110">
        <v>0.14583333333333301</v>
      </c>
      <c r="P18" s="146">
        <v>0.93372699999999997</v>
      </c>
      <c r="R18" s="110">
        <v>0.14583333333333301</v>
      </c>
      <c r="S18" s="146">
        <v>0.45707199999999998</v>
      </c>
      <c r="T18" s="110">
        <v>0.14583333333333301</v>
      </c>
      <c r="U18" s="146">
        <v>0.58282400000000001</v>
      </c>
      <c r="V18" s="110">
        <v>0.14583333333333301</v>
      </c>
      <c r="W18" s="146">
        <v>0.71109500000000003</v>
      </c>
      <c r="Y18" s="110">
        <v>0.14583333333333301</v>
      </c>
      <c r="Z18" s="146">
        <v>0.22425700000000001</v>
      </c>
      <c r="AA18" s="110">
        <v>0.14583333333333301</v>
      </c>
      <c r="AB18" s="146">
        <v>0.30557800000000002</v>
      </c>
      <c r="AC18" s="110">
        <v>0.14583333333333301</v>
      </c>
      <c r="AD18" s="146">
        <v>0.37306800000000001</v>
      </c>
      <c r="AF18" s="110">
        <v>0.14583333333333301</v>
      </c>
      <c r="AG18" s="146">
        <v>5.8125099999999996</v>
      </c>
      <c r="AH18" s="110">
        <v>0.14583333333333301</v>
      </c>
      <c r="AI18" s="180">
        <v>10.9841</v>
      </c>
      <c r="AJ18" s="110">
        <v>0.14583333333333301</v>
      </c>
      <c r="AK18" s="146">
        <v>15.0063</v>
      </c>
      <c r="AL18" s="180"/>
      <c r="AM18" s="110">
        <v>0.14583333333333301</v>
      </c>
      <c r="AN18" s="146">
        <v>0.60711700000000002</v>
      </c>
      <c r="AO18" s="110">
        <v>0.14583333333333301</v>
      </c>
      <c r="AP18" s="186">
        <v>0.83643000000000001</v>
      </c>
      <c r="AQ18" s="110">
        <v>0.14583333333333301</v>
      </c>
      <c r="AR18" s="146">
        <v>1.0503100000000001</v>
      </c>
      <c r="AS18" s="186"/>
      <c r="AT18" s="110">
        <v>0.14583333333333301</v>
      </c>
      <c r="AU18" s="20"/>
      <c r="AW18" s="110">
        <v>0.14583333333333301</v>
      </c>
      <c r="AX18" s="20"/>
    </row>
    <row r="19" spans="1:50" x14ac:dyDescent="0.3">
      <c r="A19" s="108">
        <v>7.2916666666666699E-2</v>
      </c>
      <c r="B19" s="117">
        <f t="shared" si="0"/>
        <v>14725.300000000001</v>
      </c>
      <c r="D19" s="110">
        <v>0.15625</v>
      </c>
      <c r="E19" s="146">
        <v>0.63649100000000003</v>
      </c>
      <c r="F19" s="110">
        <v>0.15625</v>
      </c>
      <c r="G19" s="146">
        <v>0.83232700000000004</v>
      </c>
      <c r="H19" s="110">
        <v>0.15625</v>
      </c>
      <c r="I19" s="146">
        <v>1.95357</v>
      </c>
      <c r="K19" s="110">
        <v>0.15625</v>
      </c>
      <c r="L19" s="146">
        <v>0.46618199999999999</v>
      </c>
      <c r="M19" s="110">
        <v>0.15625</v>
      </c>
      <c r="N19" s="146">
        <v>0.31364900000000001</v>
      </c>
      <c r="O19" s="110">
        <v>0.15625</v>
      </c>
      <c r="P19" s="146">
        <v>0.93372699999999997</v>
      </c>
      <c r="R19" s="110">
        <v>0.15625</v>
      </c>
      <c r="S19" s="146">
        <v>0.45707199999999998</v>
      </c>
      <c r="T19" s="110">
        <v>0.15625</v>
      </c>
      <c r="U19" s="146">
        <v>0.58282400000000001</v>
      </c>
      <c r="V19" s="110">
        <v>0.15625</v>
      </c>
      <c r="W19" s="146">
        <v>0.71109500000000003</v>
      </c>
      <c r="Y19" s="110">
        <v>0.15625</v>
      </c>
      <c r="Z19" s="146">
        <v>0.22425700000000001</v>
      </c>
      <c r="AA19" s="110">
        <v>0.15625</v>
      </c>
      <c r="AB19" s="146">
        <v>0.30557800000000002</v>
      </c>
      <c r="AC19" s="110">
        <v>0.15625</v>
      </c>
      <c r="AD19" s="146">
        <v>0.37306800000000001</v>
      </c>
      <c r="AF19" s="110">
        <v>0.15625</v>
      </c>
      <c r="AG19" s="146">
        <v>5.8125099999999996</v>
      </c>
      <c r="AH19" s="110">
        <v>0.15625</v>
      </c>
      <c r="AI19" s="180">
        <v>10.9841</v>
      </c>
      <c r="AJ19" s="110">
        <v>0.15625</v>
      </c>
      <c r="AK19" s="146">
        <v>15.0063</v>
      </c>
      <c r="AL19" s="180"/>
      <c r="AM19" s="110">
        <v>0.15625</v>
      </c>
      <c r="AN19" s="146">
        <v>0.60711700000000002</v>
      </c>
      <c r="AO19" s="110">
        <v>0.15625</v>
      </c>
      <c r="AP19" s="186">
        <v>0.83643000000000001</v>
      </c>
      <c r="AQ19" s="110">
        <v>0.15625</v>
      </c>
      <c r="AR19" s="146">
        <v>1.0503100000000001</v>
      </c>
      <c r="AS19" s="186"/>
      <c r="AT19" s="110">
        <v>0.15625</v>
      </c>
      <c r="AU19" s="20"/>
      <c r="AW19" s="110">
        <v>0.15625</v>
      </c>
      <c r="AX19" s="20"/>
    </row>
    <row r="20" spans="1:50" x14ac:dyDescent="0.3">
      <c r="A20" s="108">
        <v>8.3333333333333301E-2</v>
      </c>
      <c r="B20" s="117">
        <f t="shared" si="0"/>
        <v>14559.6</v>
      </c>
      <c r="D20" s="110">
        <v>0.16666666666666699</v>
      </c>
      <c r="E20" s="146">
        <v>0.90182600000000002</v>
      </c>
      <c r="F20" s="110">
        <v>0.16666666666666699</v>
      </c>
      <c r="G20" s="146">
        <v>0.86638099999999996</v>
      </c>
      <c r="H20" s="110">
        <v>0.16666666666666699</v>
      </c>
      <c r="I20" s="146">
        <v>1.1041000000000001</v>
      </c>
      <c r="K20" s="110">
        <v>0.16666666666666699</v>
      </c>
      <c r="L20" s="146">
        <v>0.24432499999999999</v>
      </c>
      <c r="M20" s="110">
        <v>0.16666666666666699</v>
      </c>
      <c r="N20" s="146">
        <v>0.33415099999999998</v>
      </c>
      <c r="O20" s="110">
        <v>0.16666666666666699</v>
      </c>
      <c r="P20" s="146">
        <v>0.40738099999999999</v>
      </c>
      <c r="R20" s="110">
        <v>0.16666666666666699</v>
      </c>
      <c r="S20" s="146">
        <v>0.460872</v>
      </c>
      <c r="T20" s="110">
        <v>0.16666666666666699</v>
      </c>
      <c r="U20" s="146">
        <v>0.58431500000000003</v>
      </c>
      <c r="V20" s="110">
        <v>0.16666666666666699</v>
      </c>
      <c r="W20" s="146">
        <v>0.71119600000000005</v>
      </c>
      <c r="Y20" s="110">
        <v>0.16666666666666699</v>
      </c>
      <c r="Z20" s="146">
        <v>0.47423500000000002</v>
      </c>
      <c r="AA20" s="110">
        <v>0.16666666666666699</v>
      </c>
      <c r="AB20" s="146">
        <v>0.32668700000000001</v>
      </c>
      <c r="AC20" s="110">
        <v>0.16666666666666699</v>
      </c>
      <c r="AD20" s="146">
        <v>0.39805000000000001</v>
      </c>
      <c r="AF20" s="110">
        <v>0.16666666666666699</v>
      </c>
      <c r="AG20" s="146">
        <v>5.9109600000000002</v>
      </c>
      <c r="AH20" s="110">
        <v>0.16666666666666699</v>
      </c>
      <c r="AI20" s="180">
        <v>11.1729</v>
      </c>
      <c r="AJ20" s="110">
        <v>0.16666666666666699</v>
      </c>
      <c r="AK20" s="146">
        <v>15.182</v>
      </c>
      <c r="AL20" s="180"/>
      <c r="AM20" s="110">
        <v>0.16666666666666699</v>
      </c>
      <c r="AN20" s="146">
        <v>0.59403099999999998</v>
      </c>
      <c r="AO20" s="110">
        <v>0.16666666666666699</v>
      </c>
      <c r="AP20" s="186">
        <v>1.1988399999999999</v>
      </c>
      <c r="AQ20" s="110">
        <v>0.16666666666666699</v>
      </c>
      <c r="AR20" s="146">
        <v>0.99060599999999999</v>
      </c>
      <c r="AS20" s="186"/>
      <c r="AT20" s="110">
        <v>0.16666666666666699</v>
      </c>
      <c r="AU20" s="20"/>
      <c r="AW20" s="110">
        <v>0.16666666666666699</v>
      </c>
      <c r="AX20" s="20"/>
    </row>
    <row r="21" spans="1:50" x14ac:dyDescent="0.3">
      <c r="A21" s="108">
        <v>9.375E-2</v>
      </c>
      <c r="B21" s="117">
        <f t="shared" si="0"/>
        <v>14559.6</v>
      </c>
      <c r="D21" s="110">
        <v>0.17708333333333301</v>
      </c>
      <c r="E21" s="146">
        <v>0.90182600000000002</v>
      </c>
      <c r="F21" s="110">
        <v>0.17708333333333301</v>
      </c>
      <c r="G21" s="146">
        <v>0.86638099999999996</v>
      </c>
      <c r="H21" s="110">
        <v>0.17708333333333301</v>
      </c>
      <c r="I21" s="146">
        <v>1.1041000000000001</v>
      </c>
      <c r="K21" s="110">
        <v>0.17708333333333301</v>
      </c>
      <c r="L21" s="146">
        <v>0.24432499999999999</v>
      </c>
      <c r="M21" s="110">
        <v>0.17708333333333301</v>
      </c>
      <c r="N21" s="146">
        <v>0.33415099999999998</v>
      </c>
      <c r="O21" s="110">
        <v>0.17708333333333301</v>
      </c>
      <c r="P21" s="146">
        <v>0.40738099999999999</v>
      </c>
      <c r="R21" s="110">
        <v>0.17708333333333301</v>
      </c>
      <c r="S21" s="146">
        <v>0.460872</v>
      </c>
      <c r="T21" s="110">
        <v>0.17708333333333301</v>
      </c>
      <c r="U21" s="146">
        <v>0.58431500000000003</v>
      </c>
      <c r="V21" s="110">
        <v>0.17708333333333301</v>
      </c>
      <c r="W21" s="146">
        <v>0.71119600000000005</v>
      </c>
      <c r="Y21" s="110">
        <v>0.17708333333333301</v>
      </c>
      <c r="Z21" s="146">
        <v>0.47423500000000002</v>
      </c>
      <c r="AA21" s="110">
        <v>0.17708333333333301</v>
      </c>
      <c r="AB21" s="146">
        <v>0.32668700000000001</v>
      </c>
      <c r="AC21" s="110">
        <v>0.17708333333333301</v>
      </c>
      <c r="AD21" s="146">
        <v>0.39805000000000001</v>
      </c>
      <c r="AF21" s="110">
        <v>0.17708333333333301</v>
      </c>
      <c r="AG21" s="146">
        <v>5.9109600000000002</v>
      </c>
      <c r="AH21" s="110">
        <v>0.17708333333333301</v>
      </c>
      <c r="AI21" s="180">
        <v>11.1729</v>
      </c>
      <c r="AJ21" s="110">
        <v>0.17708333333333301</v>
      </c>
      <c r="AK21" s="146">
        <v>15.182</v>
      </c>
      <c r="AL21" s="180"/>
      <c r="AM21" s="110">
        <v>0.17708333333333301</v>
      </c>
      <c r="AN21" s="146">
        <v>0.59403099999999998</v>
      </c>
      <c r="AO21" s="110">
        <v>0.17708333333333301</v>
      </c>
      <c r="AP21" s="186">
        <v>1.1988399999999999</v>
      </c>
      <c r="AQ21" s="110">
        <v>0.17708333333333301</v>
      </c>
      <c r="AR21" s="146">
        <v>0.99060599999999999</v>
      </c>
      <c r="AS21" s="186"/>
      <c r="AT21" s="110">
        <v>0.17708333333333301</v>
      </c>
      <c r="AU21" s="20"/>
      <c r="AW21" s="110">
        <v>0.17708333333333301</v>
      </c>
      <c r="AX21" s="20"/>
    </row>
    <row r="22" spans="1:50" x14ac:dyDescent="0.3">
      <c r="A22" s="108">
        <v>0.104166666666667</v>
      </c>
      <c r="B22" s="117">
        <f t="shared" si="0"/>
        <v>14559.6</v>
      </c>
      <c r="D22" s="110">
        <v>0.1875</v>
      </c>
      <c r="E22" s="146">
        <v>0.90182600000000002</v>
      </c>
      <c r="F22" s="110">
        <v>0.1875</v>
      </c>
      <c r="G22" s="146">
        <v>0.86638099999999996</v>
      </c>
      <c r="H22" s="110">
        <v>0.1875</v>
      </c>
      <c r="I22" s="146">
        <v>1.1041000000000001</v>
      </c>
      <c r="K22" s="110">
        <v>0.1875</v>
      </c>
      <c r="L22" s="146">
        <v>0.24432499999999999</v>
      </c>
      <c r="M22" s="110">
        <v>0.1875</v>
      </c>
      <c r="N22" s="146">
        <v>0.33415099999999998</v>
      </c>
      <c r="O22" s="110">
        <v>0.1875</v>
      </c>
      <c r="P22" s="146">
        <v>0.40738099999999999</v>
      </c>
      <c r="R22" s="110">
        <v>0.1875</v>
      </c>
      <c r="S22" s="146">
        <v>0.460872</v>
      </c>
      <c r="T22" s="110">
        <v>0.1875</v>
      </c>
      <c r="U22" s="146">
        <v>0.58431500000000003</v>
      </c>
      <c r="V22" s="110">
        <v>0.1875</v>
      </c>
      <c r="W22" s="146">
        <v>0.71119600000000005</v>
      </c>
      <c r="Y22" s="110">
        <v>0.1875</v>
      </c>
      <c r="Z22" s="146">
        <v>0.47423500000000002</v>
      </c>
      <c r="AA22" s="110">
        <v>0.1875</v>
      </c>
      <c r="AB22" s="146">
        <v>0.32668700000000001</v>
      </c>
      <c r="AC22" s="110">
        <v>0.1875</v>
      </c>
      <c r="AD22" s="146">
        <v>0.39805000000000001</v>
      </c>
      <c r="AF22" s="110">
        <v>0.1875</v>
      </c>
      <c r="AG22" s="146">
        <v>5.9109600000000002</v>
      </c>
      <c r="AH22" s="110">
        <v>0.1875</v>
      </c>
      <c r="AI22" s="180">
        <v>11.1729</v>
      </c>
      <c r="AJ22" s="110">
        <v>0.1875</v>
      </c>
      <c r="AK22" s="146">
        <v>15.182</v>
      </c>
      <c r="AL22" s="180"/>
      <c r="AM22" s="110">
        <v>0.1875</v>
      </c>
      <c r="AN22" s="146">
        <v>0.59403099999999998</v>
      </c>
      <c r="AO22" s="110">
        <v>0.1875</v>
      </c>
      <c r="AP22" s="186">
        <v>1.1988399999999999</v>
      </c>
      <c r="AQ22" s="110">
        <v>0.1875</v>
      </c>
      <c r="AR22" s="146">
        <v>0.99060599999999999</v>
      </c>
      <c r="AS22" s="186"/>
      <c r="AT22" s="110">
        <v>0.1875</v>
      </c>
      <c r="AU22" s="20"/>
      <c r="AW22" s="110">
        <v>0.1875</v>
      </c>
      <c r="AX22" s="20"/>
    </row>
    <row r="23" spans="1:50" x14ac:dyDescent="0.3">
      <c r="A23" s="108">
        <v>0.114583333333333</v>
      </c>
      <c r="B23" s="117">
        <f t="shared" si="0"/>
        <v>14559.6</v>
      </c>
      <c r="D23" s="110">
        <v>0.19791666666666699</v>
      </c>
      <c r="E23" s="146">
        <v>0.90182600000000002</v>
      </c>
      <c r="F23" s="110">
        <v>0.19791666666666699</v>
      </c>
      <c r="G23" s="146">
        <v>0.86638099999999996</v>
      </c>
      <c r="H23" s="110">
        <v>0.19791666666666699</v>
      </c>
      <c r="I23" s="146">
        <v>1.1041000000000001</v>
      </c>
      <c r="K23" s="110">
        <v>0.19791666666666699</v>
      </c>
      <c r="L23" s="146">
        <v>0.24432499999999999</v>
      </c>
      <c r="M23" s="110">
        <v>0.19791666666666699</v>
      </c>
      <c r="N23" s="146">
        <v>0.33415099999999998</v>
      </c>
      <c r="O23" s="110">
        <v>0.19791666666666699</v>
      </c>
      <c r="P23" s="146">
        <v>0.40738099999999999</v>
      </c>
      <c r="R23" s="110">
        <v>0.19791666666666699</v>
      </c>
      <c r="S23" s="146">
        <v>0.460872</v>
      </c>
      <c r="T23" s="110">
        <v>0.19791666666666699</v>
      </c>
      <c r="U23" s="146">
        <v>0.58431500000000003</v>
      </c>
      <c r="V23" s="110">
        <v>0.19791666666666699</v>
      </c>
      <c r="W23" s="146">
        <v>0.71119600000000005</v>
      </c>
      <c r="Y23" s="110">
        <v>0.19791666666666699</v>
      </c>
      <c r="Z23" s="146">
        <v>0.47423500000000002</v>
      </c>
      <c r="AA23" s="110">
        <v>0.19791666666666699</v>
      </c>
      <c r="AB23" s="146">
        <v>0.32668700000000001</v>
      </c>
      <c r="AC23" s="110">
        <v>0.19791666666666699</v>
      </c>
      <c r="AD23" s="146">
        <v>0.39805000000000001</v>
      </c>
      <c r="AF23" s="110">
        <v>0.19791666666666699</v>
      </c>
      <c r="AG23" s="146">
        <v>5.9109600000000002</v>
      </c>
      <c r="AH23" s="110">
        <v>0.19791666666666699</v>
      </c>
      <c r="AI23" s="180">
        <v>11.1729</v>
      </c>
      <c r="AJ23" s="110">
        <v>0.19791666666666699</v>
      </c>
      <c r="AK23" s="146">
        <v>15.182</v>
      </c>
      <c r="AL23" s="180"/>
      <c r="AM23" s="110">
        <v>0.19791666666666699</v>
      </c>
      <c r="AN23" s="146">
        <v>0.59403099999999998</v>
      </c>
      <c r="AO23" s="110">
        <v>0.19791666666666699</v>
      </c>
      <c r="AP23" s="186">
        <v>1.1988399999999999</v>
      </c>
      <c r="AQ23" s="110">
        <v>0.19791666666666699</v>
      </c>
      <c r="AR23" s="146">
        <v>0.99060599999999999</v>
      </c>
      <c r="AS23" s="186"/>
      <c r="AT23" s="110">
        <v>0.19791666666666699</v>
      </c>
      <c r="AU23" s="20"/>
      <c r="AW23" s="110">
        <v>0.19791666666666699</v>
      </c>
      <c r="AX23" s="20"/>
    </row>
    <row r="24" spans="1:50" x14ac:dyDescent="0.3">
      <c r="A24" s="108">
        <v>0.125</v>
      </c>
      <c r="B24" s="117">
        <f t="shared" si="0"/>
        <v>15006.3</v>
      </c>
      <c r="D24" s="110">
        <v>0.20833333333333301</v>
      </c>
      <c r="E24" s="146">
        <v>2.7592500000000002</v>
      </c>
      <c r="F24" s="110">
        <v>0.20833333333333301</v>
      </c>
      <c r="G24" s="146">
        <v>0.92468600000000001</v>
      </c>
      <c r="H24" s="110">
        <v>0.20833333333333301</v>
      </c>
      <c r="I24" s="146">
        <v>1.1808099999999999</v>
      </c>
      <c r="K24" s="110">
        <v>0.20833333333333301</v>
      </c>
      <c r="L24" s="146">
        <v>0.28816000000000003</v>
      </c>
      <c r="M24" s="110">
        <v>0.20833333333333301</v>
      </c>
      <c r="N24" s="146">
        <v>1.0900300000000001</v>
      </c>
      <c r="O24" s="110">
        <v>0.20833333333333301</v>
      </c>
      <c r="P24" s="146">
        <v>0.49904100000000001</v>
      </c>
      <c r="R24" s="110">
        <v>0.20833333333333301</v>
      </c>
      <c r="S24" s="146">
        <v>0.74360099999999996</v>
      </c>
      <c r="T24" s="110">
        <v>0.20833333333333301</v>
      </c>
      <c r="U24" s="146">
        <v>0.65031600000000001</v>
      </c>
      <c r="V24" s="110">
        <v>0.20833333333333301</v>
      </c>
      <c r="W24" s="146">
        <v>0.797373</v>
      </c>
      <c r="Y24" s="110">
        <v>0.20833333333333301</v>
      </c>
      <c r="Z24" s="146">
        <v>0.28989999999999999</v>
      </c>
      <c r="AA24" s="110">
        <v>0.20833333333333301</v>
      </c>
      <c r="AB24" s="146">
        <v>0.39625100000000002</v>
      </c>
      <c r="AC24" s="110">
        <v>0.20833333333333301</v>
      </c>
      <c r="AD24" s="146">
        <v>0.49034499999999998</v>
      </c>
      <c r="AF24" s="110">
        <v>0.20833333333333301</v>
      </c>
      <c r="AG24" s="146">
        <v>5.95824</v>
      </c>
      <c r="AH24" s="110">
        <v>0.20833333333333301</v>
      </c>
      <c r="AI24" s="180">
        <v>11.283799999999999</v>
      </c>
      <c r="AJ24" s="110">
        <v>0.20833333333333301</v>
      </c>
      <c r="AK24" s="146">
        <v>15.413500000000001</v>
      </c>
      <c r="AL24" s="180"/>
      <c r="AM24" s="110">
        <v>0.20833333333333301</v>
      </c>
      <c r="AN24" s="146">
        <v>0.61527200000000004</v>
      </c>
      <c r="AO24" s="110">
        <v>0.20833333333333301</v>
      </c>
      <c r="AP24" s="186">
        <v>0.84570100000000004</v>
      </c>
      <c r="AQ24" s="110">
        <v>0.20833333333333301</v>
      </c>
      <c r="AR24" s="146">
        <v>1.04125</v>
      </c>
      <c r="AS24" s="186"/>
      <c r="AT24" s="110">
        <v>0.20833333333333301</v>
      </c>
      <c r="AU24" s="20"/>
      <c r="AW24" s="110">
        <v>0.20833333333333301</v>
      </c>
      <c r="AX24" s="20"/>
    </row>
    <row r="25" spans="1:50" x14ac:dyDescent="0.3">
      <c r="A25" s="108">
        <v>0.13541666666666699</v>
      </c>
      <c r="B25" s="117">
        <f t="shared" si="0"/>
        <v>15006.3</v>
      </c>
      <c r="D25" s="110">
        <v>0.21875</v>
      </c>
      <c r="E25" s="146">
        <v>2.7592500000000002</v>
      </c>
      <c r="F25" s="110">
        <v>0.21875</v>
      </c>
      <c r="G25" s="146">
        <v>0.92468600000000001</v>
      </c>
      <c r="H25" s="110">
        <v>0.21875</v>
      </c>
      <c r="I25" s="146">
        <v>1.1808099999999999</v>
      </c>
      <c r="K25" s="110">
        <v>0.21875</v>
      </c>
      <c r="L25" s="146">
        <v>0.28816000000000003</v>
      </c>
      <c r="M25" s="110">
        <v>0.21875</v>
      </c>
      <c r="N25" s="146">
        <v>1.0900300000000001</v>
      </c>
      <c r="O25" s="110">
        <v>0.21875</v>
      </c>
      <c r="P25" s="146">
        <v>0.49904100000000001</v>
      </c>
      <c r="R25" s="110">
        <v>0.21875</v>
      </c>
      <c r="S25" s="146">
        <v>0.74360099999999996</v>
      </c>
      <c r="T25" s="110">
        <v>0.21875</v>
      </c>
      <c r="U25" s="146">
        <v>0.65031600000000001</v>
      </c>
      <c r="V25" s="110">
        <v>0.21875</v>
      </c>
      <c r="W25" s="146">
        <v>0.797373</v>
      </c>
      <c r="Y25" s="110">
        <v>0.21875</v>
      </c>
      <c r="Z25" s="146">
        <v>0.28989999999999999</v>
      </c>
      <c r="AA25" s="110">
        <v>0.21875</v>
      </c>
      <c r="AB25" s="146">
        <v>0.39625100000000002</v>
      </c>
      <c r="AC25" s="110">
        <v>0.21875</v>
      </c>
      <c r="AD25" s="146">
        <v>0.49034499999999998</v>
      </c>
      <c r="AF25" s="110">
        <v>0.21875</v>
      </c>
      <c r="AG25" s="146">
        <v>5.95824</v>
      </c>
      <c r="AH25" s="110">
        <v>0.21875</v>
      </c>
      <c r="AI25" s="180">
        <v>11.283799999999999</v>
      </c>
      <c r="AJ25" s="110">
        <v>0.21875</v>
      </c>
      <c r="AK25" s="146">
        <v>15.413500000000001</v>
      </c>
      <c r="AL25" s="180"/>
      <c r="AM25" s="110">
        <v>0.21875</v>
      </c>
      <c r="AN25" s="146">
        <v>0.61527200000000004</v>
      </c>
      <c r="AO25" s="110">
        <v>0.21875</v>
      </c>
      <c r="AP25" s="186">
        <v>0.84570100000000004</v>
      </c>
      <c r="AQ25" s="110">
        <v>0.21875</v>
      </c>
      <c r="AR25" s="146">
        <v>1.04125</v>
      </c>
      <c r="AS25" s="186"/>
      <c r="AT25" s="110">
        <v>0.21875</v>
      </c>
      <c r="AU25" s="20"/>
      <c r="AW25" s="110">
        <v>0.21875</v>
      </c>
      <c r="AX25" s="20"/>
    </row>
    <row r="26" spans="1:50" x14ac:dyDescent="0.3">
      <c r="A26" s="108">
        <v>0.14583333333333301</v>
      </c>
      <c r="B26" s="117">
        <f t="shared" si="0"/>
        <v>15006.3</v>
      </c>
      <c r="D26" s="110">
        <v>0.22916666666666699</v>
      </c>
      <c r="E26" s="146">
        <v>2.7592500000000002</v>
      </c>
      <c r="F26" s="110">
        <v>0.22916666666666699</v>
      </c>
      <c r="G26" s="146">
        <v>0.92468600000000001</v>
      </c>
      <c r="H26" s="110">
        <v>0.22916666666666699</v>
      </c>
      <c r="I26" s="146">
        <v>1.1808099999999999</v>
      </c>
      <c r="K26" s="110">
        <v>0.22916666666666699</v>
      </c>
      <c r="L26" s="146">
        <v>0.28816000000000003</v>
      </c>
      <c r="M26" s="110">
        <v>0.22916666666666699</v>
      </c>
      <c r="N26" s="146">
        <v>1.0900300000000001</v>
      </c>
      <c r="O26" s="110">
        <v>0.22916666666666699</v>
      </c>
      <c r="P26" s="146">
        <v>0.49904100000000001</v>
      </c>
      <c r="R26" s="110">
        <v>0.22916666666666699</v>
      </c>
      <c r="S26" s="146">
        <v>0.74360099999999996</v>
      </c>
      <c r="T26" s="110">
        <v>0.22916666666666699</v>
      </c>
      <c r="U26" s="146">
        <v>0.65031600000000001</v>
      </c>
      <c r="V26" s="110">
        <v>0.22916666666666699</v>
      </c>
      <c r="W26" s="146">
        <v>0.797373</v>
      </c>
      <c r="Y26" s="110">
        <v>0.22916666666666699</v>
      </c>
      <c r="Z26" s="146">
        <v>0.28989999999999999</v>
      </c>
      <c r="AA26" s="110">
        <v>0.22916666666666699</v>
      </c>
      <c r="AB26" s="146">
        <v>0.39625100000000002</v>
      </c>
      <c r="AC26" s="110">
        <v>0.22916666666666699</v>
      </c>
      <c r="AD26" s="146">
        <v>0.49034499999999998</v>
      </c>
      <c r="AF26" s="110">
        <v>0.22916666666666699</v>
      </c>
      <c r="AG26" s="146">
        <v>5.95824</v>
      </c>
      <c r="AH26" s="110">
        <v>0.22916666666666699</v>
      </c>
      <c r="AI26" s="180">
        <v>11.283799999999999</v>
      </c>
      <c r="AJ26" s="110">
        <v>0.22916666666666699</v>
      </c>
      <c r="AK26" s="146">
        <v>15.413500000000001</v>
      </c>
      <c r="AL26" s="180"/>
      <c r="AM26" s="110">
        <v>0.22916666666666699</v>
      </c>
      <c r="AN26" s="146">
        <v>0.61527200000000004</v>
      </c>
      <c r="AO26" s="110">
        <v>0.22916666666666699</v>
      </c>
      <c r="AP26" s="186">
        <v>0.84570100000000004</v>
      </c>
      <c r="AQ26" s="110">
        <v>0.22916666666666699</v>
      </c>
      <c r="AR26" s="146">
        <v>1.04125</v>
      </c>
      <c r="AS26" s="186"/>
      <c r="AT26" s="110">
        <v>0.22916666666666699</v>
      </c>
      <c r="AU26" s="20"/>
      <c r="AW26" s="110">
        <v>0.22916666666666699</v>
      </c>
      <c r="AX26" s="20"/>
    </row>
    <row r="27" spans="1:50" x14ac:dyDescent="0.3">
      <c r="A27" s="108">
        <v>0.15625</v>
      </c>
      <c r="B27" s="117">
        <f t="shared" si="0"/>
        <v>15006.3</v>
      </c>
      <c r="D27" s="110">
        <v>0.23958333333333301</v>
      </c>
      <c r="E27" s="146">
        <v>2.7592500000000002</v>
      </c>
      <c r="F27" s="110">
        <v>0.23958333333333301</v>
      </c>
      <c r="G27" s="146">
        <v>0.92468600000000001</v>
      </c>
      <c r="H27" s="110">
        <v>0.23958333333333301</v>
      </c>
      <c r="I27" s="146">
        <v>1.1808099999999999</v>
      </c>
      <c r="K27" s="110">
        <v>0.23958333333333301</v>
      </c>
      <c r="L27" s="146">
        <v>0.28816000000000003</v>
      </c>
      <c r="M27" s="110">
        <v>0.23958333333333301</v>
      </c>
      <c r="N27" s="146">
        <v>1.0900300000000001</v>
      </c>
      <c r="O27" s="110">
        <v>0.23958333333333301</v>
      </c>
      <c r="P27" s="146">
        <v>0.49904100000000001</v>
      </c>
      <c r="R27" s="110">
        <v>0.23958333333333301</v>
      </c>
      <c r="S27" s="146">
        <v>0.74360099999999996</v>
      </c>
      <c r="T27" s="110">
        <v>0.23958333333333301</v>
      </c>
      <c r="U27" s="146">
        <v>0.65031600000000001</v>
      </c>
      <c r="V27" s="110">
        <v>0.23958333333333301</v>
      </c>
      <c r="W27" s="146">
        <v>0.797373</v>
      </c>
      <c r="Y27" s="110">
        <v>0.23958333333333301</v>
      </c>
      <c r="Z27" s="146">
        <v>0.28989999999999999</v>
      </c>
      <c r="AA27" s="110">
        <v>0.23958333333333301</v>
      </c>
      <c r="AB27" s="146">
        <v>0.39625100000000002</v>
      </c>
      <c r="AC27" s="110">
        <v>0.23958333333333301</v>
      </c>
      <c r="AD27" s="146">
        <v>0.49034499999999998</v>
      </c>
      <c r="AF27" s="110">
        <v>0.23958333333333301</v>
      </c>
      <c r="AG27" s="146">
        <v>5.95824</v>
      </c>
      <c r="AH27" s="110">
        <v>0.23958333333333301</v>
      </c>
      <c r="AI27" s="180">
        <v>11.283799999999999</v>
      </c>
      <c r="AJ27" s="110">
        <v>0.23958333333333301</v>
      </c>
      <c r="AK27" s="146">
        <v>15.413500000000001</v>
      </c>
      <c r="AL27" s="180"/>
      <c r="AM27" s="110">
        <v>0.23958333333333301</v>
      </c>
      <c r="AN27" s="146">
        <v>0.61527200000000004</v>
      </c>
      <c r="AO27" s="110">
        <v>0.23958333333333301</v>
      </c>
      <c r="AP27" s="186">
        <v>0.84570100000000004</v>
      </c>
      <c r="AQ27" s="110">
        <v>0.23958333333333301</v>
      </c>
      <c r="AR27" s="146">
        <v>1.04125</v>
      </c>
      <c r="AS27" s="186"/>
      <c r="AT27" s="110">
        <v>0.23958333333333301</v>
      </c>
      <c r="AU27" s="20"/>
      <c r="AW27" s="110">
        <v>0.23958333333333301</v>
      </c>
      <c r="AX27" s="20"/>
    </row>
    <row r="28" spans="1:50" x14ac:dyDescent="0.3">
      <c r="A28" s="108">
        <v>0.16666666666666699</v>
      </c>
      <c r="B28" s="117">
        <f t="shared" si="0"/>
        <v>15182</v>
      </c>
      <c r="D28" s="110">
        <v>0.25</v>
      </c>
      <c r="E28" s="146">
        <v>0.90091600000000005</v>
      </c>
      <c r="F28" s="110">
        <v>0.25</v>
      </c>
      <c r="G28" s="146">
        <v>1.7126699999999999</v>
      </c>
      <c r="H28" s="110">
        <v>0.25</v>
      </c>
      <c r="I28" s="146">
        <v>1.6169500000000001</v>
      </c>
      <c r="K28" s="110">
        <v>0.25</v>
      </c>
      <c r="L28" s="146">
        <v>0.434637</v>
      </c>
      <c r="M28" s="110">
        <v>0.25</v>
      </c>
      <c r="N28" s="146">
        <v>2.4268299999999998</v>
      </c>
      <c r="O28" s="110">
        <v>0.25</v>
      </c>
      <c r="P28" s="146">
        <v>0.78702300000000003</v>
      </c>
      <c r="R28" s="110">
        <v>0.25</v>
      </c>
      <c r="S28" s="146">
        <v>0.67935699999999999</v>
      </c>
      <c r="T28" s="110">
        <v>0.25</v>
      </c>
      <c r="U28" s="146">
        <v>0.913771</v>
      </c>
      <c r="V28" s="110">
        <v>0.25</v>
      </c>
      <c r="W28" s="146">
        <v>1.5891999999999999</v>
      </c>
      <c r="Y28" s="110">
        <v>0.25</v>
      </c>
      <c r="Z28" s="146">
        <v>0.430562</v>
      </c>
      <c r="AA28" s="110">
        <v>0.25</v>
      </c>
      <c r="AB28" s="146">
        <v>0.62339699999999998</v>
      </c>
      <c r="AC28" s="110">
        <v>0.25</v>
      </c>
      <c r="AD28" s="146">
        <v>0.78003</v>
      </c>
      <c r="AF28" s="110">
        <v>0.25</v>
      </c>
      <c r="AG28" s="146">
        <v>8.1072500000000005</v>
      </c>
      <c r="AH28" s="110">
        <v>0.25</v>
      </c>
      <c r="AI28" s="180">
        <v>13.5474</v>
      </c>
      <c r="AJ28" s="110">
        <v>0.25</v>
      </c>
      <c r="AK28" s="146">
        <v>19.4148</v>
      </c>
      <c r="AM28" s="110">
        <v>0.25</v>
      </c>
      <c r="AN28" s="146">
        <v>2.0952500000000001</v>
      </c>
      <c r="AO28" s="110">
        <v>0.25</v>
      </c>
      <c r="AP28" s="186">
        <v>1.0931900000000001</v>
      </c>
      <c r="AQ28" s="110">
        <v>0.25</v>
      </c>
      <c r="AR28" s="146">
        <v>2.5879300000000001</v>
      </c>
      <c r="AT28" s="110">
        <v>0.25</v>
      </c>
      <c r="AU28" s="20"/>
      <c r="AW28" s="110">
        <v>0.25</v>
      </c>
      <c r="AX28" s="20"/>
    </row>
    <row r="29" spans="1:50" x14ac:dyDescent="0.3">
      <c r="A29" s="108">
        <v>0.17708333333333301</v>
      </c>
      <c r="B29" s="117">
        <f t="shared" si="0"/>
        <v>15182</v>
      </c>
      <c r="D29" s="110">
        <v>0.26041666666666702</v>
      </c>
      <c r="E29" s="146">
        <v>0.90091600000000005</v>
      </c>
      <c r="F29" s="110">
        <v>0.26041666666666702</v>
      </c>
      <c r="G29" s="146">
        <v>1.7126699999999999</v>
      </c>
      <c r="H29" s="110">
        <v>0.26041666666666702</v>
      </c>
      <c r="I29" s="146">
        <v>1.6169500000000001</v>
      </c>
      <c r="K29" s="110">
        <v>0.26041666666666702</v>
      </c>
      <c r="L29" s="146">
        <v>0.434637</v>
      </c>
      <c r="M29" s="110">
        <v>0.26041666666666702</v>
      </c>
      <c r="N29" s="146">
        <v>2.4268299999999998</v>
      </c>
      <c r="O29" s="110">
        <v>0.26041666666666702</v>
      </c>
      <c r="P29" s="146">
        <v>0.78702300000000003</v>
      </c>
      <c r="R29" s="110">
        <v>0.26041666666666702</v>
      </c>
      <c r="S29" s="146">
        <v>0.67935699999999999</v>
      </c>
      <c r="T29" s="110">
        <v>0.26041666666666702</v>
      </c>
      <c r="U29" s="146">
        <v>0.913771</v>
      </c>
      <c r="V29" s="110">
        <v>0.26041666666666702</v>
      </c>
      <c r="W29" s="146">
        <v>1.5891999999999999</v>
      </c>
      <c r="Y29" s="110">
        <v>0.26041666666666702</v>
      </c>
      <c r="Z29" s="146">
        <v>0.430562</v>
      </c>
      <c r="AA29" s="110">
        <v>0.26041666666666702</v>
      </c>
      <c r="AB29" s="146">
        <v>0.62339699999999998</v>
      </c>
      <c r="AC29" s="110">
        <v>0.26041666666666702</v>
      </c>
      <c r="AD29" s="146">
        <v>0.78003</v>
      </c>
      <c r="AF29" s="110">
        <v>0.26041666666666702</v>
      </c>
      <c r="AG29" s="146">
        <v>8.1072500000000005</v>
      </c>
      <c r="AH29" s="110">
        <v>0.26041666666666702</v>
      </c>
      <c r="AI29" s="180">
        <v>13.5474</v>
      </c>
      <c r="AJ29" s="110">
        <v>0.26041666666666702</v>
      </c>
      <c r="AK29" s="146">
        <v>19.4148</v>
      </c>
      <c r="AM29" s="110">
        <v>0.26041666666666702</v>
      </c>
      <c r="AN29" s="146">
        <v>2.0952500000000001</v>
      </c>
      <c r="AO29" s="110">
        <v>0.26041666666666702</v>
      </c>
      <c r="AP29" s="186">
        <v>1.0931900000000001</v>
      </c>
      <c r="AQ29" s="110">
        <v>0.26041666666666702</v>
      </c>
      <c r="AR29" s="146">
        <v>2.5879300000000001</v>
      </c>
      <c r="AT29" s="110">
        <v>0.26041666666666702</v>
      </c>
      <c r="AU29" s="20"/>
      <c r="AW29" s="110">
        <v>0.26041666666666702</v>
      </c>
      <c r="AX29" s="20"/>
    </row>
    <row r="30" spans="1:50" x14ac:dyDescent="0.3">
      <c r="A30" s="108">
        <v>0.1875</v>
      </c>
      <c r="B30" s="117">
        <f t="shared" si="0"/>
        <v>15182</v>
      </c>
      <c r="D30" s="110">
        <v>0.27083333333333298</v>
      </c>
      <c r="E30" s="146">
        <v>0.90091600000000005</v>
      </c>
      <c r="F30" s="110">
        <v>0.27083333333333298</v>
      </c>
      <c r="G30" s="146">
        <v>1.7126699999999999</v>
      </c>
      <c r="H30" s="110">
        <v>0.27083333333333298</v>
      </c>
      <c r="I30" s="146">
        <v>1.6169500000000001</v>
      </c>
      <c r="K30" s="110">
        <v>0.27083333333333298</v>
      </c>
      <c r="L30" s="146">
        <v>0.434637</v>
      </c>
      <c r="M30" s="110">
        <v>0.27083333333333298</v>
      </c>
      <c r="N30" s="146">
        <v>2.4268299999999998</v>
      </c>
      <c r="O30" s="110">
        <v>0.27083333333333298</v>
      </c>
      <c r="P30" s="146">
        <v>0.78702300000000003</v>
      </c>
      <c r="R30" s="110">
        <v>0.27083333333333298</v>
      </c>
      <c r="S30" s="146">
        <v>0.67935699999999999</v>
      </c>
      <c r="T30" s="110">
        <v>0.27083333333333298</v>
      </c>
      <c r="U30" s="146">
        <v>0.913771</v>
      </c>
      <c r="V30" s="110">
        <v>0.27083333333333298</v>
      </c>
      <c r="W30" s="146">
        <v>1.5891999999999999</v>
      </c>
      <c r="Y30" s="110">
        <v>0.27083333333333298</v>
      </c>
      <c r="Z30" s="146">
        <v>0.430562</v>
      </c>
      <c r="AA30" s="110">
        <v>0.27083333333333298</v>
      </c>
      <c r="AB30" s="146">
        <v>0.62339699999999998</v>
      </c>
      <c r="AC30" s="110">
        <v>0.27083333333333298</v>
      </c>
      <c r="AD30" s="146">
        <v>0.78003</v>
      </c>
      <c r="AF30" s="110">
        <v>0.27083333333333298</v>
      </c>
      <c r="AG30" s="146">
        <v>8.1072500000000005</v>
      </c>
      <c r="AH30" s="110">
        <v>0.27083333333333298</v>
      </c>
      <c r="AI30" s="180">
        <v>13.5474</v>
      </c>
      <c r="AJ30" s="110">
        <v>0.27083333333333298</v>
      </c>
      <c r="AK30" s="146">
        <v>19.4148</v>
      </c>
      <c r="AM30" s="110">
        <v>0.27083333333333298</v>
      </c>
      <c r="AN30" s="146">
        <v>2.0952500000000001</v>
      </c>
      <c r="AO30" s="110">
        <v>0.27083333333333298</v>
      </c>
      <c r="AP30" s="186">
        <v>1.0931900000000001</v>
      </c>
      <c r="AQ30" s="110">
        <v>0.27083333333333298</v>
      </c>
      <c r="AR30" s="146">
        <v>2.5879300000000001</v>
      </c>
      <c r="AT30" s="110">
        <v>0.27083333333333298</v>
      </c>
      <c r="AU30" s="20"/>
      <c r="AW30" s="110">
        <v>0.27083333333333298</v>
      </c>
      <c r="AX30" s="20"/>
    </row>
    <row r="31" spans="1:50" x14ac:dyDescent="0.3">
      <c r="A31" s="108">
        <v>0.19791666666666699</v>
      </c>
      <c r="B31" s="117">
        <f t="shared" si="0"/>
        <v>15182</v>
      </c>
      <c r="D31" s="110">
        <v>0.28125</v>
      </c>
      <c r="E31" s="146">
        <v>0.90091600000000005</v>
      </c>
      <c r="F31" s="110">
        <v>0.28125</v>
      </c>
      <c r="G31" s="146">
        <v>1.7126699999999999</v>
      </c>
      <c r="H31" s="110">
        <v>0.28125</v>
      </c>
      <c r="I31" s="146">
        <v>1.6169500000000001</v>
      </c>
      <c r="K31" s="110">
        <v>0.28125</v>
      </c>
      <c r="L31" s="146">
        <v>0.434637</v>
      </c>
      <c r="M31" s="110">
        <v>0.28125</v>
      </c>
      <c r="N31" s="146">
        <v>2.4268299999999998</v>
      </c>
      <c r="O31" s="110">
        <v>0.28125</v>
      </c>
      <c r="P31" s="146">
        <v>0.78702300000000003</v>
      </c>
      <c r="R31" s="110">
        <v>0.28125</v>
      </c>
      <c r="S31" s="146">
        <v>0.67935699999999999</v>
      </c>
      <c r="T31" s="110">
        <v>0.28125</v>
      </c>
      <c r="U31" s="146">
        <v>0.913771</v>
      </c>
      <c r="V31" s="110">
        <v>0.28125</v>
      </c>
      <c r="W31" s="146">
        <v>1.5891999999999999</v>
      </c>
      <c r="Y31" s="110">
        <v>0.28125</v>
      </c>
      <c r="Z31" s="146">
        <v>0.430562</v>
      </c>
      <c r="AA31" s="110">
        <v>0.28125</v>
      </c>
      <c r="AB31" s="146">
        <v>0.62339699999999998</v>
      </c>
      <c r="AC31" s="110">
        <v>0.28125</v>
      </c>
      <c r="AD31" s="146">
        <v>0.78003</v>
      </c>
      <c r="AF31" s="110">
        <v>0.28125</v>
      </c>
      <c r="AG31" s="146">
        <v>8.1072500000000005</v>
      </c>
      <c r="AH31" s="110">
        <v>0.28125</v>
      </c>
      <c r="AI31" s="180">
        <v>13.5474</v>
      </c>
      <c r="AJ31" s="110">
        <v>0.28125</v>
      </c>
      <c r="AK31" s="146">
        <v>19.4148</v>
      </c>
      <c r="AM31" s="110">
        <v>0.28125</v>
      </c>
      <c r="AN31" s="146">
        <v>2.0952500000000001</v>
      </c>
      <c r="AO31" s="110">
        <v>0.28125</v>
      </c>
      <c r="AP31" s="186">
        <v>1.0931900000000001</v>
      </c>
      <c r="AQ31" s="110">
        <v>0.28125</v>
      </c>
      <c r="AR31" s="146">
        <v>2.5879300000000001</v>
      </c>
      <c r="AT31" s="110">
        <v>0.28125</v>
      </c>
      <c r="AU31" s="20"/>
      <c r="AW31" s="110">
        <v>0.28125</v>
      </c>
      <c r="AX31" s="20"/>
    </row>
    <row r="32" spans="1:50" x14ac:dyDescent="0.3">
      <c r="A32" s="108">
        <v>0.20833333333333301</v>
      </c>
      <c r="B32" s="117">
        <f t="shared" si="0"/>
        <v>15413.5</v>
      </c>
      <c r="D32" s="110">
        <v>0.29166666666666702</v>
      </c>
      <c r="E32" s="146">
        <v>0.84472499999999995</v>
      </c>
      <c r="F32" s="110">
        <v>0.29166666666666702</v>
      </c>
      <c r="G32" s="146">
        <v>2.8336800000000002</v>
      </c>
      <c r="H32" s="110">
        <v>0.29166666666666702</v>
      </c>
      <c r="I32" s="146">
        <v>2.0776599999999998</v>
      </c>
      <c r="K32" s="110">
        <v>0.29166666666666702</v>
      </c>
      <c r="L32" s="146">
        <v>0.53971100000000005</v>
      </c>
      <c r="M32" s="110">
        <v>0.29166666666666702</v>
      </c>
      <c r="N32" s="146">
        <v>0.77825100000000003</v>
      </c>
      <c r="O32" s="110">
        <v>0.29166666666666702</v>
      </c>
      <c r="P32" s="146">
        <v>0.970858</v>
      </c>
      <c r="R32" s="110">
        <v>0.29166666666666702</v>
      </c>
      <c r="S32" s="146">
        <v>1.5494699999999999</v>
      </c>
      <c r="T32" s="110">
        <v>0.29166666666666702</v>
      </c>
      <c r="U32" s="146">
        <v>1.1336200000000001</v>
      </c>
      <c r="V32" s="110">
        <v>0.29166666666666702</v>
      </c>
      <c r="W32" s="146">
        <v>1.88757</v>
      </c>
      <c r="Y32" s="110">
        <v>0.29166666666666702</v>
      </c>
      <c r="Z32" s="146">
        <v>1.4943500000000001</v>
      </c>
      <c r="AA32" s="110">
        <v>0.29166666666666702</v>
      </c>
      <c r="AB32" s="146">
        <v>0.77481800000000001</v>
      </c>
      <c r="AC32" s="110">
        <v>0.29166666666666702</v>
      </c>
      <c r="AD32" s="146">
        <v>1.8249</v>
      </c>
      <c r="AF32" s="110">
        <v>0.29166666666666702</v>
      </c>
      <c r="AG32" s="146">
        <v>6.0260199999999999</v>
      </c>
      <c r="AH32" s="110">
        <v>0.29166666666666702</v>
      </c>
      <c r="AI32" s="180">
        <v>13.712400000000001</v>
      </c>
      <c r="AJ32" s="110">
        <v>0.29166666666666702</v>
      </c>
      <c r="AK32" s="146">
        <v>15.3437</v>
      </c>
      <c r="AM32" s="110">
        <v>0.29166666666666702</v>
      </c>
      <c r="AN32" s="146">
        <v>0.91301900000000002</v>
      </c>
      <c r="AO32" s="110">
        <v>0.29166666666666702</v>
      </c>
      <c r="AP32" s="186">
        <v>3.64764</v>
      </c>
      <c r="AQ32" s="110">
        <v>0.29166666666666702</v>
      </c>
      <c r="AR32" s="146">
        <v>2.78904</v>
      </c>
      <c r="AT32" s="110">
        <v>0.29166666666666702</v>
      </c>
      <c r="AU32" s="20"/>
      <c r="AW32" s="110">
        <v>0.29166666666666702</v>
      </c>
      <c r="AX32" s="20"/>
    </row>
    <row r="33" spans="1:50" x14ac:dyDescent="0.3">
      <c r="A33" s="108">
        <v>0.21875</v>
      </c>
      <c r="B33" s="117">
        <f t="shared" si="0"/>
        <v>15413.5</v>
      </c>
      <c r="D33" s="110">
        <v>0.30208333333333298</v>
      </c>
      <c r="E33" s="146">
        <v>0.84472499999999995</v>
      </c>
      <c r="F33" s="110">
        <v>0.30208333333333298</v>
      </c>
      <c r="G33" s="146">
        <v>2.8336800000000002</v>
      </c>
      <c r="H33" s="110">
        <v>0.30208333333333298</v>
      </c>
      <c r="I33" s="146">
        <v>2.0776599999999998</v>
      </c>
      <c r="K33" s="110">
        <v>0.30208333333333298</v>
      </c>
      <c r="L33" s="146">
        <v>0.53971100000000005</v>
      </c>
      <c r="M33" s="110">
        <v>0.30208333333333298</v>
      </c>
      <c r="N33" s="146">
        <v>0.77825100000000003</v>
      </c>
      <c r="O33" s="110">
        <v>0.30208333333333298</v>
      </c>
      <c r="P33" s="146">
        <v>0.970858</v>
      </c>
      <c r="R33" s="110">
        <v>0.30208333333333298</v>
      </c>
      <c r="S33" s="146">
        <v>1.5494699999999999</v>
      </c>
      <c r="T33" s="110">
        <v>0.30208333333333298</v>
      </c>
      <c r="U33" s="146">
        <v>1.1336200000000001</v>
      </c>
      <c r="V33" s="110">
        <v>0.30208333333333298</v>
      </c>
      <c r="W33" s="146">
        <v>1.88757</v>
      </c>
      <c r="Y33" s="110">
        <v>0.30208333333333298</v>
      </c>
      <c r="Z33" s="146">
        <v>1.4943500000000001</v>
      </c>
      <c r="AA33" s="110">
        <v>0.30208333333333298</v>
      </c>
      <c r="AB33" s="146">
        <v>0.77481800000000001</v>
      </c>
      <c r="AC33" s="110">
        <v>0.30208333333333298</v>
      </c>
      <c r="AD33" s="146">
        <v>1.8249</v>
      </c>
      <c r="AF33" s="110">
        <v>0.30208333333333298</v>
      </c>
      <c r="AG33" s="146">
        <v>6.0260199999999999</v>
      </c>
      <c r="AH33" s="110">
        <v>0.30208333333333298</v>
      </c>
      <c r="AI33" s="180">
        <v>13.712400000000001</v>
      </c>
      <c r="AJ33" s="110">
        <v>0.30208333333333298</v>
      </c>
      <c r="AK33" s="146">
        <v>15.3437</v>
      </c>
      <c r="AM33" s="110">
        <v>0.30208333333333298</v>
      </c>
      <c r="AN33" s="146">
        <v>0.91301900000000002</v>
      </c>
      <c r="AO33" s="110">
        <v>0.30208333333333298</v>
      </c>
      <c r="AP33" s="186">
        <v>3.64764</v>
      </c>
      <c r="AQ33" s="110">
        <v>0.30208333333333298</v>
      </c>
      <c r="AR33" s="146">
        <v>2.78904</v>
      </c>
      <c r="AT33" s="110">
        <v>0.30208333333333298</v>
      </c>
      <c r="AU33" s="20"/>
      <c r="AW33" s="110">
        <v>0.30208333333333298</v>
      </c>
      <c r="AX33" s="20"/>
    </row>
    <row r="34" spans="1:50" x14ac:dyDescent="0.3">
      <c r="A34" s="108">
        <v>0.22916666666666699</v>
      </c>
      <c r="B34" s="117">
        <f t="shared" si="0"/>
        <v>15413.5</v>
      </c>
      <c r="D34" s="110">
        <v>0.3125</v>
      </c>
      <c r="E34" s="146">
        <v>0.84472499999999995</v>
      </c>
      <c r="F34" s="110">
        <v>0.3125</v>
      </c>
      <c r="G34" s="146">
        <v>2.8336800000000002</v>
      </c>
      <c r="H34" s="110">
        <v>0.3125</v>
      </c>
      <c r="I34" s="146">
        <v>2.0776599999999998</v>
      </c>
      <c r="K34" s="110">
        <v>0.3125</v>
      </c>
      <c r="L34" s="146">
        <v>0.53971100000000005</v>
      </c>
      <c r="M34" s="110">
        <v>0.3125</v>
      </c>
      <c r="N34" s="146">
        <v>0.77825100000000003</v>
      </c>
      <c r="O34" s="110">
        <v>0.3125</v>
      </c>
      <c r="P34" s="146">
        <v>0.970858</v>
      </c>
      <c r="R34" s="110">
        <v>0.3125</v>
      </c>
      <c r="S34" s="146">
        <v>1.5494699999999999</v>
      </c>
      <c r="T34" s="110">
        <v>0.3125</v>
      </c>
      <c r="U34" s="146">
        <v>1.1336200000000001</v>
      </c>
      <c r="V34" s="110">
        <v>0.3125</v>
      </c>
      <c r="W34" s="146">
        <v>1.88757</v>
      </c>
      <c r="Y34" s="110">
        <v>0.3125</v>
      </c>
      <c r="Z34" s="146">
        <v>1.4943500000000001</v>
      </c>
      <c r="AA34" s="110">
        <v>0.3125</v>
      </c>
      <c r="AB34" s="146">
        <v>0.77481800000000001</v>
      </c>
      <c r="AC34" s="110">
        <v>0.3125</v>
      </c>
      <c r="AD34" s="146">
        <v>1.8249</v>
      </c>
      <c r="AF34" s="110">
        <v>0.3125</v>
      </c>
      <c r="AG34" s="146">
        <v>6.0260199999999999</v>
      </c>
      <c r="AH34" s="110">
        <v>0.3125</v>
      </c>
      <c r="AI34" s="180">
        <v>13.712400000000001</v>
      </c>
      <c r="AJ34" s="110">
        <v>0.3125</v>
      </c>
      <c r="AK34" s="146">
        <v>15.3437</v>
      </c>
      <c r="AM34" s="110">
        <v>0.3125</v>
      </c>
      <c r="AN34" s="146">
        <v>0.91301900000000002</v>
      </c>
      <c r="AO34" s="110">
        <v>0.3125</v>
      </c>
      <c r="AP34" s="186">
        <v>3.64764</v>
      </c>
      <c r="AQ34" s="110">
        <v>0.3125</v>
      </c>
      <c r="AR34" s="146">
        <v>2.78904</v>
      </c>
      <c r="AT34" s="110">
        <v>0.3125</v>
      </c>
      <c r="AU34" s="20"/>
      <c r="AW34" s="110">
        <v>0.3125</v>
      </c>
      <c r="AX34" s="20"/>
    </row>
    <row r="35" spans="1:50" x14ac:dyDescent="0.3">
      <c r="A35" s="108">
        <v>0.23958333333333301</v>
      </c>
      <c r="B35" s="117">
        <f t="shared" si="0"/>
        <v>15413.5</v>
      </c>
      <c r="D35" s="110">
        <v>0.32291666666666702</v>
      </c>
      <c r="E35" s="146">
        <v>0.84472499999999995</v>
      </c>
      <c r="F35" s="110">
        <v>0.32291666666666702</v>
      </c>
      <c r="G35" s="146">
        <v>2.8336800000000002</v>
      </c>
      <c r="H35" s="110">
        <v>0.32291666666666702</v>
      </c>
      <c r="I35" s="146">
        <v>2.0776599999999998</v>
      </c>
      <c r="K35" s="110">
        <v>0.32291666666666702</v>
      </c>
      <c r="L35" s="146">
        <v>0.53971100000000005</v>
      </c>
      <c r="M35" s="110">
        <v>0.32291666666666702</v>
      </c>
      <c r="N35" s="146">
        <v>0.77825100000000003</v>
      </c>
      <c r="O35" s="110">
        <v>0.32291666666666702</v>
      </c>
      <c r="P35" s="146">
        <v>0.970858</v>
      </c>
      <c r="R35" s="110">
        <v>0.32291666666666702</v>
      </c>
      <c r="S35" s="146">
        <v>1.5494699999999999</v>
      </c>
      <c r="T35" s="110">
        <v>0.32291666666666702</v>
      </c>
      <c r="U35" s="146">
        <v>1.1336200000000001</v>
      </c>
      <c r="V35" s="110">
        <v>0.32291666666666702</v>
      </c>
      <c r="W35" s="146">
        <v>1.88757</v>
      </c>
      <c r="Y35" s="110">
        <v>0.32291666666666702</v>
      </c>
      <c r="Z35" s="146">
        <v>1.4943500000000001</v>
      </c>
      <c r="AA35" s="110">
        <v>0.32291666666666702</v>
      </c>
      <c r="AB35" s="146">
        <v>0.77481800000000001</v>
      </c>
      <c r="AC35" s="110">
        <v>0.32291666666666702</v>
      </c>
      <c r="AD35" s="146">
        <v>1.8249</v>
      </c>
      <c r="AF35" s="110">
        <v>0.32291666666666702</v>
      </c>
      <c r="AG35" s="146">
        <v>6.0260199999999999</v>
      </c>
      <c r="AH35" s="110">
        <v>0.32291666666666702</v>
      </c>
      <c r="AI35" s="180">
        <v>13.712400000000001</v>
      </c>
      <c r="AJ35" s="110">
        <v>0.32291666666666702</v>
      </c>
      <c r="AK35" s="146">
        <v>15.3437</v>
      </c>
      <c r="AM35" s="110">
        <v>0.32291666666666702</v>
      </c>
      <c r="AN35" s="146">
        <v>0.91301900000000002</v>
      </c>
      <c r="AO35" s="110">
        <v>0.32291666666666702</v>
      </c>
      <c r="AP35" s="186">
        <v>3.64764</v>
      </c>
      <c r="AQ35" s="110">
        <v>0.32291666666666702</v>
      </c>
      <c r="AR35" s="146">
        <v>2.78904</v>
      </c>
      <c r="AT35" s="110">
        <v>0.32291666666666702</v>
      </c>
      <c r="AU35" s="20"/>
      <c r="AW35" s="110">
        <v>0.32291666666666702</v>
      </c>
      <c r="AX35" s="20"/>
    </row>
    <row r="36" spans="1:50" x14ac:dyDescent="0.3">
      <c r="A36" s="108">
        <v>0.25</v>
      </c>
      <c r="B36" s="117">
        <f t="shared" si="0"/>
        <v>19414.8</v>
      </c>
      <c r="D36" s="110">
        <v>0.33333333333333298</v>
      </c>
      <c r="E36" s="146">
        <v>1.40374</v>
      </c>
      <c r="F36" s="110">
        <v>0.33333333333333298</v>
      </c>
      <c r="G36" s="146">
        <v>3.5952799999999998</v>
      </c>
      <c r="H36" s="110">
        <v>0.33333333333333298</v>
      </c>
      <c r="I36" s="146">
        <v>1.6967399999999999</v>
      </c>
      <c r="K36" s="110">
        <v>0.33333333333333298</v>
      </c>
      <c r="L36" s="146">
        <v>1.1594599999999999</v>
      </c>
      <c r="M36" s="110">
        <v>0.33333333333333298</v>
      </c>
      <c r="N36" s="146">
        <v>1.3006800000000001</v>
      </c>
      <c r="O36" s="110">
        <v>0.33333333333333298</v>
      </c>
      <c r="P36" s="146">
        <v>2.43451</v>
      </c>
      <c r="R36" s="110">
        <v>0.33333333333333298</v>
      </c>
      <c r="S36" s="146">
        <v>1.12483</v>
      </c>
      <c r="T36" s="110">
        <v>0.33333333333333298</v>
      </c>
      <c r="U36" s="146">
        <v>1.3431500000000001</v>
      </c>
      <c r="V36" s="110">
        <v>0.33333333333333298</v>
      </c>
      <c r="W36" s="146">
        <v>1.6507099999999999</v>
      </c>
      <c r="Y36" s="110">
        <v>0.33333333333333298</v>
      </c>
      <c r="Z36" s="146">
        <v>1.27712</v>
      </c>
      <c r="AA36" s="110">
        <v>0.33333333333333298</v>
      </c>
      <c r="AB36" s="146">
        <v>4.2563000000000004</v>
      </c>
      <c r="AC36" s="110">
        <v>0.33333333333333298</v>
      </c>
      <c r="AD36" s="146">
        <v>1.0617300000000001</v>
      </c>
      <c r="AF36" s="110">
        <v>0.33333333333333298</v>
      </c>
      <c r="AG36" s="146">
        <v>4.3818099999999998</v>
      </c>
      <c r="AH36" s="110">
        <v>0.33333333333333298</v>
      </c>
      <c r="AI36" s="180">
        <v>8.6042100000000001</v>
      </c>
      <c r="AJ36" s="110">
        <v>0.33333333333333298</v>
      </c>
      <c r="AK36" s="146">
        <v>11.697699999999999</v>
      </c>
      <c r="AM36" s="110">
        <v>0.33333333333333298</v>
      </c>
      <c r="AN36" s="146">
        <v>1.11311</v>
      </c>
      <c r="AO36" s="110">
        <v>0.33333333333333298</v>
      </c>
      <c r="AP36" s="186">
        <v>1.47394</v>
      </c>
      <c r="AQ36" s="110">
        <v>0.33333333333333298</v>
      </c>
      <c r="AR36" s="146">
        <v>1.91882</v>
      </c>
      <c r="AT36" s="110">
        <v>0.33333333333333298</v>
      </c>
      <c r="AU36" s="20"/>
      <c r="AW36" s="110">
        <v>0.33333333333333298</v>
      </c>
      <c r="AX36" s="20"/>
    </row>
    <row r="37" spans="1:50" x14ac:dyDescent="0.3">
      <c r="A37" s="108">
        <v>0.26041666666666702</v>
      </c>
      <c r="B37" s="117">
        <f t="shared" si="0"/>
        <v>19414.8</v>
      </c>
      <c r="D37" s="110">
        <v>0.34375</v>
      </c>
      <c r="E37" s="146">
        <v>1.40374</v>
      </c>
      <c r="F37" s="110">
        <v>0.34375</v>
      </c>
      <c r="G37" s="146">
        <v>3.5952799999999998</v>
      </c>
      <c r="H37" s="110">
        <v>0.34375</v>
      </c>
      <c r="I37" s="146">
        <v>1.6967399999999999</v>
      </c>
      <c r="K37" s="110">
        <v>0.34375</v>
      </c>
      <c r="L37" s="146">
        <v>1.1594599999999999</v>
      </c>
      <c r="M37" s="110">
        <v>0.34375</v>
      </c>
      <c r="N37" s="146">
        <v>1.3006800000000001</v>
      </c>
      <c r="O37" s="110">
        <v>0.34375</v>
      </c>
      <c r="P37" s="146">
        <v>2.43451</v>
      </c>
      <c r="R37" s="110">
        <v>0.34375</v>
      </c>
      <c r="S37" s="146">
        <v>1.12483</v>
      </c>
      <c r="T37" s="110">
        <v>0.34375</v>
      </c>
      <c r="U37" s="146">
        <v>1.3431500000000001</v>
      </c>
      <c r="V37" s="110">
        <v>0.34375</v>
      </c>
      <c r="W37" s="146">
        <v>1.6507099999999999</v>
      </c>
      <c r="Y37" s="110">
        <v>0.34375</v>
      </c>
      <c r="Z37" s="146">
        <v>1.27712</v>
      </c>
      <c r="AA37" s="110">
        <v>0.34375</v>
      </c>
      <c r="AB37" s="146">
        <v>4.2563000000000004</v>
      </c>
      <c r="AC37" s="110">
        <v>0.34375</v>
      </c>
      <c r="AD37" s="146">
        <v>1.0617300000000001</v>
      </c>
      <c r="AF37" s="110">
        <v>0.34375</v>
      </c>
      <c r="AG37" s="146">
        <v>4.3818099999999998</v>
      </c>
      <c r="AH37" s="110">
        <v>0.34375</v>
      </c>
      <c r="AI37" s="180">
        <v>8.6042100000000001</v>
      </c>
      <c r="AJ37" s="110">
        <v>0.34375</v>
      </c>
      <c r="AK37" s="146">
        <v>11.697699999999999</v>
      </c>
      <c r="AM37" s="110">
        <v>0.34375</v>
      </c>
      <c r="AN37" s="146">
        <v>1.11311</v>
      </c>
      <c r="AO37" s="110">
        <v>0.34375</v>
      </c>
      <c r="AP37" s="186">
        <v>1.47394</v>
      </c>
      <c r="AQ37" s="110">
        <v>0.34375</v>
      </c>
      <c r="AR37" s="146">
        <v>1.91882</v>
      </c>
      <c r="AT37" s="110">
        <v>0.34375</v>
      </c>
      <c r="AU37" s="20"/>
      <c r="AW37" s="110">
        <v>0.34375</v>
      </c>
      <c r="AX37" s="20"/>
    </row>
    <row r="38" spans="1:50" x14ac:dyDescent="0.3">
      <c r="A38" s="108">
        <v>0.27083333333333298</v>
      </c>
      <c r="B38" s="117">
        <f t="shared" si="0"/>
        <v>19414.8</v>
      </c>
      <c r="D38" s="110">
        <v>0.35416666666666702</v>
      </c>
      <c r="E38" s="146">
        <v>1.40374</v>
      </c>
      <c r="F38" s="110">
        <v>0.35416666666666702</v>
      </c>
      <c r="G38" s="146">
        <v>3.5952799999999998</v>
      </c>
      <c r="H38" s="110">
        <v>0.35416666666666702</v>
      </c>
      <c r="I38" s="146">
        <v>1.6967399999999999</v>
      </c>
      <c r="K38" s="110">
        <v>0.35416666666666702</v>
      </c>
      <c r="L38" s="146">
        <v>1.1594599999999999</v>
      </c>
      <c r="M38" s="110">
        <v>0.35416666666666702</v>
      </c>
      <c r="N38" s="146">
        <v>1.3006800000000001</v>
      </c>
      <c r="O38" s="110">
        <v>0.35416666666666702</v>
      </c>
      <c r="P38" s="146">
        <v>2.43451</v>
      </c>
      <c r="R38" s="110">
        <v>0.35416666666666702</v>
      </c>
      <c r="S38" s="146">
        <v>1.12483</v>
      </c>
      <c r="T38" s="110">
        <v>0.35416666666666702</v>
      </c>
      <c r="U38" s="146">
        <v>1.3431500000000001</v>
      </c>
      <c r="V38" s="110">
        <v>0.35416666666666702</v>
      </c>
      <c r="W38" s="146">
        <v>1.6507099999999999</v>
      </c>
      <c r="Y38" s="110">
        <v>0.35416666666666702</v>
      </c>
      <c r="Z38" s="146">
        <v>1.27712</v>
      </c>
      <c r="AA38" s="110">
        <v>0.35416666666666702</v>
      </c>
      <c r="AB38" s="146">
        <v>4.2563000000000004</v>
      </c>
      <c r="AC38" s="110">
        <v>0.35416666666666702</v>
      </c>
      <c r="AD38" s="146">
        <v>1.0617300000000001</v>
      </c>
      <c r="AF38" s="110">
        <v>0.35416666666666702</v>
      </c>
      <c r="AG38" s="146">
        <v>4.3818099999999998</v>
      </c>
      <c r="AH38" s="110">
        <v>0.35416666666666702</v>
      </c>
      <c r="AI38" s="180">
        <v>8.6042100000000001</v>
      </c>
      <c r="AJ38" s="110">
        <v>0.35416666666666702</v>
      </c>
      <c r="AK38" s="146">
        <v>11.697699999999999</v>
      </c>
      <c r="AM38" s="110">
        <v>0.35416666666666702</v>
      </c>
      <c r="AN38" s="146">
        <v>1.11311</v>
      </c>
      <c r="AO38" s="110">
        <v>0.35416666666666702</v>
      </c>
      <c r="AP38" s="186">
        <v>1.47394</v>
      </c>
      <c r="AQ38" s="110">
        <v>0.35416666666666702</v>
      </c>
      <c r="AR38" s="146">
        <v>1.91882</v>
      </c>
      <c r="AT38" s="110">
        <v>0.35416666666666702</v>
      </c>
      <c r="AU38" s="20"/>
      <c r="AW38" s="110">
        <v>0.35416666666666702</v>
      </c>
      <c r="AX38" s="20"/>
    </row>
    <row r="39" spans="1:50" x14ac:dyDescent="0.3">
      <c r="A39" s="108">
        <v>0.28125</v>
      </c>
      <c r="B39" s="117">
        <f t="shared" si="0"/>
        <v>19414.8</v>
      </c>
      <c r="D39" s="110">
        <v>0.36458333333333298</v>
      </c>
      <c r="E39" s="146">
        <v>1.40374</v>
      </c>
      <c r="F39" s="110">
        <v>0.36458333333333298</v>
      </c>
      <c r="G39" s="146">
        <v>3.5952799999999998</v>
      </c>
      <c r="H39" s="110">
        <v>0.36458333333333298</v>
      </c>
      <c r="I39" s="146">
        <v>1.6967399999999999</v>
      </c>
      <c r="K39" s="110">
        <v>0.36458333333333298</v>
      </c>
      <c r="L39" s="146">
        <v>1.1594599999999999</v>
      </c>
      <c r="M39" s="110">
        <v>0.36458333333333298</v>
      </c>
      <c r="N39" s="146">
        <v>1.3006800000000001</v>
      </c>
      <c r="O39" s="110">
        <v>0.36458333333333298</v>
      </c>
      <c r="P39" s="146">
        <v>2.43451</v>
      </c>
      <c r="R39" s="110">
        <v>0.36458333333333298</v>
      </c>
      <c r="S39" s="146">
        <v>1.12483</v>
      </c>
      <c r="T39" s="110">
        <v>0.36458333333333298</v>
      </c>
      <c r="U39" s="146">
        <v>1.3431500000000001</v>
      </c>
      <c r="V39" s="110">
        <v>0.36458333333333298</v>
      </c>
      <c r="W39" s="146">
        <v>1.6507099999999999</v>
      </c>
      <c r="Y39" s="110">
        <v>0.36458333333333298</v>
      </c>
      <c r="Z39" s="146">
        <v>1.27712</v>
      </c>
      <c r="AA39" s="110">
        <v>0.36458333333333298</v>
      </c>
      <c r="AB39" s="146">
        <v>4.2563000000000004</v>
      </c>
      <c r="AC39" s="110">
        <v>0.36458333333333298</v>
      </c>
      <c r="AD39" s="146">
        <v>1.0617300000000001</v>
      </c>
      <c r="AF39" s="110">
        <v>0.36458333333333298</v>
      </c>
      <c r="AG39" s="146">
        <v>4.3818099999999998</v>
      </c>
      <c r="AH39" s="110">
        <v>0.36458333333333298</v>
      </c>
      <c r="AI39" s="180">
        <v>8.6042100000000001</v>
      </c>
      <c r="AJ39" s="110">
        <v>0.36458333333333298</v>
      </c>
      <c r="AK39" s="146">
        <v>11.697699999999999</v>
      </c>
      <c r="AM39" s="110">
        <v>0.36458333333333298</v>
      </c>
      <c r="AN39" s="146">
        <v>1.11311</v>
      </c>
      <c r="AO39" s="110">
        <v>0.36458333333333298</v>
      </c>
      <c r="AP39" s="186">
        <v>1.47394</v>
      </c>
      <c r="AQ39" s="110">
        <v>0.36458333333333298</v>
      </c>
      <c r="AR39" s="146">
        <v>1.91882</v>
      </c>
      <c r="AT39" s="110">
        <v>0.36458333333333298</v>
      </c>
      <c r="AU39" s="20"/>
      <c r="AW39" s="110">
        <v>0.36458333333333298</v>
      </c>
      <c r="AX39" s="20"/>
    </row>
    <row r="40" spans="1:50" x14ac:dyDescent="0.3">
      <c r="A40" s="108">
        <v>0.29166666666666702</v>
      </c>
      <c r="B40" s="117">
        <f t="shared" si="0"/>
        <v>15343.7</v>
      </c>
      <c r="D40" s="110">
        <v>0.375</v>
      </c>
      <c r="E40" s="146">
        <v>1.0568900000000001</v>
      </c>
      <c r="F40" s="110">
        <v>0.375</v>
      </c>
      <c r="G40" s="146">
        <v>1.7267399999999999</v>
      </c>
      <c r="H40" s="110">
        <v>0.375</v>
      </c>
      <c r="I40" s="146">
        <v>4.5893600000000001</v>
      </c>
      <c r="K40" s="110">
        <v>0.375</v>
      </c>
      <c r="L40" s="146">
        <v>1.1521600000000001</v>
      </c>
      <c r="M40" s="110">
        <v>0.375</v>
      </c>
      <c r="N40" s="146">
        <v>1.0625100000000001</v>
      </c>
      <c r="O40" s="110">
        <v>0.375</v>
      </c>
      <c r="P40" s="146">
        <v>1.6664600000000001</v>
      </c>
      <c r="R40" s="110">
        <v>0.375</v>
      </c>
      <c r="S40" s="146">
        <v>1.56443</v>
      </c>
      <c r="T40" s="110">
        <v>0.375</v>
      </c>
      <c r="U40" s="146">
        <v>2.02494</v>
      </c>
      <c r="V40" s="110">
        <v>0.375</v>
      </c>
      <c r="W40" s="146">
        <v>2.0224799999999998</v>
      </c>
      <c r="Y40" s="110">
        <v>0.375</v>
      </c>
      <c r="Z40" s="146">
        <v>0.91092099999999998</v>
      </c>
      <c r="AA40" s="110">
        <v>0.375</v>
      </c>
      <c r="AB40" s="146">
        <v>0.94058799999999998</v>
      </c>
      <c r="AC40" s="110">
        <v>0.375</v>
      </c>
      <c r="AD40" s="146">
        <v>1.1587799999999999</v>
      </c>
      <c r="AF40" s="110">
        <v>0.375</v>
      </c>
      <c r="AG40" s="146">
        <v>3.2703000000000002</v>
      </c>
      <c r="AH40" s="110">
        <v>0.375</v>
      </c>
      <c r="AI40" s="180">
        <v>6.5142199999999999</v>
      </c>
      <c r="AJ40" s="110">
        <v>0.375</v>
      </c>
      <c r="AK40" s="146">
        <v>9.2476000000000003</v>
      </c>
      <c r="AM40" s="110">
        <v>0.375</v>
      </c>
      <c r="AN40" s="146">
        <v>1.5763400000000001</v>
      </c>
      <c r="AO40" s="110">
        <v>0.375</v>
      </c>
      <c r="AP40" s="186">
        <v>1.7523599999999999</v>
      </c>
      <c r="AQ40" s="110">
        <v>0.375</v>
      </c>
      <c r="AR40" s="146">
        <v>2.1760799999999998</v>
      </c>
      <c r="AT40" s="110">
        <v>0.375</v>
      </c>
      <c r="AU40" s="20"/>
      <c r="AW40" s="110">
        <v>0.375</v>
      </c>
      <c r="AX40" s="20"/>
    </row>
    <row r="41" spans="1:50" x14ac:dyDescent="0.3">
      <c r="A41" s="108">
        <v>0.30208333333333298</v>
      </c>
      <c r="B41" s="117">
        <f t="shared" si="0"/>
        <v>15343.7</v>
      </c>
      <c r="D41" s="110">
        <v>0.38541666666666702</v>
      </c>
      <c r="E41" s="146">
        <v>1.0568900000000001</v>
      </c>
      <c r="F41" s="110">
        <v>0.38541666666666702</v>
      </c>
      <c r="G41" s="146">
        <v>1.7267399999999999</v>
      </c>
      <c r="H41" s="110">
        <v>0.38541666666666702</v>
      </c>
      <c r="I41" s="146">
        <v>4.5893600000000001</v>
      </c>
      <c r="K41" s="110">
        <v>0.38541666666666702</v>
      </c>
      <c r="L41" s="146">
        <v>1.1521600000000001</v>
      </c>
      <c r="M41" s="110">
        <v>0.38541666666666702</v>
      </c>
      <c r="N41" s="146">
        <v>1.0625100000000001</v>
      </c>
      <c r="O41" s="110">
        <v>0.38541666666666702</v>
      </c>
      <c r="P41" s="146">
        <v>1.6664600000000001</v>
      </c>
      <c r="R41" s="110">
        <v>0.38541666666666702</v>
      </c>
      <c r="S41" s="146">
        <v>1.56443</v>
      </c>
      <c r="T41" s="110">
        <v>0.38541666666666702</v>
      </c>
      <c r="U41" s="146">
        <v>2.02494</v>
      </c>
      <c r="V41" s="110">
        <v>0.38541666666666702</v>
      </c>
      <c r="W41" s="146">
        <v>2.0224799999999998</v>
      </c>
      <c r="Y41" s="110">
        <v>0.38541666666666702</v>
      </c>
      <c r="Z41" s="146">
        <v>0.91092099999999998</v>
      </c>
      <c r="AA41" s="110">
        <v>0.38541666666666702</v>
      </c>
      <c r="AB41" s="146">
        <v>0.94058799999999998</v>
      </c>
      <c r="AC41" s="110">
        <v>0.38541666666666702</v>
      </c>
      <c r="AD41" s="146">
        <v>1.1587799999999999</v>
      </c>
      <c r="AF41" s="110">
        <v>0.38541666666666702</v>
      </c>
      <c r="AG41" s="146">
        <v>3.2703000000000002</v>
      </c>
      <c r="AH41" s="110">
        <v>0.38541666666666702</v>
      </c>
      <c r="AI41" s="180">
        <v>6.5142199999999999</v>
      </c>
      <c r="AJ41" s="110">
        <v>0.38541666666666702</v>
      </c>
      <c r="AK41" s="146">
        <v>9.2476000000000003</v>
      </c>
      <c r="AM41" s="110">
        <v>0.38541666666666702</v>
      </c>
      <c r="AN41" s="146">
        <v>1.5763400000000001</v>
      </c>
      <c r="AO41" s="110">
        <v>0.38541666666666702</v>
      </c>
      <c r="AP41" s="186">
        <v>1.7523599999999999</v>
      </c>
      <c r="AQ41" s="110">
        <v>0.38541666666666702</v>
      </c>
      <c r="AR41" s="146">
        <v>2.1760799999999998</v>
      </c>
      <c r="AT41" s="110">
        <v>0.38541666666666702</v>
      </c>
      <c r="AU41" s="20"/>
      <c r="AW41" s="110">
        <v>0.38541666666666702</v>
      </c>
      <c r="AX41" s="20"/>
    </row>
    <row r="42" spans="1:50" x14ac:dyDescent="0.3">
      <c r="A42" s="108">
        <v>0.3125</v>
      </c>
      <c r="B42" s="117">
        <f t="shared" si="0"/>
        <v>15343.7</v>
      </c>
      <c r="D42" s="110">
        <v>0.39583333333333298</v>
      </c>
      <c r="E42" s="146">
        <v>1.0568900000000001</v>
      </c>
      <c r="F42" s="110">
        <v>0.39583333333333298</v>
      </c>
      <c r="G42" s="146">
        <v>1.7267399999999999</v>
      </c>
      <c r="H42" s="110">
        <v>0.39583333333333298</v>
      </c>
      <c r="I42" s="146">
        <v>4.5893600000000001</v>
      </c>
      <c r="K42" s="110">
        <v>0.39583333333333298</v>
      </c>
      <c r="L42" s="146">
        <v>1.1521600000000001</v>
      </c>
      <c r="M42" s="110">
        <v>0.39583333333333298</v>
      </c>
      <c r="N42" s="146">
        <v>1.0625100000000001</v>
      </c>
      <c r="O42" s="110">
        <v>0.39583333333333298</v>
      </c>
      <c r="P42" s="146">
        <v>1.6664600000000001</v>
      </c>
      <c r="R42" s="110">
        <v>0.39583333333333298</v>
      </c>
      <c r="S42" s="146">
        <v>1.56443</v>
      </c>
      <c r="T42" s="110">
        <v>0.39583333333333298</v>
      </c>
      <c r="U42" s="146">
        <v>2.02494</v>
      </c>
      <c r="V42" s="110">
        <v>0.39583333333333298</v>
      </c>
      <c r="W42" s="146">
        <v>2.0224799999999998</v>
      </c>
      <c r="Y42" s="110">
        <v>0.39583333333333298</v>
      </c>
      <c r="Z42" s="146">
        <v>0.91092099999999998</v>
      </c>
      <c r="AA42" s="110">
        <v>0.39583333333333298</v>
      </c>
      <c r="AB42" s="146">
        <v>0.94058799999999998</v>
      </c>
      <c r="AC42" s="110">
        <v>0.39583333333333298</v>
      </c>
      <c r="AD42" s="146">
        <v>1.1587799999999999</v>
      </c>
      <c r="AF42" s="110">
        <v>0.39583333333333298</v>
      </c>
      <c r="AG42" s="146">
        <v>3.2703000000000002</v>
      </c>
      <c r="AH42" s="110">
        <v>0.39583333333333298</v>
      </c>
      <c r="AI42" s="180">
        <v>6.5142199999999999</v>
      </c>
      <c r="AJ42" s="110">
        <v>0.39583333333333298</v>
      </c>
      <c r="AK42" s="146">
        <v>9.2476000000000003</v>
      </c>
      <c r="AM42" s="110">
        <v>0.39583333333333298</v>
      </c>
      <c r="AN42" s="146">
        <v>1.5763400000000001</v>
      </c>
      <c r="AO42" s="110">
        <v>0.39583333333333298</v>
      </c>
      <c r="AP42" s="186">
        <v>1.7523599999999999</v>
      </c>
      <c r="AQ42" s="110">
        <v>0.39583333333333298</v>
      </c>
      <c r="AR42" s="146">
        <v>2.1760799999999998</v>
      </c>
      <c r="AT42" s="110">
        <v>0.39583333333333298</v>
      </c>
      <c r="AU42" s="20"/>
      <c r="AW42" s="110">
        <v>0.39583333333333298</v>
      </c>
      <c r="AX42" s="20"/>
    </row>
    <row r="43" spans="1:50" x14ac:dyDescent="0.3">
      <c r="A43" s="108">
        <v>0.32291666666666702</v>
      </c>
      <c r="B43" s="117">
        <f t="shared" si="0"/>
        <v>15343.7</v>
      </c>
      <c r="D43" s="110">
        <v>0.40625</v>
      </c>
      <c r="E43" s="146">
        <v>1.0568900000000001</v>
      </c>
      <c r="F43" s="110">
        <v>0.40625</v>
      </c>
      <c r="G43" s="146">
        <v>1.7267399999999999</v>
      </c>
      <c r="H43" s="110">
        <v>0.40625</v>
      </c>
      <c r="I43" s="146">
        <v>4.5893600000000001</v>
      </c>
      <c r="K43" s="110">
        <v>0.40625</v>
      </c>
      <c r="L43" s="146">
        <v>1.1521600000000001</v>
      </c>
      <c r="M43" s="110">
        <v>0.40625</v>
      </c>
      <c r="N43" s="146">
        <v>1.0625100000000001</v>
      </c>
      <c r="O43" s="110">
        <v>0.40625</v>
      </c>
      <c r="P43" s="146">
        <v>1.6664600000000001</v>
      </c>
      <c r="R43" s="110">
        <v>0.40625</v>
      </c>
      <c r="S43" s="146">
        <v>1.56443</v>
      </c>
      <c r="T43" s="110">
        <v>0.40625</v>
      </c>
      <c r="U43" s="146">
        <v>2.02494</v>
      </c>
      <c r="V43" s="110">
        <v>0.40625</v>
      </c>
      <c r="W43" s="146">
        <v>2.0224799999999998</v>
      </c>
      <c r="Y43" s="110">
        <v>0.40625</v>
      </c>
      <c r="Z43" s="146">
        <v>0.91092099999999998</v>
      </c>
      <c r="AA43" s="110">
        <v>0.40625</v>
      </c>
      <c r="AB43" s="146">
        <v>0.94058799999999998</v>
      </c>
      <c r="AC43" s="110">
        <v>0.40625</v>
      </c>
      <c r="AD43" s="146">
        <v>1.1587799999999999</v>
      </c>
      <c r="AF43" s="110">
        <v>0.40625</v>
      </c>
      <c r="AG43" s="146">
        <v>3.2703000000000002</v>
      </c>
      <c r="AH43" s="110">
        <v>0.40625</v>
      </c>
      <c r="AI43" s="180">
        <v>6.5142199999999999</v>
      </c>
      <c r="AJ43" s="110">
        <v>0.40625</v>
      </c>
      <c r="AK43" s="146">
        <v>9.2476000000000003</v>
      </c>
      <c r="AM43" s="110">
        <v>0.40625</v>
      </c>
      <c r="AN43" s="146">
        <v>1.5763400000000001</v>
      </c>
      <c r="AO43" s="110">
        <v>0.40625</v>
      </c>
      <c r="AP43" s="186">
        <v>1.7523599999999999</v>
      </c>
      <c r="AQ43" s="110">
        <v>0.40625</v>
      </c>
      <c r="AR43" s="146">
        <v>2.1760799999999998</v>
      </c>
      <c r="AT43" s="110">
        <v>0.40625</v>
      </c>
      <c r="AU43" s="20"/>
      <c r="AW43" s="110">
        <v>0.40625</v>
      </c>
      <c r="AX43" s="20"/>
    </row>
    <row r="44" spans="1:50" x14ac:dyDescent="0.3">
      <c r="A44" s="108">
        <v>0.33333333333333298</v>
      </c>
      <c r="B44" s="117">
        <f t="shared" si="0"/>
        <v>11697.699999999999</v>
      </c>
      <c r="D44" s="110">
        <v>0.41666666666666702</v>
      </c>
      <c r="E44" s="146">
        <v>0.83025599999999999</v>
      </c>
      <c r="F44" s="110">
        <v>0.41666666666666702</v>
      </c>
      <c r="G44" s="146">
        <v>3.23726</v>
      </c>
      <c r="H44" s="110">
        <v>0.41666666666666702</v>
      </c>
      <c r="I44" s="146">
        <v>4.2265600000000001</v>
      </c>
      <c r="K44" s="110">
        <v>0.41666666666666702</v>
      </c>
      <c r="L44" s="146">
        <v>0.76147200000000004</v>
      </c>
      <c r="M44" s="110">
        <v>0.41666666666666702</v>
      </c>
      <c r="N44" s="146">
        <v>1.2311399999999999</v>
      </c>
      <c r="O44" s="110">
        <v>0.41666666666666702</v>
      </c>
      <c r="P44" s="146">
        <v>2.0792799999999998</v>
      </c>
      <c r="R44" s="110">
        <v>0.41666666666666702</v>
      </c>
      <c r="S44" s="146">
        <v>1.37229</v>
      </c>
      <c r="T44" s="110">
        <v>0.41666666666666702</v>
      </c>
      <c r="U44" s="146">
        <v>2.66784</v>
      </c>
      <c r="V44" s="110">
        <v>0.41666666666666702</v>
      </c>
      <c r="W44" s="146">
        <v>2.98386</v>
      </c>
      <c r="Y44" s="110">
        <v>0.41666666666666702</v>
      </c>
      <c r="Z44" s="146">
        <v>0.67089500000000002</v>
      </c>
      <c r="AA44" s="110">
        <v>0.41666666666666702</v>
      </c>
      <c r="AB44" s="146">
        <v>1.59355</v>
      </c>
      <c r="AC44" s="110">
        <v>0.41666666666666702</v>
      </c>
      <c r="AD44" s="146">
        <v>1.1809400000000001</v>
      </c>
      <c r="AF44" s="110">
        <v>0.41666666666666702</v>
      </c>
      <c r="AG44" s="146">
        <v>4.9748299999999999</v>
      </c>
      <c r="AH44" s="110">
        <v>0.41666666666666702</v>
      </c>
      <c r="AI44" s="180">
        <v>6.4980500000000001</v>
      </c>
      <c r="AJ44" s="110">
        <v>0.41666666666666702</v>
      </c>
      <c r="AK44" s="146">
        <v>11.928599999999999</v>
      </c>
      <c r="AM44" s="110">
        <v>0.41666666666666702</v>
      </c>
      <c r="AN44" s="146">
        <v>1.5349299999999999</v>
      </c>
      <c r="AO44" s="110">
        <v>0.41666666666666702</v>
      </c>
      <c r="AP44" s="186">
        <v>2.1054300000000001</v>
      </c>
      <c r="AQ44" s="110">
        <v>0.41666666666666702</v>
      </c>
      <c r="AR44" s="146">
        <v>2.5815800000000002</v>
      </c>
      <c r="AT44" s="110">
        <v>0.41666666666666702</v>
      </c>
      <c r="AU44" s="20"/>
      <c r="AW44" s="110">
        <v>0.41666666666666702</v>
      </c>
      <c r="AX44" s="20"/>
    </row>
    <row r="45" spans="1:50" x14ac:dyDescent="0.3">
      <c r="A45" s="108">
        <v>0.34375</v>
      </c>
      <c r="B45" s="117">
        <f t="shared" si="0"/>
        <v>11697.699999999999</v>
      </c>
      <c r="D45" s="110">
        <v>0.42708333333333298</v>
      </c>
      <c r="E45" s="146">
        <v>0.83025599999999999</v>
      </c>
      <c r="F45" s="110">
        <v>0.42708333333333298</v>
      </c>
      <c r="G45" s="146">
        <v>3.23726</v>
      </c>
      <c r="H45" s="110">
        <v>0.42708333333333298</v>
      </c>
      <c r="I45" s="146">
        <v>4.2265600000000001</v>
      </c>
      <c r="K45" s="110">
        <v>0.42708333333333298</v>
      </c>
      <c r="L45" s="146">
        <v>0.76147200000000004</v>
      </c>
      <c r="M45" s="110">
        <v>0.42708333333333298</v>
      </c>
      <c r="N45" s="146">
        <v>1.2311399999999999</v>
      </c>
      <c r="O45" s="110">
        <v>0.42708333333333298</v>
      </c>
      <c r="P45" s="146">
        <v>2.0792799999999998</v>
      </c>
      <c r="R45" s="110">
        <v>0.42708333333333298</v>
      </c>
      <c r="S45" s="146">
        <v>1.37229</v>
      </c>
      <c r="T45" s="110">
        <v>0.42708333333333298</v>
      </c>
      <c r="U45" s="146">
        <v>2.66784</v>
      </c>
      <c r="V45" s="110">
        <v>0.42708333333333298</v>
      </c>
      <c r="W45" s="146">
        <v>2.98386</v>
      </c>
      <c r="Y45" s="110">
        <v>0.42708333333333298</v>
      </c>
      <c r="Z45" s="146">
        <v>0.67089500000000002</v>
      </c>
      <c r="AA45" s="110">
        <v>0.42708333333333298</v>
      </c>
      <c r="AB45" s="146">
        <v>1.59355</v>
      </c>
      <c r="AC45" s="110">
        <v>0.42708333333333298</v>
      </c>
      <c r="AD45" s="146">
        <v>1.1809400000000001</v>
      </c>
      <c r="AF45" s="110">
        <v>0.42708333333333298</v>
      </c>
      <c r="AG45" s="146">
        <v>4.9748299999999999</v>
      </c>
      <c r="AH45" s="110">
        <v>0.42708333333333298</v>
      </c>
      <c r="AI45" s="180">
        <v>6.4980500000000001</v>
      </c>
      <c r="AJ45" s="110">
        <v>0.42708333333333298</v>
      </c>
      <c r="AK45" s="146">
        <v>11.928599999999999</v>
      </c>
      <c r="AM45" s="110">
        <v>0.42708333333333298</v>
      </c>
      <c r="AN45" s="146">
        <v>1.5349299999999999</v>
      </c>
      <c r="AO45" s="110">
        <v>0.42708333333333298</v>
      </c>
      <c r="AP45" s="186">
        <v>2.1054300000000001</v>
      </c>
      <c r="AQ45" s="110">
        <v>0.42708333333333298</v>
      </c>
      <c r="AR45" s="146">
        <v>2.5815800000000002</v>
      </c>
      <c r="AT45" s="110">
        <v>0.42708333333333298</v>
      </c>
      <c r="AU45" s="20"/>
      <c r="AW45" s="110">
        <v>0.42708333333333298</v>
      </c>
      <c r="AX45" s="20"/>
    </row>
    <row r="46" spans="1:50" x14ac:dyDescent="0.3">
      <c r="A46" s="108">
        <v>0.35416666666666702</v>
      </c>
      <c r="B46" s="117">
        <f t="shared" si="0"/>
        <v>11697.699999999999</v>
      </c>
      <c r="D46" s="110">
        <v>0.4375</v>
      </c>
      <c r="E46" s="146">
        <v>0.83025599999999999</v>
      </c>
      <c r="F46" s="110">
        <v>0.4375</v>
      </c>
      <c r="G46" s="146">
        <v>3.23726</v>
      </c>
      <c r="H46" s="110">
        <v>0.4375</v>
      </c>
      <c r="I46" s="146">
        <v>4.2265600000000001</v>
      </c>
      <c r="K46" s="110">
        <v>0.4375</v>
      </c>
      <c r="L46" s="146">
        <v>0.76147200000000004</v>
      </c>
      <c r="M46" s="110">
        <v>0.4375</v>
      </c>
      <c r="N46" s="146">
        <v>1.2311399999999999</v>
      </c>
      <c r="O46" s="110">
        <v>0.4375</v>
      </c>
      <c r="P46" s="146">
        <v>2.0792799999999998</v>
      </c>
      <c r="R46" s="110">
        <v>0.4375</v>
      </c>
      <c r="S46" s="146">
        <v>1.37229</v>
      </c>
      <c r="T46" s="110">
        <v>0.4375</v>
      </c>
      <c r="U46" s="146">
        <v>2.66784</v>
      </c>
      <c r="V46" s="110">
        <v>0.4375</v>
      </c>
      <c r="W46" s="146">
        <v>2.98386</v>
      </c>
      <c r="Y46" s="110">
        <v>0.4375</v>
      </c>
      <c r="Z46" s="146">
        <v>0.67089500000000002</v>
      </c>
      <c r="AA46" s="110">
        <v>0.4375</v>
      </c>
      <c r="AB46" s="146">
        <v>1.59355</v>
      </c>
      <c r="AC46" s="110">
        <v>0.4375</v>
      </c>
      <c r="AD46" s="146">
        <v>1.1809400000000001</v>
      </c>
      <c r="AF46" s="110">
        <v>0.4375</v>
      </c>
      <c r="AG46" s="146">
        <v>4.9748299999999999</v>
      </c>
      <c r="AH46" s="110">
        <v>0.4375</v>
      </c>
      <c r="AI46" s="180">
        <v>6.4980500000000001</v>
      </c>
      <c r="AJ46" s="110">
        <v>0.4375</v>
      </c>
      <c r="AK46" s="146">
        <v>11.928599999999999</v>
      </c>
      <c r="AM46" s="110">
        <v>0.4375</v>
      </c>
      <c r="AN46" s="146">
        <v>1.5349299999999999</v>
      </c>
      <c r="AO46" s="110">
        <v>0.4375</v>
      </c>
      <c r="AP46" s="186">
        <v>2.1054300000000001</v>
      </c>
      <c r="AQ46" s="110">
        <v>0.4375</v>
      </c>
      <c r="AR46" s="146">
        <v>2.5815800000000002</v>
      </c>
      <c r="AT46" s="110">
        <v>0.4375</v>
      </c>
      <c r="AU46" s="20"/>
      <c r="AW46" s="110">
        <v>0.4375</v>
      </c>
      <c r="AX46" s="20"/>
    </row>
    <row r="47" spans="1:50" x14ac:dyDescent="0.3">
      <c r="A47" s="108">
        <v>0.36458333333333298</v>
      </c>
      <c r="B47" s="117">
        <f t="shared" si="0"/>
        <v>11697.699999999999</v>
      </c>
      <c r="D47" s="110">
        <v>0.44791666666666702</v>
      </c>
      <c r="E47" s="146">
        <v>0.83025599999999999</v>
      </c>
      <c r="F47" s="110">
        <v>0.44791666666666702</v>
      </c>
      <c r="G47" s="146">
        <v>3.23726</v>
      </c>
      <c r="H47" s="110">
        <v>0.44791666666666702</v>
      </c>
      <c r="I47" s="146">
        <v>4.2265600000000001</v>
      </c>
      <c r="K47" s="110">
        <v>0.44791666666666702</v>
      </c>
      <c r="L47" s="146">
        <v>0.76147200000000004</v>
      </c>
      <c r="M47" s="110">
        <v>0.44791666666666702</v>
      </c>
      <c r="N47" s="146">
        <v>1.2311399999999999</v>
      </c>
      <c r="O47" s="110">
        <v>0.44791666666666702</v>
      </c>
      <c r="P47" s="146">
        <v>2.0792799999999998</v>
      </c>
      <c r="R47" s="110">
        <v>0.44791666666666702</v>
      </c>
      <c r="S47" s="146">
        <v>1.37229</v>
      </c>
      <c r="T47" s="110">
        <v>0.44791666666666702</v>
      </c>
      <c r="U47" s="146">
        <v>2.66784</v>
      </c>
      <c r="V47" s="110">
        <v>0.44791666666666702</v>
      </c>
      <c r="W47" s="146">
        <v>2.98386</v>
      </c>
      <c r="Y47" s="110">
        <v>0.44791666666666702</v>
      </c>
      <c r="Z47" s="146">
        <v>0.67089500000000002</v>
      </c>
      <c r="AA47" s="110">
        <v>0.44791666666666702</v>
      </c>
      <c r="AB47" s="146">
        <v>1.59355</v>
      </c>
      <c r="AC47" s="110">
        <v>0.44791666666666702</v>
      </c>
      <c r="AD47" s="146">
        <v>1.1809400000000001</v>
      </c>
      <c r="AF47" s="110">
        <v>0.44791666666666702</v>
      </c>
      <c r="AG47" s="146">
        <v>4.9748299999999999</v>
      </c>
      <c r="AH47" s="110">
        <v>0.44791666666666702</v>
      </c>
      <c r="AI47" s="180">
        <v>6.4980500000000001</v>
      </c>
      <c r="AJ47" s="110">
        <v>0.44791666666666702</v>
      </c>
      <c r="AK47" s="146">
        <v>11.928599999999999</v>
      </c>
      <c r="AM47" s="110">
        <v>0.44791666666666702</v>
      </c>
      <c r="AN47" s="146">
        <v>1.5349299999999999</v>
      </c>
      <c r="AO47" s="110">
        <v>0.44791666666666702</v>
      </c>
      <c r="AP47" s="186">
        <v>2.1054300000000001</v>
      </c>
      <c r="AQ47" s="110">
        <v>0.44791666666666702</v>
      </c>
      <c r="AR47" s="146">
        <v>2.5815800000000002</v>
      </c>
      <c r="AT47" s="110">
        <v>0.44791666666666702</v>
      </c>
      <c r="AU47" s="20"/>
      <c r="AW47" s="110">
        <v>0.44791666666666702</v>
      </c>
      <c r="AX47" s="20"/>
    </row>
    <row r="48" spans="1:50" x14ac:dyDescent="0.3">
      <c r="A48" s="108">
        <v>0.375</v>
      </c>
      <c r="B48" s="117">
        <f t="shared" si="0"/>
        <v>9247.6</v>
      </c>
      <c r="D48" s="110">
        <v>0.45833333333333298</v>
      </c>
      <c r="E48" s="146">
        <v>0.73102500000000004</v>
      </c>
      <c r="F48" s="110">
        <v>0.45833333333333298</v>
      </c>
      <c r="G48" s="146">
        <v>5.5186999999999999</v>
      </c>
      <c r="H48" s="110">
        <v>0.45833333333333298</v>
      </c>
      <c r="I48" s="146">
        <v>1.25284</v>
      </c>
      <c r="K48" s="110">
        <v>0.45833333333333298</v>
      </c>
      <c r="L48" s="146">
        <v>0.79993099999999995</v>
      </c>
      <c r="M48" s="110">
        <v>0.45833333333333298</v>
      </c>
      <c r="N48" s="146">
        <v>2.0143800000000001</v>
      </c>
      <c r="O48" s="110">
        <v>0.45833333333333298</v>
      </c>
      <c r="P48" s="146">
        <v>1.50115</v>
      </c>
      <c r="R48" s="110">
        <v>0.45833333333333298</v>
      </c>
      <c r="S48" s="146">
        <v>1.49857</v>
      </c>
      <c r="T48" s="110">
        <v>0.45833333333333298</v>
      </c>
      <c r="U48" s="146">
        <v>3.1555900000000001</v>
      </c>
      <c r="V48" s="110">
        <v>0.45833333333333298</v>
      </c>
      <c r="W48" s="146">
        <v>2.5087999999999999</v>
      </c>
      <c r="Y48" s="110">
        <v>0.45833333333333298</v>
      </c>
      <c r="Z48" s="146">
        <v>1.10524</v>
      </c>
      <c r="AA48" s="110">
        <v>0.45833333333333298</v>
      </c>
      <c r="AB48" s="146">
        <v>1.64771</v>
      </c>
      <c r="AC48" s="110">
        <v>0.45833333333333298</v>
      </c>
      <c r="AD48" s="146">
        <v>1.2054199999999999</v>
      </c>
      <c r="AF48" s="110">
        <v>0.45833333333333298</v>
      </c>
      <c r="AG48" s="146">
        <v>3.82938</v>
      </c>
      <c r="AH48" s="110">
        <v>0.45833333333333298</v>
      </c>
      <c r="AI48" s="180">
        <v>5.0827</v>
      </c>
      <c r="AJ48" s="110">
        <v>0.45833333333333298</v>
      </c>
      <c r="AK48" s="146">
        <v>6.0716000000000001</v>
      </c>
      <c r="AM48" s="110">
        <v>0.45833333333333298</v>
      </c>
      <c r="AN48" s="146">
        <v>1.71055</v>
      </c>
      <c r="AO48" s="110">
        <v>0.45833333333333298</v>
      </c>
      <c r="AP48" s="186">
        <v>2.1613899999999999</v>
      </c>
      <c r="AQ48" s="110">
        <v>0.45833333333333298</v>
      </c>
      <c r="AR48" s="146">
        <v>2.69103</v>
      </c>
      <c r="AT48" s="110">
        <v>0.45833333333333298</v>
      </c>
      <c r="AU48" s="20"/>
      <c r="AW48" s="110">
        <v>0.45833333333333298</v>
      </c>
      <c r="AX48" s="20"/>
    </row>
    <row r="49" spans="1:50" x14ac:dyDescent="0.3">
      <c r="A49" s="108">
        <v>0.38541666666666702</v>
      </c>
      <c r="B49" s="117">
        <f t="shared" si="0"/>
        <v>9247.6</v>
      </c>
      <c r="D49" s="110">
        <v>0.46875</v>
      </c>
      <c r="E49" s="146">
        <v>0.73102500000000004</v>
      </c>
      <c r="F49" s="110">
        <v>0.46875</v>
      </c>
      <c r="G49" s="146">
        <v>5.5186999999999999</v>
      </c>
      <c r="H49" s="110">
        <v>0.46875</v>
      </c>
      <c r="I49" s="146">
        <v>1.25284</v>
      </c>
      <c r="K49" s="110">
        <v>0.46875</v>
      </c>
      <c r="L49" s="146">
        <v>0.79993099999999995</v>
      </c>
      <c r="M49" s="110">
        <v>0.46875</v>
      </c>
      <c r="N49" s="146">
        <v>2.0143800000000001</v>
      </c>
      <c r="O49" s="110">
        <v>0.46875</v>
      </c>
      <c r="P49" s="146">
        <v>1.50115</v>
      </c>
      <c r="R49" s="110">
        <v>0.46875</v>
      </c>
      <c r="S49" s="146">
        <v>1.49857</v>
      </c>
      <c r="T49" s="110">
        <v>0.46875</v>
      </c>
      <c r="U49" s="146">
        <v>3.1555900000000001</v>
      </c>
      <c r="V49" s="110">
        <v>0.46875</v>
      </c>
      <c r="W49" s="146">
        <v>2.5087999999999999</v>
      </c>
      <c r="Y49" s="110">
        <v>0.46875</v>
      </c>
      <c r="Z49" s="146">
        <v>1.10524</v>
      </c>
      <c r="AA49" s="110">
        <v>0.46875</v>
      </c>
      <c r="AB49" s="146">
        <v>1.64771</v>
      </c>
      <c r="AC49" s="110">
        <v>0.46875</v>
      </c>
      <c r="AD49" s="146">
        <v>1.2054199999999999</v>
      </c>
      <c r="AF49" s="110">
        <v>0.46875</v>
      </c>
      <c r="AG49" s="146">
        <v>3.82938</v>
      </c>
      <c r="AH49" s="110">
        <v>0.46875</v>
      </c>
      <c r="AI49" s="180">
        <v>5.0827</v>
      </c>
      <c r="AJ49" s="110">
        <v>0.46875</v>
      </c>
      <c r="AK49" s="146">
        <v>6.0716000000000001</v>
      </c>
      <c r="AM49" s="110">
        <v>0.46875</v>
      </c>
      <c r="AN49" s="146">
        <v>1.71055</v>
      </c>
      <c r="AO49" s="110">
        <v>0.46875</v>
      </c>
      <c r="AP49" s="186">
        <v>2.1613899999999999</v>
      </c>
      <c r="AQ49" s="110">
        <v>0.46875</v>
      </c>
      <c r="AR49" s="146">
        <v>2.69103</v>
      </c>
      <c r="AT49" s="110">
        <v>0.46875</v>
      </c>
      <c r="AU49" s="20"/>
      <c r="AW49" s="110">
        <v>0.46875</v>
      </c>
      <c r="AX49" s="20"/>
    </row>
    <row r="50" spans="1:50" x14ac:dyDescent="0.3">
      <c r="A50" s="108">
        <v>0.39583333333333298</v>
      </c>
      <c r="B50" s="117">
        <f t="shared" si="0"/>
        <v>9247.6</v>
      </c>
      <c r="D50" s="110">
        <v>0.47916666666666702</v>
      </c>
      <c r="E50" s="146">
        <v>0.73102500000000004</v>
      </c>
      <c r="F50" s="110">
        <v>0.47916666666666702</v>
      </c>
      <c r="G50" s="146">
        <v>5.5186999999999999</v>
      </c>
      <c r="H50" s="110">
        <v>0.47916666666666702</v>
      </c>
      <c r="I50" s="146">
        <v>1.25284</v>
      </c>
      <c r="K50" s="110">
        <v>0.47916666666666702</v>
      </c>
      <c r="L50" s="146">
        <v>0.79993099999999995</v>
      </c>
      <c r="M50" s="110">
        <v>0.47916666666666702</v>
      </c>
      <c r="N50" s="146">
        <v>2.0143800000000001</v>
      </c>
      <c r="O50" s="110">
        <v>0.47916666666666702</v>
      </c>
      <c r="P50" s="146">
        <v>1.50115</v>
      </c>
      <c r="R50" s="110">
        <v>0.47916666666666702</v>
      </c>
      <c r="S50" s="146">
        <v>1.49857</v>
      </c>
      <c r="T50" s="110">
        <v>0.47916666666666702</v>
      </c>
      <c r="U50" s="146">
        <v>3.1555900000000001</v>
      </c>
      <c r="V50" s="110">
        <v>0.47916666666666702</v>
      </c>
      <c r="W50" s="146">
        <v>2.5087999999999999</v>
      </c>
      <c r="Y50" s="110">
        <v>0.47916666666666702</v>
      </c>
      <c r="Z50" s="146">
        <v>1.10524</v>
      </c>
      <c r="AA50" s="110">
        <v>0.47916666666666702</v>
      </c>
      <c r="AB50" s="146">
        <v>1.64771</v>
      </c>
      <c r="AC50" s="110">
        <v>0.47916666666666702</v>
      </c>
      <c r="AD50" s="146">
        <v>1.2054199999999999</v>
      </c>
      <c r="AF50" s="110">
        <v>0.47916666666666702</v>
      </c>
      <c r="AG50" s="146">
        <v>3.82938</v>
      </c>
      <c r="AH50" s="110">
        <v>0.47916666666666702</v>
      </c>
      <c r="AI50" s="180">
        <v>5.0827</v>
      </c>
      <c r="AJ50" s="110">
        <v>0.47916666666666702</v>
      </c>
      <c r="AK50" s="146">
        <v>6.0716000000000001</v>
      </c>
      <c r="AM50" s="110">
        <v>0.47916666666666702</v>
      </c>
      <c r="AN50" s="146">
        <v>1.71055</v>
      </c>
      <c r="AO50" s="110">
        <v>0.47916666666666702</v>
      </c>
      <c r="AP50" s="186">
        <v>2.1613899999999999</v>
      </c>
      <c r="AQ50" s="110">
        <v>0.47916666666666702</v>
      </c>
      <c r="AR50" s="146">
        <v>2.69103</v>
      </c>
      <c r="AT50" s="110">
        <v>0.47916666666666702</v>
      </c>
      <c r="AU50" s="20"/>
      <c r="AW50" s="110">
        <v>0.47916666666666702</v>
      </c>
      <c r="AX50" s="20"/>
    </row>
    <row r="51" spans="1:50" x14ac:dyDescent="0.3">
      <c r="A51" s="108">
        <v>0.40625</v>
      </c>
      <c r="B51" s="117">
        <f t="shared" si="0"/>
        <v>9247.6</v>
      </c>
      <c r="D51" s="110">
        <v>0.48958333333333298</v>
      </c>
      <c r="E51" s="146">
        <v>0.73102500000000004</v>
      </c>
      <c r="F51" s="110">
        <v>0.48958333333333298</v>
      </c>
      <c r="G51" s="146">
        <v>5.5186999999999999</v>
      </c>
      <c r="H51" s="110">
        <v>0.48958333333333298</v>
      </c>
      <c r="I51" s="146">
        <v>1.25284</v>
      </c>
      <c r="K51" s="110">
        <v>0.48958333333333298</v>
      </c>
      <c r="L51" s="146">
        <v>0.79993099999999995</v>
      </c>
      <c r="M51" s="110">
        <v>0.48958333333333298</v>
      </c>
      <c r="N51" s="146">
        <v>2.0143800000000001</v>
      </c>
      <c r="O51" s="110">
        <v>0.48958333333333298</v>
      </c>
      <c r="P51" s="146">
        <v>1.50115</v>
      </c>
      <c r="R51" s="110">
        <v>0.48958333333333298</v>
      </c>
      <c r="S51" s="146">
        <v>1.49857</v>
      </c>
      <c r="T51" s="110">
        <v>0.48958333333333298</v>
      </c>
      <c r="U51" s="146">
        <v>3.1555900000000001</v>
      </c>
      <c r="V51" s="110">
        <v>0.48958333333333298</v>
      </c>
      <c r="W51" s="146">
        <v>2.5087999999999999</v>
      </c>
      <c r="Y51" s="110">
        <v>0.48958333333333298</v>
      </c>
      <c r="Z51" s="146">
        <v>1.10524</v>
      </c>
      <c r="AA51" s="110">
        <v>0.48958333333333298</v>
      </c>
      <c r="AB51" s="146">
        <v>1.64771</v>
      </c>
      <c r="AC51" s="110">
        <v>0.48958333333333298</v>
      </c>
      <c r="AD51" s="146">
        <v>1.2054199999999999</v>
      </c>
      <c r="AF51" s="110">
        <v>0.48958333333333298</v>
      </c>
      <c r="AG51" s="146">
        <v>3.82938</v>
      </c>
      <c r="AH51" s="110">
        <v>0.48958333333333298</v>
      </c>
      <c r="AI51" s="180">
        <v>5.0827</v>
      </c>
      <c r="AJ51" s="110">
        <v>0.48958333333333298</v>
      </c>
      <c r="AK51" s="146">
        <v>6.0716000000000001</v>
      </c>
      <c r="AM51" s="110">
        <v>0.48958333333333298</v>
      </c>
      <c r="AN51" s="146">
        <v>1.71055</v>
      </c>
      <c r="AO51" s="110">
        <v>0.48958333333333298</v>
      </c>
      <c r="AP51" s="186">
        <v>2.1613899999999999</v>
      </c>
      <c r="AQ51" s="110">
        <v>0.48958333333333298</v>
      </c>
      <c r="AR51" s="146">
        <v>2.69103</v>
      </c>
      <c r="AT51" s="110">
        <v>0.48958333333333298</v>
      </c>
      <c r="AU51" s="20"/>
      <c r="AW51" s="110">
        <v>0.48958333333333298</v>
      </c>
      <c r="AX51" s="20"/>
    </row>
    <row r="52" spans="1:50" x14ac:dyDescent="0.3">
      <c r="A52" s="108">
        <v>0.41666666666666702</v>
      </c>
      <c r="B52" s="117">
        <f t="shared" si="0"/>
        <v>11928.599999999999</v>
      </c>
      <c r="D52" s="110">
        <v>0.5</v>
      </c>
      <c r="E52" s="146">
        <v>0.707959</v>
      </c>
      <c r="F52" s="110">
        <v>0.5</v>
      </c>
      <c r="G52" s="146">
        <v>1.29186</v>
      </c>
      <c r="H52" s="110">
        <v>0.5</v>
      </c>
      <c r="I52" s="146">
        <v>1.24278</v>
      </c>
      <c r="K52" s="110">
        <v>0.5</v>
      </c>
      <c r="L52" s="146">
        <v>0.83545999999999998</v>
      </c>
      <c r="M52" s="110">
        <v>0.5</v>
      </c>
      <c r="N52" s="146">
        <v>2.3115700000000001</v>
      </c>
      <c r="O52" s="110">
        <v>0.5</v>
      </c>
      <c r="P52" s="146">
        <v>2.4264000000000001</v>
      </c>
      <c r="R52" s="110">
        <v>0.5</v>
      </c>
      <c r="S52" s="146">
        <v>1.8254900000000001</v>
      </c>
      <c r="T52" s="110">
        <v>0.5</v>
      </c>
      <c r="U52" s="146">
        <v>2.1715300000000002</v>
      </c>
      <c r="V52" s="110">
        <v>0.5</v>
      </c>
      <c r="W52" s="146">
        <v>2.74729</v>
      </c>
      <c r="Y52" s="110">
        <v>0.5</v>
      </c>
      <c r="Z52" s="146">
        <v>0.75112699999999999</v>
      </c>
      <c r="AA52" s="110">
        <v>0.5</v>
      </c>
      <c r="AB52" s="146">
        <v>0.97192900000000004</v>
      </c>
      <c r="AC52" s="110">
        <v>0.5</v>
      </c>
      <c r="AD52" s="146">
        <v>1.78105</v>
      </c>
      <c r="AF52" s="110">
        <v>0.5</v>
      </c>
      <c r="AG52" s="146">
        <v>2.0646499999999999</v>
      </c>
      <c r="AH52" s="110">
        <v>0.5</v>
      </c>
      <c r="AI52" s="180">
        <v>3.1292</v>
      </c>
      <c r="AJ52" s="110">
        <v>0.5</v>
      </c>
      <c r="AK52" s="146">
        <v>4.8008800000000003</v>
      </c>
      <c r="AM52" s="110">
        <v>0.5</v>
      </c>
      <c r="AN52" s="146">
        <v>1.5471600000000001</v>
      </c>
      <c r="AO52" s="110">
        <v>0.5</v>
      </c>
      <c r="AP52" s="186">
        <v>2.3204199999999999</v>
      </c>
      <c r="AQ52" s="110">
        <v>0.5</v>
      </c>
      <c r="AR52" s="146">
        <v>3.2522199999999999</v>
      </c>
      <c r="AT52" s="110">
        <v>0.5</v>
      </c>
      <c r="AU52" s="20"/>
      <c r="AW52" s="110">
        <v>0.5</v>
      </c>
      <c r="AX52" s="20"/>
    </row>
    <row r="53" spans="1:50" x14ac:dyDescent="0.3">
      <c r="A53" s="108">
        <v>0.42708333333333298</v>
      </c>
      <c r="B53" s="117">
        <f t="shared" si="0"/>
        <v>11928.599999999999</v>
      </c>
      <c r="D53" s="110">
        <v>0.51041666666666696</v>
      </c>
      <c r="E53" s="146">
        <v>0.707959</v>
      </c>
      <c r="F53" s="110">
        <v>0.51041666666666696</v>
      </c>
      <c r="G53" s="146">
        <v>1.29186</v>
      </c>
      <c r="H53" s="110">
        <v>0.51041666666666696</v>
      </c>
      <c r="I53" s="146">
        <v>1.24278</v>
      </c>
      <c r="K53" s="110">
        <v>0.51041666666666696</v>
      </c>
      <c r="L53" s="146">
        <v>0.83545999999999998</v>
      </c>
      <c r="M53" s="110">
        <v>0.51041666666666696</v>
      </c>
      <c r="N53" s="146">
        <v>2.3115700000000001</v>
      </c>
      <c r="O53" s="110">
        <v>0.51041666666666696</v>
      </c>
      <c r="P53" s="146">
        <v>2.4264000000000001</v>
      </c>
      <c r="R53" s="110">
        <v>0.51041666666666696</v>
      </c>
      <c r="S53" s="146">
        <v>1.8254900000000001</v>
      </c>
      <c r="T53" s="110">
        <v>0.51041666666666696</v>
      </c>
      <c r="U53" s="146">
        <v>2.1715300000000002</v>
      </c>
      <c r="V53" s="110">
        <v>0.51041666666666696</v>
      </c>
      <c r="W53" s="146">
        <v>2.74729</v>
      </c>
      <c r="Y53" s="110">
        <v>0.51041666666666696</v>
      </c>
      <c r="Z53" s="146">
        <v>0.75112699999999999</v>
      </c>
      <c r="AA53" s="110">
        <v>0.51041666666666696</v>
      </c>
      <c r="AB53" s="146">
        <v>0.97192900000000004</v>
      </c>
      <c r="AC53" s="110">
        <v>0.51041666666666696</v>
      </c>
      <c r="AD53" s="146">
        <v>1.78105</v>
      </c>
      <c r="AF53" s="110">
        <v>0.51041666666666696</v>
      </c>
      <c r="AG53" s="146">
        <v>2.0646499999999999</v>
      </c>
      <c r="AH53" s="110">
        <v>0.51041666666666696</v>
      </c>
      <c r="AI53" s="180">
        <v>3.1292</v>
      </c>
      <c r="AJ53" s="110">
        <v>0.51041666666666696</v>
      </c>
      <c r="AK53" s="146">
        <v>4.8008800000000003</v>
      </c>
      <c r="AM53" s="110">
        <v>0.51041666666666696</v>
      </c>
      <c r="AN53" s="146">
        <v>1.5471600000000001</v>
      </c>
      <c r="AO53" s="110">
        <v>0.51041666666666696</v>
      </c>
      <c r="AP53" s="186">
        <v>2.3204199999999999</v>
      </c>
      <c r="AQ53" s="110">
        <v>0.51041666666666696</v>
      </c>
      <c r="AR53" s="146">
        <v>3.2522199999999999</v>
      </c>
      <c r="AT53" s="110">
        <v>0.51041666666666696</v>
      </c>
      <c r="AU53" s="20"/>
      <c r="AW53" s="110">
        <v>0.51041666666666696</v>
      </c>
      <c r="AX53" s="20"/>
    </row>
    <row r="54" spans="1:50" x14ac:dyDescent="0.3">
      <c r="A54" s="108">
        <v>0.4375</v>
      </c>
      <c r="B54" s="117">
        <f t="shared" si="0"/>
        <v>11928.599999999999</v>
      </c>
      <c r="D54" s="110">
        <v>0.52083333333333304</v>
      </c>
      <c r="E54" s="146">
        <v>0.707959</v>
      </c>
      <c r="F54" s="110">
        <v>0.52083333333333304</v>
      </c>
      <c r="G54" s="146">
        <v>1.29186</v>
      </c>
      <c r="H54" s="110">
        <v>0.52083333333333304</v>
      </c>
      <c r="I54" s="146">
        <v>1.24278</v>
      </c>
      <c r="K54" s="110">
        <v>0.52083333333333304</v>
      </c>
      <c r="L54" s="146">
        <v>0.83545999999999998</v>
      </c>
      <c r="M54" s="110">
        <v>0.52083333333333304</v>
      </c>
      <c r="N54" s="146">
        <v>2.3115700000000001</v>
      </c>
      <c r="O54" s="110">
        <v>0.52083333333333304</v>
      </c>
      <c r="P54" s="146">
        <v>2.4264000000000001</v>
      </c>
      <c r="R54" s="110">
        <v>0.52083333333333304</v>
      </c>
      <c r="S54" s="146">
        <v>1.8254900000000001</v>
      </c>
      <c r="T54" s="110">
        <v>0.52083333333333304</v>
      </c>
      <c r="U54" s="146">
        <v>2.1715300000000002</v>
      </c>
      <c r="V54" s="110">
        <v>0.52083333333333304</v>
      </c>
      <c r="W54" s="146">
        <v>2.74729</v>
      </c>
      <c r="Y54" s="110">
        <v>0.52083333333333304</v>
      </c>
      <c r="Z54" s="146">
        <v>0.75112699999999999</v>
      </c>
      <c r="AA54" s="110">
        <v>0.52083333333333304</v>
      </c>
      <c r="AB54" s="146">
        <v>0.97192900000000004</v>
      </c>
      <c r="AC54" s="110">
        <v>0.52083333333333304</v>
      </c>
      <c r="AD54" s="146">
        <v>1.78105</v>
      </c>
      <c r="AF54" s="110">
        <v>0.52083333333333304</v>
      </c>
      <c r="AG54" s="146">
        <v>2.0646499999999999</v>
      </c>
      <c r="AH54" s="110">
        <v>0.52083333333333304</v>
      </c>
      <c r="AI54" s="180">
        <v>3.1292</v>
      </c>
      <c r="AJ54" s="110">
        <v>0.52083333333333304</v>
      </c>
      <c r="AK54" s="146">
        <v>4.8008800000000003</v>
      </c>
      <c r="AM54" s="110">
        <v>0.52083333333333304</v>
      </c>
      <c r="AN54" s="146">
        <v>1.5471600000000001</v>
      </c>
      <c r="AO54" s="110">
        <v>0.52083333333333304</v>
      </c>
      <c r="AP54" s="186">
        <v>2.3204199999999999</v>
      </c>
      <c r="AQ54" s="110">
        <v>0.52083333333333304</v>
      </c>
      <c r="AR54" s="146">
        <v>3.2522199999999999</v>
      </c>
      <c r="AT54" s="110">
        <v>0.52083333333333304</v>
      </c>
      <c r="AU54" s="20"/>
      <c r="AW54" s="110">
        <v>0.52083333333333304</v>
      </c>
      <c r="AX54" s="20"/>
    </row>
    <row r="55" spans="1:50" x14ac:dyDescent="0.3">
      <c r="A55" s="108">
        <v>0.44791666666666702</v>
      </c>
      <c r="B55" s="117">
        <f t="shared" si="0"/>
        <v>11928.599999999999</v>
      </c>
      <c r="D55" s="110">
        <v>0.53125</v>
      </c>
      <c r="E55" s="146">
        <v>0.707959</v>
      </c>
      <c r="F55" s="110">
        <v>0.53125</v>
      </c>
      <c r="G55" s="146">
        <v>1.29186</v>
      </c>
      <c r="H55" s="110">
        <v>0.53125</v>
      </c>
      <c r="I55" s="146">
        <v>1.24278</v>
      </c>
      <c r="K55" s="110">
        <v>0.53125</v>
      </c>
      <c r="L55" s="146">
        <v>0.83545999999999998</v>
      </c>
      <c r="M55" s="110">
        <v>0.53125</v>
      </c>
      <c r="N55" s="146">
        <v>2.3115700000000001</v>
      </c>
      <c r="O55" s="110">
        <v>0.53125</v>
      </c>
      <c r="P55" s="146">
        <v>2.4264000000000001</v>
      </c>
      <c r="R55" s="110">
        <v>0.53125</v>
      </c>
      <c r="S55" s="146">
        <v>1.8254900000000001</v>
      </c>
      <c r="T55" s="110">
        <v>0.53125</v>
      </c>
      <c r="U55" s="146">
        <v>2.1715300000000002</v>
      </c>
      <c r="V55" s="110">
        <v>0.53125</v>
      </c>
      <c r="W55" s="146">
        <v>2.74729</v>
      </c>
      <c r="Y55" s="110">
        <v>0.53125</v>
      </c>
      <c r="Z55" s="146">
        <v>0.75112699999999999</v>
      </c>
      <c r="AA55" s="110">
        <v>0.53125</v>
      </c>
      <c r="AB55" s="146">
        <v>0.97192900000000004</v>
      </c>
      <c r="AC55" s="110">
        <v>0.53125</v>
      </c>
      <c r="AD55" s="146">
        <v>1.78105</v>
      </c>
      <c r="AF55" s="110">
        <v>0.53125</v>
      </c>
      <c r="AG55" s="146">
        <v>2.0646499999999999</v>
      </c>
      <c r="AH55" s="110">
        <v>0.53125</v>
      </c>
      <c r="AI55" s="180">
        <v>3.1292</v>
      </c>
      <c r="AJ55" s="110">
        <v>0.53125</v>
      </c>
      <c r="AK55" s="146">
        <v>4.8008800000000003</v>
      </c>
      <c r="AM55" s="110">
        <v>0.53125</v>
      </c>
      <c r="AN55" s="146">
        <v>1.5471600000000001</v>
      </c>
      <c r="AO55" s="110">
        <v>0.53125</v>
      </c>
      <c r="AP55" s="186">
        <v>2.3204199999999999</v>
      </c>
      <c r="AQ55" s="110">
        <v>0.53125</v>
      </c>
      <c r="AR55" s="146">
        <v>3.2522199999999999</v>
      </c>
      <c r="AT55" s="110">
        <v>0.53125</v>
      </c>
      <c r="AU55" s="20"/>
      <c r="AW55" s="110">
        <v>0.53125</v>
      </c>
      <c r="AX55" s="20"/>
    </row>
    <row r="56" spans="1:50" x14ac:dyDescent="0.3">
      <c r="A56" s="108">
        <v>0.45833333333333298</v>
      </c>
      <c r="B56" s="117">
        <f t="shared" si="0"/>
        <v>6071.6</v>
      </c>
      <c r="D56" s="110">
        <v>0.54166666666666696</v>
      </c>
      <c r="E56" s="146">
        <v>0.67695799999999995</v>
      </c>
      <c r="F56" s="110">
        <v>0.54166666666666696</v>
      </c>
      <c r="G56" s="146">
        <v>0.968445</v>
      </c>
      <c r="H56" s="110">
        <v>0.54166666666666696</v>
      </c>
      <c r="I56" s="146">
        <v>1.19225</v>
      </c>
      <c r="K56" s="110">
        <v>0.54166666666666696</v>
      </c>
      <c r="L56" s="146">
        <v>0.85606700000000002</v>
      </c>
      <c r="M56" s="110">
        <v>0.54166666666666696</v>
      </c>
      <c r="N56" s="146">
        <v>2.2118600000000002</v>
      </c>
      <c r="O56" s="110">
        <v>0.54166666666666696</v>
      </c>
      <c r="P56" s="146">
        <v>1.71679</v>
      </c>
      <c r="R56" s="110">
        <v>0.54166666666666696</v>
      </c>
      <c r="S56" s="146">
        <v>1.8926099999999999</v>
      </c>
      <c r="T56" s="110">
        <v>0.54166666666666696</v>
      </c>
      <c r="U56" s="146">
        <v>3.12845</v>
      </c>
      <c r="V56" s="110">
        <v>0.54166666666666696</v>
      </c>
      <c r="W56" s="146">
        <v>2.7978700000000001</v>
      </c>
      <c r="Y56" s="110">
        <v>0.54166666666666696</v>
      </c>
      <c r="Z56" s="146">
        <v>0.68665500000000002</v>
      </c>
      <c r="AA56" s="110">
        <v>0.54166666666666696</v>
      </c>
      <c r="AB56" s="146">
        <v>0.92342500000000005</v>
      </c>
      <c r="AC56" s="110">
        <v>0.54166666666666696</v>
      </c>
      <c r="AD56" s="146">
        <v>1.87456</v>
      </c>
      <c r="AF56" s="110">
        <v>0.54166666666666696</v>
      </c>
      <c r="AG56" s="146">
        <v>4.1045400000000001</v>
      </c>
      <c r="AH56" s="110">
        <v>0.54166666666666696</v>
      </c>
      <c r="AI56" s="180">
        <v>2.8967100000000001</v>
      </c>
      <c r="AJ56" s="110">
        <v>0.54166666666666696</v>
      </c>
      <c r="AK56" s="146">
        <v>5.2060300000000002</v>
      </c>
      <c r="AM56" s="110">
        <v>0.54166666666666696</v>
      </c>
      <c r="AN56" s="146">
        <v>1.5730599999999999</v>
      </c>
      <c r="AO56" s="110">
        <v>0.54166666666666696</v>
      </c>
      <c r="AP56" s="186">
        <v>2.3505500000000001</v>
      </c>
      <c r="AQ56" s="110">
        <v>0.54166666666666696</v>
      </c>
      <c r="AR56" s="146">
        <v>3.2365599999999999</v>
      </c>
      <c r="AT56" s="110">
        <v>0.54166666666666696</v>
      </c>
      <c r="AU56" s="20"/>
      <c r="AW56" s="110">
        <v>0.54166666666666696</v>
      </c>
      <c r="AX56" s="20"/>
    </row>
    <row r="57" spans="1:50" x14ac:dyDescent="0.3">
      <c r="A57" s="108">
        <v>0.46875</v>
      </c>
      <c r="B57" s="117">
        <f t="shared" si="0"/>
        <v>6071.6</v>
      </c>
      <c r="D57" s="110">
        <v>0.55208333333333304</v>
      </c>
      <c r="E57" s="146">
        <v>0.67695799999999995</v>
      </c>
      <c r="F57" s="110">
        <v>0.55208333333333304</v>
      </c>
      <c r="G57" s="146">
        <v>0.968445</v>
      </c>
      <c r="H57" s="110">
        <v>0.55208333333333304</v>
      </c>
      <c r="I57" s="146">
        <v>1.19225</v>
      </c>
      <c r="K57" s="110">
        <v>0.55208333333333304</v>
      </c>
      <c r="L57" s="146">
        <v>0.85606700000000002</v>
      </c>
      <c r="M57" s="110">
        <v>0.55208333333333304</v>
      </c>
      <c r="N57" s="146">
        <v>2.2118600000000002</v>
      </c>
      <c r="O57" s="110">
        <v>0.55208333333333304</v>
      </c>
      <c r="P57" s="146">
        <v>1.71679</v>
      </c>
      <c r="R57" s="110">
        <v>0.55208333333333304</v>
      </c>
      <c r="S57" s="146">
        <v>1.8926099999999999</v>
      </c>
      <c r="T57" s="110">
        <v>0.55208333333333304</v>
      </c>
      <c r="U57" s="146">
        <v>3.12845</v>
      </c>
      <c r="V57" s="110">
        <v>0.55208333333333304</v>
      </c>
      <c r="W57" s="146">
        <v>2.7978700000000001</v>
      </c>
      <c r="Y57" s="110">
        <v>0.55208333333333304</v>
      </c>
      <c r="Z57" s="146">
        <v>0.68665500000000002</v>
      </c>
      <c r="AA57" s="110">
        <v>0.55208333333333304</v>
      </c>
      <c r="AB57" s="146">
        <v>0.92342500000000005</v>
      </c>
      <c r="AC57" s="110">
        <v>0.55208333333333304</v>
      </c>
      <c r="AD57" s="146">
        <v>1.87456</v>
      </c>
      <c r="AF57" s="110">
        <v>0.55208333333333304</v>
      </c>
      <c r="AG57" s="146">
        <v>4.1045400000000001</v>
      </c>
      <c r="AH57" s="110">
        <v>0.55208333333333304</v>
      </c>
      <c r="AI57" s="180">
        <v>2.8967100000000001</v>
      </c>
      <c r="AJ57" s="110">
        <v>0.55208333333333304</v>
      </c>
      <c r="AK57" s="146">
        <v>5.2060300000000002</v>
      </c>
      <c r="AM57" s="110">
        <v>0.55208333333333304</v>
      </c>
      <c r="AN57" s="146">
        <v>1.5730599999999999</v>
      </c>
      <c r="AO57" s="110">
        <v>0.55208333333333304</v>
      </c>
      <c r="AP57" s="186">
        <v>2.3505500000000001</v>
      </c>
      <c r="AQ57" s="110">
        <v>0.55208333333333304</v>
      </c>
      <c r="AR57" s="146">
        <v>3.2365599999999999</v>
      </c>
      <c r="AT57" s="110">
        <v>0.55208333333333304</v>
      </c>
      <c r="AU57" s="20"/>
      <c r="AW57" s="110">
        <v>0.55208333333333304</v>
      </c>
      <c r="AX57" s="20"/>
    </row>
    <row r="58" spans="1:50" x14ac:dyDescent="0.3">
      <c r="A58" s="108">
        <v>0.47916666666666702</v>
      </c>
      <c r="B58" s="117">
        <f t="shared" si="0"/>
        <v>6071.6</v>
      </c>
      <c r="D58" s="110">
        <v>0.5625</v>
      </c>
      <c r="E58" s="146">
        <v>0.67695799999999995</v>
      </c>
      <c r="F58" s="110">
        <v>0.5625</v>
      </c>
      <c r="G58" s="146">
        <v>0.968445</v>
      </c>
      <c r="H58" s="110">
        <v>0.5625</v>
      </c>
      <c r="I58" s="146">
        <v>1.19225</v>
      </c>
      <c r="K58" s="110">
        <v>0.5625</v>
      </c>
      <c r="L58" s="146">
        <v>0.85606700000000002</v>
      </c>
      <c r="M58" s="110">
        <v>0.5625</v>
      </c>
      <c r="N58" s="146">
        <v>2.2118600000000002</v>
      </c>
      <c r="O58" s="110">
        <v>0.5625</v>
      </c>
      <c r="P58" s="146">
        <v>1.71679</v>
      </c>
      <c r="R58" s="110">
        <v>0.5625</v>
      </c>
      <c r="S58" s="146">
        <v>1.8926099999999999</v>
      </c>
      <c r="T58" s="110">
        <v>0.5625</v>
      </c>
      <c r="U58" s="146">
        <v>3.12845</v>
      </c>
      <c r="V58" s="110">
        <v>0.5625</v>
      </c>
      <c r="W58" s="146">
        <v>2.7978700000000001</v>
      </c>
      <c r="Y58" s="110">
        <v>0.5625</v>
      </c>
      <c r="Z58" s="146">
        <v>0.68665500000000002</v>
      </c>
      <c r="AA58" s="110">
        <v>0.5625</v>
      </c>
      <c r="AB58" s="146">
        <v>0.92342500000000005</v>
      </c>
      <c r="AC58" s="110">
        <v>0.5625</v>
      </c>
      <c r="AD58" s="146">
        <v>1.87456</v>
      </c>
      <c r="AF58" s="110">
        <v>0.5625</v>
      </c>
      <c r="AG58" s="146">
        <v>4.1045400000000001</v>
      </c>
      <c r="AH58" s="110">
        <v>0.5625</v>
      </c>
      <c r="AI58" s="180">
        <v>2.8967100000000001</v>
      </c>
      <c r="AJ58" s="110">
        <v>0.5625</v>
      </c>
      <c r="AK58" s="146">
        <v>5.2060300000000002</v>
      </c>
      <c r="AM58" s="110">
        <v>0.5625</v>
      </c>
      <c r="AN58" s="146">
        <v>1.5730599999999999</v>
      </c>
      <c r="AO58" s="110">
        <v>0.5625</v>
      </c>
      <c r="AP58" s="186">
        <v>2.3505500000000001</v>
      </c>
      <c r="AQ58" s="110">
        <v>0.5625</v>
      </c>
      <c r="AR58" s="146">
        <v>3.2365599999999999</v>
      </c>
      <c r="AT58" s="110">
        <v>0.5625</v>
      </c>
      <c r="AU58" s="20"/>
      <c r="AW58" s="110">
        <v>0.5625</v>
      </c>
      <c r="AX58" s="20"/>
    </row>
    <row r="59" spans="1:50" x14ac:dyDescent="0.3">
      <c r="A59" s="108">
        <v>0.48958333333333298</v>
      </c>
      <c r="B59" s="117">
        <f t="shared" si="0"/>
        <v>6071.6</v>
      </c>
      <c r="D59" s="110">
        <v>0.57291666666666696</v>
      </c>
      <c r="E59" s="146">
        <v>0.67695799999999995</v>
      </c>
      <c r="F59" s="110">
        <v>0.57291666666666696</v>
      </c>
      <c r="G59" s="146">
        <v>0.968445</v>
      </c>
      <c r="H59" s="110">
        <v>0.57291666666666696</v>
      </c>
      <c r="I59" s="146">
        <v>1.19225</v>
      </c>
      <c r="K59" s="110">
        <v>0.57291666666666696</v>
      </c>
      <c r="L59" s="146">
        <v>0.85606700000000002</v>
      </c>
      <c r="M59" s="110">
        <v>0.57291666666666696</v>
      </c>
      <c r="N59" s="146">
        <v>2.2118600000000002</v>
      </c>
      <c r="O59" s="110">
        <v>0.57291666666666696</v>
      </c>
      <c r="P59" s="146">
        <v>1.71679</v>
      </c>
      <c r="R59" s="110">
        <v>0.57291666666666696</v>
      </c>
      <c r="S59" s="146">
        <v>1.8926099999999999</v>
      </c>
      <c r="T59" s="110">
        <v>0.57291666666666696</v>
      </c>
      <c r="U59" s="146">
        <v>3.12845</v>
      </c>
      <c r="V59" s="110">
        <v>0.57291666666666696</v>
      </c>
      <c r="W59" s="146">
        <v>2.7978700000000001</v>
      </c>
      <c r="Y59" s="110">
        <v>0.57291666666666696</v>
      </c>
      <c r="Z59" s="146">
        <v>0.68665500000000002</v>
      </c>
      <c r="AA59" s="110">
        <v>0.57291666666666696</v>
      </c>
      <c r="AB59" s="146">
        <v>0.92342500000000005</v>
      </c>
      <c r="AC59" s="110">
        <v>0.57291666666666696</v>
      </c>
      <c r="AD59" s="146">
        <v>1.87456</v>
      </c>
      <c r="AF59" s="110">
        <v>0.57291666666666696</v>
      </c>
      <c r="AG59" s="146">
        <v>4.1045400000000001</v>
      </c>
      <c r="AH59" s="110">
        <v>0.57291666666666696</v>
      </c>
      <c r="AI59" s="180">
        <v>2.8967100000000001</v>
      </c>
      <c r="AJ59" s="110">
        <v>0.57291666666666696</v>
      </c>
      <c r="AK59" s="146">
        <v>5.2060300000000002</v>
      </c>
      <c r="AM59" s="110">
        <v>0.57291666666666696</v>
      </c>
      <c r="AN59" s="146">
        <v>1.5730599999999999</v>
      </c>
      <c r="AO59" s="110">
        <v>0.57291666666666696</v>
      </c>
      <c r="AP59" s="186">
        <v>2.3505500000000001</v>
      </c>
      <c r="AQ59" s="110">
        <v>0.57291666666666696</v>
      </c>
      <c r="AR59" s="146">
        <v>3.2365599999999999</v>
      </c>
      <c r="AT59" s="110">
        <v>0.57291666666666696</v>
      </c>
      <c r="AU59" s="20"/>
      <c r="AW59" s="110">
        <v>0.57291666666666696</v>
      </c>
      <c r="AX59" s="20"/>
    </row>
    <row r="60" spans="1:50" x14ac:dyDescent="0.3">
      <c r="A60" s="108">
        <v>0.5</v>
      </c>
      <c r="B60" s="117">
        <f t="shared" si="0"/>
        <v>4800.88</v>
      </c>
      <c r="D60" s="110">
        <v>0.58333333333333304</v>
      </c>
      <c r="E60" s="146">
        <v>0.90255799999999997</v>
      </c>
      <c r="F60" s="110">
        <v>0.58333333333333304</v>
      </c>
      <c r="G60" s="146">
        <v>0.94702799999999998</v>
      </c>
      <c r="H60" s="110">
        <v>0.58333333333333304</v>
      </c>
      <c r="I60" s="146">
        <v>1.16737</v>
      </c>
      <c r="K60" s="110">
        <v>0.58333333333333304</v>
      </c>
      <c r="L60" s="146">
        <v>0.90680799999999995</v>
      </c>
      <c r="M60" s="110">
        <v>0.58333333333333304</v>
      </c>
      <c r="N60" s="146">
        <v>2.9985499999999998</v>
      </c>
      <c r="O60" s="110">
        <v>0.58333333333333304</v>
      </c>
      <c r="P60" s="146">
        <v>1.8765000000000001</v>
      </c>
      <c r="R60" s="110">
        <v>0.58333333333333304</v>
      </c>
      <c r="S60" s="146">
        <v>1.5552699999999999</v>
      </c>
      <c r="T60" s="110">
        <v>0.58333333333333304</v>
      </c>
      <c r="U60" s="146">
        <v>2.8041</v>
      </c>
      <c r="V60" s="110">
        <v>0.58333333333333304</v>
      </c>
      <c r="W60" s="146">
        <v>3.0286200000000001</v>
      </c>
      <c r="Y60" s="110">
        <v>0.58333333333333304</v>
      </c>
      <c r="Z60" s="146">
        <v>0.68630100000000005</v>
      </c>
      <c r="AA60" s="110">
        <v>0.58333333333333304</v>
      </c>
      <c r="AB60" s="146">
        <v>0.89768499999999996</v>
      </c>
      <c r="AC60" s="110">
        <v>0.58333333333333304</v>
      </c>
      <c r="AD60" s="146">
        <v>1.8967400000000001</v>
      </c>
      <c r="AF60" s="110">
        <v>0.58333333333333304</v>
      </c>
      <c r="AG60" s="146">
        <v>1.5561100000000001</v>
      </c>
      <c r="AH60" s="110">
        <v>0.58333333333333304</v>
      </c>
      <c r="AI60" s="180">
        <v>2.6491699999999998</v>
      </c>
      <c r="AJ60" s="110">
        <v>0.58333333333333304</v>
      </c>
      <c r="AK60" s="146">
        <v>4.8400299999999996</v>
      </c>
      <c r="AM60" s="110">
        <v>0.58333333333333304</v>
      </c>
      <c r="AN60" s="146">
        <v>1.9187000000000001</v>
      </c>
      <c r="AO60" s="110">
        <v>0.58333333333333304</v>
      </c>
      <c r="AP60" s="186">
        <v>4.9880699999999996</v>
      </c>
      <c r="AQ60" s="110">
        <v>0.58333333333333304</v>
      </c>
      <c r="AR60" s="146">
        <v>3.2454900000000002</v>
      </c>
      <c r="AT60" s="110">
        <v>0.58333333333333304</v>
      </c>
      <c r="AU60" s="20"/>
      <c r="AW60" s="110">
        <v>0.58333333333333304</v>
      </c>
      <c r="AX60" s="20"/>
    </row>
    <row r="61" spans="1:50" x14ac:dyDescent="0.3">
      <c r="A61" s="108">
        <v>0.51041666666666696</v>
      </c>
      <c r="B61" s="117">
        <f t="shared" si="0"/>
        <v>4800.88</v>
      </c>
      <c r="D61" s="110">
        <v>0.59375</v>
      </c>
      <c r="E61" s="146">
        <v>0.90255799999999997</v>
      </c>
      <c r="F61" s="110">
        <v>0.59375</v>
      </c>
      <c r="G61" s="146">
        <v>0.94702799999999998</v>
      </c>
      <c r="H61" s="110">
        <v>0.59375</v>
      </c>
      <c r="I61" s="146">
        <v>1.16737</v>
      </c>
      <c r="K61" s="110">
        <v>0.59375</v>
      </c>
      <c r="L61" s="146">
        <v>0.90680799999999995</v>
      </c>
      <c r="M61" s="110">
        <v>0.59375</v>
      </c>
      <c r="N61" s="146">
        <v>2.9985499999999998</v>
      </c>
      <c r="O61" s="110">
        <v>0.59375</v>
      </c>
      <c r="P61" s="146">
        <v>1.8765000000000001</v>
      </c>
      <c r="R61" s="110">
        <v>0.59375</v>
      </c>
      <c r="S61" s="146">
        <v>1.5552699999999999</v>
      </c>
      <c r="T61" s="110">
        <v>0.59375</v>
      </c>
      <c r="U61" s="146">
        <v>2.8041</v>
      </c>
      <c r="V61" s="110">
        <v>0.59375</v>
      </c>
      <c r="W61" s="146">
        <v>3.0286200000000001</v>
      </c>
      <c r="Y61" s="110">
        <v>0.59375</v>
      </c>
      <c r="Z61" s="146">
        <v>0.68630100000000005</v>
      </c>
      <c r="AA61" s="110">
        <v>0.59375</v>
      </c>
      <c r="AB61" s="146">
        <v>0.89768499999999996</v>
      </c>
      <c r="AC61" s="110">
        <v>0.59375</v>
      </c>
      <c r="AD61" s="146">
        <v>1.8967400000000001</v>
      </c>
      <c r="AF61" s="110">
        <v>0.59375</v>
      </c>
      <c r="AG61" s="146">
        <v>1.5561100000000001</v>
      </c>
      <c r="AH61" s="110">
        <v>0.59375</v>
      </c>
      <c r="AI61" s="180">
        <v>2.6491699999999998</v>
      </c>
      <c r="AJ61" s="110">
        <v>0.59375</v>
      </c>
      <c r="AK61" s="146">
        <v>4.8400299999999996</v>
      </c>
      <c r="AM61" s="110">
        <v>0.59375</v>
      </c>
      <c r="AN61" s="146">
        <v>1.9187000000000001</v>
      </c>
      <c r="AO61" s="110">
        <v>0.59375</v>
      </c>
      <c r="AP61" s="186">
        <v>4.9880699999999996</v>
      </c>
      <c r="AQ61" s="110">
        <v>0.59375</v>
      </c>
      <c r="AR61" s="146">
        <v>3.2454900000000002</v>
      </c>
      <c r="AT61" s="110">
        <v>0.59375</v>
      </c>
      <c r="AU61" s="20"/>
      <c r="AW61" s="110">
        <v>0.59375</v>
      </c>
      <c r="AX61" s="20"/>
    </row>
    <row r="62" spans="1:50" x14ac:dyDescent="0.3">
      <c r="A62" s="108">
        <v>0.52083333333333304</v>
      </c>
      <c r="B62" s="117">
        <f t="shared" si="0"/>
        <v>4800.88</v>
      </c>
      <c r="D62" s="110">
        <v>0.60416666666666696</v>
      </c>
      <c r="E62" s="146">
        <v>0.90255799999999997</v>
      </c>
      <c r="F62" s="110">
        <v>0.60416666666666696</v>
      </c>
      <c r="G62" s="146">
        <v>0.94702799999999998</v>
      </c>
      <c r="H62" s="110">
        <v>0.60416666666666696</v>
      </c>
      <c r="I62" s="146">
        <v>1.16737</v>
      </c>
      <c r="K62" s="110">
        <v>0.60416666666666696</v>
      </c>
      <c r="L62" s="146">
        <v>0.90680799999999995</v>
      </c>
      <c r="M62" s="110">
        <v>0.60416666666666696</v>
      </c>
      <c r="N62" s="146">
        <v>2.9985499999999998</v>
      </c>
      <c r="O62" s="110">
        <v>0.60416666666666696</v>
      </c>
      <c r="P62" s="146">
        <v>1.8765000000000001</v>
      </c>
      <c r="R62" s="110">
        <v>0.60416666666666696</v>
      </c>
      <c r="S62" s="146">
        <v>1.5552699999999999</v>
      </c>
      <c r="T62" s="110">
        <v>0.60416666666666696</v>
      </c>
      <c r="U62" s="146">
        <v>2.8041</v>
      </c>
      <c r="V62" s="110">
        <v>0.60416666666666696</v>
      </c>
      <c r="W62" s="146">
        <v>3.0286200000000001</v>
      </c>
      <c r="Y62" s="110">
        <v>0.60416666666666696</v>
      </c>
      <c r="Z62" s="146">
        <v>0.68630100000000005</v>
      </c>
      <c r="AA62" s="110">
        <v>0.60416666666666696</v>
      </c>
      <c r="AB62" s="146">
        <v>0.89768499999999996</v>
      </c>
      <c r="AC62" s="110">
        <v>0.60416666666666696</v>
      </c>
      <c r="AD62" s="146">
        <v>1.8967400000000001</v>
      </c>
      <c r="AF62" s="110">
        <v>0.60416666666666696</v>
      </c>
      <c r="AG62" s="146">
        <v>1.5561100000000001</v>
      </c>
      <c r="AH62" s="110">
        <v>0.60416666666666696</v>
      </c>
      <c r="AI62" s="180">
        <v>2.6491699999999998</v>
      </c>
      <c r="AJ62" s="110">
        <v>0.60416666666666696</v>
      </c>
      <c r="AK62" s="146">
        <v>4.8400299999999996</v>
      </c>
      <c r="AM62" s="110">
        <v>0.60416666666666696</v>
      </c>
      <c r="AN62" s="146">
        <v>1.9187000000000001</v>
      </c>
      <c r="AO62" s="110">
        <v>0.60416666666666696</v>
      </c>
      <c r="AP62" s="186">
        <v>4.9880699999999996</v>
      </c>
      <c r="AQ62" s="110">
        <v>0.60416666666666696</v>
      </c>
      <c r="AR62" s="146">
        <v>3.2454900000000002</v>
      </c>
      <c r="AT62" s="110">
        <v>0.60416666666666696</v>
      </c>
      <c r="AU62" s="20"/>
      <c r="AW62" s="110">
        <v>0.60416666666666696</v>
      </c>
      <c r="AX62" s="20"/>
    </row>
    <row r="63" spans="1:50" x14ac:dyDescent="0.3">
      <c r="A63" s="108">
        <v>0.53125</v>
      </c>
      <c r="B63" s="117">
        <f t="shared" si="0"/>
        <v>4800.88</v>
      </c>
      <c r="D63" s="110">
        <v>0.61458333333333304</v>
      </c>
      <c r="E63" s="146">
        <v>0.90255799999999997</v>
      </c>
      <c r="F63" s="110">
        <v>0.61458333333333304</v>
      </c>
      <c r="G63" s="146">
        <v>0.94702799999999998</v>
      </c>
      <c r="H63" s="110">
        <v>0.61458333333333304</v>
      </c>
      <c r="I63" s="146">
        <v>1.16737</v>
      </c>
      <c r="K63" s="110">
        <v>0.61458333333333304</v>
      </c>
      <c r="L63" s="146">
        <v>0.90680799999999995</v>
      </c>
      <c r="M63" s="110">
        <v>0.61458333333333304</v>
      </c>
      <c r="N63" s="146">
        <v>2.9985499999999998</v>
      </c>
      <c r="O63" s="110">
        <v>0.61458333333333304</v>
      </c>
      <c r="P63" s="146">
        <v>1.8765000000000001</v>
      </c>
      <c r="R63" s="110">
        <v>0.61458333333333304</v>
      </c>
      <c r="S63" s="146">
        <v>1.5552699999999999</v>
      </c>
      <c r="T63" s="110">
        <v>0.61458333333333304</v>
      </c>
      <c r="U63" s="146">
        <v>2.8041</v>
      </c>
      <c r="V63" s="110">
        <v>0.61458333333333304</v>
      </c>
      <c r="W63" s="146">
        <v>3.0286200000000001</v>
      </c>
      <c r="Y63" s="110">
        <v>0.61458333333333304</v>
      </c>
      <c r="Z63" s="146">
        <v>0.68630100000000005</v>
      </c>
      <c r="AA63" s="110">
        <v>0.61458333333333304</v>
      </c>
      <c r="AB63" s="146">
        <v>0.89768499999999996</v>
      </c>
      <c r="AC63" s="110">
        <v>0.61458333333333304</v>
      </c>
      <c r="AD63" s="146">
        <v>1.8967400000000001</v>
      </c>
      <c r="AF63" s="110">
        <v>0.61458333333333304</v>
      </c>
      <c r="AG63" s="146">
        <v>1.5561100000000001</v>
      </c>
      <c r="AH63" s="110">
        <v>0.61458333333333304</v>
      </c>
      <c r="AI63" s="180">
        <v>2.6491699999999998</v>
      </c>
      <c r="AJ63" s="110">
        <v>0.61458333333333304</v>
      </c>
      <c r="AK63" s="146">
        <v>4.8400299999999996</v>
      </c>
      <c r="AM63" s="110">
        <v>0.61458333333333304</v>
      </c>
      <c r="AN63" s="146">
        <v>1.9187000000000001</v>
      </c>
      <c r="AO63" s="110">
        <v>0.61458333333333304</v>
      </c>
      <c r="AP63" s="186">
        <v>4.9880699999999996</v>
      </c>
      <c r="AQ63" s="110">
        <v>0.61458333333333304</v>
      </c>
      <c r="AR63" s="146">
        <v>3.2454900000000002</v>
      </c>
      <c r="AT63" s="110">
        <v>0.61458333333333304</v>
      </c>
      <c r="AU63" s="20"/>
      <c r="AW63" s="110">
        <v>0.61458333333333304</v>
      </c>
      <c r="AX63" s="20"/>
    </row>
    <row r="64" spans="1:50" x14ac:dyDescent="0.3">
      <c r="A64" s="108">
        <v>0.54166666666666696</v>
      </c>
      <c r="B64" s="117">
        <f t="shared" si="0"/>
        <v>5206.03</v>
      </c>
      <c r="D64" s="110">
        <v>0.625</v>
      </c>
      <c r="E64" s="146">
        <v>0.66840999999999995</v>
      </c>
      <c r="F64" s="110">
        <v>0.625</v>
      </c>
      <c r="G64" s="146">
        <v>0.95701599999999998</v>
      </c>
      <c r="H64" s="110">
        <v>0.625</v>
      </c>
      <c r="I64" s="146">
        <v>2.2105999999999999</v>
      </c>
      <c r="K64" s="110">
        <v>0.625</v>
      </c>
      <c r="L64" s="146">
        <v>1.31921</v>
      </c>
      <c r="M64" s="110">
        <v>0.625</v>
      </c>
      <c r="N64" s="146">
        <v>1.74874</v>
      </c>
      <c r="O64" s="110">
        <v>0.625</v>
      </c>
      <c r="P64" s="146">
        <v>3.1205799999999999</v>
      </c>
      <c r="R64" s="110">
        <v>0.625</v>
      </c>
      <c r="S64" s="146">
        <v>1.92883</v>
      </c>
      <c r="T64" s="110">
        <v>0.625</v>
      </c>
      <c r="U64" s="146">
        <v>2.5287199999999999</v>
      </c>
      <c r="V64" s="110">
        <v>0.625</v>
      </c>
      <c r="W64" s="146">
        <v>3.2008399999999999</v>
      </c>
      <c r="Y64" s="110">
        <v>0.625</v>
      </c>
      <c r="Z64" s="146">
        <v>0.67928699999999997</v>
      </c>
      <c r="AA64" s="110">
        <v>0.625</v>
      </c>
      <c r="AB64" s="146">
        <v>0.91380099999999997</v>
      </c>
      <c r="AC64" s="110">
        <v>0.625</v>
      </c>
      <c r="AD64" s="146">
        <v>4.27285</v>
      </c>
      <c r="AF64" s="110">
        <v>0.625</v>
      </c>
      <c r="AG64" s="146">
        <v>1.4892099999999999</v>
      </c>
      <c r="AH64" s="110">
        <v>0.625</v>
      </c>
      <c r="AI64" s="180">
        <v>3.15252</v>
      </c>
      <c r="AJ64" s="110">
        <v>0.625</v>
      </c>
      <c r="AK64" s="146">
        <v>5.0394600000000001</v>
      </c>
      <c r="AM64" s="110">
        <v>0.625</v>
      </c>
      <c r="AN64" s="146">
        <v>1.81511</v>
      </c>
      <c r="AO64" s="110">
        <v>0.625</v>
      </c>
      <c r="AP64" s="186">
        <v>2.7477999999999998</v>
      </c>
      <c r="AQ64" s="110">
        <v>0.625</v>
      </c>
      <c r="AR64" s="146">
        <v>4.0709900000000001</v>
      </c>
      <c r="AT64" s="110">
        <v>0.625</v>
      </c>
      <c r="AU64" s="20"/>
      <c r="AW64" s="110">
        <v>0.625</v>
      </c>
      <c r="AX64" s="20"/>
    </row>
    <row r="65" spans="1:50" x14ac:dyDescent="0.3">
      <c r="A65" s="108">
        <v>0.55208333333333304</v>
      </c>
      <c r="B65" s="117">
        <f t="shared" si="0"/>
        <v>5206.03</v>
      </c>
      <c r="D65" s="110">
        <v>0.63541666666666696</v>
      </c>
      <c r="E65" s="146">
        <v>0.66840999999999995</v>
      </c>
      <c r="F65" s="110">
        <v>0.63541666666666696</v>
      </c>
      <c r="G65" s="146">
        <v>0.95701599999999998</v>
      </c>
      <c r="H65" s="110">
        <v>0.63541666666666696</v>
      </c>
      <c r="I65" s="146">
        <v>2.2105999999999999</v>
      </c>
      <c r="K65" s="110">
        <v>0.63541666666666696</v>
      </c>
      <c r="L65" s="146">
        <v>1.31921</v>
      </c>
      <c r="M65" s="110">
        <v>0.63541666666666696</v>
      </c>
      <c r="N65" s="146">
        <v>1.74874</v>
      </c>
      <c r="O65" s="110">
        <v>0.63541666666666696</v>
      </c>
      <c r="P65" s="146">
        <v>3.1205799999999999</v>
      </c>
      <c r="R65" s="110">
        <v>0.63541666666666696</v>
      </c>
      <c r="S65" s="146">
        <v>1.92883</v>
      </c>
      <c r="T65" s="110">
        <v>0.63541666666666696</v>
      </c>
      <c r="U65" s="146">
        <v>2.5287199999999999</v>
      </c>
      <c r="V65" s="110">
        <v>0.63541666666666696</v>
      </c>
      <c r="W65" s="146">
        <v>3.2008399999999999</v>
      </c>
      <c r="Y65" s="110">
        <v>0.63541666666666696</v>
      </c>
      <c r="Z65" s="146">
        <v>0.67928699999999997</v>
      </c>
      <c r="AA65" s="110">
        <v>0.63541666666666696</v>
      </c>
      <c r="AB65" s="146">
        <v>0.91380099999999997</v>
      </c>
      <c r="AC65" s="110">
        <v>0.63541666666666696</v>
      </c>
      <c r="AD65" s="146">
        <v>4.27285</v>
      </c>
      <c r="AF65" s="110">
        <v>0.63541666666666696</v>
      </c>
      <c r="AG65" s="146">
        <v>1.4892099999999999</v>
      </c>
      <c r="AH65" s="110">
        <v>0.63541666666666696</v>
      </c>
      <c r="AI65" s="180">
        <v>3.15252</v>
      </c>
      <c r="AJ65" s="110">
        <v>0.63541666666666696</v>
      </c>
      <c r="AK65" s="146">
        <v>5.0394600000000001</v>
      </c>
      <c r="AM65" s="110">
        <v>0.63541666666666696</v>
      </c>
      <c r="AN65" s="146">
        <v>1.81511</v>
      </c>
      <c r="AO65" s="110">
        <v>0.63541666666666696</v>
      </c>
      <c r="AP65" s="186">
        <v>2.7477999999999998</v>
      </c>
      <c r="AQ65" s="110">
        <v>0.63541666666666696</v>
      </c>
      <c r="AR65" s="146">
        <v>4.0709900000000001</v>
      </c>
      <c r="AT65" s="110">
        <v>0.63541666666666696</v>
      </c>
      <c r="AU65" s="20"/>
      <c r="AW65" s="110">
        <v>0.63541666666666696</v>
      </c>
      <c r="AX65" s="20"/>
    </row>
    <row r="66" spans="1:50" x14ac:dyDescent="0.3">
      <c r="A66" s="108">
        <v>0.5625</v>
      </c>
      <c r="B66" s="117">
        <f t="shared" si="0"/>
        <v>5206.03</v>
      </c>
      <c r="D66" s="110">
        <v>0.64583333333333304</v>
      </c>
      <c r="E66" s="146">
        <v>0.66840999999999995</v>
      </c>
      <c r="F66" s="110">
        <v>0.64583333333333304</v>
      </c>
      <c r="G66" s="146">
        <v>0.95701599999999998</v>
      </c>
      <c r="H66" s="110">
        <v>0.64583333333333304</v>
      </c>
      <c r="I66" s="146">
        <v>2.2105999999999999</v>
      </c>
      <c r="K66" s="110">
        <v>0.64583333333333304</v>
      </c>
      <c r="L66" s="146">
        <v>1.31921</v>
      </c>
      <c r="M66" s="110">
        <v>0.64583333333333304</v>
      </c>
      <c r="N66" s="146">
        <v>1.74874</v>
      </c>
      <c r="O66" s="110">
        <v>0.64583333333333304</v>
      </c>
      <c r="P66" s="146">
        <v>3.1205799999999999</v>
      </c>
      <c r="R66" s="110">
        <v>0.64583333333333304</v>
      </c>
      <c r="S66" s="146">
        <v>1.92883</v>
      </c>
      <c r="T66" s="110">
        <v>0.64583333333333304</v>
      </c>
      <c r="U66" s="146">
        <v>2.5287199999999999</v>
      </c>
      <c r="V66" s="110">
        <v>0.64583333333333304</v>
      </c>
      <c r="W66" s="146">
        <v>3.2008399999999999</v>
      </c>
      <c r="Y66" s="110">
        <v>0.64583333333333304</v>
      </c>
      <c r="Z66" s="146">
        <v>0.67928699999999997</v>
      </c>
      <c r="AA66" s="110">
        <v>0.64583333333333304</v>
      </c>
      <c r="AB66" s="146">
        <v>0.91380099999999997</v>
      </c>
      <c r="AC66" s="110">
        <v>0.64583333333333304</v>
      </c>
      <c r="AD66" s="146">
        <v>4.27285</v>
      </c>
      <c r="AF66" s="110">
        <v>0.64583333333333304</v>
      </c>
      <c r="AG66" s="146">
        <v>1.4892099999999999</v>
      </c>
      <c r="AH66" s="110">
        <v>0.64583333333333304</v>
      </c>
      <c r="AI66" s="180">
        <v>3.15252</v>
      </c>
      <c r="AJ66" s="110">
        <v>0.64583333333333304</v>
      </c>
      <c r="AK66" s="146">
        <v>5.0394600000000001</v>
      </c>
      <c r="AM66" s="110">
        <v>0.64583333333333304</v>
      </c>
      <c r="AN66" s="146">
        <v>1.81511</v>
      </c>
      <c r="AO66" s="110">
        <v>0.64583333333333304</v>
      </c>
      <c r="AP66" s="186">
        <v>2.7477999999999998</v>
      </c>
      <c r="AQ66" s="110">
        <v>0.64583333333333304</v>
      </c>
      <c r="AR66" s="146">
        <v>4.0709900000000001</v>
      </c>
      <c r="AT66" s="110">
        <v>0.64583333333333304</v>
      </c>
      <c r="AU66" s="20"/>
      <c r="AW66" s="110">
        <v>0.64583333333333304</v>
      </c>
      <c r="AX66" s="20"/>
    </row>
    <row r="67" spans="1:50" x14ac:dyDescent="0.3">
      <c r="A67" s="108">
        <v>0.57291666666666696</v>
      </c>
      <c r="B67" s="117">
        <f t="shared" si="0"/>
        <v>5206.03</v>
      </c>
      <c r="D67" s="110">
        <v>0.65625</v>
      </c>
      <c r="E67" s="146">
        <v>0.66840999999999995</v>
      </c>
      <c r="F67" s="110">
        <v>0.65625</v>
      </c>
      <c r="G67" s="146">
        <v>0.95701599999999998</v>
      </c>
      <c r="H67" s="110">
        <v>0.65625</v>
      </c>
      <c r="I67" s="146">
        <v>2.2105999999999999</v>
      </c>
      <c r="K67" s="110">
        <v>0.65625</v>
      </c>
      <c r="L67" s="146">
        <v>1.31921</v>
      </c>
      <c r="M67" s="110">
        <v>0.65625</v>
      </c>
      <c r="N67" s="146">
        <v>1.74874</v>
      </c>
      <c r="O67" s="110">
        <v>0.65625</v>
      </c>
      <c r="P67" s="146">
        <v>3.1205799999999999</v>
      </c>
      <c r="R67" s="110">
        <v>0.65625</v>
      </c>
      <c r="S67" s="146">
        <v>1.92883</v>
      </c>
      <c r="T67" s="110">
        <v>0.65625</v>
      </c>
      <c r="U67" s="146">
        <v>2.5287199999999999</v>
      </c>
      <c r="V67" s="110">
        <v>0.65625</v>
      </c>
      <c r="W67" s="146">
        <v>3.2008399999999999</v>
      </c>
      <c r="Y67" s="110">
        <v>0.65625</v>
      </c>
      <c r="Z67" s="146">
        <v>0.67928699999999997</v>
      </c>
      <c r="AA67" s="110">
        <v>0.65625</v>
      </c>
      <c r="AB67" s="146">
        <v>0.91380099999999997</v>
      </c>
      <c r="AC67" s="110">
        <v>0.65625</v>
      </c>
      <c r="AD67" s="146">
        <v>4.27285</v>
      </c>
      <c r="AF67" s="110">
        <v>0.65625</v>
      </c>
      <c r="AG67" s="146">
        <v>1.4892099999999999</v>
      </c>
      <c r="AH67" s="110">
        <v>0.65625</v>
      </c>
      <c r="AI67" s="180">
        <v>3.15252</v>
      </c>
      <c r="AJ67" s="110">
        <v>0.65625</v>
      </c>
      <c r="AK67" s="146">
        <v>5.0394600000000001</v>
      </c>
      <c r="AM67" s="110">
        <v>0.65625</v>
      </c>
      <c r="AN67" s="146">
        <v>1.81511</v>
      </c>
      <c r="AO67" s="110">
        <v>0.65625</v>
      </c>
      <c r="AP67" s="186">
        <v>2.7477999999999998</v>
      </c>
      <c r="AQ67" s="110">
        <v>0.65625</v>
      </c>
      <c r="AR67" s="146">
        <v>4.0709900000000001</v>
      </c>
      <c r="AT67" s="110">
        <v>0.65625</v>
      </c>
      <c r="AU67" s="20"/>
      <c r="AW67" s="110">
        <v>0.65625</v>
      </c>
      <c r="AX67" s="20"/>
    </row>
    <row r="68" spans="1:50" x14ac:dyDescent="0.3">
      <c r="A68" s="108">
        <v>0.58333333333333304</v>
      </c>
      <c r="B68" s="117">
        <f t="shared" si="0"/>
        <v>4840.03</v>
      </c>
      <c r="D68" s="110">
        <v>0.66666666666666696</v>
      </c>
      <c r="E68" s="146">
        <v>0.73887899999999995</v>
      </c>
      <c r="F68" s="110">
        <v>0.66666666666666696</v>
      </c>
      <c r="G68" s="146">
        <v>1.4709399999999999</v>
      </c>
      <c r="H68" s="110">
        <v>0.66666666666666696</v>
      </c>
      <c r="I68" s="146">
        <v>1.3000100000000001</v>
      </c>
      <c r="K68" s="110">
        <v>0.66666666666666696</v>
      </c>
      <c r="L68" s="146">
        <v>1.3645099999999999</v>
      </c>
      <c r="M68" s="110">
        <v>0.66666666666666696</v>
      </c>
      <c r="N68" s="146">
        <v>1.92378</v>
      </c>
      <c r="O68" s="110">
        <v>0.66666666666666696</v>
      </c>
      <c r="P68" s="146">
        <v>3.1347800000000001</v>
      </c>
      <c r="R68" s="110">
        <v>0.66666666666666696</v>
      </c>
      <c r="S68" s="146">
        <v>1.7994600000000001</v>
      </c>
      <c r="T68" s="110">
        <v>0.66666666666666696</v>
      </c>
      <c r="U68" s="146">
        <v>2.7988900000000001</v>
      </c>
      <c r="V68" s="110">
        <v>0.66666666666666696</v>
      </c>
      <c r="W68" s="146">
        <v>4.5789099999999996</v>
      </c>
      <c r="Y68" s="110">
        <v>0.66666666666666696</v>
      </c>
      <c r="Z68" s="146">
        <v>1.5237099999999999</v>
      </c>
      <c r="AA68" s="110">
        <v>0.66666666666666696</v>
      </c>
      <c r="AB68" s="146">
        <v>4.9012900000000004</v>
      </c>
      <c r="AC68" s="110">
        <v>0.66666666666666696</v>
      </c>
      <c r="AD68" s="146">
        <v>1.26115</v>
      </c>
      <c r="AF68" s="110">
        <v>0.66666666666666696</v>
      </c>
      <c r="AG68" s="146">
        <v>2.0335800000000002</v>
      </c>
      <c r="AH68" s="110">
        <v>0.66666666666666696</v>
      </c>
      <c r="AI68" s="180">
        <v>2.7544400000000002</v>
      </c>
      <c r="AJ68" s="110">
        <v>0.66666666666666696</v>
      </c>
      <c r="AK68" s="146">
        <v>4.1415499999999996</v>
      </c>
      <c r="AM68" s="110">
        <v>0.66666666666666696</v>
      </c>
      <c r="AN68" s="146">
        <v>2.02197</v>
      </c>
      <c r="AO68" s="110">
        <v>0.66666666666666696</v>
      </c>
      <c r="AP68" s="186">
        <v>3.11443</v>
      </c>
      <c r="AQ68" s="110">
        <v>0.66666666666666696</v>
      </c>
      <c r="AR68" s="146">
        <v>3.9697499999999999</v>
      </c>
      <c r="AT68" s="110">
        <v>0.66666666666666696</v>
      </c>
      <c r="AU68" s="20"/>
      <c r="AW68" s="110">
        <v>0.66666666666666696</v>
      </c>
      <c r="AX68" s="20"/>
    </row>
    <row r="69" spans="1:50" x14ac:dyDescent="0.3">
      <c r="A69" s="108">
        <v>0.59375</v>
      </c>
      <c r="B69" s="117">
        <f t="shared" si="0"/>
        <v>4840.03</v>
      </c>
      <c r="D69" s="110">
        <v>0.67708333333333304</v>
      </c>
      <c r="E69" s="146">
        <v>0.73887899999999995</v>
      </c>
      <c r="F69" s="110">
        <v>0.67708333333333304</v>
      </c>
      <c r="G69" s="146">
        <v>1.4709399999999999</v>
      </c>
      <c r="H69" s="110">
        <v>0.67708333333333304</v>
      </c>
      <c r="I69" s="146">
        <v>1.3000100000000001</v>
      </c>
      <c r="K69" s="110">
        <v>0.67708333333333304</v>
      </c>
      <c r="L69" s="146">
        <v>1.3645099999999999</v>
      </c>
      <c r="M69" s="110">
        <v>0.67708333333333304</v>
      </c>
      <c r="N69" s="146">
        <v>1.92378</v>
      </c>
      <c r="O69" s="110">
        <v>0.67708333333333304</v>
      </c>
      <c r="P69" s="146">
        <v>3.1347800000000001</v>
      </c>
      <c r="R69" s="110">
        <v>0.67708333333333304</v>
      </c>
      <c r="S69" s="146">
        <v>1.7994600000000001</v>
      </c>
      <c r="T69" s="110">
        <v>0.67708333333333304</v>
      </c>
      <c r="U69" s="146">
        <v>2.7988900000000001</v>
      </c>
      <c r="V69" s="110">
        <v>0.67708333333333304</v>
      </c>
      <c r="W69" s="146">
        <v>4.5789099999999996</v>
      </c>
      <c r="Y69" s="110">
        <v>0.67708333333333304</v>
      </c>
      <c r="Z69" s="146">
        <v>1.5237099999999999</v>
      </c>
      <c r="AA69" s="110">
        <v>0.67708333333333304</v>
      </c>
      <c r="AB69" s="146">
        <v>4.9012900000000004</v>
      </c>
      <c r="AC69" s="110">
        <v>0.67708333333333304</v>
      </c>
      <c r="AD69" s="146">
        <v>1.26115</v>
      </c>
      <c r="AF69" s="110">
        <v>0.67708333333333304</v>
      </c>
      <c r="AG69" s="146">
        <v>2.0335800000000002</v>
      </c>
      <c r="AH69" s="110">
        <v>0.67708333333333304</v>
      </c>
      <c r="AI69" s="180">
        <v>2.7544400000000002</v>
      </c>
      <c r="AJ69" s="110">
        <v>0.67708333333333304</v>
      </c>
      <c r="AK69" s="146">
        <v>4.1415499999999996</v>
      </c>
      <c r="AM69" s="110">
        <v>0.67708333333333304</v>
      </c>
      <c r="AN69" s="146">
        <v>2.02197</v>
      </c>
      <c r="AO69" s="110">
        <v>0.67708333333333304</v>
      </c>
      <c r="AP69" s="186">
        <v>3.11443</v>
      </c>
      <c r="AQ69" s="110">
        <v>0.67708333333333304</v>
      </c>
      <c r="AR69" s="146">
        <v>3.9697499999999999</v>
      </c>
      <c r="AT69" s="110">
        <v>0.67708333333333304</v>
      </c>
      <c r="AU69" s="20"/>
      <c r="AW69" s="110">
        <v>0.67708333333333304</v>
      </c>
      <c r="AX69" s="20"/>
    </row>
    <row r="70" spans="1:50" x14ac:dyDescent="0.3">
      <c r="A70" s="108">
        <v>0.60416666666666696</v>
      </c>
      <c r="B70" s="117">
        <f t="shared" si="0"/>
        <v>4840.03</v>
      </c>
      <c r="D70" s="110">
        <v>0.6875</v>
      </c>
      <c r="E70" s="146">
        <v>0.73887899999999995</v>
      </c>
      <c r="F70" s="110">
        <v>0.6875</v>
      </c>
      <c r="G70" s="146">
        <v>1.4709399999999999</v>
      </c>
      <c r="H70" s="110">
        <v>0.6875</v>
      </c>
      <c r="I70" s="146">
        <v>1.3000100000000001</v>
      </c>
      <c r="K70" s="110">
        <v>0.6875</v>
      </c>
      <c r="L70" s="146">
        <v>1.3645099999999999</v>
      </c>
      <c r="M70" s="110">
        <v>0.6875</v>
      </c>
      <c r="N70" s="146">
        <v>1.92378</v>
      </c>
      <c r="O70" s="110">
        <v>0.6875</v>
      </c>
      <c r="P70" s="146">
        <v>3.1347800000000001</v>
      </c>
      <c r="R70" s="110">
        <v>0.6875</v>
      </c>
      <c r="S70" s="146">
        <v>1.7994600000000001</v>
      </c>
      <c r="T70" s="110">
        <v>0.6875</v>
      </c>
      <c r="U70" s="146">
        <v>2.7988900000000001</v>
      </c>
      <c r="V70" s="110">
        <v>0.6875</v>
      </c>
      <c r="W70" s="146">
        <v>4.5789099999999996</v>
      </c>
      <c r="Y70" s="110">
        <v>0.6875</v>
      </c>
      <c r="Z70" s="146">
        <v>1.5237099999999999</v>
      </c>
      <c r="AA70" s="110">
        <v>0.6875</v>
      </c>
      <c r="AB70" s="146">
        <v>4.9012900000000004</v>
      </c>
      <c r="AC70" s="110">
        <v>0.6875</v>
      </c>
      <c r="AD70" s="146">
        <v>1.26115</v>
      </c>
      <c r="AF70" s="110">
        <v>0.6875</v>
      </c>
      <c r="AG70" s="146">
        <v>2.0335800000000002</v>
      </c>
      <c r="AH70" s="110">
        <v>0.6875</v>
      </c>
      <c r="AI70" s="180">
        <v>2.7544400000000002</v>
      </c>
      <c r="AJ70" s="110">
        <v>0.6875</v>
      </c>
      <c r="AK70" s="146">
        <v>4.1415499999999996</v>
      </c>
      <c r="AM70" s="110">
        <v>0.6875</v>
      </c>
      <c r="AN70" s="146">
        <v>2.02197</v>
      </c>
      <c r="AO70" s="110">
        <v>0.6875</v>
      </c>
      <c r="AP70" s="186">
        <v>3.11443</v>
      </c>
      <c r="AQ70" s="110">
        <v>0.6875</v>
      </c>
      <c r="AR70" s="146">
        <v>3.9697499999999999</v>
      </c>
      <c r="AT70" s="110">
        <v>0.6875</v>
      </c>
      <c r="AU70" s="20"/>
      <c r="AW70" s="110">
        <v>0.6875</v>
      </c>
      <c r="AX70" s="20"/>
    </row>
    <row r="71" spans="1:50" x14ac:dyDescent="0.3">
      <c r="A71" s="108">
        <v>0.61458333333333304</v>
      </c>
      <c r="B71" s="117">
        <f t="shared" si="0"/>
        <v>4840.03</v>
      </c>
      <c r="D71" s="110">
        <v>0.69791666666666696</v>
      </c>
      <c r="E71" s="146">
        <v>0.73887899999999995</v>
      </c>
      <c r="F71" s="110">
        <v>0.69791666666666696</v>
      </c>
      <c r="G71" s="146">
        <v>1.4709399999999999</v>
      </c>
      <c r="H71" s="110">
        <v>0.69791666666666696</v>
      </c>
      <c r="I71" s="146">
        <v>1.3000100000000001</v>
      </c>
      <c r="K71" s="110">
        <v>0.69791666666666696</v>
      </c>
      <c r="L71" s="146">
        <v>1.3645099999999999</v>
      </c>
      <c r="M71" s="110">
        <v>0.69791666666666696</v>
      </c>
      <c r="N71" s="146">
        <v>1.92378</v>
      </c>
      <c r="O71" s="110">
        <v>0.69791666666666696</v>
      </c>
      <c r="P71" s="146">
        <v>3.1347800000000001</v>
      </c>
      <c r="R71" s="110">
        <v>0.69791666666666696</v>
      </c>
      <c r="S71" s="146">
        <v>1.7994600000000001</v>
      </c>
      <c r="T71" s="110">
        <v>0.69791666666666696</v>
      </c>
      <c r="U71" s="146">
        <v>2.7988900000000001</v>
      </c>
      <c r="V71" s="110">
        <v>0.69791666666666696</v>
      </c>
      <c r="W71" s="146">
        <v>4.5789099999999996</v>
      </c>
      <c r="Y71" s="110">
        <v>0.69791666666666696</v>
      </c>
      <c r="Z71" s="146">
        <v>1.5237099999999999</v>
      </c>
      <c r="AA71" s="110">
        <v>0.69791666666666696</v>
      </c>
      <c r="AB71" s="146">
        <v>4.9012900000000004</v>
      </c>
      <c r="AC71" s="110">
        <v>0.69791666666666696</v>
      </c>
      <c r="AD71" s="146">
        <v>1.26115</v>
      </c>
      <c r="AF71" s="110">
        <v>0.69791666666666696</v>
      </c>
      <c r="AG71" s="146">
        <v>2.0335800000000002</v>
      </c>
      <c r="AH71" s="110">
        <v>0.69791666666666696</v>
      </c>
      <c r="AI71" s="180">
        <v>2.7544400000000002</v>
      </c>
      <c r="AJ71" s="110">
        <v>0.69791666666666696</v>
      </c>
      <c r="AK71" s="146">
        <v>4.1415499999999996</v>
      </c>
      <c r="AM71" s="110">
        <v>0.69791666666666696</v>
      </c>
      <c r="AN71" s="146">
        <v>2.02197</v>
      </c>
      <c r="AO71" s="110">
        <v>0.69791666666666696</v>
      </c>
      <c r="AP71" s="186">
        <v>3.11443</v>
      </c>
      <c r="AQ71" s="110">
        <v>0.69791666666666696</v>
      </c>
      <c r="AR71" s="146">
        <v>3.9697499999999999</v>
      </c>
      <c r="AT71" s="110">
        <v>0.69791666666666696</v>
      </c>
      <c r="AU71" s="20"/>
      <c r="AW71" s="110">
        <v>0.69791666666666696</v>
      </c>
      <c r="AX71" s="20"/>
    </row>
    <row r="72" spans="1:50" x14ac:dyDescent="0.3">
      <c r="A72" s="108">
        <v>0.625</v>
      </c>
      <c r="B72" s="117">
        <f t="shared" si="0"/>
        <v>5039.46</v>
      </c>
      <c r="D72" s="110">
        <v>0.70833333333333304</v>
      </c>
      <c r="E72" s="146">
        <v>1.27196</v>
      </c>
      <c r="F72" s="110">
        <v>0.70833333333333304</v>
      </c>
      <c r="G72" s="146">
        <v>2.2804899999999999</v>
      </c>
      <c r="H72" s="110">
        <v>0.70833333333333304</v>
      </c>
      <c r="I72" s="146">
        <v>1.5467599999999999</v>
      </c>
      <c r="K72" s="110">
        <v>0.70833333333333304</v>
      </c>
      <c r="L72" s="146">
        <v>1.2882899999999999</v>
      </c>
      <c r="M72" s="110">
        <v>0.70833333333333304</v>
      </c>
      <c r="N72" s="146">
        <v>2.0499900000000002</v>
      </c>
      <c r="O72" s="110">
        <v>0.70833333333333304</v>
      </c>
      <c r="P72" s="146">
        <v>2.5667499999999999</v>
      </c>
      <c r="R72" s="110">
        <v>0.70833333333333304</v>
      </c>
      <c r="S72" s="146">
        <v>2.5127600000000001</v>
      </c>
      <c r="T72" s="110">
        <v>0.70833333333333304</v>
      </c>
      <c r="U72" s="146">
        <v>3.7123900000000001</v>
      </c>
      <c r="V72" s="110">
        <v>0.70833333333333304</v>
      </c>
      <c r="W72" s="146">
        <v>4.0316299999999998</v>
      </c>
      <c r="Y72" s="110">
        <v>0.70833333333333304</v>
      </c>
      <c r="Z72" s="146">
        <v>2.0332400000000002</v>
      </c>
      <c r="AA72" s="110">
        <v>0.70833333333333304</v>
      </c>
      <c r="AB72" s="146">
        <v>3.6042299999999998</v>
      </c>
      <c r="AC72" s="110">
        <v>0.70833333333333304</v>
      </c>
      <c r="AD72" s="146">
        <v>2.18954</v>
      </c>
      <c r="AF72" s="110">
        <v>0.70833333333333304</v>
      </c>
      <c r="AG72" s="146">
        <v>2.6988599999999998</v>
      </c>
      <c r="AH72" s="110">
        <v>0.70833333333333304</v>
      </c>
      <c r="AI72" s="180">
        <v>3.7260900000000001</v>
      </c>
      <c r="AJ72" s="110">
        <v>0.70833333333333304</v>
      </c>
      <c r="AK72" s="146">
        <v>4.75326</v>
      </c>
      <c r="AM72" s="110">
        <v>0.70833333333333304</v>
      </c>
      <c r="AN72" s="146">
        <v>2.84674</v>
      </c>
      <c r="AO72" s="110">
        <v>0.70833333333333304</v>
      </c>
      <c r="AP72" s="186">
        <v>3.6433</v>
      </c>
      <c r="AQ72" s="110">
        <v>0.70833333333333304</v>
      </c>
      <c r="AR72" s="146">
        <v>4.5381600000000004</v>
      </c>
      <c r="AT72" s="110">
        <v>0.70833333333333304</v>
      </c>
      <c r="AU72" s="20"/>
      <c r="AW72" s="110">
        <v>0.70833333333333304</v>
      </c>
      <c r="AX72" s="20"/>
    </row>
    <row r="73" spans="1:50" x14ac:dyDescent="0.3">
      <c r="A73" s="108">
        <v>0.63541666666666696</v>
      </c>
      <c r="B73" s="117">
        <f t="shared" si="0"/>
        <v>5039.46</v>
      </c>
      <c r="D73" s="110">
        <v>0.71875</v>
      </c>
      <c r="E73" s="146">
        <v>1.27196</v>
      </c>
      <c r="F73" s="110">
        <v>0.71875</v>
      </c>
      <c r="G73" s="146">
        <v>2.2804899999999999</v>
      </c>
      <c r="H73" s="110">
        <v>0.71875</v>
      </c>
      <c r="I73" s="146">
        <v>1.5467599999999999</v>
      </c>
      <c r="K73" s="110">
        <v>0.71875</v>
      </c>
      <c r="L73" s="146">
        <v>1.2882899999999999</v>
      </c>
      <c r="M73" s="110">
        <v>0.71875</v>
      </c>
      <c r="N73" s="146">
        <v>2.0499900000000002</v>
      </c>
      <c r="O73" s="110">
        <v>0.71875</v>
      </c>
      <c r="P73" s="146">
        <v>2.5667499999999999</v>
      </c>
      <c r="R73" s="110">
        <v>0.71875</v>
      </c>
      <c r="S73" s="146">
        <v>2.5127600000000001</v>
      </c>
      <c r="T73" s="110">
        <v>0.71875</v>
      </c>
      <c r="U73" s="146">
        <v>3.7123900000000001</v>
      </c>
      <c r="V73" s="110">
        <v>0.71875</v>
      </c>
      <c r="W73" s="146">
        <v>4.0316299999999998</v>
      </c>
      <c r="Y73" s="110">
        <v>0.71875</v>
      </c>
      <c r="Z73" s="146">
        <v>2.0332400000000002</v>
      </c>
      <c r="AA73" s="110">
        <v>0.71875</v>
      </c>
      <c r="AB73" s="146">
        <v>3.6042299999999998</v>
      </c>
      <c r="AC73" s="110">
        <v>0.71875</v>
      </c>
      <c r="AD73" s="146">
        <v>2.18954</v>
      </c>
      <c r="AF73" s="110">
        <v>0.71875</v>
      </c>
      <c r="AG73" s="146">
        <v>2.6988599999999998</v>
      </c>
      <c r="AH73" s="110">
        <v>0.71875</v>
      </c>
      <c r="AI73" s="180">
        <v>3.7260900000000001</v>
      </c>
      <c r="AJ73" s="110">
        <v>0.71875</v>
      </c>
      <c r="AK73" s="146">
        <v>4.75326</v>
      </c>
      <c r="AM73" s="110">
        <v>0.71875</v>
      </c>
      <c r="AN73" s="146">
        <v>2.84674</v>
      </c>
      <c r="AO73" s="110">
        <v>0.71875</v>
      </c>
      <c r="AP73" s="186">
        <v>3.6433</v>
      </c>
      <c r="AQ73" s="110">
        <v>0.71875</v>
      </c>
      <c r="AR73" s="146">
        <v>4.5381600000000004</v>
      </c>
      <c r="AT73" s="110">
        <v>0.71875</v>
      </c>
      <c r="AU73" s="20"/>
      <c r="AW73" s="110">
        <v>0.71875</v>
      </c>
      <c r="AX73" s="20"/>
    </row>
    <row r="74" spans="1:50" x14ac:dyDescent="0.3">
      <c r="A74" s="108">
        <v>0.64583333333333304</v>
      </c>
      <c r="B74" s="117">
        <f t="shared" si="0"/>
        <v>5039.46</v>
      </c>
      <c r="D74" s="110">
        <v>0.72916666666666696</v>
      </c>
      <c r="E74" s="146">
        <v>1.27196</v>
      </c>
      <c r="F74" s="110">
        <v>0.72916666666666696</v>
      </c>
      <c r="G74" s="146">
        <v>2.2804899999999999</v>
      </c>
      <c r="H74" s="110">
        <v>0.72916666666666696</v>
      </c>
      <c r="I74" s="146">
        <v>1.5467599999999999</v>
      </c>
      <c r="K74" s="110">
        <v>0.72916666666666696</v>
      </c>
      <c r="L74" s="146">
        <v>1.2882899999999999</v>
      </c>
      <c r="M74" s="110">
        <v>0.72916666666666696</v>
      </c>
      <c r="N74" s="146">
        <v>2.0499900000000002</v>
      </c>
      <c r="O74" s="110">
        <v>0.72916666666666696</v>
      </c>
      <c r="P74" s="146">
        <v>2.5667499999999999</v>
      </c>
      <c r="R74" s="110">
        <v>0.72916666666666696</v>
      </c>
      <c r="S74" s="146">
        <v>2.5127600000000001</v>
      </c>
      <c r="T74" s="110">
        <v>0.72916666666666696</v>
      </c>
      <c r="U74" s="146">
        <v>3.7123900000000001</v>
      </c>
      <c r="V74" s="110">
        <v>0.72916666666666696</v>
      </c>
      <c r="W74" s="146">
        <v>4.0316299999999998</v>
      </c>
      <c r="Y74" s="110">
        <v>0.72916666666666696</v>
      </c>
      <c r="Z74" s="146">
        <v>2.0332400000000002</v>
      </c>
      <c r="AA74" s="110">
        <v>0.72916666666666696</v>
      </c>
      <c r="AB74" s="146">
        <v>3.6042299999999998</v>
      </c>
      <c r="AC74" s="110">
        <v>0.72916666666666696</v>
      </c>
      <c r="AD74" s="146">
        <v>2.18954</v>
      </c>
      <c r="AF74" s="110">
        <v>0.72916666666666696</v>
      </c>
      <c r="AG74" s="146">
        <v>2.6988599999999998</v>
      </c>
      <c r="AH74" s="110">
        <v>0.72916666666666696</v>
      </c>
      <c r="AI74" s="180">
        <v>3.7260900000000001</v>
      </c>
      <c r="AJ74" s="110">
        <v>0.72916666666666696</v>
      </c>
      <c r="AK74" s="146">
        <v>4.75326</v>
      </c>
      <c r="AM74" s="110">
        <v>0.72916666666666696</v>
      </c>
      <c r="AN74" s="146">
        <v>2.84674</v>
      </c>
      <c r="AO74" s="110">
        <v>0.72916666666666696</v>
      </c>
      <c r="AP74" s="186">
        <v>3.6433</v>
      </c>
      <c r="AQ74" s="110">
        <v>0.72916666666666696</v>
      </c>
      <c r="AR74" s="146">
        <v>4.5381600000000004</v>
      </c>
      <c r="AT74" s="110">
        <v>0.72916666666666696</v>
      </c>
      <c r="AU74" s="20"/>
      <c r="AW74" s="110">
        <v>0.72916666666666696</v>
      </c>
      <c r="AX74" s="20"/>
    </row>
    <row r="75" spans="1:50" x14ac:dyDescent="0.3">
      <c r="A75" s="108">
        <v>0.65625</v>
      </c>
      <c r="B75" s="117">
        <f t="shared" si="0"/>
        <v>5039.46</v>
      </c>
      <c r="D75" s="110">
        <v>0.73958333333333304</v>
      </c>
      <c r="E75" s="146">
        <v>1.27196</v>
      </c>
      <c r="F75" s="110">
        <v>0.73958333333333304</v>
      </c>
      <c r="G75" s="146">
        <v>2.2804899999999999</v>
      </c>
      <c r="H75" s="110">
        <v>0.73958333333333304</v>
      </c>
      <c r="I75" s="146">
        <v>1.5467599999999999</v>
      </c>
      <c r="K75" s="110">
        <v>0.73958333333333304</v>
      </c>
      <c r="L75" s="146">
        <v>1.2882899999999999</v>
      </c>
      <c r="M75" s="110">
        <v>0.73958333333333304</v>
      </c>
      <c r="N75" s="146">
        <v>2.0499900000000002</v>
      </c>
      <c r="O75" s="110">
        <v>0.73958333333333304</v>
      </c>
      <c r="P75" s="146">
        <v>2.5667499999999999</v>
      </c>
      <c r="R75" s="110">
        <v>0.73958333333333304</v>
      </c>
      <c r="S75" s="146">
        <v>2.5127600000000001</v>
      </c>
      <c r="T75" s="110">
        <v>0.73958333333333304</v>
      </c>
      <c r="U75" s="146">
        <v>3.7123900000000001</v>
      </c>
      <c r="V75" s="110">
        <v>0.73958333333333304</v>
      </c>
      <c r="W75" s="146">
        <v>4.0316299999999998</v>
      </c>
      <c r="Y75" s="110">
        <v>0.73958333333333304</v>
      </c>
      <c r="Z75" s="146">
        <v>2.0332400000000002</v>
      </c>
      <c r="AA75" s="110">
        <v>0.73958333333333304</v>
      </c>
      <c r="AB75" s="146">
        <v>3.6042299999999998</v>
      </c>
      <c r="AC75" s="110">
        <v>0.73958333333333304</v>
      </c>
      <c r="AD75" s="146">
        <v>2.18954</v>
      </c>
      <c r="AF75" s="110">
        <v>0.73958333333333304</v>
      </c>
      <c r="AG75" s="146">
        <v>2.6988599999999998</v>
      </c>
      <c r="AH75" s="110">
        <v>0.73958333333333304</v>
      </c>
      <c r="AI75" s="180">
        <v>3.7260900000000001</v>
      </c>
      <c r="AJ75" s="110">
        <v>0.73958333333333304</v>
      </c>
      <c r="AK75" s="146">
        <v>4.75326</v>
      </c>
      <c r="AM75" s="110">
        <v>0.73958333333333304</v>
      </c>
      <c r="AN75" s="146">
        <v>2.84674</v>
      </c>
      <c r="AO75" s="110">
        <v>0.73958333333333304</v>
      </c>
      <c r="AP75" s="186">
        <v>3.6433</v>
      </c>
      <c r="AQ75" s="110">
        <v>0.73958333333333304</v>
      </c>
      <c r="AR75" s="146">
        <v>4.5381600000000004</v>
      </c>
      <c r="AT75" s="110">
        <v>0.73958333333333304</v>
      </c>
      <c r="AU75" s="20"/>
      <c r="AW75" s="110">
        <v>0.73958333333333304</v>
      </c>
      <c r="AX75" s="20"/>
    </row>
    <row r="76" spans="1:50" x14ac:dyDescent="0.3">
      <c r="A76" s="108">
        <v>0.66666666666666696</v>
      </c>
      <c r="B76" s="117">
        <f t="shared" si="0"/>
        <v>4141.5499999999993</v>
      </c>
      <c r="D76" s="110">
        <v>0.75</v>
      </c>
      <c r="E76" s="146">
        <v>0.88145799999999996</v>
      </c>
      <c r="F76" s="110">
        <v>0.75</v>
      </c>
      <c r="G76" s="146">
        <v>2.4901200000000001</v>
      </c>
      <c r="H76" s="110">
        <v>0.75</v>
      </c>
      <c r="I76" s="146">
        <v>2.6339999999999999</v>
      </c>
      <c r="K76" s="110">
        <v>0.75</v>
      </c>
      <c r="L76" s="146">
        <v>3.1071399999999998</v>
      </c>
      <c r="M76" s="110">
        <v>0.75</v>
      </c>
      <c r="N76" s="146">
        <v>1.8907400000000001</v>
      </c>
      <c r="O76" s="110">
        <v>0.75</v>
      </c>
      <c r="P76" s="146">
        <v>2.2447300000000001</v>
      </c>
      <c r="R76" s="110">
        <v>0.75</v>
      </c>
      <c r="S76" s="146">
        <v>2.29732</v>
      </c>
      <c r="T76" s="110">
        <v>0.75</v>
      </c>
      <c r="U76" s="146">
        <v>3.09721</v>
      </c>
      <c r="V76" s="110">
        <v>0.75</v>
      </c>
      <c r="W76" s="146">
        <v>3.9096700000000002</v>
      </c>
      <c r="Y76" s="110">
        <v>0.75</v>
      </c>
      <c r="Z76" s="146">
        <v>1.2279199999999999</v>
      </c>
      <c r="AA76" s="110">
        <v>0.75</v>
      </c>
      <c r="AB76" s="146">
        <v>4.4920799999999996</v>
      </c>
      <c r="AC76" s="110">
        <v>0.75</v>
      </c>
      <c r="AD76" s="146">
        <v>3.2511700000000001</v>
      </c>
      <c r="AF76" s="110">
        <v>0.75</v>
      </c>
      <c r="AG76" s="146">
        <v>2.9378899999999999</v>
      </c>
      <c r="AH76" s="110">
        <v>0.75</v>
      </c>
      <c r="AI76" s="180">
        <v>3.5986600000000002</v>
      </c>
      <c r="AJ76" s="110">
        <v>0.75</v>
      </c>
      <c r="AK76" s="146">
        <v>4.8037000000000001</v>
      </c>
      <c r="AM76" s="110">
        <v>0.75</v>
      </c>
      <c r="AN76" s="146">
        <v>2.17455</v>
      </c>
      <c r="AO76" s="110">
        <v>0.75</v>
      </c>
      <c r="AP76" s="186">
        <v>6.1815800000000003</v>
      </c>
      <c r="AQ76" s="110">
        <v>0.75</v>
      </c>
      <c r="AR76" s="146">
        <v>4.3676700000000004</v>
      </c>
      <c r="AT76" s="110">
        <v>0.75</v>
      </c>
      <c r="AU76" s="20"/>
      <c r="AW76" s="110">
        <v>0.75</v>
      </c>
      <c r="AX76" s="20"/>
    </row>
    <row r="77" spans="1:50" x14ac:dyDescent="0.3">
      <c r="A77" s="108">
        <v>0.67708333333333304</v>
      </c>
      <c r="B77" s="117">
        <f t="shared" ref="B77:B107" si="1">IF(AND($B$3=$D$1,$B$9=$D$2),E69*1000,IF(AND($B$3=$D$1,$B$9=$F$2),G69*1000,IF(AND($B$3=$D$1,$B$9=$H$2),I69*1000,IF(AND($B$3=$K$1,$B$9=$K$2),L69*1000,IF(AND($B$3=$K$1,$B$9=$M$2),N69*1000,IF(AND($B$3=$K$1,$B$9=$O$2),P69*1000,IF(AND($B$3=$R$1,$B$9=$R$2),S69*1000,IF(AND($B$3=$R$1,$B$9=$T$2),U69*1000,IF(AND($B$3=$R$1,$B$9=$V$2),W69*1000,IF(AND($B$3=$Y$1,$B$9=$Y$2),Z69*1000,IF(AND($B$3=$Y$1,$B$9=$AA$2),AB69*1000,IF(AND($B$3=$Y$1,$B$9=$AC$2),AD69*1000,IF(AND($B$3=$AF$1,$B$9=$AF$2),AG69*1000,IF(AND($B$3=$AF$1,$B$9=$AH$2),AI69*1000,IF(AND($B$3=$AF$1,$B$9=$AJ$2),AK69*1000,IF(AND($B$3=$AM$1,$B$9=$AM$2),AN69*1000,IF(AND($B$3=$AM$1,$B$9=$AO$2),AP69*1000,IF(AND($B$3=$AM$1,$B$9=$AQ$2),AR69*1000,IF($B$3=$AT$2,AU69*1000,IF($B$3=$AW$2,AX69*1000,0))))))))))))))))))))</f>
        <v>4141.5499999999993</v>
      </c>
      <c r="D77" s="110">
        <v>0.76041666666666696</v>
      </c>
      <c r="E77" s="146">
        <v>0.88145799999999996</v>
      </c>
      <c r="F77" s="110">
        <v>0.76041666666666696</v>
      </c>
      <c r="G77" s="146">
        <v>2.4901200000000001</v>
      </c>
      <c r="H77" s="110">
        <v>0.76041666666666696</v>
      </c>
      <c r="I77" s="146">
        <v>2.6339999999999999</v>
      </c>
      <c r="K77" s="110">
        <v>0.76041666666666696</v>
      </c>
      <c r="L77" s="146">
        <v>3.1071399999999998</v>
      </c>
      <c r="M77" s="110">
        <v>0.76041666666666696</v>
      </c>
      <c r="N77" s="146">
        <v>1.8907400000000001</v>
      </c>
      <c r="O77" s="110">
        <v>0.76041666666666696</v>
      </c>
      <c r="P77" s="146">
        <v>2.2447300000000001</v>
      </c>
      <c r="R77" s="110">
        <v>0.76041666666666696</v>
      </c>
      <c r="S77" s="146">
        <v>2.29732</v>
      </c>
      <c r="T77" s="110">
        <v>0.76041666666666696</v>
      </c>
      <c r="U77" s="146">
        <v>3.09721</v>
      </c>
      <c r="V77" s="110">
        <v>0.76041666666666696</v>
      </c>
      <c r="W77" s="146">
        <v>3.9096700000000002</v>
      </c>
      <c r="Y77" s="110">
        <v>0.76041666666666696</v>
      </c>
      <c r="Z77" s="146">
        <v>1.2279199999999999</v>
      </c>
      <c r="AA77" s="110">
        <v>0.76041666666666696</v>
      </c>
      <c r="AB77" s="146">
        <v>4.4920799999999996</v>
      </c>
      <c r="AC77" s="110">
        <v>0.76041666666666696</v>
      </c>
      <c r="AD77" s="146">
        <v>3.2511700000000001</v>
      </c>
      <c r="AF77" s="110">
        <v>0.76041666666666696</v>
      </c>
      <c r="AG77" s="146">
        <v>2.9378899999999999</v>
      </c>
      <c r="AH77" s="110">
        <v>0.76041666666666696</v>
      </c>
      <c r="AI77" s="180">
        <v>3.5986600000000002</v>
      </c>
      <c r="AJ77" s="110">
        <v>0.76041666666666696</v>
      </c>
      <c r="AK77" s="146">
        <v>4.8037000000000001</v>
      </c>
      <c r="AM77" s="110">
        <v>0.76041666666666696</v>
      </c>
      <c r="AN77" s="146">
        <v>2.17455</v>
      </c>
      <c r="AO77" s="110">
        <v>0.76041666666666696</v>
      </c>
      <c r="AP77" s="186">
        <v>6.1815800000000003</v>
      </c>
      <c r="AQ77" s="110">
        <v>0.76041666666666696</v>
      </c>
      <c r="AR77" s="146">
        <v>4.3676700000000004</v>
      </c>
      <c r="AT77" s="110">
        <v>0.76041666666666696</v>
      </c>
      <c r="AU77" s="20"/>
      <c r="AW77" s="110">
        <v>0.76041666666666696</v>
      </c>
      <c r="AX77" s="20"/>
    </row>
    <row r="78" spans="1:50" x14ac:dyDescent="0.3">
      <c r="A78" s="108">
        <v>0.6875</v>
      </c>
      <c r="B78" s="117">
        <f t="shared" si="1"/>
        <v>4141.5499999999993</v>
      </c>
      <c r="D78" s="110">
        <v>0.77083333333333304</v>
      </c>
      <c r="E78" s="146">
        <v>0.88145799999999996</v>
      </c>
      <c r="F78" s="110">
        <v>0.77083333333333304</v>
      </c>
      <c r="G78" s="146">
        <v>2.4901200000000001</v>
      </c>
      <c r="H78" s="110">
        <v>0.77083333333333304</v>
      </c>
      <c r="I78" s="146">
        <v>2.6339999999999999</v>
      </c>
      <c r="K78" s="110">
        <v>0.77083333333333304</v>
      </c>
      <c r="L78" s="146">
        <v>3.1071399999999998</v>
      </c>
      <c r="M78" s="110">
        <v>0.77083333333333304</v>
      </c>
      <c r="N78" s="146">
        <v>1.8907400000000001</v>
      </c>
      <c r="O78" s="110">
        <v>0.77083333333333304</v>
      </c>
      <c r="P78" s="146">
        <v>2.2447300000000001</v>
      </c>
      <c r="R78" s="110">
        <v>0.77083333333333304</v>
      </c>
      <c r="S78" s="146">
        <v>2.29732</v>
      </c>
      <c r="T78" s="110">
        <v>0.77083333333333304</v>
      </c>
      <c r="U78" s="146">
        <v>3.09721</v>
      </c>
      <c r="V78" s="110">
        <v>0.77083333333333304</v>
      </c>
      <c r="W78" s="146">
        <v>3.9096700000000002</v>
      </c>
      <c r="Y78" s="110">
        <v>0.77083333333333304</v>
      </c>
      <c r="Z78" s="146">
        <v>1.2279199999999999</v>
      </c>
      <c r="AA78" s="110">
        <v>0.77083333333333304</v>
      </c>
      <c r="AB78" s="146">
        <v>4.4920799999999996</v>
      </c>
      <c r="AC78" s="110">
        <v>0.77083333333333304</v>
      </c>
      <c r="AD78" s="146">
        <v>3.2511700000000001</v>
      </c>
      <c r="AF78" s="110">
        <v>0.77083333333333304</v>
      </c>
      <c r="AG78" s="146">
        <v>2.9378899999999999</v>
      </c>
      <c r="AH78" s="110">
        <v>0.77083333333333304</v>
      </c>
      <c r="AI78" s="180">
        <v>3.5986600000000002</v>
      </c>
      <c r="AJ78" s="110">
        <v>0.77083333333333304</v>
      </c>
      <c r="AK78" s="146">
        <v>4.8037000000000001</v>
      </c>
      <c r="AM78" s="110">
        <v>0.77083333333333304</v>
      </c>
      <c r="AN78" s="146">
        <v>2.17455</v>
      </c>
      <c r="AO78" s="110">
        <v>0.77083333333333304</v>
      </c>
      <c r="AP78" s="186">
        <v>6.1815800000000003</v>
      </c>
      <c r="AQ78" s="110">
        <v>0.77083333333333304</v>
      </c>
      <c r="AR78" s="146">
        <v>4.3676700000000004</v>
      </c>
      <c r="AT78" s="110">
        <v>0.77083333333333304</v>
      </c>
      <c r="AU78" s="20"/>
      <c r="AW78" s="110">
        <v>0.77083333333333304</v>
      </c>
      <c r="AX78" s="20"/>
    </row>
    <row r="79" spans="1:50" x14ac:dyDescent="0.3">
      <c r="A79" s="108">
        <v>0.69791666666666696</v>
      </c>
      <c r="B79" s="117">
        <f t="shared" si="1"/>
        <v>4141.5499999999993</v>
      </c>
      <c r="D79" s="110">
        <v>0.78125</v>
      </c>
      <c r="E79" s="146">
        <v>0.88145799999999996</v>
      </c>
      <c r="F79" s="110">
        <v>0.78125</v>
      </c>
      <c r="G79" s="146">
        <v>2.4901200000000001</v>
      </c>
      <c r="H79" s="110">
        <v>0.78125</v>
      </c>
      <c r="I79" s="146">
        <v>2.6339999999999999</v>
      </c>
      <c r="K79" s="110">
        <v>0.78125</v>
      </c>
      <c r="L79" s="146">
        <v>3.1071399999999998</v>
      </c>
      <c r="M79" s="110">
        <v>0.78125</v>
      </c>
      <c r="N79" s="146">
        <v>1.8907400000000001</v>
      </c>
      <c r="O79" s="110">
        <v>0.78125</v>
      </c>
      <c r="P79" s="146">
        <v>2.2447300000000001</v>
      </c>
      <c r="R79" s="110">
        <v>0.78125</v>
      </c>
      <c r="S79" s="146">
        <v>2.29732</v>
      </c>
      <c r="T79" s="110">
        <v>0.78125</v>
      </c>
      <c r="U79" s="146">
        <v>3.09721</v>
      </c>
      <c r="V79" s="110">
        <v>0.78125</v>
      </c>
      <c r="W79" s="146">
        <v>3.9096700000000002</v>
      </c>
      <c r="Y79" s="110">
        <v>0.78125</v>
      </c>
      <c r="Z79" s="146">
        <v>1.2279199999999999</v>
      </c>
      <c r="AA79" s="110">
        <v>0.78125</v>
      </c>
      <c r="AB79" s="146">
        <v>4.4920799999999996</v>
      </c>
      <c r="AC79" s="110">
        <v>0.78125</v>
      </c>
      <c r="AD79" s="146">
        <v>3.2511700000000001</v>
      </c>
      <c r="AF79" s="110">
        <v>0.78125</v>
      </c>
      <c r="AG79" s="146">
        <v>2.9378899999999999</v>
      </c>
      <c r="AH79" s="110">
        <v>0.78125</v>
      </c>
      <c r="AI79" s="180">
        <v>3.5986600000000002</v>
      </c>
      <c r="AJ79" s="110">
        <v>0.78125</v>
      </c>
      <c r="AK79" s="146">
        <v>4.8037000000000001</v>
      </c>
      <c r="AM79" s="110">
        <v>0.78125</v>
      </c>
      <c r="AN79" s="146">
        <v>2.17455</v>
      </c>
      <c r="AO79" s="110">
        <v>0.78125</v>
      </c>
      <c r="AP79" s="186">
        <v>6.1815800000000003</v>
      </c>
      <c r="AQ79" s="110">
        <v>0.78125</v>
      </c>
      <c r="AR79" s="146">
        <v>4.3676700000000004</v>
      </c>
      <c r="AT79" s="110">
        <v>0.78125</v>
      </c>
      <c r="AU79" s="20"/>
      <c r="AW79" s="110">
        <v>0.78125</v>
      </c>
      <c r="AX79" s="20"/>
    </row>
    <row r="80" spans="1:50" x14ac:dyDescent="0.3">
      <c r="A80" s="108">
        <v>0.70833333333333304</v>
      </c>
      <c r="B80" s="117">
        <f t="shared" si="1"/>
        <v>4753.26</v>
      </c>
      <c r="D80" s="110">
        <v>0.79166666666666696</v>
      </c>
      <c r="E80" s="146">
        <v>1.10992</v>
      </c>
      <c r="F80" s="110">
        <v>0.79166666666666696</v>
      </c>
      <c r="G80" s="146">
        <v>2.0762499999999999</v>
      </c>
      <c r="H80" s="110">
        <v>0.79166666666666696</v>
      </c>
      <c r="I80" s="146">
        <v>2.9289499999999999</v>
      </c>
      <c r="K80" s="110">
        <v>0.79166666666666696</v>
      </c>
      <c r="L80" s="146">
        <v>1.66008</v>
      </c>
      <c r="M80" s="110">
        <v>0.79166666666666696</v>
      </c>
      <c r="N80" s="146">
        <v>1.96933</v>
      </c>
      <c r="O80" s="110">
        <v>0.79166666666666696</v>
      </c>
      <c r="P80" s="146">
        <v>2.5246900000000001</v>
      </c>
      <c r="R80" s="110">
        <v>0.79166666666666696</v>
      </c>
      <c r="S80" s="146">
        <v>1.83575</v>
      </c>
      <c r="T80" s="110">
        <v>0.79166666666666696</v>
      </c>
      <c r="U80" s="146">
        <v>3.2562099999999998</v>
      </c>
      <c r="V80" s="110">
        <v>0.79166666666666696</v>
      </c>
      <c r="W80" s="146">
        <v>3.5582699999999998</v>
      </c>
      <c r="Y80" s="110">
        <v>0.79166666666666696</v>
      </c>
      <c r="Z80" s="146">
        <v>2.4168799999999999</v>
      </c>
      <c r="AA80" s="110">
        <v>0.79166666666666696</v>
      </c>
      <c r="AB80" s="146">
        <v>1.2104699999999999</v>
      </c>
      <c r="AC80" s="110">
        <v>0.79166666666666696</v>
      </c>
      <c r="AD80" s="146">
        <v>2.1005600000000002</v>
      </c>
      <c r="AF80" s="110">
        <v>0.79166666666666696</v>
      </c>
      <c r="AG80" s="146">
        <v>2.15171</v>
      </c>
      <c r="AH80" s="110">
        <v>0.79166666666666696</v>
      </c>
      <c r="AI80" s="180">
        <v>4.41974</v>
      </c>
      <c r="AJ80" s="110">
        <v>0.79166666666666696</v>
      </c>
      <c r="AK80" s="146">
        <v>5.2681100000000001</v>
      </c>
      <c r="AM80" s="110">
        <v>0.79166666666666696</v>
      </c>
      <c r="AN80" s="146">
        <v>1.9948300000000001</v>
      </c>
      <c r="AO80" s="110">
        <v>0.79166666666666696</v>
      </c>
      <c r="AP80" s="186">
        <v>3.0520399999999999</v>
      </c>
      <c r="AQ80" s="110">
        <v>0.79166666666666696</v>
      </c>
      <c r="AR80" s="146">
        <v>4.3131899999999996</v>
      </c>
      <c r="AT80" s="110">
        <v>0.79166666666666696</v>
      </c>
      <c r="AU80" s="20"/>
      <c r="AW80" s="110">
        <v>0.79166666666666696</v>
      </c>
      <c r="AX80" s="20"/>
    </row>
    <row r="81" spans="1:50" x14ac:dyDescent="0.3">
      <c r="A81" s="108">
        <v>0.71875</v>
      </c>
      <c r="B81" s="117">
        <f t="shared" si="1"/>
        <v>4753.26</v>
      </c>
      <c r="D81" s="110">
        <v>0.80208333333333304</v>
      </c>
      <c r="E81" s="146">
        <v>1.10992</v>
      </c>
      <c r="F81" s="110">
        <v>0.80208333333333304</v>
      </c>
      <c r="G81" s="146">
        <v>2.0762499999999999</v>
      </c>
      <c r="H81" s="110">
        <v>0.80208333333333304</v>
      </c>
      <c r="I81" s="146">
        <v>2.9289499999999999</v>
      </c>
      <c r="K81" s="110">
        <v>0.80208333333333304</v>
      </c>
      <c r="L81" s="146">
        <v>1.66008</v>
      </c>
      <c r="M81" s="110">
        <v>0.80208333333333304</v>
      </c>
      <c r="N81" s="146">
        <v>1.96933</v>
      </c>
      <c r="O81" s="110">
        <v>0.80208333333333304</v>
      </c>
      <c r="P81" s="146">
        <v>2.5246900000000001</v>
      </c>
      <c r="R81" s="110">
        <v>0.80208333333333304</v>
      </c>
      <c r="S81" s="146">
        <v>1.83575</v>
      </c>
      <c r="T81" s="110">
        <v>0.80208333333333304</v>
      </c>
      <c r="U81" s="146">
        <v>3.2562099999999998</v>
      </c>
      <c r="V81" s="110">
        <v>0.80208333333333304</v>
      </c>
      <c r="W81" s="146">
        <v>3.5582699999999998</v>
      </c>
      <c r="Y81" s="110">
        <v>0.80208333333333304</v>
      </c>
      <c r="Z81" s="146">
        <v>2.4168799999999999</v>
      </c>
      <c r="AA81" s="110">
        <v>0.80208333333333304</v>
      </c>
      <c r="AB81" s="146">
        <v>1.2104699999999999</v>
      </c>
      <c r="AC81" s="110">
        <v>0.80208333333333304</v>
      </c>
      <c r="AD81" s="146">
        <v>2.1005600000000002</v>
      </c>
      <c r="AF81" s="110">
        <v>0.80208333333333304</v>
      </c>
      <c r="AG81" s="146">
        <v>2.15171</v>
      </c>
      <c r="AH81" s="110">
        <v>0.80208333333333304</v>
      </c>
      <c r="AI81" s="180">
        <v>4.41974</v>
      </c>
      <c r="AJ81" s="110">
        <v>0.80208333333333304</v>
      </c>
      <c r="AK81" s="146">
        <v>5.2681100000000001</v>
      </c>
      <c r="AM81" s="110">
        <v>0.80208333333333304</v>
      </c>
      <c r="AN81" s="146">
        <v>1.9948300000000001</v>
      </c>
      <c r="AO81" s="110">
        <v>0.80208333333333304</v>
      </c>
      <c r="AP81" s="186">
        <v>3.0520399999999999</v>
      </c>
      <c r="AQ81" s="110">
        <v>0.80208333333333304</v>
      </c>
      <c r="AR81" s="146">
        <v>4.3131899999999996</v>
      </c>
      <c r="AT81" s="110">
        <v>0.80208333333333304</v>
      </c>
      <c r="AU81" s="20"/>
      <c r="AW81" s="110">
        <v>0.80208333333333304</v>
      </c>
      <c r="AX81" s="20"/>
    </row>
    <row r="82" spans="1:50" x14ac:dyDescent="0.3">
      <c r="A82" s="108">
        <v>0.72916666666666696</v>
      </c>
      <c r="B82" s="117">
        <f t="shared" si="1"/>
        <v>4753.26</v>
      </c>
      <c r="D82" s="110">
        <v>0.8125</v>
      </c>
      <c r="E82" s="146">
        <v>1.10992</v>
      </c>
      <c r="F82" s="110">
        <v>0.8125</v>
      </c>
      <c r="G82" s="146">
        <v>2.0762499999999999</v>
      </c>
      <c r="H82" s="110">
        <v>0.8125</v>
      </c>
      <c r="I82" s="146">
        <v>2.9289499999999999</v>
      </c>
      <c r="K82" s="110">
        <v>0.8125</v>
      </c>
      <c r="L82" s="146">
        <v>1.66008</v>
      </c>
      <c r="M82" s="110">
        <v>0.8125</v>
      </c>
      <c r="N82" s="146">
        <v>1.96933</v>
      </c>
      <c r="O82" s="110">
        <v>0.8125</v>
      </c>
      <c r="P82" s="146">
        <v>2.5246900000000001</v>
      </c>
      <c r="R82" s="110">
        <v>0.8125</v>
      </c>
      <c r="S82" s="146">
        <v>1.83575</v>
      </c>
      <c r="T82" s="110">
        <v>0.8125</v>
      </c>
      <c r="U82" s="146">
        <v>3.2562099999999998</v>
      </c>
      <c r="V82" s="110">
        <v>0.8125</v>
      </c>
      <c r="W82" s="146">
        <v>3.5582699999999998</v>
      </c>
      <c r="Y82" s="110">
        <v>0.8125</v>
      </c>
      <c r="Z82" s="146">
        <v>2.4168799999999999</v>
      </c>
      <c r="AA82" s="110">
        <v>0.8125</v>
      </c>
      <c r="AB82" s="146">
        <v>1.2104699999999999</v>
      </c>
      <c r="AC82" s="110">
        <v>0.8125</v>
      </c>
      <c r="AD82" s="146">
        <v>2.1005600000000002</v>
      </c>
      <c r="AF82" s="110">
        <v>0.8125</v>
      </c>
      <c r="AG82" s="146">
        <v>2.15171</v>
      </c>
      <c r="AH82" s="110">
        <v>0.8125</v>
      </c>
      <c r="AI82" s="180">
        <v>4.41974</v>
      </c>
      <c r="AJ82" s="110">
        <v>0.8125</v>
      </c>
      <c r="AK82" s="146">
        <v>5.2681100000000001</v>
      </c>
      <c r="AM82" s="110">
        <v>0.8125</v>
      </c>
      <c r="AN82" s="146">
        <v>1.9948300000000001</v>
      </c>
      <c r="AO82" s="110">
        <v>0.8125</v>
      </c>
      <c r="AP82" s="186">
        <v>3.0520399999999999</v>
      </c>
      <c r="AQ82" s="110">
        <v>0.8125</v>
      </c>
      <c r="AR82" s="146">
        <v>4.3131899999999996</v>
      </c>
      <c r="AT82" s="110">
        <v>0.8125</v>
      </c>
      <c r="AU82" s="20"/>
      <c r="AW82" s="110">
        <v>0.8125</v>
      </c>
      <c r="AX82" s="20"/>
    </row>
    <row r="83" spans="1:50" x14ac:dyDescent="0.3">
      <c r="A83" s="108">
        <v>0.73958333333333304</v>
      </c>
      <c r="B83" s="117">
        <f t="shared" si="1"/>
        <v>4753.26</v>
      </c>
      <c r="D83" s="110">
        <v>0.82291666666666696</v>
      </c>
      <c r="E83" s="146">
        <v>1.10992</v>
      </c>
      <c r="F83" s="110">
        <v>0.82291666666666696</v>
      </c>
      <c r="G83" s="146">
        <v>2.0762499999999999</v>
      </c>
      <c r="H83" s="110">
        <v>0.82291666666666696</v>
      </c>
      <c r="I83" s="146">
        <v>2.9289499999999999</v>
      </c>
      <c r="K83" s="110">
        <v>0.82291666666666696</v>
      </c>
      <c r="L83" s="146">
        <v>1.66008</v>
      </c>
      <c r="M83" s="110">
        <v>0.82291666666666696</v>
      </c>
      <c r="N83" s="146">
        <v>1.96933</v>
      </c>
      <c r="O83" s="110">
        <v>0.82291666666666696</v>
      </c>
      <c r="P83" s="146">
        <v>2.5246900000000001</v>
      </c>
      <c r="R83" s="110">
        <v>0.82291666666666696</v>
      </c>
      <c r="S83" s="146">
        <v>1.83575</v>
      </c>
      <c r="T83" s="110">
        <v>0.82291666666666696</v>
      </c>
      <c r="U83" s="146">
        <v>3.2562099999999998</v>
      </c>
      <c r="V83" s="110">
        <v>0.82291666666666696</v>
      </c>
      <c r="W83" s="146">
        <v>3.5582699999999998</v>
      </c>
      <c r="Y83" s="110">
        <v>0.82291666666666696</v>
      </c>
      <c r="Z83" s="146">
        <v>2.4168799999999999</v>
      </c>
      <c r="AA83" s="110">
        <v>0.82291666666666696</v>
      </c>
      <c r="AB83" s="146">
        <v>1.2104699999999999</v>
      </c>
      <c r="AC83" s="110">
        <v>0.82291666666666696</v>
      </c>
      <c r="AD83" s="146">
        <v>2.1005600000000002</v>
      </c>
      <c r="AF83" s="110">
        <v>0.82291666666666696</v>
      </c>
      <c r="AG83" s="146">
        <v>2.15171</v>
      </c>
      <c r="AH83" s="110">
        <v>0.82291666666666696</v>
      </c>
      <c r="AI83" s="180">
        <v>4.41974</v>
      </c>
      <c r="AJ83" s="110">
        <v>0.82291666666666696</v>
      </c>
      <c r="AK83" s="146">
        <v>5.2681100000000001</v>
      </c>
      <c r="AM83" s="110">
        <v>0.82291666666666696</v>
      </c>
      <c r="AN83" s="146">
        <v>1.9948300000000001</v>
      </c>
      <c r="AO83" s="110">
        <v>0.82291666666666696</v>
      </c>
      <c r="AP83" s="186">
        <v>3.0520399999999999</v>
      </c>
      <c r="AQ83" s="110">
        <v>0.82291666666666696</v>
      </c>
      <c r="AR83" s="146">
        <v>4.3131899999999996</v>
      </c>
      <c r="AT83" s="110">
        <v>0.82291666666666696</v>
      </c>
      <c r="AU83" s="20"/>
      <c r="AW83" s="110">
        <v>0.82291666666666696</v>
      </c>
      <c r="AX83" s="20"/>
    </row>
    <row r="84" spans="1:50" x14ac:dyDescent="0.3">
      <c r="A84" s="108">
        <v>0.75</v>
      </c>
      <c r="B84" s="117">
        <f t="shared" si="1"/>
        <v>4803.7</v>
      </c>
      <c r="D84" s="110">
        <v>0.83333333333333304</v>
      </c>
      <c r="E84" s="146">
        <v>0.81717200000000001</v>
      </c>
      <c r="F84" s="110">
        <v>0.83333333333333304</v>
      </c>
      <c r="G84" s="146">
        <v>1.2100500000000001</v>
      </c>
      <c r="H84" s="110">
        <v>0.83333333333333304</v>
      </c>
      <c r="I84" s="146">
        <v>2.5718299999999998</v>
      </c>
      <c r="K84" s="110">
        <v>0.83333333333333304</v>
      </c>
      <c r="L84" s="146">
        <v>1.8733599999999999</v>
      </c>
      <c r="M84" s="110">
        <v>0.83333333333333304</v>
      </c>
      <c r="N84" s="146">
        <v>3.7955700000000001</v>
      </c>
      <c r="O84" s="110">
        <v>0.83333333333333304</v>
      </c>
      <c r="P84" s="146">
        <v>2.11957</v>
      </c>
      <c r="R84" s="110">
        <v>0.83333333333333304</v>
      </c>
      <c r="S84" s="146">
        <v>2.22187</v>
      </c>
      <c r="T84" s="110">
        <v>0.83333333333333304</v>
      </c>
      <c r="U84" s="146">
        <v>2.56562</v>
      </c>
      <c r="V84" s="110">
        <v>0.83333333333333304</v>
      </c>
      <c r="W84" s="146">
        <v>3.8307199999999999</v>
      </c>
      <c r="Y84" s="110">
        <v>0.83333333333333304</v>
      </c>
      <c r="Z84" s="146">
        <v>0.87179499999999999</v>
      </c>
      <c r="AA84" s="110">
        <v>0.83333333333333304</v>
      </c>
      <c r="AB84" s="146">
        <v>1.1217699999999999</v>
      </c>
      <c r="AC84" s="110">
        <v>0.83333333333333304</v>
      </c>
      <c r="AD84" s="146">
        <v>1.4281900000000001</v>
      </c>
      <c r="AF84" s="110">
        <v>0.83333333333333304</v>
      </c>
      <c r="AG84" s="146">
        <v>2.82437</v>
      </c>
      <c r="AH84" s="110">
        <v>0.83333333333333304</v>
      </c>
      <c r="AI84" s="180">
        <v>4.6818</v>
      </c>
      <c r="AJ84" s="110">
        <v>0.83333333333333304</v>
      </c>
      <c r="AK84" s="146">
        <v>6.375</v>
      </c>
      <c r="AM84" s="110">
        <v>0.83333333333333304</v>
      </c>
      <c r="AN84" s="146">
        <v>1.9914099999999999</v>
      </c>
      <c r="AO84" s="110">
        <v>0.83333333333333304</v>
      </c>
      <c r="AP84" s="186">
        <v>2.7397399999999998</v>
      </c>
      <c r="AQ84" s="110">
        <v>0.83333333333333304</v>
      </c>
      <c r="AR84" s="146">
        <v>4.20045</v>
      </c>
      <c r="AT84" s="110">
        <v>0.83333333333333304</v>
      </c>
      <c r="AU84" s="20"/>
      <c r="AW84" s="110">
        <v>0.83333333333333304</v>
      </c>
      <c r="AX84" s="20"/>
    </row>
    <row r="85" spans="1:50" x14ac:dyDescent="0.3">
      <c r="A85" s="108">
        <v>0.76041666666666696</v>
      </c>
      <c r="B85" s="117">
        <f t="shared" si="1"/>
        <v>4803.7</v>
      </c>
      <c r="D85" s="110">
        <v>0.84375</v>
      </c>
      <c r="E85" s="146">
        <v>0.81717200000000001</v>
      </c>
      <c r="F85" s="110">
        <v>0.84375</v>
      </c>
      <c r="G85" s="146">
        <v>1.2100500000000001</v>
      </c>
      <c r="H85" s="110">
        <v>0.84375</v>
      </c>
      <c r="I85" s="146">
        <v>2.5718299999999998</v>
      </c>
      <c r="K85" s="110">
        <v>0.84375</v>
      </c>
      <c r="L85" s="146">
        <v>1.8733599999999999</v>
      </c>
      <c r="M85" s="110">
        <v>0.84375</v>
      </c>
      <c r="N85" s="146">
        <v>3.7955700000000001</v>
      </c>
      <c r="O85" s="110">
        <v>0.84375</v>
      </c>
      <c r="P85" s="146">
        <v>2.11957</v>
      </c>
      <c r="R85" s="110">
        <v>0.84375</v>
      </c>
      <c r="S85" s="146">
        <v>2.22187</v>
      </c>
      <c r="T85" s="110">
        <v>0.84375</v>
      </c>
      <c r="U85" s="146">
        <v>2.56562</v>
      </c>
      <c r="V85" s="110">
        <v>0.84375</v>
      </c>
      <c r="W85" s="146">
        <v>3.8307199999999999</v>
      </c>
      <c r="Y85" s="110">
        <v>0.84375</v>
      </c>
      <c r="Z85" s="146">
        <v>0.87179499999999999</v>
      </c>
      <c r="AA85" s="110">
        <v>0.84375</v>
      </c>
      <c r="AB85" s="146">
        <v>1.1217699999999999</v>
      </c>
      <c r="AC85" s="110">
        <v>0.84375</v>
      </c>
      <c r="AD85" s="146">
        <v>1.4281900000000001</v>
      </c>
      <c r="AF85" s="110">
        <v>0.84375</v>
      </c>
      <c r="AG85" s="146">
        <v>2.82437</v>
      </c>
      <c r="AH85" s="110">
        <v>0.84375</v>
      </c>
      <c r="AI85" s="180">
        <v>4.6818</v>
      </c>
      <c r="AJ85" s="110">
        <v>0.84375</v>
      </c>
      <c r="AK85" s="146">
        <v>6.375</v>
      </c>
      <c r="AM85" s="110">
        <v>0.84375</v>
      </c>
      <c r="AN85" s="146">
        <v>1.9914099999999999</v>
      </c>
      <c r="AO85" s="110">
        <v>0.84375</v>
      </c>
      <c r="AP85" s="186">
        <v>2.7397399999999998</v>
      </c>
      <c r="AQ85" s="110">
        <v>0.84375</v>
      </c>
      <c r="AR85" s="146">
        <v>4.20045</v>
      </c>
      <c r="AT85" s="110">
        <v>0.84375</v>
      </c>
      <c r="AU85" s="20"/>
      <c r="AW85" s="110">
        <v>0.84375</v>
      </c>
      <c r="AX85" s="20"/>
    </row>
    <row r="86" spans="1:50" x14ac:dyDescent="0.3">
      <c r="A86" s="108">
        <v>0.77083333333333304</v>
      </c>
      <c r="B86" s="117">
        <f t="shared" si="1"/>
        <v>4803.7</v>
      </c>
      <c r="D86" s="110">
        <v>0.85416666666666696</v>
      </c>
      <c r="E86" s="146">
        <v>0.81717200000000001</v>
      </c>
      <c r="F86" s="110">
        <v>0.85416666666666696</v>
      </c>
      <c r="G86" s="146">
        <v>1.2100500000000001</v>
      </c>
      <c r="H86" s="110">
        <v>0.85416666666666696</v>
      </c>
      <c r="I86" s="146">
        <v>2.5718299999999998</v>
      </c>
      <c r="K86" s="110">
        <v>0.85416666666666696</v>
      </c>
      <c r="L86" s="146">
        <v>1.8733599999999999</v>
      </c>
      <c r="M86" s="110">
        <v>0.85416666666666696</v>
      </c>
      <c r="N86" s="146">
        <v>3.7955700000000001</v>
      </c>
      <c r="O86" s="110">
        <v>0.85416666666666696</v>
      </c>
      <c r="P86" s="146">
        <v>2.11957</v>
      </c>
      <c r="R86" s="110">
        <v>0.85416666666666696</v>
      </c>
      <c r="S86" s="146">
        <v>2.22187</v>
      </c>
      <c r="T86" s="110">
        <v>0.85416666666666696</v>
      </c>
      <c r="U86" s="146">
        <v>2.56562</v>
      </c>
      <c r="V86" s="110">
        <v>0.85416666666666696</v>
      </c>
      <c r="W86" s="146">
        <v>3.8307199999999999</v>
      </c>
      <c r="Y86" s="110">
        <v>0.85416666666666696</v>
      </c>
      <c r="Z86" s="146">
        <v>0.87179499999999999</v>
      </c>
      <c r="AA86" s="110">
        <v>0.85416666666666696</v>
      </c>
      <c r="AB86" s="146">
        <v>1.1217699999999999</v>
      </c>
      <c r="AC86" s="110">
        <v>0.85416666666666696</v>
      </c>
      <c r="AD86" s="146">
        <v>1.4281900000000001</v>
      </c>
      <c r="AF86" s="110">
        <v>0.85416666666666696</v>
      </c>
      <c r="AG86" s="146">
        <v>2.82437</v>
      </c>
      <c r="AH86" s="110">
        <v>0.85416666666666696</v>
      </c>
      <c r="AI86" s="180">
        <v>4.6818</v>
      </c>
      <c r="AJ86" s="110">
        <v>0.85416666666666696</v>
      </c>
      <c r="AK86" s="146">
        <v>6.375</v>
      </c>
      <c r="AM86" s="110">
        <v>0.85416666666666696</v>
      </c>
      <c r="AN86" s="146">
        <v>1.9914099999999999</v>
      </c>
      <c r="AO86" s="110">
        <v>0.85416666666666696</v>
      </c>
      <c r="AP86" s="186">
        <v>2.7397399999999998</v>
      </c>
      <c r="AQ86" s="110">
        <v>0.85416666666666696</v>
      </c>
      <c r="AR86" s="146">
        <v>4.20045</v>
      </c>
      <c r="AT86" s="110">
        <v>0.85416666666666696</v>
      </c>
      <c r="AU86" s="20"/>
      <c r="AW86" s="110">
        <v>0.85416666666666696</v>
      </c>
      <c r="AX86" s="20"/>
    </row>
    <row r="87" spans="1:50" x14ac:dyDescent="0.3">
      <c r="A87" s="108">
        <v>0.78125</v>
      </c>
      <c r="B87" s="117">
        <f t="shared" si="1"/>
        <v>4803.7</v>
      </c>
      <c r="D87" s="110">
        <v>0.86458333333333304</v>
      </c>
      <c r="E87" s="146">
        <v>0.81717200000000001</v>
      </c>
      <c r="F87" s="110">
        <v>0.86458333333333304</v>
      </c>
      <c r="G87" s="146">
        <v>1.2100500000000001</v>
      </c>
      <c r="H87" s="110">
        <v>0.86458333333333304</v>
      </c>
      <c r="I87" s="146">
        <v>2.5718299999999998</v>
      </c>
      <c r="K87" s="110">
        <v>0.86458333333333304</v>
      </c>
      <c r="L87" s="146">
        <v>1.8733599999999999</v>
      </c>
      <c r="M87" s="110">
        <v>0.86458333333333304</v>
      </c>
      <c r="N87" s="146">
        <v>3.7955700000000001</v>
      </c>
      <c r="O87" s="110">
        <v>0.86458333333333304</v>
      </c>
      <c r="P87" s="146">
        <v>2.11957</v>
      </c>
      <c r="R87" s="110">
        <v>0.86458333333333304</v>
      </c>
      <c r="S87" s="146">
        <v>2.22187</v>
      </c>
      <c r="T87" s="110">
        <v>0.86458333333333304</v>
      </c>
      <c r="U87" s="146">
        <v>2.56562</v>
      </c>
      <c r="V87" s="110">
        <v>0.86458333333333304</v>
      </c>
      <c r="W87" s="146">
        <v>3.8307199999999999</v>
      </c>
      <c r="Y87" s="110">
        <v>0.86458333333333304</v>
      </c>
      <c r="Z87" s="146">
        <v>0.87179499999999999</v>
      </c>
      <c r="AA87" s="110">
        <v>0.86458333333333304</v>
      </c>
      <c r="AB87" s="146">
        <v>1.1217699999999999</v>
      </c>
      <c r="AC87" s="110">
        <v>0.86458333333333304</v>
      </c>
      <c r="AD87" s="146">
        <v>1.4281900000000001</v>
      </c>
      <c r="AF87" s="110">
        <v>0.86458333333333304</v>
      </c>
      <c r="AG87" s="146">
        <v>2.82437</v>
      </c>
      <c r="AH87" s="110">
        <v>0.86458333333333304</v>
      </c>
      <c r="AI87" s="180">
        <v>4.6818</v>
      </c>
      <c r="AJ87" s="110">
        <v>0.86458333333333304</v>
      </c>
      <c r="AK87" s="146">
        <v>6.375</v>
      </c>
      <c r="AM87" s="110">
        <v>0.86458333333333304</v>
      </c>
      <c r="AN87" s="146">
        <v>1.9914099999999999</v>
      </c>
      <c r="AO87" s="110">
        <v>0.86458333333333304</v>
      </c>
      <c r="AP87" s="186">
        <v>2.7397399999999998</v>
      </c>
      <c r="AQ87" s="110">
        <v>0.86458333333333304</v>
      </c>
      <c r="AR87" s="146">
        <v>4.20045</v>
      </c>
      <c r="AT87" s="110">
        <v>0.86458333333333304</v>
      </c>
      <c r="AU87" s="20"/>
      <c r="AW87" s="110">
        <v>0.86458333333333304</v>
      </c>
      <c r="AX87" s="20"/>
    </row>
    <row r="88" spans="1:50" x14ac:dyDescent="0.3">
      <c r="A88" s="108">
        <v>0.79166666666666696</v>
      </c>
      <c r="B88" s="117">
        <f t="shared" si="1"/>
        <v>5268.11</v>
      </c>
      <c r="D88" s="110">
        <v>0.875</v>
      </c>
      <c r="E88" s="146">
        <v>0.76291699999999996</v>
      </c>
      <c r="F88" s="110">
        <v>0.875</v>
      </c>
      <c r="G88" s="146">
        <v>1.93428</v>
      </c>
      <c r="H88" s="110">
        <v>0.875</v>
      </c>
      <c r="I88" s="146">
        <v>1.4326099999999999</v>
      </c>
      <c r="K88" s="110">
        <v>0.875</v>
      </c>
      <c r="L88" s="146">
        <v>0.81747999999999998</v>
      </c>
      <c r="M88" s="110">
        <v>0.875</v>
      </c>
      <c r="N88" s="146">
        <v>1.96658</v>
      </c>
      <c r="O88" s="110">
        <v>0.875</v>
      </c>
      <c r="P88" s="146">
        <v>1.9616199999999999</v>
      </c>
      <c r="R88" s="110">
        <v>0.875</v>
      </c>
      <c r="S88" s="146">
        <v>1.55263</v>
      </c>
      <c r="T88" s="110">
        <v>0.875</v>
      </c>
      <c r="U88" s="146">
        <v>2.3668900000000002</v>
      </c>
      <c r="V88" s="110">
        <v>0.875</v>
      </c>
      <c r="W88" s="146">
        <v>3.0198999999999998</v>
      </c>
      <c r="Y88" s="110">
        <v>0.875</v>
      </c>
      <c r="Z88" s="146">
        <v>1.15059</v>
      </c>
      <c r="AA88" s="110">
        <v>0.875</v>
      </c>
      <c r="AB88" s="146">
        <v>1.5315700000000001</v>
      </c>
      <c r="AC88" s="110">
        <v>0.875</v>
      </c>
      <c r="AD88" s="146">
        <v>1.2665999999999999</v>
      </c>
      <c r="AF88" s="110">
        <v>0.875</v>
      </c>
      <c r="AG88" s="146">
        <v>3.0360499999999999</v>
      </c>
      <c r="AH88" s="110">
        <v>0.875</v>
      </c>
      <c r="AI88" s="180">
        <v>5.1943200000000003</v>
      </c>
      <c r="AJ88" s="110">
        <v>0.875</v>
      </c>
      <c r="AK88" s="146">
        <v>7.87995</v>
      </c>
      <c r="AM88" s="110">
        <v>0.875</v>
      </c>
      <c r="AN88" s="146">
        <v>1.7137899999999999</v>
      </c>
      <c r="AO88" s="110">
        <v>0.875</v>
      </c>
      <c r="AP88" s="186">
        <v>2.5594600000000001</v>
      </c>
      <c r="AQ88" s="110">
        <v>0.875</v>
      </c>
      <c r="AR88" s="146">
        <v>3.2402199999999999</v>
      </c>
      <c r="AT88" s="110">
        <v>0.875</v>
      </c>
      <c r="AU88" s="20"/>
      <c r="AW88" s="110">
        <v>0.875</v>
      </c>
      <c r="AX88" s="20"/>
    </row>
    <row r="89" spans="1:50" x14ac:dyDescent="0.3">
      <c r="A89" s="108">
        <v>0.80208333333333304</v>
      </c>
      <c r="B89" s="117">
        <f t="shared" si="1"/>
        <v>5268.11</v>
      </c>
      <c r="D89" s="110">
        <v>0.88541666666666696</v>
      </c>
      <c r="E89" s="146">
        <v>0.76291699999999996</v>
      </c>
      <c r="F89" s="110">
        <v>0.88541666666666696</v>
      </c>
      <c r="G89" s="146">
        <v>1.93428</v>
      </c>
      <c r="H89" s="110">
        <v>0.88541666666666696</v>
      </c>
      <c r="I89" s="146">
        <v>1.4326099999999999</v>
      </c>
      <c r="K89" s="110">
        <v>0.88541666666666696</v>
      </c>
      <c r="L89" s="146">
        <v>0.81747999999999998</v>
      </c>
      <c r="M89" s="110">
        <v>0.88541666666666696</v>
      </c>
      <c r="N89" s="146">
        <v>1.96658</v>
      </c>
      <c r="O89" s="110">
        <v>0.88541666666666696</v>
      </c>
      <c r="P89" s="146">
        <v>1.9616199999999999</v>
      </c>
      <c r="R89" s="110">
        <v>0.88541666666666696</v>
      </c>
      <c r="S89" s="146">
        <v>1.55263</v>
      </c>
      <c r="T89" s="110">
        <v>0.88541666666666696</v>
      </c>
      <c r="U89" s="146">
        <v>2.3668900000000002</v>
      </c>
      <c r="V89" s="110">
        <v>0.88541666666666696</v>
      </c>
      <c r="W89" s="146">
        <v>3.0198999999999998</v>
      </c>
      <c r="Y89" s="110">
        <v>0.88541666666666696</v>
      </c>
      <c r="Z89" s="146">
        <v>1.15059</v>
      </c>
      <c r="AA89" s="110">
        <v>0.88541666666666696</v>
      </c>
      <c r="AB89" s="146">
        <v>1.5315700000000001</v>
      </c>
      <c r="AC89" s="110">
        <v>0.88541666666666696</v>
      </c>
      <c r="AD89" s="146">
        <v>1.2665999999999999</v>
      </c>
      <c r="AF89" s="110">
        <v>0.88541666666666696</v>
      </c>
      <c r="AG89" s="146">
        <v>3.0360499999999999</v>
      </c>
      <c r="AH89" s="110">
        <v>0.88541666666666696</v>
      </c>
      <c r="AI89" s="180">
        <v>5.1943200000000003</v>
      </c>
      <c r="AJ89" s="110">
        <v>0.88541666666666696</v>
      </c>
      <c r="AK89" s="146">
        <v>7.87995</v>
      </c>
      <c r="AM89" s="110">
        <v>0.88541666666666696</v>
      </c>
      <c r="AN89" s="146">
        <v>1.7137899999999999</v>
      </c>
      <c r="AO89" s="110">
        <v>0.88541666666666696</v>
      </c>
      <c r="AP89" s="186">
        <v>2.5594600000000001</v>
      </c>
      <c r="AQ89" s="110">
        <v>0.88541666666666696</v>
      </c>
      <c r="AR89" s="146">
        <v>3.2402199999999999</v>
      </c>
      <c r="AT89" s="110">
        <v>0.88541666666666696</v>
      </c>
      <c r="AU89" s="20"/>
      <c r="AW89" s="110">
        <v>0.88541666666666696</v>
      </c>
      <c r="AX89" s="20"/>
    </row>
    <row r="90" spans="1:50" x14ac:dyDescent="0.3">
      <c r="A90" s="108">
        <v>0.8125</v>
      </c>
      <c r="B90" s="117">
        <f t="shared" si="1"/>
        <v>5268.11</v>
      </c>
      <c r="D90" s="110">
        <v>0.89583333333333304</v>
      </c>
      <c r="E90" s="146">
        <v>0.76291699999999996</v>
      </c>
      <c r="F90" s="110">
        <v>0.89583333333333304</v>
      </c>
      <c r="G90" s="146">
        <v>1.93428</v>
      </c>
      <c r="H90" s="110">
        <v>0.89583333333333304</v>
      </c>
      <c r="I90" s="146">
        <v>1.4326099999999999</v>
      </c>
      <c r="K90" s="110">
        <v>0.89583333333333304</v>
      </c>
      <c r="L90" s="146">
        <v>0.81747999999999998</v>
      </c>
      <c r="M90" s="110">
        <v>0.89583333333333304</v>
      </c>
      <c r="N90" s="146">
        <v>1.96658</v>
      </c>
      <c r="O90" s="110">
        <v>0.89583333333333304</v>
      </c>
      <c r="P90" s="146">
        <v>1.9616199999999999</v>
      </c>
      <c r="R90" s="110">
        <v>0.89583333333333304</v>
      </c>
      <c r="S90" s="146">
        <v>1.55263</v>
      </c>
      <c r="T90" s="110">
        <v>0.89583333333333304</v>
      </c>
      <c r="U90" s="146">
        <v>2.3668900000000002</v>
      </c>
      <c r="V90" s="110">
        <v>0.89583333333333304</v>
      </c>
      <c r="W90" s="146">
        <v>3.0198999999999998</v>
      </c>
      <c r="Y90" s="110">
        <v>0.89583333333333304</v>
      </c>
      <c r="Z90" s="146">
        <v>1.15059</v>
      </c>
      <c r="AA90" s="110">
        <v>0.89583333333333304</v>
      </c>
      <c r="AB90" s="146">
        <v>1.5315700000000001</v>
      </c>
      <c r="AC90" s="110">
        <v>0.89583333333333304</v>
      </c>
      <c r="AD90" s="146">
        <v>1.2665999999999999</v>
      </c>
      <c r="AF90" s="110">
        <v>0.89583333333333304</v>
      </c>
      <c r="AG90" s="146">
        <v>3.0360499999999999</v>
      </c>
      <c r="AH90" s="110">
        <v>0.89583333333333304</v>
      </c>
      <c r="AI90" s="180">
        <v>5.1943200000000003</v>
      </c>
      <c r="AJ90" s="110">
        <v>0.89583333333333304</v>
      </c>
      <c r="AK90" s="146">
        <v>7.87995</v>
      </c>
      <c r="AM90" s="110">
        <v>0.89583333333333304</v>
      </c>
      <c r="AN90" s="146">
        <v>1.7137899999999999</v>
      </c>
      <c r="AO90" s="110">
        <v>0.89583333333333304</v>
      </c>
      <c r="AP90" s="186">
        <v>2.5594600000000001</v>
      </c>
      <c r="AQ90" s="110">
        <v>0.89583333333333304</v>
      </c>
      <c r="AR90" s="146">
        <v>3.2402199999999999</v>
      </c>
      <c r="AT90" s="110">
        <v>0.89583333333333304</v>
      </c>
      <c r="AU90" s="20"/>
      <c r="AW90" s="110">
        <v>0.89583333333333304</v>
      </c>
      <c r="AX90" s="20"/>
    </row>
    <row r="91" spans="1:50" x14ac:dyDescent="0.3">
      <c r="A91" s="108">
        <v>0.82291666666666696</v>
      </c>
      <c r="B91" s="117">
        <f t="shared" si="1"/>
        <v>5268.11</v>
      </c>
      <c r="D91" s="110">
        <v>0.90625</v>
      </c>
      <c r="E91" s="146">
        <v>0.76291699999999996</v>
      </c>
      <c r="F91" s="110">
        <v>0.90625</v>
      </c>
      <c r="G91" s="146">
        <v>1.93428</v>
      </c>
      <c r="H91" s="110">
        <v>0.90625</v>
      </c>
      <c r="I91" s="146">
        <v>1.4326099999999999</v>
      </c>
      <c r="K91" s="110">
        <v>0.90625</v>
      </c>
      <c r="L91" s="146">
        <v>0.81747999999999998</v>
      </c>
      <c r="M91" s="110">
        <v>0.90625</v>
      </c>
      <c r="N91" s="146">
        <v>1.96658</v>
      </c>
      <c r="O91" s="110">
        <v>0.90625</v>
      </c>
      <c r="P91" s="146">
        <v>1.9616199999999999</v>
      </c>
      <c r="R91" s="110">
        <v>0.90625</v>
      </c>
      <c r="S91" s="146">
        <v>1.55263</v>
      </c>
      <c r="T91" s="110">
        <v>0.90625</v>
      </c>
      <c r="U91" s="146">
        <v>2.3668900000000002</v>
      </c>
      <c r="V91" s="110">
        <v>0.90625</v>
      </c>
      <c r="W91" s="146">
        <v>3.0198999999999998</v>
      </c>
      <c r="Y91" s="110">
        <v>0.90625</v>
      </c>
      <c r="Z91" s="146">
        <v>1.15059</v>
      </c>
      <c r="AA91" s="110">
        <v>0.90625</v>
      </c>
      <c r="AB91" s="146">
        <v>1.5315700000000001</v>
      </c>
      <c r="AC91" s="110">
        <v>0.90625</v>
      </c>
      <c r="AD91" s="146">
        <v>1.2665999999999999</v>
      </c>
      <c r="AF91" s="110">
        <v>0.90625</v>
      </c>
      <c r="AG91" s="146">
        <v>3.0360499999999999</v>
      </c>
      <c r="AH91" s="110">
        <v>0.90625</v>
      </c>
      <c r="AI91" s="180">
        <v>5.1943200000000003</v>
      </c>
      <c r="AJ91" s="110">
        <v>0.90625</v>
      </c>
      <c r="AK91" s="146">
        <v>7.87995</v>
      </c>
      <c r="AM91" s="110">
        <v>0.90625</v>
      </c>
      <c r="AN91" s="146">
        <v>1.7137899999999999</v>
      </c>
      <c r="AO91" s="110">
        <v>0.90625</v>
      </c>
      <c r="AP91" s="186">
        <v>2.5594600000000001</v>
      </c>
      <c r="AQ91" s="110">
        <v>0.90625</v>
      </c>
      <c r="AR91" s="146">
        <v>3.2402199999999999</v>
      </c>
      <c r="AT91" s="110">
        <v>0.90625</v>
      </c>
      <c r="AU91" s="20"/>
      <c r="AW91" s="110">
        <v>0.90625</v>
      </c>
      <c r="AX91" s="20"/>
    </row>
    <row r="92" spans="1:50" x14ac:dyDescent="0.3">
      <c r="A92" s="108">
        <v>0.83333333333333304</v>
      </c>
      <c r="B92" s="117">
        <f t="shared" si="1"/>
        <v>6375</v>
      </c>
      <c r="D92" s="110">
        <v>0.91666666666666696</v>
      </c>
      <c r="E92" s="146">
        <v>0.58677199999999996</v>
      </c>
      <c r="F92" s="110">
        <v>0.91666666666666696</v>
      </c>
      <c r="G92" s="146">
        <v>1.3935599999999999</v>
      </c>
      <c r="H92" s="110">
        <v>0.91666666666666696</v>
      </c>
      <c r="I92" s="146">
        <v>1.8031999999999999</v>
      </c>
      <c r="K92" s="110">
        <v>0.91666666666666696</v>
      </c>
      <c r="L92" s="146">
        <v>0.60875299999999999</v>
      </c>
      <c r="M92" s="110">
        <v>0.91666666666666696</v>
      </c>
      <c r="N92" s="146">
        <v>0.94131900000000002</v>
      </c>
      <c r="O92" s="110">
        <v>0.91666666666666696</v>
      </c>
      <c r="P92" s="146">
        <v>1.07951</v>
      </c>
      <c r="R92" s="110">
        <v>0.91666666666666696</v>
      </c>
      <c r="S92" s="146">
        <v>1.2784899999999999</v>
      </c>
      <c r="T92" s="110">
        <v>0.91666666666666696</v>
      </c>
      <c r="U92" s="146">
        <v>1.92499</v>
      </c>
      <c r="V92" s="110">
        <v>0.91666666666666696</v>
      </c>
      <c r="W92" s="146">
        <v>2.45716</v>
      </c>
      <c r="Y92" s="110">
        <v>0.91666666666666696</v>
      </c>
      <c r="Z92" s="146">
        <v>0.65955699999999995</v>
      </c>
      <c r="AA92" s="110">
        <v>0.91666666666666696</v>
      </c>
      <c r="AB92" s="146">
        <v>0.96389899999999995</v>
      </c>
      <c r="AC92" s="110">
        <v>0.91666666666666696</v>
      </c>
      <c r="AD92" s="146">
        <v>1.615</v>
      </c>
      <c r="AF92" s="110">
        <v>0.91666666666666696</v>
      </c>
      <c r="AG92" s="146">
        <v>2.7593200000000002</v>
      </c>
      <c r="AH92" s="110">
        <v>0.91666666666666696</v>
      </c>
      <c r="AI92" s="180">
        <v>6.0992800000000003</v>
      </c>
      <c r="AJ92" s="110">
        <v>0.91666666666666696</v>
      </c>
      <c r="AK92" s="146">
        <v>7.5656299999999996</v>
      </c>
      <c r="AM92" s="110">
        <v>0.91666666666666696</v>
      </c>
      <c r="AN92" s="146">
        <v>1.3998699999999999</v>
      </c>
      <c r="AO92" s="110">
        <v>0.91666666666666696</v>
      </c>
      <c r="AP92" s="186">
        <v>3.4096199999999999</v>
      </c>
      <c r="AQ92" s="110">
        <v>0.91666666666666696</v>
      </c>
      <c r="AR92" s="146">
        <v>2.8833500000000001</v>
      </c>
      <c r="AT92" s="110">
        <v>0.91666666666666696</v>
      </c>
      <c r="AU92" s="20"/>
      <c r="AW92" s="110">
        <v>0.91666666666666696</v>
      </c>
      <c r="AX92" s="20"/>
    </row>
    <row r="93" spans="1:50" x14ac:dyDescent="0.3">
      <c r="A93" s="108">
        <v>0.84375</v>
      </c>
      <c r="B93" s="117">
        <f t="shared" si="1"/>
        <v>6375</v>
      </c>
      <c r="D93" s="110">
        <v>0.92708333333333304</v>
      </c>
      <c r="E93" s="146">
        <v>0.58677199999999996</v>
      </c>
      <c r="F93" s="110">
        <v>0.92708333333333304</v>
      </c>
      <c r="G93" s="146">
        <v>1.3935599999999999</v>
      </c>
      <c r="H93" s="110">
        <v>0.92708333333333304</v>
      </c>
      <c r="I93" s="146">
        <v>1.8031999999999999</v>
      </c>
      <c r="K93" s="110">
        <v>0.92708333333333304</v>
      </c>
      <c r="L93" s="146">
        <v>0.60875299999999999</v>
      </c>
      <c r="M93" s="110">
        <v>0.92708333333333304</v>
      </c>
      <c r="N93" s="146">
        <v>0.94131900000000002</v>
      </c>
      <c r="O93" s="110">
        <v>0.92708333333333304</v>
      </c>
      <c r="P93" s="146">
        <v>1.07951</v>
      </c>
      <c r="R93" s="110">
        <v>0.92708333333333304</v>
      </c>
      <c r="S93" s="146">
        <v>1.2784899999999999</v>
      </c>
      <c r="T93" s="110">
        <v>0.92708333333333304</v>
      </c>
      <c r="U93" s="146">
        <v>1.92499</v>
      </c>
      <c r="V93" s="110">
        <v>0.92708333333333304</v>
      </c>
      <c r="W93" s="146">
        <v>2.45716</v>
      </c>
      <c r="Y93" s="110">
        <v>0.92708333333333304</v>
      </c>
      <c r="Z93" s="146">
        <v>0.65955699999999995</v>
      </c>
      <c r="AA93" s="110">
        <v>0.92708333333333304</v>
      </c>
      <c r="AB93" s="146">
        <v>0.96389899999999995</v>
      </c>
      <c r="AC93" s="110">
        <v>0.92708333333333304</v>
      </c>
      <c r="AD93" s="146">
        <v>1.615</v>
      </c>
      <c r="AF93" s="110">
        <v>0.92708333333333304</v>
      </c>
      <c r="AG93" s="146">
        <v>2.7593200000000002</v>
      </c>
      <c r="AH93" s="110">
        <v>0.92708333333333304</v>
      </c>
      <c r="AI93" s="180">
        <v>6.0992800000000003</v>
      </c>
      <c r="AJ93" s="110">
        <v>0.92708333333333304</v>
      </c>
      <c r="AK93" s="146">
        <v>7.5656299999999996</v>
      </c>
      <c r="AM93" s="110">
        <v>0.92708333333333304</v>
      </c>
      <c r="AN93" s="146">
        <v>1.3998699999999999</v>
      </c>
      <c r="AO93" s="110">
        <v>0.92708333333333304</v>
      </c>
      <c r="AP93" s="186">
        <v>3.4096199999999999</v>
      </c>
      <c r="AQ93" s="110">
        <v>0.92708333333333304</v>
      </c>
      <c r="AR93" s="146">
        <v>2.8833500000000001</v>
      </c>
      <c r="AT93" s="110">
        <v>0.92708333333333304</v>
      </c>
      <c r="AU93" s="20"/>
      <c r="AW93" s="110">
        <v>0.92708333333333304</v>
      </c>
      <c r="AX93" s="20"/>
    </row>
    <row r="94" spans="1:50" x14ac:dyDescent="0.3">
      <c r="A94" s="108">
        <v>0.85416666666666696</v>
      </c>
      <c r="B94" s="117">
        <f t="shared" si="1"/>
        <v>6375</v>
      </c>
      <c r="D94" s="110">
        <v>0.9375</v>
      </c>
      <c r="E94" s="146">
        <v>0.58677199999999996</v>
      </c>
      <c r="F94" s="110">
        <v>0.9375</v>
      </c>
      <c r="G94" s="146">
        <v>1.3935599999999999</v>
      </c>
      <c r="H94" s="110">
        <v>0.9375</v>
      </c>
      <c r="I94" s="146">
        <v>1.8031999999999999</v>
      </c>
      <c r="K94" s="110">
        <v>0.9375</v>
      </c>
      <c r="L94" s="146">
        <v>0.60875299999999999</v>
      </c>
      <c r="M94" s="110">
        <v>0.9375</v>
      </c>
      <c r="N94" s="146">
        <v>0.94131900000000002</v>
      </c>
      <c r="O94" s="110">
        <v>0.9375</v>
      </c>
      <c r="P94" s="146">
        <v>1.07951</v>
      </c>
      <c r="R94" s="110">
        <v>0.9375</v>
      </c>
      <c r="S94" s="146">
        <v>1.2784899999999999</v>
      </c>
      <c r="T94" s="110">
        <v>0.9375</v>
      </c>
      <c r="U94" s="146">
        <v>1.92499</v>
      </c>
      <c r="V94" s="110">
        <v>0.9375</v>
      </c>
      <c r="W94" s="146">
        <v>2.45716</v>
      </c>
      <c r="Y94" s="110">
        <v>0.9375</v>
      </c>
      <c r="Z94" s="146">
        <v>0.65955699999999995</v>
      </c>
      <c r="AA94" s="110">
        <v>0.9375</v>
      </c>
      <c r="AB94" s="146">
        <v>0.96389899999999995</v>
      </c>
      <c r="AC94" s="110">
        <v>0.9375</v>
      </c>
      <c r="AD94" s="146">
        <v>1.615</v>
      </c>
      <c r="AF94" s="110">
        <v>0.9375</v>
      </c>
      <c r="AG94" s="146">
        <v>2.7593200000000002</v>
      </c>
      <c r="AH94" s="110">
        <v>0.9375</v>
      </c>
      <c r="AI94" s="180">
        <v>6.0992800000000003</v>
      </c>
      <c r="AJ94" s="110">
        <v>0.9375</v>
      </c>
      <c r="AK94" s="146">
        <v>7.5656299999999996</v>
      </c>
      <c r="AM94" s="110">
        <v>0.9375</v>
      </c>
      <c r="AN94" s="146">
        <v>1.3998699999999999</v>
      </c>
      <c r="AO94" s="110">
        <v>0.9375</v>
      </c>
      <c r="AP94" s="186">
        <v>3.4096199999999999</v>
      </c>
      <c r="AQ94" s="110">
        <v>0.9375</v>
      </c>
      <c r="AR94" s="146">
        <v>2.8833500000000001</v>
      </c>
      <c r="AT94" s="110">
        <v>0.9375</v>
      </c>
      <c r="AU94" s="20"/>
      <c r="AW94" s="110">
        <v>0.9375</v>
      </c>
      <c r="AX94" s="20"/>
    </row>
    <row r="95" spans="1:50" x14ac:dyDescent="0.3">
      <c r="A95" s="108">
        <v>0.86458333333333304</v>
      </c>
      <c r="B95" s="117">
        <f t="shared" si="1"/>
        <v>6375</v>
      </c>
      <c r="D95" s="110">
        <v>0.94791666666666696</v>
      </c>
      <c r="E95" s="146">
        <v>0.58677199999999996</v>
      </c>
      <c r="F95" s="110">
        <v>0.94791666666666696</v>
      </c>
      <c r="G95" s="146">
        <v>1.3935599999999999</v>
      </c>
      <c r="H95" s="110">
        <v>0.94791666666666696</v>
      </c>
      <c r="I95" s="146">
        <v>1.8031999999999999</v>
      </c>
      <c r="K95" s="110">
        <v>0.94791666666666696</v>
      </c>
      <c r="L95" s="146">
        <v>0.60875299999999999</v>
      </c>
      <c r="M95" s="110">
        <v>0.94791666666666696</v>
      </c>
      <c r="N95" s="146">
        <v>0.94131900000000002</v>
      </c>
      <c r="O95" s="110">
        <v>0.94791666666666696</v>
      </c>
      <c r="P95" s="146">
        <v>1.07951</v>
      </c>
      <c r="R95" s="110">
        <v>0.94791666666666696</v>
      </c>
      <c r="S95" s="146">
        <v>1.2784899999999999</v>
      </c>
      <c r="T95" s="110">
        <v>0.94791666666666696</v>
      </c>
      <c r="U95" s="146">
        <v>1.92499</v>
      </c>
      <c r="V95" s="110">
        <v>0.94791666666666696</v>
      </c>
      <c r="W95" s="146">
        <v>2.45716</v>
      </c>
      <c r="Y95" s="110">
        <v>0.94791666666666696</v>
      </c>
      <c r="Z95" s="146">
        <v>0.65955699999999995</v>
      </c>
      <c r="AA95" s="110">
        <v>0.94791666666666696</v>
      </c>
      <c r="AB95" s="146">
        <v>0.96389899999999995</v>
      </c>
      <c r="AC95" s="110">
        <v>0.94791666666666696</v>
      </c>
      <c r="AD95" s="146">
        <v>1.615</v>
      </c>
      <c r="AF95" s="110">
        <v>0.94791666666666696</v>
      </c>
      <c r="AG95" s="146">
        <v>2.7593200000000002</v>
      </c>
      <c r="AH95" s="110">
        <v>0.94791666666666696</v>
      </c>
      <c r="AI95" s="180">
        <v>6.0992800000000003</v>
      </c>
      <c r="AJ95" s="110">
        <v>0.94791666666666696</v>
      </c>
      <c r="AK95" s="146">
        <v>7.5656299999999996</v>
      </c>
      <c r="AM95" s="110">
        <v>0.94791666666666696</v>
      </c>
      <c r="AN95" s="146">
        <v>1.3998699999999999</v>
      </c>
      <c r="AO95" s="110">
        <v>0.94791666666666696</v>
      </c>
      <c r="AP95" s="186">
        <v>3.4096199999999999</v>
      </c>
      <c r="AQ95" s="110">
        <v>0.94791666666666696</v>
      </c>
      <c r="AR95" s="146">
        <v>2.8833500000000001</v>
      </c>
      <c r="AT95" s="110">
        <v>0.94791666666666696</v>
      </c>
      <c r="AU95" s="20"/>
      <c r="AW95" s="110">
        <v>0.94791666666666696</v>
      </c>
      <c r="AX95" s="20"/>
    </row>
    <row r="96" spans="1:50" x14ac:dyDescent="0.3">
      <c r="A96" s="108">
        <v>0.875</v>
      </c>
      <c r="B96" s="117">
        <f t="shared" si="1"/>
        <v>7879.95</v>
      </c>
      <c r="D96" s="110">
        <v>0.95833333333333304</v>
      </c>
      <c r="E96" s="146">
        <v>0.41877799999999998</v>
      </c>
      <c r="F96" s="110">
        <v>0.95833333333333304</v>
      </c>
      <c r="G96" s="146">
        <v>0.59359899999999999</v>
      </c>
      <c r="H96" s="110">
        <v>0.95833333333333304</v>
      </c>
      <c r="I96" s="146">
        <v>0.73473200000000005</v>
      </c>
      <c r="K96" s="110">
        <v>0.95833333333333304</v>
      </c>
      <c r="L96" s="146">
        <v>0.392374</v>
      </c>
      <c r="M96" s="110">
        <v>0.95833333333333304</v>
      </c>
      <c r="N96" s="146">
        <v>0.55774500000000005</v>
      </c>
      <c r="O96" s="110">
        <v>0.95833333333333304</v>
      </c>
      <c r="P96" s="146">
        <v>1.2340599999999999</v>
      </c>
      <c r="R96" s="110">
        <v>0.95833333333333304</v>
      </c>
      <c r="S96" s="146">
        <v>0.95416299999999998</v>
      </c>
      <c r="T96" s="110">
        <v>0.95833333333333304</v>
      </c>
      <c r="U96" s="146">
        <v>1.4043399999999999</v>
      </c>
      <c r="V96" s="110">
        <v>0.95833333333333304</v>
      </c>
      <c r="W96" s="146">
        <v>2.3008799999999998</v>
      </c>
      <c r="Y96" s="110">
        <v>0.95833333333333304</v>
      </c>
      <c r="Z96" s="146">
        <v>0.41346899999999998</v>
      </c>
      <c r="AA96" s="110">
        <v>0.95833333333333304</v>
      </c>
      <c r="AB96" s="146">
        <v>2.2078600000000002</v>
      </c>
      <c r="AC96" s="110">
        <v>0.95833333333333304</v>
      </c>
      <c r="AD96" s="146">
        <v>0.67881400000000003</v>
      </c>
      <c r="AF96" s="110">
        <v>0.95833333333333304</v>
      </c>
      <c r="AG96" s="146">
        <v>3.1899000000000002</v>
      </c>
      <c r="AH96" s="110">
        <v>0.95833333333333304</v>
      </c>
      <c r="AI96" s="180">
        <v>5.6713300000000002</v>
      </c>
      <c r="AJ96" s="110">
        <v>0.95833333333333304</v>
      </c>
      <c r="AK96" s="146">
        <v>8.5045599999999997</v>
      </c>
      <c r="AM96" s="110">
        <v>0.95833333333333304</v>
      </c>
      <c r="AN96" s="146">
        <v>1.1147100000000001</v>
      </c>
      <c r="AO96" s="110">
        <v>0.95833333333333304</v>
      </c>
      <c r="AP96" s="186">
        <v>1.9933799999999999</v>
      </c>
      <c r="AQ96" s="110">
        <v>0.95833333333333304</v>
      </c>
      <c r="AR96" s="146">
        <v>2.7379799999999999</v>
      </c>
      <c r="AT96" s="110">
        <v>0.95833333333333304</v>
      </c>
      <c r="AU96" s="20"/>
      <c r="AW96" s="110">
        <v>0.95833333333333304</v>
      </c>
      <c r="AX96" s="20"/>
    </row>
    <row r="97" spans="1:51" x14ac:dyDescent="0.3">
      <c r="A97" s="108">
        <v>0.88541666666666696</v>
      </c>
      <c r="B97" s="117">
        <f t="shared" si="1"/>
        <v>7879.95</v>
      </c>
      <c r="D97" s="110">
        <v>0.96875</v>
      </c>
      <c r="E97" s="146">
        <v>0.41877799999999998</v>
      </c>
      <c r="F97" s="110">
        <v>0.96875</v>
      </c>
      <c r="G97" s="146">
        <v>0.59359899999999999</v>
      </c>
      <c r="H97" s="110">
        <v>0.96875</v>
      </c>
      <c r="I97" s="146">
        <v>0.73473200000000005</v>
      </c>
      <c r="K97" s="110">
        <v>0.96875</v>
      </c>
      <c r="L97" s="146">
        <v>0.392374</v>
      </c>
      <c r="M97" s="110">
        <v>0.96875</v>
      </c>
      <c r="N97" s="146">
        <v>0.55774500000000005</v>
      </c>
      <c r="O97" s="110">
        <v>0.96875</v>
      </c>
      <c r="P97" s="146">
        <v>1.2340599999999999</v>
      </c>
      <c r="R97" s="110">
        <v>0.96875</v>
      </c>
      <c r="S97" s="146">
        <v>0.95416299999999998</v>
      </c>
      <c r="T97" s="110">
        <v>0.96875</v>
      </c>
      <c r="U97" s="146">
        <v>1.4043399999999999</v>
      </c>
      <c r="V97" s="110">
        <v>0.96875</v>
      </c>
      <c r="W97" s="146">
        <v>2.3008799999999998</v>
      </c>
      <c r="Y97" s="110">
        <v>0.96875</v>
      </c>
      <c r="Z97" s="146">
        <v>0.41346899999999998</v>
      </c>
      <c r="AA97" s="110">
        <v>0.96875</v>
      </c>
      <c r="AB97" s="146">
        <v>2.2078600000000002</v>
      </c>
      <c r="AC97" s="110">
        <v>0.96875</v>
      </c>
      <c r="AD97" s="146">
        <v>0.67881400000000003</v>
      </c>
      <c r="AF97" s="110">
        <v>0.96875</v>
      </c>
      <c r="AG97" s="146">
        <v>3.1899000000000002</v>
      </c>
      <c r="AH97" s="110">
        <v>0.96875</v>
      </c>
      <c r="AI97" s="180">
        <v>5.6713300000000002</v>
      </c>
      <c r="AJ97" s="110">
        <v>0.96875</v>
      </c>
      <c r="AK97" s="146">
        <v>8.5045599999999997</v>
      </c>
      <c r="AM97" s="110">
        <v>0.96875</v>
      </c>
      <c r="AN97" s="146">
        <v>1.1147100000000001</v>
      </c>
      <c r="AO97" s="110">
        <v>0.96875</v>
      </c>
      <c r="AP97" s="186">
        <v>1.9933799999999999</v>
      </c>
      <c r="AQ97" s="110">
        <v>0.96875</v>
      </c>
      <c r="AR97" s="146">
        <v>2.7379799999999999</v>
      </c>
      <c r="AT97" s="110">
        <v>0.96875</v>
      </c>
      <c r="AU97" s="20"/>
      <c r="AW97" s="110">
        <v>0.96875</v>
      </c>
      <c r="AX97" s="20"/>
    </row>
    <row r="98" spans="1:51" x14ac:dyDescent="0.3">
      <c r="A98" s="108">
        <v>0.89583333333333304</v>
      </c>
      <c r="B98" s="117">
        <f t="shared" si="1"/>
        <v>7879.95</v>
      </c>
      <c r="D98" s="110">
        <v>0.97916666666666696</v>
      </c>
      <c r="E98" s="146">
        <v>0.41877799999999998</v>
      </c>
      <c r="F98" s="110">
        <v>0.97916666666666696</v>
      </c>
      <c r="G98" s="146">
        <v>0.59359899999999999</v>
      </c>
      <c r="H98" s="110">
        <v>0.97916666666666696</v>
      </c>
      <c r="I98" s="146">
        <v>0.73473200000000005</v>
      </c>
      <c r="K98" s="110">
        <v>0.97916666666666696</v>
      </c>
      <c r="L98" s="146">
        <v>0.392374</v>
      </c>
      <c r="M98" s="110">
        <v>0.97916666666666696</v>
      </c>
      <c r="N98" s="146">
        <v>0.55774500000000005</v>
      </c>
      <c r="O98" s="110">
        <v>0.97916666666666696</v>
      </c>
      <c r="P98" s="146">
        <v>1.2340599999999999</v>
      </c>
      <c r="R98" s="110">
        <v>0.97916666666666696</v>
      </c>
      <c r="S98" s="146">
        <v>0.95416299999999998</v>
      </c>
      <c r="T98" s="110">
        <v>0.97916666666666696</v>
      </c>
      <c r="U98" s="146">
        <v>1.4043399999999999</v>
      </c>
      <c r="V98" s="110">
        <v>0.97916666666666696</v>
      </c>
      <c r="W98" s="146">
        <v>2.3008799999999998</v>
      </c>
      <c r="Y98" s="110">
        <v>0.97916666666666696</v>
      </c>
      <c r="Z98" s="146">
        <v>0.41346899999999998</v>
      </c>
      <c r="AA98" s="110">
        <v>0.97916666666666696</v>
      </c>
      <c r="AB98" s="146">
        <v>2.2078600000000002</v>
      </c>
      <c r="AC98" s="110">
        <v>0.97916666666666696</v>
      </c>
      <c r="AD98" s="146">
        <v>0.67881400000000003</v>
      </c>
      <c r="AF98" s="110">
        <v>0.97916666666666696</v>
      </c>
      <c r="AG98" s="146">
        <v>3.1899000000000002</v>
      </c>
      <c r="AH98" s="110">
        <v>0.97916666666666696</v>
      </c>
      <c r="AI98" s="180">
        <v>5.6713300000000002</v>
      </c>
      <c r="AJ98" s="110">
        <v>0.97916666666666696</v>
      </c>
      <c r="AK98" s="146">
        <v>8.5045599999999997</v>
      </c>
      <c r="AM98" s="110">
        <v>0.97916666666666696</v>
      </c>
      <c r="AN98" s="146">
        <v>1.1147100000000001</v>
      </c>
      <c r="AO98" s="110">
        <v>0.97916666666666696</v>
      </c>
      <c r="AP98" s="186">
        <v>1.9933799999999999</v>
      </c>
      <c r="AQ98" s="110">
        <v>0.97916666666666696</v>
      </c>
      <c r="AR98" s="146">
        <v>2.7379799999999999</v>
      </c>
      <c r="AT98" s="110">
        <v>0.97916666666666696</v>
      </c>
      <c r="AU98" s="20"/>
      <c r="AW98" s="110">
        <v>0.97916666666666696</v>
      </c>
      <c r="AX98" s="20"/>
    </row>
    <row r="99" spans="1:51" x14ac:dyDescent="0.3">
      <c r="A99" s="108">
        <v>0.90625</v>
      </c>
      <c r="B99" s="117">
        <f t="shared" si="1"/>
        <v>7879.95</v>
      </c>
      <c r="D99" s="111">
        <v>0.98958333333333304</v>
      </c>
      <c r="E99" s="147">
        <v>0.41877799999999998</v>
      </c>
      <c r="F99" s="111">
        <v>0.98958333333333304</v>
      </c>
      <c r="G99" s="147">
        <v>0.59359899999999999</v>
      </c>
      <c r="H99" s="111">
        <v>0.98958333333333304</v>
      </c>
      <c r="I99" s="147">
        <v>0.73473200000000005</v>
      </c>
      <c r="K99" s="111">
        <v>0.98958333333333304</v>
      </c>
      <c r="L99" s="147">
        <v>0.392374</v>
      </c>
      <c r="M99" s="111">
        <v>0.98958333333333304</v>
      </c>
      <c r="N99" s="147">
        <v>0.55774500000000005</v>
      </c>
      <c r="O99" s="111">
        <v>0.98958333333333304</v>
      </c>
      <c r="P99" s="147">
        <v>1.2340599999999999</v>
      </c>
      <c r="R99" s="111">
        <v>0.98958333333333304</v>
      </c>
      <c r="S99" s="147">
        <v>0.95416299999999998</v>
      </c>
      <c r="T99" s="111">
        <v>0.98958333333333304</v>
      </c>
      <c r="U99" s="147">
        <v>1.4043399999999999</v>
      </c>
      <c r="V99" s="111">
        <v>0.98958333333333304</v>
      </c>
      <c r="W99" s="147">
        <v>2.3008799999999998</v>
      </c>
      <c r="Y99" s="111">
        <v>0.98958333333333304</v>
      </c>
      <c r="Z99" s="147">
        <v>0.41346899999999998</v>
      </c>
      <c r="AA99" s="111">
        <v>0.98958333333333304</v>
      </c>
      <c r="AB99" s="147">
        <v>2.2078600000000002</v>
      </c>
      <c r="AC99" s="111">
        <v>0.98958333333333304</v>
      </c>
      <c r="AD99" s="147">
        <v>0.67881400000000003</v>
      </c>
      <c r="AF99" s="111">
        <v>0.98958333333333304</v>
      </c>
      <c r="AG99" s="147">
        <v>3.1899000000000002</v>
      </c>
      <c r="AH99" s="111">
        <v>0.98958333333333304</v>
      </c>
      <c r="AI99" s="176">
        <v>5.6713300000000002</v>
      </c>
      <c r="AJ99" s="111">
        <v>0.98958333333333304</v>
      </c>
      <c r="AK99" s="147">
        <v>8.5045599999999997</v>
      </c>
      <c r="AM99" s="111">
        <v>0.98958333333333304</v>
      </c>
      <c r="AN99" s="147">
        <v>1.1147100000000001</v>
      </c>
      <c r="AO99" s="111">
        <v>0.98958333333333304</v>
      </c>
      <c r="AP99" s="192">
        <v>1.9933799999999999</v>
      </c>
      <c r="AQ99" s="111">
        <v>0.98958333333333304</v>
      </c>
      <c r="AR99" s="147">
        <v>2.7379799999999999</v>
      </c>
      <c r="AT99" s="111">
        <v>0.98958333333333304</v>
      </c>
      <c r="AU99" s="26"/>
      <c r="AW99" s="111">
        <v>0.98958333333333304</v>
      </c>
      <c r="AX99" s="26"/>
    </row>
    <row r="100" spans="1:51" x14ac:dyDescent="0.3">
      <c r="A100" s="108">
        <v>0.91666666666666696</v>
      </c>
      <c r="B100" s="117">
        <f t="shared" si="1"/>
        <v>7565.6299999999992</v>
      </c>
    </row>
    <row r="101" spans="1:51" x14ac:dyDescent="0.3">
      <c r="A101" s="108">
        <v>0.92708333333333304</v>
      </c>
      <c r="B101" s="117">
        <f t="shared" si="1"/>
        <v>7565.6299999999992</v>
      </c>
      <c r="E101" s="113">
        <f>SUM(E4:E99)/4</f>
        <v>21.272128000000002</v>
      </c>
      <c r="F101" s="153" t="s">
        <v>236</v>
      </c>
      <c r="G101" s="113">
        <f t="shared" ref="G101:I101" si="2">SUM(G4:G99)/4</f>
        <v>41.242142999999999</v>
      </c>
      <c r="H101" s="153" t="s">
        <v>236</v>
      </c>
      <c r="I101" s="113">
        <f t="shared" si="2"/>
        <v>43.758114000000027</v>
      </c>
      <c r="J101" s="153" t="s">
        <v>236</v>
      </c>
      <c r="L101" s="113">
        <f>SUM(L4:L99)/4</f>
        <v>21.684868000000005</v>
      </c>
      <c r="M101" s="153" t="s">
        <v>236</v>
      </c>
      <c r="N101" s="113">
        <f t="shared" ref="N101" si="3">SUM(N4:N99)/4</f>
        <v>36.424689999999977</v>
      </c>
      <c r="O101" s="153" t="s">
        <v>236</v>
      </c>
      <c r="P101" s="113">
        <f t="shared" ref="P101" si="4">SUM(P4:P99)/4</f>
        <v>40.122674000000032</v>
      </c>
      <c r="Q101" s="153" t="s">
        <v>236</v>
      </c>
      <c r="S101" s="113">
        <f>SUM(S4:S99)/4</f>
        <v>32.736762999999996</v>
      </c>
      <c r="T101" s="153" t="s">
        <v>236</v>
      </c>
      <c r="U101" s="113">
        <f t="shared" ref="U101" si="5">SUM(U4:U99)/4</f>
        <v>46.970081000000008</v>
      </c>
      <c r="V101" s="153" t="s">
        <v>236</v>
      </c>
      <c r="W101" s="113">
        <f t="shared" ref="W101" si="6">SUM(W4:W99)/4</f>
        <v>59.055359000000031</v>
      </c>
      <c r="X101" s="153" t="s">
        <v>236</v>
      </c>
      <c r="Z101" s="113">
        <f>SUM(Z4:Z99)/4</f>
        <v>20.855682000000016</v>
      </c>
      <c r="AA101" s="153" t="s">
        <v>236</v>
      </c>
      <c r="AB101" s="113">
        <f t="shared" ref="AB101" si="7">SUM(AB4:AB99)/4</f>
        <v>35.693823000000016</v>
      </c>
      <c r="AC101" s="153" t="s">
        <v>236</v>
      </c>
      <c r="AD101" s="113">
        <f t="shared" ref="AD101" si="8">SUM(AD4:AD99)/4</f>
        <v>35.889843000000006</v>
      </c>
      <c r="AE101" s="153" t="s">
        <v>236</v>
      </c>
      <c r="AG101" s="113">
        <f>SUM(AG4:AG99)/4</f>
        <v>97.547449999999898</v>
      </c>
      <c r="AH101" s="153" t="s">
        <v>236</v>
      </c>
      <c r="AI101" s="113">
        <f t="shared" ref="AI101:AK101" si="9">SUM(AI4:AI99)/4</f>
        <v>166.02633000000006</v>
      </c>
      <c r="AJ101" s="153" t="s">
        <v>236</v>
      </c>
      <c r="AK101" s="113">
        <f t="shared" si="9"/>
        <v>233.92516000000012</v>
      </c>
      <c r="AL101" s="153" t="s">
        <v>236</v>
      </c>
      <c r="AN101" s="113">
        <f>SUM(AN4:AN99)/4</f>
        <v>35.513616999999975</v>
      </c>
      <c r="AO101" s="153" t="s">
        <v>236</v>
      </c>
      <c r="AP101" s="113">
        <f>SUM(AP4:AP99)/4</f>
        <v>57.709026000000009</v>
      </c>
      <c r="AQ101" s="153" t="s">
        <v>236</v>
      </c>
      <c r="AR101" s="113">
        <f>SUM(AR4:AR99)/4</f>
        <v>66.268805999999984</v>
      </c>
      <c r="AS101" s="153" t="s">
        <v>236</v>
      </c>
      <c r="AU101" s="113">
        <f>SUM(AU4:AU99)/4</f>
        <v>0</v>
      </c>
      <c r="AV101" s="153" t="s">
        <v>236</v>
      </c>
      <c r="AX101" s="113">
        <f>SUM(AX4:AX99)/4</f>
        <v>0</v>
      </c>
      <c r="AY101" s="153" t="s">
        <v>236</v>
      </c>
    </row>
    <row r="102" spans="1:51" x14ac:dyDescent="0.3">
      <c r="A102" s="108">
        <v>0.9375</v>
      </c>
      <c r="B102" s="117">
        <f t="shared" si="1"/>
        <v>7565.6299999999992</v>
      </c>
    </row>
    <row r="103" spans="1:51" x14ac:dyDescent="0.3">
      <c r="A103" s="108">
        <v>0.94791666666666696</v>
      </c>
      <c r="B103" s="117">
        <f t="shared" si="1"/>
        <v>7565.6299999999992</v>
      </c>
      <c r="AF103" s="369" t="s">
        <v>156</v>
      </c>
      <c r="AG103" s="370"/>
      <c r="AH103" s="370"/>
      <c r="AI103" s="288" t="s">
        <v>300</v>
      </c>
      <c r="AJ103" s="288"/>
      <c r="AK103" s="289"/>
      <c r="AL103" s="116"/>
    </row>
    <row r="104" spans="1:51" x14ac:dyDescent="0.3">
      <c r="A104" s="108">
        <v>0.95833333333333304</v>
      </c>
      <c r="B104" s="117">
        <f t="shared" si="1"/>
        <v>8504.56</v>
      </c>
      <c r="AF104" s="238" t="s">
        <v>264</v>
      </c>
      <c r="AG104" s="136"/>
      <c r="AH104" s="216" t="s">
        <v>265</v>
      </c>
      <c r="AI104" s="136"/>
      <c r="AJ104" s="238" t="s">
        <v>266</v>
      </c>
      <c r="AK104" s="136"/>
    </row>
    <row r="105" spans="1:51" x14ac:dyDescent="0.3">
      <c r="A105" s="108">
        <v>0.96875</v>
      </c>
      <c r="B105" s="117">
        <f t="shared" si="1"/>
        <v>8504.56</v>
      </c>
      <c r="AF105" s="124" t="s">
        <v>217</v>
      </c>
      <c r="AG105" s="149" t="s">
        <v>235</v>
      </c>
      <c r="AH105" s="124" t="s">
        <v>217</v>
      </c>
      <c r="AI105" s="149" t="s">
        <v>235</v>
      </c>
      <c r="AJ105" s="124" t="s">
        <v>217</v>
      </c>
      <c r="AK105" s="149" t="s">
        <v>235</v>
      </c>
    </row>
    <row r="106" spans="1:51" x14ac:dyDescent="0.3">
      <c r="A106" s="108">
        <v>0.97916666666666696</v>
      </c>
      <c r="B106" s="117">
        <f t="shared" si="1"/>
        <v>8504.56</v>
      </c>
      <c r="AF106" s="110">
        <v>0</v>
      </c>
      <c r="AG106" s="146">
        <v>1.2323</v>
      </c>
      <c r="AH106" s="110">
        <v>0</v>
      </c>
      <c r="AI106" s="180">
        <v>2.0046400000000002</v>
      </c>
      <c r="AJ106" s="110">
        <v>0</v>
      </c>
      <c r="AK106" s="146">
        <v>2.56874</v>
      </c>
      <c r="AL106" s="180"/>
    </row>
    <row r="107" spans="1:51" x14ac:dyDescent="0.3">
      <c r="A107" s="108">
        <v>0.98958333333333304</v>
      </c>
      <c r="B107" s="118">
        <f t="shared" si="1"/>
        <v>8504.56</v>
      </c>
      <c r="AF107" s="110">
        <v>1.0416666666666666E-2</v>
      </c>
      <c r="AG107" s="146">
        <v>1.2323</v>
      </c>
      <c r="AH107" s="110">
        <v>1.0416666666666666E-2</v>
      </c>
      <c r="AI107" s="180">
        <v>2.0046400000000002</v>
      </c>
      <c r="AJ107" s="110">
        <v>1.0416666666666666E-2</v>
      </c>
      <c r="AK107" s="146">
        <v>2.56874</v>
      </c>
      <c r="AL107" s="180"/>
    </row>
    <row r="108" spans="1:51" x14ac:dyDescent="0.3">
      <c r="AF108" s="110">
        <v>2.0833333333333301E-2</v>
      </c>
      <c r="AG108" s="146">
        <v>1.2323</v>
      </c>
      <c r="AH108" s="110">
        <v>2.0833333333333301E-2</v>
      </c>
      <c r="AI108" s="180">
        <v>2.0046400000000002</v>
      </c>
      <c r="AJ108" s="110">
        <v>2.0833333333333301E-2</v>
      </c>
      <c r="AK108" s="146">
        <v>2.56874</v>
      </c>
      <c r="AL108" s="180"/>
    </row>
    <row r="109" spans="1:51" x14ac:dyDescent="0.3">
      <c r="B109" s="150" t="s">
        <v>237</v>
      </c>
      <c r="AF109" s="110">
        <v>3.125E-2</v>
      </c>
      <c r="AG109" s="146">
        <v>1.2323</v>
      </c>
      <c r="AH109" s="110">
        <v>3.125E-2</v>
      </c>
      <c r="AI109" s="180">
        <v>2.0046400000000002</v>
      </c>
      <c r="AJ109" s="110">
        <v>3.125E-2</v>
      </c>
      <c r="AK109" s="146">
        <v>2.56874</v>
      </c>
      <c r="AL109" s="180"/>
    </row>
    <row r="110" spans="1:51" x14ac:dyDescent="0.3">
      <c r="B110" s="151">
        <f>SUM(B12:B107)/4000</f>
        <v>233.92515999999995</v>
      </c>
      <c r="AF110" s="110">
        <v>4.1666666666666699E-2</v>
      </c>
      <c r="AG110" s="146">
        <v>1.7295499999999999</v>
      </c>
      <c r="AH110" s="110">
        <v>4.1666666666666699E-2</v>
      </c>
      <c r="AI110" s="180">
        <v>2.4685100000000002</v>
      </c>
      <c r="AJ110" s="110">
        <v>4.1666666666666699E-2</v>
      </c>
      <c r="AK110" s="146">
        <v>2.57368</v>
      </c>
      <c r="AL110" s="180"/>
    </row>
    <row r="111" spans="1:51" x14ac:dyDescent="0.3">
      <c r="AF111" s="110">
        <v>5.2083333333333301E-2</v>
      </c>
      <c r="AG111" s="146">
        <v>1.7295499999999999</v>
      </c>
      <c r="AH111" s="110">
        <v>5.2083333333333301E-2</v>
      </c>
      <c r="AI111" s="180">
        <v>2.4685100000000002</v>
      </c>
      <c r="AJ111" s="110">
        <v>5.2083333333333301E-2</v>
      </c>
      <c r="AK111" s="146">
        <v>2.57368</v>
      </c>
      <c r="AL111" s="180"/>
    </row>
    <row r="112" spans="1:51" ht="28.8" x14ac:dyDescent="0.3">
      <c r="B112" s="230" t="s">
        <v>270</v>
      </c>
      <c r="AF112" s="110">
        <v>6.25E-2</v>
      </c>
      <c r="AG112" s="146">
        <v>1.7295499999999999</v>
      </c>
      <c r="AH112" s="110">
        <v>6.25E-2</v>
      </c>
      <c r="AI112" s="180">
        <v>2.4685100000000002</v>
      </c>
      <c r="AJ112" s="110">
        <v>6.25E-2</v>
      </c>
      <c r="AK112" s="146">
        <v>2.57368</v>
      </c>
      <c r="AL112" s="180"/>
    </row>
    <row r="113" spans="2:38" x14ac:dyDescent="0.3">
      <c r="B113" s="151">
        <v>0</v>
      </c>
      <c r="C113" s="234">
        <f>'HVAC Appliances'!D108</f>
        <v>5224.2400000000007</v>
      </c>
      <c r="AF113" s="110">
        <v>7.2916666666666699E-2</v>
      </c>
      <c r="AG113" s="146">
        <v>1.7295499999999999</v>
      </c>
      <c r="AH113" s="110">
        <v>7.2916666666666699E-2</v>
      </c>
      <c r="AI113" s="180">
        <v>2.4685100000000002</v>
      </c>
      <c r="AJ113" s="110">
        <v>7.2916666666666699E-2</v>
      </c>
      <c r="AK113" s="146">
        <v>2.57368</v>
      </c>
      <c r="AL113" s="180"/>
    </row>
    <row r="114" spans="2:38" x14ac:dyDescent="0.3">
      <c r="AF114" s="110">
        <v>8.3333333333333301E-2</v>
      </c>
      <c r="AG114" s="146">
        <v>1.2754099999999999</v>
      </c>
      <c r="AH114" s="110">
        <v>8.3333333333333301E-2</v>
      </c>
      <c r="AI114" s="180">
        <v>3.4030399999999998</v>
      </c>
      <c r="AJ114" s="110">
        <v>8.3333333333333301E-2</v>
      </c>
      <c r="AK114" s="146">
        <v>2.6149</v>
      </c>
      <c r="AL114" s="180"/>
    </row>
    <row r="115" spans="2:38" x14ac:dyDescent="0.3">
      <c r="AF115" s="110">
        <v>9.375E-2</v>
      </c>
      <c r="AG115" s="146">
        <v>1.2754099999999999</v>
      </c>
      <c r="AH115" s="110">
        <v>9.375E-2</v>
      </c>
      <c r="AI115" s="180">
        <v>3.4030399999999998</v>
      </c>
      <c r="AJ115" s="110">
        <v>9.375E-2</v>
      </c>
      <c r="AK115" s="146">
        <v>2.6149</v>
      </c>
      <c r="AL115" s="180"/>
    </row>
    <row r="116" spans="2:38" x14ac:dyDescent="0.3">
      <c r="AF116" s="110">
        <v>0.104166666666667</v>
      </c>
      <c r="AG116" s="146">
        <v>1.2754099999999999</v>
      </c>
      <c r="AH116" s="110">
        <v>0.104166666666667</v>
      </c>
      <c r="AI116" s="180">
        <v>3.4030399999999998</v>
      </c>
      <c r="AJ116" s="110">
        <v>0.104166666666667</v>
      </c>
      <c r="AK116" s="146">
        <v>2.6149</v>
      </c>
      <c r="AL116" s="180"/>
    </row>
    <row r="117" spans="2:38" x14ac:dyDescent="0.3">
      <c r="AF117" s="110">
        <v>0.114583333333333</v>
      </c>
      <c r="AG117" s="146">
        <v>1.2754099999999999</v>
      </c>
      <c r="AH117" s="110">
        <v>0.114583333333333</v>
      </c>
      <c r="AI117" s="180">
        <v>3.4030399999999998</v>
      </c>
      <c r="AJ117" s="110">
        <v>0.114583333333333</v>
      </c>
      <c r="AK117" s="146">
        <v>2.6149</v>
      </c>
      <c r="AL117" s="180"/>
    </row>
    <row r="118" spans="2:38" x14ac:dyDescent="0.3">
      <c r="AF118" s="110">
        <v>0.125</v>
      </c>
      <c r="AG118" s="146">
        <v>1.5461400000000001</v>
      </c>
      <c r="AH118" s="110">
        <v>0.125</v>
      </c>
      <c r="AI118" s="180">
        <v>2.12026</v>
      </c>
      <c r="AJ118" s="110">
        <v>0.125</v>
      </c>
      <c r="AK118" s="146">
        <v>2.78973</v>
      </c>
      <c r="AL118" s="180"/>
    </row>
    <row r="119" spans="2:38" x14ac:dyDescent="0.3">
      <c r="AF119" s="110">
        <v>0.13541666666666699</v>
      </c>
      <c r="AG119" s="146">
        <v>1.5461400000000001</v>
      </c>
      <c r="AH119" s="110">
        <v>0.13541666666666699</v>
      </c>
      <c r="AI119" s="180">
        <v>2.12026</v>
      </c>
      <c r="AJ119" s="110">
        <v>0.13541666666666699</v>
      </c>
      <c r="AK119" s="146">
        <v>2.78973</v>
      </c>
      <c r="AL119" s="180"/>
    </row>
    <row r="120" spans="2:38" x14ac:dyDescent="0.3">
      <c r="AF120" s="110">
        <v>0.14583333333333301</v>
      </c>
      <c r="AG120" s="146">
        <v>1.5461400000000001</v>
      </c>
      <c r="AH120" s="110">
        <v>0.14583333333333301</v>
      </c>
      <c r="AI120" s="180">
        <v>2.12026</v>
      </c>
      <c r="AJ120" s="110">
        <v>0.14583333333333301</v>
      </c>
      <c r="AK120" s="146">
        <v>2.78973</v>
      </c>
      <c r="AL120" s="180"/>
    </row>
    <row r="121" spans="2:38" x14ac:dyDescent="0.3">
      <c r="AF121" s="110">
        <v>0.15625</v>
      </c>
      <c r="AG121" s="146">
        <v>1.5461400000000001</v>
      </c>
      <c r="AH121" s="110">
        <v>0.15625</v>
      </c>
      <c r="AI121" s="180">
        <v>2.12026</v>
      </c>
      <c r="AJ121" s="110">
        <v>0.15625</v>
      </c>
      <c r="AK121" s="146">
        <v>2.78973</v>
      </c>
      <c r="AL121" s="180"/>
    </row>
    <row r="122" spans="2:38" x14ac:dyDescent="0.3">
      <c r="AF122" s="110">
        <v>0.16666666666666699</v>
      </c>
      <c r="AG122" s="146">
        <v>1.40652</v>
      </c>
      <c r="AH122" s="110">
        <v>0.16666666666666699</v>
      </c>
      <c r="AI122" s="180">
        <v>2.31399</v>
      </c>
      <c r="AJ122" s="110">
        <v>0.16666666666666699</v>
      </c>
      <c r="AK122" s="146">
        <v>3.0583800000000001</v>
      </c>
      <c r="AL122" s="180"/>
    </row>
    <row r="123" spans="2:38" x14ac:dyDescent="0.3">
      <c r="AF123" s="110">
        <v>0.17708333333333301</v>
      </c>
      <c r="AG123" s="146">
        <v>1.40652</v>
      </c>
      <c r="AH123" s="110">
        <v>0.17708333333333301</v>
      </c>
      <c r="AI123" s="180">
        <v>2.31399</v>
      </c>
      <c r="AJ123" s="110">
        <v>0.17708333333333301</v>
      </c>
      <c r="AK123" s="146">
        <v>3.0583800000000001</v>
      </c>
      <c r="AL123" s="180"/>
    </row>
    <row r="124" spans="2:38" x14ac:dyDescent="0.3">
      <c r="AF124" s="110">
        <v>0.1875</v>
      </c>
      <c r="AG124" s="146">
        <v>1.40652</v>
      </c>
      <c r="AH124" s="110">
        <v>0.1875</v>
      </c>
      <c r="AI124" s="180">
        <v>2.31399</v>
      </c>
      <c r="AJ124" s="110">
        <v>0.1875</v>
      </c>
      <c r="AK124" s="146">
        <v>3.0583800000000001</v>
      </c>
      <c r="AL124" s="180"/>
    </row>
    <row r="125" spans="2:38" x14ac:dyDescent="0.3">
      <c r="AF125" s="110">
        <v>0.19791666666666699</v>
      </c>
      <c r="AG125" s="146">
        <v>1.40652</v>
      </c>
      <c r="AH125" s="110">
        <v>0.19791666666666699</v>
      </c>
      <c r="AI125" s="180">
        <v>2.31399</v>
      </c>
      <c r="AJ125" s="110">
        <v>0.19791666666666699</v>
      </c>
      <c r="AK125" s="146">
        <v>3.0583800000000001</v>
      </c>
      <c r="AL125" s="180"/>
    </row>
    <row r="126" spans="2:38" x14ac:dyDescent="0.3">
      <c r="AF126" s="110">
        <v>0.20833333333333301</v>
      </c>
      <c r="AG126" s="146">
        <v>1.4524300000000001</v>
      </c>
      <c r="AH126" s="110">
        <v>0.20833333333333301</v>
      </c>
      <c r="AI126" s="180">
        <v>2.38714</v>
      </c>
      <c r="AJ126" s="110">
        <v>0.20833333333333301</v>
      </c>
      <c r="AK126" s="146">
        <v>3.1527099999999999</v>
      </c>
      <c r="AL126" s="180"/>
    </row>
    <row r="127" spans="2:38" x14ac:dyDescent="0.3">
      <c r="AF127" s="110">
        <v>0.21875</v>
      </c>
      <c r="AG127" s="146">
        <v>1.4524300000000001</v>
      </c>
      <c r="AH127" s="110">
        <v>0.21875</v>
      </c>
      <c r="AI127" s="180">
        <v>2.38714</v>
      </c>
      <c r="AJ127" s="110">
        <v>0.21875</v>
      </c>
      <c r="AK127" s="146">
        <v>3.1527099999999999</v>
      </c>
      <c r="AL127" s="180"/>
    </row>
    <row r="128" spans="2:38" x14ac:dyDescent="0.3">
      <c r="AF128" s="110">
        <v>0.22916666666666699</v>
      </c>
      <c r="AG128" s="146">
        <v>1.4524300000000001</v>
      </c>
      <c r="AH128" s="110">
        <v>0.22916666666666699</v>
      </c>
      <c r="AI128" s="180">
        <v>2.38714</v>
      </c>
      <c r="AJ128" s="110">
        <v>0.22916666666666699</v>
      </c>
      <c r="AK128" s="146">
        <v>3.1527099999999999</v>
      </c>
      <c r="AL128" s="180"/>
    </row>
    <row r="129" spans="32:38" x14ac:dyDescent="0.3">
      <c r="AF129" s="110">
        <v>0.23958333333333301</v>
      </c>
      <c r="AG129" s="146">
        <v>1.4524300000000001</v>
      </c>
      <c r="AH129" s="110">
        <v>0.23958333333333301</v>
      </c>
      <c r="AI129" s="180">
        <v>2.38714</v>
      </c>
      <c r="AJ129" s="110">
        <v>0.23958333333333301</v>
      </c>
      <c r="AK129" s="146">
        <v>3.1527099999999999</v>
      </c>
      <c r="AL129" s="180"/>
    </row>
    <row r="130" spans="32:38" x14ac:dyDescent="0.3">
      <c r="AF130" s="110">
        <v>0.25</v>
      </c>
      <c r="AG130" s="146">
        <v>1.9528099999999999</v>
      </c>
      <c r="AH130" s="110">
        <v>0.25</v>
      </c>
      <c r="AI130" s="180">
        <v>3.0940099999999999</v>
      </c>
      <c r="AJ130" s="110">
        <v>0.25</v>
      </c>
      <c r="AK130" s="146">
        <v>3.9937499999999999</v>
      </c>
    </row>
    <row r="131" spans="32:38" x14ac:dyDescent="0.3">
      <c r="AF131" s="110">
        <v>0.26041666666666702</v>
      </c>
      <c r="AG131" s="146">
        <v>1.9528099999999999</v>
      </c>
      <c r="AH131" s="110">
        <v>0.26041666666666702</v>
      </c>
      <c r="AI131" s="180">
        <v>3.0940099999999999</v>
      </c>
      <c r="AJ131" s="110">
        <v>0.26041666666666702</v>
      </c>
      <c r="AK131" s="146">
        <v>3.9937499999999999</v>
      </c>
    </row>
    <row r="132" spans="32:38" x14ac:dyDescent="0.3">
      <c r="AF132" s="110">
        <v>0.27083333333333298</v>
      </c>
      <c r="AG132" s="146">
        <v>1.9528099999999999</v>
      </c>
      <c r="AH132" s="110">
        <v>0.27083333333333298</v>
      </c>
      <c r="AI132" s="180">
        <v>3.0940099999999999</v>
      </c>
      <c r="AJ132" s="110">
        <v>0.27083333333333298</v>
      </c>
      <c r="AK132" s="146">
        <v>3.9937499999999999</v>
      </c>
    </row>
    <row r="133" spans="32:38" x14ac:dyDescent="0.3">
      <c r="AF133" s="110">
        <v>0.28125</v>
      </c>
      <c r="AG133" s="146">
        <v>1.9528099999999999</v>
      </c>
      <c r="AH133" s="110">
        <v>0.28125</v>
      </c>
      <c r="AI133" s="180">
        <v>3.0940099999999999</v>
      </c>
      <c r="AJ133" s="110">
        <v>0.28125</v>
      </c>
      <c r="AK133" s="146">
        <v>3.9937499999999999</v>
      </c>
    </row>
    <row r="134" spans="32:38" x14ac:dyDescent="0.3">
      <c r="AF134" s="110">
        <v>0.29166666666666702</v>
      </c>
      <c r="AG134" s="146">
        <v>2.1158800000000002</v>
      </c>
      <c r="AH134" s="110">
        <v>0.29166666666666702</v>
      </c>
      <c r="AI134" s="180">
        <v>2.7924600000000002</v>
      </c>
      <c r="AJ134" s="110">
        <v>0.29166666666666702</v>
      </c>
      <c r="AK134" s="146">
        <v>4.2289099999999999</v>
      </c>
    </row>
    <row r="135" spans="32:38" x14ac:dyDescent="0.3">
      <c r="AF135" s="110">
        <v>0.30208333333333298</v>
      </c>
      <c r="AG135" s="146">
        <v>2.1158800000000002</v>
      </c>
      <c r="AH135" s="110">
        <v>0.30208333333333298</v>
      </c>
      <c r="AI135" s="180">
        <v>2.7924600000000002</v>
      </c>
      <c r="AJ135" s="110">
        <v>0.30208333333333298</v>
      </c>
      <c r="AK135" s="146">
        <v>4.2289099999999999</v>
      </c>
    </row>
    <row r="136" spans="32:38" x14ac:dyDescent="0.3">
      <c r="AF136" s="110">
        <v>0.3125</v>
      </c>
      <c r="AG136" s="146">
        <v>2.1158800000000002</v>
      </c>
      <c r="AH136" s="110">
        <v>0.3125</v>
      </c>
      <c r="AI136" s="180">
        <v>2.7924600000000002</v>
      </c>
      <c r="AJ136" s="110">
        <v>0.3125</v>
      </c>
      <c r="AK136" s="146">
        <v>4.2289099999999999</v>
      </c>
    </row>
    <row r="137" spans="32:38" x14ac:dyDescent="0.3">
      <c r="AF137" s="110">
        <v>0.32291666666666702</v>
      </c>
      <c r="AG137" s="146">
        <v>2.1158800000000002</v>
      </c>
      <c r="AH137" s="110">
        <v>0.32291666666666702</v>
      </c>
      <c r="AI137" s="180">
        <v>2.7924600000000002</v>
      </c>
      <c r="AJ137" s="110">
        <v>0.32291666666666702</v>
      </c>
      <c r="AK137" s="146">
        <v>4.2289099999999999</v>
      </c>
    </row>
    <row r="138" spans="32:38" x14ac:dyDescent="0.3">
      <c r="AF138" s="110">
        <v>0.33333333333333298</v>
      </c>
      <c r="AG138" s="146">
        <v>1.8612500000000001</v>
      </c>
      <c r="AH138" s="110">
        <v>0.33333333333333298</v>
      </c>
      <c r="AI138" s="180">
        <v>2.6188199999999999</v>
      </c>
      <c r="AJ138" s="110">
        <v>0.33333333333333298</v>
      </c>
      <c r="AK138" s="146">
        <v>3.4713099999999999</v>
      </c>
    </row>
    <row r="139" spans="32:38" x14ac:dyDescent="0.3">
      <c r="AF139" s="110">
        <v>0.34375</v>
      </c>
      <c r="AG139" s="146">
        <v>1.8612500000000001</v>
      </c>
      <c r="AH139" s="110">
        <v>0.34375</v>
      </c>
      <c r="AI139" s="180">
        <v>2.6188199999999999</v>
      </c>
      <c r="AJ139" s="110">
        <v>0.34375</v>
      </c>
      <c r="AK139" s="146">
        <v>3.4713099999999999</v>
      </c>
    </row>
    <row r="140" spans="32:38" x14ac:dyDescent="0.3">
      <c r="AF140" s="110">
        <v>0.35416666666666702</v>
      </c>
      <c r="AG140" s="146">
        <v>1.8612500000000001</v>
      </c>
      <c r="AH140" s="110">
        <v>0.35416666666666702</v>
      </c>
      <c r="AI140" s="180">
        <v>2.6188199999999999</v>
      </c>
      <c r="AJ140" s="110">
        <v>0.35416666666666702</v>
      </c>
      <c r="AK140" s="146">
        <v>3.4713099999999999</v>
      </c>
    </row>
    <row r="141" spans="32:38" x14ac:dyDescent="0.3">
      <c r="AF141" s="110">
        <v>0.36458333333333298</v>
      </c>
      <c r="AG141" s="146">
        <v>1.8612500000000001</v>
      </c>
      <c r="AH141" s="110">
        <v>0.36458333333333298</v>
      </c>
      <c r="AI141" s="180">
        <v>2.6188199999999999</v>
      </c>
      <c r="AJ141" s="110">
        <v>0.36458333333333298</v>
      </c>
      <c r="AK141" s="146">
        <v>3.4713099999999999</v>
      </c>
    </row>
    <row r="142" spans="32:38" x14ac:dyDescent="0.3">
      <c r="AF142" s="110">
        <v>0.375</v>
      </c>
      <c r="AG142" s="146">
        <v>1.4702599999999999</v>
      </c>
      <c r="AH142" s="110">
        <v>0.375</v>
      </c>
      <c r="AI142" s="180">
        <v>2.31277</v>
      </c>
      <c r="AJ142" s="110">
        <v>0.375</v>
      </c>
      <c r="AK142" s="146">
        <v>3.6130399999999998</v>
      </c>
    </row>
    <row r="143" spans="32:38" x14ac:dyDescent="0.3">
      <c r="AF143" s="110">
        <v>0.38541666666666702</v>
      </c>
      <c r="AG143" s="146">
        <v>1.4702599999999999</v>
      </c>
      <c r="AH143" s="110">
        <v>0.38541666666666702</v>
      </c>
      <c r="AI143" s="180">
        <v>2.31277</v>
      </c>
      <c r="AJ143" s="110">
        <v>0.38541666666666702</v>
      </c>
      <c r="AK143" s="146">
        <v>3.6130399999999998</v>
      </c>
    </row>
    <row r="144" spans="32:38" x14ac:dyDescent="0.3">
      <c r="AF144" s="110">
        <v>0.39583333333333298</v>
      </c>
      <c r="AG144" s="146">
        <v>1.4702599999999999</v>
      </c>
      <c r="AH144" s="110">
        <v>0.39583333333333298</v>
      </c>
      <c r="AI144" s="180">
        <v>2.31277</v>
      </c>
      <c r="AJ144" s="110">
        <v>0.39583333333333298</v>
      </c>
      <c r="AK144" s="146">
        <v>3.6130399999999998</v>
      </c>
    </row>
    <row r="145" spans="32:37" x14ac:dyDescent="0.3">
      <c r="AF145" s="110">
        <v>0.40625</v>
      </c>
      <c r="AG145" s="146">
        <v>1.4702599999999999</v>
      </c>
      <c r="AH145" s="110">
        <v>0.40625</v>
      </c>
      <c r="AI145" s="180">
        <v>2.31277</v>
      </c>
      <c r="AJ145" s="110">
        <v>0.40625</v>
      </c>
      <c r="AK145" s="146">
        <v>3.6130399999999998</v>
      </c>
    </row>
    <row r="146" spans="32:37" x14ac:dyDescent="0.3">
      <c r="AF146" s="110">
        <v>0.41666666666666702</v>
      </c>
      <c r="AG146" s="146">
        <v>1.6088199999999999</v>
      </c>
      <c r="AH146" s="110">
        <v>0.41666666666666702</v>
      </c>
      <c r="AI146" s="180">
        <v>2.1872099999999999</v>
      </c>
      <c r="AJ146" s="110">
        <v>0.41666666666666702</v>
      </c>
      <c r="AK146" s="146">
        <v>2.7556400000000001</v>
      </c>
    </row>
    <row r="147" spans="32:37" x14ac:dyDescent="0.3">
      <c r="AF147" s="110">
        <v>0.42708333333333298</v>
      </c>
      <c r="AG147" s="146">
        <v>1.6088199999999999</v>
      </c>
      <c r="AH147" s="110">
        <v>0.42708333333333298</v>
      </c>
      <c r="AI147" s="180">
        <v>2.1872099999999999</v>
      </c>
      <c r="AJ147" s="110">
        <v>0.42708333333333298</v>
      </c>
      <c r="AK147" s="146">
        <v>2.7556400000000001</v>
      </c>
    </row>
    <row r="148" spans="32:37" x14ac:dyDescent="0.3">
      <c r="AF148" s="110">
        <v>0.4375</v>
      </c>
      <c r="AG148" s="146">
        <v>1.6088199999999999</v>
      </c>
      <c r="AH148" s="110">
        <v>0.4375</v>
      </c>
      <c r="AI148" s="180">
        <v>2.1872099999999999</v>
      </c>
      <c r="AJ148" s="110">
        <v>0.4375</v>
      </c>
      <c r="AK148" s="146">
        <v>2.7556400000000001</v>
      </c>
    </row>
    <row r="149" spans="32:37" x14ac:dyDescent="0.3">
      <c r="AF149" s="110">
        <v>0.44791666666666702</v>
      </c>
      <c r="AG149" s="146">
        <v>1.6088199999999999</v>
      </c>
      <c r="AH149" s="110">
        <v>0.44791666666666702</v>
      </c>
      <c r="AI149" s="180">
        <v>2.1872099999999999</v>
      </c>
      <c r="AJ149" s="110">
        <v>0.44791666666666702</v>
      </c>
      <c r="AK149" s="146">
        <v>2.7556400000000001</v>
      </c>
    </row>
    <row r="150" spans="32:37" x14ac:dyDescent="0.3">
      <c r="AF150" s="110">
        <v>0.45833333333333298</v>
      </c>
      <c r="AG150" s="146">
        <v>1.2109300000000001</v>
      </c>
      <c r="AH150" s="110">
        <v>0.45833333333333298</v>
      </c>
      <c r="AI150" s="180">
        <v>1.7669999999999999</v>
      </c>
      <c r="AJ150" s="110">
        <v>0.45833333333333298</v>
      </c>
      <c r="AK150" s="146">
        <v>2.83866</v>
      </c>
    </row>
    <row r="151" spans="32:37" x14ac:dyDescent="0.3">
      <c r="AF151" s="110">
        <v>0.46875</v>
      </c>
      <c r="AG151" s="146">
        <v>1.2109300000000001</v>
      </c>
      <c r="AH151" s="110">
        <v>0.46875</v>
      </c>
      <c r="AI151" s="180">
        <v>1.7669999999999999</v>
      </c>
      <c r="AJ151" s="110">
        <v>0.46875</v>
      </c>
      <c r="AK151" s="146">
        <v>2.83866</v>
      </c>
    </row>
    <row r="152" spans="32:37" x14ac:dyDescent="0.3">
      <c r="AF152" s="110">
        <v>0.47916666666666702</v>
      </c>
      <c r="AG152" s="146">
        <v>1.2109300000000001</v>
      </c>
      <c r="AH152" s="110">
        <v>0.47916666666666702</v>
      </c>
      <c r="AI152" s="180">
        <v>1.7669999999999999</v>
      </c>
      <c r="AJ152" s="110">
        <v>0.47916666666666702</v>
      </c>
      <c r="AK152" s="146">
        <v>2.83866</v>
      </c>
    </row>
    <row r="153" spans="32:37" x14ac:dyDescent="0.3">
      <c r="AF153" s="110">
        <v>0.48958333333333298</v>
      </c>
      <c r="AG153" s="146">
        <v>1.2109300000000001</v>
      </c>
      <c r="AH153" s="110">
        <v>0.48958333333333298</v>
      </c>
      <c r="AI153" s="180">
        <v>1.7669999999999999</v>
      </c>
      <c r="AJ153" s="110">
        <v>0.48958333333333298</v>
      </c>
      <c r="AK153" s="146">
        <v>2.83866</v>
      </c>
    </row>
    <row r="154" spans="32:37" x14ac:dyDescent="0.3">
      <c r="AF154" s="110">
        <v>0.5</v>
      </c>
      <c r="AG154" s="146">
        <v>1.81595</v>
      </c>
      <c r="AH154" s="110">
        <v>0.5</v>
      </c>
      <c r="AI154" s="180">
        <v>2.1067499999999999</v>
      </c>
      <c r="AJ154" s="110">
        <v>0.5</v>
      </c>
      <c r="AK154" s="146">
        <v>1.98864</v>
      </c>
    </row>
    <row r="155" spans="32:37" x14ac:dyDescent="0.3">
      <c r="AF155" s="110">
        <v>0.51041666666666696</v>
      </c>
      <c r="AG155" s="146">
        <v>1.81595</v>
      </c>
      <c r="AH155" s="110">
        <v>0.51041666666666696</v>
      </c>
      <c r="AI155" s="180">
        <v>2.1067499999999999</v>
      </c>
      <c r="AJ155" s="110">
        <v>0.51041666666666696</v>
      </c>
      <c r="AK155" s="146">
        <v>1.98864</v>
      </c>
    </row>
    <row r="156" spans="32:37" x14ac:dyDescent="0.3">
      <c r="AF156" s="110">
        <v>0.52083333333333304</v>
      </c>
      <c r="AG156" s="146">
        <v>1.81595</v>
      </c>
      <c r="AH156" s="110">
        <v>0.52083333333333304</v>
      </c>
      <c r="AI156" s="180">
        <v>2.1067499999999999</v>
      </c>
      <c r="AJ156" s="110">
        <v>0.52083333333333304</v>
      </c>
      <c r="AK156" s="146">
        <v>1.98864</v>
      </c>
    </row>
    <row r="157" spans="32:37" x14ac:dyDescent="0.3">
      <c r="AF157" s="110">
        <v>0.53125</v>
      </c>
      <c r="AG157" s="146">
        <v>1.81595</v>
      </c>
      <c r="AH157" s="110">
        <v>0.53125</v>
      </c>
      <c r="AI157" s="180">
        <v>2.1067499999999999</v>
      </c>
      <c r="AJ157" s="110">
        <v>0.53125</v>
      </c>
      <c r="AK157" s="146">
        <v>1.98864</v>
      </c>
    </row>
    <row r="158" spans="32:37" x14ac:dyDescent="0.3">
      <c r="AF158" s="110">
        <v>0.54166666666666696</v>
      </c>
      <c r="AG158" s="146">
        <v>2.07281</v>
      </c>
      <c r="AH158" s="110">
        <v>0.54166666666666696</v>
      </c>
      <c r="AI158" s="180">
        <v>1.4113199999999999</v>
      </c>
      <c r="AJ158" s="110">
        <v>0.54166666666666696</v>
      </c>
      <c r="AK158" s="146">
        <v>1.8276300000000001</v>
      </c>
    </row>
    <row r="159" spans="32:37" x14ac:dyDescent="0.3">
      <c r="AF159" s="110">
        <v>0.55208333333333304</v>
      </c>
      <c r="AG159" s="146">
        <v>2.07281</v>
      </c>
      <c r="AH159" s="110">
        <v>0.55208333333333304</v>
      </c>
      <c r="AI159" s="180">
        <v>1.4113199999999999</v>
      </c>
      <c r="AJ159" s="110">
        <v>0.55208333333333304</v>
      </c>
      <c r="AK159" s="146">
        <v>1.8276300000000001</v>
      </c>
    </row>
    <row r="160" spans="32:37" x14ac:dyDescent="0.3">
      <c r="AF160" s="110">
        <v>0.5625</v>
      </c>
      <c r="AG160" s="146">
        <v>2.07281</v>
      </c>
      <c r="AH160" s="110">
        <v>0.5625</v>
      </c>
      <c r="AI160" s="180">
        <v>1.4113199999999999</v>
      </c>
      <c r="AJ160" s="110">
        <v>0.5625</v>
      </c>
      <c r="AK160" s="146">
        <v>1.8276300000000001</v>
      </c>
    </row>
    <row r="161" spans="32:37" x14ac:dyDescent="0.3">
      <c r="AF161" s="110">
        <v>0.57291666666666696</v>
      </c>
      <c r="AG161" s="146">
        <v>2.07281</v>
      </c>
      <c r="AH161" s="110">
        <v>0.57291666666666696</v>
      </c>
      <c r="AI161" s="180">
        <v>1.4113199999999999</v>
      </c>
      <c r="AJ161" s="110">
        <v>0.57291666666666696</v>
      </c>
      <c r="AK161" s="146">
        <v>1.8276300000000001</v>
      </c>
    </row>
    <row r="162" spans="32:37" x14ac:dyDescent="0.3">
      <c r="AF162" s="110">
        <v>0.58333333333333304</v>
      </c>
      <c r="AG162" s="146">
        <v>0.937832</v>
      </c>
      <c r="AH162" s="110">
        <v>0.58333333333333304</v>
      </c>
      <c r="AI162" s="180">
        <v>1.3053300000000001</v>
      </c>
      <c r="AJ162" s="110">
        <v>0.58333333333333304</v>
      </c>
      <c r="AK162" s="146">
        <v>2.2506900000000001</v>
      </c>
    </row>
    <row r="163" spans="32:37" x14ac:dyDescent="0.3">
      <c r="AF163" s="110">
        <v>0.59375</v>
      </c>
      <c r="AG163" s="146">
        <v>0.937832</v>
      </c>
      <c r="AH163" s="110">
        <v>0.59375</v>
      </c>
      <c r="AI163" s="180">
        <v>1.3053300000000001</v>
      </c>
      <c r="AJ163" s="110">
        <v>0.59375</v>
      </c>
      <c r="AK163" s="146">
        <v>2.2506900000000001</v>
      </c>
    </row>
    <row r="164" spans="32:37" x14ac:dyDescent="0.3">
      <c r="AF164" s="110">
        <v>0.60416666666666696</v>
      </c>
      <c r="AG164" s="146">
        <v>0.937832</v>
      </c>
      <c r="AH164" s="110">
        <v>0.60416666666666696</v>
      </c>
      <c r="AI164" s="180">
        <v>1.3053300000000001</v>
      </c>
      <c r="AJ164" s="110">
        <v>0.60416666666666696</v>
      </c>
      <c r="AK164" s="146">
        <v>2.2506900000000001</v>
      </c>
    </row>
    <row r="165" spans="32:37" x14ac:dyDescent="0.3">
      <c r="AF165" s="110">
        <v>0.61458333333333304</v>
      </c>
      <c r="AG165" s="146">
        <v>0.937832</v>
      </c>
      <c r="AH165" s="110">
        <v>0.61458333333333304</v>
      </c>
      <c r="AI165" s="180">
        <v>1.3053300000000001</v>
      </c>
      <c r="AJ165" s="110">
        <v>0.61458333333333304</v>
      </c>
      <c r="AK165" s="146">
        <v>2.2506900000000001</v>
      </c>
    </row>
    <row r="166" spans="32:37" x14ac:dyDescent="0.3">
      <c r="AF166" s="110">
        <v>0.625</v>
      </c>
      <c r="AG166" s="146">
        <v>0.89854999999999996</v>
      </c>
      <c r="AH166" s="110">
        <v>0.625</v>
      </c>
      <c r="AI166" s="180">
        <v>1.66601</v>
      </c>
      <c r="AJ166" s="110">
        <v>0.625</v>
      </c>
      <c r="AK166" s="146">
        <v>1.5969800000000001</v>
      </c>
    </row>
    <row r="167" spans="32:37" x14ac:dyDescent="0.3">
      <c r="AF167" s="110">
        <v>0.63541666666666696</v>
      </c>
      <c r="AG167" s="146">
        <v>0.89854999999999996</v>
      </c>
      <c r="AH167" s="110">
        <v>0.63541666666666696</v>
      </c>
      <c r="AI167" s="180">
        <v>1.66601</v>
      </c>
      <c r="AJ167" s="110">
        <v>0.63541666666666696</v>
      </c>
      <c r="AK167" s="146">
        <v>1.5969800000000001</v>
      </c>
    </row>
    <row r="168" spans="32:37" x14ac:dyDescent="0.3">
      <c r="AF168" s="110">
        <v>0.64583333333333304</v>
      </c>
      <c r="AG168" s="146">
        <v>0.89854999999999996</v>
      </c>
      <c r="AH168" s="110">
        <v>0.64583333333333304</v>
      </c>
      <c r="AI168" s="180">
        <v>1.66601</v>
      </c>
      <c r="AJ168" s="110">
        <v>0.64583333333333304</v>
      </c>
      <c r="AK168" s="146">
        <v>1.5969800000000001</v>
      </c>
    </row>
    <row r="169" spans="32:37" x14ac:dyDescent="0.3">
      <c r="AF169" s="110">
        <v>0.65625</v>
      </c>
      <c r="AG169" s="146">
        <v>0.89854999999999996</v>
      </c>
      <c r="AH169" s="110">
        <v>0.65625</v>
      </c>
      <c r="AI169" s="180">
        <v>1.66601</v>
      </c>
      <c r="AJ169" s="110">
        <v>0.65625</v>
      </c>
      <c r="AK169" s="146">
        <v>1.5969800000000001</v>
      </c>
    </row>
    <row r="170" spans="32:37" x14ac:dyDescent="0.3">
      <c r="AF170" s="110">
        <v>0.66666666666666696</v>
      </c>
      <c r="AG170" s="146">
        <v>0.97900399999999999</v>
      </c>
      <c r="AH170" s="110">
        <v>0.66666666666666696</v>
      </c>
      <c r="AI170" s="180">
        <v>1.3724400000000001</v>
      </c>
      <c r="AJ170" s="110">
        <v>0.66666666666666696</v>
      </c>
      <c r="AK170" s="146">
        <v>1.7697400000000001</v>
      </c>
    </row>
    <row r="171" spans="32:37" x14ac:dyDescent="0.3">
      <c r="AF171" s="110">
        <v>0.67708333333333304</v>
      </c>
      <c r="AG171" s="146">
        <v>0.97900399999999999</v>
      </c>
      <c r="AH171" s="110">
        <v>0.67708333333333304</v>
      </c>
      <c r="AI171" s="180">
        <v>1.3724400000000001</v>
      </c>
      <c r="AJ171" s="110">
        <v>0.67708333333333304</v>
      </c>
      <c r="AK171" s="146">
        <v>1.7697400000000001</v>
      </c>
    </row>
    <row r="172" spans="32:37" x14ac:dyDescent="0.3">
      <c r="AF172" s="110">
        <v>0.6875</v>
      </c>
      <c r="AG172" s="146">
        <v>0.97900399999999999</v>
      </c>
      <c r="AH172" s="110">
        <v>0.6875</v>
      </c>
      <c r="AI172" s="180">
        <v>1.3724400000000001</v>
      </c>
      <c r="AJ172" s="110">
        <v>0.6875</v>
      </c>
      <c r="AK172" s="146">
        <v>1.7697400000000001</v>
      </c>
    </row>
    <row r="173" spans="32:37" x14ac:dyDescent="0.3">
      <c r="AF173" s="110">
        <v>0.69791666666666696</v>
      </c>
      <c r="AG173" s="146">
        <v>0.97900399999999999</v>
      </c>
      <c r="AH173" s="110">
        <v>0.69791666666666696</v>
      </c>
      <c r="AI173" s="180">
        <v>1.3724400000000001</v>
      </c>
      <c r="AJ173" s="110">
        <v>0.69791666666666696</v>
      </c>
      <c r="AK173" s="146">
        <v>1.7697400000000001</v>
      </c>
    </row>
    <row r="174" spans="32:37" x14ac:dyDescent="0.3">
      <c r="AF174" s="110">
        <v>0.70833333333333304</v>
      </c>
      <c r="AG174" s="146">
        <v>2.0110100000000002</v>
      </c>
      <c r="AH174" s="110">
        <v>0.70833333333333304</v>
      </c>
      <c r="AI174" s="180">
        <v>1.9605699999999999</v>
      </c>
      <c r="AJ174" s="110">
        <v>0.70833333333333304</v>
      </c>
      <c r="AK174" s="146">
        <v>3.07612</v>
      </c>
    </row>
    <row r="175" spans="32:37" x14ac:dyDescent="0.3">
      <c r="AF175" s="110">
        <v>0.71875</v>
      </c>
      <c r="AG175" s="146">
        <v>2.0110100000000002</v>
      </c>
      <c r="AH175" s="110">
        <v>0.71875</v>
      </c>
      <c r="AI175" s="180">
        <v>1.9605699999999999</v>
      </c>
      <c r="AJ175" s="110">
        <v>0.71875</v>
      </c>
      <c r="AK175" s="146">
        <v>3.07612</v>
      </c>
    </row>
    <row r="176" spans="32:37" x14ac:dyDescent="0.3">
      <c r="AF176" s="110">
        <v>0.72916666666666696</v>
      </c>
      <c r="AG176" s="146">
        <v>2.0110100000000002</v>
      </c>
      <c r="AH176" s="110">
        <v>0.72916666666666696</v>
      </c>
      <c r="AI176" s="180">
        <v>1.9605699999999999</v>
      </c>
      <c r="AJ176" s="110">
        <v>0.72916666666666696</v>
      </c>
      <c r="AK176" s="146">
        <v>3.07612</v>
      </c>
    </row>
    <row r="177" spans="32:37" x14ac:dyDescent="0.3">
      <c r="AF177" s="110">
        <v>0.73958333333333304</v>
      </c>
      <c r="AG177" s="146">
        <v>2.0110100000000002</v>
      </c>
      <c r="AH177" s="110">
        <v>0.73958333333333304</v>
      </c>
      <c r="AI177" s="180">
        <v>1.9605699999999999</v>
      </c>
      <c r="AJ177" s="110">
        <v>0.73958333333333304</v>
      </c>
      <c r="AK177" s="146">
        <v>3.07612</v>
      </c>
    </row>
    <row r="178" spans="32:37" x14ac:dyDescent="0.3">
      <c r="AF178" s="110">
        <v>0.75</v>
      </c>
      <c r="AG178" s="146">
        <v>1.28905</v>
      </c>
      <c r="AH178" s="110">
        <v>0.75</v>
      </c>
      <c r="AI178" s="180">
        <v>2.6503100000000002</v>
      </c>
      <c r="AJ178" s="110">
        <v>0.75</v>
      </c>
      <c r="AK178" s="146">
        <v>2.4320200000000001</v>
      </c>
    </row>
    <row r="179" spans="32:37" x14ac:dyDescent="0.3">
      <c r="AF179" s="110">
        <v>0.76041666666666696</v>
      </c>
      <c r="AG179" s="146">
        <v>1.28905</v>
      </c>
      <c r="AH179" s="110">
        <v>0.76041666666666696</v>
      </c>
      <c r="AI179" s="180">
        <v>2.6503100000000002</v>
      </c>
      <c r="AJ179" s="110">
        <v>0.76041666666666696</v>
      </c>
      <c r="AK179" s="146">
        <v>2.4320200000000001</v>
      </c>
    </row>
    <row r="180" spans="32:37" x14ac:dyDescent="0.3">
      <c r="AF180" s="110">
        <v>0.77083333333333304</v>
      </c>
      <c r="AG180" s="146">
        <v>1.28905</v>
      </c>
      <c r="AH180" s="110">
        <v>0.77083333333333304</v>
      </c>
      <c r="AI180" s="180">
        <v>2.6503100000000002</v>
      </c>
      <c r="AJ180" s="110">
        <v>0.77083333333333304</v>
      </c>
      <c r="AK180" s="146">
        <v>2.4320200000000001</v>
      </c>
    </row>
    <row r="181" spans="32:37" x14ac:dyDescent="0.3">
      <c r="AF181" s="110">
        <v>0.78125</v>
      </c>
      <c r="AG181" s="146">
        <v>1.28905</v>
      </c>
      <c r="AH181" s="110">
        <v>0.78125</v>
      </c>
      <c r="AI181" s="180">
        <v>2.6503100000000002</v>
      </c>
      <c r="AJ181" s="110">
        <v>0.78125</v>
      </c>
      <c r="AK181" s="146">
        <v>2.4320200000000001</v>
      </c>
    </row>
    <row r="182" spans="32:37" x14ac:dyDescent="0.3">
      <c r="AF182" s="110">
        <v>0.79166666666666696</v>
      </c>
      <c r="AG182" s="146">
        <v>1.3140099999999999</v>
      </c>
      <c r="AH182" s="110">
        <v>0.79166666666666696</v>
      </c>
      <c r="AI182" s="180">
        <v>2.4169999999999998</v>
      </c>
      <c r="AJ182" s="110">
        <v>0.79166666666666696</v>
      </c>
      <c r="AK182" s="146">
        <v>2.5726499999999999</v>
      </c>
    </row>
    <row r="183" spans="32:37" x14ac:dyDescent="0.3">
      <c r="AF183" s="110">
        <v>0.80208333333333304</v>
      </c>
      <c r="AG183" s="146">
        <v>1.3140099999999999</v>
      </c>
      <c r="AH183" s="110">
        <v>0.80208333333333304</v>
      </c>
      <c r="AI183" s="180">
        <v>2.4169999999999998</v>
      </c>
      <c r="AJ183" s="110">
        <v>0.80208333333333304</v>
      </c>
      <c r="AK183" s="146">
        <v>2.5726499999999999</v>
      </c>
    </row>
    <row r="184" spans="32:37" x14ac:dyDescent="0.3">
      <c r="AF184" s="110">
        <v>0.8125</v>
      </c>
      <c r="AG184" s="146">
        <v>1.3140099999999999</v>
      </c>
      <c r="AH184" s="110">
        <v>0.8125</v>
      </c>
      <c r="AI184" s="180">
        <v>2.4169999999999998</v>
      </c>
      <c r="AJ184" s="110">
        <v>0.8125</v>
      </c>
      <c r="AK184" s="146">
        <v>2.5726499999999999</v>
      </c>
    </row>
    <row r="185" spans="32:37" x14ac:dyDescent="0.3">
      <c r="AF185" s="110">
        <v>0.82291666666666696</v>
      </c>
      <c r="AG185" s="146">
        <v>1.3140099999999999</v>
      </c>
      <c r="AH185" s="110">
        <v>0.82291666666666696</v>
      </c>
      <c r="AI185" s="180">
        <v>2.4169999999999998</v>
      </c>
      <c r="AJ185" s="110">
        <v>0.82291666666666696</v>
      </c>
      <c r="AK185" s="146">
        <v>2.5726499999999999</v>
      </c>
    </row>
    <row r="186" spans="32:37" x14ac:dyDescent="0.3">
      <c r="AF186" s="110">
        <v>0.83333333333333304</v>
      </c>
      <c r="AG186" s="146">
        <v>1.3383799999999999</v>
      </c>
      <c r="AH186" s="110">
        <v>0.83333333333333304</v>
      </c>
      <c r="AI186" s="180">
        <v>2.5954700000000002</v>
      </c>
      <c r="AJ186" s="110">
        <v>0.83333333333333304</v>
      </c>
      <c r="AK186" s="146">
        <v>2.6762199999999998</v>
      </c>
    </row>
    <row r="187" spans="32:37" x14ac:dyDescent="0.3">
      <c r="AF187" s="110">
        <v>0.84375</v>
      </c>
      <c r="AG187" s="146">
        <v>1.3383799999999999</v>
      </c>
      <c r="AH187" s="110">
        <v>0.84375</v>
      </c>
      <c r="AI187" s="180">
        <v>2.5954700000000002</v>
      </c>
      <c r="AJ187" s="110">
        <v>0.84375</v>
      </c>
      <c r="AK187" s="146">
        <v>2.6762199999999998</v>
      </c>
    </row>
    <row r="188" spans="32:37" x14ac:dyDescent="0.3">
      <c r="AF188" s="110">
        <v>0.85416666666666696</v>
      </c>
      <c r="AG188" s="146">
        <v>1.3383799999999999</v>
      </c>
      <c r="AH188" s="110">
        <v>0.85416666666666696</v>
      </c>
      <c r="AI188" s="180">
        <v>2.5954700000000002</v>
      </c>
      <c r="AJ188" s="110">
        <v>0.85416666666666696</v>
      </c>
      <c r="AK188" s="146">
        <v>2.6762199999999998</v>
      </c>
    </row>
    <row r="189" spans="32:37" x14ac:dyDescent="0.3">
      <c r="AF189" s="110">
        <v>0.86458333333333304</v>
      </c>
      <c r="AG189" s="146">
        <v>1.3383799999999999</v>
      </c>
      <c r="AH189" s="110">
        <v>0.86458333333333304</v>
      </c>
      <c r="AI189" s="180">
        <v>2.5954700000000002</v>
      </c>
      <c r="AJ189" s="110">
        <v>0.86458333333333304</v>
      </c>
      <c r="AK189" s="146">
        <v>2.6762199999999998</v>
      </c>
    </row>
    <row r="190" spans="32:37" x14ac:dyDescent="0.3">
      <c r="AF190" s="110">
        <v>0.875</v>
      </c>
      <c r="AG190" s="146">
        <v>1.5496099999999999</v>
      </c>
      <c r="AH190" s="110">
        <v>0.875</v>
      </c>
      <c r="AI190" s="180">
        <v>2.6413899999999999</v>
      </c>
      <c r="AJ190" s="110">
        <v>0.875</v>
      </c>
      <c r="AK190" s="146">
        <v>3.3751000000000002</v>
      </c>
    </row>
    <row r="191" spans="32:37" x14ac:dyDescent="0.3">
      <c r="AF191" s="110">
        <v>0.88541666666666696</v>
      </c>
      <c r="AG191" s="146">
        <v>1.5496099999999999</v>
      </c>
      <c r="AH191" s="110">
        <v>0.88541666666666696</v>
      </c>
      <c r="AI191" s="180">
        <v>2.6413899999999999</v>
      </c>
      <c r="AJ191" s="110">
        <v>0.88541666666666696</v>
      </c>
      <c r="AK191" s="146">
        <v>3.3751000000000002</v>
      </c>
    </row>
    <row r="192" spans="32:37" x14ac:dyDescent="0.3">
      <c r="AF192" s="110">
        <v>0.89583333333333304</v>
      </c>
      <c r="AG192" s="146">
        <v>1.5496099999999999</v>
      </c>
      <c r="AH192" s="110">
        <v>0.89583333333333304</v>
      </c>
      <c r="AI192" s="180">
        <v>2.6413899999999999</v>
      </c>
      <c r="AJ192" s="110">
        <v>0.89583333333333304</v>
      </c>
      <c r="AK192" s="146">
        <v>3.3751000000000002</v>
      </c>
    </row>
    <row r="193" spans="32:38" x14ac:dyDescent="0.3">
      <c r="AF193" s="110">
        <v>0.90625</v>
      </c>
      <c r="AG193" s="146">
        <v>1.5496099999999999</v>
      </c>
      <c r="AH193" s="110">
        <v>0.90625</v>
      </c>
      <c r="AI193" s="180">
        <v>2.6413899999999999</v>
      </c>
      <c r="AJ193" s="110">
        <v>0.90625</v>
      </c>
      <c r="AK193" s="146">
        <v>3.3751000000000002</v>
      </c>
    </row>
    <row r="194" spans="32:38" x14ac:dyDescent="0.3">
      <c r="AF194" s="110">
        <v>0.91666666666666696</v>
      </c>
      <c r="AG194" s="146">
        <v>1.40019</v>
      </c>
      <c r="AH194" s="110">
        <v>0.91666666666666696</v>
      </c>
      <c r="AI194" s="180">
        <v>2.06094</v>
      </c>
      <c r="AJ194" s="110">
        <v>0.91666666666666696</v>
      </c>
      <c r="AK194" s="146">
        <v>2.67361</v>
      </c>
    </row>
    <row r="195" spans="32:38" x14ac:dyDescent="0.3">
      <c r="AF195" s="110">
        <v>0.92708333333333304</v>
      </c>
      <c r="AG195" s="146">
        <v>1.40019</v>
      </c>
      <c r="AH195" s="110">
        <v>0.92708333333333304</v>
      </c>
      <c r="AI195" s="180">
        <v>2.06094</v>
      </c>
      <c r="AJ195" s="110">
        <v>0.92708333333333304</v>
      </c>
      <c r="AK195" s="146">
        <v>2.67361</v>
      </c>
    </row>
    <row r="196" spans="32:38" x14ac:dyDescent="0.3">
      <c r="AF196" s="110">
        <v>0.9375</v>
      </c>
      <c r="AG196" s="146">
        <v>1.40019</v>
      </c>
      <c r="AH196" s="110">
        <v>0.9375</v>
      </c>
      <c r="AI196" s="180">
        <v>2.06094</v>
      </c>
      <c r="AJ196" s="110">
        <v>0.9375</v>
      </c>
      <c r="AK196" s="146">
        <v>2.67361</v>
      </c>
    </row>
    <row r="197" spans="32:38" x14ac:dyDescent="0.3">
      <c r="AF197" s="110">
        <v>0.94791666666666696</v>
      </c>
      <c r="AG197" s="146">
        <v>1.40019</v>
      </c>
      <c r="AH197" s="110">
        <v>0.94791666666666696</v>
      </c>
      <c r="AI197" s="180">
        <v>2.06094</v>
      </c>
      <c r="AJ197" s="110">
        <v>0.94791666666666696</v>
      </c>
      <c r="AK197" s="146">
        <v>2.67361</v>
      </c>
    </row>
    <row r="198" spans="32:38" x14ac:dyDescent="0.3">
      <c r="AF198" s="110">
        <v>0.95833333333333304</v>
      </c>
      <c r="AG198" s="146">
        <v>1.2548999999999999</v>
      </c>
      <c r="AH198" s="110">
        <v>0.95833333333333304</v>
      </c>
      <c r="AI198" s="180">
        <v>1.96116</v>
      </c>
      <c r="AJ198" s="110">
        <v>0.95833333333333304</v>
      </c>
      <c r="AK198" s="146">
        <v>2.5515699999999999</v>
      </c>
    </row>
    <row r="199" spans="32:38" x14ac:dyDescent="0.3">
      <c r="AF199" s="110">
        <v>0.96875</v>
      </c>
      <c r="AG199" s="146">
        <v>1.2548999999999999</v>
      </c>
      <c r="AH199" s="110">
        <v>0.96875</v>
      </c>
      <c r="AI199" s="180">
        <v>1.96116</v>
      </c>
      <c r="AJ199" s="110">
        <v>0.96875</v>
      </c>
      <c r="AK199" s="146">
        <v>2.5515699999999999</v>
      </c>
    </row>
    <row r="200" spans="32:38" x14ac:dyDescent="0.3">
      <c r="AF200" s="110">
        <v>0.97916666666666696</v>
      </c>
      <c r="AG200" s="146">
        <v>1.2548999999999999</v>
      </c>
      <c r="AH200" s="110">
        <v>0.97916666666666696</v>
      </c>
      <c r="AI200" s="180">
        <v>1.96116</v>
      </c>
      <c r="AJ200" s="110">
        <v>0.97916666666666696</v>
      </c>
      <c r="AK200" s="146">
        <v>2.5515699999999999</v>
      </c>
    </row>
    <row r="201" spans="32:38" x14ac:dyDescent="0.3">
      <c r="AF201" s="111">
        <v>0.98958333333333304</v>
      </c>
      <c r="AG201" s="147">
        <v>1.2548999999999999</v>
      </c>
      <c r="AH201" s="111">
        <v>0.98958333333333304</v>
      </c>
      <c r="AI201" s="176">
        <v>1.96116</v>
      </c>
      <c r="AJ201" s="111">
        <v>0.98958333333333304</v>
      </c>
      <c r="AK201" s="147">
        <v>2.5515699999999999</v>
      </c>
    </row>
    <row r="203" spans="32:38" x14ac:dyDescent="0.3">
      <c r="AG203" s="113">
        <f>SUM(AG106:AG201)/4</f>
        <v>35.723596000000008</v>
      </c>
      <c r="AH203" s="153" t="s">
        <v>236</v>
      </c>
      <c r="AI203" s="113">
        <f t="shared" ref="AI203" si="10">SUM(AI106:AI201)/4</f>
        <v>53.618539999999989</v>
      </c>
      <c r="AJ203" s="153" t="s">
        <v>236</v>
      </c>
      <c r="AK203" s="113">
        <f t="shared" ref="AK203" si="11">SUM(AK106:AK201)/4</f>
        <v>66.450420000000051</v>
      </c>
      <c r="AL203" s="153" t="s">
        <v>236</v>
      </c>
    </row>
    <row r="205" spans="32:38" x14ac:dyDescent="0.3">
      <c r="AF205" s="369" t="s">
        <v>156</v>
      </c>
      <c r="AG205" s="370"/>
      <c r="AH205" s="370"/>
      <c r="AI205" s="288" t="s">
        <v>294</v>
      </c>
      <c r="AJ205" s="288"/>
      <c r="AK205" s="289"/>
      <c r="AL205" s="116"/>
    </row>
    <row r="206" spans="32:38" x14ac:dyDescent="0.3">
      <c r="AF206" s="238" t="s">
        <v>264</v>
      </c>
      <c r="AG206" s="136"/>
      <c r="AH206" s="216" t="s">
        <v>265</v>
      </c>
      <c r="AI206" s="136"/>
      <c r="AJ206" s="238" t="s">
        <v>266</v>
      </c>
      <c r="AK206" s="136"/>
    </row>
    <row r="207" spans="32:38" x14ac:dyDescent="0.3">
      <c r="AF207" s="124" t="s">
        <v>217</v>
      </c>
      <c r="AG207" s="149" t="s">
        <v>235</v>
      </c>
      <c r="AH207" s="124" t="s">
        <v>217</v>
      </c>
      <c r="AI207" s="149" t="s">
        <v>235</v>
      </c>
      <c r="AJ207" s="124" t="s">
        <v>217</v>
      </c>
      <c r="AK207" s="149" t="s">
        <v>235</v>
      </c>
    </row>
    <row r="208" spans="32:38" x14ac:dyDescent="0.3">
      <c r="AF208" s="110">
        <v>0</v>
      </c>
      <c r="AG208" s="146">
        <v>0.51876</v>
      </c>
      <c r="AH208" s="110">
        <v>0</v>
      </c>
      <c r="AI208" s="180">
        <v>0.78210199999999996</v>
      </c>
      <c r="AJ208" s="110">
        <v>0</v>
      </c>
      <c r="AK208" s="146">
        <v>4.1446100000000001</v>
      </c>
      <c r="AL208" s="180"/>
    </row>
    <row r="209" spans="32:38" x14ac:dyDescent="0.3">
      <c r="AF209" s="110">
        <v>1.0416666666666666E-2</v>
      </c>
      <c r="AG209" s="146">
        <v>0.51876</v>
      </c>
      <c r="AH209" s="110">
        <v>1.0416666666666666E-2</v>
      </c>
      <c r="AI209" s="180">
        <v>0.78210199999999996</v>
      </c>
      <c r="AJ209" s="110">
        <v>1.0416666666666666E-2</v>
      </c>
      <c r="AK209" s="146">
        <v>4.1446100000000001</v>
      </c>
      <c r="AL209" s="180"/>
    </row>
    <row r="210" spans="32:38" x14ac:dyDescent="0.3">
      <c r="AF210" s="110">
        <v>2.0833333333333301E-2</v>
      </c>
      <c r="AG210" s="146">
        <v>0.51876</v>
      </c>
      <c r="AH210" s="110">
        <v>2.0833333333333301E-2</v>
      </c>
      <c r="AI210" s="180">
        <v>0.78210199999999996</v>
      </c>
      <c r="AJ210" s="110">
        <v>2.0833333333333301E-2</v>
      </c>
      <c r="AK210" s="146">
        <v>4.1446100000000001</v>
      </c>
      <c r="AL210" s="180"/>
    </row>
    <row r="211" spans="32:38" x14ac:dyDescent="0.3">
      <c r="AF211" s="110">
        <v>3.125E-2</v>
      </c>
      <c r="AG211" s="146">
        <v>0.51876</v>
      </c>
      <c r="AH211" s="110">
        <v>3.125E-2</v>
      </c>
      <c r="AI211" s="180">
        <v>0.78210199999999996</v>
      </c>
      <c r="AJ211" s="110">
        <v>3.125E-2</v>
      </c>
      <c r="AK211" s="146">
        <v>4.1446100000000001</v>
      </c>
      <c r="AL211" s="180"/>
    </row>
    <row r="212" spans="32:38" x14ac:dyDescent="0.3">
      <c r="AF212" s="110">
        <v>4.1666666666666699E-2</v>
      </c>
      <c r="AG212" s="146">
        <v>0.83863500000000002</v>
      </c>
      <c r="AH212" s="110">
        <v>4.1666666666666699E-2</v>
      </c>
      <c r="AI212" s="180">
        <v>0.93285799999999997</v>
      </c>
      <c r="AJ212" s="110">
        <v>4.1666666666666699E-2</v>
      </c>
      <c r="AK212" s="146">
        <v>1.2645500000000001</v>
      </c>
      <c r="AL212" s="180"/>
    </row>
    <row r="213" spans="32:38" x14ac:dyDescent="0.3">
      <c r="AF213" s="110">
        <v>5.2083333333333301E-2</v>
      </c>
      <c r="AG213" s="146">
        <v>0.83863500000000002</v>
      </c>
      <c r="AH213" s="110">
        <v>5.2083333333333301E-2</v>
      </c>
      <c r="AI213" s="180">
        <v>0.93285799999999997</v>
      </c>
      <c r="AJ213" s="110">
        <v>5.2083333333333301E-2</v>
      </c>
      <c r="AK213" s="146">
        <v>1.2645500000000001</v>
      </c>
      <c r="AL213" s="180"/>
    </row>
    <row r="214" spans="32:38" x14ac:dyDescent="0.3">
      <c r="AF214" s="110">
        <v>6.25E-2</v>
      </c>
      <c r="AG214" s="146">
        <v>0.83863500000000002</v>
      </c>
      <c r="AH214" s="110">
        <v>6.25E-2</v>
      </c>
      <c r="AI214" s="180">
        <v>0.93285799999999997</v>
      </c>
      <c r="AJ214" s="110">
        <v>6.25E-2</v>
      </c>
      <c r="AK214" s="146">
        <v>1.2645500000000001</v>
      </c>
      <c r="AL214" s="180"/>
    </row>
    <row r="215" spans="32:38" x14ac:dyDescent="0.3">
      <c r="AF215" s="110">
        <v>7.2916666666666699E-2</v>
      </c>
      <c r="AG215" s="146">
        <v>0.83863500000000002</v>
      </c>
      <c r="AH215" s="110">
        <v>7.2916666666666699E-2</v>
      </c>
      <c r="AI215" s="180">
        <v>0.93285799999999997</v>
      </c>
      <c r="AJ215" s="110">
        <v>7.2916666666666699E-2</v>
      </c>
      <c r="AK215" s="146">
        <v>1.2645500000000001</v>
      </c>
      <c r="AL215" s="180"/>
    </row>
    <row r="216" spans="32:38" x14ac:dyDescent="0.3">
      <c r="AF216" s="110">
        <v>8.3333333333333301E-2</v>
      </c>
      <c r="AG216" s="146">
        <v>0.58403700000000003</v>
      </c>
      <c r="AH216" s="110">
        <v>8.3333333333333301E-2</v>
      </c>
      <c r="AI216" s="180">
        <v>0.86477000000000004</v>
      </c>
      <c r="AJ216" s="110">
        <v>8.3333333333333301E-2</v>
      </c>
      <c r="AK216" s="146">
        <v>1.07376</v>
      </c>
      <c r="AL216" s="180"/>
    </row>
    <row r="217" spans="32:38" x14ac:dyDescent="0.3">
      <c r="AF217" s="110">
        <v>9.375E-2</v>
      </c>
      <c r="AG217" s="146">
        <v>0.58403700000000003</v>
      </c>
      <c r="AH217" s="110">
        <v>9.375E-2</v>
      </c>
      <c r="AI217" s="180">
        <v>0.86477000000000004</v>
      </c>
      <c r="AJ217" s="110">
        <v>9.375E-2</v>
      </c>
      <c r="AK217" s="146">
        <v>1.07376</v>
      </c>
      <c r="AL217" s="180"/>
    </row>
    <row r="218" spans="32:38" x14ac:dyDescent="0.3">
      <c r="AF218" s="110">
        <v>0.104166666666667</v>
      </c>
      <c r="AG218" s="146">
        <v>0.58403700000000003</v>
      </c>
      <c r="AH218" s="110">
        <v>0.104166666666667</v>
      </c>
      <c r="AI218" s="180">
        <v>0.86477000000000004</v>
      </c>
      <c r="AJ218" s="110">
        <v>0.104166666666667</v>
      </c>
      <c r="AK218" s="146">
        <v>1.07376</v>
      </c>
      <c r="AL218" s="180"/>
    </row>
    <row r="219" spans="32:38" x14ac:dyDescent="0.3">
      <c r="AF219" s="110">
        <v>0.114583333333333</v>
      </c>
      <c r="AG219" s="146">
        <v>0.58403700000000003</v>
      </c>
      <c r="AH219" s="110">
        <v>0.114583333333333</v>
      </c>
      <c r="AI219" s="180">
        <v>0.86477000000000004</v>
      </c>
      <c r="AJ219" s="110">
        <v>0.114583333333333</v>
      </c>
      <c r="AK219" s="146">
        <v>1.07376</v>
      </c>
      <c r="AL219" s="180"/>
    </row>
    <row r="220" spans="32:38" x14ac:dyDescent="0.3">
      <c r="AF220" s="110">
        <v>0.125</v>
      </c>
      <c r="AG220" s="146">
        <v>0.94041600000000003</v>
      </c>
      <c r="AH220" s="110">
        <v>0.125</v>
      </c>
      <c r="AI220" s="180">
        <v>1.68499</v>
      </c>
      <c r="AJ220" s="110">
        <v>0.125</v>
      </c>
      <c r="AK220" s="146">
        <v>2.3318599999999998</v>
      </c>
      <c r="AL220" s="180"/>
    </row>
    <row r="221" spans="32:38" x14ac:dyDescent="0.3">
      <c r="AF221" s="110">
        <v>0.13541666666666699</v>
      </c>
      <c r="AG221" s="146">
        <v>0.94041600000000003</v>
      </c>
      <c r="AH221" s="110">
        <v>0.13541666666666699</v>
      </c>
      <c r="AI221" s="180">
        <v>1.68499</v>
      </c>
      <c r="AJ221" s="110">
        <v>0.13541666666666699</v>
      </c>
      <c r="AK221" s="146">
        <v>2.3318599999999998</v>
      </c>
      <c r="AL221" s="180"/>
    </row>
    <row r="222" spans="32:38" x14ac:dyDescent="0.3">
      <c r="AF222" s="110">
        <v>0.14583333333333301</v>
      </c>
      <c r="AG222" s="146">
        <v>0.94041600000000003</v>
      </c>
      <c r="AH222" s="110">
        <v>0.14583333333333301</v>
      </c>
      <c r="AI222" s="180">
        <v>1.68499</v>
      </c>
      <c r="AJ222" s="110">
        <v>0.14583333333333301</v>
      </c>
      <c r="AK222" s="146">
        <v>2.3318599999999998</v>
      </c>
      <c r="AL222" s="180"/>
    </row>
    <row r="223" spans="32:38" x14ac:dyDescent="0.3">
      <c r="AF223" s="110">
        <v>0.15625</v>
      </c>
      <c r="AG223" s="146">
        <v>0.94041600000000003</v>
      </c>
      <c r="AH223" s="110">
        <v>0.15625</v>
      </c>
      <c r="AI223" s="180">
        <v>1.68499</v>
      </c>
      <c r="AJ223" s="110">
        <v>0.15625</v>
      </c>
      <c r="AK223" s="146">
        <v>2.3318599999999998</v>
      </c>
      <c r="AL223" s="180"/>
    </row>
    <row r="224" spans="32:38" x14ac:dyDescent="0.3">
      <c r="AF224" s="110">
        <v>0.16666666666666699</v>
      </c>
      <c r="AG224" s="146">
        <v>1.27945</v>
      </c>
      <c r="AH224" s="110">
        <v>0.16666666666666699</v>
      </c>
      <c r="AI224" s="180">
        <v>2.2597700000000001</v>
      </c>
      <c r="AJ224" s="110">
        <v>0.16666666666666699</v>
      </c>
      <c r="AK224" s="146">
        <v>3.0187900000000001</v>
      </c>
      <c r="AL224" s="180"/>
    </row>
    <row r="225" spans="32:38" x14ac:dyDescent="0.3">
      <c r="AF225" s="110">
        <v>0.17708333333333301</v>
      </c>
      <c r="AG225" s="146">
        <v>1.27945</v>
      </c>
      <c r="AH225" s="110">
        <v>0.17708333333333301</v>
      </c>
      <c r="AI225" s="180">
        <v>2.2597700000000001</v>
      </c>
      <c r="AJ225" s="110">
        <v>0.17708333333333301</v>
      </c>
      <c r="AK225" s="146">
        <v>3.0187900000000001</v>
      </c>
      <c r="AL225" s="180"/>
    </row>
    <row r="226" spans="32:38" x14ac:dyDescent="0.3">
      <c r="AF226" s="110">
        <v>0.1875</v>
      </c>
      <c r="AG226" s="146">
        <v>1.27945</v>
      </c>
      <c r="AH226" s="110">
        <v>0.1875</v>
      </c>
      <c r="AI226" s="180">
        <v>2.2597700000000001</v>
      </c>
      <c r="AJ226" s="110">
        <v>0.1875</v>
      </c>
      <c r="AK226" s="146">
        <v>3.0187900000000001</v>
      </c>
      <c r="AL226" s="180"/>
    </row>
    <row r="227" spans="32:38" x14ac:dyDescent="0.3">
      <c r="AF227" s="110">
        <v>0.19791666666666699</v>
      </c>
      <c r="AG227" s="146">
        <v>1.27945</v>
      </c>
      <c r="AH227" s="110">
        <v>0.19791666666666699</v>
      </c>
      <c r="AI227" s="180">
        <v>2.2597700000000001</v>
      </c>
      <c r="AJ227" s="110">
        <v>0.19791666666666699</v>
      </c>
      <c r="AK227" s="146">
        <v>3.0187900000000001</v>
      </c>
      <c r="AL227" s="180"/>
    </row>
    <row r="228" spans="32:38" x14ac:dyDescent="0.3">
      <c r="AF228" s="110">
        <v>0.20833333333333301</v>
      </c>
      <c r="AG228" s="146">
        <v>1.48369</v>
      </c>
      <c r="AH228" s="110">
        <v>0.20833333333333301</v>
      </c>
      <c r="AI228" s="180">
        <v>3.30911</v>
      </c>
      <c r="AJ228" s="110">
        <v>0.20833333333333301</v>
      </c>
      <c r="AK228" s="146">
        <v>4.1605499999999997</v>
      </c>
      <c r="AL228" s="180"/>
    </row>
    <row r="229" spans="32:38" x14ac:dyDescent="0.3">
      <c r="AF229" s="110">
        <v>0.21875</v>
      </c>
      <c r="AG229" s="146">
        <v>1.48369</v>
      </c>
      <c r="AH229" s="110">
        <v>0.21875</v>
      </c>
      <c r="AI229" s="180">
        <v>3.30911</v>
      </c>
      <c r="AJ229" s="110">
        <v>0.21875</v>
      </c>
      <c r="AK229" s="146">
        <v>4.1605499999999997</v>
      </c>
      <c r="AL229" s="180"/>
    </row>
    <row r="230" spans="32:38" x14ac:dyDescent="0.3">
      <c r="AF230" s="110">
        <v>0.22916666666666699</v>
      </c>
      <c r="AG230" s="146">
        <v>1.48369</v>
      </c>
      <c r="AH230" s="110">
        <v>0.22916666666666699</v>
      </c>
      <c r="AI230" s="180">
        <v>3.30911</v>
      </c>
      <c r="AJ230" s="110">
        <v>0.22916666666666699</v>
      </c>
      <c r="AK230" s="146">
        <v>4.1605499999999997</v>
      </c>
      <c r="AL230" s="180"/>
    </row>
    <row r="231" spans="32:38" x14ac:dyDescent="0.3">
      <c r="AF231" s="110">
        <v>0.23958333333333301</v>
      </c>
      <c r="AG231" s="146">
        <v>1.48369</v>
      </c>
      <c r="AH231" s="110">
        <v>0.23958333333333301</v>
      </c>
      <c r="AI231" s="180">
        <v>3.30911</v>
      </c>
      <c r="AJ231" s="110">
        <v>0.23958333333333301</v>
      </c>
      <c r="AK231" s="146">
        <v>4.1605499999999997</v>
      </c>
      <c r="AL231" s="180"/>
    </row>
    <row r="232" spans="32:38" x14ac:dyDescent="0.3">
      <c r="AF232" s="110">
        <v>0.25</v>
      </c>
      <c r="AG232" s="146">
        <v>2.45208</v>
      </c>
      <c r="AH232" s="110">
        <v>0.25</v>
      </c>
      <c r="AI232" s="180">
        <v>4.8647499999999999</v>
      </c>
      <c r="AJ232" s="110">
        <v>0.25</v>
      </c>
      <c r="AK232" s="146">
        <v>7.0154100000000001</v>
      </c>
    </row>
    <row r="233" spans="32:38" x14ac:dyDescent="0.3">
      <c r="AF233" s="110">
        <v>0.26041666666666702</v>
      </c>
      <c r="AG233" s="146">
        <v>2.45208</v>
      </c>
      <c r="AH233" s="110">
        <v>0.26041666666666702</v>
      </c>
      <c r="AI233" s="180">
        <v>4.8647499999999999</v>
      </c>
      <c r="AJ233" s="110">
        <v>0.26041666666666702</v>
      </c>
      <c r="AK233" s="146">
        <v>7.0154100000000001</v>
      </c>
    </row>
    <row r="234" spans="32:38" x14ac:dyDescent="0.3">
      <c r="AF234" s="110">
        <v>0.27083333333333298</v>
      </c>
      <c r="AG234" s="146">
        <v>2.45208</v>
      </c>
      <c r="AH234" s="110">
        <v>0.27083333333333298</v>
      </c>
      <c r="AI234" s="180">
        <v>4.8647499999999999</v>
      </c>
      <c r="AJ234" s="110">
        <v>0.27083333333333298</v>
      </c>
      <c r="AK234" s="146">
        <v>7.0154100000000001</v>
      </c>
    </row>
    <row r="235" spans="32:38" x14ac:dyDescent="0.3">
      <c r="AF235" s="110">
        <v>0.28125</v>
      </c>
      <c r="AG235" s="146">
        <v>2.45208</v>
      </c>
      <c r="AH235" s="110">
        <v>0.28125</v>
      </c>
      <c r="AI235" s="180">
        <v>4.8647499999999999</v>
      </c>
      <c r="AJ235" s="110">
        <v>0.28125</v>
      </c>
      <c r="AK235" s="146">
        <v>7.0154100000000001</v>
      </c>
    </row>
    <row r="236" spans="32:38" x14ac:dyDescent="0.3">
      <c r="AF236" s="110">
        <v>0.29166666666666702</v>
      </c>
      <c r="AG236" s="146">
        <v>2.2299199999999999</v>
      </c>
      <c r="AH236" s="110">
        <v>0.29166666666666702</v>
      </c>
      <c r="AI236" s="180">
        <v>5.50528</v>
      </c>
      <c r="AJ236" s="110">
        <v>0.29166666666666702</v>
      </c>
      <c r="AK236" s="146">
        <v>8.0694700000000008</v>
      </c>
    </row>
    <row r="237" spans="32:38" x14ac:dyDescent="0.3">
      <c r="AF237" s="110">
        <v>0.30208333333333298</v>
      </c>
      <c r="AG237" s="146">
        <v>2.2299199999999999</v>
      </c>
      <c r="AH237" s="110">
        <v>0.30208333333333298</v>
      </c>
      <c r="AI237" s="180">
        <v>5.50528</v>
      </c>
      <c r="AJ237" s="110">
        <v>0.30208333333333298</v>
      </c>
      <c r="AK237" s="146">
        <v>8.0694700000000008</v>
      </c>
    </row>
    <row r="238" spans="32:38" x14ac:dyDescent="0.3">
      <c r="AF238" s="110">
        <v>0.3125</v>
      </c>
      <c r="AG238" s="146">
        <v>2.2299199999999999</v>
      </c>
      <c r="AH238" s="110">
        <v>0.3125</v>
      </c>
      <c r="AI238" s="180">
        <v>5.50528</v>
      </c>
      <c r="AJ238" s="110">
        <v>0.3125</v>
      </c>
      <c r="AK238" s="146">
        <v>8.0694700000000008</v>
      </c>
    </row>
    <row r="239" spans="32:38" x14ac:dyDescent="0.3">
      <c r="AF239" s="110">
        <v>0.32291666666666702</v>
      </c>
      <c r="AG239" s="146">
        <v>2.2299199999999999</v>
      </c>
      <c r="AH239" s="110">
        <v>0.32291666666666702</v>
      </c>
      <c r="AI239" s="180">
        <v>5.50528</v>
      </c>
      <c r="AJ239" s="110">
        <v>0.32291666666666702</v>
      </c>
      <c r="AK239" s="146">
        <v>8.0694700000000008</v>
      </c>
    </row>
    <row r="240" spans="32:38" x14ac:dyDescent="0.3">
      <c r="AF240" s="110">
        <v>0.33333333333333298</v>
      </c>
      <c r="AG240" s="146">
        <v>3.1170599999999999</v>
      </c>
      <c r="AH240" s="110">
        <v>0.33333333333333298</v>
      </c>
      <c r="AI240" s="180">
        <v>6.3731600000000004</v>
      </c>
      <c r="AJ240" s="110">
        <v>0.33333333333333298</v>
      </c>
      <c r="AK240" s="146">
        <v>8.7284000000000006</v>
      </c>
    </row>
    <row r="241" spans="32:37" x14ac:dyDescent="0.3">
      <c r="AF241" s="110">
        <v>0.34375</v>
      </c>
      <c r="AG241" s="146">
        <v>3.1170599999999999</v>
      </c>
      <c r="AH241" s="110">
        <v>0.34375</v>
      </c>
      <c r="AI241" s="180">
        <v>6.3731600000000004</v>
      </c>
      <c r="AJ241" s="110">
        <v>0.34375</v>
      </c>
      <c r="AK241" s="146">
        <v>8.7284000000000006</v>
      </c>
    </row>
    <row r="242" spans="32:37" x14ac:dyDescent="0.3">
      <c r="AF242" s="110">
        <v>0.35416666666666702</v>
      </c>
      <c r="AG242" s="146">
        <v>3.1170599999999999</v>
      </c>
      <c r="AH242" s="110">
        <v>0.35416666666666702</v>
      </c>
      <c r="AI242" s="180">
        <v>6.3731600000000004</v>
      </c>
      <c r="AJ242" s="110">
        <v>0.35416666666666702</v>
      </c>
      <c r="AK242" s="146">
        <v>8.7284000000000006</v>
      </c>
    </row>
    <row r="243" spans="32:37" x14ac:dyDescent="0.3">
      <c r="AF243" s="110">
        <v>0.36458333333333298</v>
      </c>
      <c r="AG243" s="146">
        <v>3.1170599999999999</v>
      </c>
      <c r="AH243" s="110">
        <v>0.36458333333333298</v>
      </c>
      <c r="AI243" s="180">
        <v>6.3731600000000004</v>
      </c>
      <c r="AJ243" s="110">
        <v>0.36458333333333298</v>
      </c>
      <c r="AK243" s="146">
        <v>8.7284000000000006</v>
      </c>
    </row>
    <row r="244" spans="32:37" x14ac:dyDescent="0.3">
      <c r="AF244" s="110">
        <v>0.375</v>
      </c>
      <c r="AG244" s="146">
        <v>3.90395</v>
      </c>
      <c r="AH244" s="110">
        <v>0.375</v>
      </c>
      <c r="AI244" s="180">
        <v>7.7413600000000002</v>
      </c>
      <c r="AJ244" s="110">
        <v>0.375</v>
      </c>
      <c r="AK244" s="146">
        <v>11.3596</v>
      </c>
    </row>
    <row r="245" spans="32:37" x14ac:dyDescent="0.3">
      <c r="AF245" s="110">
        <v>0.38541666666666702</v>
      </c>
      <c r="AG245" s="146">
        <v>3.90395</v>
      </c>
      <c r="AH245" s="110">
        <v>0.38541666666666702</v>
      </c>
      <c r="AI245" s="180">
        <v>7.7413600000000002</v>
      </c>
      <c r="AJ245" s="110">
        <v>0.38541666666666702</v>
      </c>
      <c r="AK245" s="146">
        <v>11.3596</v>
      </c>
    </row>
    <row r="246" spans="32:37" x14ac:dyDescent="0.3">
      <c r="AF246" s="110">
        <v>0.39583333333333298</v>
      </c>
      <c r="AG246" s="146">
        <v>3.90395</v>
      </c>
      <c r="AH246" s="110">
        <v>0.39583333333333298</v>
      </c>
      <c r="AI246" s="180">
        <v>7.7413600000000002</v>
      </c>
      <c r="AJ246" s="110">
        <v>0.39583333333333298</v>
      </c>
      <c r="AK246" s="146">
        <v>11.3596</v>
      </c>
    </row>
    <row r="247" spans="32:37" x14ac:dyDescent="0.3">
      <c r="AF247" s="110">
        <v>0.40625</v>
      </c>
      <c r="AG247" s="146">
        <v>3.90395</v>
      </c>
      <c r="AH247" s="110">
        <v>0.40625</v>
      </c>
      <c r="AI247" s="180">
        <v>7.7413600000000002</v>
      </c>
      <c r="AJ247" s="110">
        <v>0.40625</v>
      </c>
      <c r="AK247" s="146">
        <v>11.3596</v>
      </c>
    </row>
    <row r="248" spans="32:37" x14ac:dyDescent="0.3">
      <c r="AF248" s="110">
        <v>0.41666666666666702</v>
      </c>
      <c r="AG248" s="146">
        <v>5.2295400000000001</v>
      </c>
      <c r="AH248" s="110">
        <v>0.41666666666666702</v>
      </c>
      <c r="AI248" s="180">
        <v>8.7995800000000006</v>
      </c>
      <c r="AJ248" s="110">
        <v>0.41666666666666702</v>
      </c>
      <c r="AK248" s="146">
        <v>11.6142</v>
      </c>
    </row>
    <row r="249" spans="32:37" x14ac:dyDescent="0.3">
      <c r="AF249" s="110">
        <v>0.42708333333333298</v>
      </c>
      <c r="AG249" s="146">
        <v>5.2295400000000001</v>
      </c>
      <c r="AH249" s="110">
        <v>0.42708333333333298</v>
      </c>
      <c r="AI249" s="180">
        <v>8.7995800000000006</v>
      </c>
      <c r="AJ249" s="110">
        <v>0.42708333333333298</v>
      </c>
      <c r="AK249" s="146">
        <v>11.6142</v>
      </c>
    </row>
    <row r="250" spans="32:37" x14ac:dyDescent="0.3">
      <c r="AF250" s="110">
        <v>0.4375</v>
      </c>
      <c r="AG250" s="146">
        <v>5.2295400000000001</v>
      </c>
      <c r="AH250" s="110">
        <v>0.4375</v>
      </c>
      <c r="AI250" s="180">
        <v>8.7995800000000006</v>
      </c>
      <c r="AJ250" s="110">
        <v>0.4375</v>
      </c>
      <c r="AK250" s="146">
        <v>11.6142</v>
      </c>
    </row>
    <row r="251" spans="32:37" x14ac:dyDescent="0.3">
      <c r="AF251" s="110">
        <v>0.44791666666666702</v>
      </c>
      <c r="AG251" s="146">
        <v>5.2295400000000001</v>
      </c>
      <c r="AH251" s="110">
        <v>0.44791666666666702</v>
      </c>
      <c r="AI251" s="180">
        <v>8.7995800000000006</v>
      </c>
      <c r="AJ251" s="110">
        <v>0.44791666666666702</v>
      </c>
      <c r="AK251" s="146">
        <v>11.6142</v>
      </c>
    </row>
    <row r="252" spans="32:37" x14ac:dyDescent="0.3">
      <c r="AF252" s="110">
        <v>0.45833333333333298</v>
      </c>
      <c r="AG252" s="146">
        <v>4.1515899999999997</v>
      </c>
      <c r="AH252" s="110">
        <v>0.45833333333333298</v>
      </c>
      <c r="AI252" s="180">
        <v>8.5194299999999998</v>
      </c>
      <c r="AJ252" s="110">
        <v>0.45833333333333298</v>
      </c>
      <c r="AK252" s="146">
        <v>11.8146</v>
      </c>
    </row>
    <row r="253" spans="32:37" x14ac:dyDescent="0.3">
      <c r="AF253" s="110">
        <v>0.46875</v>
      </c>
      <c r="AG253" s="146">
        <v>4.1515899999999997</v>
      </c>
      <c r="AH253" s="110">
        <v>0.46875</v>
      </c>
      <c r="AI253" s="180">
        <v>8.5194299999999998</v>
      </c>
      <c r="AJ253" s="110">
        <v>0.46875</v>
      </c>
      <c r="AK253" s="146">
        <v>11.8146</v>
      </c>
    </row>
    <row r="254" spans="32:37" x14ac:dyDescent="0.3">
      <c r="AF254" s="110">
        <v>0.47916666666666702</v>
      </c>
      <c r="AG254" s="146">
        <v>4.1515899999999997</v>
      </c>
      <c r="AH254" s="110">
        <v>0.47916666666666702</v>
      </c>
      <c r="AI254" s="180">
        <v>8.5194299999999998</v>
      </c>
      <c r="AJ254" s="110">
        <v>0.47916666666666702</v>
      </c>
      <c r="AK254" s="146">
        <v>11.8146</v>
      </c>
    </row>
    <row r="255" spans="32:37" x14ac:dyDescent="0.3">
      <c r="AF255" s="110">
        <v>0.48958333333333298</v>
      </c>
      <c r="AG255" s="146">
        <v>4.1515899999999997</v>
      </c>
      <c r="AH255" s="110">
        <v>0.48958333333333298</v>
      </c>
      <c r="AI255" s="180">
        <v>8.5194299999999998</v>
      </c>
      <c r="AJ255" s="110">
        <v>0.48958333333333298</v>
      </c>
      <c r="AK255" s="146">
        <v>11.8146</v>
      </c>
    </row>
    <row r="256" spans="32:37" x14ac:dyDescent="0.3">
      <c r="AF256" s="110">
        <v>0.5</v>
      </c>
      <c r="AG256" s="146">
        <v>4.2109899999999998</v>
      </c>
      <c r="AH256" s="110">
        <v>0.5</v>
      </c>
      <c r="AI256" s="180">
        <v>8.3723299999999998</v>
      </c>
      <c r="AJ256" s="110">
        <v>0.5</v>
      </c>
      <c r="AK256" s="146">
        <v>11.1401</v>
      </c>
    </row>
    <row r="257" spans="32:37" x14ac:dyDescent="0.3">
      <c r="AF257" s="110">
        <v>0.51041666666666696</v>
      </c>
      <c r="AG257" s="146">
        <v>4.2109899999999998</v>
      </c>
      <c r="AH257" s="110">
        <v>0.51041666666666696</v>
      </c>
      <c r="AI257" s="180">
        <v>8.3723299999999998</v>
      </c>
      <c r="AJ257" s="110">
        <v>0.51041666666666696</v>
      </c>
      <c r="AK257" s="146">
        <v>11.1401</v>
      </c>
    </row>
    <row r="258" spans="32:37" x14ac:dyDescent="0.3">
      <c r="AF258" s="110">
        <v>0.52083333333333304</v>
      </c>
      <c r="AG258" s="146">
        <v>4.2109899999999998</v>
      </c>
      <c r="AH258" s="110">
        <v>0.52083333333333304</v>
      </c>
      <c r="AI258" s="180">
        <v>8.3723299999999998</v>
      </c>
      <c r="AJ258" s="110">
        <v>0.52083333333333304</v>
      </c>
      <c r="AK258" s="146">
        <v>11.1401</v>
      </c>
    </row>
    <row r="259" spans="32:37" x14ac:dyDescent="0.3">
      <c r="AF259" s="110">
        <v>0.53125</v>
      </c>
      <c r="AG259" s="146">
        <v>4.2109899999999998</v>
      </c>
      <c r="AH259" s="110">
        <v>0.53125</v>
      </c>
      <c r="AI259" s="180">
        <v>8.3723299999999998</v>
      </c>
      <c r="AJ259" s="110">
        <v>0.53125</v>
      </c>
      <c r="AK259" s="146">
        <v>11.1401</v>
      </c>
    </row>
    <row r="260" spans="32:37" x14ac:dyDescent="0.3">
      <c r="AF260" s="110">
        <v>0.54166666666666696</v>
      </c>
      <c r="AG260" s="146">
        <v>3.8662700000000001</v>
      </c>
      <c r="AH260" s="110">
        <v>0.54166666666666696</v>
      </c>
      <c r="AI260" s="180">
        <v>9.4899900000000006</v>
      </c>
      <c r="AJ260" s="110">
        <v>0.54166666666666696</v>
      </c>
      <c r="AK260" s="146">
        <v>12.069699999999999</v>
      </c>
    </row>
    <row r="261" spans="32:37" x14ac:dyDescent="0.3">
      <c r="AF261" s="110">
        <v>0.55208333333333304</v>
      </c>
      <c r="AG261" s="146">
        <v>3.8662700000000001</v>
      </c>
      <c r="AH261" s="110">
        <v>0.55208333333333304</v>
      </c>
      <c r="AI261" s="180">
        <v>9.4899900000000006</v>
      </c>
      <c r="AJ261" s="110">
        <v>0.55208333333333304</v>
      </c>
      <c r="AK261" s="146">
        <v>12.069699999999999</v>
      </c>
    </row>
    <row r="262" spans="32:37" x14ac:dyDescent="0.3">
      <c r="AF262" s="110">
        <v>0.5625</v>
      </c>
      <c r="AG262" s="146">
        <v>3.8662700000000001</v>
      </c>
      <c r="AH262" s="110">
        <v>0.5625</v>
      </c>
      <c r="AI262" s="180">
        <v>9.4899900000000006</v>
      </c>
      <c r="AJ262" s="110">
        <v>0.5625</v>
      </c>
      <c r="AK262" s="146">
        <v>12.069699999999999</v>
      </c>
    </row>
    <row r="263" spans="32:37" x14ac:dyDescent="0.3">
      <c r="AF263" s="110">
        <v>0.57291666666666696</v>
      </c>
      <c r="AG263" s="146">
        <v>3.8662700000000001</v>
      </c>
      <c r="AH263" s="110">
        <v>0.57291666666666696</v>
      </c>
      <c r="AI263" s="180">
        <v>9.4899900000000006</v>
      </c>
      <c r="AJ263" s="110">
        <v>0.57291666666666696</v>
      </c>
      <c r="AK263" s="146">
        <v>12.069699999999999</v>
      </c>
    </row>
    <row r="264" spans="32:37" x14ac:dyDescent="0.3">
      <c r="AF264" s="110">
        <v>0.58333333333333304</v>
      </c>
      <c r="AG264" s="146">
        <v>3.7939799999999999</v>
      </c>
      <c r="AH264" s="110">
        <v>0.58333333333333304</v>
      </c>
      <c r="AI264" s="180">
        <v>8.3173200000000005</v>
      </c>
      <c r="AJ264" s="110">
        <v>0.58333333333333304</v>
      </c>
      <c r="AK264" s="146">
        <v>11.2652</v>
      </c>
    </row>
    <row r="265" spans="32:37" x14ac:dyDescent="0.3">
      <c r="AF265" s="110">
        <v>0.59375</v>
      </c>
      <c r="AG265" s="146">
        <v>3.7939799999999999</v>
      </c>
      <c r="AH265" s="110">
        <v>0.59375</v>
      </c>
      <c r="AI265" s="180">
        <v>8.3173200000000005</v>
      </c>
      <c r="AJ265" s="110">
        <v>0.59375</v>
      </c>
      <c r="AK265" s="146">
        <v>11.2652</v>
      </c>
    </row>
    <row r="266" spans="32:37" x14ac:dyDescent="0.3">
      <c r="AF266" s="110">
        <v>0.60416666666666696</v>
      </c>
      <c r="AG266" s="146">
        <v>3.7939799999999999</v>
      </c>
      <c r="AH266" s="110">
        <v>0.60416666666666696</v>
      </c>
      <c r="AI266" s="180">
        <v>8.3173200000000005</v>
      </c>
      <c r="AJ266" s="110">
        <v>0.60416666666666696</v>
      </c>
      <c r="AK266" s="146">
        <v>11.2652</v>
      </c>
    </row>
    <row r="267" spans="32:37" x14ac:dyDescent="0.3">
      <c r="AF267" s="110">
        <v>0.61458333333333304</v>
      </c>
      <c r="AG267" s="146">
        <v>3.7939799999999999</v>
      </c>
      <c r="AH267" s="110">
        <v>0.61458333333333304</v>
      </c>
      <c r="AI267" s="180">
        <v>8.3173200000000005</v>
      </c>
      <c r="AJ267" s="110">
        <v>0.61458333333333304</v>
      </c>
      <c r="AK267" s="146">
        <v>11.2652</v>
      </c>
    </row>
    <row r="268" spans="32:37" x14ac:dyDescent="0.3">
      <c r="AF268" s="110">
        <v>0.625</v>
      </c>
      <c r="AG268" s="146">
        <v>4.1646700000000001</v>
      </c>
      <c r="AH268" s="110">
        <v>0.625</v>
      </c>
      <c r="AI268" s="180">
        <v>8.7103300000000008</v>
      </c>
      <c r="AJ268" s="110">
        <v>0.625</v>
      </c>
      <c r="AK268" s="146">
        <v>13.2684</v>
      </c>
    </row>
    <row r="269" spans="32:37" x14ac:dyDescent="0.3">
      <c r="AF269" s="110">
        <v>0.63541666666666696</v>
      </c>
      <c r="AG269" s="146">
        <v>4.1646700000000001</v>
      </c>
      <c r="AH269" s="110">
        <v>0.63541666666666696</v>
      </c>
      <c r="AI269" s="180">
        <v>8.7103300000000008</v>
      </c>
      <c r="AJ269" s="110">
        <v>0.63541666666666696</v>
      </c>
      <c r="AK269" s="146">
        <v>13.2684</v>
      </c>
    </row>
    <row r="270" spans="32:37" x14ac:dyDescent="0.3">
      <c r="AF270" s="110">
        <v>0.64583333333333304</v>
      </c>
      <c r="AG270" s="146">
        <v>4.1646700000000001</v>
      </c>
      <c r="AH270" s="110">
        <v>0.64583333333333304</v>
      </c>
      <c r="AI270" s="180">
        <v>8.7103300000000008</v>
      </c>
      <c r="AJ270" s="110">
        <v>0.64583333333333304</v>
      </c>
      <c r="AK270" s="146">
        <v>13.2684</v>
      </c>
    </row>
    <row r="271" spans="32:37" x14ac:dyDescent="0.3">
      <c r="AF271" s="110">
        <v>0.65625</v>
      </c>
      <c r="AG271" s="146">
        <v>4.1646700000000001</v>
      </c>
      <c r="AH271" s="110">
        <v>0.65625</v>
      </c>
      <c r="AI271" s="180">
        <v>8.7103300000000008</v>
      </c>
      <c r="AJ271" s="110">
        <v>0.65625</v>
      </c>
      <c r="AK271" s="146">
        <v>13.2684</v>
      </c>
    </row>
    <row r="272" spans="32:37" x14ac:dyDescent="0.3">
      <c r="AF272" s="110">
        <v>0.66666666666666696</v>
      </c>
      <c r="AG272" s="146">
        <v>3.8887499999999999</v>
      </c>
      <c r="AH272" s="110">
        <v>0.66666666666666696</v>
      </c>
      <c r="AI272" s="180">
        <v>8.9503599999999999</v>
      </c>
      <c r="AJ272" s="110">
        <v>0.66666666666666696</v>
      </c>
      <c r="AK272" s="146">
        <v>11.5806</v>
      </c>
    </row>
    <row r="273" spans="32:37" x14ac:dyDescent="0.3">
      <c r="AF273" s="110">
        <v>0.67708333333333304</v>
      </c>
      <c r="AG273" s="146">
        <v>3.8887499999999999</v>
      </c>
      <c r="AH273" s="110">
        <v>0.67708333333333304</v>
      </c>
      <c r="AI273" s="180">
        <v>8.9503599999999999</v>
      </c>
      <c r="AJ273" s="110">
        <v>0.67708333333333304</v>
      </c>
      <c r="AK273" s="146">
        <v>11.5806</v>
      </c>
    </row>
    <row r="274" spans="32:37" x14ac:dyDescent="0.3">
      <c r="AF274" s="110">
        <v>0.6875</v>
      </c>
      <c r="AG274" s="146">
        <v>3.8887499999999999</v>
      </c>
      <c r="AH274" s="110">
        <v>0.6875</v>
      </c>
      <c r="AI274" s="180">
        <v>8.9503599999999999</v>
      </c>
      <c r="AJ274" s="110">
        <v>0.6875</v>
      </c>
      <c r="AK274" s="146">
        <v>11.5806</v>
      </c>
    </row>
    <row r="275" spans="32:37" x14ac:dyDescent="0.3">
      <c r="AF275" s="110">
        <v>0.69791666666666696</v>
      </c>
      <c r="AG275" s="146">
        <v>3.8887499999999999</v>
      </c>
      <c r="AH275" s="110">
        <v>0.69791666666666696</v>
      </c>
      <c r="AI275" s="180">
        <v>8.9503599999999999</v>
      </c>
      <c r="AJ275" s="110">
        <v>0.69791666666666696</v>
      </c>
      <c r="AK275" s="146">
        <v>11.5806</v>
      </c>
    </row>
    <row r="276" spans="32:37" x14ac:dyDescent="0.3">
      <c r="AF276" s="110">
        <v>0.70833333333333304</v>
      </c>
      <c r="AG276" s="146">
        <v>6.3461299999999996</v>
      </c>
      <c r="AH276" s="110">
        <v>0.70833333333333304</v>
      </c>
      <c r="AI276" s="180">
        <v>10.9404</v>
      </c>
      <c r="AJ276" s="110">
        <v>0.70833333333333304</v>
      </c>
      <c r="AK276" s="146">
        <v>14.3278</v>
      </c>
    </row>
    <row r="277" spans="32:37" x14ac:dyDescent="0.3">
      <c r="AF277" s="110">
        <v>0.71875</v>
      </c>
      <c r="AG277" s="146">
        <v>6.3461299999999996</v>
      </c>
      <c r="AH277" s="110">
        <v>0.71875</v>
      </c>
      <c r="AI277" s="180">
        <v>10.9404</v>
      </c>
      <c r="AJ277" s="110">
        <v>0.71875</v>
      </c>
      <c r="AK277" s="146">
        <v>14.3278</v>
      </c>
    </row>
    <row r="278" spans="32:37" x14ac:dyDescent="0.3">
      <c r="AF278" s="110">
        <v>0.72916666666666696</v>
      </c>
      <c r="AG278" s="146">
        <v>6.3461299999999996</v>
      </c>
      <c r="AH278" s="110">
        <v>0.72916666666666696</v>
      </c>
      <c r="AI278" s="180">
        <v>10.9404</v>
      </c>
      <c r="AJ278" s="110">
        <v>0.72916666666666696</v>
      </c>
      <c r="AK278" s="146">
        <v>14.3278</v>
      </c>
    </row>
    <row r="279" spans="32:37" x14ac:dyDescent="0.3">
      <c r="AF279" s="110">
        <v>0.73958333333333304</v>
      </c>
      <c r="AG279" s="146">
        <v>6.3461299999999996</v>
      </c>
      <c r="AH279" s="110">
        <v>0.73958333333333304</v>
      </c>
      <c r="AI279" s="180">
        <v>10.9404</v>
      </c>
      <c r="AJ279" s="110">
        <v>0.73958333333333304</v>
      </c>
      <c r="AK279" s="146">
        <v>14.3278</v>
      </c>
    </row>
    <row r="280" spans="32:37" x14ac:dyDescent="0.3">
      <c r="AF280" s="110">
        <v>0.75</v>
      </c>
      <c r="AG280" s="146">
        <v>4.33873</v>
      </c>
      <c r="AH280" s="110">
        <v>0.75</v>
      </c>
      <c r="AI280" s="180">
        <v>9.1903699999999997</v>
      </c>
      <c r="AJ280" s="110">
        <v>0.75</v>
      </c>
      <c r="AK280" s="146">
        <v>13.037699999999999</v>
      </c>
    </row>
    <row r="281" spans="32:37" x14ac:dyDescent="0.3">
      <c r="AF281" s="110">
        <v>0.76041666666666696</v>
      </c>
      <c r="AG281" s="146">
        <v>4.33873</v>
      </c>
      <c r="AH281" s="110">
        <v>0.76041666666666696</v>
      </c>
      <c r="AI281" s="180">
        <v>9.1903699999999997</v>
      </c>
      <c r="AJ281" s="110">
        <v>0.76041666666666696</v>
      </c>
      <c r="AK281" s="146">
        <v>13.037699999999999</v>
      </c>
    </row>
    <row r="282" spans="32:37" x14ac:dyDescent="0.3">
      <c r="AF282" s="110">
        <v>0.77083333333333304</v>
      </c>
      <c r="AG282" s="146">
        <v>4.33873</v>
      </c>
      <c r="AH282" s="110">
        <v>0.77083333333333304</v>
      </c>
      <c r="AI282" s="180">
        <v>9.1903699999999997</v>
      </c>
      <c r="AJ282" s="110">
        <v>0.77083333333333304</v>
      </c>
      <c r="AK282" s="146">
        <v>13.037699999999999</v>
      </c>
    </row>
    <row r="283" spans="32:37" x14ac:dyDescent="0.3">
      <c r="AF283" s="110">
        <v>0.78125</v>
      </c>
      <c r="AG283" s="146">
        <v>4.33873</v>
      </c>
      <c r="AH283" s="110">
        <v>0.78125</v>
      </c>
      <c r="AI283" s="180">
        <v>9.1903699999999997</v>
      </c>
      <c r="AJ283" s="110">
        <v>0.78125</v>
      </c>
      <c r="AK283" s="146">
        <v>13.037699999999999</v>
      </c>
    </row>
    <row r="284" spans="32:37" x14ac:dyDescent="0.3">
      <c r="AF284" s="110">
        <v>0.79166666666666696</v>
      </c>
      <c r="AG284" s="146">
        <v>4.3741599999999998</v>
      </c>
      <c r="AH284" s="110">
        <v>0.79166666666666696</v>
      </c>
      <c r="AI284" s="180">
        <v>8.65367</v>
      </c>
      <c r="AJ284" s="110">
        <v>0.79166666666666696</v>
      </c>
      <c r="AK284" s="146">
        <v>12.202199999999999</v>
      </c>
    </row>
    <row r="285" spans="32:37" x14ac:dyDescent="0.3">
      <c r="AF285" s="110">
        <v>0.80208333333333304</v>
      </c>
      <c r="AG285" s="146">
        <v>4.3741599999999998</v>
      </c>
      <c r="AH285" s="110">
        <v>0.80208333333333304</v>
      </c>
      <c r="AI285" s="180">
        <v>8.65367</v>
      </c>
      <c r="AJ285" s="110">
        <v>0.80208333333333304</v>
      </c>
      <c r="AK285" s="146">
        <v>12.202199999999999</v>
      </c>
    </row>
    <row r="286" spans="32:37" x14ac:dyDescent="0.3">
      <c r="AF286" s="110">
        <v>0.8125</v>
      </c>
      <c r="AG286" s="146">
        <v>4.3741599999999998</v>
      </c>
      <c r="AH286" s="110">
        <v>0.8125</v>
      </c>
      <c r="AI286" s="180">
        <v>8.65367</v>
      </c>
      <c r="AJ286" s="110">
        <v>0.8125</v>
      </c>
      <c r="AK286" s="146">
        <v>12.202199999999999</v>
      </c>
    </row>
    <row r="287" spans="32:37" x14ac:dyDescent="0.3">
      <c r="AF287" s="110">
        <v>0.82291666666666696</v>
      </c>
      <c r="AG287" s="146">
        <v>4.3741599999999998</v>
      </c>
      <c r="AH287" s="110">
        <v>0.82291666666666696</v>
      </c>
      <c r="AI287" s="180">
        <v>8.65367</v>
      </c>
      <c r="AJ287" s="110">
        <v>0.82291666666666696</v>
      </c>
      <c r="AK287" s="146">
        <v>12.202199999999999</v>
      </c>
    </row>
    <row r="288" spans="32:37" x14ac:dyDescent="0.3">
      <c r="AF288" s="110">
        <v>0.83333333333333304</v>
      </c>
      <c r="AG288" s="146">
        <v>4.0795500000000002</v>
      </c>
      <c r="AH288" s="110">
        <v>0.83333333333333304</v>
      </c>
      <c r="AI288" s="180">
        <v>8.43994</v>
      </c>
      <c r="AJ288" s="110">
        <v>0.83333333333333304</v>
      </c>
      <c r="AK288" s="146">
        <v>11.3291</v>
      </c>
    </row>
    <row r="289" spans="32:37" x14ac:dyDescent="0.3">
      <c r="AF289" s="110">
        <v>0.84375</v>
      </c>
      <c r="AG289" s="146">
        <v>4.0795500000000002</v>
      </c>
      <c r="AH289" s="110">
        <v>0.84375</v>
      </c>
      <c r="AI289" s="180">
        <v>8.43994</v>
      </c>
      <c r="AJ289" s="110">
        <v>0.84375</v>
      </c>
      <c r="AK289" s="146">
        <v>11.3291</v>
      </c>
    </row>
    <row r="290" spans="32:37" x14ac:dyDescent="0.3">
      <c r="AF290" s="110">
        <v>0.85416666666666696</v>
      </c>
      <c r="AG290" s="146">
        <v>4.0795500000000002</v>
      </c>
      <c r="AH290" s="110">
        <v>0.85416666666666696</v>
      </c>
      <c r="AI290" s="180">
        <v>8.43994</v>
      </c>
      <c r="AJ290" s="110">
        <v>0.85416666666666696</v>
      </c>
      <c r="AK290" s="146">
        <v>11.3291</v>
      </c>
    </row>
    <row r="291" spans="32:37" x14ac:dyDescent="0.3">
      <c r="AF291" s="110">
        <v>0.86458333333333304</v>
      </c>
      <c r="AG291" s="146">
        <v>4.0795500000000002</v>
      </c>
      <c r="AH291" s="110">
        <v>0.86458333333333304</v>
      </c>
      <c r="AI291" s="180">
        <v>8.43994</v>
      </c>
      <c r="AJ291" s="110">
        <v>0.86458333333333304</v>
      </c>
      <c r="AK291" s="146">
        <v>11.3291</v>
      </c>
    </row>
    <row r="292" spans="32:37" x14ac:dyDescent="0.3">
      <c r="AF292" s="110">
        <v>0.875</v>
      </c>
      <c r="AG292" s="146">
        <v>4.0629</v>
      </c>
      <c r="AH292" s="110">
        <v>0.875</v>
      </c>
      <c r="AI292" s="180">
        <v>8.3582300000000007</v>
      </c>
      <c r="AJ292" s="110">
        <v>0.875</v>
      </c>
      <c r="AK292" s="146">
        <v>12.6412</v>
      </c>
    </row>
    <row r="293" spans="32:37" x14ac:dyDescent="0.3">
      <c r="AF293" s="110">
        <v>0.88541666666666696</v>
      </c>
      <c r="AG293" s="146">
        <v>4.0629</v>
      </c>
      <c r="AH293" s="110">
        <v>0.88541666666666696</v>
      </c>
      <c r="AI293" s="180">
        <v>8.3582300000000007</v>
      </c>
      <c r="AJ293" s="110">
        <v>0.88541666666666696</v>
      </c>
      <c r="AK293" s="146">
        <v>12.6412</v>
      </c>
    </row>
    <row r="294" spans="32:37" x14ac:dyDescent="0.3">
      <c r="AF294" s="110">
        <v>0.89583333333333304</v>
      </c>
      <c r="AG294" s="146">
        <v>4.0629</v>
      </c>
      <c r="AH294" s="110">
        <v>0.89583333333333304</v>
      </c>
      <c r="AI294" s="180">
        <v>8.3582300000000007</v>
      </c>
      <c r="AJ294" s="110">
        <v>0.89583333333333304</v>
      </c>
      <c r="AK294" s="146">
        <v>12.6412</v>
      </c>
    </row>
    <row r="295" spans="32:37" x14ac:dyDescent="0.3">
      <c r="AF295" s="110">
        <v>0.90625</v>
      </c>
      <c r="AG295" s="146">
        <v>4.0629</v>
      </c>
      <c r="AH295" s="110">
        <v>0.90625</v>
      </c>
      <c r="AI295" s="180">
        <v>8.3582300000000007</v>
      </c>
      <c r="AJ295" s="110">
        <v>0.90625</v>
      </c>
      <c r="AK295" s="146">
        <v>12.6412</v>
      </c>
    </row>
    <row r="296" spans="32:37" x14ac:dyDescent="0.3">
      <c r="AF296" s="110">
        <v>0.91666666666666696</v>
      </c>
      <c r="AG296" s="146">
        <v>4.0778100000000004</v>
      </c>
      <c r="AH296" s="110">
        <v>0.91666666666666696</v>
      </c>
      <c r="AI296" s="180">
        <v>8.3397000000000006</v>
      </c>
      <c r="AJ296" s="110">
        <v>0.91666666666666696</v>
      </c>
      <c r="AK296" s="146">
        <v>11.766299999999999</v>
      </c>
    </row>
    <row r="297" spans="32:37" x14ac:dyDescent="0.3">
      <c r="AF297" s="110">
        <v>0.92708333333333304</v>
      </c>
      <c r="AG297" s="146">
        <v>4.0778100000000004</v>
      </c>
      <c r="AH297" s="110">
        <v>0.92708333333333304</v>
      </c>
      <c r="AI297" s="180">
        <v>8.3397000000000006</v>
      </c>
      <c r="AJ297" s="110">
        <v>0.92708333333333304</v>
      </c>
      <c r="AK297" s="146">
        <v>11.766299999999999</v>
      </c>
    </row>
    <row r="298" spans="32:37" x14ac:dyDescent="0.3">
      <c r="AF298" s="110">
        <v>0.9375</v>
      </c>
      <c r="AG298" s="146">
        <v>4.0778100000000004</v>
      </c>
      <c r="AH298" s="110">
        <v>0.9375</v>
      </c>
      <c r="AI298" s="180">
        <v>8.3397000000000006</v>
      </c>
      <c r="AJ298" s="110">
        <v>0.9375</v>
      </c>
      <c r="AK298" s="146">
        <v>11.766299999999999</v>
      </c>
    </row>
    <row r="299" spans="32:37" x14ac:dyDescent="0.3">
      <c r="AF299" s="110">
        <v>0.94791666666666696</v>
      </c>
      <c r="AG299" s="146">
        <v>4.0778100000000004</v>
      </c>
      <c r="AH299" s="110">
        <v>0.94791666666666696</v>
      </c>
      <c r="AI299" s="180">
        <v>8.3397000000000006</v>
      </c>
      <c r="AJ299" s="110">
        <v>0.94791666666666696</v>
      </c>
      <c r="AK299" s="146">
        <v>11.766299999999999</v>
      </c>
    </row>
    <row r="300" spans="32:37" x14ac:dyDescent="0.3">
      <c r="AF300" s="110">
        <v>0.95833333333333304</v>
      </c>
      <c r="AG300" s="146">
        <v>5.0536000000000003</v>
      </c>
      <c r="AH300" s="110">
        <v>0.95833333333333304</v>
      </c>
      <c r="AI300" s="180">
        <v>8.8205200000000001</v>
      </c>
      <c r="AJ300" s="110">
        <v>0.95833333333333304</v>
      </c>
      <c r="AK300" s="146">
        <v>12.201000000000001</v>
      </c>
    </row>
    <row r="301" spans="32:37" x14ac:dyDescent="0.3">
      <c r="AF301" s="110">
        <v>0.96875</v>
      </c>
      <c r="AG301" s="146">
        <v>5.0536000000000003</v>
      </c>
      <c r="AH301" s="110">
        <v>0.96875</v>
      </c>
      <c r="AI301" s="180">
        <v>8.8205200000000001</v>
      </c>
      <c r="AJ301" s="110">
        <v>0.96875</v>
      </c>
      <c r="AK301" s="146">
        <v>12.201000000000001</v>
      </c>
    </row>
    <row r="302" spans="32:37" x14ac:dyDescent="0.3">
      <c r="AF302" s="110">
        <v>0.97916666666666696</v>
      </c>
      <c r="AG302" s="146">
        <v>5.0536000000000003</v>
      </c>
      <c r="AH302" s="110">
        <v>0.97916666666666696</v>
      </c>
      <c r="AI302" s="180">
        <v>8.8205200000000001</v>
      </c>
      <c r="AJ302" s="110">
        <v>0.97916666666666696</v>
      </c>
      <c r="AK302" s="146">
        <v>12.201000000000001</v>
      </c>
    </row>
    <row r="303" spans="32:37" x14ac:dyDescent="0.3">
      <c r="AF303" s="111">
        <v>0.98958333333333304</v>
      </c>
      <c r="AG303" s="147">
        <v>5.0536000000000003</v>
      </c>
      <c r="AH303" s="111">
        <v>0.98958333333333304</v>
      </c>
      <c r="AI303" s="176">
        <v>8.8205200000000001</v>
      </c>
      <c r="AJ303" s="111">
        <v>0.98958333333333304</v>
      </c>
      <c r="AK303" s="147">
        <v>12.201000000000001</v>
      </c>
    </row>
    <row r="305" spans="33:38" x14ac:dyDescent="0.3">
      <c r="AG305" s="113">
        <f t="shared" ref="AG305:AK305" si="12">SUM(AG208:AG303)/4</f>
        <v>78.98666799999998</v>
      </c>
      <c r="AH305" s="153" t="s">
        <v>236</v>
      </c>
      <c r="AI305" s="113">
        <f t="shared" si="12"/>
        <v>158.22031999999993</v>
      </c>
      <c r="AJ305" s="153" t="s">
        <v>236</v>
      </c>
      <c r="AK305" s="113">
        <f t="shared" si="12"/>
        <v>221.42510000000004</v>
      </c>
      <c r="AL305" s="153" t="s">
        <v>236</v>
      </c>
    </row>
  </sheetData>
  <mergeCells count="10">
    <mergeCell ref="AT2:AU2"/>
    <mergeCell ref="AW2:AX2"/>
    <mergeCell ref="AF1:AH1"/>
    <mergeCell ref="AM1:AO1"/>
    <mergeCell ref="R1:T1"/>
    <mergeCell ref="AF103:AH103"/>
    <mergeCell ref="AF205:AH205"/>
    <mergeCell ref="D1:F1"/>
    <mergeCell ref="K1:M1"/>
    <mergeCell ref="Y1:AA1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AE1C-49B0-4F13-AAAE-02FB8BC59155}">
  <sheetPr codeName="Sheet26"/>
  <dimension ref="A2:AQ303"/>
  <sheetViews>
    <sheetView zoomScale="80" zoomScaleNormal="80" workbookViewId="0"/>
  </sheetViews>
  <sheetFormatPr defaultRowHeight="14.4" x14ac:dyDescent="0.3"/>
  <cols>
    <col min="1" max="1" width="9.5546875" bestFit="1" customWidth="1"/>
    <col min="2" max="2" width="26.33203125" bestFit="1" customWidth="1"/>
    <col min="4" max="4" width="10.77734375" customWidth="1"/>
    <col min="5" max="5" width="17.6640625" bestFit="1" customWidth="1"/>
    <col min="6" max="6" width="14.44140625" bestFit="1" customWidth="1"/>
    <col min="7" max="7" width="17.6640625" bestFit="1" customWidth="1"/>
    <col min="9" max="9" width="10.77734375" customWidth="1"/>
    <col min="10" max="10" width="17.6640625" bestFit="1" customWidth="1"/>
    <col min="11" max="11" width="13.21875" bestFit="1" customWidth="1"/>
    <col min="12" max="12" width="17.6640625" bestFit="1" customWidth="1"/>
    <col min="14" max="14" width="10.77734375" customWidth="1"/>
    <col min="15" max="15" width="17.6640625" bestFit="1" customWidth="1"/>
    <col min="16" max="16" width="11" bestFit="1" customWidth="1"/>
    <col min="17" max="17" width="17.6640625" bestFit="1" customWidth="1"/>
    <col min="19" max="19" width="10.77734375" customWidth="1"/>
    <col min="20" max="20" width="17.6640625" bestFit="1" customWidth="1"/>
    <col min="21" max="21" width="16" bestFit="1" customWidth="1"/>
    <col min="22" max="22" width="17.6640625" bestFit="1" customWidth="1"/>
    <col min="24" max="24" width="10.77734375" bestFit="1" customWidth="1"/>
    <col min="25" max="25" width="17.6640625" bestFit="1" customWidth="1"/>
    <col min="26" max="26" width="9.21875" bestFit="1" customWidth="1"/>
    <col min="27" max="27" width="19.21875" customWidth="1"/>
    <col min="28" max="28" width="8.88671875" customWidth="1"/>
    <col min="29" max="29" width="10.77734375" customWidth="1"/>
    <col min="30" max="30" width="17.6640625" bestFit="1" customWidth="1"/>
    <col min="31" max="31" width="9.21875" customWidth="1"/>
    <col min="32" max="32" width="17.6640625" bestFit="1" customWidth="1"/>
    <col min="35" max="35" width="17.6640625" bestFit="1" customWidth="1"/>
    <col min="37" max="37" width="17.6640625" bestFit="1" customWidth="1"/>
    <col min="40" max="40" width="17.6640625" bestFit="1" customWidth="1"/>
    <col min="42" max="42" width="17.6640625" bestFit="1" customWidth="1"/>
  </cols>
  <sheetData>
    <row r="2" spans="1:42" x14ac:dyDescent="0.3">
      <c r="B2" s="119" t="s">
        <v>213</v>
      </c>
      <c r="D2" s="134" t="s">
        <v>152</v>
      </c>
      <c r="E2" s="137"/>
      <c r="F2" s="236" t="s">
        <v>275</v>
      </c>
      <c r="G2" s="139"/>
      <c r="H2" s="21"/>
      <c r="I2" s="134" t="s">
        <v>153</v>
      </c>
      <c r="J2" s="137"/>
      <c r="K2" s="236" t="s">
        <v>281</v>
      </c>
      <c r="L2" s="139"/>
      <c r="M2" s="21"/>
      <c r="N2" s="134" t="s">
        <v>154</v>
      </c>
      <c r="O2" s="137"/>
      <c r="P2" s="233" t="s">
        <v>272</v>
      </c>
      <c r="Q2" s="139"/>
      <c r="R2" s="21"/>
      <c r="S2" s="134" t="s">
        <v>155</v>
      </c>
      <c r="T2" s="137"/>
      <c r="U2" s="236" t="s">
        <v>282</v>
      </c>
      <c r="V2" s="139"/>
      <c r="W2" s="21"/>
      <c r="X2" s="198" t="s">
        <v>156</v>
      </c>
      <c r="Y2" s="199"/>
      <c r="Z2" s="293" t="s">
        <v>298</v>
      </c>
      <c r="AA2" s="201"/>
      <c r="AB2" s="21"/>
      <c r="AC2" s="198" t="s">
        <v>157</v>
      </c>
      <c r="AD2" s="199"/>
      <c r="AE2" s="200" t="s">
        <v>258</v>
      </c>
      <c r="AF2" s="202"/>
      <c r="AH2" s="134" t="s">
        <v>219</v>
      </c>
      <c r="AI2" s="315" t="s">
        <v>313</v>
      </c>
      <c r="AJ2" s="138"/>
      <c r="AK2" s="135"/>
      <c r="AM2" s="134" t="s">
        <v>218</v>
      </c>
      <c r="AN2" s="315" t="s">
        <v>314</v>
      </c>
      <c r="AO2" s="138"/>
      <c r="AP2" s="135"/>
    </row>
    <row r="3" spans="1:42" x14ac:dyDescent="0.3">
      <c r="B3" s="41" t="str">
        <f>'User Interface'!C8</f>
        <v>Extreme Winter</v>
      </c>
      <c r="D3" s="124" t="s">
        <v>217</v>
      </c>
      <c r="E3" s="126" t="s">
        <v>207</v>
      </c>
      <c r="F3" s="125" t="s">
        <v>217</v>
      </c>
      <c r="G3" s="114" t="s">
        <v>207</v>
      </c>
      <c r="H3" s="21"/>
      <c r="I3" s="124" t="s">
        <v>217</v>
      </c>
      <c r="J3" s="126" t="s">
        <v>207</v>
      </c>
      <c r="K3" s="125" t="s">
        <v>217</v>
      </c>
      <c r="L3" s="114" t="s">
        <v>207</v>
      </c>
      <c r="M3" s="21"/>
      <c r="N3" s="124" t="s">
        <v>217</v>
      </c>
      <c r="O3" s="126" t="s">
        <v>207</v>
      </c>
      <c r="P3" s="125" t="s">
        <v>217</v>
      </c>
      <c r="Q3" s="114" t="s">
        <v>207</v>
      </c>
      <c r="R3" s="21"/>
      <c r="S3" s="124" t="s">
        <v>217</v>
      </c>
      <c r="T3" s="126" t="s">
        <v>207</v>
      </c>
      <c r="U3" s="125" t="s">
        <v>217</v>
      </c>
      <c r="V3" s="114" t="s">
        <v>207</v>
      </c>
      <c r="W3" s="21"/>
      <c r="X3" s="124" t="s">
        <v>217</v>
      </c>
      <c r="Y3" s="126" t="s">
        <v>207</v>
      </c>
      <c r="Z3" s="125" t="s">
        <v>217</v>
      </c>
      <c r="AA3" s="114" t="s">
        <v>207</v>
      </c>
      <c r="AB3" s="21"/>
      <c r="AC3" s="124" t="s">
        <v>217</v>
      </c>
      <c r="AD3" s="126" t="s">
        <v>207</v>
      </c>
      <c r="AE3" s="125" t="s">
        <v>217</v>
      </c>
      <c r="AF3" s="114" t="s">
        <v>207</v>
      </c>
      <c r="AH3" s="124" t="s">
        <v>217</v>
      </c>
      <c r="AI3" s="127" t="s">
        <v>207</v>
      </c>
      <c r="AJ3" s="125" t="s">
        <v>217</v>
      </c>
      <c r="AK3" s="114" t="s">
        <v>207</v>
      </c>
      <c r="AM3" s="124" t="s">
        <v>217</v>
      </c>
      <c r="AN3" s="127" t="s">
        <v>207</v>
      </c>
      <c r="AO3" s="125" t="s">
        <v>217</v>
      </c>
      <c r="AP3" s="114" t="s">
        <v>207</v>
      </c>
    </row>
    <row r="4" spans="1:42" x14ac:dyDescent="0.3">
      <c r="D4" s="110">
        <v>0</v>
      </c>
      <c r="E4">
        <v>0</v>
      </c>
      <c r="F4" s="108">
        <v>0</v>
      </c>
      <c r="G4" s="20">
        <f>E4</f>
        <v>0</v>
      </c>
      <c r="H4" s="21"/>
      <c r="I4" s="110">
        <v>0</v>
      </c>
      <c r="J4">
        <v>0</v>
      </c>
      <c r="K4" s="108">
        <v>0</v>
      </c>
      <c r="L4" s="20">
        <f>J4</f>
        <v>0</v>
      </c>
      <c r="M4" s="21"/>
      <c r="N4" s="110">
        <v>0</v>
      </c>
      <c r="O4">
        <v>0</v>
      </c>
      <c r="P4" s="108">
        <v>0</v>
      </c>
      <c r="Q4" s="20">
        <f>O4</f>
        <v>0</v>
      </c>
      <c r="R4" s="21"/>
      <c r="S4" s="110">
        <v>0</v>
      </c>
      <c r="T4">
        <v>0</v>
      </c>
      <c r="U4" s="108">
        <v>0</v>
      </c>
      <c r="V4" s="20">
        <f>T4</f>
        <v>0</v>
      </c>
      <c r="W4" s="21"/>
      <c r="X4" s="110">
        <v>0</v>
      </c>
      <c r="Y4" s="180">
        <v>0</v>
      </c>
      <c r="Z4" s="108">
        <v>0</v>
      </c>
      <c r="AA4" s="20">
        <f>Y4</f>
        <v>0</v>
      </c>
      <c r="AB4" s="21"/>
      <c r="AC4" s="110">
        <v>0</v>
      </c>
      <c r="AD4" s="186">
        <v>0</v>
      </c>
      <c r="AE4" s="108">
        <v>0</v>
      </c>
      <c r="AF4" s="20">
        <f>AD4</f>
        <v>0</v>
      </c>
      <c r="AH4" s="110">
        <v>0</v>
      </c>
      <c r="AI4">
        <v>0</v>
      </c>
      <c r="AJ4" s="108">
        <v>0</v>
      </c>
      <c r="AK4" s="20">
        <f>AI4</f>
        <v>0</v>
      </c>
      <c r="AM4" s="110">
        <v>0</v>
      </c>
      <c r="AN4">
        <v>0</v>
      </c>
      <c r="AO4" s="108">
        <v>0</v>
      </c>
      <c r="AP4" s="20">
        <f>AN4</f>
        <v>0</v>
      </c>
    </row>
    <row r="5" spans="1:42" x14ac:dyDescent="0.3">
      <c r="B5" s="123" t="s">
        <v>216</v>
      </c>
      <c r="D5" s="110">
        <v>4.1666666666666664E-2</v>
      </c>
      <c r="E5">
        <v>0</v>
      </c>
      <c r="F5" s="108">
        <v>1.0416666666666666E-2</v>
      </c>
      <c r="G5" s="20">
        <f>E4</f>
        <v>0</v>
      </c>
      <c r="H5" s="21"/>
      <c r="I5" s="110">
        <v>4.1666666666666664E-2</v>
      </c>
      <c r="J5">
        <v>0</v>
      </c>
      <c r="K5" s="108">
        <v>1.0416666666666666E-2</v>
      </c>
      <c r="L5" s="20">
        <f>J4</f>
        <v>0</v>
      </c>
      <c r="M5" s="21"/>
      <c r="N5" s="110">
        <v>4.1666666666666664E-2</v>
      </c>
      <c r="O5">
        <v>0</v>
      </c>
      <c r="P5" s="108">
        <v>1.0416666666666666E-2</v>
      </c>
      <c r="Q5" s="20">
        <f>O4</f>
        <v>0</v>
      </c>
      <c r="R5" s="21"/>
      <c r="S5" s="110">
        <v>4.1666666666666664E-2</v>
      </c>
      <c r="T5">
        <v>0</v>
      </c>
      <c r="U5" s="108">
        <v>1.0416666666666666E-2</v>
      </c>
      <c r="V5" s="20">
        <f>T4</f>
        <v>0</v>
      </c>
      <c r="W5" s="21"/>
      <c r="X5" s="110">
        <v>4.1666666666666664E-2</v>
      </c>
      <c r="Y5" s="180">
        <v>0</v>
      </c>
      <c r="Z5" s="108">
        <v>1.0416666666666666E-2</v>
      </c>
      <c r="AA5" s="20">
        <f>Y4</f>
        <v>0</v>
      </c>
      <c r="AB5" s="21"/>
      <c r="AC5" s="110">
        <v>4.1666666666666664E-2</v>
      </c>
      <c r="AD5" s="186">
        <v>0</v>
      </c>
      <c r="AE5" s="108">
        <v>1.0416666666666666E-2</v>
      </c>
      <c r="AF5" s="20">
        <f>AD4</f>
        <v>0</v>
      </c>
      <c r="AH5" s="110">
        <v>4.1666666666666664E-2</v>
      </c>
      <c r="AI5">
        <v>0</v>
      </c>
      <c r="AJ5" s="108">
        <v>1.0416666666666666E-2</v>
      </c>
      <c r="AK5" s="20">
        <f>AI4</f>
        <v>0</v>
      </c>
      <c r="AM5" s="110">
        <v>4.1666666666666664E-2</v>
      </c>
      <c r="AN5">
        <v>0</v>
      </c>
      <c r="AO5" s="108">
        <v>1.0416666666666666E-2</v>
      </c>
      <c r="AP5" s="20">
        <f>AN4</f>
        <v>0</v>
      </c>
    </row>
    <row r="6" spans="1:42" x14ac:dyDescent="0.3">
      <c r="B6" s="41">
        <f>'User Interface'!E28</f>
        <v>11.2</v>
      </c>
      <c r="D6" s="110">
        <v>8.3333333333333301E-2</v>
      </c>
      <c r="E6">
        <v>0</v>
      </c>
      <c r="F6" s="108">
        <v>2.0833333333333301E-2</v>
      </c>
      <c r="G6" s="20">
        <f>E4</f>
        <v>0</v>
      </c>
      <c r="H6" s="21"/>
      <c r="I6" s="110">
        <v>8.3333333333333301E-2</v>
      </c>
      <c r="J6">
        <v>0</v>
      </c>
      <c r="K6" s="108">
        <v>2.0833333333333301E-2</v>
      </c>
      <c r="L6" s="20">
        <f>J4</f>
        <v>0</v>
      </c>
      <c r="M6" s="21"/>
      <c r="N6" s="110">
        <v>8.3333333333333301E-2</v>
      </c>
      <c r="O6">
        <v>0</v>
      </c>
      <c r="P6" s="108">
        <v>2.0833333333333301E-2</v>
      </c>
      <c r="Q6" s="20">
        <f>O4</f>
        <v>0</v>
      </c>
      <c r="R6" s="21"/>
      <c r="S6" s="110">
        <v>8.3333333333333301E-2</v>
      </c>
      <c r="T6">
        <v>0</v>
      </c>
      <c r="U6" s="108">
        <v>2.0833333333333301E-2</v>
      </c>
      <c r="V6" s="20">
        <f>T4</f>
        <v>0</v>
      </c>
      <c r="W6" s="21"/>
      <c r="X6" s="110">
        <v>8.3333333333333301E-2</v>
      </c>
      <c r="Y6" s="180">
        <v>0</v>
      </c>
      <c r="Z6" s="108">
        <v>2.0833333333333301E-2</v>
      </c>
      <c r="AA6" s="20">
        <f>Y4</f>
        <v>0</v>
      </c>
      <c r="AB6" s="21"/>
      <c r="AC6" s="110">
        <v>8.3333333333333301E-2</v>
      </c>
      <c r="AD6" s="186">
        <v>0</v>
      </c>
      <c r="AE6" s="108">
        <v>2.0833333333333301E-2</v>
      </c>
      <c r="AF6" s="20">
        <f>AD4</f>
        <v>0</v>
      </c>
      <c r="AH6" s="110">
        <v>8.3333333333333301E-2</v>
      </c>
      <c r="AI6">
        <v>0</v>
      </c>
      <c r="AJ6" s="108">
        <v>2.0833333333333301E-2</v>
      </c>
      <c r="AK6" s="20">
        <f>AI4</f>
        <v>0</v>
      </c>
      <c r="AM6" s="110">
        <v>8.3333333333333301E-2</v>
      </c>
      <c r="AN6">
        <v>0</v>
      </c>
      <c r="AO6" s="108">
        <v>2.0833333333333301E-2</v>
      </c>
      <c r="AP6" s="20">
        <f>AN4</f>
        <v>0</v>
      </c>
    </row>
    <row r="7" spans="1:42" x14ac:dyDescent="0.3">
      <c r="A7" s="113"/>
      <c r="D7" s="110">
        <v>0.125</v>
      </c>
      <c r="E7">
        <v>0</v>
      </c>
      <c r="F7" s="108">
        <v>3.125E-2</v>
      </c>
      <c r="G7" s="20">
        <f>E4</f>
        <v>0</v>
      </c>
      <c r="H7" s="21"/>
      <c r="I7" s="110">
        <v>0.125</v>
      </c>
      <c r="J7">
        <v>0</v>
      </c>
      <c r="K7" s="108">
        <v>3.125E-2</v>
      </c>
      <c r="L7" s="20">
        <f>J4</f>
        <v>0</v>
      </c>
      <c r="M7" s="21"/>
      <c r="N7" s="110">
        <v>0.125</v>
      </c>
      <c r="O7">
        <v>0</v>
      </c>
      <c r="P7" s="108">
        <v>3.125E-2</v>
      </c>
      <c r="Q7" s="20">
        <f>O4</f>
        <v>0</v>
      </c>
      <c r="R7" s="21"/>
      <c r="S7" s="110">
        <v>0.125</v>
      </c>
      <c r="T7">
        <v>0</v>
      </c>
      <c r="U7" s="108">
        <v>3.125E-2</v>
      </c>
      <c r="V7" s="20">
        <f>T4</f>
        <v>0</v>
      </c>
      <c r="W7" s="21"/>
      <c r="X7" s="110">
        <v>0.125</v>
      </c>
      <c r="Y7" s="180">
        <v>0</v>
      </c>
      <c r="Z7" s="108">
        <v>3.125E-2</v>
      </c>
      <c r="AA7" s="20">
        <f>Y4</f>
        <v>0</v>
      </c>
      <c r="AB7" s="21"/>
      <c r="AC7" s="110">
        <v>0.125</v>
      </c>
      <c r="AD7" s="186">
        <v>0</v>
      </c>
      <c r="AE7" s="108">
        <v>3.125E-2</v>
      </c>
      <c r="AF7" s="20">
        <f>AD4</f>
        <v>0</v>
      </c>
      <c r="AH7" s="110">
        <v>0.125</v>
      </c>
      <c r="AI7">
        <v>0</v>
      </c>
      <c r="AJ7" s="108">
        <v>3.125E-2</v>
      </c>
      <c r="AK7" s="20">
        <f>AI4</f>
        <v>0</v>
      </c>
      <c r="AM7" s="110">
        <v>0.125</v>
      </c>
      <c r="AN7">
        <v>0</v>
      </c>
      <c r="AO7" s="108">
        <v>3.125E-2</v>
      </c>
      <c r="AP7" s="20">
        <f>AN4</f>
        <v>0</v>
      </c>
    </row>
    <row r="8" spans="1:42" x14ac:dyDescent="0.3">
      <c r="A8" s="164" t="s">
        <v>217</v>
      </c>
      <c r="B8" s="119" t="s">
        <v>212</v>
      </c>
      <c r="D8" s="110">
        <v>0.16666666666666699</v>
      </c>
      <c r="E8">
        <v>0</v>
      </c>
      <c r="F8" s="108">
        <v>4.1666666666666699E-2</v>
      </c>
      <c r="G8" s="20">
        <f>E5</f>
        <v>0</v>
      </c>
      <c r="H8" s="21"/>
      <c r="I8" s="110">
        <v>0.16666666666666699</v>
      </c>
      <c r="J8">
        <v>0</v>
      </c>
      <c r="K8" s="108">
        <v>4.1666666666666699E-2</v>
      </c>
      <c r="L8" s="20">
        <f>J5</f>
        <v>0</v>
      </c>
      <c r="M8" s="21"/>
      <c r="N8" s="110">
        <v>0.16666666666666699</v>
      </c>
      <c r="O8">
        <v>0</v>
      </c>
      <c r="P8" s="108">
        <v>4.1666666666666699E-2</v>
      </c>
      <c r="Q8" s="20">
        <f>O5</f>
        <v>0</v>
      </c>
      <c r="R8" s="21"/>
      <c r="S8" s="110">
        <v>0.16666666666666699</v>
      </c>
      <c r="T8">
        <v>0</v>
      </c>
      <c r="U8" s="108">
        <v>4.1666666666666699E-2</v>
      </c>
      <c r="V8" s="20">
        <f>T5</f>
        <v>0</v>
      </c>
      <c r="W8" s="21"/>
      <c r="X8" s="110">
        <v>0.16666666666666699</v>
      </c>
      <c r="Y8" s="180">
        <v>0</v>
      </c>
      <c r="Z8" s="108">
        <v>4.1666666666666699E-2</v>
      </c>
      <c r="AA8" s="20">
        <f>Y5</f>
        <v>0</v>
      </c>
      <c r="AB8" s="21"/>
      <c r="AC8" s="110">
        <v>0.16666666666666699</v>
      </c>
      <c r="AD8" s="186">
        <v>0</v>
      </c>
      <c r="AE8" s="108">
        <v>4.1666666666666699E-2</v>
      </c>
      <c r="AF8" s="20">
        <f>AD5</f>
        <v>0</v>
      </c>
      <c r="AH8" s="110">
        <v>0.16666666666666699</v>
      </c>
      <c r="AI8">
        <v>0</v>
      </c>
      <c r="AJ8" s="108">
        <v>4.1666666666666699E-2</v>
      </c>
      <c r="AK8" s="20">
        <f>AI5</f>
        <v>0</v>
      </c>
      <c r="AM8" s="110">
        <v>0.16666666666666699</v>
      </c>
      <c r="AN8">
        <v>0</v>
      </c>
      <c r="AO8" s="108">
        <v>4.1666666666666699E-2</v>
      </c>
      <c r="AP8" s="20">
        <f>AN5</f>
        <v>0</v>
      </c>
    </row>
    <row r="9" spans="1:42" x14ac:dyDescent="0.3">
      <c r="A9" s="108">
        <v>0</v>
      </c>
      <c r="B9" s="117">
        <f>IF($B$6&gt;0,IF($B$3=$D$2,G4*$B$6,IF($B$3=$I$2,L4*$B$6,IF($B$3=$N$2,Q4*$B$6,IF($B$3=$S$2,V4*$B$6,IF($B$3=$X$2,AA4*$B$6,IF($B$3=$AC$2,AF4*$B$6,IF($B$3=$AH$2,AK4*$B$6,IF($B$3=$AM$2,AP4*$B$6,0)))))))),0)</f>
        <v>0</v>
      </c>
      <c r="D9" s="110">
        <v>0.20833333333333301</v>
      </c>
      <c r="E9">
        <v>0</v>
      </c>
      <c r="F9" s="108">
        <v>5.2083333333333301E-2</v>
      </c>
      <c r="G9" s="20">
        <f>E5</f>
        <v>0</v>
      </c>
      <c r="H9" s="21"/>
      <c r="I9" s="110">
        <v>0.20833333333333301</v>
      </c>
      <c r="J9">
        <v>0</v>
      </c>
      <c r="K9" s="108">
        <v>5.2083333333333301E-2</v>
      </c>
      <c r="L9" s="20">
        <f>J5</f>
        <v>0</v>
      </c>
      <c r="M9" s="21"/>
      <c r="N9" s="110">
        <v>0.20833333333333301</v>
      </c>
      <c r="O9">
        <v>0</v>
      </c>
      <c r="P9" s="108">
        <v>5.2083333333333301E-2</v>
      </c>
      <c r="Q9" s="20">
        <f>O5</f>
        <v>0</v>
      </c>
      <c r="R9" s="21"/>
      <c r="S9" s="110">
        <v>0.20833333333333301</v>
      </c>
      <c r="T9">
        <v>0</v>
      </c>
      <c r="U9" s="108">
        <v>5.2083333333333301E-2</v>
      </c>
      <c r="V9" s="20">
        <f>T5</f>
        <v>0</v>
      </c>
      <c r="W9" s="21"/>
      <c r="X9" s="110">
        <v>0.20833333333333301</v>
      </c>
      <c r="Y9" s="180">
        <v>0</v>
      </c>
      <c r="Z9" s="108">
        <v>5.2083333333333301E-2</v>
      </c>
      <c r="AA9" s="20">
        <f>Y5</f>
        <v>0</v>
      </c>
      <c r="AB9" s="21"/>
      <c r="AC9" s="110">
        <v>0.20833333333333301</v>
      </c>
      <c r="AD9" s="186">
        <v>0</v>
      </c>
      <c r="AE9" s="108">
        <v>5.2083333333333301E-2</v>
      </c>
      <c r="AF9" s="20">
        <f>AD5</f>
        <v>0</v>
      </c>
      <c r="AH9" s="110">
        <v>0.20833333333333301</v>
      </c>
      <c r="AI9">
        <v>0</v>
      </c>
      <c r="AJ9" s="108">
        <v>5.2083333333333301E-2</v>
      </c>
      <c r="AK9" s="20">
        <f>AI5</f>
        <v>0</v>
      </c>
      <c r="AM9" s="110">
        <v>0.20833333333333301</v>
      </c>
      <c r="AN9">
        <v>0</v>
      </c>
      <c r="AO9" s="108">
        <v>5.2083333333333301E-2</v>
      </c>
      <c r="AP9" s="20">
        <f>AN5</f>
        <v>0</v>
      </c>
    </row>
    <row r="10" spans="1:42" x14ac:dyDescent="0.3">
      <c r="A10" s="108">
        <v>1.0416666666666666E-2</v>
      </c>
      <c r="B10" s="117">
        <f t="shared" ref="B10:B73" si="0">IF($B$6&gt;0,IF($B$3=$D$2,G5*$B$6,IF($B$3=$I$2,L5*$B$6,IF($B$3=$N$2,Q5*$B$6,IF($B$3=$S$2,V5*$B$6,IF($B$3=$X$2,AA5*$B$6,IF($B$3=$AC$2,AF5*$B$6,IF($B$3=$AH$2,AK5*$B$6,IF($B$3=$AM$2,AP5*$B$6,0)))))))),0)</f>
        <v>0</v>
      </c>
      <c r="D10" s="110">
        <v>0.25</v>
      </c>
      <c r="E10">
        <v>0</v>
      </c>
      <c r="F10" s="108">
        <v>6.25E-2</v>
      </c>
      <c r="G10" s="20">
        <f>E5</f>
        <v>0</v>
      </c>
      <c r="H10" s="21"/>
      <c r="I10" s="110">
        <v>0.25</v>
      </c>
      <c r="J10">
        <v>0</v>
      </c>
      <c r="K10" s="108">
        <v>6.25E-2</v>
      </c>
      <c r="L10" s="20">
        <f>J5</f>
        <v>0</v>
      </c>
      <c r="M10" s="21"/>
      <c r="N10" s="110">
        <v>0.25</v>
      </c>
      <c r="O10">
        <v>26.060199999999998</v>
      </c>
      <c r="P10" s="108">
        <v>6.25E-2</v>
      </c>
      <c r="Q10" s="20">
        <f>O5</f>
        <v>0</v>
      </c>
      <c r="R10" s="21"/>
      <c r="S10" s="110">
        <v>0.25</v>
      </c>
      <c r="T10">
        <v>0</v>
      </c>
      <c r="U10" s="108">
        <v>6.25E-2</v>
      </c>
      <c r="V10" s="20">
        <f>T5</f>
        <v>0</v>
      </c>
      <c r="W10" s="21"/>
      <c r="X10" s="110">
        <v>0.25</v>
      </c>
      <c r="Y10" s="180">
        <v>0</v>
      </c>
      <c r="Z10" s="108">
        <v>6.25E-2</v>
      </c>
      <c r="AA10" s="20">
        <f>Y5</f>
        <v>0</v>
      </c>
      <c r="AB10" s="21"/>
      <c r="AC10" s="110">
        <v>0.25</v>
      </c>
      <c r="AD10" s="186">
        <v>23.501999999999999</v>
      </c>
      <c r="AE10" s="108">
        <v>6.25E-2</v>
      </c>
      <c r="AF10" s="20">
        <f>AD5</f>
        <v>0</v>
      </c>
      <c r="AH10" s="110">
        <v>0.25</v>
      </c>
      <c r="AI10">
        <v>0</v>
      </c>
      <c r="AJ10" s="108">
        <v>6.25E-2</v>
      </c>
      <c r="AK10" s="20">
        <f>AI5</f>
        <v>0</v>
      </c>
      <c r="AM10" s="110">
        <v>0.25</v>
      </c>
      <c r="AN10">
        <v>0</v>
      </c>
      <c r="AO10" s="108">
        <v>6.25E-2</v>
      </c>
      <c r="AP10" s="20">
        <f>AN5</f>
        <v>0</v>
      </c>
    </row>
    <row r="11" spans="1:42" x14ac:dyDescent="0.3">
      <c r="A11" s="108">
        <v>2.0833333333333301E-2</v>
      </c>
      <c r="B11" s="117">
        <f t="shared" si="0"/>
        <v>0</v>
      </c>
      <c r="D11" s="110">
        <v>0.29166666666666702</v>
      </c>
      <c r="E11">
        <v>0</v>
      </c>
      <c r="F11" s="108">
        <v>7.2916666666666699E-2</v>
      </c>
      <c r="G11" s="20">
        <f>E5</f>
        <v>0</v>
      </c>
      <c r="H11" s="21"/>
      <c r="I11" s="110">
        <v>0.29166666666666702</v>
      </c>
      <c r="J11">
        <v>86.332800000000006</v>
      </c>
      <c r="K11" s="108">
        <v>7.2916666666666699E-2</v>
      </c>
      <c r="L11" s="20">
        <f>J5</f>
        <v>0</v>
      </c>
      <c r="M11" s="21"/>
      <c r="N11" s="110">
        <v>0.29166666666666702</v>
      </c>
      <c r="O11">
        <v>109.22199999999999</v>
      </c>
      <c r="P11" s="108">
        <v>7.2916666666666699E-2</v>
      </c>
      <c r="Q11" s="20">
        <f>O5</f>
        <v>0</v>
      </c>
      <c r="R11" s="21"/>
      <c r="S11" s="110">
        <v>0.29166666666666702</v>
      </c>
      <c r="T11">
        <v>2.194</v>
      </c>
      <c r="U11" s="108">
        <v>7.2916666666666699E-2</v>
      </c>
      <c r="V11" s="20">
        <f>T5</f>
        <v>0</v>
      </c>
      <c r="W11" s="21"/>
      <c r="X11" s="110">
        <v>0.29166666666666702</v>
      </c>
      <c r="Y11" s="180">
        <v>0</v>
      </c>
      <c r="Z11" s="108">
        <v>7.2916666666666699E-2</v>
      </c>
      <c r="AA11" s="20">
        <f>Y5</f>
        <v>0</v>
      </c>
      <c r="AB11" s="21"/>
      <c r="AC11" s="110">
        <v>0.29166666666666702</v>
      </c>
      <c r="AD11" s="186">
        <v>109.069</v>
      </c>
      <c r="AE11" s="108">
        <v>7.2916666666666699E-2</v>
      </c>
      <c r="AF11" s="20">
        <f>AD5</f>
        <v>0</v>
      </c>
      <c r="AH11" s="110">
        <v>0.29166666666666702</v>
      </c>
      <c r="AI11">
        <v>55.297199999999997</v>
      </c>
      <c r="AJ11" s="108">
        <v>7.2916666666666699E-2</v>
      </c>
      <c r="AK11" s="20">
        <f>AI5</f>
        <v>0</v>
      </c>
      <c r="AM11" s="110">
        <v>0.29166666666666702</v>
      </c>
      <c r="AN11">
        <v>64.83</v>
      </c>
      <c r="AO11" s="108">
        <v>7.2916666666666699E-2</v>
      </c>
      <c r="AP11" s="20">
        <f>AN5</f>
        <v>0</v>
      </c>
    </row>
    <row r="12" spans="1:42" x14ac:dyDescent="0.3">
      <c r="A12" s="108">
        <v>3.125E-2</v>
      </c>
      <c r="B12" s="117">
        <f t="shared" si="0"/>
        <v>0</v>
      </c>
      <c r="D12" s="110">
        <v>0.33333333333333298</v>
      </c>
      <c r="E12">
        <v>152.63300000000001</v>
      </c>
      <c r="F12" s="108">
        <v>8.3333333333333301E-2</v>
      </c>
      <c r="G12" s="20">
        <f>E6</f>
        <v>0</v>
      </c>
      <c r="H12" s="21"/>
      <c r="I12" s="110">
        <v>0.33333333333333298</v>
      </c>
      <c r="J12">
        <v>287.75</v>
      </c>
      <c r="K12" s="108">
        <v>8.3333333333333301E-2</v>
      </c>
      <c r="L12" s="20">
        <f>J6</f>
        <v>0</v>
      </c>
      <c r="M12" s="21"/>
      <c r="N12" s="110">
        <v>0.33333333333333298</v>
      </c>
      <c r="O12">
        <v>289.24400000000003</v>
      </c>
      <c r="P12" s="108">
        <v>8.3333333333333301E-2</v>
      </c>
      <c r="Q12" s="20">
        <f>O6</f>
        <v>0</v>
      </c>
      <c r="R12" s="21"/>
      <c r="S12" s="110">
        <v>0.33333333333333298</v>
      </c>
      <c r="T12">
        <v>14.879099999999999</v>
      </c>
      <c r="U12" s="108">
        <v>8.3333333333333301E-2</v>
      </c>
      <c r="V12" s="20">
        <f>T6</f>
        <v>0</v>
      </c>
      <c r="W12" s="21"/>
      <c r="X12" s="110">
        <v>0.33333333333333298</v>
      </c>
      <c r="Y12" s="180">
        <v>76.831799999999987</v>
      </c>
      <c r="Z12" s="108">
        <v>8.3333333333333301E-2</v>
      </c>
      <c r="AA12" s="20">
        <f>Y6</f>
        <v>0</v>
      </c>
      <c r="AB12" s="21"/>
      <c r="AC12" s="110">
        <v>0.33333333333333298</v>
      </c>
      <c r="AD12" s="186">
        <v>289.93900000000002</v>
      </c>
      <c r="AE12" s="108">
        <v>8.3333333333333301E-2</v>
      </c>
      <c r="AF12" s="20">
        <f>AD6</f>
        <v>0</v>
      </c>
      <c r="AH12" s="110">
        <v>0.33333333333333298</v>
      </c>
      <c r="AI12">
        <v>93.477599999999995</v>
      </c>
      <c r="AJ12" s="108">
        <v>8.3333333333333301E-2</v>
      </c>
      <c r="AK12" s="20">
        <f>AI6</f>
        <v>0</v>
      </c>
      <c r="AM12" s="110">
        <v>0.33333333333333298</v>
      </c>
      <c r="AN12">
        <v>163.19900000000001</v>
      </c>
      <c r="AO12" s="108">
        <v>8.3333333333333301E-2</v>
      </c>
      <c r="AP12" s="20">
        <f>AN6</f>
        <v>0</v>
      </c>
    </row>
    <row r="13" spans="1:42" x14ac:dyDescent="0.3">
      <c r="A13" s="108">
        <v>4.1666666666666699E-2</v>
      </c>
      <c r="B13" s="117">
        <f t="shared" si="0"/>
        <v>0</v>
      </c>
      <c r="D13" s="110">
        <v>0.375</v>
      </c>
      <c r="E13">
        <v>176.006</v>
      </c>
      <c r="F13" s="108">
        <v>9.375E-2</v>
      </c>
      <c r="G13" s="20">
        <f>E6</f>
        <v>0</v>
      </c>
      <c r="H13" s="21"/>
      <c r="I13" s="110">
        <v>0.375</v>
      </c>
      <c r="J13">
        <v>493.27</v>
      </c>
      <c r="K13" s="108">
        <v>9.375E-2</v>
      </c>
      <c r="L13" s="20">
        <f>J6</f>
        <v>0</v>
      </c>
      <c r="M13" s="21"/>
      <c r="N13" s="110">
        <v>0.375</v>
      </c>
      <c r="O13">
        <v>391.15800000000002</v>
      </c>
      <c r="P13" s="108">
        <v>9.375E-2</v>
      </c>
      <c r="Q13" s="20">
        <f>O6</f>
        <v>0</v>
      </c>
      <c r="R13" s="21"/>
      <c r="S13" s="110">
        <v>0.375</v>
      </c>
      <c r="T13">
        <v>34.5045</v>
      </c>
      <c r="U13" s="108">
        <v>9.375E-2</v>
      </c>
      <c r="V13" s="20">
        <f>T6</f>
        <v>0</v>
      </c>
      <c r="W13" s="21"/>
      <c r="X13" s="110">
        <v>0.375</v>
      </c>
      <c r="Y13" s="180">
        <v>346.09499999999997</v>
      </c>
      <c r="Z13" s="108">
        <v>9.375E-2</v>
      </c>
      <c r="AA13" s="20">
        <f>Y6</f>
        <v>0</v>
      </c>
      <c r="AB13" s="21"/>
      <c r="AC13" s="110">
        <v>0.375</v>
      </c>
      <c r="AD13" s="186">
        <v>462.036</v>
      </c>
      <c r="AE13" s="108">
        <v>9.375E-2</v>
      </c>
      <c r="AF13" s="20">
        <f>AD6</f>
        <v>0</v>
      </c>
      <c r="AH13" s="110">
        <v>0.375</v>
      </c>
      <c r="AI13">
        <v>83.881299999999996</v>
      </c>
      <c r="AJ13" s="108">
        <v>9.375E-2</v>
      </c>
      <c r="AK13" s="20">
        <f>AI6</f>
        <v>0</v>
      </c>
      <c r="AM13" s="110">
        <v>0.375</v>
      </c>
      <c r="AN13">
        <v>349.16800000000001</v>
      </c>
      <c r="AO13" s="108">
        <v>9.375E-2</v>
      </c>
      <c r="AP13" s="20">
        <f>AN6</f>
        <v>0</v>
      </c>
    </row>
    <row r="14" spans="1:42" x14ac:dyDescent="0.3">
      <c r="A14" s="108">
        <v>5.2083333333333301E-2</v>
      </c>
      <c r="B14" s="117">
        <f t="shared" si="0"/>
        <v>0</v>
      </c>
      <c r="D14" s="110">
        <v>0.41666666666666702</v>
      </c>
      <c r="E14">
        <v>275.61700000000002</v>
      </c>
      <c r="F14" s="108">
        <v>0.104166666666667</v>
      </c>
      <c r="G14" s="20">
        <f>E6</f>
        <v>0</v>
      </c>
      <c r="H14" s="21"/>
      <c r="I14" s="110">
        <v>0.41666666666666702</v>
      </c>
      <c r="J14">
        <v>651.49400000000003</v>
      </c>
      <c r="K14" s="108">
        <v>0.104166666666667</v>
      </c>
      <c r="L14" s="20">
        <f>J6</f>
        <v>0</v>
      </c>
      <c r="M14" s="21"/>
      <c r="N14" s="110">
        <v>0.41666666666666702</v>
      </c>
      <c r="O14">
        <v>509.70300000000003</v>
      </c>
      <c r="P14" s="108">
        <v>0.104166666666667</v>
      </c>
      <c r="Q14" s="20">
        <f>O6</f>
        <v>0</v>
      </c>
      <c r="R14" s="21"/>
      <c r="S14" s="110">
        <v>0.41666666666666702</v>
      </c>
      <c r="T14">
        <v>25.8811</v>
      </c>
      <c r="U14" s="108">
        <v>0.104166666666667</v>
      </c>
      <c r="V14" s="20">
        <f>T6</f>
        <v>0</v>
      </c>
      <c r="W14" s="21"/>
      <c r="X14" s="110">
        <v>0.41666666666666702</v>
      </c>
      <c r="Y14" s="180">
        <v>549.197</v>
      </c>
      <c r="Z14" s="108">
        <v>0.104166666666667</v>
      </c>
      <c r="AA14" s="20">
        <f>Y6</f>
        <v>0</v>
      </c>
      <c r="AB14" s="21"/>
      <c r="AC14" s="110">
        <v>0.41666666666666702</v>
      </c>
      <c r="AD14" s="186">
        <v>590.22500000000002</v>
      </c>
      <c r="AE14" s="108">
        <v>0.104166666666667</v>
      </c>
      <c r="AF14" s="20">
        <f>AD6</f>
        <v>0</v>
      </c>
      <c r="AH14" s="110">
        <v>0.41666666666666702</v>
      </c>
      <c r="AI14">
        <v>409.94900000000001</v>
      </c>
      <c r="AJ14" s="108">
        <v>0.104166666666667</v>
      </c>
      <c r="AK14" s="20">
        <f>AI6</f>
        <v>0</v>
      </c>
      <c r="AM14" s="110">
        <v>0.41666666666666702</v>
      </c>
      <c r="AN14">
        <v>275.17</v>
      </c>
      <c r="AO14" s="108">
        <v>0.104166666666667</v>
      </c>
      <c r="AP14" s="20">
        <f>AN6</f>
        <v>0</v>
      </c>
    </row>
    <row r="15" spans="1:42" x14ac:dyDescent="0.3">
      <c r="A15" s="108">
        <v>6.25E-2</v>
      </c>
      <c r="B15" s="117">
        <f t="shared" si="0"/>
        <v>0</v>
      </c>
      <c r="D15" s="110">
        <v>0.45833333333333298</v>
      </c>
      <c r="E15">
        <v>394.745</v>
      </c>
      <c r="F15" s="108">
        <v>0.114583333333333</v>
      </c>
      <c r="G15" s="20">
        <f>E6</f>
        <v>0</v>
      </c>
      <c r="H15" s="21"/>
      <c r="I15" s="110">
        <v>0.45833333333333298</v>
      </c>
      <c r="J15">
        <v>734.726</v>
      </c>
      <c r="K15" s="108">
        <v>0.114583333333333</v>
      </c>
      <c r="L15" s="20">
        <f>J6</f>
        <v>0</v>
      </c>
      <c r="M15" s="21"/>
      <c r="N15" s="110">
        <v>0.45833333333333298</v>
      </c>
      <c r="O15">
        <v>595.25099999999998</v>
      </c>
      <c r="P15" s="108">
        <v>0.114583333333333</v>
      </c>
      <c r="Q15" s="20">
        <f>O6</f>
        <v>0</v>
      </c>
      <c r="R15" s="21"/>
      <c r="S15" s="110">
        <v>0.45833333333333298</v>
      </c>
      <c r="T15">
        <v>109.346</v>
      </c>
      <c r="U15" s="108">
        <v>0.114583333333333</v>
      </c>
      <c r="V15" s="20">
        <f>T6</f>
        <v>0</v>
      </c>
      <c r="W15" s="21"/>
      <c r="X15" s="110">
        <v>0.45833333333333298</v>
      </c>
      <c r="Y15" s="180">
        <v>669.8839999999999</v>
      </c>
      <c r="Z15" s="108">
        <v>0.114583333333333</v>
      </c>
      <c r="AA15" s="20">
        <f>Y6</f>
        <v>0</v>
      </c>
      <c r="AB15" s="21"/>
      <c r="AC15" s="110">
        <v>0.45833333333333298</v>
      </c>
      <c r="AD15" s="186">
        <v>596.80999999999995</v>
      </c>
      <c r="AE15" s="108">
        <v>0.114583333333333</v>
      </c>
      <c r="AF15" s="20">
        <f>AD6</f>
        <v>0</v>
      </c>
      <c r="AH15" s="110">
        <v>0.45833333333333298</v>
      </c>
      <c r="AI15">
        <v>541.62699999999995</v>
      </c>
      <c r="AJ15" s="108">
        <v>0.114583333333333</v>
      </c>
      <c r="AK15" s="20">
        <f>AI6</f>
        <v>0</v>
      </c>
      <c r="AM15" s="110">
        <v>0.45833333333333298</v>
      </c>
      <c r="AN15">
        <v>315.83699999999999</v>
      </c>
      <c r="AO15" s="108">
        <v>0.114583333333333</v>
      </c>
      <c r="AP15" s="20">
        <f>AN6</f>
        <v>0</v>
      </c>
    </row>
    <row r="16" spans="1:42" x14ac:dyDescent="0.3">
      <c r="A16" s="108">
        <v>7.2916666666666699E-2</v>
      </c>
      <c r="B16" s="117">
        <f t="shared" si="0"/>
        <v>0</v>
      </c>
      <c r="D16" s="110">
        <v>0.5</v>
      </c>
      <c r="E16">
        <v>656.71100000000001</v>
      </c>
      <c r="F16" s="108">
        <v>0.125</v>
      </c>
      <c r="G16" s="20">
        <f>E7</f>
        <v>0</v>
      </c>
      <c r="H16" s="21"/>
      <c r="I16" s="110">
        <v>0.5</v>
      </c>
      <c r="J16">
        <v>804.50699999999995</v>
      </c>
      <c r="K16" s="108">
        <v>0.125</v>
      </c>
      <c r="L16" s="20">
        <f>J7</f>
        <v>0</v>
      </c>
      <c r="M16" s="21"/>
      <c r="N16" s="110">
        <v>0.5</v>
      </c>
      <c r="O16">
        <v>596.88200000000006</v>
      </c>
      <c r="P16" s="108">
        <v>0.125</v>
      </c>
      <c r="Q16" s="20">
        <f>O7</f>
        <v>0</v>
      </c>
      <c r="R16" s="21"/>
      <c r="S16" s="110">
        <v>0.5</v>
      </c>
      <c r="T16">
        <v>102.075</v>
      </c>
      <c r="U16" s="108">
        <v>0.125</v>
      </c>
      <c r="V16" s="20">
        <f>T7</f>
        <v>0</v>
      </c>
      <c r="W16" s="21"/>
      <c r="X16" s="110">
        <v>0.5</v>
      </c>
      <c r="Y16" s="180">
        <v>754.54399999999998</v>
      </c>
      <c r="Z16" s="108">
        <v>0.125</v>
      </c>
      <c r="AA16" s="20">
        <f>Y7</f>
        <v>0</v>
      </c>
      <c r="AB16" s="21"/>
      <c r="AC16" s="110">
        <v>0.5</v>
      </c>
      <c r="AD16" s="186">
        <v>707.81899999999996</v>
      </c>
      <c r="AE16" s="108">
        <v>0.125</v>
      </c>
      <c r="AF16" s="20">
        <f>AD7</f>
        <v>0</v>
      </c>
      <c r="AH16" s="110">
        <v>0.5</v>
      </c>
      <c r="AI16">
        <v>711.77300000000002</v>
      </c>
      <c r="AJ16" s="108">
        <v>0.125</v>
      </c>
      <c r="AK16" s="20">
        <f>AI7</f>
        <v>0</v>
      </c>
      <c r="AM16" s="110">
        <v>0.5</v>
      </c>
      <c r="AN16">
        <v>639.923</v>
      </c>
      <c r="AO16" s="108">
        <v>0.125</v>
      </c>
      <c r="AP16" s="20">
        <f>AN7</f>
        <v>0</v>
      </c>
    </row>
    <row r="17" spans="1:42" x14ac:dyDescent="0.3">
      <c r="A17" s="108">
        <v>8.3333333333333301E-2</v>
      </c>
      <c r="B17" s="117">
        <f t="shared" si="0"/>
        <v>0</v>
      </c>
      <c r="D17" s="110">
        <v>0.54166666666666696</v>
      </c>
      <c r="E17">
        <v>736.221</v>
      </c>
      <c r="F17" s="108">
        <v>0.13541666666666699</v>
      </c>
      <c r="G17" s="20">
        <f>E7</f>
        <v>0</v>
      </c>
      <c r="H17" s="21"/>
      <c r="I17" s="110">
        <v>0.54166666666666696</v>
      </c>
      <c r="J17">
        <v>783.327</v>
      </c>
      <c r="K17" s="108">
        <v>0.13541666666666699</v>
      </c>
      <c r="L17" s="20">
        <f>J7</f>
        <v>0</v>
      </c>
      <c r="M17" s="21"/>
      <c r="N17" s="110">
        <v>0.54166666666666696</v>
      </c>
      <c r="O17">
        <v>679.149</v>
      </c>
      <c r="P17" s="108">
        <v>0.13541666666666699</v>
      </c>
      <c r="Q17" s="20">
        <f>O7</f>
        <v>0</v>
      </c>
      <c r="R17" s="21"/>
      <c r="S17" s="110">
        <v>0.54166666666666696</v>
      </c>
      <c r="T17">
        <v>36.9</v>
      </c>
      <c r="U17" s="108">
        <v>0.13541666666666699</v>
      </c>
      <c r="V17" s="20">
        <f>T7</f>
        <v>0</v>
      </c>
      <c r="W17" s="21"/>
      <c r="X17" s="110">
        <v>0.54166666666666696</v>
      </c>
      <c r="Y17" s="180">
        <v>753.81600000000003</v>
      </c>
      <c r="Z17" s="108">
        <v>0.13541666666666699</v>
      </c>
      <c r="AA17" s="20">
        <f>Y7</f>
        <v>0</v>
      </c>
      <c r="AB17" s="21"/>
      <c r="AC17" s="110">
        <v>0.54166666666666696</v>
      </c>
      <c r="AD17" s="186">
        <v>695.18200000000002</v>
      </c>
      <c r="AE17" s="108">
        <v>0.13541666666666699</v>
      </c>
      <c r="AF17" s="20">
        <f>AD7</f>
        <v>0</v>
      </c>
      <c r="AH17" s="110">
        <v>0.54166666666666696</v>
      </c>
      <c r="AI17">
        <v>747.90700000000004</v>
      </c>
      <c r="AJ17" s="108">
        <v>0.13541666666666699</v>
      </c>
      <c r="AK17" s="20">
        <f>AI7</f>
        <v>0</v>
      </c>
      <c r="AM17" s="110">
        <v>0.54166666666666696</v>
      </c>
      <c r="AN17">
        <v>620.01099999999997</v>
      </c>
      <c r="AO17" s="108">
        <v>0.13541666666666699</v>
      </c>
      <c r="AP17" s="20">
        <f>AN7</f>
        <v>0</v>
      </c>
    </row>
    <row r="18" spans="1:42" x14ac:dyDescent="0.3">
      <c r="A18" s="108">
        <v>9.375E-2</v>
      </c>
      <c r="B18" s="117">
        <f t="shared" si="0"/>
        <v>0</v>
      </c>
      <c r="D18" s="110">
        <v>0.58333333333333304</v>
      </c>
      <c r="E18">
        <v>680.13499999999999</v>
      </c>
      <c r="F18" s="108">
        <v>0.14583333333333301</v>
      </c>
      <c r="G18" s="20">
        <f>E7</f>
        <v>0</v>
      </c>
      <c r="H18" s="21"/>
      <c r="I18" s="110">
        <v>0.58333333333333304</v>
      </c>
      <c r="J18">
        <v>745.93299999999999</v>
      </c>
      <c r="K18" s="108">
        <v>0.14583333333333301</v>
      </c>
      <c r="L18" s="20">
        <f>J7</f>
        <v>0</v>
      </c>
      <c r="M18" s="21"/>
      <c r="N18" s="110">
        <v>0.58333333333333304</v>
      </c>
      <c r="O18">
        <v>656.44200000000001</v>
      </c>
      <c r="P18" s="108">
        <v>0.14583333333333301</v>
      </c>
      <c r="Q18" s="20">
        <f>O7</f>
        <v>0</v>
      </c>
      <c r="R18" s="21"/>
      <c r="S18" s="110">
        <v>0.58333333333333304</v>
      </c>
      <c r="T18">
        <v>46.874299999999998</v>
      </c>
      <c r="U18" s="108">
        <v>0.14583333333333301</v>
      </c>
      <c r="V18" s="20">
        <f>T7</f>
        <v>0</v>
      </c>
      <c r="W18" s="21"/>
      <c r="X18" s="110">
        <v>0.58333333333333304</v>
      </c>
      <c r="Y18" s="180">
        <v>691.90300000000002</v>
      </c>
      <c r="Z18" s="108">
        <v>0.14583333333333301</v>
      </c>
      <c r="AA18" s="20">
        <f>Y7</f>
        <v>0</v>
      </c>
      <c r="AB18" s="21"/>
      <c r="AC18" s="110">
        <v>0.58333333333333304</v>
      </c>
      <c r="AD18" s="186">
        <v>646.83699999999999</v>
      </c>
      <c r="AE18" s="108">
        <v>0.14583333333333301</v>
      </c>
      <c r="AF18" s="20">
        <f>AD7</f>
        <v>0</v>
      </c>
      <c r="AH18" s="110">
        <v>0.58333333333333304</v>
      </c>
      <c r="AI18">
        <v>689.96699999999998</v>
      </c>
      <c r="AJ18" s="108">
        <v>0.14583333333333301</v>
      </c>
      <c r="AK18" s="20">
        <f>AI7</f>
        <v>0</v>
      </c>
      <c r="AM18" s="110">
        <v>0.58333333333333304</v>
      </c>
      <c r="AN18">
        <v>645.95100000000002</v>
      </c>
      <c r="AO18" s="108">
        <v>0.14583333333333301</v>
      </c>
      <c r="AP18" s="20">
        <f>AN7</f>
        <v>0</v>
      </c>
    </row>
    <row r="19" spans="1:42" x14ac:dyDescent="0.3">
      <c r="A19" s="108">
        <v>0.104166666666667</v>
      </c>
      <c r="B19" s="117">
        <f t="shared" si="0"/>
        <v>0</v>
      </c>
      <c r="D19" s="110">
        <v>0.625</v>
      </c>
      <c r="E19">
        <v>559.33799999999997</v>
      </c>
      <c r="F19" s="108">
        <v>0.15625</v>
      </c>
      <c r="G19" s="20">
        <f>E7</f>
        <v>0</v>
      </c>
      <c r="H19" s="21"/>
      <c r="I19" s="110">
        <v>0.625</v>
      </c>
      <c r="J19">
        <v>641.24199999999996</v>
      </c>
      <c r="K19" s="108">
        <v>0.15625</v>
      </c>
      <c r="L19" s="20">
        <f>J7</f>
        <v>0</v>
      </c>
      <c r="M19" s="21"/>
      <c r="N19" s="110">
        <v>0.625</v>
      </c>
      <c r="O19">
        <v>554.33500000000004</v>
      </c>
      <c r="P19" s="108">
        <v>0.15625</v>
      </c>
      <c r="Q19" s="20">
        <f>O7</f>
        <v>0</v>
      </c>
      <c r="R19" s="21"/>
      <c r="S19" s="110">
        <v>0.625</v>
      </c>
      <c r="T19">
        <v>20.000699999999998</v>
      </c>
      <c r="U19" s="108">
        <v>0.15625</v>
      </c>
      <c r="V19" s="20">
        <f>T7</f>
        <v>0</v>
      </c>
      <c r="W19" s="21"/>
      <c r="X19" s="110">
        <v>0.625</v>
      </c>
      <c r="Y19" s="180">
        <v>560.45600000000002</v>
      </c>
      <c r="Z19" s="108">
        <v>0.15625</v>
      </c>
      <c r="AA19" s="20">
        <f>Y7</f>
        <v>0</v>
      </c>
      <c r="AB19" s="21"/>
      <c r="AC19" s="110">
        <v>0.625</v>
      </c>
      <c r="AD19" s="186">
        <v>561.43499999999995</v>
      </c>
      <c r="AE19" s="108">
        <v>0.15625</v>
      </c>
      <c r="AF19" s="20">
        <f>AD7</f>
        <v>0</v>
      </c>
      <c r="AH19" s="110">
        <v>0.625</v>
      </c>
      <c r="AI19">
        <v>583.57000000000005</v>
      </c>
      <c r="AJ19" s="108">
        <v>0.15625</v>
      </c>
      <c r="AK19" s="20">
        <f>AI7</f>
        <v>0</v>
      </c>
      <c r="AM19" s="110">
        <v>0.625</v>
      </c>
      <c r="AN19">
        <v>507.77100000000002</v>
      </c>
      <c r="AO19" s="108">
        <v>0.15625</v>
      </c>
      <c r="AP19" s="20">
        <f>AN7</f>
        <v>0</v>
      </c>
    </row>
    <row r="20" spans="1:42" x14ac:dyDescent="0.3">
      <c r="A20" s="108">
        <v>0.114583333333333</v>
      </c>
      <c r="B20" s="117">
        <f t="shared" si="0"/>
        <v>0</v>
      </c>
      <c r="D20" s="110">
        <v>0.66666666666666696</v>
      </c>
      <c r="E20">
        <v>381.089</v>
      </c>
      <c r="F20" s="108">
        <v>0.16666666666666699</v>
      </c>
      <c r="G20" s="20">
        <f>E8</f>
        <v>0</v>
      </c>
      <c r="H20" s="21"/>
      <c r="I20" s="110">
        <v>0.66666666666666696</v>
      </c>
      <c r="J20">
        <v>480.56400000000002</v>
      </c>
      <c r="K20" s="108">
        <v>0.16666666666666699</v>
      </c>
      <c r="L20" s="20">
        <f>J8</f>
        <v>0</v>
      </c>
      <c r="M20" s="21"/>
      <c r="N20" s="110">
        <v>0.66666666666666696</v>
      </c>
      <c r="O20">
        <v>426.64099999999996</v>
      </c>
      <c r="P20" s="108">
        <v>0.16666666666666699</v>
      </c>
      <c r="Q20" s="20">
        <f>O8</f>
        <v>0</v>
      </c>
      <c r="R20" s="21"/>
      <c r="S20" s="110">
        <v>0.66666666666666696</v>
      </c>
      <c r="T20">
        <v>4.0108699999999997</v>
      </c>
      <c r="U20" s="108">
        <v>0.16666666666666699</v>
      </c>
      <c r="V20" s="20">
        <f>T8</f>
        <v>0</v>
      </c>
      <c r="W20" s="21"/>
      <c r="X20" s="110">
        <v>0.66666666666666696</v>
      </c>
      <c r="Y20" s="180">
        <v>353.18599999999998</v>
      </c>
      <c r="Z20" s="108">
        <v>0.16666666666666699</v>
      </c>
      <c r="AA20" s="20">
        <f>Y8</f>
        <v>0</v>
      </c>
      <c r="AB20" s="21"/>
      <c r="AC20" s="110">
        <v>0.66666666666666696</v>
      </c>
      <c r="AD20" s="186">
        <v>428.23700000000002</v>
      </c>
      <c r="AE20" s="108">
        <v>0.16666666666666699</v>
      </c>
      <c r="AF20" s="20">
        <f>AD8</f>
        <v>0</v>
      </c>
      <c r="AH20" s="110">
        <v>0.66666666666666696</v>
      </c>
      <c r="AI20">
        <v>432.267</v>
      </c>
      <c r="AJ20" s="108">
        <v>0.16666666666666699</v>
      </c>
      <c r="AK20" s="20">
        <f>AI8</f>
        <v>0</v>
      </c>
      <c r="AM20" s="110">
        <v>0.66666666666666696</v>
      </c>
      <c r="AN20">
        <v>320.78100000000001</v>
      </c>
      <c r="AO20" s="108">
        <v>0.16666666666666699</v>
      </c>
      <c r="AP20" s="20">
        <f>AN8</f>
        <v>0</v>
      </c>
    </row>
    <row r="21" spans="1:42" x14ac:dyDescent="0.3">
      <c r="A21" s="108">
        <v>0.125</v>
      </c>
      <c r="B21" s="117">
        <f t="shared" si="0"/>
        <v>0</v>
      </c>
      <c r="D21" s="110">
        <v>0.70833333333333304</v>
      </c>
      <c r="E21">
        <v>130.572</v>
      </c>
      <c r="F21" s="108">
        <v>0.17708333333333301</v>
      </c>
      <c r="G21" s="20">
        <f>E8</f>
        <v>0</v>
      </c>
      <c r="H21" s="21"/>
      <c r="I21" s="110">
        <v>0.70833333333333304</v>
      </c>
      <c r="J21">
        <v>259.64499999999998</v>
      </c>
      <c r="K21" s="108">
        <v>0.17708333333333301</v>
      </c>
      <c r="L21" s="20">
        <f>J8</f>
        <v>0</v>
      </c>
      <c r="M21" s="21"/>
      <c r="N21" s="110">
        <v>0.70833333333333304</v>
      </c>
      <c r="O21">
        <v>265.29199999999997</v>
      </c>
      <c r="P21" s="108">
        <v>0.17708333333333301</v>
      </c>
      <c r="Q21" s="20">
        <f>O8</f>
        <v>0</v>
      </c>
      <c r="R21" s="21"/>
      <c r="S21" s="110">
        <v>0.70833333333333304</v>
      </c>
      <c r="T21">
        <v>0</v>
      </c>
      <c r="U21" s="108">
        <v>0.17708333333333301</v>
      </c>
      <c r="V21" s="20">
        <f>T8</f>
        <v>0</v>
      </c>
      <c r="W21" s="21"/>
      <c r="X21" s="110">
        <v>0.70833333333333304</v>
      </c>
      <c r="Y21" s="180">
        <v>49.320900000000002</v>
      </c>
      <c r="Z21" s="108">
        <v>0.17708333333333301</v>
      </c>
      <c r="AA21" s="20">
        <f>Y8</f>
        <v>0</v>
      </c>
      <c r="AB21" s="21"/>
      <c r="AC21" s="110">
        <v>0.70833333333333304</v>
      </c>
      <c r="AD21" s="186">
        <v>250.86799999999999</v>
      </c>
      <c r="AE21" s="108">
        <v>0.17708333333333301</v>
      </c>
      <c r="AF21" s="20">
        <f>AD8</f>
        <v>0</v>
      </c>
      <c r="AH21" s="110">
        <v>0.70833333333333304</v>
      </c>
      <c r="AI21">
        <v>234.75399999999999</v>
      </c>
      <c r="AJ21" s="108">
        <v>0.17708333333333301</v>
      </c>
      <c r="AK21" s="20">
        <f>AI8</f>
        <v>0</v>
      </c>
      <c r="AM21" s="110">
        <v>0.70833333333333304</v>
      </c>
      <c r="AN21">
        <v>83.607500000000002</v>
      </c>
      <c r="AO21" s="108">
        <v>0.17708333333333301</v>
      </c>
      <c r="AP21" s="20">
        <f>AN8</f>
        <v>0</v>
      </c>
    </row>
    <row r="22" spans="1:42" x14ac:dyDescent="0.3">
      <c r="A22" s="108">
        <v>0.13541666666666699</v>
      </c>
      <c r="B22" s="117">
        <f t="shared" si="0"/>
        <v>0</v>
      </c>
      <c r="D22" s="110">
        <v>0.75</v>
      </c>
      <c r="E22">
        <v>0</v>
      </c>
      <c r="F22" s="108">
        <v>0.1875</v>
      </c>
      <c r="G22" s="20">
        <f>E8</f>
        <v>0</v>
      </c>
      <c r="H22" s="21"/>
      <c r="I22" s="110">
        <v>0.75</v>
      </c>
      <c r="J22">
        <v>45.173000000000002</v>
      </c>
      <c r="K22" s="108">
        <v>0.1875</v>
      </c>
      <c r="L22" s="20">
        <f>J8</f>
        <v>0</v>
      </c>
      <c r="M22" s="21"/>
      <c r="N22" s="110">
        <v>0.75</v>
      </c>
      <c r="O22">
        <v>84.266300000000001</v>
      </c>
      <c r="P22" s="108">
        <v>0.1875</v>
      </c>
      <c r="Q22" s="20">
        <f>O8</f>
        <v>0</v>
      </c>
      <c r="R22" s="21"/>
      <c r="S22" s="110">
        <v>0.75</v>
      </c>
      <c r="T22">
        <v>0</v>
      </c>
      <c r="U22" s="108">
        <v>0.1875</v>
      </c>
      <c r="V22" s="20">
        <f>T8</f>
        <v>0</v>
      </c>
      <c r="W22" s="21"/>
      <c r="X22" s="110">
        <v>0.75</v>
      </c>
      <c r="Y22" s="180">
        <v>0</v>
      </c>
      <c r="Z22" s="108">
        <v>0.1875</v>
      </c>
      <c r="AA22" s="20">
        <f>Y8</f>
        <v>0</v>
      </c>
      <c r="AB22" s="21"/>
      <c r="AC22" s="110">
        <v>0.75</v>
      </c>
      <c r="AD22" s="186">
        <v>71.501300000000001</v>
      </c>
      <c r="AE22" s="108">
        <v>0.1875</v>
      </c>
      <c r="AF22" s="20">
        <f>AD8</f>
        <v>0</v>
      </c>
      <c r="AH22" s="110">
        <v>0.75</v>
      </c>
      <c r="AI22">
        <v>44.650700000000001</v>
      </c>
      <c r="AJ22" s="108">
        <v>0.1875</v>
      </c>
      <c r="AK22" s="20">
        <f>AI8</f>
        <v>0</v>
      </c>
      <c r="AM22" s="110">
        <v>0.75</v>
      </c>
      <c r="AN22">
        <v>0</v>
      </c>
      <c r="AO22" s="108">
        <v>0.1875</v>
      </c>
      <c r="AP22" s="20">
        <f>AN8</f>
        <v>0</v>
      </c>
    </row>
    <row r="23" spans="1:42" x14ac:dyDescent="0.3">
      <c r="A23" s="108">
        <v>0.14583333333333301</v>
      </c>
      <c r="B23" s="117">
        <f t="shared" si="0"/>
        <v>0</v>
      </c>
      <c r="D23" s="110">
        <v>0.79166666666666696</v>
      </c>
      <c r="E23">
        <v>0</v>
      </c>
      <c r="F23" s="108">
        <v>0.19791666666666699</v>
      </c>
      <c r="G23" s="20">
        <f>E8</f>
        <v>0</v>
      </c>
      <c r="H23" s="21"/>
      <c r="I23" s="110">
        <v>0.79166666666666696</v>
      </c>
      <c r="J23">
        <v>0</v>
      </c>
      <c r="K23" s="108">
        <v>0.19791666666666699</v>
      </c>
      <c r="L23" s="20">
        <f>J8</f>
        <v>0</v>
      </c>
      <c r="M23" s="21"/>
      <c r="N23" s="110">
        <v>0.79166666666666696</v>
      </c>
      <c r="O23">
        <v>4.1248399999999998</v>
      </c>
      <c r="P23" s="108">
        <v>0.19791666666666699</v>
      </c>
      <c r="Q23" s="20">
        <f>O8</f>
        <v>0</v>
      </c>
      <c r="R23" s="21"/>
      <c r="S23" s="110">
        <v>0.79166666666666696</v>
      </c>
      <c r="T23">
        <v>0</v>
      </c>
      <c r="U23" s="108">
        <v>0.19791666666666699</v>
      </c>
      <c r="V23" s="20">
        <f>T8</f>
        <v>0</v>
      </c>
      <c r="W23" s="21"/>
      <c r="X23" s="110">
        <v>0.79166666666666696</v>
      </c>
      <c r="Y23" s="180">
        <v>0</v>
      </c>
      <c r="Z23" s="108">
        <v>0.19791666666666699</v>
      </c>
      <c r="AA23" s="20">
        <f>Y8</f>
        <v>0</v>
      </c>
      <c r="AB23" s="21"/>
      <c r="AC23" s="110">
        <v>0.79166666666666696</v>
      </c>
      <c r="AD23" s="186">
        <v>1.78748</v>
      </c>
      <c r="AE23" s="108">
        <v>0.19791666666666699</v>
      </c>
      <c r="AF23" s="20">
        <f>AD8</f>
        <v>0</v>
      </c>
      <c r="AH23" s="110">
        <v>0.79166666666666696</v>
      </c>
      <c r="AI23">
        <v>0</v>
      </c>
      <c r="AJ23" s="108">
        <v>0.19791666666666699</v>
      </c>
      <c r="AK23" s="20">
        <f>AI8</f>
        <v>0</v>
      </c>
      <c r="AM23" s="110">
        <v>0.79166666666666696</v>
      </c>
      <c r="AN23">
        <v>0</v>
      </c>
      <c r="AO23" s="108">
        <v>0.19791666666666699</v>
      </c>
      <c r="AP23" s="20">
        <f>AN8</f>
        <v>0</v>
      </c>
    </row>
    <row r="24" spans="1:42" x14ac:dyDescent="0.3">
      <c r="A24" s="108">
        <v>0.15625</v>
      </c>
      <c r="B24" s="117">
        <f t="shared" si="0"/>
        <v>0</v>
      </c>
      <c r="D24" s="110">
        <v>0.83333333333333304</v>
      </c>
      <c r="E24">
        <v>0</v>
      </c>
      <c r="F24" s="108">
        <v>0.20833333333333301</v>
      </c>
      <c r="G24" s="20">
        <f>E9</f>
        <v>0</v>
      </c>
      <c r="H24" s="21"/>
      <c r="I24" s="110">
        <v>0.83333333333333304</v>
      </c>
      <c r="J24">
        <v>0</v>
      </c>
      <c r="K24" s="108">
        <v>0.20833333333333301</v>
      </c>
      <c r="L24" s="20">
        <f>J9</f>
        <v>0</v>
      </c>
      <c r="M24" s="21"/>
      <c r="N24" s="110">
        <v>0.83333333333333304</v>
      </c>
      <c r="O24">
        <v>0</v>
      </c>
      <c r="P24" s="108">
        <v>0.20833333333333301</v>
      </c>
      <c r="Q24" s="20">
        <f>O9</f>
        <v>0</v>
      </c>
      <c r="R24" s="21"/>
      <c r="S24" s="110">
        <v>0.83333333333333304</v>
      </c>
      <c r="T24">
        <v>0</v>
      </c>
      <c r="U24" s="108">
        <v>0.20833333333333301</v>
      </c>
      <c r="V24" s="20">
        <f>T9</f>
        <v>0</v>
      </c>
      <c r="W24" s="21"/>
      <c r="X24" s="110">
        <v>0.83333333333333304</v>
      </c>
      <c r="Y24" s="180">
        <v>0</v>
      </c>
      <c r="Z24" s="108">
        <v>0.20833333333333301</v>
      </c>
      <c r="AA24" s="20">
        <f>Y9</f>
        <v>0</v>
      </c>
      <c r="AB24" s="21"/>
      <c r="AC24" s="110">
        <v>0.83333333333333304</v>
      </c>
      <c r="AD24" s="186">
        <v>0</v>
      </c>
      <c r="AE24" s="108">
        <v>0.20833333333333301</v>
      </c>
      <c r="AF24" s="20">
        <f>AD9</f>
        <v>0</v>
      </c>
      <c r="AH24" s="110">
        <v>0.83333333333333304</v>
      </c>
      <c r="AI24">
        <v>0</v>
      </c>
      <c r="AJ24" s="108">
        <v>0.20833333333333301</v>
      </c>
      <c r="AK24" s="20">
        <f>AI9</f>
        <v>0</v>
      </c>
      <c r="AM24" s="110">
        <v>0.83333333333333304</v>
      </c>
      <c r="AN24">
        <v>0</v>
      </c>
      <c r="AO24" s="108">
        <v>0.20833333333333301</v>
      </c>
      <c r="AP24" s="20">
        <f>AN9</f>
        <v>0</v>
      </c>
    </row>
    <row r="25" spans="1:42" x14ac:dyDescent="0.3">
      <c r="A25" s="108">
        <v>0.16666666666666699</v>
      </c>
      <c r="B25" s="117">
        <f t="shared" si="0"/>
        <v>0</v>
      </c>
      <c r="D25" s="110">
        <v>0.875</v>
      </c>
      <c r="E25">
        <v>0</v>
      </c>
      <c r="F25" s="108">
        <v>0.21875</v>
      </c>
      <c r="G25" s="20">
        <f>E9</f>
        <v>0</v>
      </c>
      <c r="H25" s="21"/>
      <c r="I25" s="110">
        <v>0.875</v>
      </c>
      <c r="J25">
        <v>0</v>
      </c>
      <c r="K25" s="108">
        <v>0.21875</v>
      </c>
      <c r="L25" s="20">
        <f>J9</f>
        <v>0</v>
      </c>
      <c r="M25" s="21"/>
      <c r="N25" s="110">
        <v>0.875</v>
      </c>
      <c r="O25">
        <v>0</v>
      </c>
      <c r="P25" s="108">
        <v>0.21875</v>
      </c>
      <c r="Q25" s="20">
        <f>O9</f>
        <v>0</v>
      </c>
      <c r="R25" s="21"/>
      <c r="S25" s="110">
        <v>0.875</v>
      </c>
      <c r="T25">
        <v>0</v>
      </c>
      <c r="U25" s="108">
        <v>0.21875</v>
      </c>
      <c r="V25" s="20">
        <f>T9</f>
        <v>0</v>
      </c>
      <c r="W25" s="21"/>
      <c r="X25" s="110">
        <v>0.875</v>
      </c>
      <c r="Y25" s="180">
        <v>0</v>
      </c>
      <c r="Z25" s="108">
        <v>0.21875</v>
      </c>
      <c r="AA25" s="20">
        <f>Y9</f>
        <v>0</v>
      </c>
      <c r="AB25" s="21"/>
      <c r="AC25" s="110">
        <v>0.875</v>
      </c>
      <c r="AD25" s="186">
        <v>0</v>
      </c>
      <c r="AE25" s="108">
        <v>0.21875</v>
      </c>
      <c r="AF25" s="20">
        <f>AD9</f>
        <v>0</v>
      </c>
      <c r="AH25" s="110">
        <v>0.875</v>
      </c>
      <c r="AI25">
        <v>0</v>
      </c>
      <c r="AJ25" s="108">
        <v>0.21875</v>
      </c>
      <c r="AK25" s="20">
        <f>AI9</f>
        <v>0</v>
      </c>
      <c r="AM25" s="110">
        <v>0.875</v>
      </c>
      <c r="AN25">
        <v>0</v>
      </c>
      <c r="AO25" s="108">
        <v>0.21875</v>
      </c>
      <c r="AP25" s="20">
        <f>AN9</f>
        <v>0</v>
      </c>
    </row>
    <row r="26" spans="1:42" x14ac:dyDescent="0.3">
      <c r="A26" s="108">
        <v>0.17708333333333301</v>
      </c>
      <c r="B26" s="117">
        <f t="shared" si="0"/>
        <v>0</v>
      </c>
      <c r="D26" s="110">
        <v>0.91666666666666696</v>
      </c>
      <c r="E26">
        <v>0</v>
      </c>
      <c r="F26" s="108">
        <v>0.22916666666666699</v>
      </c>
      <c r="G26" s="20">
        <f>E9</f>
        <v>0</v>
      </c>
      <c r="H26" s="21"/>
      <c r="I26" s="110">
        <v>0.91666666666666696</v>
      </c>
      <c r="J26">
        <v>0</v>
      </c>
      <c r="K26" s="108">
        <v>0.22916666666666699</v>
      </c>
      <c r="L26" s="20">
        <f>J9</f>
        <v>0</v>
      </c>
      <c r="M26" s="21"/>
      <c r="N26" s="110">
        <v>0.91666666666666696</v>
      </c>
      <c r="O26">
        <v>0</v>
      </c>
      <c r="P26" s="108">
        <v>0.22916666666666699</v>
      </c>
      <c r="Q26" s="20">
        <f>O9</f>
        <v>0</v>
      </c>
      <c r="R26" s="21"/>
      <c r="S26" s="110">
        <v>0.91666666666666696</v>
      </c>
      <c r="T26">
        <v>0</v>
      </c>
      <c r="U26" s="108">
        <v>0.22916666666666699</v>
      </c>
      <c r="V26" s="20">
        <f>T9</f>
        <v>0</v>
      </c>
      <c r="W26" s="21"/>
      <c r="X26" s="110">
        <v>0.91666666666666696</v>
      </c>
      <c r="Y26" s="180">
        <v>0</v>
      </c>
      <c r="Z26" s="108">
        <v>0.22916666666666699</v>
      </c>
      <c r="AA26" s="20">
        <f>Y9</f>
        <v>0</v>
      </c>
      <c r="AB26" s="21"/>
      <c r="AC26" s="110">
        <v>0.91666666666666696</v>
      </c>
      <c r="AD26" s="186">
        <v>0</v>
      </c>
      <c r="AE26" s="108">
        <v>0.22916666666666699</v>
      </c>
      <c r="AF26" s="20">
        <f>AD9</f>
        <v>0</v>
      </c>
      <c r="AH26" s="110">
        <v>0.91666666666666696</v>
      </c>
      <c r="AI26">
        <v>0</v>
      </c>
      <c r="AJ26" s="108">
        <v>0.22916666666666699</v>
      </c>
      <c r="AK26" s="20">
        <f>AI9</f>
        <v>0</v>
      </c>
      <c r="AM26" s="110">
        <v>0.91666666666666696</v>
      </c>
      <c r="AN26">
        <v>0</v>
      </c>
      <c r="AO26" s="108">
        <v>0.22916666666666699</v>
      </c>
      <c r="AP26" s="20">
        <f>AN9</f>
        <v>0</v>
      </c>
    </row>
    <row r="27" spans="1:42" x14ac:dyDescent="0.3">
      <c r="A27" s="108">
        <v>0.1875</v>
      </c>
      <c r="B27" s="117">
        <f t="shared" si="0"/>
        <v>0</v>
      </c>
      <c r="D27" s="110">
        <v>0.95833333333333304</v>
      </c>
      <c r="E27">
        <v>0</v>
      </c>
      <c r="F27" s="108">
        <v>0.23958333333333301</v>
      </c>
      <c r="G27" s="20">
        <f>E9</f>
        <v>0</v>
      </c>
      <c r="H27" s="21"/>
      <c r="I27" s="110">
        <v>0.95833333333333304</v>
      </c>
      <c r="J27">
        <v>0</v>
      </c>
      <c r="K27" s="108">
        <v>0.23958333333333301</v>
      </c>
      <c r="L27" s="20">
        <f>J9</f>
        <v>0</v>
      </c>
      <c r="M27" s="21"/>
      <c r="N27" s="110">
        <v>0.95833333333333304</v>
      </c>
      <c r="O27">
        <v>0</v>
      </c>
      <c r="P27" s="108">
        <v>0.23958333333333301</v>
      </c>
      <c r="Q27" s="20">
        <f>O9</f>
        <v>0</v>
      </c>
      <c r="R27" s="21"/>
      <c r="S27" s="110">
        <v>0.95833333333333304</v>
      </c>
      <c r="T27">
        <v>0</v>
      </c>
      <c r="U27" s="108">
        <v>0.23958333333333301</v>
      </c>
      <c r="V27" s="20">
        <f>T9</f>
        <v>0</v>
      </c>
      <c r="W27" s="21"/>
      <c r="X27" s="110">
        <v>0.95833333333333304</v>
      </c>
      <c r="Y27" s="180">
        <v>0</v>
      </c>
      <c r="Z27" s="108">
        <v>0.23958333333333301</v>
      </c>
      <c r="AA27" s="20">
        <f>Y9</f>
        <v>0</v>
      </c>
      <c r="AB27" s="21"/>
      <c r="AC27" s="110">
        <v>0.95833333333333304</v>
      </c>
      <c r="AD27" s="186">
        <v>0</v>
      </c>
      <c r="AE27" s="108">
        <v>0.23958333333333301</v>
      </c>
      <c r="AF27" s="20">
        <f>AD9</f>
        <v>0</v>
      </c>
      <c r="AH27" s="110">
        <v>0.95833333333333304</v>
      </c>
      <c r="AI27">
        <v>0</v>
      </c>
      <c r="AJ27" s="108">
        <v>0.23958333333333301</v>
      </c>
      <c r="AK27" s="20">
        <f>AI9</f>
        <v>0</v>
      </c>
      <c r="AM27" s="110">
        <v>0.95833333333333304</v>
      </c>
      <c r="AN27">
        <v>0</v>
      </c>
      <c r="AO27" s="108">
        <v>0.23958333333333301</v>
      </c>
      <c r="AP27" s="20">
        <f>AN9</f>
        <v>0</v>
      </c>
    </row>
    <row r="28" spans="1:42" x14ac:dyDescent="0.3">
      <c r="A28" s="108">
        <v>0.19791666666666699</v>
      </c>
      <c r="B28" s="117">
        <f t="shared" si="0"/>
        <v>0</v>
      </c>
      <c r="D28" s="110"/>
      <c r="E28" s="108"/>
      <c r="F28" s="108">
        <v>0.25</v>
      </c>
      <c r="G28" s="20">
        <f>E10</f>
        <v>0</v>
      </c>
      <c r="H28" s="21"/>
      <c r="I28" s="110"/>
      <c r="J28" s="108"/>
      <c r="K28" s="108">
        <v>0.25</v>
      </c>
      <c r="L28" s="20">
        <f>J10</f>
        <v>0</v>
      </c>
      <c r="M28" s="21"/>
      <c r="N28" s="110"/>
      <c r="O28" s="108"/>
      <c r="P28" s="108">
        <v>0.25</v>
      </c>
      <c r="Q28" s="20">
        <f>O10</f>
        <v>26.060199999999998</v>
      </c>
      <c r="R28" s="21"/>
      <c r="S28" s="110"/>
      <c r="T28" s="108"/>
      <c r="U28" s="108">
        <v>0.25</v>
      </c>
      <c r="V28" s="20">
        <f>T10</f>
        <v>0</v>
      </c>
      <c r="W28" s="21"/>
      <c r="X28" s="110"/>
      <c r="Y28" s="108"/>
      <c r="Z28" s="108">
        <v>0.25</v>
      </c>
      <c r="AA28" s="20">
        <f>Y10</f>
        <v>0</v>
      </c>
      <c r="AB28" s="21"/>
      <c r="AC28" s="110"/>
      <c r="AD28" s="108"/>
      <c r="AE28" s="108">
        <v>0.25</v>
      </c>
      <c r="AF28" s="20">
        <f>AD10</f>
        <v>23.501999999999999</v>
      </c>
      <c r="AH28" s="110"/>
      <c r="AI28" s="108"/>
      <c r="AJ28" s="108">
        <v>0.25</v>
      </c>
      <c r="AK28" s="20">
        <f>AI10</f>
        <v>0</v>
      </c>
      <c r="AM28" s="110"/>
      <c r="AN28" s="108"/>
      <c r="AO28" s="108">
        <v>0.25</v>
      </c>
      <c r="AP28" s="20">
        <f>AN10</f>
        <v>0</v>
      </c>
    </row>
    <row r="29" spans="1:42" x14ac:dyDescent="0.3">
      <c r="A29" s="108">
        <v>0.20833333333333301</v>
      </c>
      <c r="B29" s="117">
        <f t="shared" si="0"/>
        <v>0</v>
      </c>
      <c r="D29" s="110"/>
      <c r="E29" s="108"/>
      <c r="F29" s="108">
        <v>0.26041666666666702</v>
      </c>
      <c r="G29" s="20">
        <f>E10</f>
        <v>0</v>
      </c>
      <c r="H29" s="21"/>
      <c r="I29" s="110"/>
      <c r="J29" s="108"/>
      <c r="K29" s="108">
        <v>0.26041666666666702</v>
      </c>
      <c r="L29" s="20">
        <f>J10</f>
        <v>0</v>
      </c>
      <c r="M29" s="21"/>
      <c r="N29" s="110"/>
      <c r="O29" s="108"/>
      <c r="P29" s="108">
        <v>0.26041666666666702</v>
      </c>
      <c r="Q29" s="20">
        <f>O10</f>
        <v>26.060199999999998</v>
      </c>
      <c r="R29" s="21"/>
      <c r="S29" s="110"/>
      <c r="T29" s="108"/>
      <c r="U29" s="108">
        <v>0.26041666666666702</v>
      </c>
      <c r="V29" s="20">
        <f>T10</f>
        <v>0</v>
      </c>
      <c r="W29" s="21"/>
      <c r="X29" s="110"/>
      <c r="Y29" s="108"/>
      <c r="Z29" s="108">
        <v>0.26041666666666702</v>
      </c>
      <c r="AA29" s="20">
        <f>Y10</f>
        <v>0</v>
      </c>
      <c r="AB29" s="21"/>
      <c r="AC29" s="110"/>
      <c r="AD29" s="108"/>
      <c r="AE29" s="108">
        <v>0.26041666666666702</v>
      </c>
      <c r="AF29" s="20">
        <f>AD10</f>
        <v>23.501999999999999</v>
      </c>
      <c r="AH29" s="110"/>
      <c r="AI29" s="108"/>
      <c r="AJ29" s="108">
        <v>0.26041666666666702</v>
      </c>
      <c r="AK29" s="20">
        <f>AI10</f>
        <v>0</v>
      </c>
      <c r="AM29" s="110"/>
      <c r="AN29" s="108"/>
      <c r="AO29" s="108">
        <v>0.26041666666666702</v>
      </c>
      <c r="AP29" s="20">
        <f>AN10</f>
        <v>0</v>
      </c>
    </row>
    <row r="30" spans="1:42" x14ac:dyDescent="0.3">
      <c r="A30" s="108">
        <v>0.21875</v>
      </c>
      <c r="B30" s="117">
        <f t="shared" si="0"/>
        <v>0</v>
      </c>
      <c r="D30" s="110"/>
      <c r="E30" s="108"/>
      <c r="F30" s="108">
        <v>0.27083333333333298</v>
      </c>
      <c r="G30" s="20">
        <f>E10</f>
        <v>0</v>
      </c>
      <c r="H30" s="21"/>
      <c r="I30" s="110"/>
      <c r="J30" s="108"/>
      <c r="K30" s="108">
        <v>0.27083333333333298</v>
      </c>
      <c r="L30" s="20">
        <f>J10</f>
        <v>0</v>
      </c>
      <c r="M30" s="21"/>
      <c r="N30" s="110"/>
      <c r="O30" s="108"/>
      <c r="P30" s="108">
        <v>0.27083333333333298</v>
      </c>
      <c r="Q30" s="20">
        <f>O10</f>
        <v>26.060199999999998</v>
      </c>
      <c r="R30" s="21"/>
      <c r="S30" s="110"/>
      <c r="T30" s="108"/>
      <c r="U30" s="108">
        <v>0.27083333333333298</v>
      </c>
      <c r="V30" s="20">
        <f>T10</f>
        <v>0</v>
      </c>
      <c r="W30" s="21"/>
      <c r="X30" s="110"/>
      <c r="Y30" s="108"/>
      <c r="Z30" s="108">
        <v>0.27083333333333298</v>
      </c>
      <c r="AA30" s="20">
        <f>Y10</f>
        <v>0</v>
      </c>
      <c r="AB30" s="21"/>
      <c r="AC30" s="110"/>
      <c r="AD30" s="108"/>
      <c r="AE30" s="108">
        <v>0.27083333333333298</v>
      </c>
      <c r="AF30" s="20">
        <f>AD10</f>
        <v>23.501999999999999</v>
      </c>
      <c r="AH30" s="110"/>
      <c r="AI30" s="108"/>
      <c r="AJ30" s="108">
        <v>0.27083333333333298</v>
      </c>
      <c r="AK30" s="20">
        <f>AI10</f>
        <v>0</v>
      </c>
      <c r="AM30" s="110"/>
      <c r="AN30" s="108"/>
      <c r="AO30" s="108">
        <v>0.27083333333333298</v>
      </c>
      <c r="AP30" s="20">
        <f>AN10</f>
        <v>0</v>
      </c>
    </row>
    <row r="31" spans="1:42" x14ac:dyDescent="0.3">
      <c r="A31" s="108">
        <v>0.22916666666666699</v>
      </c>
      <c r="B31" s="117">
        <f t="shared" si="0"/>
        <v>0</v>
      </c>
      <c r="D31" s="110"/>
      <c r="E31" s="108"/>
      <c r="F31" s="108">
        <v>0.28125</v>
      </c>
      <c r="G31" s="20">
        <f>E10</f>
        <v>0</v>
      </c>
      <c r="H31" s="21"/>
      <c r="I31" s="110"/>
      <c r="J31" s="108"/>
      <c r="K31" s="108">
        <v>0.28125</v>
      </c>
      <c r="L31" s="20">
        <f>J10</f>
        <v>0</v>
      </c>
      <c r="M31" s="21"/>
      <c r="N31" s="110"/>
      <c r="O31" s="108"/>
      <c r="P31" s="108">
        <v>0.28125</v>
      </c>
      <c r="Q31" s="20">
        <f>O10</f>
        <v>26.060199999999998</v>
      </c>
      <c r="R31" s="21"/>
      <c r="S31" s="110"/>
      <c r="T31" s="108"/>
      <c r="U31" s="108">
        <v>0.28125</v>
      </c>
      <c r="V31" s="20">
        <f>T10</f>
        <v>0</v>
      </c>
      <c r="W31" s="21"/>
      <c r="X31" s="110"/>
      <c r="Y31" s="108"/>
      <c r="Z31" s="108">
        <v>0.28125</v>
      </c>
      <c r="AA31" s="20">
        <f>Y10</f>
        <v>0</v>
      </c>
      <c r="AB31" s="21"/>
      <c r="AC31" s="110"/>
      <c r="AD31" s="108"/>
      <c r="AE31" s="108">
        <v>0.28125</v>
      </c>
      <c r="AF31" s="20">
        <f>AD10</f>
        <v>23.501999999999999</v>
      </c>
      <c r="AH31" s="110"/>
      <c r="AI31" s="108"/>
      <c r="AJ31" s="108">
        <v>0.28125</v>
      </c>
      <c r="AK31" s="20">
        <f>AI10</f>
        <v>0</v>
      </c>
      <c r="AM31" s="110"/>
      <c r="AN31" s="108"/>
      <c r="AO31" s="108">
        <v>0.28125</v>
      </c>
      <c r="AP31" s="20">
        <f>AN10</f>
        <v>0</v>
      </c>
    </row>
    <row r="32" spans="1:42" x14ac:dyDescent="0.3">
      <c r="A32" s="108">
        <v>0.23958333333333301</v>
      </c>
      <c r="B32" s="117">
        <f t="shared" si="0"/>
        <v>0</v>
      </c>
      <c r="D32" s="110"/>
      <c r="E32" s="108"/>
      <c r="F32" s="108">
        <v>0.29166666666666702</v>
      </c>
      <c r="G32" s="20">
        <f>E11</f>
        <v>0</v>
      </c>
      <c r="H32" s="21"/>
      <c r="I32" s="110"/>
      <c r="J32" s="108"/>
      <c r="K32" s="108">
        <v>0.29166666666666702</v>
      </c>
      <c r="L32" s="20">
        <f>J11</f>
        <v>86.332800000000006</v>
      </c>
      <c r="M32" s="21"/>
      <c r="N32" s="110"/>
      <c r="O32" s="108"/>
      <c r="P32" s="108">
        <v>0.29166666666666702</v>
      </c>
      <c r="Q32" s="20">
        <f>O11</f>
        <v>109.22199999999999</v>
      </c>
      <c r="R32" s="21"/>
      <c r="S32" s="110"/>
      <c r="T32" s="108"/>
      <c r="U32" s="108">
        <v>0.29166666666666702</v>
      </c>
      <c r="V32" s="20">
        <f>T11</f>
        <v>2.194</v>
      </c>
      <c r="W32" s="21"/>
      <c r="X32" s="110"/>
      <c r="Y32" s="108"/>
      <c r="Z32" s="108">
        <v>0.29166666666666702</v>
      </c>
      <c r="AA32" s="20">
        <f>Y11</f>
        <v>0</v>
      </c>
      <c r="AB32" s="21"/>
      <c r="AC32" s="110"/>
      <c r="AD32" s="108"/>
      <c r="AE32" s="108">
        <v>0.29166666666666702</v>
      </c>
      <c r="AF32" s="20">
        <f>AD11</f>
        <v>109.069</v>
      </c>
      <c r="AH32" s="110"/>
      <c r="AI32" s="108"/>
      <c r="AJ32" s="108">
        <v>0.29166666666666702</v>
      </c>
      <c r="AK32" s="20">
        <f>AI11</f>
        <v>55.297199999999997</v>
      </c>
      <c r="AM32" s="110"/>
      <c r="AN32" s="108"/>
      <c r="AO32" s="108">
        <v>0.29166666666666702</v>
      </c>
      <c r="AP32" s="20">
        <f>AN11</f>
        <v>64.83</v>
      </c>
    </row>
    <row r="33" spans="1:42" x14ac:dyDescent="0.3">
      <c r="A33" s="108">
        <v>0.25</v>
      </c>
      <c r="B33" s="117">
        <f t="shared" si="0"/>
        <v>0</v>
      </c>
      <c r="D33" s="110"/>
      <c r="E33" s="108"/>
      <c r="F33" s="108">
        <v>0.30208333333333298</v>
      </c>
      <c r="G33" s="20">
        <f>E11</f>
        <v>0</v>
      </c>
      <c r="H33" s="21"/>
      <c r="I33" s="110"/>
      <c r="J33" s="108"/>
      <c r="K33" s="108">
        <v>0.30208333333333298</v>
      </c>
      <c r="L33" s="20">
        <f>J11</f>
        <v>86.332800000000006</v>
      </c>
      <c r="M33" s="21"/>
      <c r="N33" s="110"/>
      <c r="O33" s="108"/>
      <c r="P33" s="108">
        <v>0.30208333333333298</v>
      </c>
      <c r="Q33" s="20">
        <f>O11</f>
        <v>109.22199999999999</v>
      </c>
      <c r="R33" s="21"/>
      <c r="S33" s="110"/>
      <c r="T33" s="108"/>
      <c r="U33" s="108">
        <v>0.30208333333333298</v>
      </c>
      <c r="V33" s="20">
        <f>T11</f>
        <v>2.194</v>
      </c>
      <c r="W33" s="21"/>
      <c r="X33" s="110"/>
      <c r="Y33" s="108"/>
      <c r="Z33" s="108">
        <v>0.30208333333333298</v>
      </c>
      <c r="AA33" s="20">
        <f>Y11</f>
        <v>0</v>
      </c>
      <c r="AB33" s="21"/>
      <c r="AC33" s="110"/>
      <c r="AD33" s="108"/>
      <c r="AE33" s="108">
        <v>0.30208333333333298</v>
      </c>
      <c r="AF33" s="20">
        <f>AD11</f>
        <v>109.069</v>
      </c>
      <c r="AH33" s="110"/>
      <c r="AI33" s="108"/>
      <c r="AJ33" s="108">
        <v>0.30208333333333298</v>
      </c>
      <c r="AK33" s="20">
        <f>AI11</f>
        <v>55.297199999999997</v>
      </c>
      <c r="AM33" s="110"/>
      <c r="AN33" s="108"/>
      <c r="AO33" s="108">
        <v>0.30208333333333298</v>
      </c>
      <c r="AP33" s="20">
        <f>AN11</f>
        <v>64.83</v>
      </c>
    </row>
    <row r="34" spans="1:42" x14ac:dyDescent="0.3">
      <c r="A34" s="108">
        <v>0.26041666666666702</v>
      </c>
      <c r="B34" s="117">
        <f t="shared" si="0"/>
        <v>0</v>
      </c>
      <c r="D34" s="110"/>
      <c r="E34" s="108"/>
      <c r="F34" s="108">
        <v>0.3125</v>
      </c>
      <c r="G34" s="20">
        <f>E11</f>
        <v>0</v>
      </c>
      <c r="H34" s="21"/>
      <c r="I34" s="110"/>
      <c r="J34" s="108"/>
      <c r="K34" s="108">
        <v>0.3125</v>
      </c>
      <c r="L34" s="20">
        <f>J11</f>
        <v>86.332800000000006</v>
      </c>
      <c r="M34" s="21"/>
      <c r="N34" s="110"/>
      <c r="O34" s="108"/>
      <c r="P34" s="108">
        <v>0.3125</v>
      </c>
      <c r="Q34" s="20">
        <f>O11</f>
        <v>109.22199999999999</v>
      </c>
      <c r="R34" s="21"/>
      <c r="S34" s="110"/>
      <c r="T34" s="108"/>
      <c r="U34" s="108">
        <v>0.3125</v>
      </c>
      <c r="V34" s="20">
        <f>T11</f>
        <v>2.194</v>
      </c>
      <c r="W34" s="21"/>
      <c r="X34" s="110"/>
      <c r="Y34" s="108"/>
      <c r="Z34" s="108">
        <v>0.3125</v>
      </c>
      <c r="AA34" s="20">
        <f>Y11</f>
        <v>0</v>
      </c>
      <c r="AB34" s="21"/>
      <c r="AC34" s="110"/>
      <c r="AD34" s="108"/>
      <c r="AE34" s="108">
        <v>0.3125</v>
      </c>
      <c r="AF34" s="20">
        <f>AD11</f>
        <v>109.069</v>
      </c>
      <c r="AH34" s="110"/>
      <c r="AI34" s="108"/>
      <c r="AJ34" s="108">
        <v>0.3125</v>
      </c>
      <c r="AK34" s="20">
        <f>AI11</f>
        <v>55.297199999999997</v>
      </c>
      <c r="AM34" s="110"/>
      <c r="AN34" s="108"/>
      <c r="AO34" s="108">
        <v>0.3125</v>
      </c>
      <c r="AP34" s="20">
        <f>AN11</f>
        <v>64.83</v>
      </c>
    </row>
    <row r="35" spans="1:42" x14ac:dyDescent="0.3">
      <c r="A35" s="108">
        <v>0.27083333333333298</v>
      </c>
      <c r="B35" s="117">
        <f t="shared" si="0"/>
        <v>0</v>
      </c>
      <c r="D35" s="110"/>
      <c r="E35" s="108"/>
      <c r="F35" s="108">
        <v>0.32291666666666702</v>
      </c>
      <c r="G35" s="20">
        <f>E11</f>
        <v>0</v>
      </c>
      <c r="H35" s="21"/>
      <c r="I35" s="110"/>
      <c r="J35" s="108"/>
      <c r="K35" s="108">
        <v>0.32291666666666702</v>
      </c>
      <c r="L35" s="20">
        <f>J11</f>
        <v>86.332800000000006</v>
      </c>
      <c r="M35" s="21"/>
      <c r="N35" s="110"/>
      <c r="O35" s="108"/>
      <c r="P35" s="108">
        <v>0.32291666666666702</v>
      </c>
      <c r="Q35" s="20">
        <f>O11</f>
        <v>109.22199999999999</v>
      </c>
      <c r="R35" s="21"/>
      <c r="S35" s="110"/>
      <c r="T35" s="108"/>
      <c r="U35" s="108">
        <v>0.32291666666666702</v>
      </c>
      <c r="V35" s="20">
        <f>T11</f>
        <v>2.194</v>
      </c>
      <c r="W35" s="21"/>
      <c r="X35" s="110"/>
      <c r="Y35" s="108"/>
      <c r="Z35" s="108">
        <v>0.32291666666666702</v>
      </c>
      <c r="AA35" s="20">
        <f>Y11</f>
        <v>0</v>
      </c>
      <c r="AB35" s="21"/>
      <c r="AC35" s="110"/>
      <c r="AD35" s="108"/>
      <c r="AE35" s="108">
        <v>0.32291666666666702</v>
      </c>
      <c r="AF35" s="20">
        <f>AD11</f>
        <v>109.069</v>
      </c>
      <c r="AH35" s="110"/>
      <c r="AI35" s="108"/>
      <c r="AJ35" s="108">
        <v>0.32291666666666702</v>
      </c>
      <c r="AK35" s="20">
        <f>AI11</f>
        <v>55.297199999999997</v>
      </c>
      <c r="AM35" s="110"/>
      <c r="AN35" s="108"/>
      <c r="AO35" s="108">
        <v>0.32291666666666702</v>
      </c>
      <c r="AP35" s="20">
        <f>AN11</f>
        <v>64.83</v>
      </c>
    </row>
    <row r="36" spans="1:42" x14ac:dyDescent="0.3">
      <c r="A36" s="108">
        <v>0.28125</v>
      </c>
      <c r="B36" s="117">
        <f t="shared" si="0"/>
        <v>0</v>
      </c>
      <c r="D36" s="110"/>
      <c r="E36" s="108"/>
      <c r="F36" s="108">
        <v>0.33333333333333298</v>
      </c>
      <c r="G36" s="20">
        <f>E12</f>
        <v>152.63300000000001</v>
      </c>
      <c r="H36" s="21"/>
      <c r="I36" s="110"/>
      <c r="J36" s="108"/>
      <c r="K36" s="108">
        <v>0.33333333333333298</v>
      </c>
      <c r="L36" s="20">
        <f>J12</f>
        <v>287.75</v>
      </c>
      <c r="M36" s="21"/>
      <c r="N36" s="110"/>
      <c r="O36" s="108"/>
      <c r="P36" s="108">
        <v>0.33333333333333298</v>
      </c>
      <c r="Q36" s="20">
        <f>O12</f>
        <v>289.24400000000003</v>
      </c>
      <c r="R36" s="21"/>
      <c r="S36" s="110"/>
      <c r="T36" s="108"/>
      <c r="U36" s="108">
        <v>0.33333333333333298</v>
      </c>
      <c r="V36" s="20">
        <f>T12</f>
        <v>14.879099999999999</v>
      </c>
      <c r="W36" s="21"/>
      <c r="X36" s="110"/>
      <c r="Y36" s="108"/>
      <c r="Z36" s="108">
        <v>0.33333333333333298</v>
      </c>
      <c r="AA36" s="20">
        <f>Y12</f>
        <v>76.831799999999987</v>
      </c>
      <c r="AB36" s="21"/>
      <c r="AC36" s="110"/>
      <c r="AD36" s="108"/>
      <c r="AE36" s="108">
        <v>0.33333333333333298</v>
      </c>
      <c r="AF36" s="20">
        <f>AD12</f>
        <v>289.93900000000002</v>
      </c>
      <c r="AH36" s="110"/>
      <c r="AI36" s="108"/>
      <c r="AJ36" s="108">
        <v>0.33333333333333298</v>
      </c>
      <c r="AK36" s="20">
        <f>AI12</f>
        <v>93.477599999999995</v>
      </c>
      <c r="AM36" s="110"/>
      <c r="AN36" s="108"/>
      <c r="AO36" s="108">
        <v>0.33333333333333298</v>
      </c>
      <c r="AP36" s="20">
        <f>AN12</f>
        <v>163.19900000000001</v>
      </c>
    </row>
    <row r="37" spans="1:42" x14ac:dyDescent="0.3">
      <c r="A37" s="108">
        <v>0.29166666666666702</v>
      </c>
      <c r="B37" s="117">
        <f t="shared" si="0"/>
        <v>0</v>
      </c>
      <c r="D37" s="110"/>
      <c r="E37" s="108"/>
      <c r="F37" s="108">
        <v>0.34375</v>
      </c>
      <c r="G37" s="20">
        <f>E12</f>
        <v>152.63300000000001</v>
      </c>
      <c r="H37" s="21"/>
      <c r="I37" s="110"/>
      <c r="J37" s="108"/>
      <c r="K37" s="108">
        <v>0.34375</v>
      </c>
      <c r="L37" s="20">
        <f>J12</f>
        <v>287.75</v>
      </c>
      <c r="M37" s="21"/>
      <c r="N37" s="110"/>
      <c r="O37" s="108"/>
      <c r="P37" s="108">
        <v>0.34375</v>
      </c>
      <c r="Q37" s="20">
        <f>O12</f>
        <v>289.24400000000003</v>
      </c>
      <c r="R37" s="21"/>
      <c r="S37" s="110"/>
      <c r="T37" s="108"/>
      <c r="U37" s="108">
        <v>0.34375</v>
      </c>
      <c r="V37" s="20">
        <f>T12</f>
        <v>14.879099999999999</v>
      </c>
      <c r="W37" s="21"/>
      <c r="X37" s="110"/>
      <c r="Y37" s="108"/>
      <c r="Z37" s="108">
        <v>0.34375</v>
      </c>
      <c r="AA37" s="20">
        <f>Y12</f>
        <v>76.831799999999987</v>
      </c>
      <c r="AB37" s="21"/>
      <c r="AC37" s="110"/>
      <c r="AD37" s="108"/>
      <c r="AE37" s="108">
        <v>0.34375</v>
      </c>
      <c r="AF37" s="20">
        <f>AD12</f>
        <v>289.93900000000002</v>
      </c>
      <c r="AH37" s="110"/>
      <c r="AI37" s="108"/>
      <c r="AJ37" s="108">
        <v>0.34375</v>
      </c>
      <c r="AK37" s="20">
        <f>AI12</f>
        <v>93.477599999999995</v>
      </c>
      <c r="AM37" s="110"/>
      <c r="AN37" s="108"/>
      <c r="AO37" s="108">
        <v>0.34375</v>
      </c>
      <c r="AP37" s="20">
        <f>AN12</f>
        <v>163.19900000000001</v>
      </c>
    </row>
    <row r="38" spans="1:42" x14ac:dyDescent="0.3">
      <c r="A38" s="108">
        <v>0.30208333333333298</v>
      </c>
      <c r="B38" s="117">
        <f t="shared" si="0"/>
        <v>0</v>
      </c>
      <c r="D38" s="110"/>
      <c r="E38" s="108"/>
      <c r="F38" s="108">
        <v>0.35416666666666702</v>
      </c>
      <c r="G38" s="20">
        <f>E12</f>
        <v>152.63300000000001</v>
      </c>
      <c r="H38" s="21"/>
      <c r="I38" s="110"/>
      <c r="J38" s="108"/>
      <c r="K38" s="108">
        <v>0.35416666666666702</v>
      </c>
      <c r="L38" s="20">
        <f>J12</f>
        <v>287.75</v>
      </c>
      <c r="M38" s="21"/>
      <c r="N38" s="110"/>
      <c r="O38" s="108"/>
      <c r="P38" s="108">
        <v>0.35416666666666702</v>
      </c>
      <c r="Q38" s="20">
        <f>O12</f>
        <v>289.24400000000003</v>
      </c>
      <c r="R38" s="21"/>
      <c r="S38" s="110"/>
      <c r="T38" s="108"/>
      <c r="U38" s="108">
        <v>0.35416666666666702</v>
      </c>
      <c r="V38" s="20">
        <f>T12</f>
        <v>14.879099999999999</v>
      </c>
      <c r="W38" s="21"/>
      <c r="X38" s="110"/>
      <c r="Y38" s="108"/>
      <c r="Z38" s="108">
        <v>0.35416666666666702</v>
      </c>
      <c r="AA38" s="20">
        <f>Y12</f>
        <v>76.831799999999987</v>
      </c>
      <c r="AB38" s="21"/>
      <c r="AC38" s="110"/>
      <c r="AD38" s="108"/>
      <c r="AE38" s="108">
        <v>0.35416666666666702</v>
      </c>
      <c r="AF38" s="20">
        <f>AD12</f>
        <v>289.93900000000002</v>
      </c>
      <c r="AH38" s="110"/>
      <c r="AI38" s="108"/>
      <c r="AJ38" s="108">
        <v>0.35416666666666702</v>
      </c>
      <c r="AK38" s="20">
        <f>AI12</f>
        <v>93.477599999999995</v>
      </c>
      <c r="AM38" s="110"/>
      <c r="AN38" s="108"/>
      <c r="AO38" s="108">
        <v>0.35416666666666702</v>
      </c>
      <c r="AP38" s="20">
        <f>AN12</f>
        <v>163.19900000000001</v>
      </c>
    </row>
    <row r="39" spans="1:42" x14ac:dyDescent="0.3">
      <c r="A39" s="108">
        <v>0.3125</v>
      </c>
      <c r="B39" s="117">
        <f t="shared" si="0"/>
        <v>0</v>
      </c>
      <c r="D39" s="110"/>
      <c r="E39" s="108"/>
      <c r="F39" s="108">
        <v>0.36458333333333298</v>
      </c>
      <c r="G39" s="20">
        <f>E12</f>
        <v>152.63300000000001</v>
      </c>
      <c r="H39" s="21"/>
      <c r="I39" s="110"/>
      <c r="J39" s="108"/>
      <c r="K39" s="108">
        <v>0.36458333333333298</v>
      </c>
      <c r="L39" s="20">
        <f>J12</f>
        <v>287.75</v>
      </c>
      <c r="M39" s="21"/>
      <c r="N39" s="110"/>
      <c r="O39" s="108"/>
      <c r="P39" s="108">
        <v>0.36458333333333298</v>
      </c>
      <c r="Q39" s="20">
        <f>O12</f>
        <v>289.24400000000003</v>
      </c>
      <c r="R39" s="21"/>
      <c r="S39" s="110"/>
      <c r="T39" s="108"/>
      <c r="U39" s="108">
        <v>0.36458333333333298</v>
      </c>
      <c r="V39" s="20">
        <f>T12</f>
        <v>14.879099999999999</v>
      </c>
      <c r="W39" s="21"/>
      <c r="X39" s="110"/>
      <c r="Y39" s="108"/>
      <c r="Z39" s="108">
        <v>0.36458333333333298</v>
      </c>
      <c r="AA39" s="20">
        <f>Y12</f>
        <v>76.831799999999987</v>
      </c>
      <c r="AB39" s="21"/>
      <c r="AC39" s="110"/>
      <c r="AD39" s="108"/>
      <c r="AE39" s="108">
        <v>0.36458333333333298</v>
      </c>
      <c r="AF39" s="20">
        <f>AD12</f>
        <v>289.93900000000002</v>
      </c>
      <c r="AH39" s="110"/>
      <c r="AI39" s="108"/>
      <c r="AJ39" s="108">
        <v>0.36458333333333298</v>
      </c>
      <c r="AK39" s="20">
        <f>AI12</f>
        <v>93.477599999999995</v>
      </c>
      <c r="AM39" s="110"/>
      <c r="AN39" s="108"/>
      <c r="AO39" s="108">
        <v>0.36458333333333298</v>
      </c>
      <c r="AP39" s="20">
        <f>AN12</f>
        <v>163.19900000000001</v>
      </c>
    </row>
    <row r="40" spans="1:42" x14ac:dyDescent="0.3">
      <c r="A40" s="108">
        <v>0.32291666666666702</v>
      </c>
      <c r="B40" s="117">
        <f t="shared" si="0"/>
        <v>0</v>
      </c>
      <c r="D40" s="110"/>
      <c r="E40" s="108"/>
      <c r="F40" s="108">
        <v>0.375</v>
      </c>
      <c r="G40" s="20">
        <f>E13</f>
        <v>176.006</v>
      </c>
      <c r="H40" s="21"/>
      <c r="I40" s="110"/>
      <c r="J40" s="108"/>
      <c r="K40" s="108">
        <v>0.375</v>
      </c>
      <c r="L40" s="20">
        <f>J13</f>
        <v>493.27</v>
      </c>
      <c r="M40" s="21"/>
      <c r="N40" s="110"/>
      <c r="O40" s="108"/>
      <c r="P40" s="108">
        <v>0.375</v>
      </c>
      <c r="Q40" s="20">
        <f>O13</f>
        <v>391.15800000000002</v>
      </c>
      <c r="R40" s="21"/>
      <c r="S40" s="110"/>
      <c r="T40" s="108"/>
      <c r="U40" s="108">
        <v>0.375</v>
      </c>
      <c r="V40" s="20">
        <f>T13</f>
        <v>34.5045</v>
      </c>
      <c r="W40" s="21"/>
      <c r="X40" s="110"/>
      <c r="Y40" s="108"/>
      <c r="Z40" s="108">
        <v>0.375</v>
      </c>
      <c r="AA40" s="20">
        <f>Y13</f>
        <v>346.09499999999997</v>
      </c>
      <c r="AB40" s="21"/>
      <c r="AC40" s="110"/>
      <c r="AD40" s="108"/>
      <c r="AE40" s="108">
        <v>0.375</v>
      </c>
      <c r="AF40" s="20">
        <f>AD13</f>
        <v>462.036</v>
      </c>
      <c r="AH40" s="110"/>
      <c r="AI40" s="108"/>
      <c r="AJ40" s="108">
        <v>0.375</v>
      </c>
      <c r="AK40" s="20">
        <f>AI13</f>
        <v>83.881299999999996</v>
      </c>
      <c r="AM40" s="110"/>
      <c r="AN40" s="108"/>
      <c r="AO40" s="108">
        <v>0.375</v>
      </c>
      <c r="AP40" s="20">
        <f>AN13</f>
        <v>349.16800000000001</v>
      </c>
    </row>
    <row r="41" spans="1:42" x14ac:dyDescent="0.3">
      <c r="A41" s="108">
        <v>0.33333333333333298</v>
      </c>
      <c r="B41" s="117">
        <f t="shared" si="0"/>
        <v>860.51615999999979</v>
      </c>
      <c r="D41" s="110"/>
      <c r="E41" s="108"/>
      <c r="F41" s="108">
        <v>0.38541666666666702</v>
      </c>
      <c r="G41" s="20">
        <f>E13</f>
        <v>176.006</v>
      </c>
      <c r="H41" s="21"/>
      <c r="I41" s="110"/>
      <c r="J41" s="108"/>
      <c r="K41" s="108">
        <v>0.38541666666666702</v>
      </c>
      <c r="L41" s="20">
        <f>J13</f>
        <v>493.27</v>
      </c>
      <c r="M41" s="21"/>
      <c r="N41" s="110"/>
      <c r="O41" s="108"/>
      <c r="P41" s="108">
        <v>0.38541666666666702</v>
      </c>
      <c r="Q41" s="20">
        <f>O13</f>
        <v>391.15800000000002</v>
      </c>
      <c r="R41" s="21"/>
      <c r="S41" s="110"/>
      <c r="T41" s="108"/>
      <c r="U41" s="108">
        <v>0.38541666666666702</v>
      </c>
      <c r="V41" s="20">
        <f>T13</f>
        <v>34.5045</v>
      </c>
      <c r="W41" s="21"/>
      <c r="X41" s="110"/>
      <c r="Y41" s="108"/>
      <c r="Z41" s="108">
        <v>0.38541666666666702</v>
      </c>
      <c r="AA41" s="20">
        <f>Y13</f>
        <v>346.09499999999997</v>
      </c>
      <c r="AB41" s="21"/>
      <c r="AC41" s="110"/>
      <c r="AD41" s="108"/>
      <c r="AE41" s="108">
        <v>0.38541666666666702</v>
      </c>
      <c r="AF41" s="20">
        <f>AD13</f>
        <v>462.036</v>
      </c>
      <c r="AH41" s="110"/>
      <c r="AI41" s="108"/>
      <c r="AJ41" s="108">
        <v>0.38541666666666702</v>
      </c>
      <c r="AK41" s="20">
        <f>AI13</f>
        <v>83.881299999999996</v>
      </c>
      <c r="AM41" s="110"/>
      <c r="AN41" s="108"/>
      <c r="AO41" s="108">
        <v>0.38541666666666702</v>
      </c>
      <c r="AP41" s="20">
        <f>AN13</f>
        <v>349.16800000000001</v>
      </c>
    </row>
    <row r="42" spans="1:42" x14ac:dyDescent="0.3">
      <c r="A42" s="108">
        <v>0.34375</v>
      </c>
      <c r="B42" s="117">
        <f t="shared" si="0"/>
        <v>860.51615999999979</v>
      </c>
      <c r="D42" s="110"/>
      <c r="E42" s="108"/>
      <c r="F42" s="108">
        <v>0.39583333333333298</v>
      </c>
      <c r="G42" s="20">
        <f>E13</f>
        <v>176.006</v>
      </c>
      <c r="H42" s="21"/>
      <c r="I42" s="110"/>
      <c r="J42" s="108"/>
      <c r="K42" s="108">
        <v>0.39583333333333298</v>
      </c>
      <c r="L42" s="20">
        <f>J13</f>
        <v>493.27</v>
      </c>
      <c r="M42" s="21"/>
      <c r="N42" s="110"/>
      <c r="O42" s="108"/>
      <c r="P42" s="108">
        <v>0.39583333333333298</v>
      </c>
      <c r="Q42" s="20">
        <f>O13</f>
        <v>391.15800000000002</v>
      </c>
      <c r="R42" s="21"/>
      <c r="S42" s="110"/>
      <c r="T42" s="108"/>
      <c r="U42" s="108">
        <v>0.39583333333333298</v>
      </c>
      <c r="V42" s="20">
        <f>T13</f>
        <v>34.5045</v>
      </c>
      <c r="W42" s="21"/>
      <c r="X42" s="110"/>
      <c r="Y42" s="108"/>
      <c r="Z42" s="108">
        <v>0.39583333333333298</v>
      </c>
      <c r="AA42" s="20">
        <f>Y13</f>
        <v>346.09499999999997</v>
      </c>
      <c r="AB42" s="21"/>
      <c r="AC42" s="110"/>
      <c r="AD42" s="108"/>
      <c r="AE42" s="108">
        <v>0.39583333333333298</v>
      </c>
      <c r="AF42" s="20">
        <f>AD13</f>
        <v>462.036</v>
      </c>
      <c r="AH42" s="110"/>
      <c r="AI42" s="108"/>
      <c r="AJ42" s="108">
        <v>0.39583333333333298</v>
      </c>
      <c r="AK42" s="20">
        <f>AI13</f>
        <v>83.881299999999996</v>
      </c>
      <c r="AM42" s="110"/>
      <c r="AN42" s="108"/>
      <c r="AO42" s="108">
        <v>0.39583333333333298</v>
      </c>
      <c r="AP42" s="20">
        <f>AN13</f>
        <v>349.16800000000001</v>
      </c>
    </row>
    <row r="43" spans="1:42" x14ac:dyDescent="0.3">
      <c r="A43" s="108">
        <v>0.35416666666666702</v>
      </c>
      <c r="B43" s="117">
        <f t="shared" si="0"/>
        <v>860.51615999999979</v>
      </c>
      <c r="D43" s="110"/>
      <c r="E43" s="108"/>
      <c r="F43" s="108">
        <v>0.40625</v>
      </c>
      <c r="G43" s="20">
        <f>E13</f>
        <v>176.006</v>
      </c>
      <c r="H43" s="21"/>
      <c r="I43" s="110"/>
      <c r="J43" s="108"/>
      <c r="K43" s="108">
        <v>0.40625</v>
      </c>
      <c r="L43" s="20">
        <f>J13</f>
        <v>493.27</v>
      </c>
      <c r="M43" s="21"/>
      <c r="N43" s="110"/>
      <c r="O43" s="108"/>
      <c r="P43" s="108">
        <v>0.40625</v>
      </c>
      <c r="Q43" s="20">
        <f>O13</f>
        <v>391.15800000000002</v>
      </c>
      <c r="R43" s="21"/>
      <c r="S43" s="110"/>
      <c r="T43" s="108"/>
      <c r="U43" s="108">
        <v>0.40625</v>
      </c>
      <c r="V43" s="20">
        <f>T13</f>
        <v>34.5045</v>
      </c>
      <c r="W43" s="21"/>
      <c r="X43" s="110"/>
      <c r="Y43" s="108"/>
      <c r="Z43" s="108">
        <v>0.40625</v>
      </c>
      <c r="AA43" s="20">
        <f>Y13</f>
        <v>346.09499999999997</v>
      </c>
      <c r="AB43" s="21"/>
      <c r="AC43" s="110"/>
      <c r="AD43" s="108"/>
      <c r="AE43" s="108">
        <v>0.40625</v>
      </c>
      <c r="AF43" s="20">
        <f>AD13</f>
        <v>462.036</v>
      </c>
      <c r="AH43" s="110"/>
      <c r="AI43" s="108"/>
      <c r="AJ43" s="108">
        <v>0.40625</v>
      </c>
      <c r="AK43" s="20">
        <f>AI13</f>
        <v>83.881299999999996</v>
      </c>
      <c r="AM43" s="110"/>
      <c r="AN43" s="108"/>
      <c r="AO43" s="108">
        <v>0.40625</v>
      </c>
      <c r="AP43" s="20">
        <f>AN13</f>
        <v>349.16800000000001</v>
      </c>
    </row>
    <row r="44" spans="1:42" x14ac:dyDescent="0.3">
      <c r="A44" s="108">
        <v>0.36458333333333298</v>
      </c>
      <c r="B44" s="117">
        <f t="shared" si="0"/>
        <v>860.51615999999979</v>
      </c>
      <c r="D44" s="110"/>
      <c r="E44" s="108"/>
      <c r="F44" s="108">
        <v>0.41666666666666702</v>
      </c>
      <c r="G44" s="20">
        <f>E14</f>
        <v>275.61700000000002</v>
      </c>
      <c r="H44" s="21"/>
      <c r="I44" s="110"/>
      <c r="J44" s="108"/>
      <c r="K44" s="108">
        <v>0.41666666666666702</v>
      </c>
      <c r="L44" s="20">
        <f>J14</f>
        <v>651.49400000000003</v>
      </c>
      <c r="M44" s="21"/>
      <c r="N44" s="110"/>
      <c r="O44" s="108"/>
      <c r="P44" s="108">
        <v>0.41666666666666702</v>
      </c>
      <c r="Q44" s="20">
        <f>O14</f>
        <v>509.70300000000003</v>
      </c>
      <c r="R44" s="21"/>
      <c r="S44" s="110"/>
      <c r="T44" s="108"/>
      <c r="U44" s="108">
        <v>0.41666666666666702</v>
      </c>
      <c r="V44" s="20">
        <f>T14</f>
        <v>25.8811</v>
      </c>
      <c r="W44" s="21"/>
      <c r="X44" s="110"/>
      <c r="Y44" s="108"/>
      <c r="Z44" s="108">
        <v>0.41666666666666702</v>
      </c>
      <c r="AA44" s="20">
        <f>Y14</f>
        <v>549.197</v>
      </c>
      <c r="AB44" s="21"/>
      <c r="AC44" s="110"/>
      <c r="AD44" s="108"/>
      <c r="AE44" s="108">
        <v>0.41666666666666702</v>
      </c>
      <c r="AF44" s="20">
        <f>AD14</f>
        <v>590.22500000000002</v>
      </c>
      <c r="AH44" s="110"/>
      <c r="AI44" s="108"/>
      <c r="AJ44" s="108">
        <v>0.41666666666666702</v>
      </c>
      <c r="AK44" s="20">
        <f>AI14</f>
        <v>409.94900000000001</v>
      </c>
      <c r="AM44" s="110"/>
      <c r="AN44" s="108"/>
      <c r="AO44" s="108">
        <v>0.41666666666666702</v>
      </c>
      <c r="AP44" s="20">
        <f>AN14</f>
        <v>275.17</v>
      </c>
    </row>
    <row r="45" spans="1:42" x14ac:dyDescent="0.3">
      <c r="A45" s="108">
        <v>0.375</v>
      </c>
      <c r="B45" s="117">
        <f t="shared" si="0"/>
        <v>3876.2639999999992</v>
      </c>
      <c r="D45" s="110"/>
      <c r="E45" s="108"/>
      <c r="F45" s="108">
        <v>0.42708333333333298</v>
      </c>
      <c r="G45" s="20">
        <f>E14</f>
        <v>275.61700000000002</v>
      </c>
      <c r="H45" s="21"/>
      <c r="I45" s="110"/>
      <c r="J45" s="108"/>
      <c r="K45" s="108">
        <v>0.42708333333333298</v>
      </c>
      <c r="L45" s="20">
        <f>J14</f>
        <v>651.49400000000003</v>
      </c>
      <c r="M45" s="21"/>
      <c r="N45" s="110"/>
      <c r="O45" s="108"/>
      <c r="P45" s="108">
        <v>0.42708333333333298</v>
      </c>
      <c r="Q45" s="20">
        <f>O14</f>
        <v>509.70300000000003</v>
      </c>
      <c r="R45" s="21"/>
      <c r="S45" s="110"/>
      <c r="T45" s="108"/>
      <c r="U45" s="108">
        <v>0.42708333333333298</v>
      </c>
      <c r="V45" s="20">
        <f>T14</f>
        <v>25.8811</v>
      </c>
      <c r="W45" s="21"/>
      <c r="X45" s="110"/>
      <c r="Y45" s="108"/>
      <c r="Z45" s="108">
        <v>0.42708333333333298</v>
      </c>
      <c r="AA45" s="20">
        <f>Y14</f>
        <v>549.197</v>
      </c>
      <c r="AB45" s="21"/>
      <c r="AC45" s="110"/>
      <c r="AD45" s="108"/>
      <c r="AE45" s="108">
        <v>0.42708333333333298</v>
      </c>
      <c r="AF45" s="20">
        <f>AD14</f>
        <v>590.22500000000002</v>
      </c>
      <c r="AH45" s="110"/>
      <c r="AI45" s="108"/>
      <c r="AJ45" s="108">
        <v>0.42708333333333298</v>
      </c>
      <c r="AK45" s="20">
        <f>AI14</f>
        <v>409.94900000000001</v>
      </c>
      <c r="AM45" s="110"/>
      <c r="AN45" s="108"/>
      <c r="AO45" s="108">
        <v>0.42708333333333298</v>
      </c>
      <c r="AP45" s="20">
        <f>AN14</f>
        <v>275.17</v>
      </c>
    </row>
    <row r="46" spans="1:42" x14ac:dyDescent="0.3">
      <c r="A46" s="108">
        <v>0.38541666666666702</v>
      </c>
      <c r="B46" s="117">
        <f t="shared" si="0"/>
        <v>3876.2639999999992</v>
      </c>
      <c r="D46" s="110"/>
      <c r="E46" s="108"/>
      <c r="F46" s="108">
        <v>0.4375</v>
      </c>
      <c r="G46" s="20">
        <f>E14</f>
        <v>275.61700000000002</v>
      </c>
      <c r="H46" s="21"/>
      <c r="I46" s="110"/>
      <c r="J46" s="108"/>
      <c r="K46" s="108">
        <v>0.4375</v>
      </c>
      <c r="L46" s="20">
        <f>J14</f>
        <v>651.49400000000003</v>
      </c>
      <c r="M46" s="21"/>
      <c r="N46" s="110"/>
      <c r="O46" s="108"/>
      <c r="P46" s="108">
        <v>0.4375</v>
      </c>
      <c r="Q46" s="20">
        <f>O14</f>
        <v>509.70300000000003</v>
      </c>
      <c r="R46" s="21"/>
      <c r="S46" s="110"/>
      <c r="T46" s="108"/>
      <c r="U46" s="108">
        <v>0.4375</v>
      </c>
      <c r="V46" s="20">
        <f>T14</f>
        <v>25.8811</v>
      </c>
      <c r="W46" s="21"/>
      <c r="X46" s="110"/>
      <c r="Y46" s="108"/>
      <c r="Z46" s="108">
        <v>0.4375</v>
      </c>
      <c r="AA46" s="20">
        <f>Y14</f>
        <v>549.197</v>
      </c>
      <c r="AB46" s="21"/>
      <c r="AC46" s="110"/>
      <c r="AD46" s="108"/>
      <c r="AE46" s="108">
        <v>0.4375</v>
      </c>
      <c r="AF46" s="20">
        <f>AD14</f>
        <v>590.22500000000002</v>
      </c>
      <c r="AH46" s="110"/>
      <c r="AI46" s="108"/>
      <c r="AJ46" s="108">
        <v>0.4375</v>
      </c>
      <c r="AK46" s="20">
        <f>AI14</f>
        <v>409.94900000000001</v>
      </c>
      <c r="AM46" s="110"/>
      <c r="AN46" s="108"/>
      <c r="AO46" s="108">
        <v>0.4375</v>
      </c>
      <c r="AP46" s="20">
        <f>AN14</f>
        <v>275.17</v>
      </c>
    </row>
    <row r="47" spans="1:42" x14ac:dyDescent="0.3">
      <c r="A47" s="108">
        <v>0.39583333333333298</v>
      </c>
      <c r="B47" s="117">
        <f t="shared" si="0"/>
        <v>3876.2639999999992</v>
      </c>
      <c r="D47" s="110"/>
      <c r="E47" s="108"/>
      <c r="F47" s="108">
        <v>0.44791666666666702</v>
      </c>
      <c r="G47" s="20">
        <f>E14</f>
        <v>275.61700000000002</v>
      </c>
      <c r="H47" s="21"/>
      <c r="I47" s="110"/>
      <c r="J47" s="108"/>
      <c r="K47" s="108">
        <v>0.44791666666666702</v>
      </c>
      <c r="L47" s="20">
        <f>J14</f>
        <v>651.49400000000003</v>
      </c>
      <c r="M47" s="21"/>
      <c r="N47" s="110"/>
      <c r="O47" s="108"/>
      <c r="P47" s="108">
        <v>0.44791666666666702</v>
      </c>
      <c r="Q47" s="20">
        <f>O14</f>
        <v>509.70300000000003</v>
      </c>
      <c r="R47" s="21"/>
      <c r="S47" s="110"/>
      <c r="T47" s="108"/>
      <c r="U47" s="108">
        <v>0.44791666666666702</v>
      </c>
      <c r="V47" s="20">
        <f>T14</f>
        <v>25.8811</v>
      </c>
      <c r="W47" s="21"/>
      <c r="X47" s="110"/>
      <c r="Y47" s="108"/>
      <c r="Z47" s="108">
        <v>0.44791666666666702</v>
      </c>
      <c r="AA47" s="20">
        <f>Y14</f>
        <v>549.197</v>
      </c>
      <c r="AB47" s="21"/>
      <c r="AC47" s="110"/>
      <c r="AD47" s="108"/>
      <c r="AE47" s="108">
        <v>0.44791666666666702</v>
      </c>
      <c r="AF47" s="20">
        <f>AD14</f>
        <v>590.22500000000002</v>
      </c>
      <c r="AH47" s="110"/>
      <c r="AI47" s="108"/>
      <c r="AJ47" s="108">
        <v>0.44791666666666702</v>
      </c>
      <c r="AK47" s="20">
        <f>AI14</f>
        <v>409.94900000000001</v>
      </c>
      <c r="AM47" s="110"/>
      <c r="AN47" s="108"/>
      <c r="AO47" s="108">
        <v>0.44791666666666702</v>
      </c>
      <c r="AP47" s="20">
        <f>AN14</f>
        <v>275.17</v>
      </c>
    </row>
    <row r="48" spans="1:42" x14ac:dyDescent="0.3">
      <c r="A48" s="108">
        <v>0.40625</v>
      </c>
      <c r="B48" s="117">
        <f t="shared" si="0"/>
        <v>3876.2639999999992</v>
      </c>
      <c r="D48" s="110"/>
      <c r="E48" s="108"/>
      <c r="F48" s="108">
        <v>0.45833333333333298</v>
      </c>
      <c r="G48" s="20">
        <f>E15</f>
        <v>394.745</v>
      </c>
      <c r="H48" s="21"/>
      <c r="I48" s="110"/>
      <c r="J48" s="108"/>
      <c r="K48" s="108">
        <v>0.45833333333333298</v>
      </c>
      <c r="L48" s="20">
        <f>J15</f>
        <v>734.726</v>
      </c>
      <c r="M48" s="21"/>
      <c r="N48" s="110"/>
      <c r="O48" s="108"/>
      <c r="P48" s="108">
        <v>0.45833333333333298</v>
      </c>
      <c r="Q48" s="20">
        <f>O15</f>
        <v>595.25099999999998</v>
      </c>
      <c r="R48" s="21"/>
      <c r="S48" s="110"/>
      <c r="T48" s="108"/>
      <c r="U48" s="108">
        <v>0.45833333333333298</v>
      </c>
      <c r="V48" s="20">
        <f>T15</f>
        <v>109.346</v>
      </c>
      <c r="W48" s="21"/>
      <c r="X48" s="110"/>
      <c r="Y48" s="108"/>
      <c r="Z48" s="108">
        <v>0.45833333333333298</v>
      </c>
      <c r="AA48" s="20">
        <f>Y15</f>
        <v>669.8839999999999</v>
      </c>
      <c r="AB48" s="21"/>
      <c r="AC48" s="110"/>
      <c r="AD48" s="108"/>
      <c r="AE48" s="108">
        <v>0.45833333333333298</v>
      </c>
      <c r="AF48" s="20">
        <f>AD15</f>
        <v>596.80999999999995</v>
      </c>
      <c r="AH48" s="110"/>
      <c r="AI48" s="108"/>
      <c r="AJ48" s="108">
        <v>0.45833333333333298</v>
      </c>
      <c r="AK48" s="20">
        <f>AI15</f>
        <v>541.62699999999995</v>
      </c>
      <c r="AM48" s="110"/>
      <c r="AN48" s="108"/>
      <c r="AO48" s="108">
        <v>0.45833333333333298</v>
      </c>
      <c r="AP48" s="20">
        <f>AN15</f>
        <v>315.83699999999999</v>
      </c>
    </row>
    <row r="49" spans="1:42" x14ac:dyDescent="0.3">
      <c r="A49" s="108">
        <v>0.41666666666666702</v>
      </c>
      <c r="B49" s="117">
        <f t="shared" si="0"/>
        <v>6151.0063999999993</v>
      </c>
      <c r="D49" s="110"/>
      <c r="E49" s="108"/>
      <c r="F49" s="108">
        <v>0.46875</v>
      </c>
      <c r="G49" s="20">
        <f>E15</f>
        <v>394.745</v>
      </c>
      <c r="H49" s="21"/>
      <c r="I49" s="110"/>
      <c r="J49" s="108"/>
      <c r="K49" s="108">
        <v>0.46875</v>
      </c>
      <c r="L49" s="20">
        <f>J15</f>
        <v>734.726</v>
      </c>
      <c r="M49" s="21"/>
      <c r="N49" s="110"/>
      <c r="O49" s="108"/>
      <c r="P49" s="108">
        <v>0.46875</v>
      </c>
      <c r="Q49" s="20">
        <f>O15</f>
        <v>595.25099999999998</v>
      </c>
      <c r="R49" s="21"/>
      <c r="S49" s="110"/>
      <c r="T49" s="108"/>
      <c r="U49" s="108">
        <v>0.46875</v>
      </c>
      <c r="V49" s="20">
        <f>T15</f>
        <v>109.346</v>
      </c>
      <c r="W49" s="21"/>
      <c r="X49" s="110"/>
      <c r="Y49" s="108"/>
      <c r="Z49" s="108">
        <v>0.46875</v>
      </c>
      <c r="AA49" s="20">
        <f>Y15</f>
        <v>669.8839999999999</v>
      </c>
      <c r="AB49" s="21"/>
      <c r="AC49" s="110"/>
      <c r="AD49" s="108"/>
      <c r="AE49" s="108">
        <v>0.46875</v>
      </c>
      <c r="AF49" s="20">
        <f>AD15</f>
        <v>596.80999999999995</v>
      </c>
      <c r="AH49" s="110"/>
      <c r="AI49" s="108"/>
      <c r="AJ49" s="108">
        <v>0.46875</v>
      </c>
      <c r="AK49" s="20">
        <f>AI15</f>
        <v>541.62699999999995</v>
      </c>
      <c r="AM49" s="110"/>
      <c r="AN49" s="108"/>
      <c r="AO49" s="108">
        <v>0.46875</v>
      </c>
      <c r="AP49" s="20">
        <f>AN15</f>
        <v>315.83699999999999</v>
      </c>
    </row>
    <row r="50" spans="1:42" x14ac:dyDescent="0.3">
      <c r="A50" s="108">
        <v>0.42708333333333298</v>
      </c>
      <c r="B50" s="117">
        <f t="shared" si="0"/>
        <v>6151.0063999999993</v>
      </c>
      <c r="D50" s="110"/>
      <c r="E50" s="108"/>
      <c r="F50" s="108">
        <v>0.47916666666666702</v>
      </c>
      <c r="G50" s="20">
        <f>E15</f>
        <v>394.745</v>
      </c>
      <c r="H50" s="21"/>
      <c r="I50" s="110"/>
      <c r="J50" s="108"/>
      <c r="K50" s="108">
        <v>0.47916666666666702</v>
      </c>
      <c r="L50" s="20">
        <f>J15</f>
        <v>734.726</v>
      </c>
      <c r="M50" s="21"/>
      <c r="N50" s="110"/>
      <c r="O50" s="108"/>
      <c r="P50" s="108">
        <v>0.47916666666666702</v>
      </c>
      <c r="Q50" s="20">
        <f>O15</f>
        <v>595.25099999999998</v>
      </c>
      <c r="R50" s="21"/>
      <c r="S50" s="110"/>
      <c r="T50" s="108"/>
      <c r="U50" s="108">
        <v>0.47916666666666702</v>
      </c>
      <c r="V50" s="20">
        <f>T15</f>
        <v>109.346</v>
      </c>
      <c r="W50" s="21"/>
      <c r="X50" s="110"/>
      <c r="Y50" s="108"/>
      <c r="Z50" s="108">
        <v>0.47916666666666702</v>
      </c>
      <c r="AA50" s="20">
        <f>Y15</f>
        <v>669.8839999999999</v>
      </c>
      <c r="AB50" s="21"/>
      <c r="AC50" s="110"/>
      <c r="AD50" s="108"/>
      <c r="AE50" s="108">
        <v>0.47916666666666702</v>
      </c>
      <c r="AF50" s="20">
        <f>AD15</f>
        <v>596.80999999999995</v>
      </c>
      <c r="AH50" s="110"/>
      <c r="AI50" s="108"/>
      <c r="AJ50" s="108">
        <v>0.47916666666666702</v>
      </c>
      <c r="AK50" s="20">
        <f>AI15</f>
        <v>541.62699999999995</v>
      </c>
      <c r="AM50" s="110"/>
      <c r="AN50" s="108"/>
      <c r="AO50" s="108">
        <v>0.47916666666666702</v>
      </c>
      <c r="AP50" s="20">
        <f>AN15</f>
        <v>315.83699999999999</v>
      </c>
    </row>
    <row r="51" spans="1:42" x14ac:dyDescent="0.3">
      <c r="A51" s="108">
        <v>0.4375</v>
      </c>
      <c r="B51" s="117">
        <f t="shared" si="0"/>
        <v>6151.0063999999993</v>
      </c>
      <c r="D51" s="110"/>
      <c r="E51" s="108"/>
      <c r="F51" s="108">
        <v>0.48958333333333298</v>
      </c>
      <c r="G51" s="20">
        <f>E15</f>
        <v>394.745</v>
      </c>
      <c r="H51" s="21"/>
      <c r="I51" s="110"/>
      <c r="J51" s="108"/>
      <c r="K51" s="108">
        <v>0.48958333333333298</v>
      </c>
      <c r="L51" s="20">
        <f>J15</f>
        <v>734.726</v>
      </c>
      <c r="M51" s="21"/>
      <c r="N51" s="110"/>
      <c r="O51" s="108"/>
      <c r="P51" s="108">
        <v>0.48958333333333298</v>
      </c>
      <c r="Q51" s="20">
        <f>O15</f>
        <v>595.25099999999998</v>
      </c>
      <c r="R51" s="21"/>
      <c r="S51" s="110"/>
      <c r="T51" s="108"/>
      <c r="U51" s="108">
        <v>0.48958333333333298</v>
      </c>
      <c r="V51" s="20">
        <f>T15</f>
        <v>109.346</v>
      </c>
      <c r="W51" s="21"/>
      <c r="X51" s="110"/>
      <c r="Y51" s="108"/>
      <c r="Z51" s="108">
        <v>0.48958333333333298</v>
      </c>
      <c r="AA51" s="20">
        <f>Y15</f>
        <v>669.8839999999999</v>
      </c>
      <c r="AB51" s="21"/>
      <c r="AC51" s="110"/>
      <c r="AD51" s="108"/>
      <c r="AE51" s="108">
        <v>0.48958333333333298</v>
      </c>
      <c r="AF51" s="20">
        <f>AD15</f>
        <v>596.80999999999995</v>
      </c>
      <c r="AH51" s="110"/>
      <c r="AI51" s="108"/>
      <c r="AJ51" s="108">
        <v>0.48958333333333298</v>
      </c>
      <c r="AK51" s="20">
        <f>AI15</f>
        <v>541.62699999999995</v>
      </c>
      <c r="AM51" s="110"/>
      <c r="AN51" s="108"/>
      <c r="AO51" s="108">
        <v>0.48958333333333298</v>
      </c>
      <c r="AP51" s="20">
        <f>AN15</f>
        <v>315.83699999999999</v>
      </c>
    </row>
    <row r="52" spans="1:42" x14ac:dyDescent="0.3">
      <c r="A52" s="108">
        <v>0.44791666666666702</v>
      </c>
      <c r="B52" s="117">
        <f>IF($B$6&gt;0,IF($B$3=$D$2,G47*$B$6,IF($B$3=$I$2,L47*$B$6,IF($B$3=$N$2,Q47*$B$6,IF($B$3=$S$2,V47*$B$6,IF($B$3=$X$2,AA47*$B$6,IF($B$3=$AC$2,AF47*$B$6,IF($B$3=$AH$2,AK47*$B$6,IF($B$3=$AM$2,AP47*$B$6,0)))))))),0)</f>
        <v>6151.0063999999993</v>
      </c>
      <c r="D52" s="110"/>
      <c r="E52" s="108"/>
      <c r="F52" s="108">
        <v>0.5</v>
      </c>
      <c r="G52" s="20">
        <f>E16</f>
        <v>656.71100000000001</v>
      </c>
      <c r="H52" s="21"/>
      <c r="I52" s="110"/>
      <c r="J52" s="108"/>
      <c r="K52" s="108">
        <v>0.5</v>
      </c>
      <c r="L52" s="20">
        <f>J16</f>
        <v>804.50699999999995</v>
      </c>
      <c r="M52" s="21"/>
      <c r="N52" s="110"/>
      <c r="O52" s="108"/>
      <c r="P52" s="108">
        <v>0.5</v>
      </c>
      <c r="Q52" s="20">
        <f>O16</f>
        <v>596.88200000000006</v>
      </c>
      <c r="R52" s="21"/>
      <c r="S52" s="110"/>
      <c r="T52" s="108"/>
      <c r="U52" s="108">
        <v>0.5</v>
      </c>
      <c r="V52" s="20">
        <f>T16</f>
        <v>102.075</v>
      </c>
      <c r="W52" s="21"/>
      <c r="X52" s="110"/>
      <c r="Y52" s="108"/>
      <c r="Z52" s="108">
        <v>0.5</v>
      </c>
      <c r="AA52" s="20">
        <f>Y16</f>
        <v>754.54399999999998</v>
      </c>
      <c r="AB52" s="21"/>
      <c r="AC52" s="110"/>
      <c r="AD52" s="108"/>
      <c r="AE52" s="108">
        <v>0.5</v>
      </c>
      <c r="AF52" s="20">
        <f>AD16</f>
        <v>707.81899999999996</v>
      </c>
      <c r="AH52" s="110"/>
      <c r="AI52" s="108"/>
      <c r="AJ52" s="108">
        <v>0.5</v>
      </c>
      <c r="AK52" s="20">
        <f>AI16</f>
        <v>711.77300000000002</v>
      </c>
      <c r="AM52" s="110"/>
      <c r="AN52" s="108"/>
      <c r="AO52" s="108">
        <v>0.5</v>
      </c>
      <c r="AP52" s="20">
        <f>AN16</f>
        <v>639.923</v>
      </c>
    </row>
    <row r="53" spans="1:42" x14ac:dyDescent="0.3">
      <c r="A53" s="108">
        <v>0.45833333333333298</v>
      </c>
      <c r="B53" s="117">
        <f t="shared" si="0"/>
        <v>7502.7007999999987</v>
      </c>
      <c r="D53" s="110"/>
      <c r="E53" s="108"/>
      <c r="F53" s="108">
        <v>0.51041666666666696</v>
      </c>
      <c r="G53" s="20">
        <f>E16</f>
        <v>656.71100000000001</v>
      </c>
      <c r="H53" s="21"/>
      <c r="I53" s="110"/>
      <c r="J53" s="108"/>
      <c r="K53" s="108">
        <v>0.51041666666666696</v>
      </c>
      <c r="L53" s="20">
        <f>J16</f>
        <v>804.50699999999995</v>
      </c>
      <c r="M53" s="21"/>
      <c r="N53" s="110"/>
      <c r="O53" s="108"/>
      <c r="P53" s="108">
        <v>0.51041666666666696</v>
      </c>
      <c r="Q53" s="20">
        <f>O16</f>
        <v>596.88200000000006</v>
      </c>
      <c r="R53" s="21"/>
      <c r="S53" s="110"/>
      <c r="T53" s="108"/>
      <c r="U53" s="108">
        <v>0.51041666666666696</v>
      </c>
      <c r="V53" s="20">
        <f>T16</f>
        <v>102.075</v>
      </c>
      <c r="W53" s="21"/>
      <c r="X53" s="110"/>
      <c r="Y53" s="108"/>
      <c r="Z53" s="108">
        <v>0.51041666666666696</v>
      </c>
      <c r="AA53" s="20">
        <f>Y16</f>
        <v>754.54399999999998</v>
      </c>
      <c r="AB53" s="21"/>
      <c r="AC53" s="110"/>
      <c r="AD53" s="108"/>
      <c r="AE53" s="108">
        <v>0.51041666666666696</v>
      </c>
      <c r="AF53" s="20">
        <f>AD16</f>
        <v>707.81899999999996</v>
      </c>
      <c r="AH53" s="110"/>
      <c r="AI53" s="108"/>
      <c r="AJ53" s="108">
        <v>0.51041666666666696</v>
      </c>
      <c r="AK53" s="20">
        <f>AI16</f>
        <v>711.77300000000002</v>
      </c>
      <c r="AM53" s="110"/>
      <c r="AN53" s="108"/>
      <c r="AO53" s="108">
        <v>0.51041666666666696</v>
      </c>
      <c r="AP53" s="20">
        <f>AN16</f>
        <v>639.923</v>
      </c>
    </row>
    <row r="54" spans="1:42" x14ac:dyDescent="0.3">
      <c r="A54" s="108">
        <v>0.46875</v>
      </c>
      <c r="B54" s="117">
        <f>IF($B$6&gt;0,IF($B$3=$D$2,G49*$B$6,IF($B$3=$I$2,L49*$B$6,IF($B$3=$N$2,Q49*$B$6,IF($B$3=$S$2,V49*$B$6,IF($B$3=$X$2,AA49*$B$6,IF($B$3=$AC$2,AF49*$B$6,IF($B$3=$AH$2,AK49*$B$6,IF($B$3=$AM$2,AP49*$B$6,0)))))))),0)</f>
        <v>7502.7007999999987</v>
      </c>
      <c r="D54" s="110"/>
      <c r="E54" s="108"/>
      <c r="F54" s="108">
        <v>0.52083333333333304</v>
      </c>
      <c r="G54" s="20">
        <f>E16</f>
        <v>656.71100000000001</v>
      </c>
      <c r="H54" s="21"/>
      <c r="I54" s="110"/>
      <c r="J54" s="108"/>
      <c r="K54" s="108">
        <v>0.52083333333333304</v>
      </c>
      <c r="L54" s="20">
        <f>J16</f>
        <v>804.50699999999995</v>
      </c>
      <c r="M54" s="21"/>
      <c r="N54" s="110"/>
      <c r="O54" s="108"/>
      <c r="P54" s="108">
        <v>0.52083333333333304</v>
      </c>
      <c r="Q54" s="20">
        <f>O16</f>
        <v>596.88200000000006</v>
      </c>
      <c r="R54" s="21"/>
      <c r="S54" s="110"/>
      <c r="T54" s="108"/>
      <c r="U54" s="108">
        <v>0.52083333333333304</v>
      </c>
      <c r="V54" s="20">
        <f>T16</f>
        <v>102.075</v>
      </c>
      <c r="W54" s="21"/>
      <c r="X54" s="110"/>
      <c r="Y54" s="108"/>
      <c r="Z54" s="108">
        <v>0.52083333333333304</v>
      </c>
      <c r="AA54" s="20">
        <f>Y16</f>
        <v>754.54399999999998</v>
      </c>
      <c r="AB54" s="21"/>
      <c r="AC54" s="110"/>
      <c r="AD54" s="108"/>
      <c r="AE54" s="108">
        <v>0.52083333333333304</v>
      </c>
      <c r="AF54" s="20">
        <f>AD16</f>
        <v>707.81899999999996</v>
      </c>
      <c r="AH54" s="110"/>
      <c r="AI54" s="108"/>
      <c r="AJ54" s="108">
        <v>0.52083333333333304</v>
      </c>
      <c r="AK54" s="20">
        <f>AI16</f>
        <v>711.77300000000002</v>
      </c>
      <c r="AM54" s="110"/>
      <c r="AN54" s="108"/>
      <c r="AO54" s="108">
        <v>0.52083333333333304</v>
      </c>
      <c r="AP54" s="20">
        <f>AN16</f>
        <v>639.923</v>
      </c>
    </row>
    <row r="55" spans="1:42" x14ac:dyDescent="0.3">
      <c r="A55" s="108">
        <v>0.47916666666666702</v>
      </c>
      <c r="B55" s="117">
        <f t="shared" si="0"/>
        <v>7502.7007999999987</v>
      </c>
      <c r="D55" s="110"/>
      <c r="E55" s="108"/>
      <c r="F55" s="108">
        <v>0.53125</v>
      </c>
      <c r="G55" s="20">
        <f>E16</f>
        <v>656.71100000000001</v>
      </c>
      <c r="H55" s="21"/>
      <c r="I55" s="110"/>
      <c r="J55" s="108"/>
      <c r="K55" s="108">
        <v>0.53125</v>
      </c>
      <c r="L55" s="20">
        <f>J16</f>
        <v>804.50699999999995</v>
      </c>
      <c r="M55" s="21"/>
      <c r="N55" s="110"/>
      <c r="O55" s="108"/>
      <c r="P55" s="108">
        <v>0.53125</v>
      </c>
      <c r="Q55" s="20">
        <f>O16</f>
        <v>596.88200000000006</v>
      </c>
      <c r="R55" s="21"/>
      <c r="S55" s="110"/>
      <c r="T55" s="108"/>
      <c r="U55" s="108">
        <v>0.53125</v>
      </c>
      <c r="V55" s="20">
        <f>T16</f>
        <v>102.075</v>
      </c>
      <c r="W55" s="21"/>
      <c r="X55" s="110"/>
      <c r="Y55" s="108"/>
      <c r="Z55" s="108">
        <v>0.53125</v>
      </c>
      <c r="AA55" s="20">
        <f>Y16</f>
        <v>754.54399999999998</v>
      </c>
      <c r="AB55" s="21"/>
      <c r="AC55" s="110"/>
      <c r="AD55" s="108"/>
      <c r="AE55" s="108">
        <v>0.53125</v>
      </c>
      <c r="AF55" s="20">
        <f>AD16</f>
        <v>707.81899999999996</v>
      </c>
      <c r="AH55" s="110"/>
      <c r="AI55" s="108"/>
      <c r="AJ55" s="108">
        <v>0.53125</v>
      </c>
      <c r="AK55" s="20">
        <f>AI16</f>
        <v>711.77300000000002</v>
      </c>
      <c r="AM55" s="110"/>
      <c r="AN55" s="108"/>
      <c r="AO55" s="108">
        <v>0.53125</v>
      </c>
      <c r="AP55" s="20">
        <f>AN16</f>
        <v>639.923</v>
      </c>
    </row>
    <row r="56" spans="1:42" x14ac:dyDescent="0.3">
      <c r="A56" s="108">
        <v>0.48958333333333298</v>
      </c>
      <c r="B56" s="117">
        <f>IF($B$6&gt;0,IF($B$3=$D$2,G51*$B$6,IF($B$3=$I$2,L51*$B$6,IF($B$3=$N$2,Q51*$B$6,IF($B$3=$S$2,V51*$B$6,IF($B$3=$X$2,AA51*$B$6,IF($B$3=$AC$2,AF51*$B$6,IF($B$3=$AH$2,AK51*$B$6,IF($B$3=$AM$2,AP51*$B$6,0)))))))),0)</f>
        <v>7502.7007999999987</v>
      </c>
      <c r="D56" s="110"/>
      <c r="E56" s="108"/>
      <c r="F56" s="108">
        <v>0.54166666666666696</v>
      </c>
      <c r="G56" s="20">
        <f>E17</f>
        <v>736.221</v>
      </c>
      <c r="H56" s="21"/>
      <c r="I56" s="110"/>
      <c r="J56" s="108"/>
      <c r="K56" s="108">
        <v>0.54166666666666696</v>
      </c>
      <c r="L56" s="20">
        <f>J17</f>
        <v>783.327</v>
      </c>
      <c r="M56" s="21"/>
      <c r="N56" s="110"/>
      <c r="O56" s="108"/>
      <c r="P56" s="108">
        <v>0.54166666666666696</v>
      </c>
      <c r="Q56" s="20">
        <f>O17</f>
        <v>679.149</v>
      </c>
      <c r="R56" s="21"/>
      <c r="S56" s="110"/>
      <c r="T56" s="108"/>
      <c r="U56" s="108">
        <v>0.54166666666666696</v>
      </c>
      <c r="V56" s="20">
        <f>T17</f>
        <v>36.9</v>
      </c>
      <c r="W56" s="21"/>
      <c r="X56" s="110"/>
      <c r="Y56" s="108"/>
      <c r="Z56" s="108">
        <v>0.54166666666666696</v>
      </c>
      <c r="AA56" s="20">
        <f>Y17</f>
        <v>753.81600000000003</v>
      </c>
      <c r="AB56" s="21"/>
      <c r="AC56" s="110"/>
      <c r="AD56" s="108"/>
      <c r="AE56" s="108">
        <v>0.54166666666666696</v>
      </c>
      <c r="AF56" s="20">
        <f>AD17</f>
        <v>695.18200000000002</v>
      </c>
      <c r="AH56" s="110"/>
      <c r="AI56" s="108"/>
      <c r="AJ56" s="108">
        <v>0.54166666666666696</v>
      </c>
      <c r="AK56" s="20">
        <f>AI17</f>
        <v>747.90700000000004</v>
      </c>
      <c r="AM56" s="110"/>
      <c r="AN56" s="108"/>
      <c r="AO56" s="108">
        <v>0.54166666666666696</v>
      </c>
      <c r="AP56" s="20">
        <f>AN17</f>
        <v>620.01099999999997</v>
      </c>
    </row>
    <row r="57" spans="1:42" x14ac:dyDescent="0.3">
      <c r="A57" s="108">
        <v>0.5</v>
      </c>
      <c r="B57" s="117">
        <f t="shared" si="0"/>
        <v>8450.8927999999996</v>
      </c>
      <c r="D57" s="110"/>
      <c r="E57" s="108"/>
      <c r="F57" s="108">
        <v>0.55208333333333304</v>
      </c>
      <c r="G57" s="20">
        <f>E17</f>
        <v>736.221</v>
      </c>
      <c r="H57" s="21"/>
      <c r="I57" s="110"/>
      <c r="J57" s="108"/>
      <c r="K57" s="108">
        <v>0.55208333333333304</v>
      </c>
      <c r="L57" s="20">
        <f>J17</f>
        <v>783.327</v>
      </c>
      <c r="M57" s="21"/>
      <c r="N57" s="110"/>
      <c r="O57" s="108"/>
      <c r="P57" s="108">
        <v>0.55208333333333304</v>
      </c>
      <c r="Q57" s="20">
        <f>O17</f>
        <v>679.149</v>
      </c>
      <c r="R57" s="21"/>
      <c r="S57" s="110"/>
      <c r="T57" s="108"/>
      <c r="U57" s="108">
        <v>0.55208333333333304</v>
      </c>
      <c r="V57" s="20">
        <f>T17</f>
        <v>36.9</v>
      </c>
      <c r="W57" s="21"/>
      <c r="X57" s="110"/>
      <c r="Y57" s="108"/>
      <c r="Z57" s="108">
        <v>0.55208333333333304</v>
      </c>
      <c r="AA57" s="20">
        <f>Y17</f>
        <v>753.81600000000003</v>
      </c>
      <c r="AB57" s="21"/>
      <c r="AC57" s="110"/>
      <c r="AD57" s="108"/>
      <c r="AE57" s="108">
        <v>0.55208333333333304</v>
      </c>
      <c r="AF57" s="20">
        <f>AD17</f>
        <v>695.18200000000002</v>
      </c>
      <c r="AH57" s="110"/>
      <c r="AI57" s="108"/>
      <c r="AJ57" s="108">
        <v>0.55208333333333304</v>
      </c>
      <c r="AK57" s="20">
        <f>AI17</f>
        <v>747.90700000000004</v>
      </c>
      <c r="AM57" s="110"/>
      <c r="AN57" s="108"/>
      <c r="AO57" s="108">
        <v>0.55208333333333304</v>
      </c>
      <c r="AP57" s="20">
        <f>AN17</f>
        <v>620.01099999999997</v>
      </c>
    </row>
    <row r="58" spans="1:42" x14ac:dyDescent="0.3">
      <c r="A58" s="108">
        <v>0.51041666666666696</v>
      </c>
      <c r="B58" s="117">
        <f>IF($B$6&gt;0,IF($B$3=$D$2,G53*$B$6,IF($B$3=$I$2,L53*$B$6,IF($B$3=$N$2,Q53*$B$6,IF($B$3=$S$2,V53*$B$6,IF($B$3=$X$2,AA53*$B$6,IF($B$3=$AC$2,AF53*$B$6,IF($B$3=$AH$2,AK53*$B$6,IF($B$3=$AM$2,AP53*$B$6,0)))))))),0)</f>
        <v>8450.8927999999996</v>
      </c>
      <c r="D58" s="110"/>
      <c r="E58" s="108"/>
      <c r="F58" s="108">
        <v>0.5625</v>
      </c>
      <c r="G58" s="20">
        <f>E17</f>
        <v>736.221</v>
      </c>
      <c r="H58" s="21"/>
      <c r="I58" s="110"/>
      <c r="J58" s="108"/>
      <c r="K58" s="108">
        <v>0.5625</v>
      </c>
      <c r="L58" s="20">
        <f>J17</f>
        <v>783.327</v>
      </c>
      <c r="M58" s="21"/>
      <c r="N58" s="110"/>
      <c r="O58" s="108"/>
      <c r="P58" s="108">
        <v>0.5625</v>
      </c>
      <c r="Q58" s="20">
        <f>O17</f>
        <v>679.149</v>
      </c>
      <c r="R58" s="21"/>
      <c r="S58" s="110"/>
      <c r="T58" s="108"/>
      <c r="U58" s="108">
        <v>0.5625</v>
      </c>
      <c r="V58" s="20">
        <f>T17</f>
        <v>36.9</v>
      </c>
      <c r="W58" s="21"/>
      <c r="X58" s="110"/>
      <c r="Y58" s="108"/>
      <c r="Z58" s="108">
        <v>0.5625</v>
      </c>
      <c r="AA58" s="20">
        <f>Y17</f>
        <v>753.81600000000003</v>
      </c>
      <c r="AB58" s="21"/>
      <c r="AC58" s="110"/>
      <c r="AD58" s="108"/>
      <c r="AE58" s="108">
        <v>0.5625</v>
      </c>
      <c r="AF58" s="20">
        <f>AD17</f>
        <v>695.18200000000002</v>
      </c>
      <c r="AH58" s="110"/>
      <c r="AI58" s="108"/>
      <c r="AJ58" s="108">
        <v>0.5625</v>
      </c>
      <c r="AK58" s="20">
        <f>AI17</f>
        <v>747.90700000000004</v>
      </c>
      <c r="AM58" s="110"/>
      <c r="AN58" s="108"/>
      <c r="AO58" s="108">
        <v>0.5625</v>
      </c>
      <c r="AP58" s="20">
        <f>AN17</f>
        <v>620.01099999999997</v>
      </c>
    </row>
    <row r="59" spans="1:42" x14ac:dyDescent="0.3">
      <c r="A59" s="108">
        <v>0.52083333333333304</v>
      </c>
      <c r="B59" s="117">
        <f t="shared" si="0"/>
        <v>8450.8927999999996</v>
      </c>
      <c r="D59" s="110"/>
      <c r="E59" s="108"/>
      <c r="F59" s="108">
        <v>0.57291666666666696</v>
      </c>
      <c r="G59" s="20">
        <f>E17</f>
        <v>736.221</v>
      </c>
      <c r="H59" s="21"/>
      <c r="I59" s="110"/>
      <c r="J59" s="108"/>
      <c r="K59" s="108">
        <v>0.57291666666666696</v>
      </c>
      <c r="L59" s="20">
        <f>J17</f>
        <v>783.327</v>
      </c>
      <c r="M59" s="21"/>
      <c r="N59" s="110"/>
      <c r="O59" s="108"/>
      <c r="P59" s="108">
        <v>0.57291666666666696</v>
      </c>
      <c r="Q59" s="20">
        <f>O17</f>
        <v>679.149</v>
      </c>
      <c r="R59" s="21"/>
      <c r="S59" s="110"/>
      <c r="T59" s="108"/>
      <c r="U59" s="108">
        <v>0.57291666666666696</v>
      </c>
      <c r="V59" s="20">
        <f>T17</f>
        <v>36.9</v>
      </c>
      <c r="W59" s="21"/>
      <c r="X59" s="110"/>
      <c r="Y59" s="108"/>
      <c r="Z59" s="108">
        <v>0.57291666666666696</v>
      </c>
      <c r="AA59" s="20">
        <f>Y17</f>
        <v>753.81600000000003</v>
      </c>
      <c r="AB59" s="21"/>
      <c r="AC59" s="110"/>
      <c r="AD59" s="108"/>
      <c r="AE59" s="108">
        <v>0.57291666666666696</v>
      </c>
      <c r="AF59" s="20">
        <f>AD17</f>
        <v>695.18200000000002</v>
      </c>
      <c r="AH59" s="110"/>
      <c r="AI59" s="108"/>
      <c r="AJ59" s="108">
        <v>0.57291666666666696</v>
      </c>
      <c r="AK59" s="20">
        <f>AI17</f>
        <v>747.90700000000004</v>
      </c>
      <c r="AM59" s="110"/>
      <c r="AN59" s="108"/>
      <c r="AO59" s="108">
        <v>0.57291666666666696</v>
      </c>
      <c r="AP59" s="20">
        <f>AN17</f>
        <v>620.01099999999997</v>
      </c>
    </row>
    <row r="60" spans="1:42" x14ac:dyDescent="0.3">
      <c r="A60" s="108">
        <v>0.53125</v>
      </c>
      <c r="B60" s="117">
        <f t="shared" si="0"/>
        <v>8450.8927999999996</v>
      </c>
      <c r="D60" s="110"/>
      <c r="E60" s="108"/>
      <c r="F60" s="108">
        <v>0.58333333333333304</v>
      </c>
      <c r="G60" s="20">
        <f>E18</f>
        <v>680.13499999999999</v>
      </c>
      <c r="H60" s="21"/>
      <c r="I60" s="110"/>
      <c r="J60" s="108"/>
      <c r="K60" s="108">
        <v>0.58333333333333304</v>
      </c>
      <c r="L60" s="20">
        <f>J18</f>
        <v>745.93299999999999</v>
      </c>
      <c r="M60" s="21"/>
      <c r="N60" s="110"/>
      <c r="O60" s="108"/>
      <c r="P60" s="108">
        <v>0.58333333333333304</v>
      </c>
      <c r="Q60" s="20">
        <f>O18</f>
        <v>656.44200000000001</v>
      </c>
      <c r="R60" s="21"/>
      <c r="S60" s="110"/>
      <c r="T60" s="108"/>
      <c r="U60" s="108">
        <v>0.58333333333333304</v>
      </c>
      <c r="V60" s="20">
        <f>T18</f>
        <v>46.874299999999998</v>
      </c>
      <c r="W60" s="21"/>
      <c r="X60" s="110"/>
      <c r="Y60" s="108"/>
      <c r="Z60" s="108">
        <v>0.58333333333333304</v>
      </c>
      <c r="AA60" s="20">
        <f>Y18</f>
        <v>691.90300000000002</v>
      </c>
      <c r="AB60" s="21"/>
      <c r="AC60" s="110"/>
      <c r="AD60" s="108"/>
      <c r="AE60" s="108">
        <v>0.58333333333333304</v>
      </c>
      <c r="AF60" s="20">
        <f>AD18</f>
        <v>646.83699999999999</v>
      </c>
      <c r="AH60" s="110"/>
      <c r="AI60" s="108"/>
      <c r="AJ60" s="108">
        <v>0.58333333333333304</v>
      </c>
      <c r="AK60" s="20">
        <f>AI18</f>
        <v>689.96699999999998</v>
      </c>
      <c r="AM60" s="110"/>
      <c r="AN60" s="108"/>
      <c r="AO60" s="108">
        <v>0.58333333333333304</v>
      </c>
      <c r="AP60" s="20">
        <f>AN18</f>
        <v>645.95100000000002</v>
      </c>
    </row>
    <row r="61" spans="1:42" x14ac:dyDescent="0.3">
      <c r="A61" s="108">
        <v>0.54166666666666696</v>
      </c>
      <c r="B61" s="117">
        <f t="shared" si="0"/>
        <v>8442.7392</v>
      </c>
      <c r="D61" s="110"/>
      <c r="E61" s="108"/>
      <c r="F61" s="108">
        <v>0.59375</v>
      </c>
      <c r="G61" s="20">
        <f>E18</f>
        <v>680.13499999999999</v>
      </c>
      <c r="H61" s="21"/>
      <c r="I61" s="110"/>
      <c r="J61" s="108"/>
      <c r="K61" s="108">
        <v>0.59375</v>
      </c>
      <c r="L61" s="20">
        <f>J18</f>
        <v>745.93299999999999</v>
      </c>
      <c r="M61" s="21"/>
      <c r="N61" s="110"/>
      <c r="O61" s="108"/>
      <c r="P61" s="108">
        <v>0.59375</v>
      </c>
      <c r="Q61" s="20">
        <f>O18</f>
        <v>656.44200000000001</v>
      </c>
      <c r="R61" s="21"/>
      <c r="S61" s="110"/>
      <c r="T61" s="108"/>
      <c r="U61" s="108">
        <v>0.59375</v>
      </c>
      <c r="V61" s="20">
        <f>T18</f>
        <v>46.874299999999998</v>
      </c>
      <c r="W61" s="21"/>
      <c r="X61" s="110"/>
      <c r="Y61" s="108"/>
      <c r="Z61" s="108">
        <v>0.59375</v>
      </c>
      <c r="AA61" s="20">
        <f>Y18</f>
        <v>691.90300000000002</v>
      </c>
      <c r="AB61" s="21"/>
      <c r="AC61" s="110"/>
      <c r="AD61" s="108"/>
      <c r="AE61" s="108">
        <v>0.59375</v>
      </c>
      <c r="AF61" s="20">
        <f>AD18</f>
        <v>646.83699999999999</v>
      </c>
      <c r="AH61" s="110"/>
      <c r="AI61" s="108"/>
      <c r="AJ61" s="108">
        <v>0.59375</v>
      </c>
      <c r="AK61" s="20">
        <f>AI18</f>
        <v>689.96699999999998</v>
      </c>
      <c r="AM61" s="110"/>
      <c r="AN61" s="108"/>
      <c r="AO61" s="108">
        <v>0.59375</v>
      </c>
      <c r="AP61" s="20">
        <f>AN18</f>
        <v>645.95100000000002</v>
      </c>
    </row>
    <row r="62" spans="1:42" x14ac:dyDescent="0.3">
      <c r="A62" s="108">
        <v>0.55208333333333304</v>
      </c>
      <c r="B62" s="117">
        <f t="shared" si="0"/>
        <v>8442.7392</v>
      </c>
      <c r="D62" s="110"/>
      <c r="E62" s="108"/>
      <c r="F62" s="108">
        <v>0.60416666666666696</v>
      </c>
      <c r="G62" s="20">
        <f>E18</f>
        <v>680.13499999999999</v>
      </c>
      <c r="H62" s="21"/>
      <c r="I62" s="110"/>
      <c r="J62" s="108"/>
      <c r="K62" s="108">
        <v>0.60416666666666696</v>
      </c>
      <c r="L62" s="20">
        <f>J18</f>
        <v>745.93299999999999</v>
      </c>
      <c r="M62" s="21"/>
      <c r="N62" s="110"/>
      <c r="O62" s="108"/>
      <c r="P62" s="108">
        <v>0.60416666666666696</v>
      </c>
      <c r="Q62" s="20">
        <f>O18</f>
        <v>656.44200000000001</v>
      </c>
      <c r="R62" s="21"/>
      <c r="S62" s="110"/>
      <c r="T62" s="108"/>
      <c r="U62" s="108">
        <v>0.60416666666666696</v>
      </c>
      <c r="V62" s="20">
        <f>T18</f>
        <v>46.874299999999998</v>
      </c>
      <c r="W62" s="21"/>
      <c r="X62" s="110"/>
      <c r="Y62" s="108"/>
      <c r="Z62" s="108">
        <v>0.60416666666666696</v>
      </c>
      <c r="AA62" s="20">
        <f>Y18</f>
        <v>691.90300000000002</v>
      </c>
      <c r="AB62" s="21"/>
      <c r="AC62" s="110"/>
      <c r="AD62" s="108"/>
      <c r="AE62" s="108">
        <v>0.60416666666666696</v>
      </c>
      <c r="AF62" s="20">
        <f>AD18</f>
        <v>646.83699999999999</v>
      </c>
      <c r="AH62" s="110"/>
      <c r="AI62" s="108"/>
      <c r="AJ62" s="108">
        <v>0.60416666666666696</v>
      </c>
      <c r="AK62" s="20">
        <f>AI18</f>
        <v>689.96699999999998</v>
      </c>
      <c r="AM62" s="110"/>
      <c r="AN62" s="108"/>
      <c r="AO62" s="108">
        <v>0.60416666666666696</v>
      </c>
      <c r="AP62" s="20">
        <f>AN18</f>
        <v>645.95100000000002</v>
      </c>
    </row>
    <row r="63" spans="1:42" x14ac:dyDescent="0.3">
      <c r="A63" s="108">
        <v>0.5625</v>
      </c>
      <c r="B63" s="117">
        <f t="shared" si="0"/>
        <v>8442.7392</v>
      </c>
      <c r="D63" s="110"/>
      <c r="E63" s="108"/>
      <c r="F63" s="108">
        <v>0.61458333333333304</v>
      </c>
      <c r="G63" s="20">
        <f>E18</f>
        <v>680.13499999999999</v>
      </c>
      <c r="H63" s="21"/>
      <c r="I63" s="110"/>
      <c r="J63" s="108"/>
      <c r="K63" s="108">
        <v>0.61458333333333304</v>
      </c>
      <c r="L63" s="20">
        <f>J18</f>
        <v>745.93299999999999</v>
      </c>
      <c r="M63" s="21"/>
      <c r="N63" s="110"/>
      <c r="O63" s="108"/>
      <c r="P63" s="108">
        <v>0.61458333333333304</v>
      </c>
      <c r="Q63" s="20">
        <f>O18</f>
        <v>656.44200000000001</v>
      </c>
      <c r="R63" s="21"/>
      <c r="S63" s="110"/>
      <c r="T63" s="108"/>
      <c r="U63" s="108">
        <v>0.61458333333333304</v>
      </c>
      <c r="V63" s="20">
        <f>T18</f>
        <v>46.874299999999998</v>
      </c>
      <c r="W63" s="21"/>
      <c r="X63" s="110"/>
      <c r="Y63" s="108"/>
      <c r="Z63" s="108">
        <v>0.61458333333333304</v>
      </c>
      <c r="AA63" s="20">
        <f>Y18</f>
        <v>691.90300000000002</v>
      </c>
      <c r="AB63" s="21"/>
      <c r="AC63" s="110"/>
      <c r="AD63" s="108"/>
      <c r="AE63" s="108">
        <v>0.61458333333333304</v>
      </c>
      <c r="AF63" s="20">
        <f>AD18</f>
        <v>646.83699999999999</v>
      </c>
      <c r="AH63" s="110"/>
      <c r="AI63" s="108"/>
      <c r="AJ63" s="108">
        <v>0.61458333333333304</v>
      </c>
      <c r="AK63" s="20">
        <f>AI18</f>
        <v>689.96699999999998</v>
      </c>
      <c r="AM63" s="110"/>
      <c r="AN63" s="108"/>
      <c r="AO63" s="108">
        <v>0.61458333333333304</v>
      </c>
      <c r="AP63" s="20">
        <f>AN18</f>
        <v>645.95100000000002</v>
      </c>
    </row>
    <row r="64" spans="1:42" x14ac:dyDescent="0.3">
      <c r="A64" s="108">
        <v>0.57291666666666696</v>
      </c>
      <c r="B64" s="117">
        <f t="shared" si="0"/>
        <v>8442.7392</v>
      </c>
      <c r="D64" s="110"/>
      <c r="E64" s="108"/>
      <c r="F64" s="108">
        <v>0.625</v>
      </c>
      <c r="G64" s="20">
        <f>E19</f>
        <v>559.33799999999997</v>
      </c>
      <c r="H64" s="21"/>
      <c r="I64" s="110"/>
      <c r="J64" s="108"/>
      <c r="K64" s="108">
        <v>0.625</v>
      </c>
      <c r="L64" s="20">
        <f>J19</f>
        <v>641.24199999999996</v>
      </c>
      <c r="M64" s="21"/>
      <c r="N64" s="110"/>
      <c r="O64" s="108"/>
      <c r="P64" s="108">
        <v>0.625</v>
      </c>
      <c r="Q64" s="20">
        <f>O19</f>
        <v>554.33500000000004</v>
      </c>
      <c r="R64" s="21"/>
      <c r="S64" s="110"/>
      <c r="T64" s="108"/>
      <c r="U64" s="108">
        <v>0.625</v>
      </c>
      <c r="V64" s="20">
        <f>T19</f>
        <v>20.000699999999998</v>
      </c>
      <c r="W64" s="21"/>
      <c r="X64" s="110"/>
      <c r="Y64" s="108"/>
      <c r="Z64" s="108">
        <v>0.625</v>
      </c>
      <c r="AA64" s="20">
        <f>Y19</f>
        <v>560.45600000000002</v>
      </c>
      <c r="AB64" s="21"/>
      <c r="AC64" s="110"/>
      <c r="AD64" s="108"/>
      <c r="AE64" s="108">
        <v>0.625</v>
      </c>
      <c r="AF64" s="20">
        <f>AD19</f>
        <v>561.43499999999995</v>
      </c>
      <c r="AH64" s="110"/>
      <c r="AI64" s="108"/>
      <c r="AJ64" s="108">
        <v>0.625</v>
      </c>
      <c r="AK64" s="20">
        <f>AI19</f>
        <v>583.57000000000005</v>
      </c>
      <c r="AM64" s="110"/>
      <c r="AN64" s="108"/>
      <c r="AO64" s="108">
        <v>0.625</v>
      </c>
      <c r="AP64" s="20">
        <f>AN19</f>
        <v>507.77100000000002</v>
      </c>
    </row>
    <row r="65" spans="1:42" x14ac:dyDescent="0.3">
      <c r="A65" s="108">
        <v>0.58333333333333304</v>
      </c>
      <c r="B65" s="117">
        <f t="shared" si="0"/>
        <v>7749.3135999999995</v>
      </c>
      <c r="D65" s="110"/>
      <c r="E65" s="108"/>
      <c r="F65" s="108">
        <v>0.63541666666666696</v>
      </c>
      <c r="G65" s="20">
        <f>E19</f>
        <v>559.33799999999997</v>
      </c>
      <c r="H65" s="21"/>
      <c r="I65" s="110"/>
      <c r="J65" s="108"/>
      <c r="K65" s="108">
        <v>0.63541666666666696</v>
      </c>
      <c r="L65" s="20">
        <f>J19</f>
        <v>641.24199999999996</v>
      </c>
      <c r="M65" s="21"/>
      <c r="N65" s="110"/>
      <c r="O65" s="108"/>
      <c r="P65" s="108">
        <v>0.63541666666666696</v>
      </c>
      <c r="Q65" s="20">
        <f>O19</f>
        <v>554.33500000000004</v>
      </c>
      <c r="R65" s="21"/>
      <c r="S65" s="110"/>
      <c r="T65" s="108"/>
      <c r="U65" s="108">
        <v>0.63541666666666696</v>
      </c>
      <c r="V65" s="20">
        <f>T19</f>
        <v>20.000699999999998</v>
      </c>
      <c r="W65" s="21"/>
      <c r="X65" s="110"/>
      <c r="Y65" s="108"/>
      <c r="Z65" s="108">
        <v>0.63541666666666696</v>
      </c>
      <c r="AA65" s="20">
        <f>Y19</f>
        <v>560.45600000000002</v>
      </c>
      <c r="AB65" s="21"/>
      <c r="AC65" s="110"/>
      <c r="AD65" s="108"/>
      <c r="AE65" s="108">
        <v>0.63541666666666696</v>
      </c>
      <c r="AF65" s="20">
        <f>AD19</f>
        <v>561.43499999999995</v>
      </c>
      <c r="AH65" s="110"/>
      <c r="AI65" s="108"/>
      <c r="AJ65" s="108">
        <v>0.63541666666666696</v>
      </c>
      <c r="AK65" s="20">
        <f>AI19</f>
        <v>583.57000000000005</v>
      </c>
      <c r="AM65" s="110"/>
      <c r="AN65" s="108"/>
      <c r="AO65" s="108">
        <v>0.63541666666666696</v>
      </c>
      <c r="AP65" s="20">
        <f>AN19</f>
        <v>507.77100000000002</v>
      </c>
    </row>
    <row r="66" spans="1:42" x14ac:dyDescent="0.3">
      <c r="A66" s="108">
        <v>0.59375</v>
      </c>
      <c r="B66" s="117">
        <f t="shared" si="0"/>
        <v>7749.3135999999995</v>
      </c>
      <c r="D66" s="110"/>
      <c r="E66" s="108"/>
      <c r="F66" s="108">
        <v>0.64583333333333304</v>
      </c>
      <c r="G66" s="20">
        <f>E19</f>
        <v>559.33799999999997</v>
      </c>
      <c r="H66" s="21"/>
      <c r="I66" s="110"/>
      <c r="J66" s="108"/>
      <c r="K66" s="108">
        <v>0.64583333333333304</v>
      </c>
      <c r="L66" s="20">
        <f>J19</f>
        <v>641.24199999999996</v>
      </c>
      <c r="M66" s="21"/>
      <c r="N66" s="110"/>
      <c r="O66" s="108"/>
      <c r="P66" s="108">
        <v>0.64583333333333304</v>
      </c>
      <c r="Q66" s="20">
        <f>O19</f>
        <v>554.33500000000004</v>
      </c>
      <c r="R66" s="21"/>
      <c r="S66" s="110"/>
      <c r="T66" s="108"/>
      <c r="U66" s="108">
        <v>0.64583333333333304</v>
      </c>
      <c r="V66" s="20">
        <f>T19</f>
        <v>20.000699999999998</v>
      </c>
      <c r="W66" s="21"/>
      <c r="X66" s="110"/>
      <c r="Y66" s="108"/>
      <c r="Z66" s="108">
        <v>0.64583333333333304</v>
      </c>
      <c r="AA66" s="20">
        <f>Y19</f>
        <v>560.45600000000002</v>
      </c>
      <c r="AB66" s="21"/>
      <c r="AC66" s="110"/>
      <c r="AD66" s="108"/>
      <c r="AE66" s="108">
        <v>0.64583333333333304</v>
      </c>
      <c r="AF66" s="20">
        <f>AD19</f>
        <v>561.43499999999995</v>
      </c>
      <c r="AH66" s="110"/>
      <c r="AI66" s="108"/>
      <c r="AJ66" s="108">
        <v>0.64583333333333304</v>
      </c>
      <c r="AK66" s="20">
        <f>AI19</f>
        <v>583.57000000000005</v>
      </c>
      <c r="AM66" s="110"/>
      <c r="AN66" s="108"/>
      <c r="AO66" s="108">
        <v>0.64583333333333304</v>
      </c>
      <c r="AP66" s="20">
        <f>AN19</f>
        <v>507.77100000000002</v>
      </c>
    </row>
    <row r="67" spans="1:42" x14ac:dyDescent="0.3">
      <c r="A67" s="108">
        <v>0.60416666666666696</v>
      </c>
      <c r="B67" s="117">
        <f t="shared" si="0"/>
        <v>7749.3135999999995</v>
      </c>
      <c r="D67" s="110"/>
      <c r="E67" s="108"/>
      <c r="F67" s="108">
        <v>0.65625</v>
      </c>
      <c r="G67" s="20">
        <f>E19</f>
        <v>559.33799999999997</v>
      </c>
      <c r="H67" s="21"/>
      <c r="I67" s="110"/>
      <c r="J67" s="108"/>
      <c r="K67" s="108">
        <v>0.65625</v>
      </c>
      <c r="L67" s="20">
        <f>J19</f>
        <v>641.24199999999996</v>
      </c>
      <c r="M67" s="21"/>
      <c r="N67" s="110"/>
      <c r="O67" s="108"/>
      <c r="P67" s="108">
        <v>0.65625</v>
      </c>
      <c r="Q67" s="20">
        <f>O19</f>
        <v>554.33500000000004</v>
      </c>
      <c r="R67" s="21"/>
      <c r="S67" s="110"/>
      <c r="T67" s="108"/>
      <c r="U67" s="108">
        <v>0.65625</v>
      </c>
      <c r="V67" s="20">
        <f>T19</f>
        <v>20.000699999999998</v>
      </c>
      <c r="W67" s="21"/>
      <c r="X67" s="110"/>
      <c r="Y67" s="108"/>
      <c r="Z67" s="108">
        <v>0.65625</v>
      </c>
      <c r="AA67" s="20">
        <f>Y19</f>
        <v>560.45600000000002</v>
      </c>
      <c r="AB67" s="21"/>
      <c r="AC67" s="110"/>
      <c r="AD67" s="108"/>
      <c r="AE67" s="108">
        <v>0.65625</v>
      </c>
      <c r="AF67" s="20">
        <f>AD19</f>
        <v>561.43499999999995</v>
      </c>
      <c r="AH67" s="110"/>
      <c r="AI67" s="108"/>
      <c r="AJ67" s="108">
        <v>0.65625</v>
      </c>
      <c r="AK67" s="20">
        <f>AI19</f>
        <v>583.57000000000005</v>
      </c>
      <c r="AM67" s="110"/>
      <c r="AN67" s="108"/>
      <c r="AO67" s="108">
        <v>0.65625</v>
      </c>
      <c r="AP67" s="20">
        <f>AN19</f>
        <v>507.77100000000002</v>
      </c>
    </row>
    <row r="68" spans="1:42" x14ac:dyDescent="0.3">
      <c r="A68" s="108">
        <v>0.61458333333333304</v>
      </c>
      <c r="B68" s="117">
        <f t="shared" si="0"/>
        <v>7749.3135999999995</v>
      </c>
      <c r="D68" s="110"/>
      <c r="E68" s="108"/>
      <c r="F68" s="108">
        <v>0.66666666666666696</v>
      </c>
      <c r="G68" s="20">
        <f>E20</f>
        <v>381.089</v>
      </c>
      <c r="H68" s="21"/>
      <c r="I68" s="110"/>
      <c r="J68" s="108"/>
      <c r="K68" s="108">
        <v>0.66666666666666696</v>
      </c>
      <c r="L68" s="20">
        <f>J20</f>
        <v>480.56400000000002</v>
      </c>
      <c r="M68" s="21"/>
      <c r="N68" s="110"/>
      <c r="O68" s="108"/>
      <c r="P68" s="108">
        <v>0.66666666666666696</v>
      </c>
      <c r="Q68" s="20">
        <f>O20</f>
        <v>426.64099999999996</v>
      </c>
      <c r="R68" s="21"/>
      <c r="S68" s="110"/>
      <c r="T68" s="108"/>
      <c r="U68" s="108">
        <v>0.66666666666666696</v>
      </c>
      <c r="V68" s="20">
        <f>T20</f>
        <v>4.0108699999999997</v>
      </c>
      <c r="W68" s="21"/>
      <c r="X68" s="110"/>
      <c r="Y68" s="108"/>
      <c r="Z68" s="108">
        <v>0.66666666666666696</v>
      </c>
      <c r="AA68" s="20">
        <f>Y20</f>
        <v>353.18599999999998</v>
      </c>
      <c r="AB68" s="21"/>
      <c r="AC68" s="110"/>
      <c r="AD68" s="108"/>
      <c r="AE68" s="108">
        <v>0.66666666666666696</v>
      </c>
      <c r="AF68" s="20">
        <f>AD20</f>
        <v>428.23700000000002</v>
      </c>
      <c r="AH68" s="110"/>
      <c r="AI68" s="108"/>
      <c r="AJ68" s="108">
        <v>0.66666666666666696</v>
      </c>
      <c r="AK68" s="20">
        <f>AI20</f>
        <v>432.267</v>
      </c>
      <c r="AM68" s="110"/>
      <c r="AN68" s="108"/>
      <c r="AO68" s="108">
        <v>0.66666666666666696</v>
      </c>
      <c r="AP68" s="20">
        <f>AN20</f>
        <v>320.78100000000001</v>
      </c>
    </row>
    <row r="69" spans="1:42" x14ac:dyDescent="0.3">
      <c r="A69" s="108">
        <v>0.625</v>
      </c>
      <c r="B69" s="117">
        <f t="shared" si="0"/>
        <v>6277.1071999999995</v>
      </c>
      <c r="D69" s="110"/>
      <c r="E69" s="108"/>
      <c r="F69" s="108">
        <v>0.67708333333333304</v>
      </c>
      <c r="G69" s="20">
        <f>E20</f>
        <v>381.089</v>
      </c>
      <c r="H69" s="21"/>
      <c r="I69" s="110"/>
      <c r="J69" s="108"/>
      <c r="K69" s="108">
        <v>0.67708333333333304</v>
      </c>
      <c r="L69" s="20">
        <f>J20</f>
        <v>480.56400000000002</v>
      </c>
      <c r="M69" s="21"/>
      <c r="N69" s="110"/>
      <c r="O69" s="108"/>
      <c r="P69" s="108">
        <v>0.67708333333333304</v>
      </c>
      <c r="Q69" s="20">
        <f>O20</f>
        <v>426.64099999999996</v>
      </c>
      <c r="R69" s="21"/>
      <c r="S69" s="110"/>
      <c r="T69" s="108"/>
      <c r="U69" s="108">
        <v>0.67708333333333304</v>
      </c>
      <c r="V69" s="20">
        <f>T20</f>
        <v>4.0108699999999997</v>
      </c>
      <c r="W69" s="21"/>
      <c r="X69" s="110"/>
      <c r="Y69" s="108"/>
      <c r="Z69" s="108">
        <v>0.67708333333333304</v>
      </c>
      <c r="AA69" s="20">
        <f>Y20</f>
        <v>353.18599999999998</v>
      </c>
      <c r="AB69" s="21"/>
      <c r="AC69" s="110"/>
      <c r="AD69" s="108"/>
      <c r="AE69" s="108">
        <v>0.67708333333333304</v>
      </c>
      <c r="AF69" s="20">
        <f>AD20</f>
        <v>428.23700000000002</v>
      </c>
      <c r="AH69" s="110"/>
      <c r="AI69" s="108"/>
      <c r="AJ69" s="108">
        <v>0.67708333333333304</v>
      </c>
      <c r="AK69" s="20">
        <f>AI20</f>
        <v>432.267</v>
      </c>
      <c r="AM69" s="110"/>
      <c r="AN69" s="108"/>
      <c r="AO69" s="108">
        <v>0.67708333333333304</v>
      </c>
      <c r="AP69" s="20">
        <f>AN20</f>
        <v>320.78100000000001</v>
      </c>
    </row>
    <row r="70" spans="1:42" x14ac:dyDescent="0.3">
      <c r="A70" s="108">
        <v>0.63541666666666696</v>
      </c>
      <c r="B70" s="117">
        <f t="shared" si="0"/>
        <v>6277.1071999999995</v>
      </c>
      <c r="D70" s="110"/>
      <c r="E70" s="108"/>
      <c r="F70" s="108">
        <v>0.6875</v>
      </c>
      <c r="G70" s="20">
        <f>E20</f>
        <v>381.089</v>
      </c>
      <c r="H70" s="21"/>
      <c r="I70" s="110"/>
      <c r="J70" s="108"/>
      <c r="K70" s="108">
        <v>0.6875</v>
      </c>
      <c r="L70" s="20">
        <f>J20</f>
        <v>480.56400000000002</v>
      </c>
      <c r="M70" s="21"/>
      <c r="N70" s="110"/>
      <c r="O70" s="108"/>
      <c r="P70" s="108">
        <v>0.6875</v>
      </c>
      <c r="Q70" s="20">
        <f>O20</f>
        <v>426.64099999999996</v>
      </c>
      <c r="R70" s="21"/>
      <c r="S70" s="110"/>
      <c r="T70" s="108"/>
      <c r="U70" s="108">
        <v>0.6875</v>
      </c>
      <c r="V70" s="20">
        <f>T20</f>
        <v>4.0108699999999997</v>
      </c>
      <c r="W70" s="21"/>
      <c r="X70" s="110"/>
      <c r="Y70" s="108"/>
      <c r="Z70" s="108">
        <v>0.6875</v>
      </c>
      <c r="AA70" s="20">
        <f>Y20</f>
        <v>353.18599999999998</v>
      </c>
      <c r="AB70" s="21"/>
      <c r="AC70" s="110"/>
      <c r="AD70" s="108"/>
      <c r="AE70" s="108">
        <v>0.6875</v>
      </c>
      <c r="AF70" s="20">
        <f>AD20</f>
        <v>428.23700000000002</v>
      </c>
      <c r="AH70" s="110"/>
      <c r="AI70" s="108"/>
      <c r="AJ70" s="108">
        <v>0.6875</v>
      </c>
      <c r="AK70" s="20">
        <f>AI20</f>
        <v>432.267</v>
      </c>
      <c r="AM70" s="110"/>
      <c r="AN70" s="108"/>
      <c r="AO70" s="108">
        <v>0.6875</v>
      </c>
      <c r="AP70" s="20">
        <f>AN20</f>
        <v>320.78100000000001</v>
      </c>
    </row>
    <row r="71" spans="1:42" x14ac:dyDescent="0.3">
      <c r="A71" s="108">
        <v>0.64583333333333304</v>
      </c>
      <c r="B71" s="117">
        <f t="shared" si="0"/>
        <v>6277.1071999999995</v>
      </c>
      <c r="D71" s="110"/>
      <c r="E71" s="108"/>
      <c r="F71" s="108">
        <v>0.69791666666666696</v>
      </c>
      <c r="G71" s="20">
        <f>E20</f>
        <v>381.089</v>
      </c>
      <c r="H71" s="21"/>
      <c r="I71" s="110"/>
      <c r="J71" s="108"/>
      <c r="K71" s="108">
        <v>0.69791666666666696</v>
      </c>
      <c r="L71" s="20">
        <f>J20</f>
        <v>480.56400000000002</v>
      </c>
      <c r="M71" s="21"/>
      <c r="N71" s="110"/>
      <c r="O71" s="108"/>
      <c r="P71" s="108">
        <v>0.69791666666666696</v>
      </c>
      <c r="Q71" s="20">
        <f>O20</f>
        <v>426.64099999999996</v>
      </c>
      <c r="R71" s="21"/>
      <c r="S71" s="110"/>
      <c r="T71" s="108"/>
      <c r="U71" s="108">
        <v>0.69791666666666696</v>
      </c>
      <c r="V71" s="20">
        <f>T20</f>
        <v>4.0108699999999997</v>
      </c>
      <c r="W71" s="21"/>
      <c r="X71" s="110"/>
      <c r="Y71" s="108"/>
      <c r="Z71" s="108">
        <v>0.69791666666666696</v>
      </c>
      <c r="AA71" s="20">
        <f>Y20</f>
        <v>353.18599999999998</v>
      </c>
      <c r="AB71" s="21"/>
      <c r="AC71" s="110"/>
      <c r="AD71" s="108"/>
      <c r="AE71" s="108">
        <v>0.69791666666666696</v>
      </c>
      <c r="AF71" s="20">
        <f>AD20</f>
        <v>428.23700000000002</v>
      </c>
      <c r="AH71" s="110"/>
      <c r="AI71" s="108"/>
      <c r="AJ71" s="108">
        <v>0.69791666666666696</v>
      </c>
      <c r="AK71" s="20">
        <f>AI20</f>
        <v>432.267</v>
      </c>
      <c r="AM71" s="110"/>
      <c r="AN71" s="108"/>
      <c r="AO71" s="108">
        <v>0.69791666666666696</v>
      </c>
      <c r="AP71" s="20">
        <f>AN20</f>
        <v>320.78100000000001</v>
      </c>
    </row>
    <row r="72" spans="1:42" x14ac:dyDescent="0.3">
      <c r="A72" s="108">
        <v>0.65625</v>
      </c>
      <c r="B72" s="117">
        <f t="shared" si="0"/>
        <v>6277.1071999999995</v>
      </c>
      <c r="D72" s="110"/>
      <c r="E72" s="108"/>
      <c r="F72" s="108">
        <v>0.70833333333333304</v>
      </c>
      <c r="G72" s="20">
        <f>E21</f>
        <v>130.572</v>
      </c>
      <c r="H72" s="21"/>
      <c r="I72" s="110"/>
      <c r="J72" s="108"/>
      <c r="K72" s="108">
        <v>0.70833333333333304</v>
      </c>
      <c r="L72" s="20">
        <f>J21</f>
        <v>259.64499999999998</v>
      </c>
      <c r="M72" s="21"/>
      <c r="N72" s="110"/>
      <c r="O72" s="108"/>
      <c r="P72" s="108">
        <v>0.70833333333333304</v>
      </c>
      <c r="Q72" s="20">
        <f>O21</f>
        <v>265.29199999999997</v>
      </c>
      <c r="R72" s="21"/>
      <c r="S72" s="110"/>
      <c r="T72" s="108"/>
      <c r="U72" s="108">
        <v>0.70833333333333304</v>
      </c>
      <c r="V72" s="20">
        <f>T21</f>
        <v>0</v>
      </c>
      <c r="W72" s="21"/>
      <c r="X72" s="110"/>
      <c r="Y72" s="108"/>
      <c r="Z72" s="108">
        <v>0.70833333333333304</v>
      </c>
      <c r="AA72" s="20">
        <f>Y21</f>
        <v>49.320900000000002</v>
      </c>
      <c r="AB72" s="21"/>
      <c r="AC72" s="110"/>
      <c r="AD72" s="108"/>
      <c r="AE72" s="108">
        <v>0.70833333333333304</v>
      </c>
      <c r="AF72" s="20">
        <f>AD21</f>
        <v>250.86799999999999</v>
      </c>
      <c r="AH72" s="110"/>
      <c r="AI72" s="108"/>
      <c r="AJ72" s="108">
        <v>0.70833333333333304</v>
      </c>
      <c r="AK72" s="20">
        <f>AI21</f>
        <v>234.75399999999999</v>
      </c>
      <c r="AM72" s="110"/>
      <c r="AN72" s="108"/>
      <c r="AO72" s="108">
        <v>0.70833333333333304</v>
      </c>
      <c r="AP72" s="20">
        <f>AN21</f>
        <v>83.607500000000002</v>
      </c>
    </row>
    <row r="73" spans="1:42" x14ac:dyDescent="0.3">
      <c r="A73" s="108">
        <v>0.66666666666666696</v>
      </c>
      <c r="B73" s="117">
        <f t="shared" si="0"/>
        <v>3955.6831999999995</v>
      </c>
      <c r="D73" s="110"/>
      <c r="E73" s="108"/>
      <c r="F73" s="108">
        <v>0.71875</v>
      </c>
      <c r="G73" s="20">
        <f>E21</f>
        <v>130.572</v>
      </c>
      <c r="H73" s="21"/>
      <c r="I73" s="110"/>
      <c r="J73" s="108"/>
      <c r="K73" s="108">
        <v>0.71875</v>
      </c>
      <c r="L73" s="20">
        <f>J21</f>
        <v>259.64499999999998</v>
      </c>
      <c r="M73" s="21"/>
      <c r="N73" s="110"/>
      <c r="O73" s="108"/>
      <c r="P73" s="108">
        <v>0.71875</v>
      </c>
      <c r="Q73" s="20">
        <f>O21</f>
        <v>265.29199999999997</v>
      </c>
      <c r="R73" s="21"/>
      <c r="S73" s="110"/>
      <c r="T73" s="108"/>
      <c r="U73" s="108">
        <v>0.71875</v>
      </c>
      <c r="V73" s="20">
        <f>T21</f>
        <v>0</v>
      </c>
      <c r="W73" s="21"/>
      <c r="X73" s="110"/>
      <c r="Y73" s="108"/>
      <c r="Z73" s="108">
        <v>0.71875</v>
      </c>
      <c r="AA73" s="20">
        <f>Y21</f>
        <v>49.320900000000002</v>
      </c>
      <c r="AB73" s="21"/>
      <c r="AC73" s="110"/>
      <c r="AD73" s="108"/>
      <c r="AE73" s="108">
        <v>0.71875</v>
      </c>
      <c r="AF73" s="20">
        <f>AD21</f>
        <v>250.86799999999999</v>
      </c>
      <c r="AH73" s="110"/>
      <c r="AI73" s="108"/>
      <c r="AJ73" s="108">
        <v>0.71875</v>
      </c>
      <c r="AK73" s="20">
        <f>AI21</f>
        <v>234.75399999999999</v>
      </c>
      <c r="AM73" s="110"/>
      <c r="AN73" s="108"/>
      <c r="AO73" s="108">
        <v>0.71875</v>
      </c>
      <c r="AP73" s="20">
        <f>AN21</f>
        <v>83.607500000000002</v>
      </c>
    </row>
    <row r="74" spans="1:42" x14ac:dyDescent="0.3">
      <c r="A74" s="108">
        <v>0.67708333333333304</v>
      </c>
      <c r="B74" s="117">
        <f t="shared" ref="B74:B104" si="1">IF($B$6&gt;0,IF($B$3=$D$2,G69*$B$6,IF($B$3=$I$2,L69*$B$6,IF($B$3=$N$2,Q69*$B$6,IF($B$3=$S$2,V69*$B$6,IF($B$3=$X$2,AA69*$B$6,IF($B$3=$AC$2,AF69*$B$6,IF($B$3=$AH$2,AK69*$B$6,IF($B$3=$AM$2,AP69*$B$6,0)))))))),0)</f>
        <v>3955.6831999999995</v>
      </c>
      <c r="D74" s="110"/>
      <c r="E74" s="108"/>
      <c r="F74" s="108">
        <v>0.72916666666666696</v>
      </c>
      <c r="G74" s="20">
        <f>E21</f>
        <v>130.572</v>
      </c>
      <c r="H74" s="21"/>
      <c r="I74" s="110"/>
      <c r="J74" s="108"/>
      <c r="K74" s="108">
        <v>0.72916666666666696</v>
      </c>
      <c r="L74" s="20">
        <f>J21</f>
        <v>259.64499999999998</v>
      </c>
      <c r="M74" s="21"/>
      <c r="N74" s="110"/>
      <c r="O74" s="108"/>
      <c r="P74" s="108">
        <v>0.72916666666666696</v>
      </c>
      <c r="Q74" s="20">
        <f>O21</f>
        <v>265.29199999999997</v>
      </c>
      <c r="R74" s="21"/>
      <c r="S74" s="110"/>
      <c r="T74" s="108"/>
      <c r="U74" s="108">
        <v>0.72916666666666696</v>
      </c>
      <c r="V74" s="20">
        <f>T21</f>
        <v>0</v>
      </c>
      <c r="W74" s="21"/>
      <c r="X74" s="110"/>
      <c r="Y74" s="108"/>
      <c r="Z74" s="108">
        <v>0.72916666666666696</v>
      </c>
      <c r="AA74" s="20">
        <f>Y21</f>
        <v>49.320900000000002</v>
      </c>
      <c r="AB74" s="21"/>
      <c r="AC74" s="110"/>
      <c r="AD74" s="108"/>
      <c r="AE74" s="108">
        <v>0.72916666666666696</v>
      </c>
      <c r="AF74" s="20">
        <f>AD21</f>
        <v>250.86799999999999</v>
      </c>
      <c r="AH74" s="110"/>
      <c r="AI74" s="108"/>
      <c r="AJ74" s="108">
        <v>0.72916666666666696</v>
      </c>
      <c r="AK74" s="20">
        <f>AI21</f>
        <v>234.75399999999999</v>
      </c>
      <c r="AM74" s="110"/>
      <c r="AN74" s="108"/>
      <c r="AO74" s="108">
        <v>0.72916666666666696</v>
      </c>
      <c r="AP74" s="20">
        <f>AN21</f>
        <v>83.607500000000002</v>
      </c>
    </row>
    <row r="75" spans="1:42" x14ac:dyDescent="0.3">
      <c r="A75" s="108">
        <v>0.6875</v>
      </c>
      <c r="B75" s="117">
        <f t="shared" si="1"/>
        <v>3955.6831999999995</v>
      </c>
      <c r="D75" s="110"/>
      <c r="E75" s="108"/>
      <c r="F75" s="108">
        <v>0.73958333333333304</v>
      </c>
      <c r="G75" s="20">
        <f>E21</f>
        <v>130.572</v>
      </c>
      <c r="H75" s="21"/>
      <c r="I75" s="110"/>
      <c r="J75" s="108"/>
      <c r="K75" s="108">
        <v>0.73958333333333304</v>
      </c>
      <c r="L75" s="20">
        <f>J21</f>
        <v>259.64499999999998</v>
      </c>
      <c r="M75" s="21"/>
      <c r="N75" s="110"/>
      <c r="O75" s="108"/>
      <c r="P75" s="108">
        <v>0.73958333333333304</v>
      </c>
      <c r="Q75" s="20">
        <f>O21</f>
        <v>265.29199999999997</v>
      </c>
      <c r="R75" s="21"/>
      <c r="S75" s="110"/>
      <c r="T75" s="108"/>
      <c r="U75" s="108">
        <v>0.73958333333333304</v>
      </c>
      <c r="V75" s="20">
        <f>T21</f>
        <v>0</v>
      </c>
      <c r="W75" s="21"/>
      <c r="X75" s="110"/>
      <c r="Y75" s="108"/>
      <c r="Z75" s="108">
        <v>0.73958333333333304</v>
      </c>
      <c r="AA75" s="20">
        <f>Y21</f>
        <v>49.320900000000002</v>
      </c>
      <c r="AB75" s="21"/>
      <c r="AC75" s="110"/>
      <c r="AD75" s="108"/>
      <c r="AE75" s="108">
        <v>0.73958333333333304</v>
      </c>
      <c r="AF75" s="20">
        <f>AD21</f>
        <v>250.86799999999999</v>
      </c>
      <c r="AH75" s="110"/>
      <c r="AI75" s="108"/>
      <c r="AJ75" s="108">
        <v>0.73958333333333304</v>
      </c>
      <c r="AK75" s="20">
        <f>AI21</f>
        <v>234.75399999999999</v>
      </c>
      <c r="AM75" s="110"/>
      <c r="AN75" s="108"/>
      <c r="AO75" s="108">
        <v>0.73958333333333304</v>
      </c>
      <c r="AP75" s="20">
        <f>AN21</f>
        <v>83.607500000000002</v>
      </c>
    </row>
    <row r="76" spans="1:42" x14ac:dyDescent="0.3">
      <c r="A76" s="108">
        <v>0.69791666666666696</v>
      </c>
      <c r="B76" s="117">
        <f t="shared" si="1"/>
        <v>3955.6831999999995</v>
      </c>
      <c r="D76" s="110"/>
      <c r="E76" s="108"/>
      <c r="F76" s="108">
        <v>0.75</v>
      </c>
      <c r="G76" s="20">
        <f>E22</f>
        <v>0</v>
      </c>
      <c r="H76" s="21"/>
      <c r="I76" s="110"/>
      <c r="J76" s="108"/>
      <c r="K76" s="108">
        <v>0.75</v>
      </c>
      <c r="L76" s="20">
        <f>J22</f>
        <v>45.173000000000002</v>
      </c>
      <c r="M76" s="21"/>
      <c r="N76" s="110"/>
      <c r="O76" s="108"/>
      <c r="P76" s="108">
        <v>0.75</v>
      </c>
      <c r="Q76" s="20">
        <f>O22</f>
        <v>84.266300000000001</v>
      </c>
      <c r="R76" s="21"/>
      <c r="S76" s="110"/>
      <c r="T76" s="108"/>
      <c r="U76" s="108">
        <v>0.75</v>
      </c>
      <c r="V76" s="20">
        <f>T22</f>
        <v>0</v>
      </c>
      <c r="W76" s="21"/>
      <c r="X76" s="110"/>
      <c r="Y76" s="108"/>
      <c r="Z76" s="108">
        <v>0.75</v>
      </c>
      <c r="AA76" s="20">
        <f>Y22</f>
        <v>0</v>
      </c>
      <c r="AB76" s="21"/>
      <c r="AC76" s="110"/>
      <c r="AD76" s="108"/>
      <c r="AE76" s="108">
        <v>0.75</v>
      </c>
      <c r="AF76" s="20">
        <f>AD22</f>
        <v>71.501300000000001</v>
      </c>
      <c r="AH76" s="110"/>
      <c r="AI76" s="108"/>
      <c r="AJ76" s="108">
        <v>0.75</v>
      </c>
      <c r="AK76" s="20">
        <f>AI22</f>
        <v>44.650700000000001</v>
      </c>
      <c r="AM76" s="110"/>
      <c r="AN76" s="108"/>
      <c r="AO76" s="108">
        <v>0.75</v>
      </c>
      <c r="AP76" s="20">
        <f>AN22</f>
        <v>0</v>
      </c>
    </row>
    <row r="77" spans="1:42" x14ac:dyDescent="0.3">
      <c r="A77" s="108">
        <v>0.70833333333333304</v>
      </c>
      <c r="B77" s="117">
        <f t="shared" si="1"/>
        <v>552.39408000000003</v>
      </c>
      <c r="D77" s="110"/>
      <c r="E77" s="108"/>
      <c r="F77" s="108">
        <v>0.76041666666666696</v>
      </c>
      <c r="G77" s="20">
        <f>E22</f>
        <v>0</v>
      </c>
      <c r="H77" s="21"/>
      <c r="I77" s="110"/>
      <c r="J77" s="108"/>
      <c r="K77" s="108">
        <v>0.76041666666666696</v>
      </c>
      <c r="L77" s="20">
        <f>J22</f>
        <v>45.173000000000002</v>
      </c>
      <c r="M77" s="21"/>
      <c r="N77" s="110"/>
      <c r="O77" s="108"/>
      <c r="P77" s="108">
        <v>0.76041666666666696</v>
      </c>
      <c r="Q77" s="20">
        <f>O22</f>
        <v>84.266300000000001</v>
      </c>
      <c r="R77" s="21"/>
      <c r="S77" s="110"/>
      <c r="T77" s="108"/>
      <c r="U77" s="108">
        <v>0.76041666666666696</v>
      </c>
      <c r="V77" s="20">
        <f>T22</f>
        <v>0</v>
      </c>
      <c r="W77" s="21"/>
      <c r="X77" s="110"/>
      <c r="Y77" s="108"/>
      <c r="Z77" s="108">
        <v>0.76041666666666696</v>
      </c>
      <c r="AA77" s="20">
        <f>Y22</f>
        <v>0</v>
      </c>
      <c r="AB77" s="21"/>
      <c r="AC77" s="110"/>
      <c r="AD77" s="108"/>
      <c r="AE77" s="108">
        <v>0.76041666666666696</v>
      </c>
      <c r="AF77" s="20">
        <f>AD22</f>
        <v>71.501300000000001</v>
      </c>
      <c r="AH77" s="110"/>
      <c r="AI77" s="108"/>
      <c r="AJ77" s="108">
        <v>0.76041666666666696</v>
      </c>
      <c r="AK77" s="20">
        <f>AI22</f>
        <v>44.650700000000001</v>
      </c>
      <c r="AM77" s="110"/>
      <c r="AN77" s="108"/>
      <c r="AO77" s="108">
        <v>0.76041666666666696</v>
      </c>
      <c r="AP77" s="20">
        <f>AN22</f>
        <v>0</v>
      </c>
    </row>
    <row r="78" spans="1:42" x14ac:dyDescent="0.3">
      <c r="A78" s="108">
        <v>0.71875</v>
      </c>
      <c r="B78" s="117">
        <f t="shared" si="1"/>
        <v>552.39408000000003</v>
      </c>
      <c r="D78" s="110"/>
      <c r="E78" s="108"/>
      <c r="F78" s="108">
        <v>0.77083333333333304</v>
      </c>
      <c r="G78" s="20">
        <f>E22</f>
        <v>0</v>
      </c>
      <c r="H78" s="21"/>
      <c r="I78" s="110"/>
      <c r="J78" s="108"/>
      <c r="K78" s="108">
        <v>0.77083333333333304</v>
      </c>
      <c r="L78" s="20">
        <f>J22</f>
        <v>45.173000000000002</v>
      </c>
      <c r="M78" s="21"/>
      <c r="N78" s="110"/>
      <c r="O78" s="108"/>
      <c r="P78" s="108">
        <v>0.77083333333333304</v>
      </c>
      <c r="Q78" s="20">
        <f>O22</f>
        <v>84.266300000000001</v>
      </c>
      <c r="R78" s="21"/>
      <c r="S78" s="110"/>
      <c r="T78" s="108"/>
      <c r="U78" s="108">
        <v>0.77083333333333304</v>
      </c>
      <c r="V78" s="20">
        <f>T22</f>
        <v>0</v>
      </c>
      <c r="W78" s="21"/>
      <c r="X78" s="110"/>
      <c r="Y78" s="108"/>
      <c r="Z78" s="108">
        <v>0.77083333333333304</v>
      </c>
      <c r="AA78" s="20">
        <f>Y22</f>
        <v>0</v>
      </c>
      <c r="AB78" s="21"/>
      <c r="AC78" s="110"/>
      <c r="AD78" s="108"/>
      <c r="AE78" s="108">
        <v>0.77083333333333304</v>
      </c>
      <c r="AF78" s="20">
        <f>AD22</f>
        <v>71.501300000000001</v>
      </c>
      <c r="AH78" s="110"/>
      <c r="AI78" s="108"/>
      <c r="AJ78" s="108">
        <v>0.77083333333333304</v>
      </c>
      <c r="AK78" s="20">
        <f>AI22</f>
        <v>44.650700000000001</v>
      </c>
      <c r="AM78" s="110"/>
      <c r="AN78" s="108"/>
      <c r="AO78" s="108">
        <v>0.77083333333333304</v>
      </c>
      <c r="AP78" s="20">
        <f>AN22</f>
        <v>0</v>
      </c>
    </row>
    <row r="79" spans="1:42" x14ac:dyDescent="0.3">
      <c r="A79" s="108">
        <v>0.72916666666666696</v>
      </c>
      <c r="B79" s="117">
        <f t="shared" si="1"/>
        <v>552.39408000000003</v>
      </c>
      <c r="D79" s="110"/>
      <c r="E79" s="108"/>
      <c r="F79" s="108">
        <v>0.78125</v>
      </c>
      <c r="G79" s="20">
        <f>E22</f>
        <v>0</v>
      </c>
      <c r="H79" s="21"/>
      <c r="I79" s="110"/>
      <c r="J79" s="108"/>
      <c r="K79" s="108">
        <v>0.78125</v>
      </c>
      <c r="L79" s="20">
        <f>J22</f>
        <v>45.173000000000002</v>
      </c>
      <c r="M79" s="21"/>
      <c r="N79" s="110"/>
      <c r="O79" s="108"/>
      <c r="P79" s="108">
        <v>0.78125</v>
      </c>
      <c r="Q79" s="20">
        <f>O22</f>
        <v>84.266300000000001</v>
      </c>
      <c r="R79" s="21"/>
      <c r="S79" s="110"/>
      <c r="T79" s="108"/>
      <c r="U79" s="108">
        <v>0.78125</v>
      </c>
      <c r="V79" s="20">
        <f>T22</f>
        <v>0</v>
      </c>
      <c r="W79" s="21"/>
      <c r="X79" s="110"/>
      <c r="Y79" s="108"/>
      <c r="Z79" s="108">
        <v>0.78125</v>
      </c>
      <c r="AA79" s="20">
        <f>Y22</f>
        <v>0</v>
      </c>
      <c r="AB79" s="21"/>
      <c r="AC79" s="110"/>
      <c r="AD79" s="108"/>
      <c r="AE79" s="108">
        <v>0.78125</v>
      </c>
      <c r="AF79" s="20">
        <f>AD22</f>
        <v>71.501300000000001</v>
      </c>
      <c r="AH79" s="110"/>
      <c r="AI79" s="108"/>
      <c r="AJ79" s="108">
        <v>0.78125</v>
      </c>
      <c r="AK79" s="20">
        <f>AI22</f>
        <v>44.650700000000001</v>
      </c>
      <c r="AM79" s="110"/>
      <c r="AN79" s="108"/>
      <c r="AO79" s="108">
        <v>0.78125</v>
      </c>
      <c r="AP79" s="20">
        <f>AN22</f>
        <v>0</v>
      </c>
    </row>
    <row r="80" spans="1:42" x14ac:dyDescent="0.3">
      <c r="A80" s="108">
        <v>0.73958333333333304</v>
      </c>
      <c r="B80" s="117">
        <f t="shared" si="1"/>
        <v>552.39408000000003</v>
      </c>
      <c r="D80" s="110"/>
      <c r="E80" s="108"/>
      <c r="F80" s="108">
        <v>0.79166666666666696</v>
      </c>
      <c r="G80" s="20">
        <f>E23</f>
        <v>0</v>
      </c>
      <c r="H80" s="21"/>
      <c r="I80" s="110"/>
      <c r="J80" s="108"/>
      <c r="K80" s="108">
        <v>0.79166666666666696</v>
      </c>
      <c r="L80" s="20">
        <f>J23</f>
        <v>0</v>
      </c>
      <c r="M80" s="21"/>
      <c r="N80" s="110"/>
      <c r="O80" s="108"/>
      <c r="P80" s="108">
        <v>0.79166666666666696</v>
      </c>
      <c r="Q80" s="20">
        <f>O23</f>
        <v>4.1248399999999998</v>
      </c>
      <c r="R80" s="21"/>
      <c r="S80" s="110"/>
      <c r="T80" s="108"/>
      <c r="U80" s="108">
        <v>0.79166666666666696</v>
      </c>
      <c r="V80" s="20">
        <f>T23</f>
        <v>0</v>
      </c>
      <c r="W80" s="21"/>
      <c r="X80" s="110"/>
      <c r="Y80" s="108"/>
      <c r="Z80" s="108">
        <v>0.79166666666666696</v>
      </c>
      <c r="AA80" s="20">
        <f>Y23</f>
        <v>0</v>
      </c>
      <c r="AB80" s="21"/>
      <c r="AC80" s="110"/>
      <c r="AD80" s="108"/>
      <c r="AE80" s="108">
        <v>0.79166666666666696</v>
      </c>
      <c r="AF80" s="20">
        <f>AD23</f>
        <v>1.78748</v>
      </c>
      <c r="AH80" s="110"/>
      <c r="AI80" s="108"/>
      <c r="AJ80" s="108">
        <v>0.79166666666666696</v>
      </c>
      <c r="AK80" s="20">
        <f>AI23</f>
        <v>0</v>
      </c>
      <c r="AM80" s="110"/>
      <c r="AN80" s="108"/>
      <c r="AO80" s="108">
        <v>0.79166666666666696</v>
      </c>
      <c r="AP80" s="20">
        <f>AN23</f>
        <v>0</v>
      </c>
    </row>
    <row r="81" spans="1:42" x14ac:dyDescent="0.3">
      <c r="A81" s="108">
        <v>0.75</v>
      </c>
      <c r="B81" s="117">
        <f t="shared" si="1"/>
        <v>0</v>
      </c>
      <c r="D81" s="110"/>
      <c r="E81" s="108"/>
      <c r="F81" s="108">
        <v>0.80208333333333304</v>
      </c>
      <c r="G81" s="20">
        <f>E23</f>
        <v>0</v>
      </c>
      <c r="H81" s="21"/>
      <c r="I81" s="110"/>
      <c r="J81" s="108"/>
      <c r="K81" s="108">
        <v>0.80208333333333304</v>
      </c>
      <c r="L81" s="20">
        <f>J23</f>
        <v>0</v>
      </c>
      <c r="M81" s="21"/>
      <c r="N81" s="110"/>
      <c r="O81" s="108"/>
      <c r="P81" s="108">
        <v>0.80208333333333304</v>
      </c>
      <c r="Q81" s="20">
        <f>O23</f>
        <v>4.1248399999999998</v>
      </c>
      <c r="R81" s="21"/>
      <c r="S81" s="110"/>
      <c r="T81" s="108"/>
      <c r="U81" s="108">
        <v>0.80208333333333304</v>
      </c>
      <c r="V81" s="20">
        <f>T23</f>
        <v>0</v>
      </c>
      <c r="W81" s="21"/>
      <c r="X81" s="110"/>
      <c r="Y81" s="108"/>
      <c r="Z81" s="108">
        <v>0.80208333333333304</v>
      </c>
      <c r="AA81" s="20">
        <f>Y23</f>
        <v>0</v>
      </c>
      <c r="AB81" s="21"/>
      <c r="AC81" s="110"/>
      <c r="AD81" s="108"/>
      <c r="AE81" s="108">
        <v>0.80208333333333304</v>
      </c>
      <c r="AF81" s="20">
        <f>AD23</f>
        <v>1.78748</v>
      </c>
      <c r="AH81" s="110"/>
      <c r="AI81" s="108"/>
      <c r="AJ81" s="108">
        <v>0.80208333333333304</v>
      </c>
      <c r="AK81" s="20">
        <f>AI23</f>
        <v>0</v>
      </c>
      <c r="AM81" s="110"/>
      <c r="AN81" s="108"/>
      <c r="AO81" s="108">
        <v>0.80208333333333304</v>
      </c>
      <c r="AP81" s="20">
        <f>AN23</f>
        <v>0</v>
      </c>
    </row>
    <row r="82" spans="1:42" x14ac:dyDescent="0.3">
      <c r="A82" s="108">
        <v>0.76041666666666696</v>
      </c>
      <c r="B82" s="117">
        <f t="shared" si="1"/>
        <v>0</v>
      </c>
      <c r="D82" s="110"/>
      <c r="E82" s="108"/>
      <c r="F82" s="108">
        <v>0.8125</v>
      </c>
      <c r="G82" s="20">
        <f>E23</f>
        <v>0</v>
      </c>
      <c r="H82" s="21"/>
      <c r="I82" s="110"/>
      <c r="J82" s="108"/>
      <c r="K82" s="108">
        <v>0.8125</v>
      </c>
      <c r="L82" s="20">
        <f>J23</f>
        <v>0</v>
      </c>
      <c r="M82" s="21"/>
      <c r="N82" s="110"/>
      <c r="O82" s="108"/>
      <c r="P82" s="108">
        <v>0.8125</v>
      </c>
      <c r="Q82" s="20">
        <f>O23</f>
        <v>4.1248399999999998</v>
      </c>
      <c r="R82" s="21"/>
      <c r="S82" s="110"/>
      <c r="T82" s="108"/>
      <c r="U82" s="108">
        <v>0.8125</v>
      </c>
      <c r="V82" s="20">
        <f>T23</f>
        <v>0</v>
      </c>
      <c r="W82" s="21"/>
      <c r="X82" s="110"/>
      <c r="Y82" s="108"/>
      <c r="Z82" s="108">
        <v>0.8125</v>
      </c>
      <c r="AA82" s="20">
        <f>Y23</f>
        <v>0</v>
      </c>
      <c r="AB82" s="21"/>
      <c r="AC82" s="110"/>
      <c r="AD82" s="108"/>
      <c r="AE82" s="108">
        <v>0.8125</v>
      </c>
      <c r="AF82" s="20">
        <f>AD23</f>
        <v>1.78748</v>
      </c>
      <c r="AH82" s="110"/>
      <c r="AI82" s="108"/>
      <c r="AJ82" s="108">
        <v>0.8125</v>
      </c>
      <c r="AK82" s="20">
        <f>AI23</f>
        <v>0</v>
      </c>
      <c r="AM82" s="110"/>
      <c r="AN82" s="108"/>
      <c r="AO82" s="108">
        <v>0.8125</v>
      </c>
      <c r="AP82" s="20">
        <f>AN23</f>
        <v>0</v>
      </c>
    </row>
    <row r="83" spans="1:42" x14ac:dyDescent="0.3">
      <c r="A83" s="108">
        <v>0.77083333333333304</v>
      </c>
      <c r="B83" s="117">
        <f t="shared" si="1"/>
        <v>0</v>
      </c>
      <c r="D83" s="110"/>
      <c r="E83" s="108"/>
      <c r="F83" s="108">
        <v>0.82291666666666696</v>
      </c>
      <c r="G83" s="20">
        <f>E23</f>
        <v>0</v>
      </c>
      <c r="H83" s="21"/>
      <c r="I83" s="110"/>
      <c r="J83" s="108"/>
      <c r="K83" s="108">
        <v>0.82291666666666696</v>
      </c>
      <c r="L83" s="20">
        <f>J23</f>
        <v>0</v>
      </c>
      <c r="M83" s="21"/>
      <c r="N83" s="110"/>
      <c r="O83" s="108"/>
      <c r="P83" s="108">
        <v>0.82291666666666696</v>
      </c>
      <c r="Q83" s="20">
        <f>O23</f>
        <v>4.1248399999999998</v>
      </c>
      <c r="R83" s="21"/>
      <c r="S83" s="110"/>
      <c r="T83" s="108"/>
      <c r="U83" s="108">
        <v>0.82291666666666696</v>
      </c>
      <c r="V83" s="20">
        <f>T23</f>
        <v>0</v>
      </c>
      <c r="W83" s="21"/>
      <c r="X83" s="110"/>
      <c r="Y83" s="108"/>
      <c r="Z83" s="108">
        <v>0.82291666666666696</v>
      </c>
      <c r="AA83" s="20">
        <f>Y23</f>
        <v>0</v>
      </c>
      <c r="AB83" s="21"/>
      <c r="AC83" s="110"/>
      <c r="AD83" s="108"/>
      <c r="AE83" s="108">
        <v>0.82291666666666696</v>
      </c>
      <c r="AF83" s="20">
        <f>AD23</f>
        <v>1.78748</v>
      </c>
      <c r="AH83" s="110"/>
      <c r="AI83" s="108"/>
      <c r="AJ83" s="108">
        <v>0.82291666666666696</v>
      </c>
      <c r="AK83" s="20">
        <f>AI23</f>
        <v>0</v>
      </c>
      <c r="AM83" s="110"/>
      <c r="AN83" s="108"/>
      <c r="AO83" s="108">
        <v>0.82291666666666696</v>
      </c>
      <c r="AP83" s="20">
        <f>AN23</f>
        <v>0</v>
      </c>
    </row>
    <row r="84" spans="1:42" x14ac:dyDescent="0.3">
      <c r="A84" s="108">
        <v>0.78125</v>
      </c>
      <c r="B84" s="117">
        <f t="shared" si="1"/>
        <v>0</v>
      </c>
      <c r="D84" s="110"/>
      <c r="E84" s="108"/>
      <c r="F84" s="108">
        <v>0.83333333333333304</v>
      </c>
      <c r="G84" s="20">
        <f>E24</f>
        <v>0</v>
      </c>
      <c r="H84" s="21"/>
      <c r="I84" s="110"/>
      <c r="J84" s="108"/>
      <c r="K84" s="108">
        <v>0.83333333333333304</v>
      </c>
      <c r="L84" s="20">
        <f>J24</f>
        <v>0</v>
      </c>
      <c r="M84" s="21"/>
      <c r="N84" s="110"/>
      <c r="O84" s="108"/>
      <c r="P84" s="108">
        <v>0.83333333333333304</v>
      </c>
      <c r="Q84" s="20">
        <f>O24</f>
        <v>0</v>
      </c>
      <c r="R84" s="21"/>
      <c r="S84" s="110"/>
      <c r="T84" s="108"/>
      <c r="U84" s="108">
        <v>0.83333333333333304</v>
      </c>
      <c r="V84" s="20">
        <f>T24</f>
        <v>0</v>
      </c>
      <c r="W84" s="21"/>
      <c r="X84" s="110"/>
      <c r="Y84" s="108"/>
      <c r="Z84" s="108">
        <v>0.83333333333333304</v>
      </c>
      <c r="AA84" s="20">
        <f>Y24</f>
        <v>0</v>
      </c>
      <c r="AB84" s="21"/>
      <c r="AC84" s="110"/>
      <c r="AD84" s="108"/>
      <c r="AE84" s="108">
        <v>0.83333333333333304</v>
      </c>
      <c r="AF84" s="20">
        <f>AD24</f>
        <v>0</v>
      </c>
      <c r="AH84" s="110"/>
      <c r="AI84" s="108"/>
      <c r="AJ84" s="108">
        <v>0.83333333333333304</v>
      </c>
      <c r="AK84" s="20">
        <f>AI24</f>
        <v>0</v>
      </c>
      <c r="AM84" s="110"/>
      <c r="AN84" s="108"/>
      <c r="AO84" s="108">
        <v>0.83333333333333304</v>
      </c>
      <c r="AP84" s="20">
        <f>AN24</f>
        <v>0</v>
      </c>
    </row>
    <row r="85" spans="1:42" x14ac:dyDescent="0.3">
      <c r="A85" s="108">
        <v>0.79166666666666696</v>
      </c>
      <c r="B85" s="117">
        <f t="shared" si="1"/>
        <v>0</v>
      </c>
      <c r="D85" s="110"/>
      <c r="E85" s="108"/>
      <c r="F85" s="108">
        <v>0.84375</v>
      </c>
      <c r="G85" s="20">
        <f>E24</f>
        <v>0</v>
      </c>
      <c r="H85" s="21"/>
      <c r="I85" s="110"/>
      <c r="J85" s="108"/>
      <c r="K85" s="108">
        <v>0.84375</v>
      </c>
      <c r="L85" s="20">
        <f>J24</f>
        <v>0</v>
      </c>
      <c r="M85" s="21"/>
      <c r="N85" s="110"/>
      <c r="O85" s="108"/>
      <c r="P85" s="108">
        <v>0.84375</v>
      </c>
      <c r="Q85" s="20">
        <f>O24</f>
        <v>0</v>
      </c>
      <c r="R85" s="21"/>
      <c r="S85" s="110"/>
      <c r="T85" s="108"/>
      <c r="U85" s="108">
        <v>0.84375</v>
      </c>
      <c r="V85" s="20">
        <f>T24</f>
        <v>0</v>
      </c>
      <c r="W85" s="21"/>
      <c r="X85" s="110"/>
      <c r="Y85" s="108"/>
      <c r="Z85" s="108">
        <v>0.84375</v>
      </c>
      <c r="AA85" s="20">
        <f>Y24</f>
        <v>0</v>
      </c>
      <c r="AB85" s="21"/>
      <c r="AC85" s="110"/>
      <c r="AD85" s="108"/>
      <c r="AE85" s="108">
        <v>0.84375</v>
      </c>
      <c r="AF85" s="20">
        <f>AD24</f>
        <v>0</v>
      </c>
      <c r="AH85" s="110"/>
      <c r="AI85" s="108"/>
      <c r="AJ85" s="108">
        <v>0.84375</v>
      </c>
      <c r="AK85" s="20">
        <f>AI24</f>
        <v>0</v>
      </c>
      <c r="AM85" s="110"/>
      <c r="AN85" s="108"/>
      <c r="AO85" s="108">
        <v>0.84375</v>
      </c>
      <c r="AP85" s="20">
        <f>AN24</f>
        <v>0</v>
      </c>
    </row>
    <row r="86" spans="1:42" x14ac:dyDescent="0.3">
      <c r="A86" s="108">
        <v>0.80208333333333304</v>
      </c>
      <c r="B86" s="117">
        <f t="shared" si="1"/>
        <v>0</v>
      </c>
      <c r="D86" s="110"/>
      <c r="E86" s="108"/>
      <c r="F86" s="108">
        <v>0.85416666666666696</v>
      </c>
      <c r="G86" s="20">
        <f>E24</f>
        <v>0</v>
      </c>
      <c r="H86" s="21"/>
      <c r="I86" s="110"/>
      <c r="J86" s="108"/>
      <c r="K86" s="108">
        <v>0.85416666666666696</v>
      </c>
      <c r="L86" s="20">
        <f>J24</f>
        <v>0</v>
      </c>
      <c r="M86" s="21"/>
      <c r="N86" s="110"/>
      <c r="O86" s="108"/>
      <c r="P86" s="108">
        <v>0.85416666666666696</v>
      </c>
      <c r="Q86" s="20">
        <f>O24</f>
        <v>0</v>
      </c>
      <c r="R86" s="21"/>
      <c r="S86" s="110"/>
      <c r="T86" s="108"/>
      <c r="U86" s="108">
        <v>0.85416666666666696</v>
      </c>
      <c r="V86" s="20">
        <f>T24</f>
        <v>0</v>
      </c>
      <c r="W86" s="21"/>
      <c r="X86" s="110"/>
      <c r="Y86" s="108"/>
      <c r="Z86" s="108">
        <v>0.85416666666666696</v>
      </c>
      <c r="AA86" s="20">
        <f>Y24</f>
        <v>0</v>
      </c>
      <c r="AB86" s="21"/>
      <c r="AC86" s="110"/>
      <c r="AD86" s="108"/>
      <c r="AE86" s="108">
        <v>0.85416666666666696</v>
      </c>
      <c r="AF86" s="20">
        <f>AD24</f>
        <v>0</v>
      </c>
      <c r="AH86" s="110"/>
      <c r="AI86" s="108"/>
      <c r="AJ86" s="108">
        <v>0.85416666666666696</v>
      </c>
      <c r="AK86" s="20">
        <f>AI24</f>
        <v>0</v>
      </c>
      <c r="AM86" s="110"/>
      <c r="AN86" s="108"/>
      <c r="AO86" s="108">
        <v>0.85416666666666696</v>
      </c>
      <c r="AP86" s="20">
        <f>AN24</f>
        <v>0</v>
      </c>
    </row>
    <row r="87" spans="1:42" x14ac:dyDescent="0.3">
      <c r="A87" s="108">
        <v>0.8125</v>
      </c>
      <c r="B87" s="117">
        <f t="shared" si="1"/>
        <v>0</v>
      </c>
      <c r="D87" s="110"/>
      <c r="E87" s="108"/>
      <c r="F87" s="108">
        <v>0.86458333333333304</v>
      </c>
      <c r="G87" s="20">
        <f>E24</f>
        <v>0</v>
      </c>
      <c r="H87" s="21"/>
      <c r="I87" s="110"/>
      <c r="J87" s="108"/>
      <c r="K87" s="108">
        <v>0.86458333333333304</v>
      </c>
      <c r="L87" s="20">
        <f>J24</f>
        <v>0</v>
      </c>
      <c r="M87" s="21"/>
      <c r="N87" s="110"/>
      <c r="O87" s="108"/>
      <c r="P87" s="108">
        <v>0.86458333333333304</v>
      </c>
      <c r="Q87" s="20">
        <f>O24</f>
        <v>0</v>
      </c>
      <c r="R87" s="21"/>
      <c r="S87" s="110"/>
      <c r="T87" s="108"/>
      <c r="U87" s="108">
        <v>0.86458333333333304</v>
      </c>
      <c r="V87" s="20">
        <f>T24</f>
        <v>0</v>
      </c>
      <c r="W87" s="21"/>
      <c r="X87" s="110"/>
      <c r="Y87" s="108"/>
      <c r="Z87" s="108">
        <v>0.86458333333333304</v>
      </c>
      <c r="AA87" s="20">
        <f>Y24</f>
        <v>0</v>
      </c>
      <c r="AB87" s="21"/>
      <c r="AC87" s="110"/>
      <c r="AD87" s="108"/>
      <c r="AE87" s="108">
        <v>0.86458333333333304</v>
      </c>
      <c r="AF87" s="20">
        <f>AD24</f>
        <v>0</v>
      </c>
      <c r="AH87" s="110"/>
      <c r="AI87" s="108"/>
      <c r="AJ87" s="108">
        <v>0.86458333333333304</v>
      </c>
      <c r="AK87" s="20">
        <f>AI24</f>
        <v>0</v>
      </c>
      <c r="AM87" s="110"/>
      <c r="AN87" s="108"/>
      <c r="AO87" s="108">
        <v>0.86458333333333304</v>
      </c>
      <c r="AP87" s="20">
        <f>AN24</f>
        <v>0</v>
      </c>
    </row>
    <row r="88" spans="1:42" x14ac:dyDescent="0.3">
      <c r="A88" s="108">
        <v>0.82291666666666696</v>
      </c>
      <c r="B88" s="117">
        <f t="shared" si="1"/>
        <v>0</v>
      </c>
      <c r="D88" s="110"/>
      <c r="E88" s="108"/>
      <c r="F88" s="108">
        <v>0.875</v>
      </c>
      <c r="G88" s="20">
        <f>E25</f>
        <v>0</v>
      </c>
      <c r="H88" s="21"/>
      <c r="I88" s="110"/>
      <c r="J88" s="108"/>
      <c r="K88" s="108">
        <v>0.875</v>
      </c>
      <c r="L88" s="20">
        <f>J25</f>
        <v>0</v>
      </c>
      <c r="M88" s="21"/>
      <c r="N88" s="110"/>
      <c r="O88" s="108"/>
      <c r="P88" s="108">
        <v>0.875</v>
      </c>
      <c r="Q88" s="20">
        <f>O25</f>
        <v>0</v>
      </c>
      <c r="R88" s="21"/>
      <c r="S88" s="110"/>
      <c r="T88" s="108"/>
      <c r="U88" s="108">
        <v>0.875</v>
      </c>
      <c r="V88" s="20">
        <f>T25</f>
        <v>0</v>
      </c>
      <c r="W88" s="21"/>
      <c r="X88" s="110"/>
      <c r="Y88" s="108"/>
      <c r="Z88" s="108">
        <v>0.875</v>
      </c>
      <c r="AA88" s="20">
        <f>Y25</f>
        <v>0</v>
      </c>
      <c r="AB88" s="21"/>
      <c r="AC88" s="110"/>
      <c r="AD88" s="108"/>
      <c r="AE88" s="108">
        <v>0.875</v>
      </c>
      <c r="AF88" s="20">
        <f>AD25</f>
        <v>0</v>
      </c>
      <c r="AH88" s="110"/>
      <c r="AI88" s="108"/>
      <c r="AJ88" s="108">
        <v>0.875</v>
      </c>
      <c r="AK88" s="20">
        <f>AI25</f>
        <v>0</v>
      </c>
      <c r="AM88" s="110"/>
      <c r="AN88" s="108"/>
      <c r="AO88" s="108">
        <v>0.875</v>
      </c>
      <c r="AP88" s="20">
        <f>AN25</f>
        <v>0</v>
      </c>
    </row>
    <row r="89" spans="1:42" x14ac:dyDescent="0.3">
      <c r="A89" s="108">
        <v>0.83333333333333304</v>
      </c>
      <c r="B89" s="117">
        <f t="shared" si="1"/>
        <v>0</v>
      </c>
      <c r="D89" s="110"/>
      <c r="E89" s="108"/>
      <c r="F89" s="108">
        <v>0.88541666666666696</v>
      </c>
      <c r="G89" s="20">
        <f>E25</f>
        <v>0</v>
      </c>
      <c r="H89" s="21"/>
      <c r="I89" s="110"/>
      <c r="J89" s="108"/>
      <c r="K89" s="108">
        <v>0.88541666666666696</v>
      </c>
      <c r="L89" s="20">
        <f>J25</f>
        <v>0</v>
      </c>
      <c r="M89" s="21"/>
      <c r="N89" s="110"/>
      <c r="O89" s="108"/>
      <c r="P89" s="108">
        <v>0.88541666666666696</v>
      </c>
      <c r="Q89" s="20">
        <f>O25</f>
        <v>0</v>
      </c>
      <c r="R89" s="21"/>
      <c r="S89" s="110"/>
      <c r="T89" s="108"/>
      <c r="U89" s="108">
        <v>0.88541666666666696</v>
      </c>
      <c r="V89" s="20">
        <f>T25</f>
        <v>0</v>
      </c>
      <c r="W89" s="21"/>
      <c r="X89" s="110"/>
      <c r="Y89" s="108"/>
      <c r="Z89" s="108">
        <v>0.88541666666666696</v>
      </c>
      <c r="AA89" s="20">
        <f>Y25</f>
        <v>0</v>
      </c>
      <c r="AB89" s="21"/>
      <c r="AC89" s="110"/>
      <c r="AD89" s="108"/>
      <c r="AE89" s="108">
        <v>0.88541666666666696</v>
      </c>
      <c r="AF89" s="20">
        <f>AD25</f>
        <v>0</v>
      </c>
      <c r="AH89" s="110"/>
      <c r="AI89" s="108"/>
      <c r="AJ89" s="108">
        <v>0.88541666666666696</v>
      </c>
      <c r="AK89" s="20">
        <f>AI25</f>
        <v>0</v>
      </c>
      <c r="AM89" s="110"/>
      <c r="AN89" s="108"/>
      <c r="AO89" s="108">
        <v>0.88541666666666696</v>
      </c>
      <c r="AP89" s="20">
        <f>AN25</f>
        <v>0</v>
      </c>
    </row>
    <row r="90" spans="1:42" x14ac:dyDescent="0.3">
      <c r="A90" s="108">
        <v>0.84375</v>
      </c>
      <c r="B90" s="117">
        <f t="shared" si="1"/>
        <v>0</v>
      </c>
      <c r="D90" s="110"/>
      <c r="E90" s="108"/>
      <c r="F90" s="108">
        <v>0.89583333333333304</v>
      </c>
      <c r="G90" s="20">
        <f>E25</f>
        <v>0</v>
      </c>
      <c r="H90" s="21"/>
      <c r="I90" s="110"/>
      <c r="J90" s="108"/>
      <c r="K90" s="108">
        <v>0.89583333333333304</v>
      </c>
      <c r="L90" s="20">
        <f>J25</f>
        <v>0</v>
      </c>
      <c r="M90" s="21"/>
      <c r="N90" s="110"/>
      <c r="O90" s="108"/>
      <c r="P90" s="108">
        <v>0.89583333333333304</v>
      </c>
      <c r="Q90" s="20">
        <f>O25</f>
        <v>0</v>
      </c>
      <c r="R90" s="21"/>
      <c r="S90" s="110"/>
      <c r="T90" s="108"/>
      <c r="U90" s="108">
        <v>0.89583333333333304</v>
      </c>
      <c r="V90" s="20">
        <f>T25</f>
        <v>0</v>
      </c>
      <c r="W90" s="21"/>
      <c r="X90" s="110"/>
      <c r="Y90" s="108"/>
      <c r="Z90" s="108">
        <v>0.89583333333333304</v>
      </c>
      <c r="AA90" s="20">
        <f>Y25</f>
        <v>0</v>
      </c>
      <c r="AB90" s="21"/>
      <c r="AC90" s="110"/>
      <c r="AD90" s="108"/>
      <c r="AE90" s="108">
        <v>0.89583333333333304</v>
      </c>
      <c r="AF90" s="20">
        <f>AD25</f>
        <v>0</v>
      </c>
      <c r="AH90" s="110"/>
      <c r="AI90" s="108"/>
      <c r="AJ90" s="108">
        <v>0.89583333333333304</v>
      </c>
      <c r="AK90" s="20">
        <f>AI25</f>
        <v>0</v>
      </c>
      <c r="AM90" s="110"/>
      <c r="AN90" s="108"/>
      <c r="AO90" s="108">
        <v>0.89583333333333304</v>
      </c>
      <c r="AP90" s="20">
        <f>AN25</f>
        <v>0</v>
      </c>
    </row>
    <row r="91" spans="1:42" x14ac:dyDescent="0.3">
      <c r="A91" s="108">
        <v>0.85416666666666696</v>
      </c>
      <c r="B91" s="117">
        <f t="shared" si="1"/>
        <v>0</v>
      </c>
      <c r="D91" s="110"/>
      <c r="E91" s="108"/>
      <c r="F91" s="108">
        <v>0.90625</v>
      </c>
      <c r="G91" s="20">
        <f>E25</f>
        <v>0</v>
      </c>
      <c r="H91" s="21"/>
      <c r="I91" s="110"/>
      <c r="J91" s="108"/>
      <c r="K91" s="108">
        <v>0.90625</v>
      </c>
      <c r="L91" s="20">
        <f>J25</f>
        <v>0</v>
      </c>
      <c r="M91" s="21"/>
      <c r="N91" s="110"/>
      <c r="O91" s="108"/>
      <c r="P91" s="108">
        <v>0.90625</v>
      </c>
      <c r="Q91" s="20">
        <f>O25</f>
        <v>0</v>
      </c>
      <c r="R91" s="21"/>
      <c r="S91" s="110"/>
      <c r="T91" s="108"/>
      <c r="U91" s="108">
        <v>0.90625</v>
      </c>
      <c r="V91" s="20">
        <f>T25</f>
        <v>0</v>
      </c>
      <c r="W91" s="21"/>
      <c r="X91" s="110"/>
      <c r="Y91" s="108"/>
      <c r="Z91" s="108">
        <v>0.90625</v>
      </c>
      <c r="AA91" s="20">
        <f>Y25</f>
        <v>0</v>
      </c>
      <c r="AB91" s="21"/>
      <c r="AC91" s="110"/>
      <c r="AD91" s="108"/>
      <c r="AE91" s="108">
        <v>0.90625</v>
      </c>
      <c r="AF91" s="20">
        <f>AD25</f>
        <v>0</v>
      </c>
      <c r="AH91" s="110"/>
      <c r="AI91" s="108"/>
      <c r="AJ91" s="108">
        <v>0.90625</v>
      </c>
      <c r="AK91" s="20">
        <f>AI25</f>
        <v>0</v>
      </c>
      <c r="AM91" s="110"/>
      <c r="AN91" s="108"/>
      <c r="AO91" s="108">
        <v>0.90625</v>
      </c>
      <c r="AP91" s="20">
        <f>AN25</f>
        <v>0</v>
      </c>
    </row>
    <row r="92" spans="1:42" x14ac:dyDescent="0.3">
      <c r="A92" s="108">
        <v>0.86458333333333304</v>
      </c>
      <c r="B92" s="117">
        <f t="shared" si="1"/>
        <v>0</v>
      </c>
      <c r="D92" s="110"/>
      <c r="E92" s="108"/>
      <c r="F92" s="108">
        <v>0.91666666666666696</v>
      </c>
      <c r="G92" s="20">
        <f>E26</f>
        <v>0</v>
      </c>
      <c r="H92" s="21"/>
      <c r="I92" s="110"/>
      <c r="J92" s="108"/>
      <c r="K92" s="108">
        <v>0.91666666666666696</v>
      </c>
      <c r="L92" s="20">
        <f>J26</f>
        <v>0</v>
      </c>
      <c r="M92" s="21"/>
      <c r="N92" s="110"/>
      <c r="O92" s="108"/>
      <c r="P92" s="108">
        <v>0.91666666666666696</v>
      </c>
      <c r="Q92" s="20">
        <f>O26</f>
        <v>0</v>
      </c>
      <c r="R92" s="21"/>
      <c r="S92" s="110"/>
      <c r="T92" s="108"/>
      <c r="U92" s="108">
        <v>0.91666666666666696</v>
      </c>
      <c r="V92" s="20">
        <f>T26</f>
        <v>0</v>
      </c>
      <c r="W92" s="21"/>
      <c r="X92" s="110"/>
      <c r="Y92" s="108"/>
      <c r="Z92" s="108">
        <v>0.91666666666666696</v>
      </c>
      <c r="AA92" s="20">
        <f>Y26</f>
        <v>0</v>
      </c>
      <c r="AB92" s="21"/>
      <c r="AC92" s="110"/>
      <c r="AD92" s="108"/>
      <c r="AE92" s="108">
        <v>0.91666666666666696</v>
      </c>
      <c r="AF92" s="20">
        <f>AD26</f>
        <v>0</v>
      </c>
      <c r="AH92" s="110"/>
      <c r="AI92" s="108"/>
      <c r="AJ92" s="108">
        <v>0.91666666666666696</v>
      </c>
      <c r="AK92" s="20">
        <f>AI26</f>
        <v>0</v>
      </c>
      <c r="AM92" s="110"/>
      <c r="AN92" s="108"/>
      <c r="AO92" s="108">
        <v>0.91666666666666696</v>
      </c>
      <c r="AP92" s="20">
        <f>AN26</f>
        <v>0</v>
      </c>
    </row>
    <row r="93" spans="1:42" x14ac:dyDescent="0.3">
      <c r="A93" s="108">
        <v>0.875</v>
      </c>
      <c r="B93" s="117">
        <f t="shared" si="1"/>
        <v>0</v>
      </c>
      <c r="D93" s="110"/>
      <c r="E93" s="108"/>
      <c r="F93" s="108">
        <v>0.92708333333333304</v>
      </c>
      <c r="G93" s="20">
        <f>E26</f>
        <v>0</v>
      </c>
      <c r="H93" s="21"/>
      <c r="I93" s="110"/>
      <c r="J93" s="108"/>
      <c r="K93" s="108">
        <v>0.92708333333333304</v>
      </c>
      <c r="L93" s="20">
        <f>J26</f>
        <v>0</v>
      </c>
      <c r="M93" s="21"/>
      <c r="N93" s="110"/>
      <c r="O93" s="108"/>
      <c r="P93" s="108">
        <v>0.92708333333333304</v>
      </c>
      <c r="Q93" s="20">
        <f>O26</f>
        <v>0</v>
      </c>
      <c r="R93" s="21"/>
      <c r="S93" s="110"/>
      <c r="T93" s="108"/>
      <c r="U93" s="108">
        <v>0.92708333333333304</v>
      </c>
      <c r="V93" s="20">
        <f>T26</f>
        <v>0</v>
      </c>
      <c r="W93" s="21"/>
      <c r="X93" s="110"/>
      <c r="Y93" s="108"/>
      <c r="Z93" s="108">
        <v>0.92708333333333304</v>
      </c>
      <c r="AA93" s="20">
        <f>Y26</f>
        <v>0</v>
      </c>
      <c r="AB93" s="21"/>
      <c r="AC93" s="110"/>
      <c r="AD93" s="108"/>
      <c r="AE93" s="108">
        <v>0.92708333333333304</v>
      </c>
      <c r="AF93" s="20">
        <f>AD26</f>
        <v>0</v>
      </c>
      <c r="AH93" s="110"/>
      <c r="AI93" s="108"/>
      <c r="AJ93" s="108">
        <v>0.92708333333333304</v>
      </c>
      <c r="AK93" s="20">
        <f>AI26</f>
        <v>0</v>
      </c>
      <c r="AM93" s="110"/>
      <c r="AN93" s="108"/>
      <c r="AO93" s="108">
        <v>0.92708333333333304</v>
      </c>
      <c r="AP93" s="20">
        <f>AN26</f>
        <v>0</v>
      </c>
    </row>
    <row r="94" spans="1:42" x14ac:dyDescent="0.3">
      <c r="A94" s="108">
        <v>0.88541666666666696</v>
      </c>
      <c r="B94" s="117">
        <f t="shared" si="1"/>
        <v>0</v>
      </c>
      <c r="D94" s="110"/>
      <c r="E94" s="108"/>
      <c r="F94" s="108">
        <v>0.9375</v>
      </c>
      <c r="G94" s="20">
        <f>E26</f>
        <v>0</v>
      </c>
      <c r="H94" s="21"/>
      <c r="I94" s="110"/>
      <c r="J94" s="108"/>
      <c r="K94" s="108">
        <v>0.9375</v>
      </c>
      <c r="L94" s="20">
        <f>J26</f>
        <v>0</v>
      </c>
      <c r="M94" s="21"/>
      <c r="N94" s="110"/>
      <c r="O94" s="108"/>
      <c r="P94" s="108">
        <v>0.9375</v>
      </c>
      <c r="Q94" s="20">
        <f>O26</f>
        <v>0</v>
      </c>
      <c r="R94" s="21"/>
      <c r="S94" s="110"/>
      <c r="T94" s="108"/>
      <c r="U94" s="108">
        <v>0.9375</v>
      </c>
      <c r="V94" s="20">
        <f>T26</f>
        <v>0</v>
      </c>
      <c r="W94" s="21"/>
      <c r="X94" s="110"/>
      <c r="Y94" s="108"/>
      <c r="Z94" s="108">
        <v>0.9375</v>
      </c>
      <c r="AA94" s="20">
        <f>Y26</f>
        <v>0</v>
      </c>
      <c r="AB94" s="21"/>
      <c r="AC94" s="110"/>
      <c r="AD94" s="108"/>
      <c r="AE94" s="108">
        <v>0.9375</v>
      </c>
      <c r="AF94" s="20">
        <f>AD26</f>
        <v>0</v>
      </c>
      <c r="AH94" s="110"/>
      <c r="AI94" s="108"/>
      <c r="AJ94" s="108">
        <v>0.9375</v>
      </c>
      <c r="AK94" s="20">
        <f>AI26</f>
        <v>0</v>
      </c>
      <c r="AM94" s="110"/>
      <c r="AN94" s="108"/>
      <c r="AO94" s="108">
        <v>0.9375</v>
      </c>
      <c r="AP94" s="20">
        <f>AN26</f>
        <v>0</v>
      </c>
    </row>
    <row r="95" spans="1:42" x14ac:dyDescent="0.3">
      <c r="A95" s="108">
        <v>0.89583333333333304</v>
      </c>
      <c r="B95" s="117">
        <f t="shared" si="1"/>
        <v>0</v>
      </c>
      <c r="D95" s="110"/>
      <c r="E95" s="108"/>
      <c r="F95" s="108">
        <v>0.94791666666666696</v>
      </c>
      <c r="G95" s="20">
        <f>E26</f>
        <v>0</v>
      </c>
      <c r="H95" s="21"/>
      <c r="I95" s="110"/>
      <c r="J95" s="108"/>
      <c r="K95" s="108">
        <v>0.94791666666666696</v>
      </c>
      <c r="L95" s="20">
        <f>J26</f>
        <v>0</v>
      </c>
      <c r="M95" s="21"/>
      <c r="N95" s="110"/>
      <c r="O95" s="108"/>
      <c r="P95" s="108">
        <v>0.94791666666666696</v>
      </c>
      <c r="Q95" s="20">
        <f>O26</f>
        <v>0</v>
      </c>
      <c r="R95" s="21"/>
      <c r="S95" s="110"/>
      <c r="T95" s="108"/>
      <c r="U95" s="108">
        <v>0.94791666666666696</v>
      </c>
      <c r="V95" s="20">
        <f>T26</f>
        <v>0</v>
      </c>
      <c r="W95" s="21"/>
      <c r="X95" s="110"/>
      <c r="Y95" s="108"/>
      <c r="Z95" s="108">
        <v>0.94791666666666696</v>
      </c>
      <c r="AA95" s="20">
        <f>Y26</f>
        <v>0</v>
      </c>
      <c r="AB95" s="21"/>
      <c r="AC95" s="110"/>
      <c r="AD95" s="108"/>
      <c r="AE95" s="108">
        <v>0.94791666666666696</v>
      </c>
      <c r="AF95" s="20">
        <f>AD26</f>
        <v>0</v>
      </c>
      <c r="AH95" s="110"/>
      <c r="AI95" s="108"/>
      <c r="AJ95" s="108">
        <v>0.94791666666666696</v>
      </c>
      <c r="AK95" s="20">
        <f>AI26</f>
        <v>0</v>
      </c>
      <c r="AM95" s="110"/>
      <c r="AN95" s="108"/>
      <c r="AO95" s="108">
        <v>0.94791666666666696</v>
      </c>
      <c r="AP95" s="20">
        <f>AN26</f>
        <v>0</v>
      </c>
    </row>
    <row r="96" spans="1:42" x14ac:dyDescent="0.3">
      <c r="A96" s="108">
        <v>0.90625</v>
      </c>
      <c r="B96" s="117">
        <f t="shared" si="1"/>
        <v>0</v>
      </c>
      <c r="D96" s="110"/>
      <c r="E96" s="108"/>
      <c r="F96" s="108">
        <v>0.95833333333333304</v>
      </c>
      <c r="G96" s="20">
        <f>E27</f>
        <v>0</v>
      </c>
      <c r="H96" s="21"/>
      <c r="I96" s="110"/>
      <c r="J96" s="108"/>
      <c r="K96" s="108">
        <v>0.95833333333333304</v>
      </c>
      <c r="L96" s="20">
        <f>J27</f>
        <v>0</v>
      </c>
      <c r="M96" s="21"/>
      <c r="N96" s="110"/>
      <c r="O96" s="108"/>
      <c r="P96" s="108">
        <v>0.95833333333333304</v>
      </c>
      <c r="Q96" s="20">
        <f>O27</f>
        <v>0</v>
      </c>
      <c r="R96" s="21"/>
      <c r="S96" s="110"/>
      <c r="T96" s="108"/>
      <c r="U96" s="108">
        <v>0.95833333333333304</v>
      </c>
      <c r="V96" s="20">
        <f>T27</f>
        <v>0</v>
      </c>
      <c r="W96" s="21"/>
      <c r="X96" s="110"/>
      <c r="Y96" s="108"/>
      <c r="Z96" s="108">
        <v>0.95833333333333304</v>
      </c>
      <c r="AA96" s="20">
        <f>Y27</f>
        <v>0</v>
      </c>
      <c r="AB96" s="21"/>
      <c r="AC96" s="110"/>
      <c r="AD96" s="108"/>
      <c r="AE96" s="108">
        <v>0.95833333333333304</v>
      </c>
      <c r="AF96" s="20">
        <f>AD27</f>
        <v>0</v>
      </c>
      <c r="AH96" s="110"/>
      <c r="AI96" s="108"/>
      <c r="AJ96" s="108">
        <v>0.95833333333333304</v>
      </c>
      <c r="AK96" s="20">
        <f>AI27</f>
        <v>0</v>
      </c>
      <c r="AM96" s="110"/>
      <c r="AN96" s="108"/>
      <c r="AO96" s="108">
        <v>0.95833333333333304</v>
      </c>
      <c r="AP96" s="20">
        <f>AN27</f>
        <v>0</v>
      </c>
    </row>
    <row r="97" spans="1:43" x14ac:dyDescent="0.3">
      <c r="A97" s="108">
        <v>0.91666666666666696</v>
      </c>
      <c r="B97" s="117">
        <f t="shared" si="1"/>
        <v>0</v>
      </c>
      <c r="D97" s="110"/>
      <c r="E97" s="108"/>
      <c r="F97" s="108">
        <v>0.96875</v>
      </c>
      <c r="G97" s="20">
        <f>E27</f>
        <v>0</v>
      </c>
      <c r="H97" s="21"/>
      <c r="I97" s="110"/>
      <c r="J97" s="108"/>
      <c r="K97" s="108">
        <v>0.96875</v>
      </c>
      <c r="L97" s="20">
        <f>J27</f>
        <v>0</v>
      </c>
      <c r="M97" s="21"/>
      <c r="N97" s="110"/>
      <c r="O97" s="108"/>
      <c r="P97" s="108">
        <v>0.96875</v>
      </c>
      <c r="Q97" s="20">
        <f>O27</f>
        <v>0</v>
      </c>
      <c r="R97" s="21"/>
      <c r="S97" s="110"/>
      <c r="T97" s="108"/>
      <c r="U97" s="108">
        <v>0.96875</v>
      </c>
      <c r="V97" s="20">
        <f>T27</f>
        <v>0</v>
      </c>
      <c r="W97" s="21"/>
      <c r="X97" s="110"/>
      <c r="Y97" s="108"/>
      <c r="Z97" s="108">
        <v>0.96875</v>
      </c>
      <c r="AA97" s="20">
        <f>Y27</f>
        <v>0</v>
      </c>
      <c r="AB97" s="21"/>
      <c r="AC97" s="110"/>
      <c r="AD97" s="108"/>
      <c r="AE97" s="108">
        <v>0.96875</v>
      </c>
      <c r="AF97" s="20">
        <f>AD27</f>
        <v>0</v>
      </c>
      <c r="AH97" s="110"/>
      <c r="AI97" s="108"/>
      <c r="AJ97" s="108">
        <v>0.96875</v>
      </c>
      <c r="AK97" s="20">
        <f>AI27</f>
        <v>0</v>
      </c>
      <c r="AM97" s="110"/>
      <c r="AN97" s="108"/>
      <c r="AO97" s="108">
        <v>0.96875</v>
      </c>
      <c r="AP97" s="20">
        <f>AN27</f>
        <v>0</v>
      </c>
    </row>
    <row r="98" spans="1:43" x14ac:dyDescent="0.3">
      <c r="A98" s="108">
        <v>0.92708333333333304</v>
      </c>
      <c r="B98" s="117">
        <f t="shared" si="1"/>
        <v>0</v>
      </c>
      <c r="D98" s="110"/>
      <c r="E98" s="108"/>
      <c r="F98" s="108">
        <v>0.97916666666666696</v>
      </c>
      <c r="G98" s="20">
        <f>E27</f>
        <v>0</v>
      </c>
      <c r="H98" s="21"/>
      <c r="I98" s="110"/>
      <c r="J98" s="108"/>
      <c r="K98" s="108">
        <v>0.97916666666666696</v>
      </c>
      <c r="L98" s="20">
        <f>J27</f>
        <v>0</v>
      </c>
      <c r="M98" s="21"/>
      <c r="N98" s="110"/>
      <c r="O98" s="108"/>
      <c r="P98" s="108">
        <v>0.97916666666666696</v>
      </c>
      <c r="Q98" s="20">
        <f>O27</f>
        <v>0</v>
      </c>
      <c r="R98" s="21"/>
      <c r="S98" s="110"/>
      <c r="T98" s="108"/>
      <c r="U98" s="108">
        <v>0.97916666666666696</v>
      </c>
      <c r="V98" s="20">
        <f>T27</f>
        <v>0</v>
      </c>
      <c r="W98" s="21"/>
      <c r="X98" s="110"/>
      <c r="Y98" s="108"/>
      <c r="Z98" s="108">
        <v>0.97916666666666696</v>
      </c>
      <c r="AA98" s="20">
        <f>Y27</f>
        <v>0</v>
      </c>
      <c r="AB98" s="21"/>
      <c r="AC98" s="110"/>
      <c r="AD98" s="108"/>
      <c r="AE98" s="108">
        <v>0.97916666666666696</v>
      </c>
      <c r="AF98" s="20">
        <f>AD27</f>
        <v>0</v>
      </c>
      <c r="AH98" s="110"/>
      <c r="AI98" s="108"/>
      <c r="AJ98" s="108">
        <v>0.97916666666666696</v>
      </c>
      <c r="AK98" s="20">
        <f>AI27</f>
        <v>0</v>
      </c>
      <c r="AM98" s="110"/>
      <c r="AN98" s="108"/>
      <c r="AO98" s="108">
        <v>0.97916666666666696</v>
      </c>
      <c r="AP98" s="20">
        <f>AN27</f>
        <v>0</v>
      </c>
    </row>
    <row r="99" spans="1:43" x14ac:dyDescent="0.3">
      <c r="A99" s="108">
        <v>0.9375</v>
      </c>
      <c r="B99" s="117">
        <f t="shared" si="1"/>
        <v>0</v>
      </c>
      <c r="D99" s="111"/>
      <c r="E99" s="109"/>
      <c r="F99" s="109">
        <v>0.98958333333333304</v>
      </c>
      <c r="G99" s="26">
        <f>E27</f>
        <v>0</v>
      </c>
      <c r="H99" s="21"/>
      <c r="I99" s="111"/>
      <c r="J99" s="109"/>
      <c r="K99" s="109">
        <v>0.98958333333333304</v>
      </c>
      <c r="L99" s="26">
        <f>J27</f>
        <v>0</v>
      </c>
      <c r="M99" s="21"/>
      <c r="N99" s="111"/>
      <c r="O99" s="109"/>
      <c r="P99" s="109">
        <v>0.98958333333333304</v>
      </c>
      <c r="Q99" s="26">
        <f>O27</f>
        <v>0</v>
      </c>
      <c r="R99" s="21"/>
      <c r="S99" s="111"/>
      <c r="T99" s="109"/>
      <c r="U99" s="109">
        <v>0.98958333333333304</v>
      </c>
      <c r="V99" s="26">
        <f>T27</f>
        <v>0</v>
      </c>
      <c r="W99" s="21"/>
      <c r="X99" s="111"/>
      <c r="Y99" s="109"/>
      <c r="Z99" s="109">
        <v>0.98958333333333304</v>
      </c>
      <c r="AA99" s="26">
        <f>Y27</f>
        <v>0</v>
      </c>
      <c r="AB99" s="21"/>
      <c r="AC99" s="111"/>
      <c r="AD99" s="109"/>
      <c r="AE99" s="109">
        <v>0.98958333333333304</v>
      </c>
      <c r="AF99" s="26">
        <f>AD27</f>
        <v>0</v>
      </c>
      <c r="AH99" s="111"/>
      <c r="AI99" s="109"/>
      <c r="AJ99" s="109">
        <v>0.98958333333333304</v>
      </c>
      <c r="AK99" s="26">
        <f>AI27</f>
        <v>0</v>
      </c>
      <c r="AM99" s="111"/>
      <c r="AN99" s="109"/>
      <c r="AO99" s="109">
        <v>0.98958333333333304</v>
      </c>
      <c r="AP99" s="26">
        <f>AN27</f>
        <v>0</v>
      </c>
    </row>
    <row r="100" spans="1:43" x14ac:dyDescent="0.3">
      <c r="A100" s="108">
        <v>0.94791666666666696</v>
      </c>
      <c r="B100" s="117">
        <f t="shared" si="1"/>
        <v>0</v>
      </c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</row>
    <row r="101" spans="1:43" x14ac:dyDescent="0.3">
      <c r="A101" s="108">
        <v>0.95833333333333304</v>
      </c>
      <c r="B101" s="117">
        <f t="shared" si="1"/>
        <v>0</v>
      </c>
      <c r="D101" s="21"/>
      <c r="E101" s="21"/>
      <c r="F101" s="21"/>
      <c r="G101" s="113">
        <f>SUM(G4:G99)/4000</f>
        <v>4.1430670000000003</v>
      </c>
      <c r="H101" s="155" t="s">
        <v>236</v>
      </c>
      <c r="I101" s="21"/>
      <c r="J101" s="21"/>
      <c r="K101" s="21"/>
      <c r="L101" s="113">
        <f>SUM(L4:L99)/4000</f>
        <v>6.0139637999999955</v>
      </c>
      <c r="M101" s="153" t="s">
        <v>236</v>
      </c>
      <c r="N101" s="21"/>
      <c r="O101" s="21"/>
      <c r="P101" s="21"/>
      <c r="Q101" s="113">
        <f>SUM(Q4:Q99)/4000</f>
        <v>5.1877703399999984</v>
      </c>
      <c r="R101" s="153" t="s">
        <v>236</v>
      </c>
      <c r="S101" s="21"/>
      <c r="T101" s="21"/>
      <c r="U101" s="21"/>
      <c r="V101" s="113">
        <f>SUM(V4:V99)/4000</f>
        <v>0.39666557000000024</v>
      </c>
      <c r="W101" s="153" t="s">
        <v>236</v>
      </c>
      <c r="X101" s="21"/>
      <c r="Y101" s="21"/>
      <c r="Z101" s="21"/>
      <c r="AA101" s="113">
        <f>SUM(AA4:AA99)/4000</f>
        <v>4.8052337000000005</v>
      </c>
      <c r="AB101" s="153" t="s">
        <v>236</v>
      </c>
      <c r="AC101" s="21"/>
      <c r="AD101" s="21"/>
      <c r="AE101" s="21"/>
      <c r="AF101" s="113">
        <f>SUM(AF4:AF99)/4000</f>
        <v>5.4352477800000001</v>
      </c>
      <c r="AG101" s="153" t="s">
        <v>236</v>
      </c>
      <c r="AK101" s="113">
        <f>SUM(AK4:AK99)/4000</f>
        <v>4.629120799999999</v>
      </c>
      <c r="AL101" s="145" t="s">
        <v>139</v>
      </c>
      <c r="AP101" s="113">
        <f>SUM(AP4:AP99)/4000</f>
        <v>3.9862485000000025</v>
      </c>
      <c r="AQ101" s="145" t="s">
        <v>139</v>
      </c>
    </row>
    <row r="102" spans="1:43" x14ac:dyDescent="0.3">
      <c r="A102" s="108">
        <v>0.96875</v>
      </c>
      <c r="B102" s="117">
        <f t="shared" si="1"/>
        <v>0</v>
      </c>
    </row>
    <row r="103" spans="1:43" x14ac:dyDescent="0.3">
      <c r="A103" s="108">
        <v>0.97916666666666696</v>
      </c>
      <c r="B103" s="117">
        <f t="shared" si="1"/>
        <v>0</v>
      </c>
      <c r="X103" s="198" t="s">
        <v>156</v>
      </c>
      <c r="Y103" s="199"/>
      <c r="Z103" s="286" t="s">
        <v>297</v>
      </c>
      <c r="AA103" s="201"/>
    </row>
    <row r="104" spans="1:43" x14ac:dyDescent="0.3">
      <c r="A104" s="108">
        <v>0.98958333333333304</v>
      </c>
      <c r="B104" s="118">
        <f t="shared" si="1"/>
        <v>0</v>
      </c>
      <c r="X104" s="124" t="s">
        <v>217</v>
      </c>
      <c r="Y104" s="126" t="s">
        <v>207</v>
      </c>
      <c r="Z104" s="125" t="s">
        <v>217</v>
      </c>
      <c r="AA104" s="114" t="s">
        <v>207</v>
      </c>
    </row>
    <row r="105" spans="1:43" x14ac:dyDescent="0.3">
      <c r="B105" s="115"/>
      <c r="X105" s="110">
        <v>0</v>
      </c>
      <c r="Y105" s="180">
        <v>0</v>
      </c>
      <c r="Z105" s="108">
        <v>0</v>
      </c>
      <c r="AA105" s="20">
        <f>Y105</f>
        <v>0</v>
      </c>
    </row>
    <row r="106" spans="1:43" x14ac:dyDescent="0.3">
      <c r="B106" s="150" t="s">
        <v>238</v>
      </c>
      <c r="X106" s="110">
        <v>4.1666666666666664E-2</v>
      </c>
      <c r="Y106" s="180">
        <v>0</v>
      </c>
      <c r="Z106" s="108">
        <v>1.0416666666666666E-2</v>
      </c>
      <c r="AA106" s="20">
        <f>Y105</f>
        <v>0</v>
      </c>
    </row>
    <row r="107" spans="1:43" x14ac:dyDescent="0.3">
      <c r="B107" s="140">
        <f>SUM(B9:B104)/4000</f>
        <v>53.81861743999999</v>
      </c>
      <c r="X107" s="110">
        <v>8.3333333333333301E-2</v>
      </c>
      <c r="Y107" s="180">
        <v>0</v>
      </c>
      <c r="Z107" s="108">
        <v>2.0833333333333301E-2</v>
      </c>
      <c r="AA107" s="20">
        <f>Y105</f>
        <v>0</v>
      </c>
    </row>
    <row r="108" spans="1:43" x14ac:dyDescent="0.3">
      <c r="X108" s="110">
        <v>0.125</v>
      </c>
      <c r="Y108" s="180">
        <v>0</v>
      </c>
      <c r="Z108" s="108">
        <v>3.125E-2</v>
      </c>
      <c r="AA108" s="20">
        <f>Y105</f>
        <v>0</v>
      </c>
    </row>
    <row r="109" spans="1:43" x14ac:dyDescent="0.3">
      <c r="X109" s="110">
        <v>0.16666666666666699</v>
      </c>
      <c r="Y109" s="180">
        <v>0</v>
      </c>
      <c r="Z109" s="108">
        <v>4.1666666666666699E-2</v>
      </c>
      <c r="AA109" s="20">
        <f>Y106</f>
        <v>0</v>
      </c>
    </row>
    <row r="110" spans="1:43" x14ac:dyDescent="0.3">
      <c r="X110" s="110">
        <v>0.20833333333333301</v>
      </c>
      <c r="Y110" s="180">
        <v>0</v>
      </c>
      <c r="Z110" s="108">
        <v>5.2083333333333301E-2</v>
      </c>
      <c r="AA110" s="20">
        <f>Y106</f>
        <v>0</v>
      </c>
    </row>
    <row r="111" spans="1:43" x14ac:dyDescent="0.3">
      <c r="X111" s="110">
        <v>0.25</v>
      </c>
      <c r="Y111" s="180">
        <v>0</v>
      </c>
      <c r="Z111" s="108">
        <v>6.25E-2</v>
      </c>
      <c r="AA111" s="20">
        <f>Y106</f>
        <v>0</v>
      </c>
    </row>
    <row r="112" spans="1:43" x14ac:dyDescent="0.3">
      <c r="X112" s="110">
        <v>0.29166666666666702</v>
      </c>
      <c r="Y112" s="180">
        <v>0</v>
      </c>
      <c r="Z112" s="108">
        <v>7.2916666666666699E-2</v>
      </c>
      <c r="AA112" s="20">
        <f>Y106</f>
        <v>0</v>
      </c>
    </row>
    <row r="113" spans="24:27" x14ac:dyDescent="0.3">
      <c r="X113" s="110">
        <v>0.33333333333333298</v>
      </c>
      <c r="Y113" s="180">
        <v>146.77099999999999</v>
      </c>
      <c r="Z113" s="108">
        <v>8.3333333333333301E-2</v>
      </c>
      <c r="AA113" s="20">
        <f>Y107</f>
        <v>0</v>
      </c>
    </row>
    <row r="114" spans="24:27" x14ac:dyDescent="0.3">
      <c r="X114" s="110">
        <v>0.375</v>
      </c>
      <c r="Y114" s="180">
        <v>406.59</v>
      </c>
      <c r="Z114" s="108">
        <v>9.375E-2</v>
      </c>
      <c r="AA114" s="20">
        <f>Y107</f>
        <v>0</v>
      </c>
    </row>
    <row r="115" spans="24:27" x14ac:dyDescent="0.3">
      <c r="X115" s="110">
        <v>0.41666666666666702</v>
      </c>
      <c r="Y115" s="180">
        <v>585.74400000000003</v>
      </c>
      <c r="Z115" s="108">
        <v>0.104166666666667</v>
      </c>
      <c r="AA115" s="20">
        <f>Y107</f>
        <v>0</v>
      </c>
    </row>
    <row r="116" spans="24:27" x14ac:dyDescent="0.3">
      <c r="X116" s="110">
        <v>0.45833333333333298</v>
      </c>
      <c r="Y116" s="180">
        <v>687.14</v>
      </c>
      <c r="Z116" s="108">
        <v>0.114583333333333</v>
      </c>
      <c r="AA116" s="20">
        <f>Y107</f>
        <v>0</v>
      </c>
    </row>
    <row r="117" spans="24:27" x14ac:dyDescent="0.3">
      <c r="X117" s="110">
        <v>0.5</v>
      </c>
      <c r="Y117" s="180">
        <v>739.61300000000006</v>
      </c>
      <c r="Z117" s="108">
        <v>0.125</v>
      </c>
      <c r="AA117" s="20">
        <f>Y108</f>
        <v>0</v>
      </c>
    </row>
    <row r="118" spans="24:27" x14ac:dyDescent="0.3">
      <c r="X118" s="110">
        <v>0.54166666666666696</v>
      </c>
      <c r="Y118" s="180">
        <v>745.57100000000003</v>
      </c>
      <c r="Z118" s="108">
        <v>0.13541666666666699</v>
      </c>
      <c r="AA118" s="20">
        <f>Y108</f>
        <v>0</v>
      </c>
    </row>
    <row r="119" spans="24:27" x14ac:dyDescent="0.3">
      <c r="X119" s="110">
        <v>0.58333333333333304</v>
      </c>
      <c r="Y119" s="180">
        <v>677.41399999999999</v>
      </c>
      <c r="Z119" s="108">
        <v>0.14583333333333301</v>
      </c>
      <c r="AA119" s="20">
        <f>Y108</f>
        <v>0</v>
      </c>
    </row>
    <row r="120" spans="24:27" x14ac:dyDescent="0.3">
      <c r="X120" s="110">
        <v>0.625</v>
      </c>
      <c r="Y120" s="180">
        <v>552.79999999999995</v>
      </c>
      <c r="Z120" s="108">
        <v>0.15625</v>
      </c>
      <c r="AA120" s="20">
        <f>Y108</f>
        <v>0</v>
      </c>
    </row>
    <row r="121" spans="24:27" x14ac:dyDescent="0.3">
      <c r="X121" s="110">
        <v>0.66666666666666696</v>
      </c>
      <c r="Y121" s="180">
        <v>361.16300000000001</v>
      </c>
      <c r="Z121" s="108">
        <v>0.16666666666666699</v>
      </c>
      <c r="AA121" s="20">
        <f>Y109</f>
        <v>0</v>
      </c>
    </row>
    <row r="122" spans="24:27" x14ac:dyDescent="0.3">
      <c r="X122" s="110">
        <v>0.70833333333333304</v>
      </c>
      <c r="Y122" s="180">
        <v>67.241399999999999</v>
      </c>
      <c r="Z122" s="108">
        <v>0.17708333333333301</v>
      </c>
      <c r="AA122" s="20">
        <f>Y109</f>
        <v>0</v>
      </c>
    </row>
    <row r="123" spans="24:27" x14ac:dyDescent="0.3">
      <c r="X123" s="110">
        <v>0.75</v>
      </c>
      <c r="Y123" s="180">
        <v>0</v>
      </c>
      <c r="Z123" s="108">
        <v>0.1875</v>
      </c>
      <c r="AA123" s="20">
        <f>Y109</f>
        <v>0</v>
      </c>
    </row>
    <row r="124" spans="24:27" x14ac:dyDescent="0.3">
      <c r="X124" s="110">
        <v>0.79166666666666696</v>
      </c>
      <c r="Y124" s="180">
        <v>0</v>
      </c>
      <c r="Z124" s="108">
        <v>0.19791666666666699</v>
      </c>
      <c r="AA124" s="20">
        <f>Y109</f>
        <v>0</v>
      </c>
    </row>
    <row r="125" spans="24:27" x14ac:dyDescent="0.3">
      <c r="X125" s="110">
        <v>0.83333333333333304</v>
      </c>
      <c r="Y125" s="180">
        <v>0</v>
      </c>
      <c r="Z125" s="108">
        <v>0.20833333333333301</v>
      </c>
      <c r="AA125" s="20">
        <f>Y110</f>
        <v>0</v>
      </c>
    </row>
    <row r="126" spans="24:27" x14ac:dyDescent="0.3">
      <c r="X126" s="110">
        <v>0.875</v>
      </c>
      <c r="Y126" s="180">
        <v>0</v>
      </c>
      <c r="Z126" s="108">
        <v>0.21875</v>
      </c>
      <c r="AA126" s="20">
        <f>Y110</f>
        <v>0</v>
      </c>
    </row>
    <row r="127" spans="24:27" x14ac:dyDescent="0.3">
      <c r="X127" s="110">
        <v>0.91666666666666696</v>
      </c>
      <c r="Y127" s="180">
        <v>0</v>
      </c>
      <c r="Z127" s="108">
        <v>0.22916666666666699</v>
      </c>
      <c r="AA127" s="20">
        <f>Y110</f>
        <v>0</v>
      </c>
    </row>
    <row r="128" spans="24:27" x14ac:dyDescent="0.3">
      <c r="X128" s="110">
        <v>0.95833333333333304</v>
      </c>
      <c r="Y128" s="180">
        <v>0</v>
      </c>
      <c r="Z128" s="108">
        <v>0.23958333333333301</v>
      </c>
      <c r="AA128" s="20">
        <f>Y110</f>
        <v>0</v>
      </c>
    </row>
    <row r="129" spans="24:27" x14ac:dyDescent="0.3">
      <c r="X129" s="110"/>
      <c r="Y129" s="108"/>
      <c r="Z129" s="108">
        <v>0.25</v>
      </c>
      <c r="AA129" s="20">
        <f>Y111</f>
        <v>0</v>
      </c>
    </row>
    <row r="130" spans="24:27" x14ac:dyDescent="0.3">
      <c r="X130" s="110"/>
      <c r="Y130" s="108"/>
      <c r="Z130" s="108">
        <v>0.26041666666666702</v>
      </c>
      <c r="AA130" s="20">
        <f>Y111</f>
        <v>0</v>
      </c>
    </row>
    <row r="131" spans="24:27" x14ac:dyDescent="0.3">
      <c r="X131" s="110"/>
      <c r="Y131" s="108"/>
      <c r="Z131" s="108">
        <v>0.27083333333333298</v>
      </c>
      <c r="AA131" s="20">
        <f>Y111</f>
        <v>0</v>
      </c>
    </row>
    <row r="132" spans="24:27" x14ac:dyDescent="0.3">
      <c r="X132" s="110"/>
      <c r="Y132" s="108"/>
      <c r="Z132" s="108">
        <v>0.28125</v>
      </c>
      <c r="AA132" s="20">
        <f>Y111</f>
        <v>0</v>
      </c>
    </row>
    <row r="133" spans="24:27" x14ac:dyDescent="0.3">
      <c r="X133" s="110"/>
      <c r="Y133" s="108"/>
      <c r="Z133" s="108">
        <v>0.29166666666666702</v>
      </c>
      <c r="AA133" s="20">
        <f>Y112</f>
        <v>0</v>
      </c>
    </row>
    <row r="134" spans="24:27" x14ac:dyDescent="0.3">
      <c r="X134" s="110"/>
      <c r="Y134" s="108"/>
      <c r="Z134" s="108">
        <v>0.30208333333333298</v>
      </c>
      <c r="AA134" s="20">
        <f>Y112</f>
        <v>0</v>
      </c>
    </row>
    <row r="135" spans="24:27" x14ac:dyDescent="0.3">
      <c r="X135" s="110"/>
      <c r="Y135" s="108"/>
      <c r="Z135" s="108">
        <v>0.3125</v>
      </c>
      <c r="AA135" s="20">
        <f>Y112</f>
        <v>0</v>
      </c>
    </row>
    <row r="136" spans="24:27" x14ac:dyDescent="0.3">
      <c r="X136" s="110"/>
      <c r="Y136" s="108"/>
      <c r="Z136" s="108">
        <v>0.32291666666666702</v>
      </c>
      <c r="AA136" s="20">
        <f>Y112</f>
        <v>0</v>
      </c>
    </row>
    <row r="137" spans="24:27" x14ac:dyDescent="0.3">
      <c r="X137" s="110"/>
      <c r="Y137" s="108"/>
      <c r="Z137" s="108">
        <v>0.33333333333333298</v>
      </c>
      <c r="AA137" s="20">
        <f>Y113</f>
        <v>146.77099999999999</v>
      </c>
    </row>
    <row r="138" spans="24:27" x14ac:dyDescent="0.3">
      <c r="X138" s="110"/>
      <c r="Y138" s="108"/>
      <c r="Z138" s="108">
        <v>0.34375</v>
      </c>
      <c r="AA138" s="20">
        <f>Y113</f>
        <v>146.77099999999999</v>
      </c>
    </row>
    <row r="139" spans="24:27" x14ac:dyDescent="0.3">
      <c r="X139" s="110"/>
      <c r="Y139" s="108"/>
      <c r="Z139" s="108">
        <v>0.35416666666666702</v>
      </c>
      <c r="AA139" s="20">
        <f>Y113</f>
        <v>146.77099999999999</v>
      </c>
    </row>
    <row r="140" spans="24:27" x14ac:dyDescent="0.3">
      <c r="X140" s="110"/>
      <c r="Y140" s="108"/>
      <c r="Z140" s="108">
        <v>0.36458333333333298</v>
      </c>
      <c r="AA140" s="20">
        <f>Y113</f>
        <v>146.77099999999999</v>
      </c>
    </row>
    <row r="141" spans="24:27" x14ac:dyDescent="0.3">
      <c r="X141" s="110"/>
      <c r="Y141" s="108"/>
      <c r="Z141" s="108">
        <v>0.375</v>
      </c>
      <c r="AA141" s="20">
        <f>Y114</f>
        <v>406.59</v>
      </c>
    </row>
    <row r="142" spans="24:27" x14ac:dyDescent="0.3">
      <c r="X142" s="110"/>
      <c r="Y142" s="108"/>
      <c r="Z142" s="108">
        <v>0.38541666666666702</v>
      </c>
      <c r="AA142" s="20">
        <f>Y114</f>
        <v>406.59</v>
      </c>
    </row>
    <row r="143" spans="24:27" x14ac:dyDescent="0.3">
      <c r="X143" s="110"/>
      <c r="Y143" s="108"/>
      <c r="Z143" s="108">
        <v>0.39583333333333298</v>
      </c>
      <c r="AA143" s="20">
        <f>Y114</f>
        <v>406.59</v>
      </c>
    </row>
    <row r="144" spans="24:27" x14ac:dyDescent="0.3">
      <c r="X144" s="110"/>
      <c r="Y144" s="108"/>
      <c r="Z144" s="108">
        <v>0.40625</v>
      </c>
      <c r="AA144" s="20">
        <f>Y114</f>
        <v>406.59</v>
      </c>
    </row>
    <row r="145" spans="24:27" x14ac:dyDescent="0.3">
      <c r="X145" s="110"/>
      <c r="Y145" s="108"/>
      <c r="Z145" s="108">
        <v>0.41666666666666702</v>
      </c>
      <c r="AA145" s="20">
        <f>Y115</f>
        <v>585.74400000000003</v>
      </c>
    </row>
    <row r="146" spans="24:27" x14ac:dyDescent="0.3">
      <c r="X146" s="110"/>
      <c r="Y146" s="108"/>
      <c r="Z146" s="108">
        <v>0.42708333333333298</v>
      </c>
      <c r="AA146" s="20">
        <f>Y115</f>
        <v>585.74400000000003</v>
      </c>
    </row>
    <row r="147" spans="24:27" x14ac:dyDescent="0.3">
      <c r="X147" s="110"/>
      <c r="Y147" s="108"/>
      <c r="Z147" s="108">
        <v>0.4375</v>
      </c>
      <c r="AA147" s="20">
        <f>Y115</f>
        <v>585.74400000000003</v>
      </c>
    </row>
    <row r="148" spans="24:27" x14ac:dyDescent="0.3">
      <c r="X148" s="110"/>
      <c r="Y148" s="108"/>
      <c r="Z148" s="108">
        <v>0.44791666666666702</v>
      </c>
      <c r="AA148" s="20">
        <f>Y115</f>
        <v>585.74400000000003</v>
      </c>
    </row>
    <row r="149" spans="24:27" x14ac:dyDescent="0.3">
      <c r="X149" s="110"/>
      <c r="Y149" s="108"/>
      <c r="Z149" s="108">
        <v>0.45833333333333298</v>
      </c>
      <c r="AA149" s="20">
        <f>Y116</f>
        <v>687.14</v>
      </c>
    </row>
    <row r="150" spans="24:27" x14ac:dyDescent="0.3">
      <c r="X150" s="110"/>
      <c r="Y150" s="108"/>
      <c r="Z150" s="108">
        <v>0.46875</v>
      </c>
      <c r="AA150" s="20">
        <f>Y116</f>
        <v>687.14</v>
      </c>
    </row>
    <row r="151" spans="24:27" x14ac:dyDescent="0.3">
      <c r="X151" s="110"/>
      <c r="Y151" s="108"/>
      <c r="Z151" s="108">
        <v>0.47916666666666702</v>
      </c>
      <c r="AA151" s="20">
        <f>Y116</f>
        <v>687.14</v>
      </c>
    </row>
    <row r="152" spans="24:27" x14ac:dyDescent="0.3">
      <c r="X152" s="110"/>
      <c r="Y152" s="108"/>
      <c r="Z152" s="108">
        <v>0.48958333333333298</v>
      </c>
      <c r="AA152" s="20">
        <f>Y116</f>
        <v>687.14</v>
      </c>
    </row>
    <row r="153" spans="24:27" x14ac:dyDescent="0.3">
      <c r="X153" s="110"/>
      <c r="Y153" s="108"/>
      <c r="Z153" s="108">
        <v>0.5</v>
      </c>
      <c r="AA153" s="20">
        <f>Y117</f>
        <v>739.61300000000006</v>
      </c>
    </row>
    <row r="154" spans="24:27" x14ac:dyDescent="0.3">
      <c r="X154" s="110"/>
      <c r="Y154" s="108"/>
      <c r="Z154" s="108">
        <v>0.51041666666666696</v>
      </c>
      <c r="AA154" s="20">
        <f>Y117</f>
        <v>739.61300000000006</v>
      </c>
    </row>
    <row r="155" spans="24:27" x14ac:dyDescent="0.3">
      <c r="X155" s="110"/>
      <c r="Y155" s="108"/>
      <c r="Z155" s="108">
        <v>0.52083333333333304</v>
      </c>
      <c r="AA155" s="20">
        <f>Y117</f>
        <v>739.61300000000006</v>
      </c>
    </row>
    <row r="156" spans="24:27" x14ac:dyDescent="0.3">
      <c r="X156" s="110"/>
      <c r="Y156" s="108"/>
      <c r="Z156" s="108">
        <v>0.53125</v>
      </c>
      <c r="AA156" s="20">
        <f>Y117</f>
        <v>739.61300000000006</v>
      </c>
    </row>
    <row r="157" spans="24:27" x14ac:dyDescent="0.3">
      <c r="X157" s="110"/>
      <c r="Y157" s="108"/>
      <c r="Z157" s="108">
        <v>0.54166666666666696</v>
      </c>
      <c r="AA157" s="20">
        <f>Y118</f>
        <v>745.57100000000003</v>
      </c>
    </row>
    <row r="158" spans="24:27" x14ac:dyDescent="0.3">
      <c r="X158" s="110"/>
      <c r="Y158" s="108"/>
      <c r="Z158" s="108">
        <v>0.55208333333333304</v>
      </c>
      <c r="AA158" s="20">
        <f>Y118</f>
        <v>745.57100000000003</v>
      </c>
    </row>
    <row r="159" spans="24:27" x14ac:dyDescent="0.3">
      <c r="X159" s="110"/>
      <c r="Y159" s="108"/>
      <c r="Z159" s="108">
        <v>0.5625</v>
      </c>
      <c r="AA159" s="20">
        <f>Y118</f>
        <v>745.57100000000003</v>
      </c>
    </row>
    <row r="160" spans="24:27" x14ac:dyDescent="0.3">
      <c r="X160" s="110"/>
      <c r="Y160" s="108"/>
      <c r="Z160" s="108">
        <v>0.57291666666666696</v>
      </c>
      <c r="AA160" s="20">
        <f>Y118</f>
        <v>745.57100000000003</v>
      </c>
    </row>
    <row r="161" spans="24:27" x14ac:dyDescent="0.3">
      <c r="X161" s="110"/>
      <c r="Y161" s="108"/>
      <c r="Z161" s="108">
        <v>0.58333333333333304</v>
      </c>
      <c r="AA161" s="20">
        <f>Y119</f>
        <v>677.41399999999999</v>
      </c>
    </row>
    <row r="162" spans="24:27" x14ac:dyDescent="0.3">
      <c r="X162" s="110"/>
      <c r="Y162" s="108"/>
      <c r="Z162" s="108">
        <v>0.59375</v>
      </c>
      <c r="AA162" s="20">
        <f>Y119</f>
        <v>677.41399999999999</v>
      </c>
    </row>
    <row r="163" spans="24:27" x14ac:dyDescent="0.3">
      <c r="X163" s="110"/>
      <c r="Y163" s="108"/>
      <c r="Z163" s="108">
        <v>0.60416666666666696</v>
      </c>
      <c r="AA163" s="20">
        <f>Y119</f>
        <v>677.41399999999999</v>
      </c>
    </row>
    <row r="164" spans="24:27" x14ac:dyDescent="0.3">
      <c r="X164" s="110"/>
      <c r="Y164" s="108"/>
      <c r="Z164" s="108">
        <v>0.61458333333333304</v>
      </c>
      <c r="AA164" s="20">
        <f>Y119</f>
        <v>677.41399999999999</v>
      </c>
    </row>
    <row r="165" spans="24:27" x14ac:dyDescent="0.3">
      <c r="X165" s="110"/>
      <c r="Y165" s="108"/>
      <c r="Z165" s="108">
        <v>0.625</v>
      </c>
      <c r="AA165" s="20">
        <f>Y120</f>
        <v>552.79999999999995</v>
      </c>
    </row>
    <row r="166" spans="24:27" x14ac:dyDescent="0.3">
      <c r="X166" s="110"/>
      <c r="Y166" s="108"/>
      <c r="Z166" s="108">
        <v>0.63541666666666696</v>
      </c>
      <c r="AA166" s="20">
        <f>Y120</f>
        <v>552.79999999999995</v>
      </c>
    </row>
    <row r="167" spans="24:27" x14ac:dyDescent="0.3">
      <c r="X167" s="110"/>
      <c r="Y167" s="108"/>
      <c r="Z167" s="108">
        <v>0.64583333333333304</v>
      </c>
      <c r="AA167" s="20">
        <f>Y120</f>
        <v>552.79999999999995</v>
      </c>
    </row>
    <row r="168" spans="24:27" x14ac:dyDescent="0.3">
      <c r="X168" s="110"/>
      <c r="Y168" s="108"/>
      <c r="Z168" s="108">
        <v>0.65625</v>
      </c>
      <c r="AA168" s="20">
        <f>Y120</f>
        <v>552.79999999999995</v>
      </c>
    </row>
    <row r="169" spans="24:27" x14ac:dyDescent="0.3">
      <c r="X169" s="110"/>
      <c r="Y169" s="108"/>
      <c r="Z169" s="108">
        <v>0.66666666666666696</v>
      </c>
      <c r="AA169" s="20">
        <f>Y121</f>
        <v>361.16300000000001</v>
      </c>
    </row>
    <row r="170" spans="24:27" x14ac:dyDescent="0.3">
      <c r="X170" s="110"/>
      <c r="Y170" s="108"/>
      <c r="Z170" s="108">
        <v>0.67708333333333304</v>
      </c>
      <c r="AA170" s="20">
        <f>Y121</f>
        <v>361.16300000000001</v>
      </c>
    </row>
    <row r="171" spans="24:27" x14ac:dyDescent="0.3">
      <c r="X171" s="110"/>
      <c r="Y171" s="108"/>
      <c r="Z171" s="108">
        <v>0.6875</v>
      </c>
      <c r="AA171" s="20">
        <f>Y121</f>
        <v>361.16300000000001</v>
      </c>
    </row>
    <row r="172" spans="24:27" x14ac:dyDescent="0.3">
      <c r="X172" s="110"/>
      <c r="Y172" s="108"/>
      <c r="Z172" s="108">
        <v>0.69791666666666696</v>
      </c>
      <c r="AA172" s="20">
        <f>Y121</f>
        <v>361.16300000000001</v>
      </c>
    </row>
    <row r="173" spans="24:27" x14ac:dyDescent="0.3">
      <c r="X173" s="110"/>
      <c r="Y173" s="108"/>
      <c r="Z173" s="108">
        <v>0.70833333333333304</v>
      </c>
      <c r="AA173" s="20">
        <f>Y122</f>
        <v>67.241399999999999</v>
      </c>
    </row>
    <row r="174" spans="24:27" x14ac:dyDescent="0.3">
      <c r="X174" s="110"/>
      <c r="Y174" s="108"/>
      <c r="Z174" s="108">
        <v>0.71875</v>
      </c>
      <c r="AA174" s="20">
        <f>Y122</f>
        <v>67.241399999999999</v>
      </c>
    </row>
    <row r="175" spans="24:27" x14ac:dyDescent="0.3">
      <c r="X175" s="110"/>
      <c r="Y175" s="108"/>
      <c r="Z175" s="108">
        <v>0.72916666666666696</v>
      </c>
      <c r="AA175" s="20">
        <f>Y122</f>
        <v>67.241399999999999</v>
      </c>
    </row>
    <row r="176" spans="24:27" x14ac:dyDescent="0.3">
      <c r="X176" s="110"/>
      <c r="Y176" s="108"/>
      <c r="Z176" s="108">
        <v>0.73958333333333304</v>
      </c>
      <c r="AA176" s="20">
        <f>Y122</f>
        <v>67.241399999999999</v>
      </c>
    </row>
    <row r="177" spans="24:27" x14ac:dyDescent="0.3">
      <c r="X177" s="110"/>
      <c r="Y177" s="108"/>
      <c r="Z177" s="108">
        <v>0.75</v>
      </c>
      <c r="AA177" s="20">
        <f>Y123</f>
        <v>0</v>
      </c>
    </row>
    <row r="178" spans="24:27" x14ac:dyDescent="0.3">
      <c r="X178" s="110"/>
      <c r="Y178" s="108"/>
      <c r="Z178" s="108">
        <v>0.76041666666666696</v>
      </c>
      <c r="AA178" s="20">
        <f>Y123</f>
        <v>0</v>
      </c>
    </row>
    <row r="179" spans="24:27" x14ac:dyDescent="0.3">
      <c r="X179" s="110"/>
      <c r="Y179" s="108"/>
      <c r="Z179" s="108">
        <v>0.77083333333333304</v>
      </c>
      <c r="AA179" s="20">
        <f>Y123</f>
        <v>0</v>
      </c>
    </row>
    <row r="180" spans="24:27" x14ac:dyDescent="0.3">
      <c r="X180" s="110"/>
      <c r="Y180" s="108"/>
      <c r="Z180" s="108">
        <v>0.78125</v>
      </c>
      <c r="AA180" s="20">
        <f>Y123</f>
        <v>0</v>
      </c>
    </row>
    <row r="181" spans="24:27" x14ac:dyDescent="0.3">
      <c r="X181" s="110"/>
      <c r="Y181" s="108"/>
      <c r="Z181" s="108">
        <v>0.79166666666666696</v>
      </c>
      <c r="AA181" s="20">
        <f>Y124</f>
        <v>0</v>
      </c>
    </row>
    <row r="182" spans="24:27" x14ac:dyDescent="0.3">
      <c r="X182" s="110"/>
      <c r="Y182" s="108"/>
      <c r="Z182" s="108">
        <v>0.80208333333333304</v>
      </c>
      <c r="AA182" s="20">
        <f>Y124</f>
        <v>0</v>
      </c>
    </row>
    <row r="183" spans="24:27" x14ac:dyDescent="0.3">
      <c r="X183" s="110"/>
      <c r="Y183" s="108"/>
      <c r="Z183" s="108">
        <v>0.8125</v>
      </c>
      <c r="AA183" s="20">
        <f>Y124</f>
        <v>0</v>
      </c>
    </row>
    <row r="184" spans="24:27" x14ac:dyDescent="0.3">
      <c r="X184" s="110"/>
      <c r="Y184" s="108"/>
      <c r="Z184" s="108">
        <v>0.82291666666666696</v>
      </c>
      <c r="AA184" s="20">
        <f>Y124</f>
        <v>0</v>
      </c>
    </row>
    <row r="185" spans="24:27" x14ac:dyDescent="0.3">
      <c r="X185" s="110"/>
      <c r="Y185" s="108"/>
      <c r="Z185" s="108">
        <v>0.83333333333333304</v>
      </c>
      <c r="AA185" s="20">
        <f>Y125</f>
        <v>0</v>
      </c>
    </row>
    <row r="186" spans="24:27" x14ac:dyDescent="0.3">
      <c r="X186" s="110"/>
      <c r="Y186" s="108"/>
      <c r="Z186" s="108">
        <v>0.84375</v>
      </c>
      <c r="AA186" s="20">
        <f>Y125</f>
        <v>0</v>
      </c>
    </row>
    <row r="187" spans="24:27" x14ac:dyDescent="0.3">
      <c r="X187" s="110"/>
      <c r="Y187" s="108"/>
      <c r="Z187" s="108">
        <v>0.85416666666666696</v>
      </c>
      <c r="AA187" s="20">
        <f>Y125</f>
        <v>0</v>
      </c>
    </row>
    <row r="188" spans="24:27" x14ac:dyDescent="0.3">
      <c r="X188" s="110"/>
      <c r="Y188" s="108"/>
      <c r="Z188" s="108">
        <v>0.86458333333333304</v>
      </c>
      <c r="AA188" s="20">
        <f>Y125</f>
        <v>0</v>
      </c>
    </row>
    <row r="189" spans="24:27" x14ac:dyDescent="0.3">
      <c r="X189" s="110"/>
      <c r="Y189" s="108"/>
      <c r="Z189" s="108">
        <v>0.875</v>
      </c>
      <c r="AA189" s="20">
        <f>Y126</f>
        <v>0</v>
      </c>
    </row>
    <row r="190" spans="24:27" x14ac:dyDescent="0.3">
      <c r="X190" s="110"/>
      <c r="Y190" s="108"/>
      <c r="Z190" s="108">
        <v>0.88541666666666696</v>
      </c>
      <c r="AA190" s="20">
        <f>Y126</f>
        <v>0</v>
      </c>
    </row>
    <row r="191" spans="24:27" x14ac:dyDescent="0.3">
      <c r="X191" s="110"/>
      <c r="Y191" s="108"/>
      <c r="Z191" s="108">
        <v>0.89583333333333304</v>
      </c>
      <c r="AA191" s="20">
        <f>Y126</f>
        <v>0</v>
      </c>
    </row>
    <row r="192" spans="24:27" x14ac:dyDescent="0.3">
      <c r="X192" s="110"/>
      <c r="Y192" s="108"/>
      <c r="Z192" s="108">
        <v>0.90625</v>
      </c>
      <c r="AA192" s="20">
        <f>Y126</f>
        <v>0</v>
      </c>
    </row>
    <row r="193" spans="24:28" x14ac:dyDescent="0.3">
      <c r="X193" s="110"/>
      <c r="Y193" s="108"/>
      <c r="Z193" s="108">
        <v>0.91666666666666696</v>
      </c>
      <c r="AA193" s="20">
        <f>Y127</f>
        <v>0</v>
      </c>
    </row>
    <row r="194" spans="24:28" x14ac:dyDescent="0.3">
      <c r="X194" s="110"/>
      <c r="Y194" s="108"/>
      <c r="Z194" s="108">
        <v>0.92708333333333304</v>
      </c>
      <c r="AA194" s="20">
        <f>Y127</f>
        <v>0</v>
      </c>
    </row>
    <row r="195" spans="24:28" x14ac:dyDescent="0.3">
      <c r="X195" s="110"/>
      <c r="Y195" s="108"/>
      <c r="Z195" s="108">
        <v>0.9375</v>
      </c>
      <c r="AA195" s="20">
        <f>Y127</f>
        <v>0</v>
      </c>
    </row>
    <row r="196" spans="24:28" x14ac:dyDescent="0.3">
      <c r="X196" s="110"/>
      <c r="Y196" s="108"/>
      <c r="Z196" s="108">
        <v>0.94791666666666696</v>
      </c>
      <c r="AA196" s="20">
        <f>Y127</f>
        <v>0</v>
      </c>
    </row>
    <row r="197" spans="24:28" x14ac:dyDescent="0.3">
      <c r="X197" s="110"/>
      <c r="Y197" s="108"/>
      <c r="Z197" s="108">
        <v>0.95833333333333304</v>
      </c>
      <c r="AA197" s="20">
        <f>Y128</f>
        <v>0</v>
      </c>
    </row>
    <row r="198" spans="24:28" x14ac:dyDescent="0.3">
      <c r="X198" s="110"/>
      <c r="Y198" s="108"/>
      <c r="Z198" s="108">
        <v>0.96875</v>
      </c>
      <c r="AA198" s="20">
        <f>Y128</f>
        <v>0</v>
      </c>
    </row>
    <row r="199" spans="24:28" x14ac:dyDescent="0.3">
      <c r="X199" s="110"/>
      <c r="Y199" s="108"/>
      <c r="Z199" s="108">
        <v>0.97916666666666696</v>
      </c>
      <c r="AA199" s="20">
        <f>Y128</f>
        <v>0</v>
      </c>
    </row>
    <row r="200" spans="24:28" x14ac:dyDescent="0.3">
      <c r="X200" s="111"/>
      <c r="Y200" s="109"/>
      <c r="Z200" s="109">
        <v>0.98958333333333304</v>
      </c>
      <c r="AA200" s="26">
        <f>Y128</f>
        <v>0</v>
      </c>
    </row>
    <row r="202" spans="24:28" x14ac:dyDescent="0.3">
      <c r="AA202" s="113">
        <f>SUM(AA105:AA200)/4000</f>
        <v>4.9700473999999994</v>
      </c>
      <c r="AB202" s="153" t="s">
        <v>236</v>
      </c>
    </row>
    <row r="204" spans="24:28" x14ac:dyDescent="0.3">
      <c r="X204" s="198" t="s">
        <v>156</v>
      </c>
      <c r="Y204" s="199"/>
      <c r="Z204" s="293" t="s">
        <v>293</v>
      </c>
      <c r="AA204" s="201"/>
    </row>
    <row r="205" spans="24:28" x14ac:dyDescent="0.3">
      <c r="X205" s="124" t="s">
        <v>217</v>
      </c>
      <c r="Y205" s="126" t="s">
        <v>207</v>
      </c>
      <c r="Z205" s="125" t="s">
        <v>217</v>
      </c>
      <c r="AA205" s="114" t="s">
        <v>207</v>
      </c>
    </row>
    <row r="206" spans="24:28" x14ac:dyDescent="0.3">
      <c r="X206" s="110">
        <v>0</v>
      </c>
      <c r="Y206">
        <v>0</v>
      </c>
      <c r="Z206" s="108">
        <v>0</v>
      </c>
      <c r="AA206" s="20">
        <f>Y206</f>
        <v>0</v>
      </c>
    </row>
    <row r="207" spans="24:28" x14ac:dyDescent="0.3">
      <c r="X207" s="110">
        <v>4.1666666666666664E-2</v>
      </c>
      <c r="Y207">
        <v>0</v>
      </c>
      <c r="Z207" s="108">
        <v>1.0416666666666666E-2</v>
      </c>
      <c r="AA207" s="20">
        <f>Y206</f>
        <v>0</v>
      </c>
    </row>
    <row r="208" spans="24:28" x14ac:dyDescent="0.3">
      <c r="X208" s="110">
        <v>8.3333333333333301E-2</v>
      </c>
      <c r="Y208">
        <v>0</v>
      </c>
      <c r="Z208" s="108">
        <v>2.0833333333333301E-2</v>
      </c>
      <c r="AA208" s="20">
        <f>Y206</f>
        <v>0</v>
      </c>
    </row>
    <row r="209" spans="24:27" x14ac:dyDescent="0.3">
      <c r="X209" s="110">
        <v>0.125</v>
      </c>
      <c r="Y209">
        <v>0</v>
      </c>
      <c r="Z209" s="108">
        <v>3.125E-2</v>
      </c>
      <c r="AA209" s="20">
        <f>Y206</f>
        <v>0</v>
      </c>
    </row>
    <row r="210" spans="24:27" x14ac:dyDescent="0.3">
      <c r="X210" s="110">
        <v>0.16666666666666699</v>
      </c>
      <c r="Y210">
        <v>0</v>
      </c>
      <c r="Z210" s="108">
        <v>4.1666666666666699E-2</v>
      </c>
      <c r="AA210" s="20">
        <f>Y207</f>
        <v>0</v>
      </c>
    </row>
    <row r="211" spans="24:27" x14ac:dyDescent="0.3">
      <c r="X211" s="110">
        <v>0.20833333333333301</v>
      </c>
      <c r="Y211">
        <v>0</v>
      </c>
      <c r="Z211" s="108">
        <v>5.2083333333333301E-2</v>
      </c>
      <c r="AA211" s="20">
        <f>Y207</f>
        <v>0</v>
      </c>
    </row>
    <row r="212" spans="24:27" x14ac:dyDescent="0.3">
      <c r="X212" s="110">
        <v>0.25</v>
      </c>
      <c r="Y212">
        <v>0</v>
      </c>
      <c r="Z212" s="108">
        <v>6.25E-2</v>
      </c>
      <c r="AA212" s="20">
        <f>Y207</f>
        <v>0</v>
      </c>
    </row>
    <row r="213" spans="24:27" x14ac:dyDescent="0.3">
      <c r="X213" s="110">
        <v>0.29166666666666702</v>
      </c>
      <c r="Y213">
        <v>0</v>
      </c>
      <c r="Z213" s="108">
        <v>7.2916666666666699E-2</v>
      </c>
      <c r="AA213" s="20">
        <f>Y207</f>
        <v>0</v>
      </c>
    </row>
    <row r="214" spans="24:27" x14ac:dyDescent="0.3">
      <c r="X214" s="110">
        <v>0.33333333333333298</v>
      </c>
      <c r="Y214">
        <v>69.547899999999998</v>
      </c>
      <c r="Z214" s="108">
        <v>8.3333333333333301E-2</v>
      </c>
      <c r="AA214" s="20">
        <f>Y208</f>
        <v>0</v>
      </c>
    </row>
    <row r="215" spans="24:27" x14ac:dyDescent="0.3">
      <c r="X215" s="110">
        <v>0.375</v>
      </c>
      <c r="Y215">
        <v>130.166</v>
      </c>
      <c r="Z215" s="108">
        <v>9.375E-2</v>
      </c>
      <c r="AA215" s="20">
        <f>Y208</f>
        <v>0</v>
      </c>
    </row>
    <row r="216" spans="24:27" x14ac:dyDescent="0.3">
      <c r="X216" s="110">
        <v>0.41666666666666702</v>
      </c>
      <c r="Y216">
        <v>162.333</v>
      </c>
      <c r="Z216" s="108">
        <v>0.104166666666667</v>
      </c>
      <c r="AA216" s="20">
        <f>Y208</f>
        <v>0</v>
      </c>
    </row>
    <row r="217" spans="24:27" x14ac:dyDescent="0.3">
      <c r="X217" s="110">
        <v>0.45833333333333298</v>
      </c>
      <c r="Y217">
        <v>138.917</v>
      </c>
      <c r="Z217" s="108">
        <v>0.114583333333333</v>
      </c>
      <c r="AA217" s="20">
        <f>Y208</f>
        <v>0</v>
      </c>
    </row>
    <row r="218" spans="24:27" x14ac:dyDescent="0.3">
      <c r="X218" s="110">
        <v>0.5</v>
      </c>
      <c r="Y218">
        <v>98.0381</v>
      </c>
      <c r="Z218" s="108">
        <v>0.125</v>
      </c>
      <c r="AA218" s="20">
        <f>Y209</f>
        <v>0</v>
      </c>
    </row>
    <row r="219" spans="24:27" x14ac:dyDescent="0.3">
      <c r="X219" s="110">
        <v>0.54166666666666696</v>
      </c>
      <c r="Y219">
        <v>88.281300000000002</v>
      </c>
      <c r="Z219" s="108">
        <v>0.13541666666666699</v>
      </c>
      <c r="AA219" s="20">
        <f>Y209</f>
        <v>0</v>
      </c>
    </row>
    <row r="220" spans="24:27" x14ac:dyDescent="0.3">
      <c r="X220" s="110">
        <v>0.58333333333333304</v>
      </c>
      <c r="Y220">
        <v>136.19200000000001</v>
      </c>
      <c r="Z220" s="108">
        <v>0.14583333333333301</v>
      </c>
      <c r="AA220" s="20">
        <f>Y209</f>
        <v>0</v>
      </c>
    </row>
    <row r="221" spans="24:27" x14ac:dyDescent="0.3">
      <c r="X221" s="110">
        <v>0.625</v>
      </c>
      <c r="Y221">
        <v>214.94</v>
      </c>
      <c r="Z221" s="108">
        <v>0.15625</v>
      </c>
      <c r="AA221" s="20">
        <f>Y209</f>
        <v>0</v>
      </c>
    </row>
    <row r="222" spans="24:27" x14ac:dyDescent="0.3">
      <c r="X222" s="110">
        <v>0.66666666666666696</v>
      </c>
      <c r="Y222">
        <v>333.20699999999999</v>
      </c>
      <c r="Z222" s="108">
        <v>0.16666666666666699</v>
      </c>
      <c r="AA222" s="20">
        <f>Y210</f>
        <v>0</v>
      </c>
    </row>
    <row r="223" spans="24:27" x14ac:dyDescent="0.3">
      <c r="X223" s="110">
        <v>0.70833333333333304</v>
      </c>
      <c r="Y223">
        <v>43.918700000000001</v>
      </c>
      <c r="Z223" s="108">
        <v>0.17708333333333301</v>
      </c>
      <c r="AA223" s="20">
        <f>Y210</f>
        <v>0</v>
      </c>
    </row>
    <row r="224" spans="24:27" x14ac:dyDescent="0.3">
      <c r="X224" s="110">
        <v>0.75</v>
      </c>
      <c r="Y224">
        <v>0</v>
      </c>
      <c r="Z224" s="108">
        <v>0.1875</v>
      </c>
      <c r="AA224" s="20">
        <f>Y210</f>
        <v>0</v>
      </c>
    </row>
    <row r="225" spans="24:27" x14ac:dyDescent="0.3">
      <c r="X225" s="110">
        <v>0.79166666666666696</v>
      </c>
      <c r="Y225">
        <v>0</v>
      </c>
      <c r="Z225" s="108">
        <v>0.19791666666666699</v>
      </c>
      <c r="AA225" s="20">
        <f>Y210</f>
        <v>0</v>
      </c>
    </row>
    <row r="226" spans="24:27" x14ac:dyDescent="0.3">
      <c r="X226" s="110">
        <v>0.83333333333333304</v>
      </c>
      <c r="Y226">
        <v>0</v>
      </c>
      <c r="Z226" s="108">
        <v>0.20833333333333301</v>
      </c>
      <c r="AA226" s="20">
        <f>Y211</f>
        <v>0</v>
      </c>
    </row>
    <row r="227" spans="24:27" x14ac:dyDescent="0.3">
      <c r="X227" s="110">
        <v>0.875</v>
      </c>
      <c r="Y227">
        <v>0</v>
      </c>
      <c r="Z227" s="108">
        <v>0.21875</v>
      </c>
      <c r="AA227" s="20">
        <f>Y211</f>
        <v>0</v>
      </c>
    </row>
    <row r="228" spans="24:27" x14ac:dyDescent="0.3">
      <c r="X228" s="110">
        <v>0.91666666666666696</v>
      </c>
      <c r="Y228">
        <v>0</v>
      </c>
      <c r="Z228" s="108">
        <v>0.22916666666666699</v>
      </c>
      <c r="AA228" s="20">
        <f>Y211</f>
        <v>0</v>
      </c>
    </row>
    <row r="229" spans="24:27" x14ac:dyDescent="0.3">
      <c r="X229" s="110">
        <v>0.95833333333333304</v>
      </c>
      <c r="Y229">
        <v>0</v>
      </c>
      <c r="Z229" s="108">
        <v>0.23958333333333301</v>
      </c>
      <c r="AA229" s="20">
        <f>Y211</f>
        <v>0</v>
      </c>
    </row>
    <row r="230" spans="24:27" x14ac:dyDescent="0.3">
      <c r="X230" s="110"/>
      <c r="Y230" s="108"/>
      <c r="Z230" s="108">
        <v>0.25</v>
      </c>
      <c r="AA230" s="20">
        <f>Y212</f>
        <v>0</v>
      </c>
    </row>
    <row r="231" spans="24:27" x14ac:dyDescent="0.3">
      <c r="X231" s="110"/>
      <c r="Y231" s="108"/>
      <c r="Z231" s="108">
        <v>0.26041666666666702</v>
      </c>
      <c r="AA231" s="20">
        <f>Y212</f>
        <v>0</v>
      </c>
    </row>
    <row r="232" spans="24:27" x14ac:dyDescent="0.3">
      <c r="X232" s="110"/>
      <c r="Y232" s="108"/>
      <c r="Z232" s="108">
        <v>0.27083333333333298</v>
      </c>
      <c r="AA232" s="20">
        <f>Y212</f>
        <v>0</v>
      </c>
    </row>
    <row r="233" spans="24:27" x14ac:dyDescent="0.3">
      <c r="X233" s="110"/>
      <c r="Y233" s="108"/>
      <c r="Z233" s="108">
        <v>0.28125</v>
      </c>
      <c r="AA233" s="20">
        <f>Y212</f>
        <v>0</v>
      </c>
    </row>
    <row r="234" spans="24:27" x14ac:dyDescent="0.3">
      <c r="X234" s="110"/>
      <c r="Y234" s="108"/>
      <c r="Z234" s="108">
        <v>0.29166666666666702</v>
      </c>
      <c r="AA234" s="20">
        <f>Y213</f>
        <v>0</v>
      </c>
    </row>
    <row r="235" spans="24:27" x14ac:dyDescent="0.3">
      <c r="X235" s="110"/>
      <c r="Y235" s="108"/>
      <c r="Z235" s="108">
        <v>0.30208333333333298</v>
      </c>
      <c r="AA235" s="20">
        <f>Y213</f>
        <v>0</v>
      </c>
    </row>
    <row r="236" spans="24:27" x14ac:dyDescent="0.3">
      <c r="X236" s="110"/>
      <c r="Y236" s="108"/>
      <c r="Z236" s="108">
        <v>0.3125</v>
      </c>
      <c r="AA236" s="20">
        <f>Y213</f>
        <v>0</v>
      </c>
    </row>
    <row r="237" spans="24:27" x14ac:dyDescent="0.3">
      <c r="X237" s="110"/>
      <c r="Y237" s="108"/>
      <c r="Z237" s="108">
        <v>0.32291666666666702</v>
      </c>
      <c r="AA237" s="20">
        <f>Y213</f>
        <v>0</v>
      </c>
    </row>
    <row r="238" spans="24:27" x14ac:dyDescent="0.3">
      <c r="X238" s="110"/>
      <c r="Y238" s="108"/>
      <c r="Z238" s="108">
        <v>0.33333333333333298</v>
      </c>
      <c r="AA238" s="20">
        <f>Y214</f>
        <v>69.547899999999998</v>
      </c>
    </row>
    <row r="239" spans="24:27" x14ac:dyDescent="0.3">
      <c r="X239" s="110"/>
      <c r="Y239" s="108"/>
      <c r="Z239" s="108">
        <v>0.34375</v>
      </c>
      <c r="AA239" s="20">
        <f>Y214</f>
        <v>69.547899999999998</v>
      </c>
    </row>
    <row r="240" spans="24:27" x14ac:dyDescent="0.3">
      <c r="X240" s="110"/>
      <c r="Y240" s="108"/>
      <c r="Z240" s="108">
        <v>0.35416666666666702</v>
      </c>
      <c r="AA240" s="20">
        <f>Y214</f>
        <v>69.547899999999998</v>
      </c>
    </row>
    <row r="241" spans="24:27" x14ac:dyDescent="0.3">
      <c r="X241" s="110"/>
      <c r="Y241" s="108"/>
      <c r="Z241" s="108">
        <v>0.36458333333333298</v>
      </c>
      <c r="AA241" s="20">
        <f>Y214</f>
        <v>69.547899999999998</v>
      </c>
    </row>
    <row r="242" spans="24:27" x14ac:dyDescent="0.3">
      <c r="X242" s="110"/>
      <c r="Y242" s="108"/>
      <c r="Z242" s="108">
        <v>0.375</v>
      </c>
      <c r="AA242" s="20">
        <f>Y215</f>
        <v>130.166</v>
      </c>
    </row>
    <row r="243" spans="24:27" x14ac:dyDescent="0.3">
      <c r="X243" s="110"/>
      <c r="Y243" s="108"/>
      <c r="Z243" s="108">
        <v>0.38541666666666702</v>
      </c>
      <c r="AA243" s="20">
        <f>Y215</f>
        <v>130.166</v>
      </c>
    </row>
    <row r="244" spans="24:27" x14ac:dyDescent="0.3">
      <c r="X244" s="110"/>
      <c r="Y244" s="108"/>
      <c r="Z244" s="108">
        <v>0.39583333333333298</v>
      </c>
      <c r="AA244" s="20">
        <f>Y215</f>
        <v>130.166</v>
      </c>
    </row>
    <row r="245" spans="24:27" x14ac:dyDescent="0.3">
      <c r="X245" s="110"/>
      <c r="Y245" s="108"/>
      <c r="Z245" s="108">
        <v>0.40625</v>
      </c>
      <c r="AA245" s="20">
        <f>Y215</f>
        <v>130.166</v>
      </c>
    </row>
    <row r="246" spans="24:27" x14ac:dyDescent="0.3">
      <c r="X246" s="110"/>
      <c r="Y246" s="108"/>
      <c r="Z246" s="108">
        <v>0.41666666666666702</v>
      </c>
      <c r="AA246" s="20">
        <f>Y216</f>
        <v>162.333</v>
      </c>
    </row>
    <row r="247" spans="24:27" x14ac:dyDescent="0.3">
      <c r="X247" s="110"/>
      <c r="Y247" s="108"/>
      <c r="Z247" s="108">
        <v>0.42708333333333298</v>
      </c>
      <c r="AA247" s="20">
        <f>Y216</f>
        <v>162.333</v>
      </c>
    </row>
    <row r="248" spans="24:27" x14ac:dyDescent="0.3">
      <c r="X248" s="110"/>
      <c r="Y248" s="108"/>
      <c r="Z248" s="108">
        <v>0.4375</v>
      </c>
      <c r="AA248" s="20">
        <f>Y216</f>
        <v>162.333</v>
      </c>
    </row>
    <row r="249" spans="24:27" x14ac:dyDescent="0.3">
      <c r="X249" s="110"/>
      <c r="Y249" s="108"/>
      <c r="Z249" s="108">
        <v>0.44791666666666702</v>
      </c>
      <c r="AA249" s="20">
        <f>Y216</f>
        <v>162.333</v>
      </c>
    </row>
    <row r="250" spans="24:27" x14ac:dyDescent="0.3">
      <c r="X250" s="110"/>
      <c r="Y250" s="108"/>
      <c r="Z250" s="108">
        <v>0.45833333333333298</v>
      </c>
      <c r="AA250" s="20">
        <f>Y217</f>
        <v>138.917</v>
      </c>
    </row>
    <row r="251" spans="24:27" x14ac:dyDescent="0.3">
      <c r="X251" s="110"/>
      <c r="Y251" s="108"/>
      <c r="Z251" s="108">
        <v>0.46875</v>
      </c>
      <c r="AA251" s="20">
        <f>Y217</f>
        <v>138.917</v>
      </c>
    </row>
    <row r="252" spans="24:27" x14ac:dyDescent="0.3">
      <c r="X252" s="110"/>
      <c r="Y252" s="108"/>
      <c r="Z252" s="108">
        <v>0.47916666666666702</v>
      </c>
      <c r="AA252" s="20">
        <f>Y217</f>
        <v>138.917</v>
      </c>
    </row>
    <row r="253" spans="24:27" x14ac:dyDescent="0.3">
      <c r="X253" s="110"/>
      <c r="Y253" s="108"/>
      <c r="Z253" s="108">
        <v>0.48958333333333298</v>
      </c>
      <c r="AA253" s="20">
        <f>Y217</f>
        <v>138.917</v>
      </c>
    </row>
    <row r="254" spans="24:27" x14ac:dyDescent="0.3">
      <c r="X254" s="110"/>
      <c r="Y254" s="108"/>
      <c r="Z254" s="108">
        <v>0.5</v>
      </c>
      <c r="AA254" s="20">
        <f>Y218</f>
        <v>98.0381</v>
      </c>
    </row>
    <row r="255" spans="24:27" x14ac:dyDescent="0.3">
      <c r="X255" s="110"/>
      <c r="Y255" s="108"/>
      <c r="Z255" s="108">
        <v>0.51041666666666696</v>
      </c>
      <c r="AA255" s="20">
        <f>Y218</f>
        <v>98.0381</v>
      </c>
    </row>
    <row r="256" spans="24:27" x14ac:dyDescent="0.3">
      <c r="X256" s="110"/>
      <c r="Y256" s="108"/>
      <c r="Z256" s="108">
        <v>0.52083333333333304</v>
      </c>
      <c r="AA256" s="20">
        <f>Y218</f>
        <v>98.0381</v>
      </c>
    </row>
    <row r="257" spans="24:27" x14ac:dyDescent="0.3">
      <c r="X257" s="110"/>
      <c r="Y257" s="108"/>
      <c r="Z257" s="108">
        <v>0.53125</v>
      </c>
      <c r="AA257" s="20">
        <f>Y218</f>
        <v>98.0381</v>
      </c>
    </row>
    <row r="258" spans="24:27" x14ac:dyDescent="0.3">
      <c r="X258" s="110"/>
      <c r="Y258" s="108"/>
      <c r="Z258" s="108">
        <v>0.54166666666666696</v>
      </c>
      <c r="AA258" s="20">
        <f>Y219</f>
        <v>88.281300000000002</v>
      </c>
    </row>
    <row r="259" spans="24:27" x14ac:dyDescent="0.3">
      <c r="X259" s="110"/>
      <c r="Y259" s="108"/>
      <c r="Z259" s="108">
        <v>0.55208333333333304</v>
      </c>
      <c r="AA259" s="20">
        <f>Y219</f>
        <v>88.281300000000002</v>
      </c>
    </row>
    <row r="260" spans="24:27" x14ac:dyDescent="0.3">
      <c r="X260" s="110"/>
      <c r="Y260" s="108"/>
      <c r="Z260" s="108">
        <v>0.5625</v>
      </c>
      <c r="AA260" s="20">
        <f>Y219</f>
        <v>88.281300000000002</v>
      </c>
    </row>
    <row r="261" spans="24:27" x14ac:dyDescent="0.3">
      <c r="X261" s="110"/>
      <c r="Y261" s="108"/>
      <c r="Z261" s="108">
        <v>0.57291666666666696</v>
      </c>
      <c r="AA261" s="20">
        <f>Y219</f>
        <v>88.281300000000002</v>
      </c>
    </row>
    <row r="262" spans="24:27" x14ac:dyDescent="0.3">
      <c r="X262" s="110"/>
      <c r="Y262" s="108"/>
      <c r="Z262" s="108">
        <v>0.58333333333333304</v>
      </c>
      <c r="AA262" s="20">
        <f>Y220</f>
        <v>136.19200000000001</v>
      </c>
    </row>
    <row r="263" spans="24:27" x14ac:dyDescent="0.3">
      <c r="X263" s="110"/>
      <c r="Y263" s="108"/>
      <c r="Z263" s="108">
        <v>0.59375</v>
      </c>
      <c r="AA263" s="20">
        <f>Y220</f>
        <v>136.19200000000001</v>
      </c>
    </row>
    <row r="264" spans="24:27" x14ac:dyDescent="0.3">
      <c r="X264" s="110"/>
      <c r="Y264" s="108"/>
      <c r="Z264" s="108">
        <v>0.60416666666666696</v>
      </c>
      <c r="AA264" s="20">
        <f>Y220</f>
        <v>136.19200000000001</v>
      </c>
    </row>
    <row r="265" spans="24:27" x14ac:dyDescent="0.3">
      <c r="X265" s="110"/>
      <c r="Y265" s="108"/>
      <c r="Z265" s="108">
        <v>0.61458333333333304</v>
      </c>
      <c r="AA265" s="20">
        <f>Y220</f>
        <v>136.19200000000001</v>
      </c>
    </row>
    <row r="266" spans="24:27" x14ac:dyDescent="0.3">
      <c r="X266" s="110"/>
      <c r="Y266" s="108"/>
      <c r="Z266" s="108">
        <v>0.625</v>
      </c>
      <c r="AA266" s="20">
        <f>Y221</f>
        <v>214.94</v>
      </c>
    </row>
    <row r="267" spans="24:27" x14ac:dyDescent="0.3">
      <c r="X267" s="110"/>
      <c r="Y267" s="108"/>
      <c r="Z267" s="108">
        <v>0.63541666666666696</v>
      </c>
      <c r="AA267" s="20">
        <f>Y221</f>
        <v>214.94</v>
      </c>
    </row>
    <row r="268" spans="24:27" x14ac:dyDescent="0.3">
      <c r="X268" s="110"/>
      <c r="Y268" s="108"/>
      <c r="Z268" s="108">
        <v>0.64583333333333304</v>
      </c>
      <c r="AA268" s="20">
        <f>Y221</f>
        <v>214.94</v>
      </c>
    </row>
    <row r="269" spans="24:27" x14ac:dyDescent="0.3">
      <c r="X269" s="110"/>
      <c r="Y269" s="108"/>
      <c r="Z269" s="108">
        <v>0.65625</v>
      </c>
      <c r="AA269" s="20">
        <f>Y221</f>
        <v>214.94</v>
      </c>
    </row>
    <row r="270" spans="24:27" x14ac:dyDescent="0.3">
      <c r="X270" s="110"/>
      <c r="Y270" s="108"/>
      <c r="Z270" s="108">
        <v>0.66666666666666696</v>
      </c>
      <c r="AA270" s="20">
        <f>Y222</f>
        <v>333.20699999999999</v>
      </c>
    </row>
    <row r="271" spans="24:27" x14ac:dyDescent="0.3">
      <c r="X271" s="110"/>
      <c r="Y271" s="108"/>
      <c r="Z271" s="108">
        <v>0.67708333333333304</v>
      </c>
      <c r="AA271" s="20">
        <f>Y222</f>
        <v>333.20699999999999</v>
      </c>
    </row>
    <row r="272" spans="24:27" x14ac:dyDescent="0.3">
      <c r="X272" s="110"/>
      <c r="Y272" s="108"/>
      <c r="Z272" s="108">
        <v>0.6875</v>
      </c>
      <c r="AA272" s="20">
        <f>Y222</f>
        <v>333.20699999999999</v>
      </c>
    </row>
    <row r="273" spans="24:27" x14ac:dyDescent="0.3">
      <c r="X273" s="110"/>
      <c r="Y273" s="108"/>
      <c r="Z273" s="108">
        <v>0.69791666666666696</v>
      </c>
      <c r="AA273" s="20">
        <f>Y222</f>
        <v>333.20699999999999</v>
      </c>
    </row>
    <row r="274" spans="24:27" x14ac:dyDescent="0.3">
      <c r="X274" s="110"/>
      <c r="Y274" s="108"/>
      <c r="Z274" s="108">
        <v>0.70833333333333304</v>
      </c>
      <c r="AA274" s="20">
        <f>Y223</f>
        <v>43.918700000000001</v>
      </c>
    </row>
    <row r="275" spans="24:27" x14ac:dyDescent="0.3">
      <c r="X275" s="110"/>
      <c r="Y275" s="108"/>
      <c r="Z275" s="108">
        <v>0.71875</v>
      </c>
      <c r="AA275" s="20">
        <f>Y223</f>
        <v>43.918700000000001</v>
      </c>
    </row>
    <row r="276" spans="24:27" x14ac:dyDescent="0.3">
      <c r="X276" s="110"/>
      <c r="Y276" s="108"/>
      <c r="Z276" s="108">
        <v>0.72916666666666696</v>
      </c>
      <c r="AA276" s="20">
        <f>Y223</f>
        <v>43.918700000000001</v>
      </c>
    </row>
    <row r="277" spans="24:27" x14ac:dyDescent="0.3">
      <c r="X277" s="110"/>
      <c r="Y277" s="108"/>
      <c r="Z277" s="108">
        <v>0.73958333333333304</v>
      </c>
      <c r="AA277" s="20">
        <f>Y223</f>
        <v>43.918700000000001</v>
      </c>
    </row>
    <row r="278" spans="24:27" x14ac:dyDescent="0.3">
      <c r="X278" s="110"/>
      <c r="Y278" s="108"/>
      <c r="Z278" s="108">
        <v>0.75</v>
      </c>
      <c r="AA278" s="20">
        <f>Y224</f>
        <v>0</v>
      </c>
    </row>
    <row r="279" spans="24:27" x14ac:dyDescent="0.3">
      <c r="X279" s="110"/>
      <c r="Y279" s="108"/>
      <c r="Z279" s="108">
        <v>0.76041666666666696</v>
      </c>
      <c r="AA279" s="20">
        <f>Y224</f>
        <v>0</v>
      </c>
    </row>
    <row r="280" spans="24:27" x14ac:dyDescent="0.3">
      <c r="X280" s="110"/>
      <c r="Y280" s="108"/>
      <c r="Z280" s="108">
        <v>0.77083333333333304</v>
      </c>
      <c r="AA280" s="20">
        <f>Y224</f>
        <v>0</v>
      </c>
    </row>
    <row r="281" spans="24:27" x14ac:dyDescent="0.3">
      <c r="X281" s="110"/>
      <c r="Y281" s="108"/>
      <c r="Z281" s="108">
        <v>0.78125</v>
      </c>
      <c r="AA281" s="20">
        <f>Y224</f>
        <v>0</v>
      </c>
    </row>
    <row r="282" spans="24:27" x14ac:dyDescent="0.3">
      <c r="X282" s="110"/>
      <c r="Y282" s="108"/>
      <c r="Z282" s="108">
        <v>0.79166666666666696</v>
      </c>
      <c r="AA282" s="20">
        <f>Y225</f>
        <v>0</v>
      </c>
    </row>
    <row r="283" spans="24:27" x14ac:dyDescent="0.3">
      <c r="X283" s="110"/>
      <c r="Y283" s="108"/>
      <c r="Z283" s="108">
        <v>0.80208333333333304</v>
      </c>
      <c r="AA283" s="20">
        <f>Y225</f>
        <v>0</v>
      </c>
    </row>
    <row r="284" spans="24:27" x14ac:dyDescent="0.3">
      <c r="X284" s="110"/>
      <c r="Y284" s="108"/>
      <c r="Z284" s="108">
        <v>0.8125</v>
      </c>
      <c r="AA284" s="20">
        <f>Y225</f>
        <v>0</v>
      </c>
    </row>
    <row r="285" spans="24:27" x14ac:dyDescent="0.3">
      <c r="X285" s="110"/>
      <c r="Y285" s="108"/>
      <c r="Z285" s="108">
        <v>0.82291666666666696</v>
      </c>
      <c r="AA285" s="20">
        <f>Y225</f>
        <v>0</v>
      </c>
    </row>
    <row r="286" spans="24:27" x14ac:dyDescent="0.3">
      <c r="X286" s="110"/>
      <c r="Y286" s="108"/>
      <c r="Z286" s="108">
        <v>0.83333333333333304</v>
      </c>
      <c r="AA286" s="20">
        <f>Y226</f>
        <v>0</v>
      </c>
    </row>
    <row r="287" spans="24:27" x14ac:dyDescent="0.3">
      <c r="X287" s="110"/>
      <c r="Y287" s="108"/>
      <c r="Z287" s="108">
        <v>0.84375</v>
      </c>
      <c r="AA287" s="20">
        <f>Y226</f>
        <v>0</v>
      </c>
    </row>
    <row r="288" spans="24:27" x14ac:dyDescent="0.3">
      <c r="X288" s="110"/>
      <c r="Y288" s="108"/>
      <c r="Z288" s="108">
        <v>0.85416666666666696</v>
      </c>
      <c r="AA288" s="20">
        <f>Y226</f>
        <v>0</v>
      </c>
    </row>
    <row r="289" spans="24:28" x14ac:dyDescent="0.3">
      <c r="X289" s="110"/>
      <c r="Y289" s="108"/>
      <c r="Z289" s="108">
        <v>0.86458333333333304</v>
      </c>
      <c r="AA289" s="20">
        <f>Y226</f>
        <v>0</v>
      </c>
    </row>
    <row r="290" spans="24:28" x14ac:dyDescent="0.3">
      <c r="X290" s="110"/>
      <c r="Y290" s="108"/>
      <c r="Z290" s="108">
        <v>0.875</v>
      </c>
      <c r="AA290" s="20">
        <f>Y227</f>
        <v>0</v>
      </c>
    </row>
    <row r="291" spans="24:28" x14ac:dyDescent="0.3">
      <c r="X291" s="110"/>
      <c r="Y291" s="108"/>
      <c r="Z291" s="108">
        <v>0.88541666666666696</v>
      </c>
      <c r="AA291" s="20">
        <f>Y227</f>
        <v>0</v>
      </c>
    </row>
    <row r="292" spans="24:28" x14ac:dyDescent="0.3">
      <c r="X292" s="110"/>
      <c r="Y292" s="108"/>
      <c r="Z292" s="108">
        <v>0.89583333333333304</v>
      </c>
      <c r="AA292" s="20">
        <f>Y227</f>
        <v>0</v>
      </c>
    </row>
    <row r="293" spans="24:28" x14ac:dyDescent="0.3">
      <c r="X293" s="110"/>
      <c r="Y293" s="108"/>
      <c r="Z293" s="108">
        <v>0.90625</v>
      </c>
      <c r="AA293" s="20">
        <f>Y227</f>
        <v>0</v>
      </c>
    </row>
    <row r="294" spans="24:28" x14ac:dyDescent="0.3">
      <c r="X294" s="110"/>
      <c r="Y294" s="108"/>
      <c r="Z294" s="108">
        <v>0.91666666666666696</v>
      </c>
      <c r="AA294" s="20">
        <f>Y228</f>
        <v>0</v>
      </c>
    </row>
    <row r="295" spans="24:28" x14ac:dyDescent="0.3">
      <c r="X295" s="110"/>
      <c r="Y295" s="108"/>
      <c r="Z295" s="108">
        <v>0.92708333333333304</v>
      </c>
      <c r="AA295" s="20">
        <f>Y228</f>
        <v>0</v>
      </c>
    </row>
    <row r="296" spans="24:28" x14ac:dyDescent="0.3">
      <c r="X296" s="110"/>
      <c r="Y296" s="108"/>
      <c r="Z296" s="108">
        <v>0.9375</v>
      </c>
      <c r="AA296" s="20">
        <f>Y228</f>
        <v>0</v>
      </c>
    </row>
    <row r="297" spans="24:28" x14ac:dyDescent="0.3">
      <c r="X297" s="110"/>
      <c r="Y297" s="108"/>
      <c r="Z297" s="108">
        <v>0.94791666666666696</v>
      </c>
      <c r="AA297" s="20">
        <f>Y228</f>
        <v>0</v>
      </c>
    </row>
    <row r="298" spans="24:28" x14ac:dyDescent="0.3">
      <c r="X298" s="110"/>
      <c r="Y298" s="108"/>
      <c r="Z298" s="108">
        <v>0.95833333333333304</v>
      </c>
      <c r="AA298" s="20">
        <f>Y229</f>
        <v>0</v>
      </c>
    </row>
    <row r="299" spans="24:28" x14ac:dyDescent="0.3">
      <c r="X299" s="110"/>
      <c r="Y299" s="108"/>
      <c r="Z299" s="108">
        <v>0.96875</v>
      </c>
      <c r="AA299" s="20">
        <f>Y229</f>
        <v>0</v>
      </c>
    </row>
    <row r="300" spans="24:28" x14ac:dyDescent="0.3">
      <c r="X300" s="110"/>
      <c r="Y300" s="108"/>
      <c r="Z300" s="108">
        <v>0.97916666666666696</v>
      </c>
      <c r="AA300" s="20">
        <f>Y229</f>
        <v>0</v>
      </c>
    </row>
    <row r="301" spans="24:28" x14ac:dyDescent="0.3">
      <c r="X301" s="111"/>
      <c r="Y301" s="109"/>
      <c r="Z301" s="109">
        <v>0.98958333333333304</v>
      </c>
      <c r="AA301" s="26">
        <f>Y229</f>
        <v>0</v>
      </c>
    </row>
    <row r="303" spans="24:28" x14ac:dyDescent="0.3">
      <c r="AA303" s="113">
        <f>SUM(AA206:AA301)/4000</f>
        <v>1.4155410000000006</v>
      </c>
      <c r="AB303" s="153" t="s">
        <v>236</v>
      </c>
    </row>
  </sheetData>
  <pageMargins left="0.7" right="0.7" top="0.75" bottom="0.75" header="0.3" footer="0.3"/>
  <ignoredErrors>
    <ignoredError xmlns:x16r3="http://schemas.microsoft.com/office/spreadsheetml/2018/08/main" sqref="AK99 AK79:AK98 AK6:AK78 AP4:AP99" x16r3:misleadingForma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A1E0-6368-4CF9-981B-A732CC847250}">
  <sheetPr codeName="Sheet7"/>
  <dimension ref="A2:AQ297"/>
  <sheetViews>
    <sheetView zoomScale="80" zoomScaleNormal="80" workbookViewId="0"/>
  </sheetViews>
  <sheetFormatPr defaultRowHeight="14.4" x14ac:dyDescent="0.3"/>
  <cols>
    <col min="2" max="2" width="26.88671875" bestFit="1" customWidth="1"/>
    <col min="4" max="4" width="6.88671875" customWidth="1"/>
    <col min="5" max="5" width="15.21875" customWidth="1"/>
    <col min="6" max="6" width="14.44140625" bestFit="1" customWidth="1"/>
    <col min="7" max="7" width="15.21875" bestFit="1" customWidth="1"/>
    <col min="8" max="8" width="8.77734375" bestFit="1" customWidth="1"/>
    <col min="9" max="9" width="6.33203125" customWidth="1"/>
    <col min="10" max="10" width="15.21875" bestFit="1" customWidth="1"/>
    <col min="11" max="11" width="13.21875" bestFit="1" customWidth="1"/>
    <col min="12" max="12" width="15.21875" bestFit="1" customWidth="1"/>
    <col min="13" max="13" width="8.77734375" bestFit="1" customWidth="1"/>
    <col min="14" max="14" width="8.21875" bestFit="1" customWidth="1"/>
    <col min="15" max="15" width="15.21875" bestFit="1" customWidth="1"/>
    <col min="16" max="16" width="11" bestFit="1" customWidth="1"/>
    <col min="17" max="17" width="15.21875" bestFit="1" customWidth="1"/>
    <col min="18" max="18" width="8.77734375" bestFit="1" customWidth="1"/>
    <col min="19" max="19" width="5.5546875" bestFit="1" customWidth="1"/>
    <col min="20" max="20" width="15.21875" bestFit="1" customWidth="1"/>
    <col min="21" max="21" width="16" bestFit="1" customWidth="1"/>
    <col min="22" max="22" width="15.21875" bestFit="1" customWidth="1"/>
    <col min="23" max="23" width="8.77734375" bestFit="1" customWidth="1"/>
    <col min="24" max="24" width="14.6640625" bestFit="1" customWidth="1"/>
    <col min="25" max="25" width="12.21875" bestFit="1" customWidth="1"/>
    <col min="26" max="26" width="16.77734375" bestFit="1" customWidth="1"/>
    <col min="27" max="27" width="15.21875" bestFit="1" customWidth="1"/>
    <col min="28" max="28" width="8.77734375" bestFit="1" customWidth="1"/>
    <col min="29" max="29" width="16" bestFit="1" customWidth="1"/>
    <col min="30" max="30" width="12.21875" bestFit="1" customWidth="1"/>
    <col min="31" max="31" width="13.77734375" bestFit="1" customWidth="1"/>
    <col min="32" max="32" width="15.21875" bestFit="1" customWidth="1"/>
    <col min="33" max="33" width="8.77734375" bestFit="1" customWidth="1"/>
    <col min="35" max="35" width="15.21875" bestFit="1" customWidth="1"/>
    <col min="36" max="36" width="5.5546875" bestFit="1" customWidth="1"/>
    <col min="37" max="37" width="15.21875" bestFit="1" customWidth="1"/>
    <col min="38" max="38" width="4.88671875" bestFit="1" customWidth="1"/>
    <col min="40" max="40" width="15.21875" bestFit="1" customWidth="1"/>
    <col min="41" max="41" width="5.5546875" bestFit="1" customWidth="1"/>
    <col min="42" max="42" width="15.21875" bestFit="1" customWidth="1"/>
    <col min="43" max="43" width="4.88671875" bestFit="1" customWidth="1"/>
  </cols>
  <sheetData>
    <row r="2" spans="1:42" x14ac:dyDescent="0.3">
      <c r="B2" s="119" t="s">
        <v>213</v>
      </c>
      <c r="D2" s="134" t="s">
        <v>152</v>
      </c>
      <c r="E2" s="137"/>
      <c r="F2" s="236" t="s">
        <v>275</v>
      </c>
      <c r="G2" s="139"/>
      <c r="H2" s="21"/>
      <c r="I2" s="134" t="s">
        <v>153</v>
      </c>
      <c r="J2" s="137"/>
      <c r="K2" s="236" t="s">
        <v>276</v>
      </c>
      <c r="L2" s="139"/>
      <c r="M2" s="21"/>
      <c r="N2" s="134" t="s">
        <v>154</v>
      </c>
      <c r="O2" s="137"/>
      <c r="P2" s="233" t="s">
        <v>272</v>
      </c>
      <c r="Q2" s="139"/>
      <c r="R2" s="21"/>
      <c r="S2" s="134" t="s">
        <v>155</v>
      </c>
      <c r="T2" s="137"/>
      <c r="U2" s="236" t="s">
        <v>277</v>
      </c>
      <c r="V2" s="139"/>
      <c r="W2" s="21"/>
      <c r="X2" s="198" t="s">
        <v>156</v>
      </c>
      <c r="Y2" s="199"/>
      <c r="Z2" s="293" t="s">
        <v>298</v>
      </c>
      <c r="AA2" s="201"/>
      <c r="AB2" s="21"/>
      <c r="AC2" s="134" t="s">
        <v>157</v>
      </c>
      <c r="AD2" s="137"/>
      <c r="AE2" s="174" t="s">
        <v>258</v>
      </c>
      <c r="AF2" s="135"/>
      <c r="AH2" s="134" t="s">
        <v>219</v>
      </c>
      <c r="AI2" s="137"/>
      <c r="AJ2" s="138"/>
      <c r="AK2" s="135"/>
      <c r="AM2" s="134" t="s">
        <v>218</v>
      </c>
      <c r="AN2" s="137"/>
      <c r="AO2" s="138"/>
      <c r="AP2" s="135"/>
    </row>
    <row r="3" spans="1:42" x14ac:dyDescent="0.3">
      <c r="B3" s="41" t="str">
        <f>'User Interface'!C8</f>
        <v>Extreme Winter</v>
      </c>
      <c r="D3" s="124" t="s">
        <v>217</v>
      </c>
      <c r="E3" s="257" t="s">
        <v>285</v>
      </c>
      <c r="F3" s="125" t="s">
        <v>217</v>
      </c>
      <c r="G3" s="262" t="s">
        <v>285</v>
      </c>
      <c r="H3" s="21"/>
      <c r="I3" s="124" t="s">
        <v>217</v>
      </c>
      <c r="J3" s="257" t="s">
        <v>285</v>
      </c>
      <c r="K3" s="125" t="s">
        <v>217</v>
      </c>
      <c r="L3" s="262" t="s">
        <v>285</v>
      </c>
      <c r="M3" s="21"/>
      <c r="N3" s="124" t="s">
        <v>217</v>
      </c>
      <c r="O3" s="257" t="s">
        <v>285</v>
      </c>
      <c r="P3" s="125" t="s">
        <v>217</v>
      </c>
      <c r="Q3" s="262" t="s">
        <v>285</v>
      </c>
      <c r="R3" s="21"/>
      <c r="S3" s="124" t="s">
        <v>217</v>
      </c>
      <c r="T3" s="257" t="s">
        <v>285</v>
      </c>
      <c r="U3" s="125" t="s">
        <v>217</v>
      </c>
      <c r="V3" s="262" t="s">
        <v>285</v>
      </c>
      <c r="W3" s="21"/>
      <c r="X3" s="124" t="s">
        <v>217</v>
      </c>
      <c r="Y3" s="257" t="s">
        <v>285</v>
      </c>
      <c r="Z3" s="125" t="s">
        <v>217</v>
      </c>
      <c r="AA3" s="262" t="s">
        <v>285</v>
      </c>
      <c r="AB3" s="21"/>
      <c r="AC3" s="124" t="s">
        <v>217</v>
      </c>
      <c r="AD3" s="257" t="s">
        <v>285</v>
      </c>
      <c r="AE3" s="125" t="s">
        <v>217</v>
      </c>
      <c r="AF3" s="262" t="s">
        <v>285</v>
      </c>
      <c r="AH3" s="124" t="s">
        <v>217</v>
      </c>
      <c r="AI3" s="258" t="s">
        <v>285</v>
      </c>
      <c r="AJ3" s="125" t="s">
        <v>217</v>
      </c>
      <c r="AK3" s="262" t="s">
        <v>285</v>
      </c>
      <c r="AM3" s="124" t="s">
        <v>217</v>
      </c>
      <c r="AN3" s="258" t="s">
        <v>285</v>
      </c>
      <c r="AO3" s="125" t="s">
        <v>217</v>
      </c>
      <c r="AP3" s="262" t="s">
        <v>285</v>
      </c>
    </row>
    <row r="4" spans="1:42" x14ac:dyDescent="0.3">
      <c r="D4" s="110">
        <v>0</v>
      </c>
      <c r="E4" s="217">
        <v>13.716666666666667</v>
      </c>
      <c r="F4" s="108">
        <v>0</v>
      </c>
      <c r="G4" s="179">
        <f>E4</f>
        <v>13.716666666666667</v>
      </c>
      <c r="H4" s="21"/>
      <c r="I4" s="110">
        <v>0</v>
      </c>
      <c r="J4" s="217">
        <v>22.024999999999999</v>
      </c>
      <c r="K4" s="108">
        <v>0</v>
      </c>
      <c r="L4" s="179">
        <f>J4</f>
        <v>22.024999999999999</v>
      </c>
      <c r="M4" s="21"/>
      <c r="N4" s="110">
        <v>0</v>
      </c>
      <c r="O4">
        <v>23.508333333333333</v>
      </c>
      <c r="P4" s="108">
        <v>0</v>
      </c>
      <c r="Q4" s="179">
        <f>O4</f>
        <v>23.508333333333333</v>
      </c>
      <c r="R4" s="21"/>
      <c r="S4" s="110">
        <v>0</v>
      </c>
      <c r="T4" s="217">
        <v>17.849999999999998</v>
      </c>
      <c r="U4" s="108">
        <v>0</v>
      </c>
      <c r="V4" s="179">
        <f>T4</f>
        <v>17.849999999999998</v>
      </c>
      <c r="W4" s="287"/>
      <c r="X4" s="110">
        <v>0</v>
      </c>
      <c r="Y4" s="287">
        <v>-17.650000000000002</v>
      </c>
      <c r="Z4" s="108">
        <v>0</v>
      </c>
      <c r="AA4" s="179">
        <f>Y4</f>
        <v>-17.650000000000002</v>
      </c>
      <c r="AB4" s="21"/>
      <c r="AC4" s="110">
        <v>0</v>
      </c>
      <c r="AD4" s="194">
        <v>29.258333333333336</v>
      </c>
      <c r="AE4" s="108">
        <v>0</v>
      </c>
      <c r="AF4" s="179">
        <f>AD4</f>
        <v>29.258333333333336</v>
      </c>
      <c r="AH4" s="110">
        <v>0</v>
      </c>
      <c r="AJ4" s="108">
        <v>0</v>
      </c>
      <c r="AK4" s="20">
        <f>AI4</f>
        <v>0</v>
      </c>
      <c r="AM4" s="110">
        <v>0</v>
      </c>
      <c r="AN4" s="108"/>
      <c r="AO4" s="108">
        <v>0</v>
      </c>
      <c r="AP4" s="20">
        <f>AN4</f>
        <v>0</v>
      </c>
    </row>
    <row r="5" spans="1:42" x14ac:dyDescent="0.3">
      <c r="A5" s="164" t="s">
        <v>217</v>
      </c>
      <c r="B5" s="165" t="s">
        <v>256</v>
      </c>
      <c r="D5" s="110">
        <v>4.1666666666666664E-2</v>
      </c>
      <c r="E5" s="217">
        <v>9.966666666666665</v>
      </c>
      <c r="F5" s="108">
        <v>1.0416666666666666E-2</v>
      </c>
      <c r="G5" s="179">
        <f>E4</f>
        <v>13.716666666666667</v>
      </c>
      <c r="H5" s="21"/>
      <c r="I5" s="110">
        <v>4.1666666666666664E-2</v>
      </c>
      <c r="J5" s="217">
        <v>21.725000000000001</v>
      </c>
      <c r="K5" s="108">
        <v>1.0416666666666666E-2</v>
      </c>
      <c r="L5" s="179">
        <f>J4</f>
        <v>22.024999999999999</v>
      </c>
      <c r="M5" s="21"/>
      <c r="N5" s="110">
        <v>4.1666666666666664E-2</v>
      </c>
      <c r="O5">
        <v>23.3</v>
      </c>
      <c r="P5" s="108">
        <v>1.0416666666666666E-2</v>
      </c>
      <c r="Q5" s="179">
        <f>O4</f>
        <v>23.508333333333333</v>
      </c>
      <c r="R5" s="21"/>
      <c r="S5" s="110">
        <v>4.1666666666666664E-2</v>
      </c>
      <c r="T5" s="217">
        <v>17.366666666666667</v>
      </c>
      <c r="U5" s="108">
        <v>1.0416666666666666E-2</v>
      </c>
      <c r="V5" s="179">
        <f>T4</f>
        <v>17.849999999999998</v>
      </c>
      <c r="W5" s="287"/>
      <c r="X5" s="110">
        <v>4.1666666666666664E-2</v>
      </c>
      <c r="Y5" s="287">
        <v>-18.074999999999999</v>
      </c>
      <c r="Z5" s="108">
        <v>1.0416666666666666E-2</v>
      </c>
      <c r="AA5" s="179">
        <f>Y4</f>
        <v>-17.650000000000002</v>
      </c>
      <c r="AB5" s="21"/>
      <c r="AC5" s="110">
        <v>4.1666666666666664E-2</v>
      </c>
      <c r="AD5" s="194">
        <v>28.333333333333336</v>
      </c>
      <c r="AE5" s="108">
        <v>1.0416666666666666E-2</v>
      </c>
      <c r="AF5" s="179">
        <f>AD4</f>
        <v>29.258333333333336</v>
      </c>
      <c r="AH5" s="110">
        <v>4.1666666666666664E-2</v>
      </c>
      <c r="AJ5" s="108">
        <v>1.0416666666666666E-2</v>
      </c>
      <c r="AK5" s="20">
        <f>AI4</f>
        <v>0</v>
      </c>
      <c r="AM5" s="110">
        <v>4.1666666666666664E-2</v>
      </c>
      <c r="AN5" s="108"/>
      <c r="AO5" s="108">
        <v>1.0416666666666666E-2</v>
      </c>
      <c r="AP5" s="20">
        <f>AN4</f>
        <v>0</v>
      </c>
    </row>
    <row r="6" spans="1:42" x14ac:dyDescent="0.3">
      <c r="A6" s="110">
        <v>0</v>
      </c>
      <c r="B6" s="175">
        <f t="shared" ref="B6:B37" si="0">IF($B$3=$D$2,G4,IF($B$3=$I$2,L4,IF($B$3=$N$2,Q4,IF($B$3=$S$2,V4,IF($B$3=$X$2,AA4,IF($B$3=$AC$2,AF4,IF($B$3=$AH$2,AK4,IF($B$3=$AM$2,AP4,0))))))))</f>
        <v>-17.650000000000002</v>
      </c>
      <c r="D6" s="110">
        <v>8.3333333333333301E-2</v>
      </c>
      <c r="E6" s="217">
        <v>8.2999999999999989</v>
      </c>
      <c r="F6" s="108">
        <v>2.0833333333333301E-2</v>
      </c>
      <c r="G6" s="179">
        <f>E4</f>
        <v>13.716666666666667</v>
      </c>
      <c r="H6" s="21"/>
      <c r="I6" s="110">
        <v>8.3333333333333301E-2</v>
      </c>
      <c r="J6" s="217">
        <v>21.133333333333336</v>
      </c>
      <c r="K6" s="108">
        <v>2.0833333333333301E-2</v>
      </c>
      <c r="L6" s="179">
        <f>J4</f>
        <v>22.024999999999999</v>
      </c>
      <c r="M6" s="21"/>
      <c r="N6" s="110">
        <v>8.3333333333333301E-2</v>
      </c>
      <c r="O6">
        <v>23.3</v>
      </c>
      <c r="P6" s="108">
        <v>2.0833333333333301E-2</v>
      </c>
      <c r="Q6" s="179">
        <f>O4</f>
        <v>23.508333333333333</v>
      </c>
      <c r="R6" s="21"/>
      <c r="S6" s="110">
        <v>8.3333333333333301E-2</v>
      </c>
      <c r="T6" s="217">
        <v>17.200000000000003</v>
      </c>
      <c r="U6" s="108">
        <v>2.0833333333333301E-2</v>
      </c>
      <c r="V6" s="179">
        <f>T4</f>
        <v>17.849999999999998</v>
      </c>
      <c r="W6" s="287"/>
      <c r="X6" s="110">
        <v>8.3333333333333301E-2</v>
      </c>
      <c r="Y6" s="287">
        <v>-17.966666666666669</v>
      </c>
      <c r="Z6" s="108">
        <v>2.0833333333333301E-2</v>
      </c>
      <c r="AA6" s="179">
        <f>Y4</f>
        <v>-17.650000000000002</v>
      </c>
      <c r="AB6" s="21"/>
      <c r="AC6" s="110">
        <v>8.3333333333333301E-2</v>
      </c>
      <c r="AD6" s="194">
        <v>26.541666666666671</v>
      </c>
      <c r="AE6" s="108">
        <v>2.0833333333333301E-2</v>
      </c>
      <c r="AF6" s="179">
        <f>AD4</f>
        <v>29.258333333333336</v>
      </c>
      <c r="AH6" s="110">
        <v>8.3333333333333301E-2</v>
      </c>
      <c r="AJ6" s="108">
        <v>2.0833333333333301E-2</v>
      </c>
      <c r="AK6" s="20">
        <f>AI4</f>
        <v>0</v>
      </c>
      <c r="AM6" s="110">
        <v>8.3333333333333301E-2</v>
      </c>
      <c r="AN6" s="108"/>
      <c r="AO6" s="108">
        <v>2.0833333333333301E-2</v>
      </c>
      <c r="AP6" s="20">
        <f>AN4</f>
        <v>0</v>
      </c>
    </row>
    <row r="7" spans="1:42" x14ac:dyDescent="0.3">
      <c r="A7" s="110">
        <v>1.0416666666666666E-2</v>
      </c>
      <c r="B7" s="175">
        <f t="shared" si="0"/>
        <v>-17.650000000000002</v>
      </c>
      <c r="D7" s="110">
        <v>0.125</v>
      </c>
      <c r="E7" s="217">
        <v>9.5250000000000021</v>
      </c>
      <c r="F7" s="108">
        <v>3.125E-2</v>
      </c>
      <c r="G7" s="179">
        <f>E4</f>
        <v>13.716666666666667</v>
      </c>
      <c r="H7" s="21"/>
      <c r="I7" s="110">
        <v>0.125</v>
      </c>
      <c r="J7" s="217">
        <v>20.974999999999998</v>
      </c>
      <c r="K7" s="108">
        <v>3.125E-2</v>
      </c>
      <c r="L7" s="179">
        <f>J4</f>
        <v>22.024999999999999</v>
      </c>
      <c r="M7" s="21"/>
      <c r="N7" s="110">
        <v>0.125</v>
      </c>
      <c r="O7">
        <v>23.358333333333334</v>
      </c>
      <c r="P7" s="108">
        <v>3.125E-2</v>
      </c>
      <c r="Q7" s="179">
        <f>O4</f>
        <v>23.508333333333333</v>
      </c>
      <c r="R7" s="21"/>
      <c r="S7" s="110">
        <v>0.125</v>
      </c>
      <c r="T7" s="217">
        <v>17.200000000000003</v>
      </c>
      <c r="U7" s="108">
        <v>3.125E-2</v>
      </c>
      <c r="V7" s="179">
        <f>T4</f>
        <v>17.849999999999998</v>
      </c>
      <c r="W7" s="287"/>
      <c r="X7" s="110">
        <v>0.125</v>
      </c>
      <c r="Y7" s="287">
        <v>-18.675000000000001</v>
      </c>
      <c r="Z7" s="108">
        <v>3.125E-2</v>
      </c>
      <c r="AA7" s="179">
        <f>Y4</f>
        <v>-17.650000000000002</v>
      </c>
      <c r="AB7" s="21"/>
      <c r="AC7" s="110">
        <v>0.125</v>
      </c>
      <c r="AD7" s="194">
        <v>25.208333333333336</v>
      </c>
      <c r="AE7" s="108">
        <v>3.125E-2</v>
      </c>
      <c r="AF7" s="179">
        <f>AD4</f>
        <v>29.258333333333336</v>
      </c>
      <c r="AH7" s="110">
        <v>0.125</v>
      </c>
      <c r="AJ7" s="108">
        <v>3.125E-2</v>
      </c>
      <c r="AK7" s="20">
        <f>AI4</f>
        <v>0</v>
      </c>
      <c r="AM7" s="110">
        <v>0.125</v>
      </c>
      <c r="AN7" s="108"/>
      <c r="AO7" s="108">
        <v>3.125E-2</v>
      </c>
      <c r="AP7" s="20">
        <f>AN4</f>
        <v>0</v>
      </c>
    </row>
    <row r="8" spans="1:42" x14ac:dyDescent="0.3">
      <c r="A8" s="110">
        <v>2.0833333333333301E-2</v>
      </c>
      <c r="B8" s="175">
        <f t="shared" si="0"/>
        <v>-17.650000000000002</v>
      </c>
      <c r="D8" s="110">
        <v>0.16666666666666699</v>
      </c>
      <c r="E8" s="217">
        <v>11.275000000000002</v>
      </c>
      <c r="F8" s="108">
        <v>4.1666666666666699E-2</v>
      </c>
      <c r="G8" s="179">
        <f>E5</f>
        <v>9.966666666666665</v>
      </c>
      <c r="H8" s="21"/>
      <c r="I8" s="110">
        <v>0.16666666666666699</v>
      </c>
      <c r="J8" s="217">
        <v>21.041666666666668</v>
      </c>
      <c r="K8" s="108">
        <v>4.1666666666666699E-2</v>
      </c>
      <c r="L8" s="179">
        <f>J5</f>
        <v>21.725000000000001</v>
      </c>
      <c r="M8" s="21"/>
      <c r="N8" s="110">
        <v>0.16666666666666699</v>
      </c>
      <c r="O8">
        <v>23.691666666666666</v>
      </c>
      <c r="P8" s="108">
        <v>4.1666666666666699E-2</v>
      </c>
      <c r="Q8" s="179">
        <f>O5</f>
        <v>23.3</v>
      </c>
      <c r="R8" s="21"/>
      <c r="S8" s="110">
        <v>0.16666666666666699</v>
      </c>
      <c r="T8" s="217">
        <v>17.200000000000003</v>
      </c>
      <c r="U8" s="108">
        <v>4.1666666666666699E-2</v>
      </c>
      <c r="V8" s="179">
        <f>T5</f>
        <v>17.366666666666667</v>
      </c>
      <c r="W8" s="287"/>
      <c r="X8" s="110">
        <v>0.16666666666666699</v>
      </c>
      <c r="Y8" s="287">
        <v>-19.066666666666666</v>
      </c>
      <c r="Z8" s="108">
        <v>4.1666666666666699E-2</v>
      </c>
      <c r="AA8" s="179">
        <f>Y5</f>
        <v>-18.074999999999999</v>
      </c>
      <c r="AB8" s="21"/>
      <c r="AC8" s="110">
        <v>0.16666666666666699</v>
      </c>
      <c r="AD8" s="194">
        <v>25</v>
      </c>
      <c r="AE8" s="108">
        <v>4.1666666666666699E-2</v>
      </c>
      <c r="AF8" s="179">
        <f>AD5</f>
        <v>28.333333333333336</v>
      </c>
      <c r="AH8" s="110">
        <v>0.16666666666666699</v>
      </c>
      <c r="AJ8" s="108">
        <v>4.1666666666666699E-2</v>
      </c>
      <c r="AK8" s="20">
        <f>AI5</f>
        <v>0</v>
      </c>
      <c r="AM8" s="110">
        <v>0.16666666666666699</v>
      </c>
      <c r="AN8" s="108"/>
      <c r="AO8" s="108">
        <v>4.1666666666666699E-2</v>
      </c>
      <c r="AP8" s="20">
        <f>AN5</f>
        <v>0</v>
      </c>
    </row>
    <row r="9" spans="1:42" x14ac:dyDescent="0.3">
      <c r="A9" s="110">
        <v>3.125E-2</v>
      </c>
      <c r="B9" s="175">
        <f t="shared" si="0"/>
        <v>-17.650000000000002</v>
      </c>
      <c r="D9" s="110">
        <v>0.20833333333333301</v>
      </c>
      <c r="E9" s="217">
        <v>12.6</v>
      </c>
      <c r="F9" s="108">
        <v>5.2083333333333301E-2</v>
      </c>
      <c r="G9" s="179">
        <f>E5</f>
        <v>9.966666666666665</v>
      </c>
      <c r="H9" s="21"/>
      <c r="I9" s="110">
        <v>0.20833333333333301</v>
      </c>
      <c r="J9" s="217">
        <v>20.416666666666668</v>
      </c>
      <c r="K9" s="108">
        <v>5.2083333333333301E-2</v>
      </c>
      <c r="L9" s="179">
        <f>J5</f>
        <v>21.725000000000001</v>
      </c>
      <c r="M9" s="21"/>
      <c r="N9" s="110">
        <v>0.20833333333333301</v>
      </c>
      <c r="O9">
        <v>23.9</v>
      </c>
      <c r="P9" s="108">
        <v>5.2083333333333301E-2</v>
      </c>
      <c r="Q9" s="179">
        <f>O5</f>
        <v>23.3</v>
      </c>
      <c r="R9" s="21"/>
      <c r="S9" s="110">
        <v>0.20833333333333301</v>
      </c>
      <c r="T9" s="217">
        <v>17.200000000000003</v>
      </c>
      <c r="U9" s="108">
        <v>5.2083333333333301E-2</v>
      </c>
      <c r="V9" s="179">
        <f>T5</f>
        <v>17.366666666666667</v>
      </c>
      <c r="W9" s="287"/>
      <c r="X9" s="110">
        <v>0.20833333333333301</v>
      </c>
      <c r="Y9" s="287">
        <v>-18.900000000000002</v>
      </c>
      <c r="Z9" s="108">
        <v>5.2083333333333301E-2</v>
      </c>
      <c r="AA9" s="179">
        <f>Y5</f>
        <v>-18.074999999999999</v>
      </c>
      <c r="AB9" s="21"/>
      <c r="AC9" s="110">
        <v>0.20833333333333301</v>
      </c>
      <c r="AD9" s="194">
        <v>24.883333333333336</v>
      </c>
      <c r="AE9" s="108">
        <v>5.2083333333333301E-2</v>
      </c>
      <c r="AF9" s="179">
        <f>AD5</f>
        <v>28.333333333333336</v>
      </c>
      <c r="AH9" s="110">
        <v>0.20833333333333301</v>
      </c>
      <c r="AJ9" s="108">
        <v>5.2083333333333301E-2</v>
      </c>
      <c r="AK9" s="20">
        <f>AI5</f>
        <v>0</v>
      </c>
      <c r="AM9" s="110">
        <v>0.20833333333333301</v>
      </c>
      <c r="AN9" s="108"/>
      <c r="AO9" s="108">
        <v>5.2083333333333301E-2</v>
      </c>
      <c r="AP9" s="20">
        <f>AN5</f>
        <v>0</v>
      </c>
    </row>
    <row r="10" spans="1:42" x14ac:dyDescent="0.3">
      <c r="A10" s="110">
        <v>4.1666666666666699E-2</v>
      </c>
      <c r="B10" s="175">
        <f t="shared" si="0"/>
        <v>-18.074999999999999</v>
      </c>
      <c r="D10" s="110">
        <v>0.25</v>
      </c>
      <c r="E10" s="217">
        <v>13.1</v>
      </c>
      <c r="F10" s="108">
        <v>6.25E-2</v>
      </c>
      <c r="G10" s="179">
        <f>E5</f>
        <v>9.966666666666665</v>
      </c>
      <c r="H10" s="21"/>
      <c r="I10" s="110">
        <v>0.25</v>
      </c>
      <c r="J10" s="217">
        <v>19.825000000000003</v>
      </c>
      <c r="K10" s="108">
        <v>6.25E-2</v>
      </c>
      <c r="L10" s="179">
        <f>J5</f>
        <v>21.725000000000001</v>
      </c>
      <c r="M10" s="21"/>
      <c r="N10" s="110">
        <v>0.25</v>
      </c>
      <c r="O10">
        <v>24.541666666666668</v>
      </c>
      <c r="P10" s="108">
        <v>6.25E-2</v>
      </c>
      <c r="Q10" s="179">
        <f>O5</f>
        <v>23.3</v>
      </c>
      <c r="R10" s="21"/>
      <c r="S10" s="110">
        <v>0.25</v>
      </c>
      <c r="T10" s="217">
        <v>17.200000000000003</v>
      </c>
      <c r="U10" s="108">
        <v>6.25E-2</v>
      </c>
      <c r="V10" s="179">
        <f>T5</f>
        <v>17.366666666666667</v>
      </c>
      <c r="W10" s="287"/>
      <c r="X10" s="110">
        <v>0.25</v>
      </c>
      <c r="Y10" s="287">
        <v>-18.316666666666666</v>
      </c>
      <c r="Z10" s="108">
        <v>6.25E-2</v>
      </c>
      <c r="AA10" s="179">
        <f>Y5</f>
        <v>-18.074999999999999</v>
      </c>
      <c r="AB10" s="21"/>
      <c r="AC10" s="110">
        <v>0.25</v>
      </c>
      <c r="AD10" s="194">
        <v>25.558333333333334</v>
      </c>
      <c r="AE10" s="108">
        <v>6.25E-2</v>
      </c>
      <c r="AF10" s="179">
        <f>AD5</f>
        <v>28.333333333333336</v>
      </c>
      <c r="AH10" s="110">
        <v>0.25</v>
      </c>
      <c r="AJ10" s="108">
        <v>6.25E-2</v>
      </c>
      <c r="AK10" s="20">
        <f>AI5</f>
        <v>0</v>
      </c>
      <c r="AM10" s="110">
        <v>0.25</v>
      </c>
      <c r="AN10" s="108"/>
      <c r="AO10" s="108">
        <v>6.25E-2</v>
      </c>
      <c r="AP10" s="20">
        <f>AN5</f>
        <v>0</v>
      </c>
    </row>
    <row r="11" spans="1:42" x14ac:dyDescent="0.3">
      <c r="A11" s="110">
        <v>5.2083333333333301E-2</v>
      </c>
      <c r="B11" s="175">
        <f t="shared" si="0"/>
        <v>-18.074999999999999</v>
      </c>
      <c r="D11" s="110">
        <v>0.29166666666666702</v>
      </c>
      <c r="E11" s="217">
        <v>14.208333333333336</v>
      </c>
      <c r="F11" s="108">
        <v>7.2916666666666699E-2</v>
      </c>
      <c r="G11" s="179">
        <f>E5</f>
        <v>9.966666666666665</v>
      </c>
      <c r="H11" s="21"/>
      <c r="I11" s="110">
        <v>0.29166666666666702</v>
      </c>
      <c r="J11" s="217">
        <v>21.275000000000002</v>
      </c>
      <c r="K11" s="108">
        <v>7.2916666666666699E-2</v>
      </c>
      <c r="L11" s="179">
        <f>J5</f>
        <v>21.725000000000001</v>
      </c>
      <c r="M11" s="21"/>
      <c r="N11" s="110">
        <v>0.29166666666666702</v>
      </c>
      <c r="O11">
        <v>25.058333333333337</v>
      </c>
      <c r="P11" s="108">
        <v>7.2916666666666699E-2</v>
      </c>
      <c r="Q11" s="179">
        <f>O5</f>
        <v>23.3</v>
      </c>
      <c r="R11" s="21"/>
      <c r="S11" s="110">
        <v>0.29166666666666702</v>
      </c>
      <c r="T11" s="217">
        <v>17.200000000000003</v>
      </c>
      <c r="U11" s="108">
        <v>7.2916666666666699E-2</v>
      </c>
      <c r="V11" s="179">
        <f>T5</f>
        <v>17.366666666666667</v>
      </c>
      <c r="W11" s="287"/>
      <c r="X11" s="110">
        <v>0.29166666666666702</v>
      </c>
      <c r="Y11" s="287">
        <v>-18.25</v>
      </c>
      <c r="Z11" s="108">
        <v>7.2916666666666699E-2</v>
      </c>
      <c r="AA11" s="179">
        <f>Y5</f>
        <v>-18.074999999999999</v>
      </c>
      <c r="AB11" s="21"/>
      <c r="AC11" s="110">
        <v>0.29166666666666702</v>
      </c>
      <c r="AD11" s="194">
        <v>25.983333333333331</v>
      </c>
      <c r="AE11" s="108">
        <v>7.2916666666666699E-2</v>
      </c>
      <c r="AF11" s="179">
        <f>AD5</f>
        <v>28.333333333333336</v>
      </c>
      <c r="AH11" s="110">
        <v>0.29166666666666702</v>
      </c>
      <c r="AJ11" s="108">
        <v>7.2916666666666699E-2</v>
      </c>
      <c r="AK11" s="20">
        <f>AI5</f>
        <v>0</v>
      </c>
      <c r="AM11" s="110">
        <v>0.29166666666666702</v>
      </c>
      <c r="AN11" s="108"/>
      <c r="AO11" s="108">
        <v>7.2916666666666699E-2</v>
      </c>
      <c r="AP11" s="20">
        <f>AN5</f>
        <v>0</v>
      </c>
    </row>
    <row r="12" spans="1:42" x14ac:dyDescent="0.3">
      <c r="A12" s="110">
        <v>6.25E-2</v>
      </c>
      <c r="B12" s="175">
        <f t="shared" si="0"/>
        <v>-18.074999999999999</v>
      </c>
      <c r="D12" s="110">
        <v>0.33333333333333298</v>
      </c>
      <c r="E12" s="217">
        <v>15.466666666666669</v>
      </c>
      <c r="F12" s="108">
        <v>8.3333333333333301E-2</v>
      </c>
      <c r="G12" s="179">
        <f>E6</f>
        <v>8.2999999999999989</v>
      </c>
      <c r="H12" s="21"/>
      <c r="I12" s="110">
        <v>0.33333333333333298</v>
      </c>
      <c r="J12" s="217">
        <v>23.333333333333336</v>
      </c>
      <c r="K12" s="108">
        <v>8.3333333333333301E-2</v>
      </c>
      <c r="L12" s="179">
        <f>J6</f>
        <v>21.133333333333336</v>
      </c>
      <c r="M12" s="21"/>
      <c r="N12" s="110">
        <v>0.33333333333333298</v>
      </c>
      <c r="O12">
        <v>25.916666666666671</v>
      </c>
      <c r="P12" s="108">
        <v>8.3333333333333301E-2</v>
      </c>
      <c r="Q12" s="179">
        <f>O6</f>
        <v>23.3</v>
      </c>
      <c r="R12" s="21"/>
      <c r="S12" s="110">
        <v>0.33333333333333298</v>
      </c>
      <c r="T12" s="217">
        <v>17.258333333333333</v>
      </c>
      <c r="U12" s="108">
        <v>8.3333333333333301E-2</v>
      </c>
      <c r="V12" s="179">
        <f>T6</f>
        <v>17.200000000000003</v>
      </c>
      <c r="W12" s="287"/>
      <c r="X12" s="110">
        <v>0.33333333333333298</v>
      </c>
      <c r="Y12" s="287">
        <v>-16.808333333333334</v>
      </c>
      <c r="Z12" s="108">
        <v>8.3333333333333301E-2</v>
      </c>
      <c r="AA12" s="179">
        <f>Y6</f>
        <v>-17.966666666666669</v>
      </c>
      <c r="AB12" s="21"/>
      <c r="AC12" s="110">
        <v>0.33333333333333298</v>
      </c>
      <c r="AD12" s="194">
        <v>27.183333333333337</v>
      </c>
      <c r="AE12" s="108">
        <v>8.3333333333333301E-2</v>
      </c>
      <c r="AF12" s="179">
        <f>AD6</f>
        <v>26.541666666666671</v>
      </c>
      <c r="AH12" s="110">
        <v>0.33333333333333298</v>
      </c>
      <c r="AJ12" s="108">
        <v>8.3333333333333301E-2</v>
      </c>
      <c r="AK12" s="20">
        <f>AI6</f>
        <v>0</v>
      </c>
      <c r="AM12" s="110">
        <v>0.33333333333333298</v>
      </c>
      <c r="AN12" s="108"/>
      <c r="AO12" s="108">
        <v>8.3333333333333301E-2</v>
      </c>
      <c r="AP12" s="20">
        <f>AN6</f>
        <v>0</v>
      </c>
    </row>
    <row r="13" spans="1:42" x14ac:dyDescent="0.3">
      <c r="A13" s="110">
        <v>7.2916666666666699E-2</v>
      </c>
      <c r="B13" s="175">
        <f t="shared" si="0"/>
        <v>-18.074999999999999</v>
      </c>
      <c r="D13" s="110">
        <v>0.375</v>
      </c>
      <c r="E13" s="217">
        <v>16.733333333333334</v>
      </c>
      <c r="F13" s="108">
        <v>9.375E-2</v>
      </c>
      <c r="G13" s="179">
        <f>E6</f>
        <v>8.2999999999999989</v>
      </c>
      <c r="H13" s="21"/>
      <c r="I13" s="110">
        <v>0.375</v>
      </c>
      <c r="J13" s="217">
        <v>24.641666666666669</v>
      </c>
      <c r="K13" s="108">
        <v>9.375E-2</v>
      </c>
      <c r="L13" s="179">
        <f>J6</f>
        <v>21.133333333333336</v>
      </c>
      <c r="M13" s="21"/>
      <c r="N13" s="110">
        <v>0.375</v>
      </c>
      <c r="O13">
        <v>28.016666666666673</v>
      </c>
      <c r="P13" s="108">
        <v>9.375E-2</v>
      </c>
      <c r="Q13" s="179">
        <f>O6</f>
        <v>23.3</v>
      </c>
      <c r="R13" s="21"/>
      <c r="S13" s="110">
        <v>0.375</v>
      </c>
      <c r="T13" s="217">
        <v>17.883333333333333</v>
      </c>
      <c r="U13" s="108">
        <v>9.375E-2</v>
      </c>
      <c r="V13" s="179">
        <f>T6</f>
        <v>17.200000000000003</v>
      </c>
      <c r="W13" s="287"/>
      <c r="X13" s="110">
        <v>0.375</v>
      </c>
      <c r="Y13" s="287">
        <v>-13.441666666666668</v>
      </c>
      <c r="Z13" s="108">
        <v>9.375E-2</v>
      </c>
      <c r="AA13" s="179">
        <f>Y6</f>
        <v>-17.966666666666669</v>
      </c>
      <c r="AB13" s="21"/>
      <c r="AC13" s="110">
        <v>0.375</v>
      </c>
      <c r="AD13" s="194">
        <v>29.266666666666673</v>
      </c>
      <c r="AE13" s="108">
        <v>9.375E-2</v>
      </c>
      <c r="AF13" s="179">
        <f>AD6</f>
        <v>26.541666666666671</v>
      </c>
      <c r="AH13" s="110">
        <v>0.375</v>
      </c>
      <c r="AJ13" s="108">
        <v>9.375E-2</v>
      </c>
      <c r="AK13" s="20">
        <f>AI6</f>
        <v>0</v>
      </c>
      <c r="AM13" s="110">
        <v>0.375</v>
      </c>
      <c r="AN13" s="108"/>
      <c r="AO13" s="108">
        <v>9.375E-2</v>
      </c>
      <c r="AP13" s="20">
        <f>AN6</f>
        <v>0</v>
      </c>
    </row>
    <row r="14" spans="1:42" x14ac:dyDescent="0.3">
      <c r="A14" s="110">
        <v>8.3333333333333301E-2</v>
      </c>
      <c r="B14" s="175">
        <f t="shared" si="0"/>
        <v>-17.966666666666669</v>
      </c>
      <c r="D14" s="110">
        <v>0.41666666666666702</v>
      </c>
      <c r="E14" s="217">
        <v>18.333333333333336</v>
      </c>
      <c r="F14" s="108">
        <v>0.104166666666667</v>
      </c>
      <c r="G14" s="179">
        <f>E6</f>
        <v>8.2999999999999989</v>
      </c>
      <c r="H14" s="21"/>
      <c r="I14" s="110">
        <v>0.41666666666666702</v>
      </c>
      <c r="J14" s="217">
        <v>25.741666666666664</v>
      </c>
      <c r="K14" s="108">
        <v>0.104166666666667</v>
      </c>
      <c r="L14" s="179">
        <f>J6</f>
        <v>21.133333333333336</v>
      </c>
      <c r="M14" s="21"/>
      <c r="N14" s="110">
        <v>0.41666666666666702</v>
      </c>
      <c r="O14">
        <v>30.033333333333335</v>
      </c>
      <c r="P14" s="108">
        <v>0.104166666666667</v>
      </c>
      <c r="Q14" s="179">
        <f>O6</f>
        <v>23.3</v>
      </c>
      <c r="R14" s="21"/>
      <c r="S14" s="110">
        <v>0.41666666666666702</v>
      </c>
      <c r="T14" s="217">
        <v>18.3</v>
      </c>
      <c r="U14" s="108">
        <v>0.104166666666667</v>
      </c>
      <c r="V14" s="179">
        <f>T6</f>
        <v>17.200000000000003</v>
      </c>
      <c r="W14" s="287"/>
      <c r="X14" s="110">
        <v>0.41666666666666702</v>
      </c>
      <c r="Y14" s="287">
        <v>-10.266666666666667</v>
      </c>
      <c r="Z14" s="108">
        <v>0.104166666666667</v>
      </c>
      <c r="AA14" s="179">
        <f>Y6</f>
        <v>-17.966666666666669</v>
      </c>
      <c r="AB14" s="21"/>
      <c r="AC14" s="110">
        <v>0.41666666666666702</v>
      </c>
      <c r="AD14" s="194">
        <v>30.741666666666664</v>
      </c>
      <c r="AE14" s="108">
        <v>0.104166666666667</v>
      </c>
      <c r="AF14" s="179">
        <f>AD6</f>
        <v>26.541666666666671</v>
      </c>
      <c r="AH14" s="110">
        <v>0.41666666666666702</v>
      </c>
      <c r="AJ14" s="108">
        <v>0.104166666666667</v>
      </c>
      <c r="AK14" s="20">
        <f>AI6</f>
        <v>0</v>
      </c>
      <c r="AM14" s="110">
        <v>0.41666666666666702</v>
      </c>
      <c r="AN14" s="108"/>
      <c r="AO14" s="108">
        <v>0.104166666666667</v>
      </c>
      <c r="AP14" s="20">
        <f>AN6</f>
        <v>0</v>
      </c>
    </row>
    <row r="15" spans="1:42" x14ac:dyDescent="0.3">
      <c r="A15" s="110">
        <v>9.375E-2</v>
      </c>
      <c r="B15" s="175">
        <f t="shared" si="0"/>
        <v>-17.966666666666669</v>
      </c>
      <c r="D15" s="110">
        <v>0.45833333333333298</v>
      </c>
      <c r="E15" s="217">
        <v>19.583333333333336</v>
      </c>
      <c r="F15" s="108">
        <v>0.114583333333333</v>
      </c>
      <c r="G15" s="179">
        <f>E6</f>
        <v>8.2999999999999989</v>
      </c>
      <c r="H15" s="21"/>
      <c r="I15" s="110">
        <v>0.45833333333333298</v>
      </c>
      <c r="J15" s="217">
        <v>26.491666666666671</v>
      </c>
      <c r="K15" s="108">
        <v>0.114583333333333</v>
      </c>
      <c r="L15" s="179">
        <f>J6</f>
        <v>21.133333333333336</v>
      </c>
      <c r="M15" s="21"/>
      <c r="N15" s="110">
        <v>0.45833333333333298</v>
      </c>
      <c r="O15">
        <v>30.991666666666667</v>
      </c>
      <c r="P15" s="108">
        <v>0.114583333333333</v>
      </c>
      <c r="Q15" s="179">
        <f>O6</f>
        <v>23.3</v>
      </c>
      <c r="R15" s="21"/>
      <c r="S15" s="110">
        <v>0.45833333333333298</v>
      </c>
      <c r="T15" s="217">
        <v>17.658333333333331</v>
      </c>
      <c r="U15" s="108">
        <v>0.114583333333333</v>
      </c>
      <c r="V15" s="179">
        <f>T6</f>
        <v>17.200000000000003</v>
      </c>
      <c r="W15" s="287"/>
      <c r="X15" s="110">
        <v>0.45833333333333298</v>
      </c>
      <c r="Y15" s="287">
        <v>-7.991666666666668</v>
      </c>
      <c r="Z15" s="108">
        <v>0.114583333333333</v>
      </c>
      <c r="AA15" s="179">
        <f>Y6</f>
        <v>-17.966666666666669</v>
      </c>
      <c r="AB15" s="21"/>
      <c r="AC15" s="110">
        <v>0.45833333333333298</v>
      </c>
      <c r="AD15" s="194">
        <v>31.841666666666669</v>
      </c>
      <c r="AE15" s="108">
        <v>0.114583333333333</v>
      </c>
      <c r="AF15" s="179">
        <f>AD6</f>
        <v>26.541666666666671</v>
      </c>
      <c r="AH15" s="110">
        <v>0.45833333333333298</v>
      </c>
      <c r="AJ15" s="108">
        <v>0.114583333333333</v>
      </c>
      <c r="AK15" s="20">
        <f>AI6</f>
        <v>0</v>
      </c>
      <c r="AM15" s="110">
        <v>0.45833333333333298</v>
      </c>
      <c r="AN15" s="108"/>
      <c r="AO15" s="108">
        <v>0.114583333333333</v>
      </c>
      <c r="AP15" s="20">
        <f>AN6</f>
        <v>0</v>
      </c>
    </row>
    <row r="16" spans="1:42" x14ac:dyDescent="0.3">
      <c r="A16" s="110">
        <v>0.104166666666667</v>
      </c>
      <c r="B16" s="175">
        <f t="shared" si="0"/>
        <v>-17.966666666666669</v>
      </c>
      <c r="D16" s="110">
        <v>0.5</v>
      </c>
      <c r="E16" s="217">
        <v>20.700000000000003</v>
      </c>
      <c r="F16" s="108">
        <v>0.125</v>
      </c>
      <c r="G16" s="179">
        <f>E7</f>
        <v>9.5250000000000021</v>
      </c>
      <c r="H16" s="21"/>
      <c r="I16" s="110">
        <v>0.5</v>
      </c>
      <c r="J16" s="217">
        <v>27.4</v>
      </c>
      <c r="K16" s="108">
        <v>0.125</v>
      </c>
      <c r="L16" s="179">
        <f>J7</f>
        <v>20.974999999999998</v>
      </c>
      <c r="M16" s="21"/>
      <c r="N16" s="110">
        <v>0.5</v>
      </c>
      <c r="O16">
        <v>31.491666666666671</v>
      </c>
      <c r="P16" s="108">
        <v>0.125</v>
      </c>
      <c r="Q16" s="179">
        <f>O7</f>
        <v>23.358333333333334</v>
      </c>
      <c r="R16" s="21"/>
      <c r="S16" s="110">
        <v>0.5</v>
      </c>
      <c r="T16" s="217">
        <v>17.841666666666665</v>
      </c>
      <c r="U16" s="108">
        <v>0.125</v>
      </c>
      <c r="V16" s="179">
        <f>T7</f>
        <v>17.200000000000003</v>
      </c>
      <c r="W16" s="287"/>
      <c r="X16" s="110">
        <v>0.5</v>
      </c>
      <c r="Y16" s="287">
        <v>-6.2083333333333339</v>
      </c>
      <c r="Z16" s="108">
        <v>0.125</v>
      </c>
      <c r="AA16" s="179">
        <f>Y7</f>
        <v>-18.675000000000001</v>
      </c>
      <c r="AB16" s="21"/>
      <c r="AC16" s="110">
        <v>0.5</v>
      </c>
      <c r="AD16" s="194">
        <v>33.875</v>
      </c>
      <c r="AE16" s="108">
        <v>0.125</v>
      </c>
      <c r="AF16" s="179">
        <f>AD7</f>
        <v>25.208333333333336</v>
      </c>
      <c r="AH16" s="110">
        <v>0.5</v>
      </c>
      <c r="AJ16" s="108">
        <v>0.125</v>
      </c>
      <c r="AK16" s="20">
        <f>AI7</f>
        <v>0</v>
      </c>
      <c r="AM16" s="110">
        <v>0.5</v>
      </c>
      <c r="AN16" s="108"/>
      <c r="AO16" s="108">
        <v>0.125</v>
      </c>
      <c r="AP16" s="20">
        <f>AN7</f>
        <v>0</v>
      </c>
    </row>
    <row r="17" spans="1:42" x14ac:dyDescent="0.3">
      <c r="A17" s="110">
        <v>0.114583333333333</v>
      </c>
      <c r="B17" s="175">
        <f t="shared" si="0"/>
        <v>-17.966666666666669</v>
      </c>
      <c r="D17" s="110">
        <v>0.54166666666666696</v>
      </c>
      <c r="E17" s="217">
        <v>21.958333333333336</v>
      </c>
      <c r="F17" s="108">
        <v>0.13541666666666699</v>
      </c>
      <c r="G17" s="179">
        <f>E7</f>
        <v>9.5250000000000021</v>
      </c>
      <c r="H17" s="21"/>
      <c r="I17" s="110">
        <v>0.54166666666666696</v>
      </c>
      <c r="J17" s="217">
        <v>28.19166666666667</v>
      </c>
      <c r="K17" s="108">
        <v>0.13541666666666699</v>
      </c>
      <c r="L17" s="179">
        <f>J7</f>
        <v>20.974999999999998</v>
      </c>
      <c r="M17" s="21"/>
      <c r="N17" s="110">
        <v>0.54166666666666696</v>
      </c>
      <c r="O17">
        <v>32.633333333333333</v>
      </c>
      <c r="P17" s="108">
        <v>0.13541666666666699</v>
      </c>
      <c r="Q17" s="179">
        <f>O7</f>
        <v>23.358333333333334</v>
      </c>
      <c r="R17" s="21"/>
      <c r="S17" s="110">
        <v>0.54166666666666696</v>
      </c>
      <c r="T17" s="217">
        <v>18.358333333333334</v>
      </c>
      <c r="U17" s="108">
        <v>0.13541666666666699</v>
      </c>
      <c r="V17" s="179">
        <f>T7</f>
        <v>17.200000000000003</v>
      </c>
      <c r="W17" s="287"/>
      <c r="X17" s="110">
        <v>0.54166666666666696</v>
      </c>
      <c r="Y17" s="287">
        <v>-4.8000000000000007</v>
      </c>
      <c r="Z17" s="108">
        <v>0.13541666666666699</v>
      </c>
      <c r="AA17" s="179">
        <f>Y7</f>
        <v>-18.675000000000001</v>
      </c>
      <c r="AB17" s="21"/>
      <c r="AC17" s="110">
        <v>0.54166666666666696</v>
      </c>
      <c r="AD17" s="194">
        <v>34.475000000000009</v>
      </c>
      <c r="AE17" s="108">
        <v>0.13541666666666699</v>
      </c>
      <c r="AF17" s="179">
        <f>AD7</f>
        <v>25.208333333333336</v>
      </c>
      <c r="AH17" s="110">
        <v>0.54166666666666696</v>
      </c>
      <c r="AJ17" s="108">
        <v>0.13541666666666699</v>
      </c>
      <c r="AK17" s="20">
        <f>AI7</f>
        <v>0</v>
      </c>
      <c r="AM17" s="110">
        <v>0.54166666666666696</v>
      </c>
      <c r="AN17" s="108"/>
      <c r="AO17" s="108">
        <v>0.13541666666666699</v>
      </c>
      <c r="AP17" s="20">
        <f>AN7</f>
        <v>0</v>
      </c>
    </row>
    <row r="18" spans="1:42" x14ac:dyDescent="0.3">
      <c r="A18" s="110">
        <v>0.125</v>
      </c>
      <c r="B18" s="175">
        <f t="shared" si="0"/>
        <v>-18.675000000000001</v>
      </c>
      <c r="D18" s="110">
        <v>0.58333333333333304</v>
      </c>
      <c r="E18" s="217">
        <v>23.666666666666664</v>
      </c>
      <c r="F18" s="108">
        <v>0.14583333333333301</v>
      </c>
      <c r="G18" s="179">
        <f>E7</f>
        <v>9.5250000000000021</v>
      </c>
      <c r="H18" s="21"/>
      <c r="I18" s="110">
        <v>0.58333333333333304</v>
      </c>
      <c r="J18" s="217">
        <v>28.925000000000001</v>
      </c>
      <c r="K18" s="108">
        <v>0.14583333333333301</v>
      </c>
      <c r="L18" s="179">
        <f>J7</f>
        <v>20.974999999999998</v>
      </c>
      <c r="M18" s="21"/>
      <c r="N18" s="110">
        <v>0.58333333333333304</v>
      </c>
      <c r="O18">
        <v>33.358333333333334</v>
      </c>
      <c r="P18" s="108">
        <v>0.14583333333333301</v>
      </c>
      <c r="Q18" s="179">
        <f>O7</f>
        <v>23.358333333333334</v>
      </c>
      <c r="R18" s="21"/>
      <c r="S18" s="110">
        <v>0.58333333333333304</v>
      </c>
      <c r="T18" s="217">
        <v>18.633333333333336</v>
      </c>
      <c r="U18" s="108">
        <v>0.14583333333333301</v>
      </c>
      <c r="V18" s="179">
        <f>T7</f>
        <v>17.200000000000003</v>
      </c>
      <c r="W18" s="287"/>
      <c r="X18" s="110">
        <v>0.58333333333333304</v>
      </c>
      <c r="Y18" s="287">
        <v>-4.0666666666666673</v>
      </c>
      <c r="Z18" s="108">
        <v>0.14583333333333301</v>
      </c>
      <c r="AA18" s="179">
        <f>Y7</f>
        <v>-18.675000000000001</v>
      </c>
      <c r="AB18" s="21"/>
      <c r="AC18" s="110">
        <v>0.58333333333333304</v>
      </c>
      <c r="AD18" s="194">
        <v>35.033333333333339</v>
      </c>
      <c r="AE18" s="108">
        <v>0.14583333333333301</v>
      </c>
      <c r="AF18" s="179">
        <f>AD7</f>
        <v>25.208333333333336</v>
      </c>
      <c r="AH18" s="110">
        <v>0.58333333333333304</v>
      </c>
      <c r="AJ18" s="108">
        <v>0.14583333333333301</v>
      </c>
      <c r="AK18" s="20">
        <f>AI7</f>
        <v>0</v>
      </c>
      <c r="AM18" s="110">
        <v>0.58333333333333304</v>
      </c>
      <c r="AN18" s="108"/>
      <c r="AO18" s="108">
        <v>0.14583333333333301</v>
      </c>
      <c r="AP18" s="20">
        <f>AN7</f>
        <v>0</v>
      </c>
    </row>
    <row r="19" spans="1:42" x14ac:dyDescent="0.3">
      <c r="A19" s="110">
        <v>0.13541666666666699</v>
      </c>
      <c r="B19" s="175">
        <f t="shared" si="0"/>
        <v>-18.675000000000001</v>
      </c>
      <c r="D19" s="110">
        <v>0.625</v>
      </c>
      <c r="E19" s="217">
        <v>25.141666666666666</v>
      </c>
      <c r="F19" s="108">
        <v>0.15625</v>
      </c>
      <c r="G19" s="179">
        <f>E7</f>
        <v>9.5250000000000021</v>
      </c>
      <c r="H19" s="21"/>
      <c r="I19" s="110">
        <v>0.625</v>
      </c>
      <c r="J19" s="217">
        <v>29.008333333333336</v>
      </c>
      <c r="K19" s="108">
        <v>0.15625</v>
      </c>
      <c r="L19" s="179">
        <f>J7</f>
        <v>20.974999999999998</v>
      </c>
      <c r="M19" s="21"/>
      <c r="N19" s="110">
        <v>0.625</v>
      </c>
      <c r="O19">
        <v>33.983333333333334</v>
      </c>
      <c r="P19" s="108">
        <v>0.15625</v>
      </c>
      <c r="Q19" s="179">
        <f>O7</f>
        <v>23.358333333333334</v>
      </c>
      <c r="R19" s="21"/>
      <c r="S19" s="110">
        <v>0.625</v>
      </c>
      <c r="T19" s="217">
        <v>18.449999999999996</v>
      </c>
      <c r="U19" s="108">
        <v>0.15625</v>
      </c>
      <c r="V19" s="179">
        <f>T7</f>
        <v>17.200000000000003</v>
      </c>
      <c r="W19" s="287"/>
      <c r="X19" s="110">
        <v>0.625</v>
      </c>
      <c r="Y19" s="287">
        <v>-3.6083333333333338</v>
      </c>
      <c r="Z19" s="108">
        <v>0.15625</v>
      </c>
      <c r="AA19" s="179">
        <f>Y7</f>
        <v>-18.675000000000001</v>
      </c>
      <c r="AB19" s="21"/>
      <c r="AC19" s="110">
        <v>0.625</v>
      </c>
      <c r="AD19" s="194">
        <v>35.991666666666667</v>
      </c>
      <c r="AE19" s="108">
        <v>0.15625</v>
      </c>
      <c r="AF19" s="179">
        <f>AD7</f>
        <v>25.208333333333336</v>
      </c>
      <c r="AH19" s="110">
        <v>0.625</v>
      </c>
      <c r="AJ19" s="108">
        <v>0.15625</v>
      </c>
      <c r="AK19" s="20">
        <f>AI7</f>
        <v>0</v>
      </c>
      <c r="AM19" s="110">
        <v>0.625</v>
      </c>
      <c r="AN19" s="108"/>
      <c r="AO19" s="108">
        <v>0.15625</v>
      </c>
      <c r="AP19" s="20">
        <f>AN7</f>
        <v>0</v>
      </c>
    </row>
    <row r="20" spans="1:42" x14ac:dyDescent="0.3">
      <c r="A20" s="110">
        <v>0.14583333333333301</v>
      </c>
      <c r="B20" s="175">
        <f t="shared" si="0"/>
        <v>-18.675000000000001</v>
      </c>
      <c r="D20" s="110">
        <v>0.66666666666666696</v>
      </c>
      <c r="E20" s="217">
        <v>25.425000000000001</v>
      </c>
      <c r="F20" s="108">
        <v>0.16666666666666699</v>
      </c>
      <c r="G20" s="179">
        <f>E8</f>
        <v>11.275000000000002</v>
      </c>
      <c r="H20" s="21"/>
      <c r="I20" s="110">
        <v>0.66666666666666696</v>
      </c>
      <c r="J20" s="217">
        <v>28.391666666666669</v>
      </c>
      <c r="K20" s="108">
        <v>0.16666666666666699</v>
      </c>
      <c r="L20" s="179">
        <f>J8</f>
        <v>21.041666666666668</v>
      </c>
      <c r="M20" s="21"/>
      <c r="N20" s="110">
        <v>0.66666666666666696</v>
      </c>
      <c r="O20">
        <v>34.400000000000006</v>
      </c>
      <c r="P20" s="108">
        <v>0.16666666666666699</v>
      </c>
      <c r="Q20" s="179">
        <f>O8</f>
        <v>23.691666666666666</v>
      </c>
      <c r="R20" s="21"/>
      <c r="S20" s="110">
        <v>0.66666666666666696</v>
      </c>
      <c r="T20" s="217">
        <v>17.966666666666669</v>
      </c>
      <c r="U20" s="108">
        <v>0.16666666666666699</v>
      </c>
      <c r="V20" s="179">
        <f>T8</f>
        <v>17.200000000000003</v>
      </c>
      <c r="W20" s="287"/>
      <c r="X20" s="110">
        <v>0.66666666666666696</v>
      </c>
      <c r="Y20" s="287">
        <v>-3.8666666666666671</v>
      </c>
      <c r="Z20" s="108">
        <v>0.16666666666666699</v>
      </c>
      <c r="AA20" s="179">
        <f>Y8</f>
        <v>-19.066666666666666</v>
      </c>
      <c r="AB20" s="21"/>
      <c r="AC20" s="110">
        <v>0.66666666666666696</v>
      </c>
      <c r="AD20" s="194">
        <v>36.491666666666667</v>
      </c>
      <c r="AE20" s="108">
        <v>0.16666666666666699</v>
      </c>
      <c r="AF20" s="179">
        <f>AD8</f>
        <v>25</v>
      </c>
      <c r="AH20" s="110">
        <v>0.66666666666666696</v>
      </c>
      <c r="AJ20" s="108">
        <v>0.16666666666666699</v>
      </c>
      <c r="AK20" s="20">
        <f>AI8</f>
        <v>0</v>
      </c>
      <c r="AM20" s="110">
        <v>0.66666666666666696</v>
      </c>
      <c r="AN20" s="108"/>
      <c r="AO20" s="108">
        <v>0.16666666666666699</v>
      </c>
      <c r="AP20" s="20">
        <f>AN8</f>
        <v>0</v>
      </c>
    </row>
    <row r="21" spans="1:42" x14ac:dyDescent="0.3">
      <c r="A21" s="110">
        <v>0.15625</v>
      </c>
      <c r="B21" s="175">
        <f t="shared" si="0"/>
        <v>-18.675000000000001</v>
      </c>
      <c r="D21" s="110">
        <v>0.70833333333333304</v>
      </c>
      <c r="E21" s="217">
        <v>24.483333333333331</v>
      </c>
      <c r="F21" s="108">
        <v>0.17708333333333301</v>
      </c>
      <c r="G21" s="179">
        <f>E8</f>
        <v>11.275000000000002</v>
      </c>
      <c r="H21" s="21"/>
      <c r="I21" s="110">
        <v>0.70833333333333304</v>
      </c>
      <c r="J21" s="217">
        <v>27.283333333333335</v>
      </c>
      <c r="K21" s="108">
        <v>0.17708333333333301</v>
      </c>
      <c r="L21" s="179">
        <f>J8</f>
        <v>21.041666666666668</v>
      </c>
      <c r="M21" s="21"/>
      <c r="N21" s="110">
        <v>0.70833333333333304</v>
      </c>
      <c r="O21">
        <v>34.400000000000006</v>
      </c>
      <c r="P21" s="108">
        <v>0.17708333333333301</v>
      </c>
      <c r="Q21" s="179">
        <f>O8</f>
        <v>23.691666666666666</v>
      </c>
      <c r="R21" s="21"/>
      <c r="S21" s="110">
        <v>0.70833333333333304</v>
      </c>
      <c r="T21" s="217">
        <v>17.800000000000004</v>
      </c>
      <c r="U21" s="108">
        <v>0.17708333333333301</v>
      </c>
      <c r="V21" s="179">
        <f>T8</f>
        <v>17.200000000000003</v>
      </c>
      <c r="W21" s="287"/>
      <c r="X21" s="110">
        <v>0.70833333333333304</v>
      </c>
      <c r="Y21" s="287">
        <v>-5.3083333333333336</v>
      </c>
      <c r="Z21" s="108">
        <v>0.17708333333333301</v>
      </c>
      <c r="AA21" s="179">
        <f>Y8</f>
        <v>-19.066666666666666</v>
      </c>
      <c r="AB21" s="21"/>
      <c r="AC21" s="110">
        <v>0.70833333333333304</v>
      </c>
      <c r="AD21" s="194">
        <v>36.641666666666666</v>
      </c>
      <c r="AE21" s="108">
        <v>0.17708333333333301</v>
      </c>
      <c r="AF21" s="179">
        <f>AD8</f>
        <v>25</v>
      </c>
      <c r="AH21" s="110">
        <v>0.70833333333333304</v>
      </c>
      <c r="AJ21" s="108">
        <v>0.17708333333333301</v>
      </c>
      <c r="AK21" s="20">
        <f>AI8</f>
        <v>0</v>
      </c>
      <c r="AM21" s="110">
        <v>0.70833333333333304</v>
      </c>
      <c r="AN21" s="108"/>
      <c r="AO21" s="108">
        <v>0.17708333333333301</v>
      </c>
      <c r="AP21" s="20">
        <f>AN8</f>
        <v>0</v>
      </c>
    </row>
    <row r="22" spans="1:42" x14ac:dyDescent="0.3">
      <c r="A22" s="110">
        <v>0.16666666666666699</v>
      </c>
      <c r="B22" s="175">
        <f t="shared" si="0"/>
        <v>-19.066666666666666</v>
      </c>
      <c r="D22" s="110">
        <v>0.75</v>
      </c>
      <c r="E22" s="217">
        <v>22.849999999999998</v>
      </c>
      <c r="F22" s="108">
        <v>0.1875</v>
      </c>
      <c r="G22" s="179">
        <f>E8</f>
        <v>11.275000000000002</v>
      </c>
      <c r="H22" s="21"/>
      <c r="I22" s="110">
        <v>0.75</v>
      </c>
      <c r="J22" s="217">
        <v>25.650000000000002</v>
      </c>
      <c r="K22" s="108">
        <v>0.1875</v>
      </c>
      <c r="L22" s="179">
        <f>J8</f>
        <v>21.041666666666668</v>
      </c>
      <c r="M22" s="21"/>
      <c r="N22" s="110">
        <v>0.75</v>
      </c>
      <c r="O22">
        <v>34.108333333333334</v>
      </c>
      <c r="P22" s="108">
        <v>0.1875</v>
      </c>
      <c r="Q22" s="179">
        <f>O8</f>
        <v>23.691666666666666</v>
      </c>
      <c r="R22" s="21"/>
      <c r="S22" s="110">
        <v>0.75</v>
      </c>
      <c r="T22" s="217">
        <v>17.800000000000004</v>
      </c>
      <c r="U22" s="108">
        <v>0.1875</v>
      </c>
      <c r="V22" s="179">
        <f>T8</f>
        <v>17.200000000000003</v>
      </c>
      <c r="W22" s="287"/>
      <c r="X22" s="110">
        <v>0.75</v>
      </c>
      <c r="Y22" s="287">
        <v>-6.9750000000000005</v>
      </c>
      <c r="Z22" s="108">
        <v>0.1875</v>
      </c>
      <c r="AA22" s="179">
        <f>Y8</f>
        <v>-19.066666666666666</v>
      </c>
      <c r="AB22" s="21"/>
      <c r="AC22" s="110">
        <v>0.75</v>
      </c>
      <c r="AD22" s="194">
        <v>36.308333333333337</v>
      </c>
      <c r="AE22" s="108">
        <v>0.1875</v>
      </c>
      <c r="AF22" s="179">
        <f>AD8</f>
        <v>25</v>
      </c>
      <c r="AH22" s="110">
        <v>0.75</v>
      </c>
      <c r="AJ22" s="108">
        <v>0.1875</v>
      </c>
      <c r="AK22" s="20">
        <f>AI8</f>
        <v>0</v>
      </c>
      <c r="AM22" s="110">
        <v>0.75</v>
      </c>
      <c r="AN22" s="108"/>
      <c r="AO22" s="108">
        <v>0.1875</v>
      </c>
      <c r="AP22" s="20">
        <f>AN8</f>
        <v>0</v>
      </c>
    </row>
    <row r="23" spans="1:42" x14ac:dyDescent="0.3">
      <c r="A23" s="110">
        <v>0.17708333333333301</v>
      </c>
      <c r="B23" s="175">
        <f t="shared" si="0"/>
        <v>-19.066666666666666</v>
      </c>
      <c r="D23" s="110">
        <v>0.79166666666666696</v>
      </c>
      <c r="E23" s="217">
        <v>21.4</v>
      </c>
      <c r="F23" s="108">
        <v>0.19791666666666699</v>
      </c>
      <c r="G23" s="179">
        <f>E8</f>
        <v>11.275000000000002</v>
      </c>
      <c r="H23" s="21"/>
      <c r="I23" s="110">
        <v>0.79166666666666696</v>
      </c>
      <c r="J23" s="217">
        <v>23.791666666666668</v>
      </c>
      <c r="K23" s="108">
        <v>0.19791666666666699</v>
      </c>
      <c r="L23" s="179">
        <f>J8</f>
        <v>21.041666666666668</v>
      </c>
      <c r="M23" s="21"/>
      <c r="N23" s="110">
        <v>0.79166666666666696</v>
      </c>
      <c r="O23">
        <v>33.550000000000004</v>
      </c>
      <c r="P23" s="108">
        <v>0.19791666666666699</v>
      </c>
      <c r="Q23" s="179">
        <f>O8</f>
        <v>23.691666666666666</v>
      </c>
      <c r="R23" s="21"/>
      <c r="S23" s="110">
        <v>0.79166666666666696</v>
      </c>
      <c r="T23" s="217">
        <v>17.800000000000004</v>
      </c>
      <c r="U23" s="108">
        <v>0.19791666666666699</v>
      </c>
      <c r="V23" s="179">
        <f>T8</f>
        <v>17.200000000000003</v>
      </c>
      <c r="W23" s="287"/>
      <c r="X23" s="110">
        <v>0.79166666666666696</v>
      </c>
      <c r="Y23" s="287">
        <v>-8.4749999999999996</v>
      </c>
      <c r="Z23" s="108">
        <v>0.19791666666666699</v>
      </c>
      <c r="AA23" s="179">
        <f>Y8</f>
        <v>-19.066666666666666</v>
      </c>
      <c r="AB23" s="21"/>
      <c r="AC23" s="110">
        <v>0.79166666666666696</v>
      </c>
      <c r="AD23" s="194">
        <v>35.4</v>
      </c>
      <c r="AE23" s="108">
        <v>0.19791666666666699</v>
      </c>
      <c r="AF23" s="179">
        <f>AD8</f>
        <v>25</v>
      </c>
      <c r="AH23" s="110">
        <v>0.79166666666666696</v>
      </c>
      <c r="AJ23" s="108">
        <v>0.19791666666666699</v>
      </c>
      <c r="AK23" s="20">
        <f>AI8</f>
        <v>0</v>
      </c>
      <c r="AM23" s="110">
        <v>0.79166666666666696</v>
      </c>
      <c r="AN23" s="108"/>
      <c r="AO23" s="108">
        <v>0.19791666666666699</v>
      </c>
      <c r="AP23" s="20">
        <f>AN8</f>
        <v>0</v>
      </c>
    </row>
    <row r="24" spans="1:42" x14ac:dyDescent="0.3">
      <c r="A24" s="110">
        <v>0.1875</v>
      </c>
      <c r="B24" s="175">
        <f t="shared" si="0"/>
        <v>-19.066666666666666</v>
      </c>
      <c r="D24" s="110">
        <v>0.83333333333333304</v>
      </c>
      <c r="E24" s="217">
        <v>20.025000000000002</v>
      </c>
      <c r="F24" s="108">
        <v>0.20833333333333301</v>
      </c>
      <c r="G24" s="179">
        <f>E9</f>
        <v>12.6</v>
      </c>
      <c r="H24" s="21"/>
      <c r="I24" s="110">
        <v>0.83333333333333304</v>
      </c>
      <c r="J24" s="217">
        <v>21.658333333333335</v>
      </c>
      <c r="K24" s="108">
        <v>0.20833333333333301</v>
      </c>
      <c r="L24" s="179">
        <f>J9</f>
        <v>20.416666666666668</v>
      </c>
      <c r="M24" s="21"/>
      <c r="N24" s="110">
        <v>0.83333333333333304</v>
      </c>
      <c r="O24">
        <v>32.833333333333329</v>
      </c>
      <c r="P24" s="108">
        <v>0.20833333333333301</v>
      </c>
      <c r="Q24" s="179">
        <f>O9</f>
        <v>23.9</v>
      </c>
      <c r="R24" s="21"/>
      <c r="S24" s="110">
        <v>0.83333333333333304</v>
      </c>
      <c r="T24" s="217">
        <v>17.800000000000004</v>
      </c>
      <c r="U24" s="108">
        <v>0.20833333333333301</v>
      </c>
      <c r="V24" s="179">
        <f>T9</f>
        <v>17.200000000000003</v>
      </c>
      <c r="W24" s="287"/>
      <c r="X24" s="110">
        <v>0.83333333333333304</v>
      </c>
      <c r="Y24" s="287">
        <v>-10.033333333333335</v>
      </c>
      <c r="Z24" s="108">
        <v>0.20833333333333301</v>
      </c>
      <c r="AA24" s="179">
        <f>Y9</f>
        <v>-18.900000000000002</v>
      </c>
      <c r="AB24" s="21"/>
      <c r="AC24" s="110">
        <v>0.83333333333333304</v>
      </c>
      <c r="AD24" s="194">
        <v>34.200000000000003</v>
      </c>
      <c r="AE24" s="108">
        <v>0.20833333333333301</v>
      </c>
      <c r="AF24" s="179">
        <f>AD9</f>
        <v>24.883333333333336</v>
      </c>
      <c r="AH24" s="110">
        <v>0.83333333333333304</v>
      </c>
      <c r="AJ24" s="108">
        <v>0.20833333333333301</v>
      </c>
      <c r="AK24" s="20">
        <f>AI9</f>
        <v>0</v>
      </c>
      <c r="AM24" s="110">
        <v>0.83333333333333304</v>
      </c>
      <c r="AN24" s="108"/>
      <c r="AO24" s="108">
        <v>0.20833333333333301</v>
      </c>
      <c r="AP24" s="20">
        <f>AN9</f>
        <v>0</v>
      </c>
    </row>
    <row r="25" spans="1:42" x14ac:dyDescent="0.3">
      <c r="A25" s="110">
        <v>0.19791666666666699</v>
      </c>
      <c r="B25" s="175">
        <f t="shared" si="0"/>
        <v>-19.066666666666666</v>
      </c>
      <c r="D25" s="110">
        <v>0.875</v>
      </c>
      <c r="E25" s="217">
        <v>19.050000000000004</v>
      </c>
      <c r="F25" s="108">
        <v>0.21875</v>
      </c>
      <c r="G25" s="179">
        <f>E9</f>
        <v>12.6</v>
      </c>
      <c r="H25" s="21"/>
      <c r="I25" s="110">
        <v>0.875</v>
      </c>
      <c r="J25" s="217">
        <v>20.758333333333333</v>
      </c>
      <c r="K25" s="108">
        <v>0.21875</v>
      </c>
      <c r="L25" s="179">
        <f>J9</f>
        <v>20.416666666666668</v>
      </c>
      <c r="M25" s="21"/>
      <c r="N25" s="110">
        <v>0.875</v>
      </c>
      <c r="O25">
        <v>31.216666666666669</v>
      </c>
      <c r="P25" s="108">
        <v>0.21875</v>
      </c>
      <c r="Q25" s="179">
        <f>O9</f>
        <v>23.9</v>
      </c>
      <c r="R25" s="21"/>
      <c r="S25" s="110">
        <v>0.875</v>
      </c>
      <c r="T25" s="217">
        <v>17.741666666666667</v>
      </c>
      <c r="U25" s="108">
        <v>0.21875</v>
      </c>
      <c r="V25" s="179">
        <f>T9</f>
        <v>17.200000000000003</v>
      </c>
      <c r="W25" s="287"/>
      <c r="X25" s="110">
        <v>0.875</v>
      </c>
      <c r="Y25" s="287">
        <v>-10.933333333333334</v>
      </c>
      <c r="Z25" s="108">
        <v>0.21875</v>
      </c>
      <c r="AA25" s="179">
        <f>Y9</f>
        <v>-18.900000000000002</v>
      </c>
      <c r="AB25" s="21"/>
      <c r="AC25" s="110">
        <v>0.875</v>
      </c>
      <c r="AD25" s="194">
        <v>32.766666666666673</v>
      </c>
      <c r="AE25" s="108">
        <v>0.21875</v>
      </c>
      <c r="AF25" s="179">
        <f>AD9</f>
        <v>24.883333333333336</v>
      </c>
      <c r="AH25" s="110">
        <v>0.875</v>
      </c>
      <c r="AJ25" s="108">
        <v>0.21875</v>
      </c>
      <c r="AK25" s="20">
        <f>AI9</f>
        <v>0</v>
      </c>
      <c r="AM25" s="110">
        <v>0.875</v>
      </c>
      <c r="AN25" s="108"/>
      <c r="AO25" s="108">
        <v>0.21875</v>
      </c>
      <c r="AP25" s="20">
        <f>AN9</f>
        <v>0</v>
      </c>
    </row>
    <row r="26" spans="1:42" x14ac:dyDescent="0.3">
      <c r="A26" s="110">
        <v>0.20833333333333301</v>
      </c>
      <c r="B26" s="175">
        <f t="shared" si="0"/>
        <v>-18.900000000000002</v>
      </c>
      <c r="D26" s="110">
        <v>0.91666666666666696</v>
      </c>
      <c r="E26" s="217">
        <v>18.56666666666667</v>
      </c>
      <c r="F26" s="108">
        <v>0.22916666666666699</v>
      </c>
      <c r="G26" s="179">
        <f>E9</f>
        <v>12.6</v>
      </c>
      <c r="H26" s="21"/>
      <c r="I26" s="110">
        <v>0.91666666666666696</v>
      </c>
      <c r="J26" s="217">
        <v>19.516666666666666</v>
      </c>
      <c r="K26" s="108">
        <v>0.22916666666666699</v>
      </c>
      <c r="L26" s="179">
        <f>J9</f>
        <v>20.416666666666668</v>
      </c>
      <c r="M26" s="21"/>
      <c r="N26" s="110">
        <v>0.91666666666666696</v>
      </c>
      <c r="O26">
        <v>28.783333333333335</v>
      </c>
      <c r="P26" s="108">
        <v>0.22916666666666699</v>
      </c>
      <c r="Q26" s="179">
        <f>O9</f>
        <v>23.9</v>
      </c>
      <c r="R26" s="21"/>
      <c r="S26" s="110">
        <v>0.91666666666666696</v>
      </c>
      <c r="T26" s="217">
        <v>17.349999999999998</v>
      </c>
      <c r="U26" s="108">
        <v>0.22916666666666699</v>
      </c>
      <c r="V26" s="179">
        <f>T9</f>
        <v>17.200000000000003</v>
      </c>
      <c r="W26" s="287"/>
      <c r="X26" s="110">
        <v>0.91666666666666696</v>
      </c>
      <c r="Y26" s="287">
        <v>-11.158333333333335</v>
      </c>
      <c r="Z26" s="108">
        <v>0.22916666666666699</v>
      </c>
      <c r="AA26" s="179">
        <f>Y9</f>
        <v>-18.900000000000002</v>
      </c>
      <c r="AB26" s="21"/>
      <c r="AC26" s="110">
        <v>0.91666666666666696</v>
      </c>
      <c r="AD26" s="194">
        <v>31.458333333333336</v>
      </c>
      <c r="AE26" s="108">
        <v>0.22916666666666699</v>
      </c>
      <c r="AF26" s="179">
        <f>AD9</f>
        <v>24.883333333333336</v>
      </c>
      <c r="AH26" s="110">
        <v>0.91666666666666696</v>
      </c>
      <c r="AJ26" s="108">
        <v>0.22916666666666699</v>
      </c>
      <c r="AK26" s="20">
        <f>AI9</f>
        <v>0</v>
      </c>
      <c r="AM26" s="110">
        <v>0.91666666666666696</v>
      </c>
      <c r="AN26" s="108"/>
      <c r="AO26" s="108">
        <v>0.22916666666666699</v>
      </c>
      <c r="AP26" s="20">
        <f>AN9</f>
        <v>0</v>
      </c>
    </row>
    <row r="27" spans="1:42" x14ac:dyDescent="0.3">
      <c r="A27" s="110">
        <v>0.21875</v>
      </c>
      <c r="B27" s="175">
        <f t="shared" si="0"/>
        <v>-18.900000000000002</v>
      </c>
      <c r="D27" s="110">
        <v>0.95833333333333304</v>
      </c>
      <c r="E27" s="217">
        <v>18.75</v>
      </c>
      <c r="F27" s="108">
        <v>0.23958333333333301</v>
      </c>
      <c r="G27" s="179">
        <f>E9</f>
        <v>12.6</v>
      </c>
      <c r="H27" s="21"/>
      <c r="I27" s="110">
        <v>0.95833333333333304</v>
      </c>
      <c r="J27" s="217">
        <v>17.433333333333337</v>
      </c>
      <c r="K27" s="108">
        <v>0.23958333333333301</v>
      </c>
      <c r="L27" s="179">
        <f>J9</f>
        <v>20.416666666666668</v>
      </c>
      <c r="M27" s="21"/>
      <c r="N27" s="110">
        <v>0.95833333333333304</v>
      </c>
      <c r="O27">
        <v>27.350000000000005</v>
      </c>
      <c r="P27" s="108">
        <v>0.23958333333333301</v>
      </c>
      <c r="Q27" s="179">
        <f>O9</f>
        <v>23.9</v>
      </c>
      <c r="R27" s="21"/>
      <c r="S27" s="110">
        <v>0.95833333333333304</v>
      </c>
      <c r="T27" s="217">
        <v>16.458333333333336</v>
      </c>
      <c r="U27" s="108">
        <v>0.23958333333333301</v>
      </c>
      <c r="V27" s="179">
        <f>T9</f>
        <v>17.200000000000003</v>
      </c>
      <c r="W27" s="287"/>
      <c r="X27" s="110">
        <v>0.95833333333333304</v>
      </c>
      <c r="Y27" s="287">
        <v>-11.433333333333334</v>
      </c>
      <c r="Z27" s="108">
        <v>0.23958333333333301</v>
      </c>
      <c r="AA27" s="179">
        <f>Y9</f>
        <v>-18.900000000000002</v>
      </c>
      <c r="AB27" s="21"/>
      <c r="AC27" s="110">
        <v>0.95833333333333304</v>
      </c>
      <c r="AD27" s="194">
        <v>30.358333333333331</v>
      </c>
      <c r="AE27" s="108">
        <v>0.23958333333333301</v>
      </c>
      <c r="AF27" s="179">
        <f>AD9</f>
        <v>24.883333333333336</v>
      </c>
      <c r="AH27" s="110">
        <v>0.95833333333333304</v>
      </c>
      <c r="AJ27" s="108">
        <v>0.23958333333333301</v>
      </c>
      <c r="AK27" s="20">
        <f>AI9</f>
        <v>0</v>
      </c>
      <c r="AM27" s="110">
        <v>0.95833333333333304</v>
      </c>
      <c r="AN27" s="108"/>
      <c r="AO27" s="108">
        <v>0.23958333333333301</v>
      </c>
      <c r="AP27" s="20">
        <f>AN9</f>
        <v>0</v>
      </c>
    </row>
    <row r="28" spans="1:42" x14ac:dyDescent="0.3">
      <c r="A28" s="110">
        <v>0.22916666666666699</v>
      </c>
      <c r="B28" s="175">
        <f t="shared" si="0"/>
        <v>-18.900000000000002</v>
      </c>
      <c r="D28" s="110"/>
      <c r="E28" s="108"/>
      <c r="F28" s="108">
        <v>0.25</v>
      </c>
      <c r="G28" s="179">
        <f>E10</f>
        <v>13.1</v>
      </c>
      <c r="H28" s="21"/>
      <c r="I28" s="110"/>
      <c r="J28" s="108"/>
      <c r="K28" s="108">
        <v>0.25</v>
      </c>
      <c r="L28" s="179">
        <f>J10</f>
        <v>19.825000000000003</v>
      </c>
      <c r="M28" s="21"/>
      <c r="N28" s="110"/>
      <c r="O28" s="108"/>
      <c r="P28" s="108">
        <v>0.25</v>
      </c>
      <c r="Q28" s="179">
        <f>O10</f>
        <v>24.541666666666668</v>
      </c>
      <c r="R28" s="21"/>
      <c r="S28" s="110"/>
      <c r="T28" s="108"/>
      <c r="U28" s="108">
        <v>0.25</v>
      </c>
      <c r="V28" s="179">
        <f>T10</f>
        <v>17.200000000000003</v>
      </c>
      <c r="W28" s="21"/>
      <c r="X28" s="110"/>
      <c r="Y28" s="108"/>
      <c r="Z28" s="108">
        <v>0.25</v>
      </c>
      <c r="AA28" s="179">
        <f>Y10</f>
        <v>-18.316666666666666</v>
      </c>
      <c r="AB28" s="21"/>
      <c r="AC28" s="110"/>
      <c r="AD28" s="108"/>
      <c r="AE28" s="108">
        <v>0.25</v>
      </c>
      <c r="AF28" s="179">
        <f>AD10</f>
        <v>25.558333333333334</v>
      </c>
      <c r="AH28" s="110"/>
      <c r="AI28" s="108"/>
      <c r="AJ28" s="108">
        <v>0.25</v>
      </c>
      <c r="AK28" s="20">
        <f>AI10</f>
        <v>0</v>
      </c>
      <c r="AM28" s="110"/>
      <c r="AN28" s="108"/>
      <c r="AO28" s="108">
        <v>0.25</v>
      </c>
      <c r="AP28" s="20">
        <f>AN10</f>
        <v>0</v>
      </c>
    </row>
    <row r="29" spans="1:42" x14ac:dyDescent="0.3">
      <c r="A29" s="110">
        <v>0.23958333333333301</v>
      </c>
      <c r="B29" s="175">
        <f t="shared" si="0"/>
        <v>-18.900000000000002</v>
      </c>
      <c r="D29" s="110"/>
      <c r="E29" s="108"/>
      <c r="F29" s="108">
        <v>0.26041666666666702</v>
      </c>
      <c r="G29" s="179">
        <f>E10</f>
        <v>13.1</v>
      </c>
      <c r="H29" s="21"/>
      <c r="I29" s="110"/>
      <c r="J29" s="108"/>
      <c r="K29" s="108">
        <v>0.26041666666666702</v>
      </c>
      <c r="L29" s="179">
        <f>J10</f>
        <v>19.825000000000003</v>
      </c>
      <c r="M29" s="21"/>
      <c r="N29" s="110"/>
      <c r="O29" s="108"/>
      <c r="P29" s="108">
        <v>0.26041666666666702</v>
      </c>
      <c r="Q29" s="179">
        <f>O10</f>
        <v>24.541666666666668</v>
      </c>
      <c r="R29" s="21"/>
      <c r="S29" s="110"/>
      <c r="T29" s="108"/>
      <c r="U29" s="108">
        <v>0.26041666666666702</v>
      </c>
      <c r="V29" s="179">
        <f>T10</f>
        <v>17.200000000000003</v>
      </c>
      <c r="W29" s="21"/>
      <c r="X29" s="110"/>
      <c r="Y29" s="108"/>
      <c r="Z29" s="108">
        <v>0.26041666666666702</v>
      </c>
      <c r="AA29" s="179">
        <f>Y10</f>
        <v>-18.316666666666666</v>
      </c>
      <c r="AB29" s="21"/>
      <c r="AC29" s="110"/>
      <c r="AD29" s="108"/>
      <c r="AE29" s="108">
        <v>0.26041666666666702</v>
      </c>
      <c r="AF29" s="179">
        <f>AD10</f>
        <v>25.558333333333334</v>
      </c>
      <c r="AH29" s="110"/>
      <c r="AI29" s="108"/>
      <c r="AJ29" s="108">
        <v>0.26041666666666702</v>
      </c>
      <c r="AK29" s="20">
        <f>AI10</f>
        <v>0</v>
      </c>
      <c r="AM29" s="110"/>
      <c r="AN29" s="108"/>
      <c r="AO29" s="108">
        <v>0.26041666666666702</v>
      </c>
      <c r="AP29" s="20">
        <f>AN10</f>
        <v>0</v>
      </c>
    </row>
    <row r="30" spans="1:42" x14ac:dyDescent="0.3">
      <c r="A30" s="110">
        <v>0.25</v>
      </c>
      <c r="B30" s="175">
        <f t="shared" si="0"/>
        <v>-18.316666666666666</v>
      </c>
      <c r="D30" s="110"/>
      <c r="E30" s="108"/>
      <c r="F30" s="108">
        <v>0.27083333333333298</v>
      </c>
      <c r="G30" s="179">
        <f>E10</f>
        <v>13.1</v>
      </c>
      <c r="H30" s="21"/>
      <c r="I30" s="110"/>
      <c r="J30" s="108"/>
      <c r="K30" s="108">
        <v>0.27083333333333298</v>
      </c>
      <c r="L30" s="179">
        <f>J10</f>
        <v>19.825000000000003</v>
      </c>
      <c r="M30" s="21"/>
      <c r="N30" s="110"/>
      <c r="O30" s="108"/>
      <c r="P30" s="108">
        <v>0.27083333333333298</v>
      </c>
      <c r="Q30" s="179">
        <f>O10</f>
        <v>24.541666666666668</v>
      </c>
      <c r="R30" s="21"/>
      <c r="S30" s="110"/>
      <c r="U30" s="108">
        <v>0.27083333333333298</v>
      </c>
      <c r="V30" s="179">
        <f>T10</f>
        <v>17.200000000000003</v>
      </c>
      <c r="W30" s="21"/>
      <c r="X30" s="110"/>
      <c r="Y30" s="108"/>
      <c r="Z30" s="108">
        <v>0.27083333333333298</v>
      </c>
      <c r="AA30" s="179">
        <f>Y10</f>
        <v>-18.316666666666666</v>
      </c>
      <c r="AB30" s="21"/>
      <c r="AC30" s="110"/>
      <c r="AD30" s="108"/>
      <c r="AE30" s="108">
        <v>0.27083333333333298</v>
      </c>
      <c r="AF30" s="179">
        <f>AD10</f>
        <v>25.558333333333334</v>
      </c>
      <c r="AH30" s="110"/>
      <c r="AI30" s="108"/>
      <c r="AJ30" s="108">
        <v>0.27083333333333298</v>
      </c>
      <c r="AK30" s="20">
        <f>AI10</f>
        <v>0</v>
      </c>
      <c r="AM30" s="110"/>
      <c r="AN30" s="108"/>
      <c r="AO30" s="108">
        <v>0.27083333333333298</v>
      </c>
      <c r="AP30" s="20">
        <f>AN10</f>
        <v>0</v>
      </c>
    </row>
    <row r="31" spans="1:42" x14ac:dyDescent="0.3">
      <c r="A31" s="110">
        <v>0.26041666666666702</v>
      </c>
      <c r="B31" s="175">
        <f t="shared" si="0"/>
        <v>-18.316666666666666</v>
      </c>
      <c r="D31" s="110"/>
      <c r="E31" s="108"/>
      <c r="F31" s="108">
        <v>0.28125</v>
      </c>
      <c r="G31" s="179">
        <f>E10</f>
        <v>13.1</v>
      </c>
      <c r="H31" s="21"/>
      <c r="I31" s="110"/>
      <c r="J31" s="108"/>
      <c r="K31" s="108">
        <v>0.28125</v>
      </c>
      <c r="L31" s="179">
        <f>J10</f>
        <v>19.825000000000003</v>
      </c>
      <c r="M31" s="21"/>
      <c r="N31" s="110"/>
      <c r="O31" s="108"/>
      <c r="P31" s="108">
        <v>0.28125</v>
      </c>
      <c r="Q31" s="179">
        <f>O10</f>
        <v>24.541666666666668</v>
      </c>
      <c r="R31" s="21"/>
      <c r="S31" s="110"/>
      <c r="T31" s="217"/>
      <c r="U31" s="108">
        <v>0.28125</v>
      </c>
      <c r="V31" s="179">
        <f>T10</f>
        <v>17.200000000000003</v>
      </c>
      <c r="W31" s="21"/>
      <c r="X31" s="110"/>
      <c r="Y31" s="193"/>
      <c r="Z31" s="108">
        <v>0.28125</v>
      </c>
      <c r="AA31" s="179">
        <f>Y10</f>
        <v>-18.316666666666666</v>
      </c>
      <c r="AB31" s="21"/>
      <c r="AC31" s="110"/>
      <c r="AD31" s="193"/>
      <c r="AE31" s="108">
        <v>0.28125</v>
      </c>
      <c r="AF31" s="179">
        <f>AD10</f>
        <v>25.558333333333334</v>
      </c>
      <c r="AH31" s="110"/>
      <c r="AI31" s="108"/>
      <c r="AJ31" s="108">
        <v>0.28125</v>
      </c>
      <c r="AK31" s="20">
        <f>AI10</f>
        <v>0</v>
      </c>
      <c r="AM31" s="110"/>
      <c r="AN31" s="108"/>
      <c r="AO31" s="108">
        <v>0.28125</v>
      </c>
      <c r="AP31" s="20">
        <f>AN10</f>
        <v>0</v>
      </c>
    </row>
    <row r="32" spans="1:42" x14ac:dyDescent="0.3">
      <c r="A32" s="110">
        <v>0.27083333333333298</v>
      </c>
      <c r="B32" s="175">
        <f t="shared" si="0"/>
        <v>-18.316666666666666</v>
      </c>
      <c r="D32" s="110"/>
      <c r="E32" s="108"/>
      <c r="F32" s="108">
        <v>0.29166666666666702</v>
      </c>
      <c r="G32" s="179">
        <f>E11</f>
        <v>14.208333333333336</v>
      </c>
      <c r="H32" s="21"/>
      <c r="I32" s="110"/>
      <c r="J32" s="108"/>
      <c r="K32" s="108">
        <v>0.29166666666666702</v>
      </c>
      <c r="L32" s="179">
        <f>J11</f>
        <v>21.275000000000002</v>
      </c>
      <c r="M32" s="21"/>
      <c r="N32" s="110"/>
      <c r="O32" s="108"/>
      <c r="P32" s="108">
        <v>0.29166666666666702</v>
      </c>
      <c r="Q32" s="179">
        <f>O11</f>
        <v>25.058333333333337</v>
      </c>
      <c r="R32" s="21"/>
      <c r="S32" s="110"/>
      <c r="T32" s="217"/>
      <c r="U32" s="108">
        <v>0.29166666666666702</v>
      </c>
      <c r="V32" s="179">
        <f>T11</f>
        <v>17.200000000000003</v>
      </c>
      <c r="W32" s="21"/>
      <c r="X32" s="110"/>
      <c r="Y32" s="108"/>
      <c r="Z32" s="108">
        <v>0.29166666666666702</v>
      </c>
      <c r="AA32" s="179">
        <f>Y11</f>
        <v>-18.25</v>
      </c>
      <c r="AB32" s="21"/>
      <c r="AC32" s="110"/>
      <c r="AD32" s="108"/>
      <c r="AE32" s="108">
        <v>0.29166666666666702</v>
      </c>
      <c r="AF32" s="179">
        <f>AD11</f>
        <v>25.983333333333331</v>
      </c>
      <c r="AH32" s="110"/>
      <c r="AI32" s="108"/>
      <c r="AJ32" s="108">
        <v>0.29166666666666702</v>
      </c>
      <c r="AK32" s="20">
        <f>AI11</f>
        <v>0</v>
      </c>
      <c r="AM32" s="110"/>
      <c r="AN32" s="108"/>
      <c r="AO32" s="108">
        <v>0.29166666666666702</v>
      </c>
      <c r="AP32" s="20">
        <f>AN11</f>
        <v>0</v>
      </c>
    </row>
    <row r="33" spans="1:42" x14ac:dyDescent="0.3">
      <c r="A33" s="110">
        <v>0.28125</v>
      </c>
      <c r="B33" s="175">
        <f t="shared" si="0"/>
        <v>-18.316666666666666</v>
      </c>
      <c r="D33" s="110"/>
      <c r="E33" s="108"/>
      <c r="F33" s="108">
        <v>0.30208333333333298</v>
      </c>
      <c r="G33" s="179">
        <f>E11</f>
        <v>14.208333333333336</v>
      </c>
      <c r="H33" s="21"/>
      <c r="I33" s="110"/>
      <c r="J33" s="108"/>
      <c r="K33" s="108">
        <v>0.30208333333333298</v>
      </c>
      <c r="L33" s="179">
        <f>J11</f>
        <v>21.275000000000002</v>
      </c>
      <c r="M33" s="21"/>
      <c r="N33" s="110"/>
      <c r="O33" s="108"/>
      <c r="P33" s="108">
        <v>0.30208333333333298</v>
      </c>
      <c r="Q33" s="179">
        <f>O11</f>
        <v>25.058333333333337</v>
      </c>
      <c r="R33" s="21"/>
      <c r="S33" s="110"/>
      <c r="T33" s="108"/>
      <c r="U33" s="108">
        <v>0.30208333333333298</v>
      </c>
      <c r="V33" s="179">
        <f>T11</f>
        <v>17.200000000000003</v>
      </c>
      <c r="W33" s="21"/>
      <c r="X33" s="110"/>
      <c r="Y33" s="108"/>
      <c r="Z33" s="108">
        <v>0.30208333333333298</v>
      </c>
      <c r="AA33" s="179">
        <f>Y11</f>
        <v>-18.25</v>
      </c>
      <c r="AB33" s="21"/>
      <c r="AC33" s="110"/>
      <c r="AD33" s="108"/>
      <c r="AE33" s="108">
        <v>0.30208333333333298</v>
      </c>
      <c r="AF33" s="179">
        <f>AD11</f>
        <v>25.983333333333331</v>
      </c>
      <c r="AH33" s="110"/>
      <c r="AI33" s="108"/>
      <c r="AJ33" s="108">
        <v>0.30208333333333298</v>
      </c>
      <c r="AK33" s="20">
        <f>AI11</f>
        <v>0</v>
      </c>
      <c r="AM33" s="110"/>
      <c r="AN33" s="108"/>
      <c r="AO33" s="108">
        <v>0.30208333333333298</v>
      </c>
      <c r="AP33" s="20">
        <f>AN11</f>
        <v>0</v>
      </c>
    </row>
    <row r="34" spans="1:42" x14ac:dyDescent="0.3">
      <c r="A34" s="110">
        <v>0.29166666666666702</v>
      </c>
      <c r="B34" s="175">
        <f t="shared" si="0"/>
        <v>-18.25</v>
      </c>
      <c r="D34" s="110"/>
      <c r="E34" s="108"/>
      <c r="F34" s="108">
        <v>0.3125</v>
      </c>
      <c r="G34" s="179">
        <f>E11</f>
        <v>14.208333333333336</v>
      </c>
      <c r="H34" s="21"/>
      <c r="I34" s="110"/>
      <c r="J34" s="108"/>
      <c r="K34" s="108">
        <v>0.3125</v>
      </c>
      <c r="L34" s="179">
        <f>J11</f>
        <v>21.275000000000002</v>
      </c>
      <c r="M34" s="21"/>
      <c r="N34" s="110"/>
      <c r="O34" s="108"/>
      <c r="P34" s="108">
        <v>0.3125</v>
      </c>
      <c r="Q34" s="179">
        <f>O11</f>
        <v>25.058333333333337</v>
      </c>
      <c r="R34" s="21"/>
      <c r="S34" s="110"/>
      <c r="T34" s="108"/>
      <c r="U34" s="108">
        <v>0.3125</v>
      </c>
      <c r="V34" s="179">
        <f>T11</f>
        <v>17.200000000000003</v>
      </c>
      <c r="W34" s="21"/>
      <c r="X34" s="110"/>
      <c r="Y34" s="108"/>
      <c r="Z34" s="108">
        <v>0.3125</v>
      </c>
      <c r="AA34" s="179">
        <f>Y11</f>
        <v>-18.25</v>
      </c>
      <c r="AB34" s="21"/>
      <c r="AC34" s="110"/>
      <c r="AD34" s="108"/>
      <c r="AE34" s="108">
        <v>0.3125</v>
      </c>
      <c r="AF34" s="179">
        <f>AD11</f>
        <v>25.983333333333331</v>
      </c>
      <c r="AH34" s="110"/>
      <c r="AI34" s="108"/>
      <c r="AJ34" s="108">
        <v>0.3125</v>
      </c>
      <c r="AK34" s="20">
        <f>AI11</f>
        <v>0</v>
      </c>
      <c r="AM34" s="110"/>
      <c r="AN34" s="108"/>
      <c r="AO34" s="108">
        <v>0.3125</v>
      </c>
      <c r="AP34" s="20">
        <f>AN11</f>
        <v>0</v>
      </c>
    </row>
    <row r="35" spans="1:42" x14ac:dyDescent="0.3">
      <c r="A35" s="110">
        <v>0.30208333333333298</v>
      </c>
      <c r="B35" s="175">
        <f t="shared" si="0"/>
        <v>-18.25</v>
      </c>
      <c r="D35" s="110"/>
      <c r="E35" s="108"/>
      <c r="F35" s="108">
        <v>0.32291666666666702</v>
      </c>
      <c r="G35" s="179">
        <f>E11</f>
        <v>14.208333333333336</v>
      </c>
      <c r="H35" s="21"/>
      <c r="I35" s="110"/>
      <c r="J35" s="108"/>
      <c r="K35" s="108">
        <v>0.32291666666666702</v>
      </c>
      <c r="L35" s="179">
        <f>J11</f>
        <v>21.275000000000002</v>
      </c>
      <c r="M35" s="21"/>
      <c r="N35" s="110"/>
      <c r="O35" s="108"/>
      <c r="P35" s="108">
        <v>0.32291666666666702</v>
      </c>
      <c r="Q35" s="179">
        <f>O11</f>
        <v>25.058333333333337</v>
      </c>
      <c r="R35" s="21"/>
      <c r="S35" s="110"/>
      <c r="T35" s="108"/>
      <c r="U35" s="108">
        <v>0.32291666666666702</v>
      </c>
      <c r="V35" s="179">
        <f>T11</f>
        <v>17.200000000000003</v>
      </c>
      <c r="W35" s="21"/>
      <c r="X35" s="110"/>
      <c r="Y35" s="108"/>
      <c r="Z35" s="108">
        <v>0.32291666666666702</v>
      </c>
      <c r="AA35" s="179">
        <f>Y11</f>
        <v>-18.25</v>
      </c>
      <c r="AB35" s="21"/>
      <c r="AC35" s="110"/>
      <c r="AD35" s="108"/>
      <c r="AE35" s="108">
        <v>0.32291666666666702</v>
      </c>
      <c r="AF35" s="179">
        <f>AD11</f>
        <v>25.983333333333331</v>
      </c>
      <c r="AH35" s="110"/>
      <c r="AI35" s="108"/>
      <c r="AJ35" s="108">
        <v>0.32291666666666702</v>
      </c>
      <c r="AK35" s="20">
        <f>AI11</f>
        <v>0</v>
      </c>
      <c r="AM35" s="110"/>
      <c r="AN35" s="108"/>
      <c r="AO35" s="108">
        <v>0.32291666666666702</v>
      </c>
      <c r="AP35" s="20">
        <f>AN11</f>
        <v>0</v>
      </c>
    </row>
    <row r="36" spans="1:42" x14ac:dyDescent="0.3">
      <c r="A36" s="110">
        <v>0.3125</v>
      </c>
      <c r="B36" s="175">
        <f t="shared" si="0"/>
        <v>-18.25</v>
      </c>
      <c r="D36" s="110"/>
      <c r="E36" s="108"/>
      <c r="F36" s="108">
        <v>0.33333333333333298</v>
      </c>
      <c r="G36" s="179">
        <f>E12</f>
        <v>15.466666666666669</v>
      </c>
      <c r="H36" s="21"/>
      <c r="I36" s="110"/>
      <c r="J36" s="108"/>
      <c r="K36" s="108">
        <v>0.33333333333333298</v>
      </c>
      <c r="L36" s="179">
        <f>J12</f>
        <v>23.333333333333336</v>
      </c>
      <c r="M36" s="21"/>
      <c r="N36" s="110"/>
      <c r="O36" s="108"/>
      <c r="P36" s="108">
        <v>0.33333333333333298</v>
      </c>
      <c r="Q36" s="179">
        <f>O12</f>
        <v>25.916666666666671</v>
      </c>
      <c r="R36" s="21"/>
      <c r="S36" s="110"/>
      <c r="T36" s="108"/>
      <c r="U36" s="108">
        <v>0.33333333333333298</v>
      </c>
      <c r="V36" s="179">
        <f>T12</f>
        <v>17.258333333333333</v>
      </c>
      <c r="W36" s="21"/>
      <c r="X36" s="110"/>
      <c r="Y36" s="108"/>
      <c r="Z36" s="108">
        <v>0.33333333333333298</v>
      </c>
      <c r="AA36" s="179">
        <f>Y12</f>
        <v>-16.808333333333334</v>
      </c>
      <c r="AB36" s="21"/>
      <c r="AC36" s="110"/>
      <c r="AD36" s="108"/>
      <c r="AE36" s="108">
        <v>0.33333333333333298</v>
      </c>
      <c r="AF36" s="179">
        <f>AD12</f>
        <v>27.183333333333337</v>
      </c>
      <c r="AH36" s="110"/>
      <c r="AI36" s="108"/>
      <c r="AJ36" s="108">
        <v>0.33333333333333298</v>
      </c>
      <c r="AK36" s="20">
        <f>AI12</f>
        <v>0</v>
      </c>
      <c r="AM36" s="110"/>
      <c r="AN36" s="108"/>
      <c r="AO36" s="108">
        <v>0.33333333333333298</v>
      </c>
      <c r="AP36" s="20">
        <f>AN12</f>
        <v>0</v>
      </c>
    </row>
    <row r="37" spans="1:42" x14ac:dyDescent="0.3">
      <c r="A37" s="110">
        <v>0.32291666666666702</v>
      </c>
      <c r="B37" s="175">
        <f t="shared" si="0"/>
        <v>-18.25</v>
      </c>
      <c r="D37" s="110"/>
      <c r="E37" s="108"/>
      <c r="F37" s="108">
        <v>0.34375</v>
      </c>
      <c r="G37" s="179">
        <f>E12</f>
        <v>15.466666666666669</v>
      </c>
      <c r="H37" s="21"/>
      <c r="I37" s="110"/>
      <c r="J37" s="108"/>
      <c r="K37" s="108">
        <v>0.34375</v>
      </c>
      <c r="L37" s="179">
        <f>J12</f>
        <v>23.333333333333336</v>
      </c>
      <c r="M37" s="21"/>
      <c r="N37" s="110"/>
      <c r="O37" s="108"/>
      <c r="P37" s="108">
        <v>0.34375</v>
      </c>
      <c r="Q37" s="179">
        <f>O12</f>
        <v>25.916666666666671</v>
      </c>
      <c r="R37" s="21"/>
      <c r="S37" s="110"/>
      <c r="T37" s="108"/>
      <c r="U37" s="108">
        <v>0.34375</v>
      </c>
      <c r="V37" s="179">
        <f>T12</f>
        <v>17.258333333333333</v>
      </c>
      <c r="W37" s="21"/>
      <c r="X37" s="110"/>
      <c r="Y37" s="108"/>
      <c r="Z37" s="108">
        <v>0.34375</v>
      </c>
      <c r="AA37" s="179">
        <f>Y12</f>
        <v>-16.808333333333334</v>
      </c>
      <c r="AB37" s="21"/>
      <c r="AC37" s="110"/>
      <c r="AD37" s="108"/>
      <c r="AE37" s="108">
        <v>0.34375</v>
      </c>
      <c r="AF37" s="179">
        <f>AD12</f>
        <v>27.183333333333337</v>
      </c>
      <c r="AH37" s="110"/>
      <c r="AI37" s="108"/>
      <c r="AJ37" s="108">
        <v>0.34375</v>
      </c>
      <c r="AK37" s="20">
        <f>AI12</f>
        <v>0</v>
      </c>
      <c r="AM37" s="110"/>
      <c r="AN37" s="108"/>
      <c r="AO37" s="108">
        <v>0.34375</v>
      </c>
      <c r="AP37" s="20">
        <f>AN12</f>
        <v>0</v>
      </c>
    </row>
    <row r="38" spans="1:42" x14ac:dyDescent="0.3">
      <c r="A38" s="110">
        <v>0.33333333333333298</v>
      </c>
      <c r="B38" s="175">
        <f t="shared" ref="B38:B69" si="1">IF($B$3=$D$2,G36,IF($B$3=$I$2,L36,IF($B$3=$N$2,Q36,IF($B$3=$S$2,V36,IF($B$3=$X$2,AA36,IF($B$3=$AC$2,AF36,IF($B$3=$AH$2,AK36,IF($B$3=$AM$2,AP36,0))))))))</f>
        <v>-16.808333333333334</v>
      </c>
      <c r="D38" s="110"/>
      <c r="E38" s="108"/>
      <c r="F38" s="108">
        <v>0.35416666666666702</v>
      </c>
      <c r="G38" s="179">
        <f>E12</f>
        <v>15.466666666666669</v>
      </c>
      <c r="H38" s="21"/>
      <c r="I38" s="110"/>
      <c r="J38" s="108"/>
      <c r="K38" s="108">
        <v>0.35416666666666702</v>
      </c>
      <c r="L38" s="179">
        <f>J12</f>
        <v>23.333333333333336</v>
      </c>
      <c r="M38" s="21"/>
      <c r="N38" s="110"/>
      <c r="O38" s="108"/>
      <c r="P38" s="108">
        <v>0.35416666666666702</v>
      </c>
      <c r="Q38" s="179">
        <f>O12</f>
        <v>25.916666666666671</v>
      </c>
      <c r="R38" s="21"/>
      <c r="S38" s="110"/>
      <c r="T38" s="108"/>
      <c r="U38" s="108">
        <v>0.35416666666666702</v>
      </c>
      <c r="V38" s="179">
        <f>T12</f>
        <v>17.258333333333333</v>
      </c>
      <c r="W38" s="21"/>
      <c r="X38" s="110"/>
      <c r="Y38" s="108"/>
      <c r="Z38" s="108">
        <v>0.35416666666666702</v>
      </c>
      <c r="AA38" s="179">
        <f>Y12</f>
        <v>-16.808333333333334</v>
      </c>
      <c r="AB38" s="21"/>
      <c r="AC38" s="110"/>
      <c r="AD38" s="108"/>
      <c r="AE38" s="108">
        <v>0.35416666666666702</v>
      </c>
      <c r="AF38" s="179">
        <f>AD12</f>
        <v>27.183333333333337</v>
      </c>
      <c r="AH38" s="110"/>
      <c r="AI38" s="108"/>
      <c r="AJ38" s="108">
        <v>0.35416666666666702</v>
      </c>
      <c r="AK38" s="20">
        <f>AI12</f>
        <v>0</v>
      </c>
      <c r="AM38" s="110"/>
      <c r="AN38" s="108"/>
      <c r="AO38" s="108">
        <v>0.35416666666666702</v>
      </c>
      <c r="AP38" s="20">
        <f>AN12</f>
        <v>0</v>
      </c>
    </row>
    <row r="39" spans="1:42" x14ac:dyDescent="0.3">
      <c r="A39" s="110">
        <v>0.34375</v>
      </c>
      <c r="B39" s="175">
        <f t="shared" si="1"/>
        <v>-16.808333333333334</v>
      </c>
      <c r="D39" s="110"/>
      <c r="E39" s="108"/>
      <c r="F39" s="108">
        <v>0.36458333333333298</v>
      </c>
      <c r="G39" s="179">
        <f>E12</f>
        <v>15.466666666666669</v>
      </c>
      <c r="H39" s="21"/>
      <c r="I39" s="110"/>
      <c r="J39" s="108"/>
      <c r="K39" s="108">
        <v>0.36458333333333298</v>
      </c>
      <c r="L39" s="179">
        <f>J12</f>
        <v>23.333333333333336</v>
      </c>
      <c r="M39" s="21"/>
      <c r="N39" s="110"/>
      <c r="O39" s="108"/>
      <c r="P39" s="108">
        <v>0.36458333333333298</v>
      </c>
      <c r="Q39" s="179">
        <f>O12</f>
        <v>25.916666666666671</v>
      </c>
      <c r="R39" s="21"/>
      <c r="S39" s="110"/>
      <c r="T39" s="108"/>
      <c r="U39" s="108">
        <v>0.36458333333333298</v>
      </c>
      <c r="V39" s="179">
        <f>T12</f>
        <v>17.258333333333333</v>
      </c>
      <c r="W39" s="21"/>
      <c r="X39" s="110"/>
      <c r="Y39" s="108"/>
      <c r="Z39" s="108">
        <v>0.36458333333333298</v>
      </c>
      <c r="AA39" s="179">
        <f>Y12</f>
        <v>-16.808333333333334</v>
      </c>
      <c r="AB39" s="21"/>
      <c r="AC39" s="110"/>
      <c r="AD39" s="108"/>
      <c r="AE39" s="108">
        <v>0.36458333333333298</v>
      </c>
      <c r="AF39" s="179">
        <f>AD12</f>
        <v>27.183333333333337</v>
      </c>
      <c r="AH39" s="110"/>
      <c r="AI39" s="108"/>
      <c r="AJ39" s="108">
        <v>0.36458333333333298</v>
      </c>
      <c r="AK39" s="20">
        <f>AI12</f>
        <v>0</v>
      </c>
      <c r="AM39" s="110"/>
      <c r="AN39" s="108"/>
      <c r="AO39" s="108">
        <v>0.36458333333333298</v>
      </c>
      <c r="AP39" s="20">
        <f>AN12</f>
        <v>0</v>
      </c>
    </row>
    <row r="40" spans="1:42" x14ac:dyDescent="0.3">
      <c r="A40" s="110">
        <v>0.35416666666666702</v>
      </c>
      <c r="B40" s="175">
        <f t="shared" si="1"/>
        <v>-16.808333333333334</v>
      </c>
      <c r="D40" s="110"/>
      <c r="E40" s="108"/>
      <c r="F40" s="108">
        <v>0.375</v>
      </c>
      <c r="G40" s="179">
        <f>E13</f>
        <v>16.733333333333334</v>
      </c>
      <c r="H40" s="21"/>
      <c r="I40" s="110"/>
      <c r="J40" s="108"/>
      <c r="K40" s="108">
        <v>0.375</v>
      </c>
      <c r="L40" s="179">
        <f>J13</f>
        <v>24.641666666666669</v>
      </c>
      <c r="M40" s="21"/>
      <c r="N40" s="110"/>
      <c r="O40" s="108"/>
      <c r="P40" s="108">
        <v>0.375</v>
      </c>
      <c r="Q40" s="179">
        <f>O13</f>
        <v>28.016666666666673</v>
      </c>
      <c r="R40" s="21"/>
      <c r="S40" s="110"/>
      <c r="T40" s="108"/>
      <c r="U40" s="108">
        <v>0.375</v>
      </c>
      <c r="V40" s="179">
        <f>T13</f>
        <v>17.883333333333333</v>
      </c>
      <c r="W40" s="21"/>
      <c r="X40" s="110"/>
      <c r="Y40" s="108"/>
      <c r="Z40" s="108">
        <v>0.375</v>
      </c>
      <c r="AA40" s="179">
        <f>Y13</f>
        <v>-13.441666666666668</v>
      </c>
      <c r="AB40" s="21"/>
      <c r="AC40" s="110"/>
      <c r="AD40" s="108"/>
      <c r="AE40" s="108">
        <v>0.375</v>
      </c>
      <c r="AF40" s="179">
        <f>AD13</f>
        <v>29.266666666666673</v>
      </c>
      <c r="AH40" s="110"/>
      <c r="AI40" s="108"/>
      <c r="AJ40" s="108">
        <v>0.375</v>
      </c>
      <c r="AK40" s="20">
        <f>AI13</f>
        <v>0</v>
      </c>
      <c r="AM40" s="110"/>
      <c r="AN40" s="108"/>
      <c r="AO40" s="108">
        <v>0.375</v>
      </c>
      <c r="AP40" s="20">
        <f>AN13</f>
        <v>0</v>
      </c>
    </row>
    <row r="41" spans="1:42" x14ac:dyDescent="0.3">
      <c r="A41" s="110">
        <v>0.36458333333333298</v>
      </c>
      <c r="B41" s="175">
        <f t="shared" si="1"/>
        <v>-16.808333333333334</v>
      </c>
      <c r="D41" s="110"/>
      <c r="E41" s="108"/>
      <c r="F41" s="108">
        <v>0.38541666666666702</v>
      </c>
      <c r="G41" s="179">
        <f>E13</f>
        <v>16.733333333333334</v>
      </c>
      <c r="H41" s="21"/>
      <c r="I41" s="110"/>
      <c r="J41" s="108"/>
      <c r="K41" s="108">
        <v>0.38541666666666702</v>
      </c>
      <c r="L41" s="179">
        <f>J13</f>
        <v>24.641666666666669</v>
      </c>
      <c r="M41" s="21"/>
      <c r="N41" s="110"/>
      <c r="O41" s="108"/>
      <c r="P41" s="108">
        <v>0.38541666666666702</v>
      </c>
      <c r="Q41" s="179">
        <f>O13</f>
        <v>28.016666666666673</v>
      </c>
      <c r="R41" s="21"/>
      <c r="S41" s="110"/>
      <c r="T41" s="108"/>
      <c r="U41" s="108">
        <v>0.38541666666666702</v>
      </c>
      <c r="V41" s="179">
        <f>T13</f>
        <v>17.883333333333333</v>
      </c>
      <c r="W41" s="21"/>
      <c r="X41" s="110"/>
      <c r="Y41" s="108"/>
      <c r="Z41" s="108">
        <v>0.38541666666666702</v>
      </c>
      <c r="AA41" s="179">
        <f>Y13</f>
        <v>-13.441666666666668</v>
      </c>
      <c r="AB41" s="21"/>
      <c r="AC41" s="110"/>
      <c r="AD41" s="108"/>
      <c r="AE41" s="108">
        <v>0.38541666666666702</v>
      </c>
      <c r="AF41" s="179">
        <f>AD13</f>
        <v>29.266666666666673</v>
      </c>
      <c r="AH41" s="110"/>
      <c r="AI41" s="108"/>
      <c r="AJ41" s="108">
        <v>0.38541666666666702</v>
      </c>
      <c r="AK41" s="20">
        <f>AI13</f>
        <v>0</v>
      </c>
      <c r="AM41" s="110"/>
      <c r="AN41" s="108"/>
      <c r="AO41" s="108">
        <v>0.38541666666666702</v>
      </c>
      <c r="AP41" s="20">
        <f>AN13</f>
        <v>0</v>
      </c>
    </row>
    <row r="42" spans="1:42" x14ac:dyDescent="0.3">
      <c r="A42" s="110">
        <v>0.375</v>
      </c>
      <c r="B42" s="175">
        <f t="shared" si="1"/>
        <v>-13.441666666666668</v>
      </c>
      <c r="D42" s="110"/>
      <c r="E42" s="108"/>
      <c r="F42" s="108">
        <v>0.39583333333333298</v>
      </c>
      <c r="G42" s="179">
        <f>E13</f>
        <v>16.733333333333334</v>
      </c>
      <c r="H42" s="21"/>
      <c r="I42" s="110"/>
      <c r="J42" s="108"/>
      <c r="K42" s="108">
        <v>0.39583333333333298</v>
      </c>
      <c r="L42" s="179">
        <f>J13</f>
        <v>24.641666666666669</v>
      </c>
      <c r="M42" s="21"/>
      <c r="N42" s="110"/>
      <c r="O42" s="108"/>
      <c r="P42" s="108">
        <v>0.39583333333333298</v>
      </c>
      <c r="Q42" s="179">
        <f>O13</f>
        <v>28.016666666666673</v>
      </c>
      <c r="R42" s="21"/>
      <c r="S42" s="110"/>
      <c r="T42" s="108"/>
      <c r="U42" s="108">
        <v>0.39583333333333298</v>
      </c>
      <c r="V42" s="179">
        <f>T13</f>
        <v>17.883333333333333</v>
      </c>
      <c r="W42" s="21"/>
      <c r="X42" s="110"/>
      <c r="Y42" s="108"/>
      <c r="Z42" s="108">
        <v>0.39583333333333298</v>
      </c>
      <c r="AA42" s="179">
        <f>Y13</f>
        <v>-13.441666666666668</v>
      </c>
      <c r="AB42" s="21"/>
      <c r="AC42" s="110"/>
      <c r="AD42" s="108"/>
      <c r="AE42" s="108">
        <v>0.39583333333333298</v>
      </c>
      <c r="AF42" s="179">
        <f>AD13</f>
        <v>29.266666666666673</v>
      </c>
      <c r="AH42" s="110"/>
      <c r="AI42" s="108"/>
      <c r="AJ42" s="108">
        <v>0.39583333333333298</v>
      </c>
      <c r="AK42" s="20">
        <f>AI13</f>
        <v>0</v>
      </c>
      <c r="AM42" s="110"/>
      <c r="AN42" s="108"/>
      <c r="AO42" s="108">
        <v>0.39583333333333298</v>
      </c>
      <c r="AP42" s="20">
        <f>AN13</f>
        <v>0</v>
      </c>
    </row>
    <row r="43" spans="1:42" x14ac:dyDescent="0.3">
      <c r="A43" s="110">
        <v>0.38541666666666702</v>
      </c>
      <c r="B43" s="175">
        <f t="shared" si="1"/>
        <v>-13.441666666666668</v>
      </c>
      <c r="D43" s="110"/>
      <c r="E43" s="108"/>
      <c r="F43" s="108">
        <v>0.40625</v>
      </c>
      <c r="G43" s="179">
        <f>E13</f>
        <v>16.733333333333334</v>
      </c>
      <c r="H43" s="21"/>
      <c r="I43" s="110"/>
      <c r="J43" s="108"/>
      <c r="K43" s="108">
        <v>0.40625</v>
      </c>
      <c r="L43" s="179">
        <f>J13</f>
        <v>24.641666666666669</v>
      </c>
      <c r="M43" s="21"/>
      <c r="N43" s="110"/>
      <c r="O43" s="108"/>
      <c r="P43" s="108">
        <v>0.40625</v>
      </c>
      <c r="Q43" s="179">
        <f>O13</f>
        <v>28.016666666666673</v>
      </c>
      <c r="R43" s="21"/>
      <c r="S43" s="110"/>
      <c r="T43" s="108"/>
      <c r="U43" s="108">
        <v>0.40625</v>
      </c>
      <c r="V43" s="179">
        <f>T13</f>
        <v>17.883333333333333</v>
      </c>
      <c r="W43" s="21"/>
      <c r="X43" s="110"/>
      <c r="Y43" s="108"/>
      <c r="Z43" s="108">
        <v>0.40625</v>
      </c>
      <c r="AA43" s="179">
        <f>Y13</f>
        <v>-13.441666666666668</v>
      </c>
      <c r="AB43" s="21"/>
      <c r="AC43" s="110"/>
      <c r="AD43" s="108"/>
      <c r="AE43" s="108">
        <v>0.40625</v>
      </c>
      <c r="AF43" s="179">
        <f>AD13</f>
        <v>29.266666666666673</v>
      </c>
      <c r="AH43" s="110"/>
      <c r="AI43" s="108"/>
      <c r="AJ43" s="108">
        <v>0.40625</v>
      </c>
      <c r="AK43" s="20">
        <f>AI13</f>
        <v>0</v>
      </c>
      <c r="AM43" s="110"/>
      <c r="AN43" s="108"/>
      <c r="AO43" s="108">
        <v>0.40625</v>
      </c>
      <c r="AP43" s="20">
        <f>AN13</f>
        <v>0</v>
      </c>
    </row>
    <row r="44" spans="1:42" x14ac:dyDescent="0.3">
      <c r="A44" s="110">
        <v>0.39583333333333298</v>
      </c>
      <c r="B44" s="175">
        <f t="shared" si="1"/>
        <v>-13.441666666666668</v>
      </c>
      <c r="D44" s="110"/>
      <c r="E44" s="108"/>
      <c r="F44" s="108">
        <v>0.41666666666666702</v>
      </c>
      <c r="G44" s="179">
        <f>E14</f>
        <v>18.333333333333336</v>
      </c>
      <c r="H44" s="21"/>
      <c r="I44" s="110"/>
      <c r="J44" s="108"/>
      <c r="K44" s="108">
        <v>0.41666666666666702</v>
      </c>
      <c r="L44" s="179">
        <f>J14</f>
        <v>25.741666666666664</v>
      </c>
      <c r="M44" s="21"/>
      <c r="N44" s="110"/>
      <c r="O44" s="108"/>
      <c r="P44" s="108">
        <v>0.41666666666666702</v>
      </c>
      <c r="Q44" s="179">
        <f>O14</f>
        <v>30.033333333333335</v>
      </c>
      <c r="R44" s="21"/>
      <c r="S44" s="110"/>
      <c r="T44" s="108"/>
      <c r="U44" s="108">
        <v>0.41666666666666702</v>
      </c>
      <c r="V44" s="179">
        <f>T14</f>
        <v>18.3</v>
      </c>
      <c r="W44" s="21"/>
      <c r="X44" s="110"/>
      <c r="Y44" s="108"/>
      <c r="Z44" s="108">
        <v>0.41666666666666702</v>
      </c>
      <c r="AA44" s="179">
        <f>Y14</f>
        <v>-10.266666666666667</v>
      </c>
      <c r="AB44" s="21"/>
      <c r="AC44" s="110"/>
      <c r="AD44" s="108"/>
      <c r="AE44" s="108">
        <v>0.41666666666666702</v>
      </c>
      <c r="AF44" s="179">
        <f>AD14</f>
        <v>30.741666666666664</v>
      </c>
      <c r="AH44" s="110"/>
      <c r="AI44" s="108"/>
      <c r="AJ44" s="108">
        <v>0.41666666666666702</v>
      </c>
      <c r="AK44" s="20">
        <f>AI14</f>
        <v>0</v>
      </c>
      <c r="AM44" s="110"/>
      <c r="AN44" s="108"/>
      <c r="AO44" s="108">
        <v>0.41666666666666702</v>
      </c>
      <c r="AP44" s="20">
        <f>AN14</f>
        <v>0</v>
      </c>
    </row>
    <row r="45" spans="1:42" x14ac:dyDescent="0.3">
      <c r="A45" s="110">
        <v>0.40625</v>
      </c>
      <c r="B45" s="175">
        <f t="shared" si="1"/>
        <v>-13.441666666666668</v>
      </c>
      <c r="D45" s="110"/>
      <c r="E45" s="108"/>
      <c r="F45" s="108">
        <v>0.42708333333333298</v>
      </c>
      <c r="G45" s="179">
        <f>E14</f>
        <v>18.333333333333336</v>
      </c>
      <c r="H45" s="21"/>
      <c r="I45" s="110"/>
      <c r="J45" s="108"/>
      <c r="K45" s="108">
        <v>0.42708333333333298</v>
      </c>
      <c r="L45" s="179">
        <f>J14</f>
        <v>25.741666666666664</v>
      </c>
      <c r="M45" s="21"/>
      <c r="N45" s="110"/>
      <c r="O45" s="108"/>
      <c r="P45" s="108">
        <v>0.42708333333333298</v>
      </c>
      <c r="Q45" s="179">
        <f>O14</f>
        <v>30.033333333333335</v>
      </c>
      <c r="R45" s="21"/>
      <c r="S45" s="110"/>
      <c r="T45" s="108"/>
      <c r="U45" s="108">
        <v>0.42708333333333298</v>
      </c>
      <c r="V45" s="179">
        <f>T14</f>
        <v>18.3</v>
      </c>
      <c r="W45" s="21"/>
      <c r="X45" s="110"/>
      <c r="Y45" s="108"/>
      <c r="Z45" s="108">
        <v>0.42708333333333298</v>
      </c>
      <c r="AA45" s="179">
        <f>Y14</f>
        <v>-10.266666666666667</v>
      </c>
      <c r="AB45" s="21"/>
      <c r="AC45" s="110"/>
      <c r="AD45" s="108"/>
      <c r="AE45" s="108">
        <v>0.42708333333333298</v>
      </c>
      <c r="AF45" s="179">
        <f>AD14</f>
        <v>30.741666666666664</v>
      </c>
      <c r="AH45" s="110"/>
      <c r="AI45" s="108"/>
      <c r="AJ45" s="108">
        <v>0.42708333333333298</v>
      </c>
      <c r="AK45" s="20">
        <f>AI14</f>
        <v>0</v>
      </c>
      <c r="AM45" s="110"/>
      <c r="AN45" s="108"/>
      <c r="AO45" s="108">
        <v>0.42708333333333298</v>
      </c>
      <c r="AP45" s="20">
        <f>AN14</f>
        <v>0</v>
      </c>
    </row>
    <row r="46" spans="1:42" x14ac:dyDescent="0.3">
      <c r="A46" s="110">
        <v>0.41666666666666702</v>
      </c>
      <c r="B46" s="175">
        <f t="shared" si="1"/>
        <v>-10.266666666666667</v>
      </c>
      <c r="D46" s="110"/>
      <c r="E46" s="108"/>
      <c r="F46" s="108">
        <v>0.4375</v>
      </c>
      <c r="G46" s="179">
        <f>E14</f>
        <v>18.333333333333336</v>
      </c>
      <c r="H46" s="21"/>
      <c r="I46" s="110"/>
      <c r="J46" s="108"/>
      <c r="K46" s="108">
        <v>0.4375</v>
      </c>
      <c r="L46" s="179">
        <f>J14</f>
        <v>25.741666666666664</v>
      </c>
      <c r="M46" s="21"/>
      <c r="N46" s="110"/>
      <c r="O46" s="108"/>
      <c r="P46" s="108">
        <v>0.4375</v>
      </c>
      <c r="Q46" s="179">
        <f>O14</f>
        <v>30.033333333333335</v>
      </c>
      <c r="R46" s="21"/>
      <c r="S46" s="110"/>
      <c r="T46" s="108"/>
      <c r="U46" s="108">
        <v>0.4375</v>
      </c>
      <c r="V46" s="179">
        <f>T14</f>
        <v>18.3</v>
      </c>
      <c r="W46" s="21"/>
      <c r="X46" s="110"/>
      <c r="Y46" s="108"/>
      <c r="Z46" s="108">
        <v>0.4375</v>
      </c>
      <c r="AA46" s="179">
        <f>Y14</f>
        <v>-10.266666666666667</v>
      </c>
      <c r="AB46" s="21"/>
      <c r="AC46" s="110"/>
      <c r="AD46" s="108"/>
      <c r="AE46" s="108">
        <v>0.4375</v>
      </c>
      <c r="AF46" s="179">
        <f>AD14</f>
        <v>30.741666666666664</v>
      </c>
      <c r="AH46" s="110"/>
      <c r="AI46" s="108"/>
      <c r="AJ46" s="108">
        <v>0.4375</v>
      </c>
      <c r="AK46" s="20">
        <f>AI14</f>
        <v>0</v>
      </c>
      <c r="AM46" s="110"/>
      <c r="AN46" s="108"/>
      <c r="AO46" s="108">
        <v>0.4375</v>
      </c>
      <c r="AP46" s="20">
        <f>AN14</f>
        <v>0</v>
      </c>
    </row>
    <row r="47" spans="1:42" x14ac:dyDescent="0.3">
      <c r="A47" s="110">
        <v>0.42708333333333298</v>
      </c>
      <c r="B47" s="175">
        <f t="shared" si="1"/>
        <v>-10.266666666666667</v>
      </c>
      <c r="D47" s="110"/>
      <c r="E47" s="108"/>
      <c r="F47" s="108">
        <v>0.44791666666666702</v>
      </c>
      <c r="G47" s="179">
        <f>E14</f>
        <v>18.333333333333336</v>
      </c>
      <c r="H47" s="21"/>
      <c r="I47" s="110"/>
      <c r="J47" s="108"/>
      <c r="K47" s="108">
        <v>0.44791666666666702</v>
      </c>
      <c r="L47" s="179">
        <f>J14</f>
        <v>25.741666666666664</v>
      </c>
      <c r="M47" s="21"/>
      <c r="N47" s="110"/>
      <c r="O47" s="108"/>
      <c r="P47" s="108">
        <v>0.44791666666666702</v>
      </c>
      <c r="Q47" s="179">
        <f>O14</f>
        <v>30.033333333333335</v>
      </c>
      <c r="R47" s="21"/>
      <c r="S47" s="110"/>
      <c r="T47" s="108"/>
      <c r="U47" s="108">
        <v>0.44791666666666702</v>
      </c>
      <c r="V47" s="179">
        <f>T14</f>
        <v>18.3</v>
      </c>
      <c r="W47" s="21"/>
      <c r="X47" s="110"/>
      <c r="Y47" s="108"/>
      <c r="Z47" s="108">
        <v>0.44791666666666702</v>
      </c>
      <c r="AA47" s="179">
        <f>Y14</f>
        <v>-10.266666666666667</v>
      </c>
      <c r="AB47" s="21"/>
      <c r="AC47" s="110"/>
      <c r="AD47" s="108"/>
      <c r="AE47" s="108">
        <v>0.44791666666666702</v>
      </c>
      <c r="AF47" s="179">
        <f>AD14</f>
        <v>30.741666666666664</v>
      </c>
      <c r="AH47" s="110"/>
      <c r="AI47" s="108"/>
      <c r="AJ47" s="108">
        <v>0.44791666666666702</v>
      </c>
      <c r="AK47" s="20">
        <f>AI14</f>
        <v>0</v>
      </c>
      <c r="AM47" s="110"/>
      <c r="AN47" s="108"/>
      <c r="AO47" s="108">
        <v>0.44791666666666702</v>
      </c>
      <c r="AP47" s="20">
        <f>AN14</f>
        <v>0</v>
      </c>
    </row>
    <row r="48" spans="1:42" x14ac:dyDescent="0.3">
      <c r="A48" s="110">
        <v>0.4375</v>
      </c>
      <c r="B48" s="175">
        <f t="shared" si="1"/>
        <v>-10.266666666666667</v>
      </c>
      <c r="D48" s="110"/>
      <c r="E48" s="108"/>
      <c r="F48" s="108">
        <v>0.45833333333333298</v>
      </c>
      <c r="G48" s="179">
        <f>E15</f>
        <v>19.583333333333336</v>
      </c>
      <c r="H48" s="21"/>
      <c r="I48" s="110"/>
      <c r="J48" s="108"/>
      <c r="K48" s="108">
        <v>0.45833333333333298</v>
      </c>
      <c r="L48" s="179">
        <f>J15</f>
        <v>26.491666666666671</v>
      </c>
      <c r="M48" s="21"/>
      <c r="N48" s="110"/>
      <c r="O48" s="108"/>
      <c r="P48" s="108">
        <v>0.45833333333333298</v>
      </c>
      <c r="Q48" s="179">
        <f>O15</f>
        <v>30.991666666666667</v>
      </c>
      <c r="R48" s="21"/>
      <c r="S48" s="110"/>
      <c r="T48" s="108"/>
      <c r="U48" s="108">
        <v>0.45833333333333298</v>
      </c>
      <c r="V48" s="179">
        <f>T15</f>
        <v>17.658333333333331</v>
      </c>
      <c r="W48" s="21"/>
      <c r="X48" s="110"/>
      <c r="Y48" s="108"/>
      <c r="Z48" s="108">
        <v>0.45833333333333298</v>
      </c>
      <c r="AA48" s="179">
        <f>Y15</f>
        <v>-7.991666666666668</v>
      </c>
      <c r="AB48" s="21"/>
      <c r="AC48" s="110"/>
      <c r="AD48" s="108"/>
      <c r="AE48" s="108">
        <v>0.45833333333333298</v>
      </c>
      <c r="AF48" s="179">
        <f>AD15</f>
        <v>31.841666666666669</v>
      </c>
      <c r="AH48" s="110"/>
      <c r="AI48" s="108"/>
      <c r="AJ48" s="108">
        <v>0.45833333333333298</v>
      </c>
      <c r="AK48" s="20">
        <f>AI15</f>
        <v>0</v>
      </c>
      <c r="AM48" s="110"/>
      <c r="AN48" s="108"/>
      <c r="AO48" s="108">
        <v>0.45833333333333298</v>
      </c>
      <c r="AP48" s="20">
        <f>AN15</f>
        <v>0</v>
      </c>
    </row>
    <row r="49" spans="1:42" x14ac:dyDescent="0.3">
      <c r="A49" s="110">
        <v>0.44791666666666702</v>
      </c>
      <c r="B49" s="175">
        <f t="shared" si="1"/>
        <v>-10.266666666666667</v>
      </c>
      <c r="D49" s="110"/>
      <c r="E49" s="108"/>
      <c r="F49" s="108">
        <v>0.46875</v>
      </c>
      <c r="G49" s="179">
        <f>E15</f>
        <v>19.583333333333336</v>
      </c>
      <c r="H49" s="21"/>
      <c r="I49" s="110"/>
      <c r="J49" s="108"/>
      <c r="K49" s="108">
        <v>0.46875</v>
      </c>
      <c r="L49" s="179">
        <f>J15</f>
        <v>26.491666666666671</v>
      </c>
      <c r="M49" s="21"/>
      <c r="N49" s="110"/>
      <c r="O49" s="108"/>
      <c r="P49" s="108">
        <v>0.46875</v>
      </c>
      <c r="Q49" s="179">
        <f>O15</f>
        <v>30.991666666666667</v>
      </c>
      <c r="R49" s="21"/>
      <c r="S49" s="110"/>
      <c r="T49" s="108"/>
      <c r="U49" s="108">
        <v>0.46875</v>
      </c>
      <c r="V49" s="179">
        <f>T15</f>
        <v>17.658333333333331</v>
      </c>
      <c r="W49" s="21"/>
      <c r="X49" s="110"/>
      <c r="Y49" s="108"/>
      <c r="Z49" s="108">
        <v>0.46875</v>
      </c>
      <c r="AA49" s="179">
        <f>Y15</f>
        <v>-7.991666666666668</v>
      </c>
      <c r="AB49" s="21"/>
      <c r="AC49" s="110"/>
      <c r="AD49" s="108"/>
      <c r="AE49" s="108">
        <v>0.46875</v>
      </c>
      <c r="AF49" s="179">
        <f>AD15</f>
        <v>31.841666666666669</v>
      </c>
      <c r="AH49" s="110"/>
      <c r="AI49" s="108"/>
      <c r="AJ49" s="108">
        <v>0.46875</v>
      </c>
      <c r="AK49" s="20">
        <f>AI15</f>
        <v>0</v>
      </c>
      <c r="AM49" s="110"/>
      <c r="AN49" s="108"/>
      <c r="AO49" s="108">
        <v>0.46875</v>
      </c>
      <c r="AP49" s="20">
        <f>AN15</f>
        <v>0</v>
      </c>
    </row>
    <row r="50" spans="1:42" x14ac:dyDescent="0.3">
      <c r="A50" s="110">
        <v>0.45833333333333298</v>
      </c>
      <c r="B50" s="175">
        <f t="shared" si="1"/>
        <v>-7.991666666666668</v>
      </c>
      <c r="D50" s="110"/>
      <c r="E50" s="108"/>
      <c r="F50" s="108">
        <v>0.47916666666666702</v>
      </c>
      <c r="G50" s="179">
        <f>E15</f>
        <v>19.583333333333336</v>
      </c>
      <c r="H50" s="21"/>
      <c r="I50" s="110"/>
      <c r="J50" s="108"/>
      <c r="K50" s="108">
        <v>0.47916666666666702</v>
      </c>
      <c r="L50" s="179">
        <f>J15</f>
        <v>26.491666666666671</v>
      </c>
      <c r="M50" s="21"/>
      <c r="N50" s="110"/>
      <c r="O50" s="108"/>
      <c r="P50" s="108">
        <v>0.47916666666666702</v>
      </c>
      <c r="Q50" s="179">
        <f>O15</f>
        <v>30.991666666666667</v>
      </c>
      <c r="R50" s="21"/>
      <c r="S50" s="110"/>
      <c r="T50" s="108"/>
      <c r="U50" s="108">
        <v>0.47916666666666702</v>
      </c>
      <c r="V50" s="179">
        <f>T15</f>
        <v>17.658333333333331</v>
      </c>
      <c r="W50" s="21"/>
      <c r="X50" s="110"/>
      <c r="Y50" s="108"/>
      <c r="Z50" s="108">
        <v>0.47916666666666702</v>
      </c>
      <c r="AA50" s="179">
        <f>Y15</f>
        <v>-7.991666666666668</v>
      </c>
      <c r="AB50" s="21"/>
      <c r="AC50" s="110"/>
      <c r="AD50" s="108"/>
      <c r="AE50" s="108">
        <v>0.47916666666666702</v>
      </c>
      <c r="AF50" s="179">
        <f>AD15</f>
        <v>31.841666666666669</v>
      </c>
      <c r="AH50" s="110"/>
      <c r="AI50" s="108"/>
      <c r="AJ50" s="108">
        <v>0.47916666666666702</v>
      </c>
      <c r="AK50" s="20">
        <f>AI15</f>
        <v>0</v>
      </c>
      <c r="AM50" s="110"/>
      <c r="AN50" s="108"/>
      <c r="AO50" s="108">
        <v>0.47916666666666702</v>
      </c>
      <c r="AP50" s="20">
        <f>AN15</f>
        <v>0</v>
      </c>
    </row>
    <row r="51" spans="1:42" x14ac:dyDescent="0.3">
      <c r="A51" s="110">
        <v>0.46875</v>
      </c>
      <c r="B51" s="175">
        <f t="shared" si="1"/>
        <v>-7.991666666666668</v>
      </c>
      <c r="D51" s="110"/>
      <c r="E51" s="108"/>
      <c r="F51" s="108">
        <v>0.48958333333333298</v>
      </c>
      <c r="G51" s="179">
        <f>E15</f>
        <v>19.583333333333336</v>
      </c>
      <c r="H51" s="21"/>
      <c r="I51" s="110"/>
      <c r="J51" s="108"/>
      <c r="K51" s="108">
        <v>0.48958333333333298</v>
      </c>
      <c r="L51" s="179">
        <f>J15</f>
        <v>26.491666666666671</v>
      </c>
      <c r="M51" s="21"/>
      <c r="N51" s="110"/>
      <c r="O51" s="108"/>
      <c r="P51" s="108">
        <v>0.48958333333333298</v>
      </c>
      <c r="Q51" s="179">
        <f>O15</f>
        <v>30.991666666666667</v>
      </c>
      <c r="R51" s="21"/>
      <c r="S51" s="110"/>
      <c r="T51" s="108"/>
      <c r="U51" s="108">
        <v>0.48958333333333298</v>
      </c>
      <c r="V51" s="179">
        <f>T15</f>
        <v>17.658333333333331</v>
      </c>
      <c r="W51" s="21"/>
      <c r="X51" s="110"/>
      <c r="Y51" s="108"/>
      <c r="Z51" s="108">
        <v>0.48958333333333298</v>
      </c>
      <c r="AA51" s="179">
        <f>Y15</f>
        <v>-7.991666666666668</v>
      </c>
      <c r="AB51" s="21"/>
      <c r="AC51" s="110"/>
      <c r="AD51" s="108"/>
      <c r="AE51" s="108">
        <v>0.48958333333333298</v>
      </c>
      <c r="AF51" s="179">
        <f>AD15</f>
        <v>31.841666666666669</v>
      </c>
      <c r="AH51" s="110"/>
      <c r="AI51" s="108"/>
      <c r="AJ51" s="108">
        <v>0.48958333333333298</v>
      </c>
      <c r="AK51" s="20">
        <f>AI15</f>
        <v>0</v>
      </c>
      <c r="AM51" s="110"/>
      <c r="AN51" s="108"/>
      <c r="AO51" s="108">
        <v>0.48958333333333298</v>
      </c>
      <c r="AP51" s="20">
        <f>AN15</f>
        <v>0</v>
      </c>
    </row>
    <row r="52" spans="1:42" x14ac:dyDescent="0.3">
      <c r="A52" s="110">
        <v>0.47916666666666702</v>
      </c>
      <c r="B52" s="175">
        <f t="shared" si="1"/>
        <v>-7.991666666666668</v>
      </c>
      <c r="D52" s="110"/>
      <c r="E52" s="108"/>
      <c r="F52" s="108">
        <v>0.5</v>
      </c>
      <c r="G52" s="179">
        <f>E16</f>
        <v>20.700000000000003</v>
      </c>
      <c r="H52" s="21"/>
      <c r="I52" s="110"/>
      <c r="J52" s="108"/>
      <c r="K52" s="108">
        <v>0.5</v>
      </c>
      <c r="L52" s="179">
        <f>J16</f>
        <v>27.4</v>
      </c>
      <c r="M52" s="21"/>
      <c r="N52" s="110"/>
      <c r="O52" s="108"/>
      <c r="P52" s="108">
        <v>0.5</v>
      </c>
      <c r="Q52" s="179">
        <f>O16</f>
        <v>31.491666666666671</v>
      </c>
      <c r="R52" s="21"/>
      <c r="S52" s="110"/>
      <c r="T52" s="108"/>
      <c r="U52" s="108">
        <v>0.5</v>
      </c>
      <c r="V52" s="179">
        <f>T16</f>
        <v>17.841666666666665</v>
      </c>
      <c r="W52" s="21"/>
      <c r="X52" s="110"/>
      <c r="Y52" s="108"/>
      <c r="Z52" s="108">
        <v>0.5</v>
      </c>
      <c r="AA52" s="179">
        <f>Y16</f>
        <v>-6.2083333333333339</v>
      </c>
      <c r="AB52" s="21"/>
      <c r="AC52" s="110"/>
      <c r="AD52" s="108"/>
      <c r="AE52" s="108">
        <v>0.5</v>
      </c>
      <c r="AF52" s="179">
        <f>AD16</f>
        <v>33.875</v>
      </c>
      <c r="AH52" s="110"/>
      <c r="AI52" s="108"/>
      <c r="AJ52" s="108">
        <v>0.5</v>
      </c>
      <c r="AK52" s="20">
        <f>AI16</f>
        <v>0</v>
      </c>
      <c r="AM52" s="110"/>
      <c r="AN52" s="108"/>
      <c r="AO52" s="108">
        <v>0.5</v>
      </c>
      <c r="AP52" s="20">
        <f>AN16</f>
        <v>0</v>
      </c>
    </row>
    <row r="53" spans="1:42" x14ac:dyDescent="0.3">
      <c r="A53" s="110">
        <v>0.48958333333333298</v>
      </c>
      <c r="B53" s="175">
        <f t="shared" si="1"/>
        <v>-7.991666666666668</v>
      </c>
      <c r="D53" s="110"/>
      <c r="E53" s="108"/>
      <c r="F53" s="108">
        <v>0.51041666666666696</v>
      </c>
      <c r="G53" s="179">
        <f>E16</f>
        <v>20.700000000000003</v>
      </c>
      <c r="H53" s="21"/>
      <c r="I53" s="110"/>
      <c r="J53" s="108"/>
      <c r="K53" s="108">
        <v>0.51041666666666696</v>
      </c>
      <c r="L53" s="179">
        <f>J16</f>
        <v>27.4</v>
      </c>
      <c r="M53" s="21"/>
      <c r="N53" s="110"/>
      <c r="O53" s="108"/>
      <c r="P53" s="108">
        <v>0.51041666666666696</v>
      </c>
      <c r="Q53" s="179">
        <f>O16</f>
        <v>31.491666666666671</v>
      </c>
      <c r="R53" s="21"/>
      <c r="S53" s="110"/>
      <c r="T53" s="108"/>
      <c r="U53" s="108">
        <v>0.51041666666666696</v>
      </c>
      <c r="V53" s="179">
        <f>T16</f>
        <v>17.841666666666665</v>
      </c>
      <c r="W53" s="21"/>
      <c r="X53" s="110"/>
      <c r="Y53" s="108"/>
      <c r="Z53" s="108">
        <v>0.51041666666666696</v>
      </c>
      <c r="AA53" s="179">
        <f>Y16</f>
        <v>-6.2083333333333339</v>
      </c>
      <c r="AB53" s="21"/>
      <c r="AC53" s="110"/>
      <c r="AD53" s="108"/>
      <c r="AE53" s="108">
        <v>0.51041666666666696</v>
      </c>
      <c r="AF53" s="179">
        <f>AD16</f>
        <v>33.875</v>
      </c>
      <c r="AH53" s="110"/>
      <c r="AI53" s="108"/>
      <c r="AJ53" s="108">
        <v>0.51041666666666696</v>
      </c>
      <c r="AK53" s="20">
        <f>AI16</f>
        <v>0</v>
      </c>
      <c r="AM53" s="110"/>
      <c r="AN53" s="108"/>
      <c r="AO53" s="108">
        <v>0.51041666666666696</v>
      </c>
      <c r="AP53" s="20">
        <f>AN16</f>
        <v>0</v>
      </c>
    </row>
    <row r="54" spans="1:42" x14ac:dyDescent="0.3">
      <c r="A54" s="110">
        <v>0.5</v>
      </c>
      <c r="B54" s="175">
        <f t="shared" si="1"/>
        <v>-6.2083333333333339</v>
      </c>
      <c r="D54" s="110"/>
      <c r="E54" s="108"/>
      <c r="F54" s="108">
        <v>0.52083333333333304</v>
      </c>
      <c r="G54" s="179">
        <f>E16</f>
        <v>20.700000000000003</v>
      </c>
      <c r="H54" s="21"/>
      <c r="I54" s="110"/>
      <c r="J54" s="108"/>
      <c r="K54" s="108">
        <v>0.52083333333333304</v>
      </c>
      <c r="L54" s="179">
        <f>J16</f>
        <v>27.4</v>
      </c>
      <c r="M54" s="21"/>
      <c r="N54" s="110"/>
      <c r="O54" s="108"/>
      <c r="P54" s="108">
        <v>0.52083333333333304</v>
      </c>
      <c r="Q54" s="179">
        <f>O16</f>
        <v>31.491666666666671</v>
      </c>
      <c r="R54" s="21"/>
      <c r="S54" s="110"/>
      <c r="T54" s="108"/>
      <c r="U54" s="108">
        <v>0.52083333333333304</v>
      </c>
      <c r="V54" s="179">
        <f>T16</f>
        <v>17.841666666666665</v>
      </c>
      <c r="W54" s="21"/>
      <c r="X54" s="110"/>
      <c r="Y54" s="108"/>
      <c r="Z54" s="108">
        <v>0.52083333333333304</v>
      </c>
      <c r="AA54" s="179">
        <f>Y16</f>
        <v>-6.2083333333333339</v>
      </c>
      <c r="AB54" s="21"/>
      <c r="AC54" s="110"/>
      <c r="AD54" s="108"/>
      <c r="AE54" s="108">
        <v>0.52083333333333304</v>
      </c>
      <c r="AF54" s="179">
        <f>AD16</f>
        <v>33.875</v>
      </c>
      <c r="AH54" s="110"/>
      <c r="AI54" s="108"/>
      <c r="AJ54" s="108">
        <v>0.52083333333333304</v>
      </c>
      <c r="AK54" s="20">
        <f>AI16</f>
        <v>0</v>
      </c>
      <c r="AM54" s="110"/>
      <c r="AN54" s="108"/>
      <c r="AO54" s="108">
        <v>0.52083333333333304</v>
      </c>
      <c r="AP54" s="20">
        <f>AN16</f>
        <v>0</v>
      </c>
    </row>
    <row r="55" spans="1:42" x14ac:dyDescent="0.3">
      <c r="A55" s="110">
        <v>0.51041666666666696</v>
      </c>
      <c r="B55" s="175">
        <f t="shared" si="1"/>
        <v>-6.2083333333333339</v>
      </c>
      <c r="D55" s="110"/>
      <c r="E55" s="108"/>
      <c r="F55" s="108">
        <v>0.53125</v>
      </c>
      <c r="G55" s="179">
        <f>E16</f>
        <v>20.700000000000003</v>
      </c>
      <c r="H55" s="21"/>
      <c r="I55" s="110"/>
      <c r="J55" s="108"/>
      <c r="K55" s="108">
        <v>0.53125</v>
      </c>
      <c r="L55" s="179">
        <f>J16</f>
        <v>27.4</v>
      </c>
      <c r="M55" s="21"/>
      <c r="N55" s="110"/>
      <c r="O55" s="108"/>
      <c r="P55" s="108">
        <v>0.53125</v>
      </c>
      <c r="Q55" s="179">
        <f>O16</f>
        <v>31.491666666666671</v>
      </c>
      <c r="R55" s="21"/>
      <c r="S55" s="110"/>
      <c r="T55" s="108"/>
      <c r="U55" s="108">
        <v>0.53125</v>
      </c>
      <c r="V55" s="179">
        <f>T16</f>
        <v>17.841666666666665</v>
      </c>
      <c r="W55" s="21"/>
      <c r="X55" s="110"/>
      <c r="Y55" s="108"/>
      <c r="Z55" s="108">
        <v>0.53125</v>
      </c>
      <c r="AA55" s="179">
        <f>Y16</f>
        <v>-6.2083333333333339</v>
      </c>
      <c r="AB55" s="21"/>
      <c r="AC55" s="110"/>
      <c r="AD55" s="108"/>
      <c r="AE55" s="108">
        <v>0.53125</v>
      </c>
      <c r="AF55" s="179">
        <f>AD16</f>
        <v>33.875</v>
      </c>
      <c r="AH55" s="110"/>
      <c r="AI55" s="108"/>
      <c r="AJ55" s="108">
        <v>0.53125</v>
      </c>
      <c r="AK55" s="20">
        <f>AI16</f>
        <v>0</v>
      </c>
      <c r="AM55" s="110"/>
      <c r="AN55" s="108"/>
      <c r="AO55" s="108">
        <v>0.53125</v>
      </c>
      <c r="AP55" s="20">
        <f>AN16</f>
        <v>0</v>
      </c>
    </row>
    <row r="56" spans="1:42" x14ac:dyDescent="0.3">
      <c r="A56" s="110">
        <v>0.52083333333333304</v>
      </c>
      <c r="B56" s="175">
        <f t="shared" si="1"/>
        <v>-6.2083333333333339</v>
      </c>
      <c r="D56" s="110"/>
      <c r="E56" s="108"/>
      <c r="F56" s="108">
        <v>0.54166666666666696</v>
      </c>
      <c r="G56" s="179">
        <f>E17</f>
        <v>21.958333333333336</v>
      </c>
      <c r="H56" s="21"/>
      <c r="I56" s="110"/>
      <c r="J56" s="108"/>
      <c r="K56" s="108">
        <v>0.54166666666666696</v>
      </c>
      <c r="L56" s="179">
        <f>J17</f>
        <v>28.19166666666667</v>
      </c>
      <c r="M56" s="21"/>
      <c r="N56" s="110"/>
      <c r="O56" s="108"/>
      <c r="P56" s="108">
        <v>0.54166666666666696</v>
      </c>
      <c r="Q56" s="179">
        <f>O17</f>
        <v>32.633333333333333</v>
      </c>
      <c r="R56" s="21"/>
      <c r="S56" s="110"/>
      <c r="T56" s="108"/>
      <c r="U56" s="108">
        <v>0.54166666666666696</v>
      </c>
      <c r="V56" s="179">
        <f>T17</f>
        <v>18.358333333333334</v>
      </c>
      <c r="W56" s="21"/>
      <c r="X56" s="110"/>
      <c r="Y56" s="108"/>
      <c r="Z56" s="108">
        <v>0.54166666666666696</v>
      </c>
      <c r="AA56" s="179">
        <f>Y17</f>
        <v>-4.8000000000000007</v>
      </c>
      <c r="AB56" s="21"/>
      <c r="AC56" s="110"/>
      <c r="AD56" s="108"/>
      <c r="AE56" s="108">
        <v>0.54166666666666696</v>
      </c>
      <c r="AF56" s="179">
        <f>AD17</f>
        <v>34.475000000000009</v>
      </c>
      <c r="AH56" s="110"/>
      <c r="AI56" s="108"/>
      <c r="AJ56" s="108">
        <v>0.54166666666666696</v>
      </c>
      <c r="AK56" s="20">
        <f>AI17</f>
        <v>0</v>
      </c>
      <c r="AM56" s="110"/>
      <c r="AN56" s="108"/>
      <c r="AO56" s="108">
        <v>0.54166666666666696</v>
      </c>
      <c r="AP56" s="20">
        <f>AN17</f>
        <v>0</v>
      </c>
    </row>
    <row r="57" spans="1:42" x14ac:dyDescent="0.3">
      <c r="A57" s="110">
        <v>0.53125</v>
      </c>
      <c r="B57" s="175">
        <f t="shared" si="1"/>
        <v>-6.2083333333333339</v>
      </c>
      <c r="D57" s="110"/>
      <c r="E57" s="108"/>
      <c r="F57" s="108">
        <v>0.55208333333333304</v>
      </c>
      <c r="G57" s="179">
        <f>E17</f>
        <v>21.958333333333336</v>
      </c>
      <c r="H57" s="21"/>
      <c r="I57" s="110"/>
      <c r="J57" s="108"/>
      <c r="K57" s="108">
        <v>0.55208333333333304</v>
      </c>
      <c r="L57" s="179">
        <f>J17</f>
        <v>28.19166666666667</v>
      </c>
      <c r="M57" s="21"/>
      <c r="N57" s="110"/>
      <c r="O57" s="108"/>
      <c r="P57" s="108">
        <v>0.55208333333333304</v>
      </c>
      <c r="Q57" s="179">
        <f>O17</f>
        <v>32.633333333333333</v>
      </c>
      <c r="R57" s="21"/>
      <c r="S57" s="110"/>
      <c r="T57" s="108"/>
      <c r="U57" s="108">
        <v>0.55208333333333304</v>
      </c>
      <c r="V57" s="179">
        <f>T17</f>
        <v>18.358333333333334</v>
      </c>
      <c r="W57" s="21"/>
      <c r="X57" s="110"/>
      <c r="Y57" s="108"/>
      <c r="Z57" s="108">
        <v>0.55208333333333304</v>
      </c>
      <c r="AA57" s="179">
        <f>Y17</f>
        <v>-4.8000000000000007</v>
      </c>
      <c r="AB57" s="21"/>
      <c r="AC57" s="110"/>
      <c r="AD57" s="108"/>
      <c r="AE57" s="108">
        <v>0.55208333333333304</v>
      </c>
      <c r="AF57" s="179">
        <f>AD17</f>
        <v>34.475000000000009</v>
      </c>
      <c r="AH57" s="110"/>
      <c r="AI57" s="108"/>
      <c r="AJ57" s="108">
        <v>0.55208333333333304</v>
      </c>
      <c r="AK57" s="20">
        <f>AI17</f>
        <v>0</v>
      </c>
      <c r="AM57" s="110"/>
      <c r="AN57" s="108"/>
      <c r="AO57" s="108">
        <v>0.55208333333333304</v>
      </c>
      <c r="AP57" s="20">
        <f>AN17</f>
        <v>0</v>
      </c>
    </row>
    <row r="58" spans="1:42" x14ac:dyDescent="0.3">
      <c r="A58" s="110">
        <v>0.54166666666666696</v>
      </c>
      <c r="B58" s="175">
        <f t="shared" si="1"/>
        <v>-4.8000000000000007</v>
      </c>
      <c r="D58" s="110"/>
      <c r="E58" s="108"/>
      <c r="F58" s="108">
        <v>0.5625</v>
      </c>
      <c r="G58" s="179">
        <f>E17</f>
        <v>21.958333333333336</v>
      </c>
      <c r="H58" s="21"/>
      <c r="I58" s="110"/>
      <c r="J58" s="108"/>
      <c r="K58" s="108">
        <v>0.5625</v>
      </c>
      <c r="L58" s="179">
        <f>J17</f>
        <v>28.19166666666667</v>
      </c>
      <c r="M58" s="21"/>
      <c r="N58" s="110"/>
      <c r="O58" s="108"/>
      <c r="P58" s="108">
        <v>0.5625</v>
      </c>
      <c r="Q58" s="179">
        <f>O17</f>
        <v>32.633333333333333</v>
      </c>
      <c r="R58" s="21"/>
      <c r="S58" s="110"/>
      <c r="T58" s="108"/>
      <c r="U58" s="108">
        <v>0.5625</v>
      </c>
      <c r="V58" s="179">
        <f>T17</f>
        <v>18.358333333333334</v>
      </c>
      <c r="W58" s="21"/>
      <c r="X58" s="110"/>
      <c r="Y58" s="108"/>
      <c r="Z58" s="108">
        <v>0.5625</v>
      </c>
      <c r="AA58" s="179">
        <f>Y17</f>
        <v>-4.8000000000000007</v>
      </c>
      <c r="AB58" s="21"/>
      <c r="AC58" s="110"/>
      <c r="AD58" s="108"/>
      <c r="AE58" s="108">
        <v>0.5625</v>
      </c>
      <c r="AF58" s="179">
        <f>AD17</f>
        <v>34.475000000000009</v>
      </c>
      <c r="AH58" s="110"/>
      <c r="AI58" s="108"/>
      <c r="AJ58" s="108">
        <v>0.5625</v>
      </c>
      <c r="AK58" s="20">
        <f>AI17</f>
        <v>0</v>
      </c>
      <c r="AM58" s="110"/>
      <c r="AN58" s="108"/>
      <c r="AO58" s="108">
        <v>0.5625</v>
      </c>
      <c r="AP58" s="20">
        <f>AN17</f>
        <v>0</v>
      </c>
    </row>
    <row r="59" spans="1:42" x14ac:dyDescent="0.3">
      <c r="A59" s="110">
        <v>0.55208333333333304</v>
      </c>
      <c r="B59" s="175">
        <f t="shared" si="1"/>
        <v>-4.8000000000000007</v>
      </c>
      <c r="D59" s="110"/>
      <c r="E59" s="108"/>
      <c r="F59" s="108">
        <v>0.57291666666666696</v>
      </c>
      <c r="G59" s="179">
        <f>E17</f>
        <v>21.958333333333336</v>
      </c>
      <c r="H59" s="21"/>
      <c r="I59" s="110"/>
      <c r="J59" s="108"/>
      <c r="K59" s="108">
        <v>0.57291666666666696</v>
      </c>
      <c r="L59" s="179">
        <f>J17</f>
        <v>28.19166666666667</v>
      </c>
      <c r="M59" s="21"/>
      <c r="N59" s="110"/>
      <c r="O59" s="108"/>
      <c r="P59" s="108">
        <v>0.57291666666666696</v>
      </c>
      <c r="Q59" s="179">
        <f>O17</f>
        <v>32.633333333333333</v>
      </c>
      <c r="R59" s="21"/>
      <c r="S59" s="110"/>
      <c r="T59" s="108"/>
      <c r="U59" s="108">
        <v>0.57291666666666696</v>
      </c>
      <c r="V59" s="179">
        <f>T17</f>
        <v>18.358333333333334</v>
      </c>
      <c r="W59" s="21"/>
      <c r="X59" s="110"/>
      <c r="Y59" s="108"/>
      <c r="Z59" s="108">
        <v>0.57291666666666696</v>
      </c>
      <c r="AA59" s="179">
        <f>Y17</f>
        <v>-4.8000000000000007</v>
      </c>
      <c r="AB59" s="21"/>
      <c r="AC59" s="110"/>
      <c r="AD59" s="108"/>
      <c r="AE59" s="108">
        <v>0.57291666666666696</v>
      </c>
      <c r="AF59" s="179">
        <f>AD17</f>
        <v>34.475000000000009</v>
      </c>
      <c r="AH59" s="110"/>
      <c r="AI59" s="108"/>
      <c r="AJ59" s="108">
        <v>0.57291666666666696</v>
      </c>
      <c r="AK59" s="20">
        <f>AI17</f>
        <v>0</v>
      </c>
      <c r="AM59" s="110"/>
      <c r="AN59" s="108"/>
      <c r="AO59" s="108">
        <v>0.57291666666666696</v>
      </c>
      <c r="AP59" s="20">
        <f>AN17</f>
        <v>0</v>
      </c>
    </row>
    <row r="60" spans="1:42" x14ac:dyDescent="0.3">
      <c r="A60" s="110">
        <v>0.5625</v>
      </c>
      <c r="B60" s="175">
        <f t="shared" si="1"/>
        <v>-4.8000000000000007</v>
      </c>
      <c r="D60" s="110"/>
      <c r="E60" s="108"/>
      <c r="F60" s="108">
        <v>0.58333333333333304</v>
      </c>
      <c r="G60" s="179">
        <f>E18</f>
        <v>23.666666666666664</v>
      </c>
      <c r="H60" s="21"/>
      <c r="I60" s="110"/>
      <c r="J60" s="108"/>
      <c r="K60" s="108">
        <v>0.58333333333333304</v>
      </c>
      <c r="L60" s="179">
        <f>J18</f>
        <v>28.925000000000001</v>
      </c>
      <c r="M60" s="21"/>
      <c r="N60" s="110"/>
      <c r="O60" s="108"/>
      <c r="P60" s="108">
        <v>0.58333333333333304</v>
      </c>
      <c r="Q60" s="179">
        <f>O18</f>
        <v>33.358333333333334</v>
      </c>
      <c r="R60" s="21"/>
      <c r="S60" s="110"/>
      <c r="T60" s="108"/>
      <c r="U60" s="108">
        <v>0.58333333333333304</v>
      </c>
      <c r="V60" s="179">
        <f>T18</f>
        <v>18.633333333333336</v>
      </c>
      <c r="W60" s="21"/>
      <c r="X60" s="110"/>
      <c r="Y60" s="108"/>
      <c r="Z60" s="108">
        <v>0.58333333333333304</v>
      </c>
      <c r="AA60" s="179">
        <f>Y18</f>
        <v>-4.0666666666666673</v>
      </c>
      <c r="AB60" s="21"/>
      <c r="AC60" s="110"/>
      <c r="AD60" s="108"/>
      <c r="AE60" s="108">
        <v>0.58333333333333304</v>
      </c>
      <c r="AF60" s="179">
        <f>AD18</f>
        <v>35.033333333333339</v>
      </c>
      <c r="AH60" s="110"/>
      <c r="AI60" s="108"/>
      <c r="AJ60" s="108">
        <v>0.58333333333333304</v>
      </c>
      <c r="AK60" s="20">
        <f>AI18</f>
        <v>0</v>
      </c>
      <c r="AM60" s="110"/>
      <c r="AN60" s="108"/>
      <c r="AO60" s="108">
        <v>0.58333333333333304</v>
      </c>
      <c r="AP60" s="20">
        <f>AN18</f>
        <v>0</v>
      </c>
    </row>
    <row r="61" spans="1:42" x14ac:dyDescent="0.3">
      <c r="A61" s="110">
        <v>0.57291666666666696</v>
      </c>
      <c r="B61" s="175">
        <f t="shared" si="1"/>
        <v>-4.8000000000000007</v>
      </c>
      <c r="D61" s="110"/>
      <c r="E61" s="108"/>
      <c r="F61" s="108">
        <v>0.59375</v>
      </c>
      <c r="G61" s="179">
        <f>E18</f>
        <v>23.666666666666664</v>
      </c>
      <c r="H61" s="21"/>
      <c r="I61" s="110"/>
      <c r="J61" s="108"/>
      <c r="K61" s="108">
        <v>0.59375</v>
      </c>
      <c r="L61" s="179">
        <f>J18</f>
        <v>28.925000000000001</v>
      </c>
      <c r="M61" s="21"/>
      <c r="N61" s="110"/>
      <c r="O61" s="108"/>
      <c r="P61" s="108">
        <v>0.59375</v>
      </c>
      <c r="Q61" s="179">
        <f>O18</f>
        <v>33.358333333333334</v>
      </c>
      <c r="R61" s="21"/>
      <c r="S61" s="110"/>
      <c r="T61" s="108"/>
      <c r="U61" s="108">
        <v>0.59375</v>
      </c>
      <c r="V61" s="179">
        <f>T18</f>
        <v>18.633333333333336</v>
      </c>
      <c r="W61" s="21"/>
      <c r="X61" s="110"/>
      <c r="Y61" s="108"/>
      <c r="Z61" s="108">
        <v>0.59375</v>
      </c>
      <c r="AA61" s="179">
        <f>Y18</f>
        <v>-4.0666666666666673</v>
      </c>
      <c r="AB61" s="21"/>
      <c r="AC61" s="110"/>
      <c r="AD61" s="108"/>
      <c r="AE61" s="108">
        <v>0.59375</v>
      </c>
      <c r="AF61" s="179">
        <f>AD18</f>
        <v>35.033333333333339</v>
      </c>
      <c r="AH61" s="110"/>
      <c r="AI61" s="108"/>
      <c r="AJ61" s="108">
        <v>0.59375</v>
      </c>
      <c r="AK61" s="20">
        <f>AI18</f>
        <v>0</v>
      </c>
      <c r="AM61" s="110"/>
      <c r="AN61" s="108"/>
      <c r="AO61" s="108">
        <v>0.59375</v>
      </c>
      <c r="AP61" s="20">
        <f>AN18</f>
        <v>0</v>
      </c>
    </row>
    <row r="62" spans="1:42" x14ac:dyDescent="0.3">
      <c r="A62" s="110">
        <v>0.58333333333333304</v>
      </c>
      <c r="B62" s="175">
        <f t="shared" si="1"/>
        <v>-4.0666666666666673</v>
      </c>
      <c r="D62" s="110"/>
      <c r="E62" s="108"/>
      <c r="F62" s="108">
        <v>0.60416666666666696</v>
      </c>
      <c r="G62" s="179">
        <f>E18</f>
        <v>23.666666666666664</v>
      </c>
      <c r="H62" s="21"/>
      <c r="I62" s="110"/>
      <c r="J62" s="108"/>
      <c r="K62" s="108">
        <v>0.60416666666666696</v>
      </c>
      <c r="L62" s="179">
        <f>J18</f>
        <v>28.925000000000001</v>
      </c>
      <c r="M62" s="21"/>
      <c r="N62" s="110"/>
      <c r="O62" s="108"/>
      <c r="P62" s="108">
        <v>0.60416666666666696</v>
      </c>
      <c r="Q62" s="179">
        <f>O18</f>
        <v>33.358333333333334</v>
      </c>
      <c r="R62" s="21"/>
      <c r="S62" s="110"/>
      <c r="T62" s="108"/>
      <c r="U62" s="108">
        <v>0.60416666666666696</v>
      </c>
      <c r="V62" s="179">
        <f>T18</f>
        <v>18.633333333333336</v>
      </c>
      <c r="W62" s="21"/>
      <c r="X62" s="110"/>
      <c r="Y62" s="108"/>
      <c r="Z62" s="108">
        <v>0.60416666666666696</v>
      </c>
      <c r="AA62" s="179">
        <f>Y18</f>
        <v>-4.0666666666666673</v>
      </c>
      <c r="AB62" s="21"/>
      <c r="AC62" s="110"/>
      <c r="AD62" s="108"/>
      <c r="AE62" s="108">
        <v>0.60416666666666696</v>
      </c>
      <c r="AF62" s="179">
        <f>AD18</f>
        <v>35.033333333333339</v>
      </c>
      <c r="AH62" s="110"/>
      <c r="AI62" s="108"/>
      <c r="AJ62" s="108">
        <v>0.60416666666666696</v>
      </c>
      <c r="AK62" s="20">
        <f>AI18</f>
        <v>0</v>
      </c>
      <c r="AM62" s="110"/>
      <c r="AN62" s="108"/>
      <c r="AO62" s="108">
        <v>0.60416666666666696</v>
      </c>
      <c r="AP62" s="20">
        <f>AN18</f>
        <v>0</v>
      </c>
    </row>
    <row r="63" spans="1:42" x14ac:dyDescent="0.3">
      <c r="A63" s="110">
        <v>0.59375</v>
      </c>
      <c r="B63" s="175">
        <f t="shared" si="1"/>
        <v>-4.0666666666666673</v>
      </c>
      <c r="D63" s="110"/>
      <c r="E63" s="108"/>
      <c r="F63" s="108">
        <v>0.61458333333333304</v>
      </c>
      <c r="G63" s="179">
        <f>E18</f>
        <v>23.666666666666664</v>
      </c>
      <c r="H63" s="21"/>
      <c r="I63" s="110"/>
      <c r="J63" s="108"/>
      <c r="K63" s="108">
        <v>0.61458333333333304</v>
      </c>
      <c r="L63" s="179">
        <f>J18</f>
        <v>28.925000000000001</v>
      </c>
      <c r="M63" s="21"/>
      <c r="N63" s="110"/>
      <c r="O63" s="108"/>
      <c r="P63" s="108">
        <v>0.61458333333333304</v>
      </c>
      <c r="Q63" s="179">
        <f>O18</f>
        <v>33.358333333333334</v>
      </c>
      <c r="R63" s="21"/>
      <c r="S63" s="110"/>
      <c r="T63" s="108"/>
      <c r="U63" s="108">
        <v>0.61458333333333304</v>
      </c>
      <c r="V63" s="179">
        <f>T18</f>
        <v>18.633333333333336</v>
      </c>
      <c r="W63" s="21"/>
      <c r="X63" s="110"/>
      <c r="Y63" s="108"/>
      <c r="Z63" s="108">
        <v>0.61458333333333304</v>
      </c>
      <c r="AA63" s="179">
        <f>Y18</f>
        <v>-4.0666666666666673</v>
      </c>
      <c r="AB63" s="21"/>
      <c r="AC63" s="110"/>
      <c r="AD63" s="108"/>
      <c r="AE63" s="108">
        <v>0.61458333333333304</v>
      </c>
      <c r="AF63" s="179">
        <f>AD18</f>
        <v>35.033333333333339</v>
      </c>
      <c r="AH63" s="110"/>
      <c r="AI63" s="108"/>
      <c r="AJ63" s="108">
        <v>0.61458333333333304</v>
      </c>
      <c r="AK63" s="20">
        <f>AI18</f>
        <v>0</v>
      </c>
      <c r="AM63" s="110"/>
      <c r="AN63" s="108"/>
      <c r="AO63" s="108">
        <v>0.61458333333333304</v>
      </c>
      <c r="AP63" s="20">
        <f>AN18</f>
        <v>0</v>
      </c>
    </row>
    <row r="64" spans="1:42" x14ac:dyDescent="0.3">
      <c r="A64" s="110">
        <v>0.60416666666666696</v>
      </c>
      <c r="B64" s="175">
        <f t="shared" si="1"/>
        <v>-4.0666666666666673</v>
      </c>
      <c r="D64" s="110"/>
      <c r="E64" s="108"/>
      <c r="F64" s="108">
        <v>0.625</v>
      </c>
      <c r="G64" s="179">
        <f>E19</f>
        <v>25.141666666666666</v>
      </c>
      <c r="H64" s="21"/>
      <c r="I64" s="110"/>
      <c r="J64" s="108"/>
      <c r="K64" s="108">
        <v>0.625</v>
      </c>
      <c r="L64" s="179">
        <f>J19</f>
        <v>29.008333333333336</v>
      </c>
      <c r="M64" s="21"/>
      <c r="N64" s="110"/>
      <c r="O64" s="108"/>
      <c r="P64" s="108">
        <v>0.625</v>
      </c>
      <c r="Q64" s="179">
        <f>O19</f>
        <v>33.983333333333334</v>
      </c>
      <c r="R64" s="21"/>
      <c r="S64" s="110"/>
      <c r="T64" s="108"/>
      <c r="U64" s="108">
        <v>0.625</v>
      </c>
      <c r="V64" s="179">
        <f>T19</f>
        <v>18.449999999999996</v>
      </c>
      <c r="W64" s="21"/>
      <c r="X64" s="110"/>
      <c r="Y64" s="108"/>
      <c r="Z64" s="108">
        <v>0.625</v>
      </c>
      <c r="AA64" s="179">
        <f>Y19</f>
        <v>-3.6083333333333338</v>
      </c>
      <c r="AB64" s="21"/>
      <c r="AC64" s="110"/>
      <c r="AD64" s="108"/>
      <c r="AE64" s="108">
        <v>0.625</v>
      </c>
      <c r="AF64" s="179">
        <f>AD19</f>
        <v>35.991666666666667</v>
      </c>
      <c r="AH64" s="110"/>
      <c r="AI64" s="108"/>
      <c r="AJ64" s="108">
        <v>0.625</v>
      </c>
      <c r="AK64" s="20">
        <f>AI19</f>
        <v>0</v>
      </c>
      <c r="AM64" s="110"/>
      <c r="AN64" s="108"/>
      <c r="AO64" s="108">
        <v>0.625</v>
      </c>
      <c r="AP64" s="20">
        <f>AN19</f>
        <v>0</v>
      </c>
    </row>
    <row r="65" spans="1:42" x14ac:dyDescent="0.3">
      <c r="A65" s="110">
        <v>0.61458333333333304</v>
      </c>
      <c r="B65" s="175">
        <f t="shared" si="1"/>
        <v>-4.0666666666666673</v>
      </c>
      <c r="D65" s="110"/>
      <c r="E65" s="108"/>
      <c r="F65" s="108">
        <v>0.63541666666666696</v>
      </c>
      <c r="G65" s="179">
        <f>E19</f>
        <v>25.141666666666666</v>
      </c>
      <c r="H65" s="21"/>
      <c r="I65" s="110"/>
      <c r="J65" s="108"/>
      <c r="K65" s="108">
        <v>0.63541666666666696</v>
      </c>
      <c r="L65" s="179">
        <f>J19</f>
        <v>29.008333333333336</v>
      </c>
      <c r="M65" s="21"/>
      <c r="N65" s="110"/>
      <c r="O65" s="108"/>
      <c r="P65" s="108">
        <v>0.63541666666666696</v>
      </c>
      <c r="Q65" s="179">
        <f>O19</f>
        <v>33.983333333333334</v>
      </c>
      <c r="R65" s="21"/>
      <c r="S65" s="110"/>
      <c r="T65" s="108"/>
      <c r="U65" s="108">
        <v>0.63541666666666696</v>
      </c>
      <c r="V65" s="179">
        <f>T19</f>
        <v>18.449999999999996</v>
      </c>
      <c r="W65" s="21"/>
      <c r="X65" s="110"/>
      <c r="Y65" s="108"/>
      <c r="Z65" s="108">
        <v>0.63541666666666696</v>
      </c>
      <c r="AA65" s="179">
        <f>Y19</f>
        <v>-3.6083333333333338</v>
      </c>
      <c r="AB65" s="21"/>
      <c r="AC65" s="110"/>
      <c r="AD65" s="108"/>
      <c r="AE65" s="108">
        <v>0.63541666666666696</v>
      </c>
      <c r="AF65" s="179">
        <f>AD19</f>
        <v>35.991666666666667</v>
      </c>
      <c r="AH65" s="110"/>
      <c r="AI65" s="108"/>
      <c r="AJ65" s="108">
        <v>0.63541666666666696</v>
      </c>
      <c r="AK65" s="20">
        <f>AI19</f>
        <v>0</v>
      </c>
      <c r="AM65" s="110"/>
      <c r="AN65" s="108"/>
      <c r="AO65" s="108">
        <v>0.63541666666666696</v>
      </c>
      <c r="AP65" s="20">
        <f>AN19</f>
        <v>0</v>
      </c>
    </row>
    <row r="66" spans="1:42" x14ac:dyDescent="0.3">
      <c r="A66" s="110">
        <v>0.625</v>
      </c>
      <c r="B66" s="175">
        <f t="shared" si="1"/>
        <v>-3.6083333333333338</v>
      </c>
      <c r="D66" s="110"/>
      <c r="E66" s="108"/>
      <c r="F66" s="108">
        <v>0.64583333333333304</v>
      </c>
      <c r="G66" s="179">
        <f>E19</f>
        <v>25.141666666666666</v>
      </c>
      <c r="H66" s="21"/>
      <c r="I66" s="110"/>
      <c r="J66" s="108"/>
      <c r="K66" s="108">
        <v>0.64583333333333304</v>
      </c>
      <c r="L66" s="179">
        <f>J19</f>
        <v>29.008333333333336</v>
      </c>
      <c r="M66" s="21"/>
      <c r="N66" s="110"/>
      <c r="O66" s="108"/>
      <c r="P66" s="108">
        <v>0.64583333333333304</v>
      </c>
      <c r="Q66" s="179">
        <f>O19</f>
        <v>33.983333333333334</v>
      </c>
      <c r="R66" s="21"/>
      <c r="S66" s="110"/>
      <c r="T66" s="108"/>
      <c r="U66" s="108">
        <v>0.64583333333333304</v>
      </c>
      <c r="V66" s="179">
        <f>T19</f>
        <v>18.449999999999996</v>
      </c>
      <c r="W66" s="21"/>
      <c r="X66" s="110"/>
      <c r="Y66" s="108"/>
      <c r="Z66" s="108">
        <v>0.64583333333333304</v>
      </c>
      <c r="AA66" s="179">
        <f>Y19</f>
        <v>-3.6083333333333338</v>
      </c>
      <c r="AB66" s="21"/>
      <c r="AC66" s="110"/>
      <c r="AD66" s="108"/>
      <c r="AE66" s="108">
        <v>0.64583333333333304</v>
      </c>
      <c r="AF66" s="179">
        <f>AD19</f>
        <v>35.991666666666667</v>
      </c>
      <c r="AH66" s="110"/>
      <c r="AI66" s="108"/>
      <c r="AJ66" s="108">
        <v>0.64583333333333304</v>
      </c>
      <c r="AK66" s="20">
        <f>AI19</f>
        <v>0</v>
      </c>
      <c r="AM66" s="110"/>
      <c r="AN66" s="108"/>
      <c r="AO66" s="108">
        <v>0.64583333333333304</v>
      </c>
      <c r="AP66" s="20">
        <f>AN19</f>
        <v>0</v>
      </c>
    </row>
    <row r="67" spans="1:42" x14ac:dyDescent="0.3">
      <c r="A67" s="110">
        <v>0.63541666666666696</v>
      </c>
      <c r="B67" s="175">
        <f t="shared" si="1"/>
        <v>-3.6083333333333338</v>
      </c>
      <c r="D67" s="110"/>
      <c r="E67" s="108"/>
      <c r="F67" s="108">
        <v>0.65625</v>
      </c>
      <c r="G67" s="179">
        <f>E19</f>
        <v>25.141666666666666</v>
      </c>
      <c r="H67" s="21"/>
      <c r="I67" s="110"/>
      <c r="J67" s="108"/>
      <c r="K67" s="108">
        <v>0.65625</v>
      </c>
      <c r="L67" s="179">
        <f>J19</f>
        <v>29.008333333333336</v>
      </c>
      <c r="M67" s="21"/>
      <c r="N67" s="110"/>
      <c r="O67" s="108"/>
      <c r="P67" s="108">
        <v>0.65625</v>
      </c>
      <c r="Q67" s="179">
        <f>O19</f>
        <v>33.983333333333334</v>
      </c>
      <c r="R67" s="21"/>
      <c r="S67" s="110"/>
      <c r="T67" s="108"/>
      <c r="U67" s="108">
        <v>0.65625</v>
      </c>
      <c r="V67" s="179">
        <f>T19</f>
        <v>18.449999999999996</v>
      </c>
      <c r="W67" s="21"/>
      <c r="X67" s="110"/>
      <c r="Y67" s="108"/>
      <c r="Z67" s="108">
        <v>0.65625</v>
      </c>
      <c r="AA67" s="179">
        <f>Y19</f>
        <v>-3.6083333333333338</v>
      </c>
      <c r="AB67" s="21"/>
      <c r="AC67" s="110"/>
      <c r="AD67" s="108"/>
      <c r="AE67" s="108">
        <v>0.65625</v>
      </c>
      <c r="AF67" s="179">
        <f>AD19</f>
        <v>35.991666666666667</v>
      </c>
      <c r="AH67" s="110"/>
      <c r="AI67" s="108"/>
      <c r="AJ67" s="108">
        <v>0.65625</v>
      </c>
      <c r="AK67" s="20">
        <f>AI19</f>
        <v>0</v>
      </c>
      <c r="AM67" s="110"/>
      <c r="AN67" s="108"/>
      <c r="AO67" s="108">
        <v>0.65625</v>
      </c>
      <c r="AP67" s="20">
        <f>AN19</f>
        <v>0</v>
      </c>
    </row>
    <row r="68" spans="1:42" x14ac:dyDescent="0.3">
      <c r="A68" s="110">
        <v>0.64583333333333304</v>
      </c>
      <c r="B68" s="175">
        <f t="shared" si="1"/>
        <v>-3.6083333333333338</v>
      </c>
      <c r="D68" s="110"/>
      <c r="E68" s="108"/>
      <c r="F68" s="108">
        <v>0.66666666666666696</v>
      </c>
      <c r="G68" s="179">
        <f>E20</f>
        <v>25.425000000000001</v>
      </c>
      <c r="H68" s="21"/>
      <c r="I68" s="110"/>
      <c r="J68" s="108"/>
      <c r="K68" s="108">
        <v>0.66666666666666696</v>
      </c>
      <c r="L68" s="179">
        <f>J20</f>
        <v>28.391666666666669</v>
      </c>
      <c r="M68" s="21"/>
      <c r="N68" s="110"/>
      <c r="O68" s="108"/>
      <c r="P68" s="108">
        <v>0.66666666666666696</v>
      </c>
      <c r="Q68" s="179">
        <f>O20</f>
        <v>34.400000000000006</v>
      </c>
      <c r="R68" s="21"/>
      <c r="S68" s="110"/>
      <c r="T68" s="108"/>
      <c r="U68" s="108">
        <v>0.66666666666666696</v>
      </c>
      <c r="V68" s="179">
        <f>T20</f>
        <v>17.966666666666669</v>
      </c>
      <c r="W68" s="21"/>
      <c r="X68" s="110"/>
      <c r="Y68" s="108"/>
      <c r="Z68" s="108">
        <v>0.66666666666666696</v>
      </c>
      <c r="AA68" s="179">
        <f>Y20</f>
        <v>-3.8666666666666671</v>
      </c>
      <c r="AB68" s="21"/>
      <c r="AC68" s="110"/>
      <c r="AD68" s="108"/>
      <c r="AE68" s="108">
        <v>0.66666666666666696</v>
      </c>
      <c r="AF68" s="179">
        <f>AD20</f>
        <v>36.491666666666667</v>
      </c>
      <c r="AH68" s="110"/>
      <c r="AI68" s="108"/>
      <c r="AJ68" s="108">
        <v>0.66666666666666696</v>
      </c>
      <c r="AK68" s="20">
        <f>AI20</f>
        <v>0</v>
      </c>
      <c r="AM68" s="110"/>
      <c r="AN68" s="108"/>
      <c r="AO68" s="108">
        <v>0.66666666666666696</v>
      </c>
      <c r="AP68" s="20">
        <f>AN20</f>
        <v>0</v>
      </c>
    </row>
    <row r="69" spans="1:42" x14ac:dyDescent="0.3">
      <c r="A69" s="110">
        <v>0.65625</v>
      </c>
      <c r="B69" s="175">
        <f t="shared" si="1"/>
        <v>-3.6083333333333338</v>
      </c>
      <c r="D69" s="110"/>
      <c r="E69" s="108"/>
      <c r="F69" s="108">
        <v>0.67708333333333304</v>
      </c>
      <c r="G69" s="179">
        <f>E20</f>
        <v>25.425000000000001</v>
      </c>
      <c r="H69" s="21"/>
      <c r="I69" s="110"/>
      <c r="J69" s="108"/>
      <c r="K69" s="108">
        <v>0.67708333333333304</v>
      </c>
      <c r="L69" s="179">
        <f>J20</f>
        <v>28.391666666666669</v>
      </c>
      <c r="M69" s="21"/>
      <c r="N69" s="110"/>
      <c r="O69" s="108"/>
      <c r="P69" s="108">
        <v>0.67708333333333304</v>
      </c>
      <c r="Q69" s="179">
        <f>O20</f>
        <v>34.400000000000006</v>
      </c>
      <c r="R69" s="21"/>
      <c r="S69" s="110"/>
      <c r="T69" s="108"/>
      <c r="U69" s="108">
        <v>0.67708333333333304</v>
      </c>
      <c r="V69" s="179">
        <f>T20</f>
        <v>17.966666666666669</v>
      </c>
      <c r="W69" s="21"/>
      <c r="X69" s="110"/>
      <c r="Y69" s="108"/>
      <c r="Z69" s="108">
        <v>0.67708333333333304</v>
      </c>
      <c r="AA69" s="179">
        <f>Y20</f>
        <v>-3.8666666666666671</v>
      </c>
      <c r="AB69" s="21"/>
      <c r="AC69" s="110"/>
      <c r="AD69" s="108"/>
      <c r="AE69" s="108">
        <v>0.67708333333333304</v>
      </c>
      <c r="AF69" s="179">
        <f>AD20</f>
        <v>36.491666666666667</v>
      </c>
      <c r="AH69" s="110"/>
      <c r="AI69" s="108"/>
      <c r="AJ69" s="108">
        <v>0.67708333333333304</v>
      </c>
      <c r="AK69" s="20">
        <f>AI20</f>
        <v>0</v>
      </c>
      <c r="AM69" s="110"/>
      <c r="AN69" s="108"/>
      <c r="AO69" s="108">
        <v>0.67708333333333304</v>
      </c>
      <c r="AP69" s="20">
        <f>AN20</f>
        <v>0</v>
      </c>
    </row>
    <row r="70" spans="1:42" x14ac:dyDescent="0.3">
      <c r="A70" s="110">
        <v>0.66666666666666696</v>
      </c>
      <c r="B70" s="175">
        <f t="shared" ref="B70:B101" si="2">IF($B$3=$D$2,G68,IF($B$3=$I$2,L68,IF($B$3=$N$2,Q68,IF($B$3=$S$2,V68,IF($B$3=$X$2,AA68,IF($B$3=$AC$2,AF68,IF($B$3=$AH$2,AK68,IF($B$3=$AM$2,AP68,0))))))))</f>
        <v>-3.8666666666666671</v>
      </c>
      <c r="D70" s="110"/>
      <c r="E70" s="108"/>
      <c r="F70" s="108">
        <v>0.6875</v>
      </c>
      <c r="G70" s="179">
        <f>E20</f>
        <v>25.425000000000001</v>
      </c>
      <c r="H70" s="21"/>
      <c r="I70" s="110"/>
      <c r="J70" s="108"/>
      <c r="K70" s="108">
        <v>0.6875</v>
      </c>
      <c r="L70" s="179">
        <f>J20</f>
        <v>28.391666666666669</v>
      </c>
      <c r="M70" s="21"/>
      <c r="N70" s="110"/>
      <c r="O70" s="108"/>
      <c r="P70" s="108">
        <v>0.6875</v>
      </c>
      <c r="Q70" s="179">
        <f>O20</f>
        <v>34.400000000000006</v>
      </c>
      <c r="R70" s="21"/>
      <c r="S70" s="110"/>
      <c r="T70" s="108"/>
      <c r="U70" s="108">
        <v>0.6875</v>
      </c>
      <c r="V70" s="179">
        <f>T20</f>
        <v>17.966666666666669</v>
      </c>
      <c r="W70" s="21"/>
      <c r="X70" s="110"/>
      <c r="Y70" s="108"/>
      <c r="Z70" s="108">
        <v>0.6875</v>
      </c>
      <c r="AA70" s="179">
        <f>Y20</f>
        <v>-3.8666666666666671</v>
      </c>
      <c r="AB70" s="21"/>
      <c r="AC70" s="110"/>
      <c r="AD70" s="108"/>
      <c r="AE70" s="108">
        <v>0.6875</v>
      </c>
      <c r="AF70" s="179">
        <f>AD20</f>
        <v>36.491666666666667</v>
      </c>
      <c r="AH70" s="110"/>
      <c r="AI70" s="108"/>
      <c r="AJ70" s="108">
        <v>0.6875</v>
      </c>
      <c r="AK70" s="20">
        <f>AI20</f>
        <v>0</v>
      </c>
      <c r="AM70" s="110"/>
      <c r="AN70" s="108"/>
      <c r="AO70" s="108">
        <v>0.6875</v>
      </c>
      <c r="AP70" s="20">
        <f>AN20</f>
        <v>0</v>
      </c>
    </row>
    <row r="71" spans="1:42" x14ac:dyDescent="0.3">
      <c r="A71" s="110">
        <v>0.67708333333333304</v>
      </c>
      <c r="B71" s="175">
        <f t="shared" si="2"/>
        <v>-3.8666666666666671</v>
      </c>
      <c r="D71" s="110"/>
      <c r="E71" s="108"/>
      <c r="F71" s="108">
        <v>0.69791666666666696</v>
      </c>
      <c r="G71" s="179">
        <f>E20</f>
        <v>25.425000000000001</v>
      </c>
      <c r="H71" s="21"/>
      <c r="I71" s="110"/>
      <c r="J71" s="108"/>
      <c r="K71" s="108">
        <v>0.69791666666666696</v>
      </c>
      <c r="L71" s="179">
        <f>J20</f>
        <v>28.391666666666669</v>
      </c>
      <c r="M71" s="21"/>
      <c r="N71" s="110"/>
      <c r="O71" s="108"/>
      <c r="P71" s="108">
        <v>0.69791666666666696</v>
      </c>
      <c r="Q71" s="179">
        <f>O20</f>
        <v>34.400000000000006</v>
      </c>
      <c r="R71" s="21"/>
      <c r="S71" s="110"/>
      <c r="T71" s="108"/>
      <c r="U71" s="108">
        <v>0.69791666666666696</v>
      </c>
      <c r="V71" s="179">
        <f>T20</f>
        <v>17.966666666666669</v>
      </c>
      <c r="W71" s="21"/>
      <c r="X71" s="110"/>
      <c r="Y71" s="108"/>
      <c r="Z71" s="108">
        <v>0.69791666666666696</v>
      </c>
      <c r="AA71" s="179">
        <f>Y20</f>
        <v>-3.8666666666666671</v>
      </c>
      <c r="AB71" s="21"/>
      <c r="AC71" s="110"/>
      <c r="AD71" s="108"/>
      <c r="AE71" s="108">
        <v>0.69791666666666696</v>
      </c>
      <c r="AF71" s="179">
        <f>AD20</f>
        <v>36.491666666666667</v>
      </c>
      <c r="AH71" s="110"/>
      <c r="AI71" s="108"/>
      <c r="AJ71" s="108">
        <v>0.69791666666666696</v>
      </c>
      <c r="AK71" s="20">
        <f>AI20</f>
        <v>0</v>
      </c>
      <c r="AM71" s="110"/>
      <c r="AN71" s="108"/>
      <c r="AO71" s="108">
        <v>0.69791666666666696</v>
      </c>
      <c r="AP71" s="20">
        <f>AN20</f>
        <v>0</v>
      </c>
    </row>
    <row r="72" spans="1:42" x14ac:dyDescent="0.3">
      <c r="A72" s="110">
        <v>0.6875</v>
      </c>
      <c r="B72" s="175">
        <f t="shared" si="2"/>
        <v>-3.8666666666666671</v>
      </c>
      <c r="D72" s="110"/>
      <c r="E72" s="108"/>
      <c r="F72" s="108">
        <v>0.70833333333333304</v>
      </c>
      <c r="G72" s="179">
        <f>E21</f>
        <v>24.483333333333331</v>
      </c>
      <c r="H72" s="21"/>
      <c r="I72" s="110"/>
      <c r="J72" s="108"/>
      <c r="K72" s="108">
        <v>0.70833333333333304</v>
      </c>
      <c r="L72" s="179">
        <f>J21</f>
        <v>27.283333333333335</v>
      </c>
      <c r="M72" s="21"/>
      <c r="N72" s="110"/>
      <c r="O72" s="108"/>
      <c r="P72" s="108">
        <v>0.70833333333333304</v>
      </c>
      <c r="Q72" s="179">
        <f>O21</f>
        <v>34.400000000000006</v>
      </c>
      <c r="R72" s="21"/>
      <c r="S72" s="110"/>
      <c r="T72" s="108"/>
      <c r="U72" s="108">
        <v>0.70833333333333304</v>
      </c>
      <c r="V72" s="179">
        <f>T21</f>
        <v>17.800000000000004</v>
      </c>
      <c r="W72" s="21"/>
      <c r="X72" s="110"/>
      <c r="Y72" s="108"/>
      <c r="Z72" s="108">
        <v>0.70833333333333304</v>
      </c>
      <c r="AA72" s="179">
        <f>Y21</f>
        <v>-5.3083333333333336</v>
      </c>
      <c r="AB72" s="21"/>
      <c r="AC72" s="110"/>
      <c r="AD72" s="108"/>
      <c r="AE72" s="108">
        <v>0.70833333333333304</v>
      </c>
      <c r="AF72" s="179">
        <f>AD21</f>
        <v>36.641666666666666</v>
      </c>
      <c r="AH72" s="110"/>
      <c r="AI72" s="108"/>
      <c r="AJ72" s="108">
        <v>0.70833333333333304</v>
      </c>
      <c r="AK72" s="20">
        <f>AI21</f>
        <v>0</v>
      </c>
      <c r="AM72" s="110"/>
      <c r="AN72" s="108"/>
      <c r="AO72" s="108">
        <v>0.70833333333333304</v>
      </c>
      <c r="AP72" s="20">
        <f>AN21</f>
        <v>0</v>
      </c>
    </row>
    <row r="73" spans="1:42" x14ac:dyDescent="0.3">
      <c r="A73" s="110">
        <v>0.69791666666666696</v>
      </c>
      <c r="B73" s="175">
        <f t="shared" si="2"/>
        <v>-3.8666666666666671</v>
      </c>
      <c r="D73" s="110"/>
      <c r="E73" s="108"/>
      <c r="F73" s="108">
        <v>0.71875</v>
      </c>
      <c r="G73" s="179">
        <f>E21</f>
        <v>24.483333333333331</v>
      </c>
      <c r="H73" s="21"/>
      <c r="I73" s="110"/>
      <c r="J73" s="108"/>
      <c r="K73" s="108">
        <v>0.71875</v>
      </c>
      <c r="L73" s="179">
        <f>J21</f>
        <v>27.283333333333335</v>
      </c>
      <c r="M73" s="21"/>
      <c r="N73" s="110"/>
      <c r="O73" s="108"/>
      <c r="P73" s="108">
        <v>0.71875</v>
      </c>
      <c r="Q73" s="179">
        <f>O21</f>
        <v>34.400000000000006</v>
      </c>
      <c r="R73" s="21"/>
      <c r="S73" s="110"/>
      <c r="T73" s="108"/>
      <c r="U73" s="108">
        <v>0.71875</v>
      </c>
      <c r="V73" s="179">
        <f>T21</f>
        <v>17.800000000000004</v>
      </c>
      <c r="W73" s="21"/>
      <c r="X73" s="110"/>
      <c r="Y73" s="108"/>
      <c r="Z73" s="108">
        <v>0.71875</v>
      </c>
      <c r="AA73" s="179">
        <f>Y21</f>
        <v>-5.3083333333333336</v>
      </c>
      <c r="AB73" s="21"/>
      <c r="AC73" s="110"/>
      <c r="AD73" s="108"/>
      <c r="AE73" s="108">
        <v>0.71875</v>
      </c>
      <c r="AF73" s="179">
        <f>AD21</f>
        <v>36.641666666666666</v>
      </c>
      <c r="AH73" s="110"/>
      <c r="AI73" s="108"/>
      <c r="AJ73" s="108">
        <v>0.71875</v>
      </c>
      <c r="AK73" s="20">
        <f>AI21</f>
        <v>0</v>
      </c>
      <c r="AM73" s="110"/>
      <c r="AN73" s="108"/>
      <c r="AO73" s="108">
        <v>0.71875</v>
      </c>
      <c r="AP73" s="20">
        <f>AN21</f>
        <v>0</v>
      </c>
    </row>
    <row r="74" spans="1:42" x14ac:dyDescent="0.3">
      <c r="A74" s="110">
        <v>0.70833333333333304</v>
      </c>
      <c r="B74" s="175">
        <f t="shared" si="2"/>
        <v>-5.3083333333333336</v>
      </c>
      <c r="D74" s="110"/>
      <c r="E74" s="108"/>
      <c r="F74" s="108">
        <v>0.72916666666666696</v>
      </c>
      <c r="G74" s="179">
        <f>E21</f>
        <v>24.483333333333331</v>
      </c>
      <c r="H74" s="21"/>
      <c r="I74" s="110"/>
      <c r="J74" s="108"/>
      <c r="K74" s="108">
        <v>0.72916666666666696</v>
      </c>
      <c r="L74" s="179">
        <f>J21</f>
        <v>27.283333333333335</v>
      </c>
      <c r="M74" s="21"/>
      <c r="N74" s="110"/>
      <c r="O74" s="108"/>
      <c r="P74" s="108">
        <v>0.72916666666666696</v>
      </c>
      <c r="Q74" s="179">
        <f>O21</f>
        <v>34.400000000000006</v>
      </c>
      <c r="R74" s="21"/>
      <c r="S74" s="110"/>
      <c r="T74" s="108"/>
      <c r="U74" s="108">
        <v>0.72916666666666696</v>
      </c>
      <c r="V74" s="179">
        <f>T21</f>
        <v>17.800000000000004</v>
      </c>
      <c r="W74" s="21"/>
      <c r="X74" s="110"/>
      <c r="Y74" s="108"/>
      <c r="Z74" s="108">
        <v>0.72916666666666696</v>
      </c>
      <c r="AA74" s="179">
        <f>Y21</f>
        <v>-5.3083333333333336</v>
      </c>
      <c r="AB74" s="21"/>
      <c r="AC74" s="110"/>
      <c r="AD74" s="108"/>
      <c r="AE74" s="108">
        <v>0.72916666666666696</v>
      </c>
      <c r="AF74" s="179">
        <f>AD21</f>
        <v>36.641666666666666</v>
      </c>
      <c r="AH74" s="110"/>
      <c r="AI74" s="108"/>
      <c r="AJ74" s="108">
        <v>0.72916666666666696</v>
      </c>
      <c r="AK74" s="20">
        <f>AI21</f>
        <v>0</v>
      </c>
      <c r="AM74" s="110"/>
      <c r="AN74" s="108"/>
      <c r="AO74" s="108">
        <v>0.72916666666666696</v>
      </c>
      <c r="AP74" s="20">
        <f>AN21</f>
        <v>0</v>
      </c>
    </row>
    <row r="75" spans="1:42" x14ac:dyDescent="0.3">
      <c r="A75" s="110">
        <v>0.71875</v>
      </c>
      <c r="B75" s="175">
        <f t="shared" si="2"/>
        <v>-5.3083333333333336</v>
      </c>
      <c r="D75" s="110"/>
      <c r="E75" s="108"/>
      <c r="F75" s="108">
        <v>0.73958333333333304</v>
      </c>
      <c r="G75" s="179">
        <f>E21</f>
        <v>24.483333333333331</v>
      </c>
      <c r="H75" s="21"/>
      <c r="I75" s="110"/>
      <c r="J75" s="108"/>
      <c r="K75" s="108">
        <v>0.73958333333333304</v>
      </c>
      <c r="L75" s="179">
        <f>J21</f>
        <v>27.283333333333335</v>
      </c>
      <c r="M75" s="21"/>
      <c r="N75" s="110"/>
      <c r="O75" s="108"/>
      <c r="P75" s="108">
        <v>0.73958333333333304</v>
      </c>
      <c r="Q75" s="179">
        <f>O21</f>
        <v>34.400000000000006</v>
      </c>
      <c r="R75" s="21"/>
      <c r="S75" s="110"/>
      <c r="T75" s="108"/>
      <c r="U75" s="108">
        <v>0.73958333333333304</v>
      </c>
      <c r="V75" s="179">
        <f>T21</f>
        <v>17.800000000000004</v>
      </c>
      <c r="W75" s="21"/>
      <c r="X75" s="110"/>
      <c r="Y75" s="108"/>
      <c r="Z75" s="108">
        <v>0.73958333333333304</v>
      </c>
      <c r="AA75" s="179">
        <f>Y21</f>
        <v>-5.3083333333333336</v>
      </c>
      <c r="AB75" s="21"/>
      <c r="AC75" s="110"/>
      <c r="AD75" s="108"/>
      <c r="AE75" s="108">
        <v>0.73958333333333304</v>
      </c>
      <c r="AF75" s="179">
        <f>AD21</f>
        <v>36.641666666666666</v>
      </c>
      <c r="AH75" s="110"/>
      <c r="AI75" s="108"/>
      <c r="AJ75" s="108">
        <v>0.73958333333333304</v>
      </c>
      <c r="AK75" s="20">
        <f>AI21</f>
        <v>0</v>
      </c>
      <c r="AM75" s="110"/>
      <c r="AN75" s="108"/>
      <c r="AO75" s="108">
        <v>0.73958333333333304</v>
      </c>
      <c r="AP75" s="20">
        <f>AN21</f>
        <v>0</v>
      </c>
    </row>
    <row r="76" spans="1:42" x14ac:dyDescent="0.3">
      <c r="A76" s="110">
        <v>0.72916666666666696</v>
      </c>
      <c r="B76" s="175">
        <f t="shared" si="2"/>
        <v>-5.3083333333333336</v>
      </c>
      <c r="D76" s="110"/>
      <c r="E76" s="108"/>
      <c r="F76" s="108">
        <v>0.75</v>
      </c>
      <c r="G76" s="179">
        <f>E22</f>
        <v>22.849999999999998</v>
      </c>
      <c r="H76" s="21"/>
      <c r="I76" s="110"/>
      <c r="J76" s="108"/>
      <c r="K76" s="108">
        <v>0.75</v>
      </c>
      <c r="L76" s="179">
        <f>J22</f>
        <v>25.650000000000002</v>
      </c>
      <c r="M76" s="21"/>
      <c r="N76" s="110"/>
      <c r="O76" s="108"/>
      <c r="P76" s="108">
        <v>0.75</v>
      </c>
      <c r="Q76" s="179">
        <f>O22</f>
        <v>34.108333333333334</v>
      </c>
      <c r="R76" s="21"/>
      <c r="S76" s="110"/>
      <c r="T76" s="108"/>
      <c r="U76" s="108">
        <v>0.75</v>
      </c>
      <c r="V76" s="179">
        <f>T22</f>
        <v>17.800000000000004</v>
      </c>
      <c r="W76" s="21"/>
      <c r="X76" s="110"/>
      <c r="Y76" s="108"/>
      <c r="Z76" s="108">
        <v>0.75</v>
      </c>
      <c r="AA76" s="179">
        <f>Y22</f>
        <v>-6.9750000000000005</v>
      </c>
      <c r="AB76" s="21"/>
      <c r="AC76" s="110"/>
      <c r="AD76" s="108"/>
      <c r="AE76" s="108">
        <v>0.75</v>
      </c>
      <c r="AF76" s="179">
        <f>AD22</f>
        <v>36.308333333333337</v>
      </c>
      <c r="AH76" s="110"/>
      <c r="AI76" s="108"/>
      <c r="AJ76" s="108">
        <v>0.75</v>
      </c>
      <c r="AK76" s="20">
        <f>AI22</f>
        <v>0</v>
      </c>
      <c r="AM76" s="110"/>
      <c r="AN76" s="108"/>
      <c r="AO76" s="108">
        <v>0.75</v>
      </c>
      <c r="AP76" s="20">
        <f>AN22</f>
        <v>0</v>
      </c>
    </row>
    <row r="77" spans="1:42" x14ac:dyDescent="0.3">
      <c r="A77" s="110">
        <v>0.73958333333333304</v>
      </c>
      <c r="B77" s="175">
        <f t="shared" si="2"/>
        <v>-5.3083333333333336</v>
      </c>
      <c r="D77" s="110"/>
      <c r="E77" s="108"/>
      <c r="F77" s="108">
        <v>0.76041666666666696</v>
      </c>
      <c r="G77" s="179">
        <f>E22</f>
        <v>22.849999999999998</v>
      </c>
      <c r="H77" s="21"/>
      <c r="I77" s="110"/>
      <c r="J77" s="108"/>
      <c r="K77" s="108">
        <v>0.76041666666666696</v>
      </c>
      <c r="L77" s="179">
        <f>J22</f>
        <v>25.650000000000002</v>
      </c>
      <c r="M77" s="21"/>
      <c r="N77" s="110"/>
      <c r="O77" s="108"/>
      <c r="P77" s="108">
        <v>0.76041666666666696</v>
      </c>
      <c r="Q77" s="179">
        <f>O22</f>
        <v>34.108333333333334</v>
      </c>
      <c r="R77" s="21"/>
      <c r="S77" s="110"/>
      <c r="T77" s="108"/>
      <c r="U77" s="108">
        <v>0.76041666666666696</v>
      </c>
      <c r="V77" s="179">
        <f>T22</f>
        <v>17.800000000000004</v>
      </c>
      <c r="W77" s="21"/>
      <c r="X77" s="110"/>
      <c r="Y77" s="108"/>
      <c r="Z77" s="108">
        <v>0.76041666666666696</v>
      </c>
      <c r="AA77" s="179">
        <f>Y22</f>
        <v>-6.9750000000000005</v>
      </c>
      <c r="AB77" s="21"/>
      <c r="AC77" s="110"/>
      <c r="AD77" s="108"/>
      <c r="AE77" s="108">
        <v>0.76041666666666696</v>
      </c>
      <c r="AF77" s="179">
        <f>AD22</f>
        <v>36.308333333333337</v>
      </c>
      <c r="AH77" s="110"/>
      <c r="AI77" s="108"/>
      <c r="AJ77" s="108">
        <v>0.76041666666666696</v>
      </c>
      <c r="AK77" s="20">
        <f>AI22</f>
        <v>0</v>
      </c>
      <c r="AM77" s="110"/>
      <c r="AN77" s="108"/>
      <c r="AO77" s="108">
        <v>0.76041666666666696</v>
      </c>
      <c r="AP77" s="20">
        <f>AN22</f>
        <v>0</v>
      </c>
    </row>
    <row r="78" spans="1:42" x14ac:dyDescent="0.3">
      <c r="A78" s="110">
        <v>0.75</v>
      </c>
      <c r="B78" s="175">
        <f t="shared" si="2"/>
        <v>-6.9750000000000005</v>
      </c>
      <c r="D78" s="110"/>
      <c r="E78" s="108"/>
      <c r="F78" s="108">
        <v>0.77083333333333304</v>
      </c>
      <c r="G78" s="179">
        <f>E22</f>
        <v>22.849999999999998</v>
      </c>
      <c r="H78" s="21"/>
      <c r="I78" s="110"/>
      <c r="J78" s="108"/>
      <c r="K78" s="108">
        <v>0.77083333333333304</v>
      </c>
      <c r="L78" s="179">
        <f>J22</f>
        <v>25.650000000000002</v>
      </c>
      <c r="M78" s="21"/>
      <c r="N78" s="110"/>
      <c r="O78" s="108"/>
      <c r="P78" s="108">
        <v>0.77083333333333304</v>
      </c>
      <c r="Q78" s="179">
        <f>O22</f>
        <v>34.108333333333334</v>
      </c>
      <c r="R78" s="21"/>
      <c r="S78" s="110"/>
      <c r="T78" s="108"/>
      <c r="U78" s="108">
        <v>0.77083333333333304</v>
      </c>
      <c r="V78" s="179">
        <f>T22</f>
        <v>17.800000000000004</v>
      </c>
      <c r="W78" s="21"/>
      <c r="X78" s="110"/>
      <c r="Y78" s="108"/>
      <c r="Z78" s="108">
        <v>0.77083333333333304</v>
      </c>
      <c r="AA78" s="179">
        <f>Y22</f>
        <v>-6.9750000000000005</v>
      </c>
      <c r="AB78" s="21"/>
      <c r="AC78" s="110"/>
      <c r="AD78" s="108"/>
      <c r="AE78" s="108">
        <v>0.77083333333333304</v>
      </c>
      <c r="AF78" s="179">
        <f>AD22</f>
        <v>36.308333333333337</v>
      </c>
      <c r="AH78" s="110"/>
      <c r="AI78" s="108"/>
      <c r="AJ78" s="108">
        <v>0.77083333333333304</v>
      </c>
      <c r="AK78" s="20">
        <f>AI22</f>
        <v>0</v>
      </c>
      <c r="AM78" s="110"/>
      <c r="AN78" s="108"/>
      <c r="AO78" s="108">
        <v>0.77083333333333304</v>
      </c>
      <c r="AP78" s="20">
        <f>AN22</f>
        <v>0</v>
      </c>
    </row>
    <row r="79" spans="1:42" x14ac:dyDescent="0.3">
      <c r="A79" s="110">
        <v>0.76041666666666696</v>
      </c>
      <c r="B79" s="175">
        <f t="shared" si="2"/>
        <v>-6.9750000000000005</v>
      </c>
      <c r="D79" s="110"/>
      <c r="E79" s="108"/>
      <c r="F79" s="108">
        <v>0.78125</v>
      </c>
      <c r="G79" s="179">
        <f>E22</f>
        <v>22.849999999999998</v>
      </c>
      <c r="H79" s="21"/>
      <c r="I79" s="110"/>
      <c r="J79" s="108"/>
      <c r="K79" s="108">
        <v>0.78125</v>
      </c>
      <c r="L79" s="179">
        <f>J22</f>
        <v>25.650000000000002</v>
      </c>
      <c r="M79" s="21"/>
      <c r="N79" s="110"/>
      <c r="O79" s="108"/>
      <c r="P79" s="108">
        <v>0.78125</v>
      </c>
      <c r="Q79" s="179">
        <f>O22</f>
        <v>34.108333333333334</v>
      </c>
      <c r="R79" s="21"/>
      <c r="S79" s="110"/>
      <c r="T79" s="108"/>
      <c r="U79" s="108">
        <v>0.78125</v>
      </c>
      <c r="V79" s="179">
        <f>T22</f>
        <v>17.800000000000004</v>
      </c>
      <c r="W79" s="21"/>
      <c r="X79" s="110"/>
      <c r="Y79" s="108"/>
      <c r="Z79" s="108">
        <v>0.78125</v>
      </c>
      <c r="AA79" s="179">
        <f>Y22</f>
        <v>-6.9750000000000005</v>
      </c>
      <c r="AB79" s="21"/>
      <c r="AC79" s="110"/>
      <c r="AD79" s="108"/>
      <c r="AE79" s="108">
        <v>0.78125</v>
      </c>
      <c r="AF79" s="179">
        <f>AD22</f>
        <v>36.308333333333337</v>
      </c>
      <c r="AH79" s="110"/>
      <c r="AI79" s="108"/>
      <c r="AJ79" s="108">
        <v>0.78125</v>
      </c>
      <c r="AK79" s="20">
        <f>AI22</f>
        <v>0</v>
      </c>
      <c r="AM79" s="110"/>
      <c r="AN79" s="108"/>
      <c r="AO79" s="108">
        <v>0.78125</v>
      </c>
      <c r="AP79" s="20">
        <f>AN22</f>
        <v>0</v>
      </c>
    </row>
    <row r="80" spans="1:42" x14ac:dyDescent="0.3">
      <c r="A80" s="110">
        <v>0.77083333333333304</v>
      </c>
      <c r="B80" s="175">
        <f t="shared" si="2"/>
        <v>-6.9750000000000005</v>
      </c>
      <c r="D80" s="110"/>
      <c r="E80" s="108"/>
      <c r="F80" s="108">
        <v>0.79166666666666696</v>
      </c>
      <c r="G80" s="179">
        <f>E23</f>
        <v>21.4</v>
      </c>
      <c r="H80" s="21"/>
      <c r="I80" s="110"/>
      <c r="J80" s="108"/>
      <c r="K80" s="108">
        <v>0.79166666666666696</v>
      </c>
      <c r="L80" s="179">
        <f>J23</f>
        <v>23.791666666666668</v>
      </c>
      <c r="M80" s="21"/>
      <c r="N80" s="110"/>
      <c r="O80" s="108"/>
      <c r="P80" s="108">
        <v>0.79166666666666696</v>
      </c>
      <c r="Q80" s="179">
        <f>O23</f>
        <v>33.550000000000004</v>
      </c>
      <c r="R80" s="21"/>
      <c r="S80" s="110"/>
      <c r="T80" s="108"/>
      <c r="U80" s="108">
        <v>0.79166666666666696</v>
      </c>
      <c r="V80" s="179">
        <f>T23</f>
        <v>17.800000000000004</v>
      </c>
      <c r="W80" s="21"/>
      <c r="X80" s="110"/>
      <c r="Y80" s="108"/>
      <c r="Z80" s="108">
        <v>0.79166666666666696</v>
      </c>
      <c r="AA80" s="179">
        <f>Y23</f>
        <v>-8.4749999999999996</v>
      </c>
      <c r="AB80" s="21"/>
      <c r="AC80" s="110"/>
      <c r="AD80" s="108"/>
      <c r="AE80" s="108">
        <v>0.79166666666666696</v>
      </c>
      <c r="AF80" s="179">
        <f>AD23</f>
        <v>35.4</v>
      </c>
      <c r="AH80" s="110"/>
      <c r="AI80" s="108"/>
      <c r="AJ80" s="108">
        <v>0.79166666666666696</v>
      </c>
      <c r="AK80" s="20">
        <f>AI23</f>
        <v>0</v>
      </c>
      <c r="AM80" s="110"/>
      <c r="AN80" s="108"/>
      <c r="AO80" s="108">
        <v>0.79166666666666696</v>
      </c>
      <c r="AP80" s="20">
        <f>AN23</f>
        <v>0</v>
      </c>
    </row>
    <row r="81" spans="1:42" x14ac:dyDescent="0.3">
      <c r="A81" s="110">
        <v>0.78125</v>
      </c>
      <c r="B81" s="175">
        <f t="shared" si="2"/>
        <v>-6.9750000000000005</v>
      </c>
      <c r="D81" s="110"/>
      <c r="E81" s="108"/>
      <c r="F81" s="108">
        <v>0.80208333333333304</v>
      </c>
      <c r="G81" s="179">
        <f>E23</f>
        <v>21.4</v>
      </c>
      <c r="H81" s="21"/>
      <c r="I81" s="110"/>
      <c r="J81" s="108"/>
      <c r="K81" s="108">
        <v>0.80208333333333304</v>
      </c>
      <c r="L81" s="179">
        <f>J23</f>
        <v>23.791666666666668</v>
      </c>
      <c r="M81" s="21"/>
      <c r="N81" s="110"/>
      <c r="O81" s="108"/>
      <c r="P81" s="108">
        <v>0.80208333333333304</v>
      </c>
      <c r="Q81" s="179">
        <f>O23</f>
        <v>33.550000000000004</v>
      </c>
      <c r="R81" s="21"/>
      <c r="S81" s="110"/>
      <c r="T81" s="108"/>
      <c r="U81" s="108">
        <v>0.80208333333333304</v>
      </c>
      <c r="V81" s="179">
        <f>T23</f>
        <v>17.800000000000004</v>
      </c>
      <c r="W81" s="21"/>
      <c r="X81" s="110"/>
      <c r="Y81" s="108"/>
      <c r="Z81" s="108">
        <v>0.80208333333333304</v>
      </c>
      <c r="AA81" s="179">
        <f>Y23</f>
        <v>-8.4749999999999996</v>
      </c>
      <c r="AB81" s="21"/>
      <c r="AC81" s="110"/>
      <c r="AD81" s="108"/>
      <c r="AE81" s="108">
        <v>0.80208333333333304</v>
      </c>
      <c r="AF81" s="179">
        <f>AD23</f>
        <v>35.4</v>
      </c>
      <c r="AH81" s="110"/>
      <c r="AI81" s="108"/>
      <c r="AJ81" s="108">
        <v>0.80208333333333304</v>
      </c>
      <c r="AK81" s="20">
        <f>AI23</f>
        <v>0</v>
      </c>
      <c r="AM81" s="110"/>
      <c r="AN81" s="108"/>
      <c r="AO81" s="108">
        <v>0.80208333333333304</v>
      </c>
      <c r="AP81" s="20">
        <f>AN23</f>
        <v>0</v>
      </c>
    </row>
    <row r="82" spans="1:42" x14ac:dyDescent="0.3">
      <c r="A82" s="110">
        <v>0.79166666666666696</v>
      </c>
      <c r="B82" s="175">
        <f t="shared" si="2"/>
        <v>-8.4749999999999996</v>
      </c>
      <c r="D82" s="110"/>
      <c r="E82" s="108"/>
      <c r="F82" s="108">
        <v>0.8125</v>
      </c>
      <c r="G82" s="179">
        <f>E23</f>
        <v>21.4</v>
      </c>
      <c r="H82" s="21"/>
      <c r="I82" s="110"/>
      <c r="J82" s="108"/>
      <c r="K82" s="108">
        <v>0.8125</v>
      </c>
      <c r="L82" s="179">
        <f>J23</f>
        <v>23.791666666666668</v>
      </c>
      <c r="M82" s="21"/>
      <c r="N82" s="110"/>
      <c r="O82" s="108"/>
      <c r="P82" s="108">
        <v>0.8125</v>
      </c>
      <c r="Q82" s="179">
        <f>O23</f>
        <v>33.550000000000004</v>
      </c>
      <c r="R82" s="21"/>
      <c r="S82" s="110"/>
      <c r="T82" s="108"/>
      <c r="U82" s="108">
        <v>0.8125</v>
      </c>
      <c r="V82" s="179">
        <f>T23</f>
        <v>17.800000000000004</v>
      </c>
      <c r="W82" s="21"/>
      <c r="X82" s="110"/>
      <c r="Y82" s="108"/>
      <c r="Z82" s="108">
        <v>0.8125</v>
      </c>
      <c r="AA82" s="179">
        <f>Y23</f>
        <v>-8.4749999999999996</v>
      </c>
      <c r="AB82" s="21"/>
      <c r="AC82" s="110"/>
      <c r="AD82" s="108"/>
      <c r="AE82" s="108">
        <v>0.8125</v>
      </c>
      <c r="AF82" s="179">
        <f>AD23</f>
        <v>35.4</v>
      </c>
      <c r="AH82" s="110"/>
      <c r="AI82" s="108"/>
      <c r="AJ82" s="108">
        <v>0.8125</v>
      </c>
      <c r="AK82" s="20">
        <f>AI23</f>
        <v>0</v>
      </c>
      <c r="AM82" s="110"/>
      <c r="AN82" s="108"/>
      <c r="AO82" s="108">
        <v>0.8125</v>
      </c>
      <c r="AP82" s="20">
        <f>AN23</f>
        <v>0</v>
      </c>
    </row>
    <row r="83" spans="1:42" x14ac:dyDescent="0.3">
      <c r="A83" s="110">
        <v>0.80208333333333304</v>
      </c>
      <c r="B83" s="175">
        <f t="shared" si="2"/>
        <v>-8.4749999999999996</v>
      </c>
      <c r="D83" s="110"/>
      <c r="E83" s="108"/>
      <c r="F83" s="108">
        <v>0.82291666666666696</v>
      </c>
      <c r="G83" s="179">
        <f>E23</f>
        <v>21.4</v>
      </c>
      <c r="H83" s="21"/>
      <c r="I83" s="110"/>
      <c r="J83" s="108"/>
      <c r="K83" s="108">
        <v>0.82291666666666696</v>
      </c>
      <c r="L83" s="179">
        <f>J23</f>
        <v>23.791666666666668</v>
      </c>
      <c r="M83" s="21"/>
      <c r="N83" s="110"/>
      <c r="O83" s="108"/>
      <c r="P83" s="108">
        <v>0.82291666666666696</v>
      </c>
      <c r="Q83" s="179">
        <f>O23</f>
        <v>33.550000000000004</v>
      </c>
      <c r="R83" s="21"/>
      <c r="S83" s="110"/>
      <c r="T83" s="108"/>
      <c r="U83" s="108">
        <v>0.82291666666666696</v>
      </c>
      <c r="V83" s="179">
        <f>T23</f>
        <v>17.800000000000004</v>
      </c>
      <c r="W83" s="21"/>
      <c r="X83" s="110"/>
      <c r="Y83" s="108"/>
      <c r="Z83" s="108">
        <v>0.82291666666666696</v>
      </c>
      <c r="AA83" s="179">
        <f>Y23</f>
        <v>-8.4749999999999996</v>
      </c>
      <c r="AB83" s="21"/>
      <c r="AC83" s="110"/>
      <c r="AD83" s="108"/>
      <c r="AE83" s="108">
        <v>0.82291666666666696</v>
      </c>
      <c r="AF83" s="179">
        <f>AD23</f>
        <v>35.4</v>
      </c>
      <c r="AH83" s="110"/>
      <c r="AI83" s="108"/>
      <c r="AJ83" s="108">
        <v>0.82291666666666696</v>
      </c>
      <c r="AK83" s="20">
        <f>AI23</f>
        <v>0</v>
      </c>
      <c r="AM83" s="110"/>
      <c r="AN83" s="108"/>
      <c r="AO83" s="108">
        <v>0.82291666666666696</v>
      </c>
      <c r="AP83" s="20">
        <f>AN23</f>
        <v>0</v>
      </c>
    </row>
    <row r="84" spans="1:42" x14ac:dyDescent="0.3">
      <c r="A84" s="110">
        <v>0.8125</v>
      </c>
      <c r="B84" s="175">
        <f t="shared" si="2"/>
        <v>-8.4749999999999996</v>
      </c>
      <c r="D84" s="110"/>
      <c r="E84" s="108"/>
      <c r="F84" s="108">
        <v>0.83333333333333304</v>
      </c>
      <c r="G84" s="179">
        <f>E24</f>
        <v>20.025000000000002</v>
      </c>
      <c r="H84" s="21"/>
      <c r="I84" s="110"/>
      <c r="J84" s="108"/>
      <c r="K84" s="108">
        <v>0.83333333333333304</v>
      </c>
      <c r="L84" s="179">
        <f>J24</f>
        <v>21.658333333333335</v>
      </c>
      <c r="M84" s="21"/>
      <c r="N84" s="110"/>
      <c r="O84" s="108"/>
      <c r="P84" s="108">
        <v>0.83333333333333304</v>
      </c>
      <c r="Q84" s="179">
        <f>O24</f>
        <v>32.833333333333329</v>
      </c>
      <c r="R84" s="21"/>
      <c r="S84" s="110"/>
      <c r="T84" s="108"/>
      <c r="U84" s="108">
        <v>0.83333333333333304</v>
      </c>
      <c r="V84" s="179">
        <f>T24</f>
        <v>17.800000000000004</v>
      </c>
      <c r="W84" s="21"/>
      <c r="X84" s="110"/>
      <c r="Y84" s="108"/>
      <c r="Z84" s="108">
        <v>0.83333333333333304</v>
      </c>
      <c r="AA84" s="179">
        <f>Y24</f>
        <v>-10.033333333333335</v>
      </c>
      <c r="AB84" s="21"/>
      <c r="AC84" s="110"/>
      <c r="AD84" s="108"/>
      <c r="AE84" s="108">
        <v>0.83333333333333304</v>
      </c>
      <c r="AF84" s="179">
        <f>AD24</f>
        <v>34.200000000000003</v>
      </c>
      <c r="AH84" s="110"/>
      <c r="AI84" s="108"/>
      <c r="AJ84" s="108">
        <v>0.83333333333333304</v>
      </c>
      <c r="AK84" s="20">
        <f>AI24</f>
        <v>0</v>
      </c>
      <c r="AM84" s="110"/>
      <c r="AN84" s="108"/>
      <c r="AO84" s="108">
        <v>0.83333333333333304</v>
      </c>
      <c r="AP84" s="20">
        <f>AN24</f>
        <v>0</v>
      </c>
    </row>
    <row r="85" spans="1:42" x14ac:dyDescent="0.3">
      <c r="A85" s="110">
        <v>0.82291666666666696</v>
      </c>
      <c r="B85" s="175">
        <f t="shared" si="2"/>
        <v>-8.4749999999999996</v>
      </c>
      <c r="D85" s="110"/>
      <c r="E85" s="108"/>
      <c r="F85" s="108">
        <v>0.84375</v>
      </c>
      <c r="G85" s="179">
        <f>E24</f>
        <v>20.025000000000002</v>
      </c>
      <c r="H85" s="21"/>
      <c r="I85" s="110"/>
      <c r="J85" s="108"/>
      <c r="K85" s="108">
        <v>0.84375</v>
      </c>
      <c r="L85" s="179">
        <f>J24</f>
        <v>21.658333333333335</v>
      </c>
      <c r="M85" s="21"/>
      <c r="N85" s="110"/>
      <c r="O85" s="108"/>
      <c r="P85" s="108">
        <v>0.84375</v>
      </c>
      <c r="Q85" s="179">
        <f>O24</f>
        <v>32.833333333333329</v>
      </c>
      <c r="R85" s="21"/>
      <c r="S85" s="110"/>
      <c r="T85" s="108"/>
      <c r="U85" s="108">
        <v>0.84375</v>
      </c>
      <c r="V85" s="179">
        <f>T24</f>
        <v>17.800000000000004</v>
      </c>
      <c r="W85" s="21"/>
      <c r="X85" s="110"/>
      <c r="Y85" s="108"/>
      <c r="Z85" s="108">
        <v>0.84375</v>
      </c>
      <c r="AA85" s="179">
        <f>Y24</f>
        <v>-10.033333333333335</v>
      </c>
      <c r="AB85" s="21"/>
      <c r="AC85" s="110"/>
      <c r="AD85" s="108"/>
      <c r="AE85" s="108">
        <v>0.84375</v>
      </c>
      <c r="AF85" s="179">
        <f>AD24</f>
        <v>34.200000000000003</v>
      </c>
      <c r="AH85" s="110"/>
      <c r="AI85" s="108"/>
      <c r="AJ85" s="108">
        <v>0.84375</v>
      </c>
      <c r="AK85" s="20">
        <f>AI24</f>
        <v>0</v>
      </c>
      <c r="AM85" s="110"/>
      <c r="AN85" s="108"/>
      <c r="AO85" s="108">
        <v>0.84375</v>
      </c>
      <c r="AP85" s="20">
        <f>AN24</f>
        <v>0</v>
      </c>
    </row>
    <row r="86" spans="1:42" x14ac:dyDescent="0.3">
      <c r="A86" s="110">
        <v>0.83333333333333304</v>
      </c>
      <c r="B86" s="175">
        <f t="shared" si="2"/>
        <v>-10.033333333333335</v>
      </c>
      <c r="D86" s="110"/>
      <c r="E86" s="108"/>
      <c r="F86" s="108">
        <v>0.85416666666666696</v>
      </c>
      <c r="G86" s="179">
        <f>E24</f>
        <v>20.025000000000002</v>
      </c>
      <c r="H86" s="21"/>
      <c r="I86" s="110"/>
      <c r="J86" s="108"/>
      <c r="K86" s="108">
        <v>0.85416666666666696</v>
      </c>
      <c r="L86" s="179">
        <f>J24</f>
        <v>21.658333333333335</v>
      </c>
      <c r="M86" s="21"/>
      <c r="N86" s="110"/>
      <c r="O86" s="108"/>
      <c r="P86" s="108">
        <v>0.85416666666666696</v>
      </c>
      <c r="Q86" s="179">
        <f>O24</f>
        <v>32.833333333333329</v>
      </c>
      <c r="R86" s="21"/>
      <c r="S86" s="110"/>
      <c r="T86" s="108"/>
      <c r="U86" s="108">
        <v>0.85416666666666696</v>
      </c>
      <c r="V86" s="179">
        <f>T24</f>
        <v>17.800000000000004</v>
      </c>
      <c r="W86" s="21"/>
      <c r="X86" s="110"/>
      <c r="Y86" s="108"/>
      <c r="Z86" s="108">
        <v>0.85416666666666696</v>
      </c>
      <c r="AA86" s="179">
        <f>Y24</f>
        <v>-10.033333333333335</v>
      </c>
      <c r="AB86" s="21"/>
      <c r="AC86" s="110"/>
      <c r="AD86" s="108"/>
      <c r="AE86" s="108">
        <v>0.85416666666666696</v>
      </c>
      <c r="AF86" s="179">
        <f>AD24</f>
        <v>34.200000000000003</v>
      </c>
      <c r="AH86" s="110"/>
      <c r="AI86" s="108"/>
      <c r="AJ86" s="108">
        <v>0.85416666666666696</v>
      </c>
      <c r="AK86" s="20">
        <f>AI24</f>
        <v>0</v>
      </c>
      <c r="AM86" s="110"/>
      <c r="AN86" s="108"/>
      <c r="AO86" s="108">
        <v>0.85416666666666696</v>
      </c>
      <c r="AP86" s="20">
        <f>AN24</f>
        <v>0</v>
      </c>
    </row>
    <row r="87" spans="1:42" x14ac:dyDescent="0.3">
      <c r="A87" s="110">
        <v>0.84375</v>
      </c>
      <c r="B87" s="175">
        <f t="shared" si="2"/>
        <v>-10.033333333333335</v>
      </c>
      <c r="D87" s="110"/>
      <c r="E87" s="108"/>
      <c r="F87" s="108">
        <v>0.86458333333333304</v>
      </c>
      <c r="G87" s="179">
        <f>E24</f>
        <v>20.025000000000002</v>
      </c>
      <c r="H87" s="21"/>
      <c r="I87" s="110"/>
      <c r="J87" s="108"/>
      <c r="K87" s="108">
        <v>0.86458333333333304</v>
      </c>
      <c r="L87" s="179">
        <f>J24</f>
        <v>21.658333333333335</v>
      </c>
      <c r="M87" s="21"/>
      <c r="N87" s="110"/>
      <c r="O87" s="108"/>
      <c r="P87" s="108">
        <v>0.86458333333333304</v>
      </c>
      <c r="Q87" s="179">
        <f>O24</f>
        <v>32.833333333333329</v>
      </c>
      <c r="R87" s="21"/>
      <c r="S87" s="110"/>
      <c r="T87" s="108"/>
      <c r="U87" s="108">
        <v>0.86458333333333304</v>
      </c>
      <c r="V87" s="179">
        <f>T24</f>
        <v>17.800000000000004</v>
      </c>
      <c r="W87" s="21"/>
      <c r="X87" s="110"/>
      <c r="Y87" s="108"/>
      <c r="Z87" s="108">
        <v>0.86458333333333304</v>
      </c>
      <c r="AA87" s="179">
        <f>Y24</f>
        <v>-10.033333333333335</v>
      </c>
      <c r="AB87" s="21"/>
      <c r="AC87" s="110"/>
      <c r="AD87" s="108"/>
      <c r="AE87" s="108">
        <v>0.86458333333333304</v>
      </c>
      <c r="AF87" s="179">
        <f>AD24</f>
        <v>34.200000000000003</v>
      </c>
      <c r="AH87" s="110"/>
      <c r="AI87" s="108"/>
      <c r="AJ87" s="108">
        <v>0.86458333333333304</v>
      </c>
      <c r="AK87" s="20">
        <f>AI24</f>
        <v>0</v>
      </c>
      <c r="AM87" s="110"/>
      <c r="AN87" s="108"/>
      <c r="AO87" s="108">
        <v>0.86458333333333304</v>
      </c>
      <c r="AP87" s="20">
        <f>AN24</f>
        <v>0</v>
      </c>
    </row>
    <row r="88" spans="1:42" x14ac:dyDescent="0.3">
      <c r="A88" s="110">
        <v>0.85416666666666696</v>
      </c>
      <c r="B88" s="175">
        <f t="shared" si="2"/>
        <v>-10.033333333333335</v>
      </c>
      <c r="D88" s="110"/>
      <c r="E88" s="108"/>
      <c r="F88" s="108">
        <v>0.875</v>
      </c>
      <c r="G88" s="179">
        <f>E25</f>
        <v>19.050000000000004</v>
      </c>
      <c r="H88" s="21"/>
      <c r="I88" s="110"/>
      <c r="J88" s="108"/>
      <c r="K88" s="108">
        <v>0.875</v>
      </c>
      <c r="L88" s="179">
        <f>J25</f>
        <v>20.758333333333333</v>
      </c>
      <c r="M88" s="21"/>
      <c r="N88" s="110"/>
      <c r="O88" s="108"/>
      <c r="P88" s="108">
        <v>0.875</v>
      </c>
      <c r="Q88" s="179">
        <f>O25</f>
        <v>31.216666666666669</v>
      </c>
      <c r="R88" s="21"/>
      <c r="S88" s="110"/>
      <c r="T88" s="108"/>
      <c r="U88" s="108">
        <v>0.875</v>
      </c>
      <c r="V88" s="179">
        <f>T25</f>
        <v>17.741666666666667</v>
      </c>
      <c r="W88" s="21"/>
      <c r="X88" s="110"/>
      <c r="Y88" s="108"/>
      <c r="Z88" s="108">
        <v>0.875</v>
      </c>
      <c r="AA88" s="179">
        <f>Y25</f>
        <v>-10.933333333333334</v>
      </c>
      <c r="AB88" s="21"/>
      <c r="AC88" s="110"/>
      <c r="AD88" s="108"/>
      <c r="AE88" s="108">
        <v>0.875</v>
      </c>
      <c r="AF88" s="179">
        <f>AD25</f>
        <v>32.766666666666673</v>
      </c>
      <c r="AH88" s="110"/>
      <c r="AI88" s="108"/>
      <c r="AJ88" s="108">
        <v>0.875</v>
      </c>
      <c r="AK88" s="20">
        <f>AI25</f>
        <v>0</v>
      </c>
      <c r="AM88" s="110"/>
      <c r="AN88" s="108"/>
      <c r="AO88" s="108">
        <v>0.875</v>
      </c>
      <c r="AP88" s="20">
        <f>AN25</f>
        <v>0</v>
      </c>
    </row>
    <row r="89" spans="1:42" x14ac:dyDescent="0.3">
      <c r="A89" s="110">
        <v>0.86458333333333304</v>
      </c>
      <c r="B89" s="175">
        <f t="shared" si="2"/>
        <v>-10.033333333333335</v>
      </c>
      <c r="D89" s="110"/>
      <c r="E89" s="108"/>
      <c r="F89" s="108">
        <v>0.88541666666666696</v>
      </c>
      <c r="G89" s="179">
        <f>E25</f>
        <v>19.050000000000004</v>
      </c>
      <c r="H89" s="21"/>
      <c r="I89" s="110"/>
      <c r="J89" s="108"/>
      <c r="K89" s="108">
        <v>0.88541666666666696</v>
      </c>
      <c r="L89" s="179">
        <f>J25</f>
        <v>20.758333333333333</v>
      </c>
      <c r="M89" s="21"/>
      <c r="N89" s="110"/>
      <c r="O89" s="108"/>
      <c r="P89" s="108">
        <v>0.88541666666666696</v>
      </c>
      <c r="Q89" s="179">
        <f>O25</f>
        <v>31.216666666666669</v>
      </c>
      <c r="R89" s="21"/>
      <c r="S89" s="110"/>
      <c r="T89" s="108"/>
      <c r="U89" s="108">
        <v>0.88541666666666696</v>
      </c>
      <c r="V89" s="179">
        <f>T25</f>
        <v>17.741666666666667</v>
      </c>
      <c r="W89" s="21"/>
      <c r="X89" s="110"/>
      <c r="Y89" s="108"/>
      <c r="Z89" s="108">
        <v>0.88541666666666696</v>
      </c>
      <c r="AA89" s="179">
        <f>Y25</f>
        <v>-10.933333333333334</v>
      </c>
      <c r="AB89" s="21"/>
      <c r="AC89" s="110"/>
      <c r="AD89" s="108"/>
      <c r="AE89" s="108">
        <v>0.88541666666666696</v>
      </c>
      <c r="AF89" s="179">
        <f>AD25</f>
        <v>32.766666666666673</v>
      </c>
      <c r="AH89" s="110"/>
      <c r="AI89" s="108"/>
      <c r="AJ89" s="108">
        <v>0.88541666666666696</v>
      </c>
      <c r="AK89" s="20">
        <f>AI25</f>
        <v>0</v>
      </c>
      <c r="AM89" s="110"/>
      <c r="AN89" s="108"/>
      <c r="AO89" s="108">
        <v>0.88541666666666696</v>
      </c>
      <c r="AP89" s="20">
        <f>AN25</f>
        <v>0</v>
      </c>
    </row>
    <row r="90" spans="1:42" x14ac:dyDescent="0.3">
      <c r="A90" s="110">
        <v>0.875</v>
      </c>
      <c r="B90" s="175">
        <f t="shared" si="2"/>
        <v>-10.933333333333334</v>
      </c>
      <c r="D90" s="110"/>
      <c r="E90" s="108"/>
      <c r="F90" s="108">
        <v>0.89583333333333304</v>
      </c>
      <c r="G90" s="179">
        <f>E25</f>
        <v>19.050000000000004</v>
      </c>
      <c r="H90" s="21"/>
      <c r="I90" s="110"/>
      <c r="J90" s="108"/>
      <c r="K90" s="108">
        <v>0.89583333333333304</v>
      </c>
      <c r="L90" s="179">
        <f>J25</f>
        <v>20.758333333333333</v>
      </c>
      <c r="M90" s="21"/>
      <c r="N90" s="110"/>
      <c r="O90" s="108"/>
      <c r="P90" s="108">
        <v>0.89583333333333304</v>
      </c>
      <c r="Q90" s="179">
        <f>O25</f>
        <v>31.216666666666669</v>
      </c>
      <c r="R90" s="21"/>
      <c r="S90" s="110"/>
      <c r="T90" s="108"/>
      <c r="U90" s="108">
        <v>0.89583333333333304</v>
      </c>
      <c r="V90" s="179">
        <f>T25</f>
        <v>17.741666666666667</v>
      </c>
      <c r="W90" s="21"/>
      <c r="X90" s="110"/>
      <c r="Y90" s="108"/>
      <c r="Z90" s="108">
        <v>0.89583333333333304</v>
      </c>
      <c r="AA90" s="179">
        <f>Y25</f>
        <v>-10.933333333333334</v>
      </c>
      <c r="AB90" s="21"/>
      <c r="AC90" s="110"/>
      <c r="AD90" s="108"/>
      <c r="AE90" s="108">
        <v>0.89583333333333304</v>
      </c>
      <c r="AF90" s="179">
        <f>AD25</f>
        <v>32.766666666666673</v>
      </c>
      <c r="AH90" s="110"/>
      <c r="AI90" s="108"/>
      <c r="AJ90" s="108">
        <v>0.89583333333333304</v>
      </c>
      <c r="AK90" s="20">
        <f>AI25</f>
        <v>0</v>
      </c>
      <c r="AM90" s="110"/>
      <c r="AN90" s="108"/>
      <c r="AO90" s="108">
        <v>0.89583333333333304</v>
      </c>
      <c r="AP90" s="20">
        <f>AN25</f>
        <v>0</v>
      </c>
    </row>
    <row r="91" spans="1:42" x14ac:dyDescent="0.3">
      <c r="A91" s="110">
        <v>0.88541666666666696</v>
      </c>
      <c r="B91" s="175">
        <f t="shared" si="2"/>
        <v>-10.933333333333334</v>
      </c>
      <c r="D91" s="110"/>
      <c r="E91" s="108"/>
      <c r="F91" s="108">
        <v>0.90625</v>
      </c>
      <c r="G91" s="179">
        <f>E25</f>
        <v>19.050000000000004</v>
      </c>
      <c r="H91" s="21"/>
      <c r="I91" s="110"/>
      <c r="J91" s="108"/>
      <c r="K91" s="108">
        <v>0.90625</v>
      </c>
      <c r="L91" s="179">
        <f>J25</f>
        <v>20.758333333333333</v>
      </c>
      <c r="M91" s="21"/>
      <c r="N91" s="110"/>
      <c r="O91" s="108"/>
      <c r="P91" s="108">
        <v>0.90625</v>
      </c>
      <c r="Q91" s="179">
        <f>O25</f>
        <v>31.216666666666669</v>
      </c>
      <c r="R91" s="21"/>
      <c r="S91" s="110"/>
      <c r="T91" s="108"/>
      <c r="U91" s="108">
        <v>0.90625</v>
      </c>
      <c r="V91" s="179">
        <f>T25</f>
        <v>17.741666666666667</v>
      </c>
      <c r="W91" s="21"/>
      <c r="X91" s="110"/>
      <c r="Y91" s="108"/>
      <c r="Z91" s="108">
        <v>0.90625</v>
      </c>
      <c r="AA91" s="179">
        <f>Y25</f>
        <v>-10.933333333333334</v>
      </c>
      <c r="AB91" s="21"/>
      <c r="AC91" s="110"/>
      <c r="AD91" s="108"/>
      <c r="AE91" s="108">
        <v>0.90625</v>
      </c>
      <c r="AF91" s="179">
        <f>AD25</f>
        <v>32.766666666666673</v>
      </c>
      <c r="AH91" s="110"/>
      <c r="AI91" s="108"/>
      <c r="AJ91" s="108">
        <v>0.90625</v>
      </c>
      <c r="AK91" s="20">
        <f>AI25</f>
        <v>0</v>
      </c>
      <c r="AM91" s="110"/>
      <c r="AN91" s="108"/>
      <c r="AO91" s="108">
        <v>0.90625</v>
      </c>
      <c r="AP91" s="20">
        <f>AN25</f>
        <v>0</v>
      </c>
    </row>
    <row r="92" spans="1:42" x14ac:dyDescent="0.3">
      <c r="A92" s="110">
        <v>0.89583333333333304</v>
      </c>
      <c r="B92" s="175">
        <f t="shared" si="2"/>
        <v>-10.933333333333334</v>
      </c>
      <c r="D92" s="110"/>
      <c r="E92" s="108"/>
      <c r="F92" s="108">
        <v>0.91666666666666696</v>
      </c>
      <c r="G92" s="179">
        <f>E26</f>
        <v>18.56666666666667</v>
      </c>
      <c r="H92" s="21"/>
      <c r="I92" s="110"/>
      <c r="J92" s="108"/>
      <c r="K92" s="108">
        <v>0.91666666666666696</v>
      </c>
      <c r="L92" s="179">
        <f>J26</f>
        <v>19.516666666666666</v>
      </c>
      <c r="M92" s="21"/>
      <c r="N92" s="110"/>
      <c r="O92" s="108"/>
      <c r="P92" s="108">
        <v>0.91666666666666696</v>
      </c>
      <c r="Q92" s="179">
        <f>O26</f>
        <v>28.783333333333335</v>
      </c>
      <c r="R92" s="21"/>
      <c r="S92" s="110"/>
      <c r="T92" s="108"/>
      <c r="U92" s="108">
        <v>0.91666666666666696</v>
      </c>
      <c r="V92" s="179">
        <f>T26</f>
        <v>17.349999999999998</v>
      </c>
      <c r="W92" s="21"/>
      <c r="X92" s="110"/>
      <c r="Y92" s="108"/>
      <c r="Z92" s="108">
        <v>0.91666666666666696</v>
      </c>
      <c r="AA92" s="179">
        <f>Y26</f>
        <v>-11.158333333333335</v>
      </c>
      <c r="AB92" s="21"/>
      <c r="AC92" s="110"/>
      <c r="AD92" s="108"/>
      <c r="AE92" s="108">
        <v>0.91666666666666696</v>
      </c>
      <c r="AF92" s="179">
        <f>AD26</f>
        <v>31.458333333333336</v>
      </c>
      <c r="AH92" s="110"/>
      <c r="AI92" s="108"/>
      <c r="AJ92" s="108">
        <v>0.91666666666666696</v>
      </c>
      <c r="AK92" s="20">
        <f>AI26</f>
        <v>0</v>
      </c>
      <c r="AM92" s="110"/>
      <c r="AN92" s="108"/>
      <c r="AO92" s="108">
        <v>0.91666666666666696</v>
      </c>
      <c r="AP92" s="20">
        <f>AN26</f>
        <v>0</v>
      </c>
    </row>
    <row r="93" spans="1:42" x14ac:dyDescent="0.3">
      <c r="A93" s="110">
        <v>0.90625</v>
      </c>
      <c r="B93" s="175">
        <f t="shared" si="2"/>
        <v>-10.933333333333334</v>
      </c>
      <c r="D93" s="110"/>
      <c r="E93" s="108"/>
      <c r="F93" s="108">
        <v>0.92708333333333304</v>
      </c>
      <c r="G93" s="179">
        <f>E26</f>
        <v>18.56666666666667</v>
      </c>
      <c r="H93" s="21"/>
      <c r="I93" s="110"/>
      <c r="J93" s="108"/>
      <c r="K93" s="108">
        <v>0.92708333333333304</v>
      </c>
      <c r="L93" s="179">
        <f>J26</f>
        <v>19.516666666666666</v>
      </c>
      <c r="M93" s="21"/>
      <c r="N93" s="110"/>
      <c r="O93" s="108"/>
      <c r="P93" s="108">
        <v>0.92708333333333304</v>
      </c>
      <c r="Q93" s="179">
        <f>O26</f>
        <v>28.783333333333335</v>
      </c>
      <c r="R93" s="21"/>
      <c r="S93" s="110"/>
      <c r="T93" s="108"/>
      <c r="U93" s="108">
        <v>0.92708333333333304</v>
      </c>
      <c r="V93" s="179">
        <f>T26</f>
        <v>17.349999999999998</v>
      </c>
      <c r="W93" s="21"/>
      <c r="X93" s="110"/>
      <c r="Y93" s="108"/>
      <c r="Z93" s="108">
        <v>0.92708333333333304</v>
      </c>
      <c r="AA93" s="179">
        <f>Y26</f>
        <v>-11.158333333333335</v>
      </c>
      <c r="AB93" s="21"/>
      <c r="AC93" s="110"/>
      <c r="AD93" s="108"/>
      <c r="AE93" s="108">
        <v>0.92708333333333304</v>
      </c>
      <c r="AF93" s="179">
        <f>AD26</f>
        <v>31.458333333333336</v>
      </c>
      <c r="AH93" s="110"/>
      <c r="AI93" s="108"/>
      <c r="AJ93" s="108">
        <v>0.92708333333333304</v>
      </c>
      <c r="AK93" s="20">
        <f>AI26</f>
        <v>0</v>
      </c>
      <c r="AM93" s="110"/>
      <c r="AN93" s="108"/>
      <c r="AO93" s="108">
        <v>0.92708333333333304</v>
      </c>
      <c r="AP93" s="20">
        <f>AN26</f>
        <v>0</v>
      </c>
    </row>
    <row r="94" spans="1:42" x14ac:dyDescent="0.3">
      <c r="A94" s="110">
        <v>0.91666666666666696</v>
      </c>
      <c r="B94" s="175">
        <f t="shared" si="2"/>
        <v>-11.158333333333335</v>
      </c>
      <c r="D94" s="110"/>
      <c r="E94" s="108"/>
      <c r="F94" s="108">
        <v>0.9375</v>
      </c>
      <c r="G94" s="179">
        <f>E26</f>
        <v>18.56666666666667</v>
      </c>
      <c r="H94" s="21"/>
      <c r="I94" s="110"/>
      <c r="J94" s="108"/>
      <c r="K94" s="108">
        <v>0.9375</v>
      </c>
      <c r="L94" s="179">
        <f>J26</f>
        <v>19.516666666666666</v>
      </c>
      <c r="M94" s="21"/>
      <c r="N94" s="110"/>
      <c r="O94" s="108"/>
      <c r="P94" s="108">
        <v>0.9375</v>
      </c>
      <c r="Q94" s="179">
        <f>O26</f>
        <v>28.783333333333335</v>
      </c>
      <c r="R94" s="21"/>
      <c r="S94" s="110"/>
      <c r="T94" s="108"/>
      <c r="U94" s="108">
        <v>0.9375</v>
      </c>
      <c r="V94" s="179">
        <f>T26</f>
        <v>17.349999999999998</v>
      </c>
      <c r="W94" s="21"/>
      <c r="X94" s="110"/>
      <c r="Y94" s="108"/>
      <c r="Z94" s="108">
        <v>0.9375</v>
      </c>
      <c r="AA94" s="179">
        <f>Y26</f>
        <v>-11.158333333333335</v>
      </c>
      <c r="AB94" s="21"/>
      <c r="AC94" s="110"/>
      <c r="AD94" s="108"/>
      <c r="AE94" s="108">
        <v>0.9375</v>
      </c>
      <c r="AF94" s="179">
        <f>AD26</f>
        <v>31.458333333333336</v>
      </c>
      <c r="AH94" s="110"/>
      <c r="AI94" s="108"/>
      <c r="AJ94" s="108">
        <v>0.9375</v>
      </c>
      <c r="AK94" s="20">
        <f>AI26</f>
        <v>0</v>
      </c>
      <c r="AM94" s="110"/>
      <c r="AN94" s="108"/>
      <c r="AO94" s="108">
        <v>0.9375</v>
      </c>
      <c r="AP94" s="20">
        <f>AN26</f>
        <v>0</v>
      </c>
    </row>
    <row r="95" spans="1:42" x14ac:dyDescent="0.3">
      <c r="A95" s="110">
        <v>0.92708333333333304</v>
      </c>
      <c r="B95" s="175">
        <f t="shared" si="2"/>
        <v>-11.158333333333335</v>
      </c>
      <c r="D95" s="110"/>
      <c r="E95" s="108"/>
      <c r="F95" s="108">
        <v>0.94791666666666696</v>
      </c>
      <c r="G95" s="179">
        <f>E26</f>
        <v>18.56666666666667</v>
      </c>
      <c r="H95" s="21"/>
      <c r="I95" s="110"/>
      <c r="J95" s="108"/>
      <c r="K95" s="108">
        <v>0.94791666666666696</v>
      </c>
      <c r="L95" s="179">
        <f>J26</f>
        <v>19.516666666666666</v>
      </c>
      <c r="M95" s="21"/>
      <c r="N95" s="110"/>
      <c r="O95" s="108"/>
      <c r="P95" s="108">
        <v>0.94791666666666696</v>
      </c>
      <c r="Q95" s="179">
        <f>O26</f>
        <v>28.783333333333335</v>
      </c>
      <c r="R95" s="21"/>
      <c r="S95" s="110"/>
      <c r="T95" s="108"/>
      <c r="U95" s="108">
        <v>0.94791666666666696</v>
      </c>
      <c r="V95" s="179">
        <f>T26</f>
        <v>17.349999999999998</v>
      </c>
      <c r="W95" s="21"/>
      <c r="X95" s="110"/>
      <c r="Y95" s="108"/>
      <c r="Z95" s="108">
        <v>0.94791666666666696</v>
      </c>
      <c r="AA95" s="179">
        <f>Y26</f>
        <v>-11.158333333333335</v>
      </c>
      <c r="AB95" s="21"/>
      <c r="AC95" s="110"/>
      <c r="AD95" s="108"/>
      <c r="AE95" s="108">
        <v>0.94791666666666696</v>
      </c>
      <c r="AF95" s="179">
        <f>AD26</f>
        <v>31.458333333333336</v>
      </c>
      <c r="AH95" s="110"/>
      <c r="AI95" s="108"/>
      <c r="AJ95" s="108">
        <v>0.94791666666666696</v>
      </c>
      <c r="AK95" s="20">
        <f>AI26</f>
        <v>0</v>
      </c>
      <c r="AM95" s="110"/>
      <c r="AN95" s="108"/>
      <c r="AO95" s="108">
        <v>0.94791666666666696</v>
      </c>
      <c r="AP95" s="20">
        <f>AN26</f>
        <v>0</v>
      </c>
    </row>
    <row r="96" spans="1:42" x14ac:dyDescent="0.3">
      <c r="A96" s="110">
        <v>0.9375</v>
      </c>
      <c r="B96" s="175">
        <f t="shared" si="2"/>
        <v>-11.158333333333335</v>
      </c>
      <c r="D96" s="110"/>
      <c r="E96" s="108"/>
      <c r="F96" s="108">
        <v>0.95833333333333304</v>
      </c>
      <c r="G96" s="179">
        <f>E27</f>
        <v>18.75</v>
      </c>
      <c r="H96" s="21"/>
      <c r="I96" s="110"/>
      <c r="J96" s="108"/>
      <c r="K96" s="108">
        <v>0.95833333333333304</v>
      </c>
      <c r="L96" s="179">
        <f>J27</f>
        <v>17.433333333333337</v>
      </c>
      <c r="M96" s="21"/>
      <c r="N96" s="110"/>
      <c r="O96" s="108"/>
      <c r="P96" s="108">
        <v>0.95833333333333304</v>
      </c>
      <c r="Q96" s="179">
        <f>O27</f>
        <v>27.350000000000005</v>
      </c>
      <c r="R96" s="21"/>
      <c r="S96" s="110"/>
      <c r="T96" s="108"/>
      <c r="U96" s="108">
        <v>0.95833333333333304</v>
      </c>
      <c r="V96" s="179">
        <f>T27</f>
        <v>16.458333333333336</v>
      </c>
      <c r="W96" s="21"/>
      <c r="X96" s="110"/>
      <c r="Y96" s="108"/>
      <c r="Z96" s="108">
        <v>0.95833333333333304</v>
      </c>
      <c r="AA96" s="179">
        <f>Y27</f>
        <v>-11.433333333333334</v>
      </c>
      <c r="AB96" s="21"/>
      <c r="AC96" s="110"/>
      <c r="AD96" s="108"/>
      <c r="AE96" s="108">
        <v>0.95833333333333304</v>
      </c>
      <c r="AF96" s="179">
        <f>AD27</f>
        <v>30.358333333333331</v>
      </c>
      <c r="AH96" s="110"/>
      <c r="AI96" s="108"/>
      <c r="AJ96" s="108">
        <v>0.95833333333333304</v>
      </c>
      <c r="AK96" s="20">
        <f>AI27</f>
        <v>0</v>
      </c>
      <c r="AM96" s="110"/>
      <c r="AN96" s="108"/>
      <c r="AO96" s="108">
        <v>0.95833333333333304</v>
      </c>
      <c r="AP96" s="20">
        <f>AN27</f>
        <v>0</v>
      </c>
    </row>
    <row r="97" spans="1:43" x14ac:dyDescent="0.3">
      <c r="A97" s="110">
        <v>0.94791666666666696</v>
      </c>
      <c r="B97" s="175">
        <f t="shared" si="2"/>
        <v>-11.158333333333335</v>
      </c>
      <c r="D97" s="110"/>
      <c r="E97" s="108"/>
      <c r="F97" s="108">
        <v>0.96875</v>
      </c>
      <c r="G97" s="179">
        <f>E27</f>
        <v>18.75</v>
      </c>
      <c r="H97" s="21"/>
      <c r="I97" s="110"/>
      <c r="J97" s="108"/>
      <c r="K97" s="108">
        <v>0.96875</v>
      </c>
      <c r="L97" s="179">
        <f>J27</f>
        <v>17.433333333333337</v>
      </c>
      <c r="M97" s="21"/>
      <c r="N97" s="110"/>
      <c r="O97" s="108"/>
      <c r="P97" s="108">
        <v>0.96875</v>
      </c>
      <c r="Q97" s="179">
        <f>O27</f>
        <v>27.350000000000005</v>
      </c>
      <c r="R97" s="21"/>
      <c r="S97" s="110"/>
      <c r="T97" s="108"/>
      <c r="U97" s="108">
        <v>0.96875</v>
      </c>
      <c r="V97" s="179">
        <f>T27</f>
        <v>16.458333333333336</v>
      </c>
      <c r="W97" s="21"/>
      <c r="X97" s="110"/>
      <c r="Y97" s="108"/>
      <c r="Z97" s="108">
        <v>0.96875</v>
      </c>
      <c r="AA97" s="179">
        <f>Y27</f>
        <v>-11.433333333333334</v>
      </c>
      <c r="AB97" s="21"/>
      <c r="AC97" s="110"/>
      <c r="AD97" s="108"/>
      <c r="AE97" s="108">
        <v>0.96875</v>
      </c>
      <c r="AF97" s="179">
        <f>AD27</f>
        <v>30.358333333333331</v>
      </c>
      <c r="AH97" s="110"/>
      <c r="AI97" s="108"/>
      <c r="AJ97" s="108">
        <v>0.96875</v>
      </c>
      <c r="AK97" s="20">
        <f>AI27</f>
        <v>0</v>
      </c>
      <c r="AM97" s="110"/>
      <c r="AN97" s="108"/>
      <c r="AO97" s="108">
        <v>0.96875</v>
      </c>
      <c r="AP97" s="20">
        <f>AN27</f>
        <v>0</v>
      </c>
    </row>
    <row r="98" spans="1:43" x14ac:dyDescent="0.3">
      <c r="A98" s="110">
        <v>0.95833333333333304</v>
      </c>
      <c r="B98" s="175">
        <f t="shared" si="2"/>
        <v>-11.433333333333334</v>
      </c>
      <c r="D98" s="110"/>
      <c r="E98" s="108"/>
      <c r="F98" s="108">
        <v>0.97916666666666696</v>
      </c>
      <c r="G98" s="179">
        <f>E27</f>
        <v>18.75</v>
      </c>
      <c r="H98" s="21"/>
      <c r="I98" s="110"/>
      <c r="J98" s="108"/>
      <c r="K98" s="108">
        <v>0.97916666666666696</v>
      </c>
      <c r="L98" s="179">
        <f>J27</f>
        <v>17.433333333333337</v>
      </c>
      <c r="M98" s="21"/>
      <c r="N98" s="110"/>
      <c r="O98" s="108"/>
      <c r="P98" s="108">
        <v>0.97916666666666696</v>
      </c>
      <c r="Q98" s="179">
        <f>O27</f>
        <v>27.350000000000005</v>
      </c>
      <c r="R98" s="21"/>
      <c r="S98" s="110"/>
      <c r="T98" s="108"/>
      <c r="U98" s="108">
        <v>0.97916666666666696</v>
      </c>
      <c r="V98" s="179">
        <f>T27</f>
        <v>16.458333333333336</v>
      </c>
      <c r="W98" s="21"/>
      <c r="X98" s="110"/>
      <c r="Y98" s="108"/>
      <c r="Z98" s="108">
        <v>0.97916666666666696</v>
      </c>
      <c r="AA98" s="179">
        <f>Y27</f>
        <v>-11.433333333333334</v>
      </c>
      <c r="AB98" s="21"/>
      <c r="AC98" s="110"/>
      <c r="AD98" s="108"/>
      <c r="AE98" s="108">
        <v>0.97916666666666696</v>
      </c>
      <c r="AF98" s="179">
        <f>AD27</f>
        <v>30.358333333333331</v>
      </c>
      <c r="AH98" s="110"/>
      <c r="AI98" s="108"/>
      <c r="AJ98" s="108">
        <v>0.97916666666666696</v>
      </c>
      <c r="AK98" s="20">
        <f>AI27</f>
        <v>0</v>
      </c>
      <c r="AM98" s="110"/>
      <c r="AN98" s="108"/>
      <c r="AO98" s="108">
        <v>0.97916666666666696</v>
      </c>
      <c r="AP98" s="20">
        <f>AN27</f>
        <v>0</v>
      </c>
    </row>
    <row r="99" spans="1:43" x14ac:dyDescent="0.3">
      <c r="A99" s="110">
        <v>0.96875</v>
      </c>
      <c r="B99" s="175">
        <f t="shared" si="2"/>
        <v>-11.433333333333334</v>
      </c>
      <c r="D99" s="111"/>
      <c r="E99" s="109"/>
      <c r="F99" s="109">
        <v>0.98958333333333304</v>
      </c>
      <c r="G99" s="177">
        <f>E27</f>
        <v>18.75</v>
      </c>
      <c r="H99" s="21"/>
      <c r="I99" s="111"/>
      <c r="J99" s="109"/>
      <c r="K99" s="109">
        <v>0.98958333333333304</v>
      </c>
      <c r="L99" s="177">
        <f>J27</f>
        <v>17.433333333333337</v>
      </c>
      <c r="M99" s="21"/>
      <c r="N99" s="111"/>
      <c r="O99" s="109"/>
      <c r="P99" s="109">
        <v>0.98958333333333304</v>
      </c>
      <c r="Q99" s="177">
        <f>O27</f>
        <v>27.350000000000005</v>
      </c>
      <c r="R99" s="21"/>
      <c r="S99" s="111"/>
      <c r="T99" s="109"/>
      <c r="U99" s="109">
        <v>0.98958333333333304</v>
      </c>
      <c r="V99" s="177">
        <f>T27</f>
        <v>16.458333333333336</v>
      </c>
      <c r="W99" s="21"/>
      <c r="X99" s="111"/>
      <c r="Y99" s="109"/>
      <c r="Z99" s="109">
        <v>0.98958333333333304</v>
      </c>
      <c r="AA99" s="177">
        <f>Y27</f>
        <v>-11.433333333333334</v>
      </c>
      <c r="AB99" s="21"/>
      <c r="AC99" s="111"/>
      <c r="AD99" s="109"/>
      <c r="AE99" s="109">
        <v>0.98958333333333304</v>
      </c>
      <c r="AF99" s="177">
        <f>AD27</f>
        <v>30.358333333333331</v>
      </c>
      <c r="AH99" s="111"/>
      <c r="AI99" s="109"/>
      <c r="AJ99" s="109">
        <v>0.98958333333333304</v>
      </c>
      <c r="AK99" s="26">
        <f>AI27</f>
        <v>0</v>
      </c>
      <c r="AM99" s="111"/>
      <c r="AN99" s="109"/>
      <c r="AO99" s="109">
        <v>0.98958333333333304</v>
      </c>
      <c r="AP99" s="26">
        <f>AN27</f>
        <v>0</v>
      </c>
    </row>
    <row r="100" spans="1:43" x14ac:dyDescent="0.3">
      <c r="A100" s="110">
        <v>0.97916666666666696</v>
      </c>
      <c r="B100" s="175">
        <f t="shared" si="2"/>
        <v>-11.433333333333334</v>
      </c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</row>
    <row r="101" spans="1:43" x14ac:dyDescent="0.3">
      <c r="A101" s="110">
        <v>0.98958333333333304</v>
      </c>
      <c r="B101" s="151">
        <f t="shared" si="2"/>
        <v>-11.433333333333334</v>
      </c>
      <c r="D101" s="21"/>
      <c r="E101" s="21"/>
      <c r="F101" s="21"/>
      <c r="G101" s="113"/>
      <c r="H101" s="155"/>
      <c r="I101" s="21"/>
      <c r="J101" s="21"/>
      <c r="K101" s="21"/>
      <c r="L101" s="113"/>
      <c r="M101" s="153"/>
      <c r="N101" s="21"/>
      <c r="O101" s="21"/>
      <c r="P101" s="21"/>
      <c r="Q101" s="113"/>
      <c r="R101" s="153"/>
      <c r="S101" s="21"/>
      <c r="T101" s="21"/>
      <c r="U101" s="21"/>
      <c r="V101" s="113"/>
      <c r="W101" s="153"/>
      <c r="X101" s="198" t="s">
        <v>156</v>
      </c>
      <c r="Y101" s="199"/>
      <c r="Z101" s="296" t="s">
        <v>297</v>
      </c>
      <c r="AA101" s="201"/>
      <c r="AB101" s="153"/>
      <c r="AC101" s="21"/>
      <c r="AD101" s="21"/>
      <c r="AE101" s="21"/>
      <c r="AF101" s="113"/>
      <c r="AG101" s="153"/>
      <c r="AK101" s="113"/>
      <c r="AL101" s="145"/>
      <c r="AP101" s="113"/>
      <c r="AQ101" s="145"/>
    </row>
    <row r="102" spans="1:43" x14ac:dyDescent="0.3">
      <c r="X102" s="124" t="s">
        <v>217</v>
      </c>
      <c r="Y102" s="257" t="s">
        <v>285</v>
      </c>
      <c r="Z102" s="125" t="s">
        <v>217</v>
      </c>
      <c r="AA102" s="262" t="s">
        <v>285</v>
      </c>
    </row>
    <row r="103" spans="1:43" x14ac:dyDescent="0.3">
      <c r="X103" s="110">
        <v>0</v>
      </c>
      <c r="Y103" s="184">
        <v>3.8416666666666663</v>
      </c>
      <c r="Z103" s="108">
        <v>0</v>
      </c>
      <c r="AA103" s="179">
        <f>Y103</f>
        <v>3.8416666666666663</v>
      </c>
    </row>
    <row r="104" spans="1:43" x14ac:dyDescent="0.3">
      <c r="X104" s="110">
        <v>4.1666666666666664E-2</v>
      </c>
      <c r="Y104" s="184">
        <v>3.2166666666666663</v>
      </c>
      <c r="Z104" s="108">
        <v>1.0416666666666666E-2</v>
      </c>
      <c r="AA104" s="179">
        <f>Y103</f>
        <v>3.8416666666666663</v>
      </c>
    </row>
    <row r="105" spans="1:43" x14ac:dyDescent="0.3">
      <c r="X105" s="110">
        <v>8.3333333333333301E-2</v>
      </c>
      <c r="Y105" s="184">
        <v>2.6833333333333327</v>
      </c>
      <c r="Z105" s="108">
        <v>2.0833333333333301E-2</v>
      </c>
      <c r="AA105" s="179">
        <f>Y103</f>
        <v>3.8416666666666663</v>
      </c>
    </row>
    <row r="106" spans="1:43" x14ac:dyDescent="0.3">
      <c r="X106" s="110">
        <v>0.125</v>
      </c>
      <c r="Y106" s="184">
        <v>1.6666666666666667</v>
      </c>
      <c r="Z106" s="108">
        <v>3.125E-2</v>
      </c>
      <c r="AA106" s="179">
        <f>Y103</f>
        <v>3.8416666666666663</v>
      </c>
    </row>
    <row r="107" spans="1:43" x14ac:dyDescent="0.3">
      <c r="X107" s="110">
        <v>0.16666666666666699</v>
      </c>
      <c r="Y107" s="184">
        <v>0.76666666666666816</v>
      </c>
      <c r="Z107" s="108">
        <v>4.1666666666666699E-2</v>
      </c>
      <c r="AA107" s="179">
        <f>Y104</f>
        <v>3.2166666666666663</v>
      </c>
    </row>
    <row r="108" spans="1:43" x14ac:dyDescent="0.3">
      <c r="X108" s="110">
        <v>0.20833333333333301</v>
      </c>
      <c r="Y108" s="184">
        <v>0.59999999999999909</v>
      </c>
      <c r="Z108" s="108">
        <v>5.2083333333333301E-2</v>
      </c>
      <c r="AA108" s="179">
        <f>Y104</f>
        <v>3.2166666666666663</v>
      </c>
    </row>
    <row r="109" spans="1:43" x14ac:dyDescent="0.3">
      <c r="X109" s="110">
        <v>0.25</v>
      </c>
      <c r="Y109" s="184">
        <v>0.59999999999999909</v>
      </c>
      <c r="Z109" s="108">
        <v>6.25E-2</v>
      </c>
      <c r="AA109" s="179">
        <f>Y104</f>
        <v>3.2166666666666663</v>
      </c>
    </row>
    <row r="110" spans="1:43" x14ac:dyDescent="0.3">
      <c r="X110" s="110">
        <v>0.29166666666666702</v>
      </c>
      <c r="Y110" s="184">
        <v>0.7750000000000018</v>
      </c>
      <c r="Z110" s="108">
        <v>7.2916666666666699E-2</v>
      </c>
      <c r="AA110" s="179">
        <f>Y104</f>
        <v>3.2166666666666663</v>
      </c>
    </row>
    <row r="111" spans="1:43" x14ac:dyDescent="0.3">
      <c r="X111" s="110">
        <v>0.33333333333333298</v>
      </c>
      <c r="Y111" s="184">
        <v>2.1250000000000018</v>
      </c>
      <c r="Z111" s="108">
        <v>8.3333333333333301E-2</v>
      </c>
      <c r="AA111" s="179">
        <f>Y105</f>
        <v>2.6833333333333327</v>
      </c>
    </row>
    <row r="112" spans="1:43" x14ac:dyDescent="0.3">
      <c r="X112" s="110">
        <v>0.375</v>
      </c>
      <c r="Y112" s="184">
        <v>3.8750000000000009</v>
      </c>
      <c r="Z112" s="108">
        <v>9.375E-2</v>
      </c>
      <c r="AA112" s="179">
        <f>Y105</f>
        <v>2.6833333333333327</v>
      </c>
    </row>
    <row r="113" spans="24:27" x14ac:dyDescent="0.3">
      <c r="X113" s="110">
        <v>0.41666666666666702</v>
      </c>
      <c r="Y113" s="184">
        <v>5.2583333333333355</v>
      </c>
      <c r="Z113" s="108">
        <v>0.104166666666667</v>
      </c>
      <c r="AA113" s="179">
        <f>Y105</f>
        <v>2.6833333333333327</v>
      </c>
    </row>
    <row r="114" spans="24:27" x14ac:dyDescent="0.3">
      <c r="X114" s="110">
        <v>0.45833333333333298</v>
      </c>
      <c r="Y114" s="184">
        <v>6.3249999999999993</v>
      </c>
      <c r="Z114" s="108">
        <v>0.114583333333333</v>
      </c>
      <c r="AA114" s="179">
        <f>Y105</f>
        <v>2.6833333333333327</v>
      </c>
    </row>
    <row r="115" spans="24:27" x14ac:dyDescent="0.3">
      <c r="X115" s="110">
        <v>0.5</v>
      </c>
      <c r="Y115" s="184">
        <v>7.6916666666666664</v>
      </c>
      <c r="Z115" s="108">
        <v>0.125</v>
      </c>
      <c r="AA115" s="179">
        <f>Y106</f>
        <v>1.6666666666666667</v>
      </c>
    </row>
    <row r="116" spans="24:27" x14ac:dyDescent="0.3">
      <c r="X116" s="110">
        <v>0.54166666666666696</v>
      </c>
      <c r="Y116" s="184">
        <v>8.75</v>
      </c>
      <c r="Z116" s="108">
        <v>0.13541666666666699</v>
      </c>
      <c r="AA116" s="179">
        <f>Y106</f>
        <v>1.6666666666666667</v>
      </c>
    </row>
    <row r="117" spans="24:27" x14ac:dyDescent="0.3">
      <c r="X117" s="110">
        <v>0.58333333333333304</v>
      </c>
      <c r="Y117" s="184">
        <v>9.2333333333333325</v>
      </c>
      <c r="Z117" s="108">
        <v>0.14583333333333301</v>
      </c>
      <c r="AA117" s="179">
        <f>Y106</f>
        <v>1.6666666666666667</v>
      </c>
    </row>
    <row r="118" spans="24:27" x14ac:dyDescent="0.3">
      <c r="X118" s="110">
        <v>0.625</v>
      </c>
      <c r="Y118" s="184">
        <v>9.341666666666665</v>
      </c>
      <c r="Z118" s="108">
        <v>0.15625</v>
      </c>
      <c r="AA118" s="179">
        <f>Y106</f>
        <v>1.6666666666666667</v>
      </c>
    </row>
    <row r="119" spans="24:27" x14ac:dyDescent="0.3">
      <c r="X119" s="110">
        <v>0.66666666666666696</v>
      </c>
      <c r="Y119" s="184">
        <v>8.5999999999999979</v>
      </c>
      <c r="Z119" s="108">
        <v>0.16666666666666699</v>
      </c>
      <c r="AA119" s="179">
        <f>Y107</f>
        <v>0.76666666666666816</v>
      </c>
    </row>
    <row r="120" spans="24:27" x14ac:dyDescent="0.3">
      <c r="X120" s="110">
        <v>0.70833333333333304</v>
      </c>
      <c r="Y120" s="184">
        <v>7.2833333333333332</v>
      </c>
      <c r="Z120" s="108">
        <v>0.17708333333333301</v>
      </c>
      <c r="AA120" s="179">
        <f>Y107</f>
        <v>0.76666666666666816</v>
      </c>
    </row>
    <row r="121" spans="24:27" x14ac:dyDescent="0.3">
      <c r="X121" s="110">
        <v>0.75</v>
      </c>
      <c r="Y121" s="184">
        <v>6.1750000000000016</v>
      </c>
      <c r="Z121" s="108">
        <v>0.1875</v>
      </c>
      <c r="AA121" s="179">
        <f>Y107</f>
        <v>0.76666666666666816</v>
      </c>
    </row>
    <row r="122" spans="24:27" x14ac:dyDescent="0.3">
      <c r="X122" s="110">
        <v>0.79166666666666696</v>
      </c>
      <c r="Y122" s="184">
        <v>5.3333333333333339</v>
      </c>
      <c r="Z122" s="108">
        <v>0.19791666666666699</v>
      </c>
      <c r="AA122" s="179">
        <f>Y107</f>
        <v>0.76666666666666816</v>
      </c>
    </row>
    <row r="123" spans="24:27" x14ac:dyDescent="0.3">
      <c r="X123" s="110">
        <v>0.83333333333333304</v>
      </c>
      <c r="Y123" s="184">
        <v>4.9416666666666682</v>
      </c>
      <c r="Z123" s="108">
        <v>0.20833333333333301</v>
      </c>
      <c r="AA123" s="179">
        <f>Y108</f>
        <v>0.59999999999999909</v>
      </c>
    </row>
    <row r="124" spans="24:27" x14ac:dyDescent="0.3">
      <c r="X124" s="110">
        <v>0.875</v>
      </c>
      <c r="Y124" s="184">
        <v>4.3166666666666682</v>
      </c>
      <c r="Z124" s="108">
        <v>0.21875</v>
      </c>
      <c r="AA124" s="179">
        <f>Y108</f>
        <v>0.59999999999999909</v>
      </c>
    </row>
    <row r="125" spans="24:27" x14ac:dyDescent="0.3">
      <c r="X125" s="110">
        <v>0.91666666666666696</v>
      </c>
      <c r="Y125" s="184">
        <v>3.9000000000000021</v>
      </c>
      <c r="Z125" s="108">
        <v>0.22916666666666699</v>
      </c>
      <c r="AA125" s="179">
        <f>Y108</f>
        <v>0.59999999999999909</v>
      </c>
    </row>
    <row r="126" spans="24:27" x14ac:dyDescent="0.3">
      <c r="X126" s="110">
        <v>0.95833333333333304</v>
      </c>
      <c r="Y126" s="184">
        <v>3.8416666666666663</v>
      </c>
      <c r="Z126" s="108">
        <v>0.23958333333333301</v>
      </c>
      <c r="AA126" s="179">
        <f>Y108</f>
        <v>0.59999999999999909</v>
      </c>
    </row>
    <row r="127" spans="24:27" x14ac:dyDescent="0.3">
      <c r="X127" s="110"/>
      <c r="Y127" s="108"/>
      <c r="Z127" s="108">
        <v>0.25</v>
      </c>
      <c r="AA127" s="179">
        <f>Y109</f>
        <v>0.59999999999999909</v>
      </c>
    </row>
    <row r="128" spans="24:27" x14ac:dyDescent="0.3">
      <c r="X128" s="110"/>
      <c r="Y128" s="108"/>
      <c r="Z128" s="108">
        <v>0.26041666666666702</v>
      </c>
      <c r="AA128" s="179">
        <f>Y109</f>
        <v>0.59999999999999909</v>
      </c>
    </row>
    <row r="129" spans="24:27" x14ac:dyDescent="0.3">
      <c r="X129" s="110"/>
      <c r="Y129" s="108"/>
      <c r="Z129" s="108">
        <v>0.27083333333333298</v>
      </c>
      <c r="AA129" s="179">
        <f>Y109</f>
        <v>0.59999999999999909</v>
      </c>
    </row>
    <row r="130" spans="24:27" x14ac:dyDescent="0.3">
      <c r="X130" s="110"/>
      <c r="Y130" s="193"/>
      <c r="Z130" s="108">
        <v>0.28125</v>
      </c>
      <c r="AA130" s="179">
        <f>Y109</f>
        <v>0.59999999999999909</v>
      </c>
    </row>
    <row r="131" spans="24:27" x14ac:dyDescent="0.3">
      <c r="X131" s="110"/>
      <c r="Y131" s="108"/>
      <c r="Z131" s="108">
        <v>0.29166666666666702</v>
      </c>
      <c r="AA131" s="179">
        <f>Y110</f>
        <v>0.7750000000000018</v>
      </c>
    </row>
    <row r="132" spans="24:27" x14ac:dyDescent="0.3">
      <c r="X132" s="110"/>
      <c r="Y132" s="108"/>
      <c r="Z132" s="108">
        <v>0.30208333333333298</v>
      </c>
      <c r="AA132" s="179">
        <f>Y110</f>
        <v>0.7750000000000018</v>
      </c>
    </row>
    <row r="133" spans="24:27" x14ac:dyDescent="0.3">
      <c r="X133" s="110"/>
      <c r="Y133" s="108"/>
      <c r="Z133" s="108">
        <v>0.3125</v>
      </c>
      <c r="AA133" s="179">
        <f>Y110</f>
        <v>0.7750000000000018</v>
      </c>
    </row>
    <row r="134" spans="24:27" x14ac:dyDescent="0.3">
      <c r="X134" s="110"/>
      <c r="Y134" s="108"/>
      <c r="Z134" s="108">
        <v>0.32291666666666702</v>
      </c>
      <c r="AA134" s="179">
        <f>Y110</f>
        <v>0.7750000000000018</v>
      </c>
    </row>
    <row r="135" spans="24:27" x14ac:dyDescent="0.3">
      <c r="X135" s="110"/>
      <c r="Y135" s="108"/>
      <c r="Z135" s="108">
        <v>0.33333333333333298</v>
      </c>
      <c r="AA135" s="179">
        <f>Y111</f>
        <v>2.1250000000000018</v>
      </c>
    </row>
    <row r="136" spans="24:27" x14ac:dyDescent="0.3">
      <c r="X136" s="110"/>
      <c r="Y136" s="108"/>
      <c r="Z136" s="108">
        <v>0.34375</v>
      </c>
      <c r="AA136" s="179">
        <f>Y111</f>
        <v>2.1250000000000018</v>
      </c>
    </row>
    <row r="137" spans="24:27" x14ac:dyDescent="0.3">
      <c r="X137" s="110"/>
      <c r="Y137" s="108"/>
      <c r="Z137" s="108">
        <v>0.35416666666666702</v>
      </c>
      <c r="AA137" s="179">
        <f>Y111</f>
        <v>2.1250000000000018</v>
      </c>
    </row>
    <row r="138" spans="24:27" x14ac:dyDescent="0.3">
      <c r="X138" s="110"/>
      <c r="Y138" s="108"/>
      <c r="Z138" s="108">
        <v>0.36458333333333298</v>
      </c>
      <c r="AA138" s="179">
        <f>Y111</f>
        <v>2.1250000000000018</v>
      </c>
    </row>
    <row r="139" spans="24:27" x14ac:dyDescent="0.3">
      <c r="X139" s="110"/>
      <c r="Y139" s="108"/>
      <c r="Z139" s="108">
        <v>0.375</v>
      </c>
      <c r="AA139" s="179">
        <f>Y112</f>
        <v>3.8750000000000009</v>
      </c>
    </row>
    <row r="140" spans="24:27" x14ac:dyDescent="0.3">
      <c r="X140" s="110"/>
      <c r="Y140" s="108"/>
      <c r="Z140" s="108">
        <v>0.38541666666666702</v>
      </c>
      <c r="AA140" s="179">
        <f>Y112</f>
        <v>3.8750000000000009</v>
      </c>
    </row>
    <row r="141" spans="24:27" x14ac:dyDescent="0.3">
      <c r="X141" s="110"/>
      <c r="Y141" s="108"/>
      <c r="Z141" s="108">
        <v>0.39583333333333298</v>
      </c>
      <c r="AA141" s="179">
        <f>Y112</f>
        <v>3.8750000000000009</v>
      </c>
    </row>
    <row r="142" spans="24:27" x14ac:dyDescent="0.3">
      <c r="X142" s="110"/>
      <c r="Y142" s="108"/>
      <c r="Z142" s="108">
        <v>0.40625</v>
      </c>
      <c r="AA142" s="179">
        <f>Y112</f>
        <v>3.8750000000000009</v>
      </c>
    </row>
    <row r="143" spans="24:27" x14ac:dyDescent="0.3">
      <c r="X143" s="110"/>
      <c r="Y143" s="108"/>
      <c r="Z143" s="108">
        <v>0.41666666666666702</v>
      </c>
      <c r="AA143" s="179">
        <f>Y113</f>
        <v>5.2583333333333355</v>
      </c>
    </row>
    <row r="144" spans="24:27" x14ac:dyDescent="0.3">
      <c r="X144" s="110"/>
      <c r="Y144" s="108"/>
      <c r="Z144" s="108">
        <v>0.42708333333333298</v>
      </c>
      <c r="AA144" s="179">
        <f>Y113</f>
        <v>5.2583333333333355</v>
      </c>
    </row>
    <row r="145" spans="24:27" x14ac:dyDescent="0.3">
      <c r="X145" s="110"/>
      <c r="Y145" s="108"/>
      <c r="Z145" s="108">
        <v>0.4375</v>
      </c>
      <c r="AA145" s="179">
        <f>Y113</f>
        <v>5.2583333333333355</v>
      </c>
    </row>
    <row r="146" spans="24:27" x14ac:dyDescent="0.3">
      <c r="X146" s="110"/>
      <c r="Y146" s="108"/>
      <c r="Z146" s="108">
        <v>0.44791666666666702</v>
      </c>
      <c r="AA146" s="179">
        <f>Y113</f>
        <v>5.2583333333333355</v>
      </c>
    </row>
    <row r="147" spans="24:27" x14ac:dyDescent="0.3">
      <c r="X147" s="110"/>
      <c r="Y147" s="108"/>
      <c r="Z147" s="108">
        <v>0.45833333333333298</v>
      </c>
      <c r="AA147" s="179">
        <f>Y114</f>
        <v>6.3249999999999993</v>
      </c>
    </row>
    <row r="148" spans="24:27" x14ac:dyDescent="0.3">
      <c r="X148" s="110"/>
      <c r="Y148" s="108"/>
      <c r="Z148" s="108">
        <v>0.46875</v>
      </c>
      <c r="AA148" s="179">
        <f>Y114</f>
        <v>6.3249999999999993</v>
      </c>
    </row>
    <row r="149" spans="24:27" x14ac:dyDescent="0.3">
      <c r="X149" s="110"/>
      <c r="Y149" s="108"/>
      <c r="Z149" s="108">
        <v>0.47916666666666702</v>
      </c>
      <c r="AA149" s="179">
        <f>Y114</f>
        <v>6.3249999999999993</v>
      </c>
    </row>
    <row r="150" spans="24:27" x14ac:dyDescent="0.3">
      <c r="X150" s="110"/>
      <c r="Y150" s="108"/>
      <c r="Z150" s="108">
        <v>0.48958333333333298</v>
      </c>
      <c r="AA150" s="179">
        <f>Y114</f>
        <v>6.3249999999999993</v>
      </c>
    </row>
    <row r="151" spans="24:27" x14ac:dyDescent="0.3">
      <c r="X151" s="110"/>
      <c r="Y151" s="108"/>
      <c r="Z151" s="108">
        <v>0.5</v>
      </c>
      <c r="AA151" s="179">
        <f>Y115</f>
        <v>7.6916666666666664</v>
      </c>
    </row>
    <row r="152" spans="24:27" x14ac:dyDescent="0.3">
      <c r="X152" s="110"/>
      <c r="Y152" s="108"/>
      <c r="Z152" s="108">
        <v>0.51041666666666696</v>
      </c>
      <c r="AA152" s="179">
        <f>Y115</f>
        <v>7.6916666666666664</v>
      </c>
    </row>
    <row r="153" spans="24:27" x14ac:dyDescent="0.3">
      <c r="X153" s="110"/>
      <c r="Y153" s="108"/>
      <c r="Z153" s="108">
        <v>0.52083333333333304</v>
      </c>
      <c r="AA153" s="179">
        <f>Y115</f>
        <v>7.6916666666666664</v>
      </c>
    </row>
    <row r="154" spans="24:27" x14ac:dyDescent="0.3">
      <c r="X154" s="110"/>
      <c r="Y154" s="108"/>
      <c r="Z154" s="108">
        <v>0.53125</v>
      </c>
      <c r="AA154" s="179">
        <f>Y115</f>
        <v>7.6916666666666664</v>
      </c>
    </row>
    <row r="155" spans="24:27" x14ac:dyDescent="0.3">
      <c r="X155" s="110"/>
      <c r="Y155" s="108"/>
      <c r="Z155" s="108">
        <v>0.54166666666666696</v>
      </c>
      <c r="AA155" s="179">
        <f>Y116</f>
        <v>8.75</v>
      </c>
    </row>
    <row r="156" spans="24:27" x14ac:dyDescent="0.3">
      <c r="X156" s="110"/>
      <c r="Y156" s="108"/>
      <c r="Z156" s="108">
        <v>0.55208333333333304</v>
      </c>
      <c r="AA156" s="179">
        <f>Y116</f>
        <v>8.75</v>
      </c>
    </row>
    <row r="157" spans="24:27" x14ac:dyDescent="0.3">
      <c r="X157" s="110"/>
      <c r="Y157" s="108"/>
      <c r="Z157" s="108">
        <v>0.5625</v>
      </c>
      <c r="AA157" s="179">
        <f>Y116</f>
        <v>8.75</v>
      </c>
    </row>
    <row r="158" spans="24:27" x14ac:dyDescent="0.3">
      <c r="X158" s="110"/>
      <c r="Y158" s="108"/>
      <c r="Z158" s="108">
        <v>0.57291666666666696</v>
      </c>
      <c r="AA158" s="179">
        <f>Y116</f>
        <v>8.75</v>
      </c>
    </row>
    <row r="159" spans="24:27" x14ac:dyDescent="0.3">
      <c r="X159" s="110"/>
      <c r="Y159" s="108"/>
      <c r="Z159" s="108">
        <v>0.58333333333333304</v>
      </c>
      <c r="AA159" s="179">
        <f>Y117</f>
        <v>9.2333333333333325</v>
      </c>
    </row>
    <row r="160" spans="24:27" x14ac:dyDescent="0.3">
      <c r="X160" s="110"/>
      <c r="Y160" s="108"/>
      <c r="Z160" s="108">
        <v>0.59375</v>
      </c>
      <c r="AA160" s="179">
        <f>Y117</f>
        <v>9.2333333333333325</v>
      </c>
    </row>
    <row r="161" spans="24:27" x14ac:dyDescent="0.3">
      <c r="X161" s="110"/>
      <c r="Y161" s="108"/>
      <c r="Z161" s="108">
        <v>0.60416666666666696</v>
      </c>
      <c r="AA161" s="179">
        <f>Y117</f>
        <v>9.2333333333333325</v>
      </c>
    </row>
    <row r="162" spans="24:27" x14ac:dyDescent="0.3">
      <c r="X162" s="110"/>
      <c r="Y162" s="108"/>
      <c r="Z162" s="108">
        <v>0.61458333333333304</v>
      </c>
      <c r="AA162" s="179">
        <f>Y117</f>
        <v>9.2333333333333325</v>
      </c>
    </row>
    <row r="163" spans="24:27" x14ac:dyDescent="0.3">
      <c r="X163" s="110"/>
      <c r="Y163" s="108"/>
      <c r="Z163" s="108">
        <v>0.625</v>
      </c>
      <c r="AA163" s="179">
        <f>Y118</f>
        <v>9.341666666666665</v>
      </c>
    </row>
    <row r="164" spans="24:27" x14ac:dyDescent="0.3">
      <c r="X164" s="110"/>
      <c r="Y164" s="108"/>
      <c r="Z164" s="108">
        <v>0.63541666666666696</v>
      </c>
      <c r="AA164" s="179">
        <f>Y118</f>
        <v>9.341666666666665</v>
      </c>
    </row>
    <row r="165" spans="24:27" x14ac:dyDescent="0.3">
      <c r="X165" s="110"/>
      <c r="Y165" s="108"/>
      <c r="Z165" s="108">
        <v>0.64583333333333304</v>
      </c>
      <c r="AA165" s="179">
        <f>Y118</f>
        <v>9.341666666666665</v>
      </c>
    </row>
    <row r="166" spans="24:27" x14ac:dyDescent="0.3">
      <c r="X166" s="110"/>
      <c r="Y166" s="108"/>
      <c r="Z166" s="108">
        <v>0.65625</v>
      </c>
      <c r="AA166" s="179">
        <f>Y118</f>
        <v>9.341666666666665</v>
      </c>
    </row>
    <row r="167" spans="24:27" x14ac:dyDescent="0.3">
      <c r="X167" s="110"/>
      <c r="Y167" s="108"/>
      <c r="Z167" s="108">
        <v>0.66666666666666696</v>
      </c>
      <c r="AA167" s="179">
        <f>Y119</f>
        <v>8.5999999999999979</v>
      </c>
    </row>
    <row r="168" spans="24:27" x14ac:dyDescent="0.3">
      <c r="X168" s="110"/>
      <c r="Y168" s="108"/>
      <c r="Z168" s="108">
        <v>0.67708333333333304</v>
      </c>
      <c r="AA168" s="179">
        <f>Y119</f>
        <v>8.5999999999999979</v>
      </c>
    </row>
    <row r="169" spans="24:27" x14ac:dyDescent="0.3">
      <c r="X169" s="110"/>
      <c r="Y169" s="108"/>
      <c r="Z169" s="108">
        <v>0.6875</v>
      </c>
      <c r="AA169" s="179">
        <f>Y119</f>
        <v>8.5999999999999979</v>
      </c>
    </row>
    <row r="170" spans="24:27" x14ac:dyDescent="0.3">
      <c r="X170" s="110"/>
      <c r="Y170" s="108"/>
      <c r="Z170" s="108">
        <v>0.69791666666666696</v>
      </c>
      <c r="AA170" s="179">
        <f>Y119</f>
        <v>8.5999999999999979</v>
      </c>
    </row>
    <row r="171" spans="24:27" x14ac:dyDescent="0.3">
      <c r="X171" s="110"/>
      <c r="Y171" s="108"/>
      <c r="Z171" s="108">
        <v>0.70833333333333304</v>
      </c>
      <c r="AA171" s="179">
        <f>Y120</f>
        <v>7.2833333333333332</v>
      </c>
    </row>
    <row r="172" spans="24:27" x14ac:dyDescent="0.3">
      <c r="X172" s="110"/>
      <c r="Y172" s="108"/>
      <c r="Z172" s="108">
        <v>0.71875</v>
      </c>
      <c r="AA172" s="179">
        <f>Y120</f>
        <v>7.2833333333333332</v>
      </c>
    </row>
    <row r="173" spans="24:27" x14ac:dyDescent="0.3">
      <c r="X173" s="110"/>
      <c r="Y173" s="108"/>
      <c r="Z173" s="108">
        <v>0.72916666666666696</v>
      </c>
      <c r="AA173" s="179">
        <f>Y120</f>
        <v>7.2833333333333332</v>
      </c>
    </row>
    <row r="174" spans="24:27" x14ac:dyDescent="0.3">
      <c r="X174" s="110"/>
      <c r="Y174" s="108"/>
      <c r="Z174" s="108">
        <v>0.73958333333333304</v>
      </c>
      <c r="AA174" s="179">
        <f>Y120</f>
        <v>7.2833333333333332</v>
      </c>
    </row>
    <row r="175" spans="24:27" x14ac:dyDescent="0.3">
      <c r="X175" s="110"/>
      <c r="Y175" s="108"/>
      <c r="Z175" s="108">
        <v>0.75</v>
      </c>
      <c r="AA175" s="179">
        <f>Y121</f>
        <v>6.1750000000000016</v>
      </c>
    </row>
    <row r="176" spans="24:27" x14ac:dyDescent="0.3">
      <c r="X176" s="110"/>
      <c r="Y176" s="108"/>
      <c r="Z176" s="108">
        <v>0.76041666666666696</v>
      </c>
      <c r="AA176" s="179">
        <f>Y121</f>
        <v>6.1750000000000016</v>
      </c>
    </row>
    <row r="177" spans="24:27" x14ac:dyDescent="0.3">
      <c r="X177" s="110"/>
      <c r="Y177" s="108"/>
      <c r="Z177" s="108">
        <v>0.77083333333333304</v>
      </c>
      <c r="AA177" s="179">
        <f>Y121</f>
        <v>6.1750000000000016</v>
      </c>
    </row>
    <row r="178" spans="24:27" x14ac:dyDescent="0.3">
      <c r="X178" s="110"/>
      <c r="Y178" s="108"/>
      <c r="Z178" s="108">
        <v>0.78125</v>
      </c>
      <c r="AA178" s="179">
        <f>Y121</f>
        <v>6.1750000000000016</v>
      </c>
    </row>
    <row r="179" spans="24:27" x14ac:dyDescent="0.3">
      <c r="X179" s="110"/>
      <c r="Y179" s="108"/>
      <c r="Z179" s="108">
        <v>0.79166666666666696</v>
      </c>
      <c r="AA179" s="179">
        <f>Y122</f>
        <v>5.3333333333333339</v>
      </c>
    </row>
    <row r="180" spans="24:27" x14ac:dyDescent="0.3">
      <c r="X180" s="110"/>
      <c r="Y180" s="108"/>
      <c r="Z180" s="108">
        <v>0.80208333333333304</v>
      </c>
      <c r="AA180" s="179">
        <f>Y122</f>
        <v>5.3333333333333339</v>
      </c>
    </row>
    <row r="181" spans="24:27" x14ac:dyDescent="0.3">
      <c r="X181" s="110"/>
      <c r="Y181" s="108"/>
      <c r="Z181" s="108">
        <v>0.8125</v>
      </c>
      <c r="AA181" s="179">
        <f>Y122</f>
        <v>5.3333333333333339</v>
      </c>
    </row>
    <row r="182" spans="24:27" x14ac:dyDescent="0.3">
      <c r="X182" s="110"/>
      <c r="Y182" s="108"/>
      <c r="Z182" s="108">
        <v>0.82291666666666696</v>
      </c>
      <c r="AA182" s="179">
        <f>Y122</f>
        <v>5.3333333333333339</v>
      </c>
    </row>
    <row r="183" spans="24:27" x14ac:dyDescent="0.3">
      <c r="X183" s="110"/>
      <c r="Y183" s="108"/>
      <c r="Z183" s="108">
        <v>0.83333333333333304</v>
      </c>
      <c r="AA183" s="179">
        <f>Y123</f>
        <v>4.9416666666666682</v>
      </c>
    </row>
    <row r="184" spans="24:27" x14ac:dyDescent="0.3">
      <c r="X184" s="110"/>
      <c r="Y184" s="108"/>
      <c r="Z184" s="108">
        <v>0.84375</v>
      </c>
      <c r="AA184" s="179">
        <f>Y123</f>
        <v>4.9416666666666682</v>
      </c>
    </row>
    <row r="185" spans="24:27" x14ac:dyDescent="0.3">
      <c r="X185" s="110"/>
      <c r="Y185" s="108"/>
      <c r="Z185" s="108">
        <v>0.85416666666666696</v>
      </c>
      <c r="AA185" s="179">
        <f>Y123</f>
        <v>4.9416666666666682</v>
      </c>
    </row>
    <row r="186" spans="24:27" x14ac:dyDescent="0.3">
      <c r="X186" s="110"/>
      <c r="Y186" s="108"/>
      <c r="Z186" s="108">
        <v>0.86458333333333304</v>
      </c>
      <c r="AA186" s="179">
        <f>Y123</f>
        <v>4.9416666666666682</v>
      </c>
    </row>
    <row r="187" spans="24:27" x14ac:dyDescent="0.3">
      <c r="X187" s="110"/>
      <c r="Y187" s="108"/>
      <c r="Z187" s="108">
        <v>0.875</v>
      </c>
      <c r="AA187" s="179">
        <f>Y124</f>
        <v>4.3166666666666682</v>
      </c>
    </row>
    <row r="188" spans="24:27" x14ac:dyDescent="0.3">
      <c r="X188" s="110"/>
      <c r="Y188" s="108"/>
      <c r="Z188" s="108">
        <v>0.88541666666666696</v>
      </c>
      <c r="AA188" s="179">
        <f>Y124</f>
        <v>4.3166666666666682</v>
      </c>
    </row>
    <row r="189" spans="24:27" x14ac:dyDescent="0.3">
      <c r="X189" s="110"/>
      <c r="Y189" s="108"/>
      <c r="Z189" s="108">
        <v>0.89583333333333304</v>
      </c>
      <c r="AA189" s="179">
        <f>Y124</f>
        <v>4.3166666666666682</v>
      </c>
    </row>
    <row r="190" spans="24:27" x14ac:dyDescent="0.3">
      <c r="X190" s="110"/>
      <c r="Y190" s="108"/>
      <c r="Z190" s="108">
        <v>0.90625</v>
      </c>
      <c r="AA190" s="179">
        <f>Y124</f>
        <v>4.3166666666666682</v>
      </c>
    </row>
    <row r="191" spans="24:27" x14ac:dyDescent="0.3">
      <c r="X191" s="110"/>
      <c r="Y191" s="108"/>
      <c r="Z191" s="108">
        <v>0.91666666666666696</v>
      </c>
      <c r="AA191" s="179">
        <f>Y125</f>
        <v>3.9000000000000021</v>
      </c>
    </row>
    <row r="192" spans="24:27" x14ac:dyDescent="0.3">
      <c r="X192" s="110"/>
      <c r="Y192" s="108"/>
      <c r="Z192" s="108">
        <v>0.92708333333333304</v>
      </c>
      <c r="AA192" s="179">
        <f>Y125</f>
        <v>3.9000000000000021</v>
      </c>
    </row>
    <row r="193" spans="24:27" x14ac:dyDescent="0.3">
      <c r="X193" s="110"/>
      <c r="Y193" s="108"/>
      <c r="Z193" s="108">
        <v>0.9375</v>
      </c>
      <c r="AA193" s="179">
        <f>Y125</f>
        <v>3.9000000000000021</v>
      </c>
    </row>
    <row r="194" spans="24:27" x14ac:dyDescent="0.3">
      <c r="X194" s="110"/>
      <c r="Y194" s="108"/>
      <c r="Z194" s="108">
        <v>0.94791666666666696</v>
      </c>
      <c r="AA194" s="179">
        <f>Y125</f>
        <v>3.9000000000000021</v>
      </c>
    </row>
    <row r="195" spans="24:27" x14ac:dyDescent="0.3">
      <c r="X195" s="110"/>
      <c r="Y195" s="108"/>
      <c r="Z195" s="108">
        <v>0.95833333333333304</v>
      </c>
      <c r="AA195" s="179">
        <f>Y126</f>
        <v>3.8416666666666663</v>
      </c>
    </row>
    <row r="196" spans="24:27" x14ac:dyDescent="0.3">
      <c r="X196" s="110"/>
      <c r="Y196" s="108"/>
      <c r="Z196" s="108">
        <v>0.96875</v>
      </c>
      <c r="AA196" s="179">
        <f>Y126</f>
        <v>3.8416666666666663</v>
      </c>
    </row>
    <row r="197" spans="24:27" x14ac:dyDescent="0.3">
      <c r="X197" s="110"/>
      <c r="Y197" s="108"/>
      <c r="Z197" s="108">
        <v>0.97916666666666696</v>
      </c>
      <c r="AA197" s="179">
        <f>Y126</f>
        <v>3.8416666666666663</v>
      </c>
    </row>
    <row r="198" spans="24:27" x14ac:dyDescent="0.3">
      <c r="X198" s="111"/>
      <c r="Y198" s="109"/>
      <c r="Z198" s="109">
        <v>0.98958333333333304</v>
      </c>
      <c r="AA198" s="177">
        <f>Y126</f>
        <v>3.8416666666666663</v>
      </c>
    </row>
    <row r="200" spans="24:27" x14ac:dyDescent="0.3">
      <c r="X200" s="198" t="s">
        <v>156</v>
      </c>
      <c r="Y200" s="199"/>
      <c r="Z200" s="293" t="s">
        <v>293</v>
      </c>
      <c r="AA200" s="201"/>
    </row>
    <row r="201" spans="24:27" x14ac:dyDescent="0.3">
      <c r="X201" s="124" t="s">
        <v>217</v>
      </c>
      <c r="Y201" s="257" t="s">
        <v>285</v>
      </c>
      <c r="Z201" s="125" t="s">
        <v>217</v>
      </c>
      <c r="AA201" s="262" t="s">
        <v>285</v>
      </c>
    </row>
    <row r="202" spans="24:27" x14ac:dyDescent="0.3">
      <c r="X202" s="110">
        <v>0</v>
      </c>
      <c r="Y202" s="184">
        <v>13.208333333333334</v>
      </c>
      <c r="Z202" s="108">
        <v>0</v>
      </c>
      <c r="AA202" s="179">
        <f>Y202</f>
        <v>13.208333333333334</v>
      </c>
    </row>
    <row r="203" spans="24:27" x14ac:dyDescent="0.3">
      <c r="X203" s="110">
        <v>4.1666666666666664E-2</v>
      </c>
      <c r="Y203" s="184">
        <v>11.333333333333334</v>
      </c>
      <c r="Z203" s="108">
        <v>1.0416666666666666E-2</v>
      </c>
      <c r="AA203" s="179">
        <f>Y202</f>
        <v>13.208333333333334</v>
      </c>
    </row>
    <row r="204" spans="24:27" x14ac:dyDescent="0.3">
      <c r="X204" s="110">
        <v>8.3333333333333301E-2</v>
      </c>
      <c r="Y204" s="184">
        <v>9.8583333333333325</v>
      </c>
      <c r="Z204" s="108">
        <v>2.0833333333333301E-2</v>
      </c>
      <c r="AA204" s="179">
        <f>Y202</f>
        <v>13.208333333333334</v>
      </c>
    </row>
    <row r="205" spans="24:27" x14ac:dyDescent="0.3">
      <c r="X205" s="110">
        <v>0.125</v>
      </c>
      <c r="Y205" s="184">
        <v>2.8083333333333331</v>
      </c>
      <c r="Z205" s="108">
        <v>3.125E-2</v>
      </c>
      <c r="AA205" s="179">
        <f>Y202</f>
        <v>13.208333333333334</v>
      </c>
    </row>
    <row r="206" spans="24:27" x14ac:dyDescent="0.3">
      <c r="X206" s="110">
        <v>0.16666666666666699</v>
      </c>
      <c r="Y206" s="184">
        <v>-2.6</v>
      </c>
      <c r="Z206" s="108">
        <v>4.1666666666666699E-2</v>
      </c>
      <c r="AA206" s="179">
        <f>Y203</f>
        <v>11.333333333333334</v>
      </c>
    </row>
    <row r="207" spans="24:27" x14ac:dyDescent="0.3">
      <c r="X207" s="110">
        <v>0.20833333333333301</v>
      </c>
      <c r="Y207" s="184">
        <v>-3.8583333333333338</v>
      </c>
      <c r="Z207" s="108">
        <v>5.2083333333333301E-2</v>
      </c>
      <c r="AA207" s="179">
        <f>Y203</f>
        <v>11.333333333333334</v>
      </c>
    </row>
    <row r="208" spans="24:27" x14ac:dyDescent="0.3">
      <c r="X208" s="110">
        <v>0.25</v>
      </c>
      <c r="Y208" s="184">
        <v>-6.0333333333333332</v>
      </c>
      <c r="Z208" s="108">
        <v>6.25E-2</v>
      </c>
      <c r="AA208" s="179">
        <f>Y203</f>
        <v>11.333333333333334</v>
      </c>
    </row>
    <row r="209" spans="24:27" x14ac:dyDescent="0.3">
      <c r="X209" s="110">
        <v>0.29166666666666702</v>
      </c>
      <c r="Y209" s="184">
        <v>-8.1916666666666682</v>
      </c>
      <c r="Z209" s="108">
        <v>7.2916666666666699E-2</v>
      </c>
      <c r="AA209" s="179">
        <f>Y203</f>
        <v>11.333333333333334</v>
      </c>
    </row>
    <row r="210" spans="24:27" x14ac:dyDescent="0.3">
      <c r="X210" s="110">
        <v>0.33333333333333298</v>
      </c>
      <c r="Y210" s="184">
        <v>-9.8916666666666675</v>
      </c>
      <c r="Z210" s="108">
        <v>8.3333333333333301E-2</v>
      </c>
      <c r="AA210" s="179">
        <f>Y204</f>
        <v>9.8583333333333325</v>
      </c>
    </row>
    <row r="211" spans="24:27" x14ac:dyDescent="0.3">
      <c r="X211" s="110">
        <v>0.375</v>
      </c>
      <c r="Y211" s="184">
        <v>-10.891666666666667</v>
      </c>
      <c r="Z211" s="108">
        <v>9.375E-2</v>
      </c>
      <c r="AA211" s="179">
        <f>Y204</f>
        <v>9.8583333333333325</v>
      </c>
    </row>
    <row r="212" spans="24:27" x14ac:dyDescent="0.3">
      <c r="X212" s="110">
        <v>0.41666666666666702</v>
      </c>
      <c r="Y212" s="184">
        <v>-10.808333333333334</v>
      </c>
      <c r="Z212" s="108">
        <v>0.104166666666667</v>
      </c>
      <c r="AA212" s="179">
        <f>Y204</f>
        <v>9.8583333333333325</v>
      </c>
    </row>
    <row r="213" spans="24:27" x14ac:dyDescent="0.3">
      <c r="X213" s="110">
        <v>0.45833333333333298</v>
      </c>
      <c r="Y213" s="184">
        <v>-10.6</v>
      </c>
      <c r="Z213" s="108">
        <v>0.114583333333333</v>
      </c>
      <c r="AA213" s="179">
        <f>Y204</f>
        <v>9.8583333333333325</v>
      </c>
    </row>
    <row r="214" spans="24:27" x14ac:dyDescent="0.3">
      <c r="X214" s="110">
        <v>0.5</v>
      </c>
      <c r="Y214" s="184">
        <v>-11.241666666666667</v>
      </c>
      <c r="Z214" s="108">
        <v>0.125</v>
      </c>
      <c r="AA214" s="179">
        <f>Y205</f>
        <v>2.8083333333333331</v>
      </c>
    </row>
    <row r="215" spans="24:27" x14ac:dyDescent="0.3">
      <c r="X215" s="110">
        <v>0.54166666666666696</v>
      </c>
      <c r="Y215" s="184">
        <v>-11.700000000000001</v>
      </c>
      <c r="Z215" s="108">
        <v>0.13541666666666699</v>
      </c>
      <c r="AA215" s="179">
        <f>Y205</f>
        <v>2.8083333333333331</v>
      </c>
    </row>
    <row r="216" spans="24:27" x14ac:dyDescent="0.3">
      <c r="X216" s="110">
        <v>0.58333333333333304</v>
      </c>
      <c r="Y216" s="184">
        <v>-11.991666666666667</v>
      </c>
      <c r="Z216" s="108">
        <v>0.14583333333333301</v>
      </c>
      <c r="AA216" s="179">
        <f>Y205</f>
        <v>2.8083333333333331</v>
      </c>
    </row>
    <row r="217" spans="24:27" x14ac:dyDescent="0.3">
      <c r="X217" s="110">
        <v>0.625</v>
      </c>
      <c r="Y217" s="184">
        <v>-12.725000000000001</v>
      </c>
      <c r="Z217" s="108">
        <v>0.15625</v>
      </c>
      <c r="AA217" s="179">
        <f>Y205</f>
        <v>2.8083333333333331</v>
      </c>
    </row>
    <row r="218" spans="24:27" x14ac:dyDescent="0.3">
      <c r="X218" s="110">
        <v>0.66666666666666696</v>
      </c>
      <c r="Y218" s="184">
        <v>-13.333333333333334</v>
      </c>
      <c r="Z218" s="108">
        <v>0.16666666666666699</v>
      </c>
      <c r="AA218" s="179">
        <f>Y206</f>
        <v>-2.6</v>
      </c>
    </row>
    <row r="219" spans="24:27" x14ac:dyDescent="0.3">
      <c r="X219" s="110">
        <v>0.70833333333333304</v>
      </c>
      <c r="Y219" s="184">
        <v>-14.025</v>
      </c>
      <c r="Z219" s="108">
        <v>0.17708333333333301</v>
      </c>
      <c r="AA219" s="179">
        <f>Y206</f>
        <v>-2.6</v>
      </c>
    </row>
    <row r="220" spans="24:27" x14ac:dyDescent="0.3">
      <c r="X220" s="110">
        <v>0.75</v>
      </c>
      <c r="Y220" s="184">
        <v>-14.750000000000002</v>
      </c>
      <c r="Z220" s="108">
        <v>0.1875</v>
      </c>
      <c r="AA220" s="179">
        <f>Y206</f>
        <v>-2.6</v>
      </c>
    </row>
    <row r="221" spans="24:27" x14ac:dyDescent="0.3">
      <c r="X221" s="110">
        <v>0.79166666666666696</v>
      </c>
      <c r="Y221" s="184">
        <v>-15.408333333333333</v>
      </c>
      <c r="Z221" s="108">
        <v>0.19791666666666699</v>
      </c>
      <c r="AA221" s="179">
        <f>Y206</f>
        <v>-2.6</v>
      </c>
    </row>
    <row r="222" spans="24:27" x14ac:dyDescent="0.3">
      <c r="X222" s="110">
        <v>0.83333333333333304</v>
      </c>
      <c r="Y222" s="184">
        <v>-15.933333333333334</v>
      </c>
      <c r="Z222" s="108">
        <v>0.20833333333333301</v>
      </c>
      <c r="AA222" s="179">
        <f>Y207</f>
        <v>-3.8583333333333338</v>
      </c>
    </row>
    <row r="223" spans="24:27" x14ac:dyDescent="0.3">
      <c r="X223" s="110">
        <v>0.875</v>
      </c>
      <c r="Y223" s="184">
        <v>-16.158333333333335</v>
      </c>
      <c r="Z223" s="108">
        <v>0.21875</v>
      </c>
      <c r="AA223" s="179">
        <f>Y207</f>
        <v>-3.8583333333333338</v>
      </c>
    </row>
    <row r="224" spans="24:27" x14ac:dyDescent="0.3">
      <c r="X224" s="110">
        <v>0.91666666666666696</v>
      </c>
      <c r="Y224" s="184">
        <v>-16.55</v>
      </c>
      <c r="Z224" s="108">
        <v>0.22916666666666699</v>
      </c>
      <c r="AA224" s="179">
        <f>Y207</f>
        <v>-3.8583333333333338</v>
      </c>
    </row>
    <row r="225" spans="24:27" x14ac:dyDescent="0.3">
      <c r="X225" s="110">
        <v>0.95833333333333304</v>
      </c>
      <c r="Y225" s="184">
        <v>-17.091666666666669</v>
      </c>
      <c r="Z225" s="108">
        <v>0.23958333333333301</v>
      </c>
      <c r="AA225" s="179">
        <f>Y207</f>
        <v>-3.8583333333333338</v>
      </c>
    </row>
    <row r="226" spans="24:27" x14ac:dyDescent="0.3">
      <c r="X226" s="110"/>
      <c r="Y226" s="108"/>
      <c r="Z226" s="108">
        <v>0.25</v>
      </c>
      <c r="AA226" s="179">
        <f>Y208</f>
        <v>-6.0333333333333332</v>
      </c>
    </row>
    <row r="227" spans="24:27" x14ac:dyDescent="0.3">
      <c r="X227" s="110"/>
      <c r="Y227" s="108"/>
      <c r="Z227" s="108">
        <v>0.26041666666666702</v>
      </c>
      <c r="AA227" s="179">
        <f>Y208</f>
        <v>-6.0333333333333332</v>
      </c>
    </row>
    <row r="228" spans="24:27" x14ac:dyDescent="0.3">
      <c r="X228" s="110"/>
      <c r="Y228" s="108"/>
      <c r="Z228" s="108">
        <v>0.27083333333333298</v>
      </c>
      <c r="AA228" s="179">
        <f>Y208</f>
        <v>-6.0333333333333332</v>
      </c>
    </row>
    <row r="229" spans="24:27" x14ac:dyDescent="0.3">
      <c r="X229" s="110"/>
      <c r="Y229" s="193"/>
      <c r="Z229" s="108">
        <v>0.28125</v>
      </c>
      <c r="AA229" s="179">
        <f>Y208</f>
        <v>-6.0333333333333332</v>
      </c>
    </row>
    <row r="230" spans="24:27" x14ac:dyDescent="0.3">
      <c r="X230" s="110"/>
      <c r="Y230" s="108"/>
      <c r="Z230" s="108">
        <v>0.29166666666666702</v>
      </c>
      <c r="AA230" s="179">
        <f>Y209</f>
        <v>-8.1916666666666682</v>
      </c>
    </row>
    <row r="231" spans="24:27" x14ac:dyDescent="0.3">
      <c r="X231" s="110"/>
      <c r="Y231" s="108"/>
      <c r="Z231" s="108">
        <v>0.30208333333333298</v>
      </c>
      <c r="AA231" s="179">
        <f>Y209</f>
        <v>-8.1916666666666682</v>
      </c>
    </row>
    <row r="232" spans="24:27" x14ac:dyDescent="0.3">
      <c r="X232" s="110"/>
      <c r="Y232" s="108"/>
      <c r="Z232" s="108">
        <v>0.3125</v>
      </c>
      <c r="AA232" s="179">
        <f>Y209</f>
        <v>-8.1916666666666682</v>
      </c>
    </row>
    <row r="233" spans="24:27" x14ac:dyDescent="0.3">
      <c r="X233" s="110"/>
      <c r="Y233" s="108"/>
      <c r="Z233" s="108">
        <v>0.32291666666666702</v>
      </c>
      <c r="AA233" s="179">
        <f>Y209</f>
        <v>-8.1916666666666682</v>
      </c>
    </row>
    <row r="234" spans="24:27" x14ac:dyDescent="0.3">
      <c r="X234" s="110"/>
      <c r="Y234" s="108"/>
      <c r="Z234" s="108">
        <v>0.33333333333333298</v>
      </c>
      <c r="AA234" s="179">
        <f>Y210</f>
        <v>-9.8916666666666675</v>
      </c>
    </row>
    <row r="235" spans="24:27" x14ac:dyDescent="0.3">
      <c r="X235" s="110"/>
      <c r="Y235" s="108"/>
      <c r="Z235" s="108">
        <v>0.34375</v>
      </c>
      <c r="AA235" s="179">
        <f>Y210</f>
        <v>-9.8916666666666675</v>
      </c>
    </row>
    <row r="236" spans="24:27" x14ac:dyDescent="0.3">
      <c r="X236" s="110"/>
      <c r="Y236" s="108"/>
      <c r="Z236" s="108">
        <v>0.35416666666666702</v>
      </c>
      <c r="AA236" s="179">
        <f>Y210</f>
        <v>-9.8916666666666675</v>
      </c>
    </row>
    <row r="237" spans="24:27" x14ac:dyDescent="0.3">
      <c r="X237" s="110"/>
      <c r="Y237" s="108"/>
      <c r="Z237" s="108">
        <v>0.36458333333333298</v>
      </c>
      <c r="AA237" s="179">
        <f>Y210</f>
        <v>-9.8916666666666675</v>
      </c>
    </row>
    <row r="238" spans="24:27" x14ac:dyDescent="0.3">
      <c r="X238" s="110"/>
      <c r="Y238" s="108"/>
      <c r="Z238" s="108">
        <v>0.375</v>
      </c>
      <c r="AA238" s="179">
        <f>Y211</f>
        <v>-10.891666666666667</v>
      </c>
    </row>
    <row r="239" spans="24:27" x14ac:dyDescent="0.3">
      <c r="X239" s="110"/>
      <c r="Y239" s="108"/>
      <c r="Z239" s="108">
        <v>0.38541666666666702</v>
      </c>
      <c r="AA239" s="179">
        <f>Y211</f>
        <v>-10.891666666666667</v>
      </c>
    </row>
    <row r="240" spans="24:27" x14ac:dyDescent="0.3">
      <c r="X240" s="110"/>
      <c r="Y240" s="108"/>
      <c r="Z240" s="108">
        <v>0.39583333333333298</v>
      </c>
      <c r="AA240" s="179">
        <f>Y211</f>
        <v>-10.891666666666667</v>
      </c>
    </row>
    <row r="241" spans="24:27" x14ac:dyDescent="0.3">
      <c r="X241" s="110"/>
      <c r="Y241" s="108"/>
      <c r="Z241" s="108">
        <v>0.40625</v>
      </c>
      <c r="AA241" s="179">
        <f>Y211</f>
        <v>-10.891666666666667</v>
      </c>
    </row>
    <row r="242" spans="24:27" x14ac:dyDescent="0.3">
      <c r="X242" s="110"/>
      <c r="Y242" s="108"/>
      <c r="Z242" s="108">
        <v>0.41666666666666702</v>
      </c>
      <c r="AA242" s="179">
        <f>Y212</f>
        <v>-10.808333333333334</v>
      </c>
    </row>
    <row r="243" spans="24:27" x14ac:dyDescent="0.3">
      <c r="X243" s="110"/>
      <c r="Y243" s="108"/>
      <c r="Z243" s="108">
        <v>0.42708333333333298</v>
      </c>
      <c r="AA243" s="179">
        <f>Y212</f>
        <v>-10.808333333333334</v>
      </c>
    </row>
    <row r="244" spans="24:27" x14ac:dyDescent="0.3">
      <c r="X244" s="110"/>
      <c r="Y244" s="108"/>
      <c r="Z244" s="108">
        <v>0.4375</v>
      </c>
      <c r="AA244" s="179">
        <f>Y212</f>
        <v>-10.808333333333334</v>
      </c>
    </row>
    <row r="245" spans="24:27" x14ac:dyDescent="0.3">
      <c r="X245" s="110"/>
      <c r="Y245" s="108"/>
      <c r="Z245" s="108">
        <v>0.44791666666666702</v>
      </c>
      <c r="AA245" s="179">
        <f>Y212</f>
        <v>-10.808333333333334</v>
      </c>
    </row>
    <row r="246" spans="24:27" x14ac:dyDescent="0.3">
      <c r="X246" s="110"/>
      <c r="Y246" s="108"/>
      <c r="Z246" s="108">
        <v>0.45833333333333298</v>
      </c>
      <c r="AA246" s="179">
        <f>Y213</f>
        <v>-10.6</v>
      </c>
    </row>
    <row r="247" spans="24:27" x14ac:dyDescent="0.3">
      <c r="X247" s="110"/>
      <c r="Y247" s="108"/>
      <c r="Z247" s="108">
        <v>0.46875</v>
      </c>
      <c r="AA247" s="179">
        <f>Y213</f>
        <v>-10.6</v>
      </c>
    </row>
    <row r="248" spans="24:27" x14ac:dyDescent="0.3">
      <c r="X248" s="110"/>
      <c r="Y248" s="108"/>
      <c r="Z248" s="108">
        <v>0.47916666666666702</v>
      </c>
      <c r="AA248" s="179">
        <f>Y213</f>
        <v>-10.6</v>
      </c>
    </row>
    <row r="249" spans="24:27" x14ac:dyDescent="0.3">
      <c r="X249" s="110"/>
      <c r="Y249" s="108"/>
      <c r="Z249" s="108">
        <v>0.48958333333333298</v>
      </c>
      <c r="AA249" s="179">
        <f>Y213</f>
        <v>-10.6</v>
      </c>
    </row>
    <row r="250" spans="24:27" x14ac:dyDescent="0.3">
      <c r="X250" s="110"/>
      <c r="Y250" s="108"/>
      <c r="Z250" s="108">
        <v>0.5</v>
      </c>
      <c r="AA250" s="179">
        <f>Y214</f>
        <v>-11.241666666666667</v>
      </c>
    </row>
    <row r="251" spans="24:27" x14ac:dyDescent="0.3">
      <c r="X251" s="110"/>
      <c r="Y251" s="108"/>
      <c r="Z251" s="108">
        <v>0.51041666666666696</v>
      </c>
      <c r="AA251" s="179">
        <f>Y214</f>
        <v>-11.241666666666667</v>
      </c>
    </row>
    <row r="252" spans="24:27" x14ac:dyDescent="0.3">
      <c r="X252" s="110"/>
      <c r="Y252" s="108"/>
      <c r="Z252" s="108">
        <v>0.52083333333333304</v>
      </c>
      <c r="AA252" s="179">
        <f>Y214</f>
        <v>-11.241666666666667</v>
      </c>
    </row>
    <row r="253" spans="24:27" x14ac:dyDescent="0.3">
      <c r="X253" s="110"/>
      <c r="Y253" s="108"/>
      <c r="Z253" s="108">
        <v>0.53125</v>
      </c>
      <c r="AA253" s="179">
        <f>Y214</f>
        <v>-11.241666666666667</v>
      </c>
    </row>
    <row r="254" spans="24:27" x14ac:dyDescent="0.3">
      <c r="X254" s="110"/>
      <c r="Y254" s="108"/>
      <c r="Z254" s="108">
        <v>0.54166666666666696</v>
      </c>
      <c r="AA254" s="179">
        <f>Y215</f>
        <v>-11.700000000000001</v>
      </c>
    </row>
    <row r="255" spans="24:27" x14ac:dyDescent="0.3">
      <c r="X255" s="110"/>
      <c r="Y255" s="108"/>
      <c r="Z255" s="108">
        <v>0.55208333333333304</v>
      </c>
      <c r="AA255" s="179">
        <f>Y215</f>
        <v>-11.700000000000001</v>
      </c>
    </row>
    <row r="256" spans="24:27" x14ac:dyDescent="0.3">
      <c r="X256" s="110"/>
      <c r="Y256" s="108"/>
      <c r="Z256" s="108">
        <v>0.5625</v>
      </c>
      <c r="AA256" s="179">
        <f>Y215</f>
        <v>-11.700000000000001</v>
      </c>
    </row>
    <row r="257" spans="24:27" x14ac:dyDescent="0.3">
      <c r="X257" s="110"/>
      <c r="Y257" s="108"/>
      <c r="Z257" s="108">
        <v>0.57291666666666696</v>
      </c>
      <c r="AA257" s="179">
        <f>Y215</f>
        <v>-11.700000000000001</v>
      </c>
    </row>
    <row r="258" spans="24:27" x14ac:dyDescent="0.3">
      <c r="X258" s="110"/>
      <c r="Y258" s="108"/>
      <c r="Z258" s="108">
        <v>0.58333333333333304</v>
      </c>
      <c r="AA258" s="179">
        <f>Y216</f>
        <v>-11.991666666666667</v>
      </c>
    </row>
    <row r="259" spans="24:27" x14ac:dyDescent="0.3">
      <c r="X259" s="110"/>
      <c r="Y259" s="108"/>
      <c r="Z259" s="108">
        <v>0.59375</v>
      </c>
      <c r="AA259" s="179">
        <f>Y216</f>
        <v>-11.991666666666667</v>
      </c>
    </row>
    <row r="260" spans="24:27" x14ac:dyDescent="0.3">
      <c r="X260" s="110"/>
      <c r="Y260" s="108"/>
      <c r="Z260" s="108">
        <v>0.60416666666666696</v>
      </c>
      <c r="AA260" s="179">
        <f>Y216</f>
        <v>-11.991666666666667</v>
      </c>
    </row>
    <row r="261" spans="24:27" x14ac:dyDescent="0.3">
      <c r="X261" s="110"/>
      <c r="Y261" s="108"/>
      <c r="Z261" s="108">
        <v>0.61458333333333304</v>
      </c>
      <c r="AA261" s="179">
        <f>Y216</f>
        <v>-11.991666666666667</v>
      </c>
    </row>
    <row r="262" spans="24:27" x14ac:dyDescent="0.3">
      <c r="X262" s="110"/>
      <c r="Y262" s="108"/>
      <c r="Z262" s="108">
        <v>0.625</v>
      </c>
      <c r="AA262" s="179">
        <f>Y217</f>
        <v>-12.725000000000001</v>
      </c>
    </row>
    <row r="263" spans="24:27" x14ac:dyDescent="0.3">
      <c r="X263" s="110"/>
      <c r="Y263" s="108"/>
      <c r="Z263" s="108">
        <v>0.63541666666666696</v>
      </c>
      <c r="AA263" s="179">
        <f>Y217</f>
        <v>-12.725000000000001</v>
      </c>
    </row>
    <row r="264" spans="24:27" x14ac:dyDescent="0.3">
      <c r="X264" s="110"/>
      <c r="Y264" s="108"/>
      <c r="Z264" s="108">
        <v>0.64583333333333304</v>
      </c>
      <c r="AA264" s="179">
        <f>Y217</f>
        <v>-12.725000000000001</v>
      </c>
    </row>
    <row r="265" spans="24:27" x14ac:dyDescent="0.3">
      <c r="X265" s="110"/>
      <c r="Y265" s="108"/>
      <c r="Z265" s="108">
        <v>0.65625</v>
      </c>
      <c r="AA265" s="179">
        <f>Y217</f>
        <v>-12.725000000000001</v>
      </c>
    </row>
    <row r="266" spans="24:27" x14ac:dyDescent="0.3">
      <c r="X266" s="110"/>
      <c r="Y266" s="108"/>
      <c r="Z266" s="108">
        <v>0.66666666666666696</v>
      </c>
      <c r="AA266" s="179">
        <f>Y218</f>
        <v>-13.333333333333334</v>
      </c>
    </row>
    <row r="267" spans="24:27" x14ac:dyDescent="0.3">
      <c r="X267" s="110"/>
      <c r="Y267" s="108"/>
      <c r="Z267" s="108">
        <v>0.67708333333333304</v>
      </c>
      <c r="AA267" s="179">
        <f>Y218</f>
        <v>-13.333333333333334</v>
      </c>
    </row>
    <row r="268" spans="24:27" x14ac:dyDescent="0.3">
      <c r="X268" s="110"/>
      <c r="Y268" s="108"/>
      <c r="Z268" s="108">
        <v>0.6875</v>
      </c>
      <c r="AA268" s="179">
        <f>Y218</f>
        <v>-13.333333333333334</v>
      </c>
    </row>
    <row r="269" spans="24:27" x14ac:dyDescent="0.3">
      <c r="X269" s="110"/>
      <c r="Y269" s="108"/>
      <c r="Z269" s="108">
        <v>0.69791666666666696</v>
      </c>
      <c r="AA269" s="179">
        <f>Y218</f>
        <v>-13.333333333333334</v>
      </c>
    </row>
    <row r="270" spans="24:27" x14ac:dyDescent="0.3">
      <c r="X270" s="110"/>
      <c r="Y270" s="108"/>
      <c r="Z270" s="108">
        <v>0.70833333333333304</v>
      </c>
      <c r="AA270" s="179">
        <f>Y219</f>
        <v>-14.025</v>
      </c>
    </row>
    <row r="271" spans="24:27" x14ac:dyDescent="0.3">
      <c r="X271" s="110"/>
      <c r="Y271" s="108"/>
      <c r="Z271" s="108">
        <v>0.71875</v>
      </c>
      <c r="AA271" s="179">
        <f>Y219</f>
        <v>-14.025</v>
      </c>
    </row>
    <row r="272" spans="24:27" x14ac:dyDescent="0.3">
      <c r="X272" s="110"/>
      <c r="Y272" s="108"/>
      <c r="Z272" s="108">
        <v>0.72916666666666696</v>
      </c>
      <c r="AA272" s="179">
        <f>Y219</f>
        <v>-14.025</v>
      </c>
    </row>
    <row r="273" spans="24:27" x14ac:dyDescent="0.3">
      <c r="X273" s="110"/>
      <c r="Y273" s="108"/>
      <c r="Z273" s="108">
        <v>0.73958333333333304</v>
      </c>
      <c r="AA273" s="179">
        <f>Y219</f>
        <v>-14.025</v>
      </c>
    </row>
    <row r="274" spans="24:27" x14ac:dyDescent="0.3">
      <c r="X274" s="110"/>
      <c r="Y274" s="108"/>
      <c r="Z274" s="108">
        <v>0.75</v>
      </c>
      <c r="AA274" s="179">
        <f>Y220</f>
        <v>-14.750000000000002</v>
      </c>
    </row>
    <row r="275" spans="24:27" x14ac:dyDescent="0.3">
      <c r="X275" s="110"/>
      <c r="Y275" s="108"/>
      <c r="Z275" s="108">
        <v>0.76041666666666696</v>
      </c>
      <c r="AA275" s="179">
        <f>Y220</f>
        <v>-14.750000000000002</v>
      </c>
    </row>
    <row r="276" spans="24:27" x14ac:dyDescent="0.3">
      <c r="X276" s="110"/>
      <c r="Y276" s="108"/>
      <c r="Z276" s="108">
        <v>0.77083333333333304</v>
      </c>
      <c r="AA276" s="179">
        <f>Y220</f>
        <v>-14.750000000000002</v>
      </c>
    </row>
    <row r="277" spans="24:27" x14ac:dyDescent="0.3">
      <c r="X277" s="110"/>
      <c r="Y277" s="108"/>
      <c r="Z277" s="108">
        <v>0.78125</v>
      </c>
      <c r="AA277" s="179">
        <f>Y220</f>
        <v>-14.750000000000002</v>
      </c>
    </row>
    <row r="278" spans="24:27" x14ac:dyDescent="0.3">
      <c r="X278" s="110"/>
      <c r="Y278" s="108"/>
      <c r="Z278" s="108">
        <v>0.79166666666666696</v>
      </c>
      <c r="AA278" s="179">
        <f>Y221</f>
        <v>-15.408333333333333</v>
      </c>
    </row>
    <row r="279" spans="24:27" x14ac:dyDescent="0.3">
      <c r="X279" s="110"/>
      <c r="Y279" s="108"/>
      <c r="Z279" s="108">
        <v>0.80208333333333304</v>
      </c>
      <c r="AA279" s="179">
        <f>Y221</f>
        <v>-15.408333333333333</v>
      </c>
    </row>
    <row r="280" spans="24:27" x14ac:dyDescent="0.3">
      <c r="X280" s="110"/>
      <c r="Y280" s="108"/>
      <c r="Z280" s="108">
        <v>0.8125</v>
      </c>
      <c r="AA280" s="179">
        <f>Y221</f>
        <v>-15.408333333333333</v>
      </c>
    </row>
    <row r="281" spans="24:27" x14ac:dyDescent="0.3">
      <c r="X281" s="110"/>
      <c r="Y281" s="108"/>
      <c r="Z281" s="108">
        <v>0.82291666666666696</v>
      </c>
      <c r="AA281" s="179">
        <f>Y221</f>
        <v>-15.408333333333333</v>
      </c>
    </row>
    <row r="282" spans="24:27" x14ac:dyDescent="0.3">
      <c r="X282" s="110"/>
      <c r="Y282" s="108"/>
      <c r="Z282" s="108">
        <v>0.83333333333333304</v>
      </c>
      <c r="AA282" s="179">
        <f>Y222</f>
        <v>-15.933333333333334</v>
      </c>
    </row>
    <row r="283" spans="24:27" x14ac:dyDescent="0.3">
      <c r="X283" s="110"/>
      <c r="Y283" s="108"/>
      <c r="Z283" s="108">
        <v>0.84375</v>
      </c>
      <c r="AA283" s="179">
        <f>Y222</f>
        <v>-15.933333333333334</v>
      </c>
    </row>
    <row r="284" spans="24:27" x14ac:dyDescent="0.3">
      <c r="X284" s="110"/>
      <c r="Y284" s="108"/>
      <c r="Z284" s="108">
        <v>0.85416666666666696</v>
      </c>
      <c r="AA284" s="179">
        <f>Y222</f>
        <v>-15.933333333333334</v>
      </c>
    </row>
    <row r="285" spans="24:27" x14ac:dyDescent="0.3">
      <c r="X285" s="110"/>
      <c r="Y285" s="108"/>
      <c r="Z285" s="108">
        <v>0.86458333333333304</v>
      </c>
      <c r="AA285" s="179">
        <f>Y222</f>
        <v>-15.933333333333334</v>
      </c>
    </row>
    <row r="286" spans="24:27" x14ac:dyDescent="0.3">
      <c r="X286" s="110"/>
      <c r="Y286" s="108"/>
      <c r="Z286" s="108">
        <v>0.875</v>
      </c>
      <c r="AA286" s="179">
        <f>Y223</f>
        <v>-16.158333333333335</v>
      </c>
    </row>
    <row r="287" spans="24:27" x14ac:dyDescent="0.3">
      <c r="X287" s="110"/>
      <c r="Y287" s="108"/>
      <c r="Z287" s="108">
        <v>0.88541666666666696</v>
      </c>
      <c r="AA287" s="179">
        <f>Y223</f>
        <v>-16.158333333333335</v>
      </c>
    </row>
    <row r="288" spans="24:27" x14ac:dyDescent="0.3">
      <c r="X288" s="110"/>
      <c r="Y288" s="108"/>
      <c r="Z288" s="108">
        <v>0.89583333333333304</v>
      </c>
      <c r="AA288" s="179">
        <f>Y223</f>
        <v>-16.158333333333335</v>
      </c>
    </row>
    <row r="289" spans="24:27" x14ac:dyDescent="0.3">
      <c r="X289" s="110"/>
      <c r="Y289" s="108"/>
      <c r="Z289" s="108">
        <v>0.90625</v>
      </c>
      <c r="AA289" s="179">
        <f>Y223</f>
        <v>-16.158333333333335</v>
      </c>
    </row>
    <row r="290" spans="24:27" x14ac:dyDescent="0.3">
      <c r="X290" s="110"/>
      <c r="Y290" s="108"/>
      <c r="Z290" s="108">
        <v>0.91666666666666696</v>
      </c>
      <c r="AA290" s="179">
        <f>Y224</f>
        <v>-16.55</v>
      </c>
    </row>
    <row r="291" spans="24:27" x14ac:dyDescent="0.3">
      <c r="X291" s="110"/>
      <c r="Y291" s="108"/>
      <c r="Z291" s="108">
        <v>0.92708333333333304</v>
      </c>
      <c r="AA291" s="179">
        <f>Y224</f>
        <v>-16.55</v>
      </c>
    </row>
    <row r="292" spans="24:27" x14ac:dyDescent="0.3">
      <c r="X292" s="110"/>
      <c r="Y292" s="108"/>
      <c r="Z292" s="108">
        <v>0.9375</v>
      </c>
      <c r="AA292" s="179">
        <f>Y224</f>
        <v>-16.55</v>
      </c>
    </row>
    <row r="293" spans="24:27" x14ac:dyDescent="0.3">
      <c r="X293" s="110"/>
      <c r="Y293" s="108"/>
      <c r="Z293" s="108">
        <v>0.94791666666666696</v>
      </c>
      <c r="AA293" s="179">
        <f>Y224</f>
        <v>-16.55</v>
      </c>
    </row>
    <row r="294" spans="24:27" x14ac:dyDescent="0.3">
      <c r="X294" s="110"/>
      <c r="Y294" s="108"/>
      <c r="Z294" s="108">
        <v>0.95833333333333304</v>
      </c>
      <c r="AA294" s="179">
        <f>Y225</f>
        <v>-17.091666666666669</v>
      </c>
    </row>
    <row r="295" spans="24:27" x14ac:dyDescent="0.3">
      <c r="X295" s="110"/>
      <c r="Y295" s="108"/>
      <c r="Z295" s="108">
        <v>0.96875</v>
      </c>
      <c r="AA295" s="179">
        <f>Y225</f>
        <v>-17.091666666666669</v>
      </c>
    </row>
    <row r="296" spans="24:27" x14ac:dyDescent="0.3">
      <c r="X296" s="110"/>
      <c r="Y296" s="108"/>
      <c r="Z296" s="108">
        <v>0.97916666666666696</v>
      </c>
      <c r="AA296" s="179">
        <f>Y225</f>
        <v>-17.091666666666669</v>
      </c>
    </row>
    <row r="297" spans="24:27" x14ac:dyDescent="0.3">
      <c r="X297" s="111"/>
      <c r="Y297" s="109"/>
      <c r="Z297" s="109">
        <v>0.98958333333333304</v>
      </c>
      <c r="AA297" s="177">
        <f>Y225</f>
        <v>-17.091666666666669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86EF-4B88-40F4-A64B-B3FDDB7C84F2}">
  <sheetPr codeName="Sheet8"/>
  <dimension ref="A1:FA208"/>
  <sheetViews>
    <sheetView zoomScale="80" zoomScaleNormal="80" workbookViewId="0"/>
  </sheetViews>
  <sheetFormatPr defaultRowHeight="14.4" x14ac:dyDescent="0.3"/>
  <cols>
    <col min="2" max="3" width="23.77734375" customWidth="1"/>
    <col min="4" max="4" width="27.44140625" bestFit="1" customWidth="1"/>
    <col min="5" max="5" width="27.44140625" customWidth="1"/>
    <col min="7" max="7" width="16" customWidth="1"/>
    <col min="8" max="12" width="13.77734375" customWidth="1"/>
    <col min="13" max="13" width="9.77734375" customWidth="1"/>
    <col min="14" max="19" width="13.77734375" customWidth="1"/>
    <col min="21" max="26" width="13.77734375" customWidth="1"/>
    <col min="28" max="33" width="13.77734375" customWidth="1"/>
    <col min="35" max="40" width="13.77734375" customWidth="1"/>
    <col min="42" max="47" width="13.77734375" customWidth="1"/>
    <col min="50" max="50" width="13.5546875" bestFit="1" customWidth="1"/>
    <col min="53" max="53" width="13.5546875" bestFit="1" customWidth="1"/>
    <col min="55" max="60" width="13.77734375" customWidth="1"/>
    <col min="62" max="67" width="13.77734375" customWidth="1"/>
    <col min="69" max="74" width="13.77734375" customWidth="1"/>
    <col min="76" max="81" width="13.77734375" customWidth="1"/>
    <col min="83" max="88" width="13.77734375" customWidth="1"/>
    <col min="90" max="95" width="13.77734375" customWidth="1"/>
    <col min="98" max="98" width="13.5546875" bestFit="1" customWidth="1"/>
    <col min="101" max="101" width="13.5546875" bestFit="1" customWidth="1"/>
    <col min="103" max="108" width="13.77734375" customWidth="1"/>
    <col min="110" max="115" width="13.77734375" customWidth="1"/>
    <col min="117" max="122" width="13.77734375" customWidth="1"/>
    <col min="124" max="129" width="13.77734375" customWidth="1"/>
    <col min="131" max="136" width="13.77734375" customWidth="1"/>
    <col min="138" max="143" width="13.77734375" customWidth="1"/>
    <col min="146" max="146" width="13.5546875" bestFit="1" customWidth="1"/>
    <col min="149" max="149" width="13.5546875" bestFit="1" customWidth="1"/>
    <col min="151" max="151" width="14.109375" customWidth="1"/>
    <col min="152" max="152" width="13.5546875" bestFit="1" customWidth="1"/>
    <col min="153" max="153" width="15.77734375" customWidth="1"/>
    <col min="154" max="154" width="13.5546875" bestFit="1" customWidth="1"/>
    <col min="155" max="155" width="14.44140625" customWidth="1"/>
    <col min="156" max="156" width="13.5546875" bestFit="1" customWidth="1"/>
  </cols>
  <sheetData>
    <row r="1" spans="1:156" ht="15" thickBot="1" x14ac:dyDescent="0.35">
      <c r="G1" s="385" t="s">
        <v>260</v>
      </c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7"/>
      <c r="BC1" s="385" t="s">
        <v>261</v>
      </c>
      <c r="BD1" s="386"/>
      <c r="BE1" s="386"/>
      <c r="BF1" s="386"/>
      <c r="BG1" s="386"/>
      <c r="BH1" s="386"/>
      <c r="BI1" s="386"/>
      <c r="BJ1" s="386"/>
      <c r="BK1" s="386"/>
      <c r="BL1" s="386"/>
      <c r="BM1" s="386"/>
      <c r="BN1" s="386"/>
      <c r="BO1" s="386"/>
      <c r="BP1" s="386"/>
      <c r="BQ1" s="386"/>
      <c r="BR1" s="386"/>
      <c r="BS1" s="386"/>
      <c r="BT1" s="386"/>
      <c r="BU1" s="386"/>
      <c r="BV1" s="386"/>
      <c r="BW1" s="386"/>
      <c r="BX1" s="386"/>
      <c r="BY1" s="386"/>
      <c r="BZ1" s="386"/>
      <c r="CA1" s="386"/>
      <c r="CB1" s="386"/>
      <c r="CC1" s="386"/>
      <c r="CD1" s="386"/>
      <c r="CE1" s="386"/>
      <c r="CF1" s="386"/>
      <c r="CG1" s="386"/>
      <c r="CH1" s="386"/>
      <c r="CI1" s="386"/>
      <c r="CJ1" s="386"/>
      <c r="CK1" s="386"/>
      <c r="CL1" s="386"/>
      <c r="CM1" s="386"/>
      <c r="CN1" s="386"/>
      <c r="CO1" s="386"/>
      <c r="CP1" s="386"/>
      <c r="CQ1" s="386"/>
      <c r="CR1" s="386"/>
      <c r="CS1" s="386"/>
      <c r="CT1" s="386"/>
      <c r="CU1" s="386"/>
      <c r="CV1" s="386"/>
      <c r="CW1" s="387"/>
      <c r="CY1" s="385" t="s">
        <v>262</v>
      </c>
      <c r="CZ1" s="386"/>
      <c r="DA1" s="386"/>
      <c r="DB1" s="386"/>
      <c r="DC1" s="386"/>
      <c r="DD1" s="386"/>
      <c r="DE1" s="386"/>
      <c r="DF1" s="386"/>
      <c r="DG1" s="386"/>
      <c r="DH1" s="386"/>
      <c r="DI1" s="386"/>
      <c r="DJ1" s="386"/>
      <c r="DK1" s="386"/>
      <c r="DL1" s="386"/>
      <c r="DM1" s="386"/>
      <c r="DN1" s="386"/>
      <c r="DO1" s="386"/>
      <c r="DP1" s="386"/>
      <c r="DQ1" s="386"/>
      <c r="DR1" s="386"/>
      <c r="DS1" s="386"/>
      <c r="DT1" s="386"/>
      <c r="DU1" s="386"/>
      <c r="DV1" s="386"/>
      <c r="DW1" s="386"/>
      <c r="DX1" s="386"/>
      <c r="DY1" s="386"/>
      <c r="DZ1" s="386"/>
      <c r="EA1" s="386"/>
      <c r="EB1" s="386"/>
      <c r="EC1" s="386"/>
      <c r="ED1" s="386"/>
      <c r="EE1" s="386"/>
      <c r="EF1" s="386"/>
      <c r="EG1" s="386"/>
      <c r="EH1" s="386"/>
      <c r="EI1" s="386"/>
      <c r="EJ1" s="386"/>
      <c r="EK1" s="386"/>
      <c r="EL1" s="386"/>
      <c r="EM1" s="386"/>
      <c r="EN1" s="386"/>
      <c r="EO1" s="386"/>
      <c r="EP1" s="386"/>
      <c r="EQ1" s="386"/>
      <c r="ER1" s="386"/>
      <c r="ES1" s="387"/>
      <c r="EU1" s="390" t="s">
        <v>307</v>
      </c>
      <c r="EV1" s="391"/>
      <c r="EW1" s="391"/>
      <c r="EX1" s="391"/>
      <c r="EY1" s="391"/>
      <c r="EZ1" s="392"/>
    </row>
    <row r="2" spans="1:156" x14ac:dyDescent="0.3">
      <c r="B2" s="222" t="s">
        <v>269</v>
      </c>
      <c r="D2" s="222" t="s">
        <v>7</v>
      </c>
      <c r="E2" s="21"/>
      <c r="G2" s="384" t="s">
        <v>152</v>
      </c>
      <c r="H2" s="382"/>
      <c r="I2" s="382"/>
      <c r="J2" s="382"/>
      <c r="K2" s="382"/>
      <c r="L2" s="383"/>
      <c r="M2" s="21"/>
      <c r="N2" s="381" t="s">
        <v>153</v>
      </c>
      <c r="O2" s="382"/>
      <c r="P2" s="382"/>
      <c r="Q2" s="382"/>
      <c r="R2" s="382"/>
      <c r="S2" s="383"/>
      <c r="T2" s="21"/>
      <c r="U2" s="381" t="s">
        <v>154</v>
      </c>
      <c r="V2" s="382"/>
      <c r="W2" s="382"/>
      <c r="X2" s="382"/>
      <c r="Y2" s="382"/>
      <c r="Z2" s="383"/>
      <c r="AA2" s="21"/>
      <c r="AB2" s="381" t="s">
        <v>155</v>
      </c>
      <c r="AC2" s="382"/>
      <c r="AD2" s="382"/>
      <c r="AE2" s="382"/>
      <c r="AF2" s="382"/>
      <c r="AG2" s="383"/>
      <c r="AH2" s="21"/>
      <c r="AI2" s="381" t="s">
        <v>156</v>
      </c>
      <c r="AJ2" s="382"/>
      <c r="AK2" s="382"/>
      <c r="AL2" s="382"/>
      <c r="AM2" s="382"/>
      <c r="AN2" s="383"/>
      <c r="AO2" s="187"/>
      <c r="AP2" s="381" t="s">
        <v>157</v>
      </c>
      <c r="AQ2" s="382"/>
      <c r="AR2" s="382"/>
      <c r="AS2" s="382"/>
      <c r="AT2" s="382"/>
      <c r="AU2" s="383"/>
      <c r="AV2" s="21"/>
      <c r="AW2" s="21"/>
      <c r="AX2" s="21"/>
      <c r="AY2" s="21"/>
      <c r="AZ2" s="21"/>
      <c r="BA2" s="181"/>
      <c r="BC2" s="384" t="s">
        <v>152</v>
      </c>
      <c r="BD2" s="382"/>
      <c r="BE2" s="382"/>
      <c r="BF2" s="382"/>
      <c r="BG2" s="382"/>
      <c r="BH2" s="383"/>
      <c r="BI2" s="21"/>
      <c r="BJ2" s="381" t="s">
        <v>153</v>
      </c>
      <c r="BK2" s="382"/>
      <c r="BL2" s="382"/>
      <c r="BM2" s="382"/>
      <c r="BN2" s="382"/>
      <c r="BO2" s="383"/>
      <c r="BP2" s="21"/>
      <c r="BQ2" s="381" t="s">
        <v>154</v>
      </c>
      <c r="BR2" s="382"/>
      <c r="BS2" s="382"/>
      <c r="BT2" s="382"/>
      <c r="BU2" s="382"/>
      <c r="BV2" s="383"/>
      <c r="BW2" s="21"/>
      <c r="BX2" s="381" t="s">
        <v>155</v>
      </c>
      <c r="BY2" s="382"/>
      <c r="BZ2" s="382"/>
      <c r="CA2" s="382"/>
      <c r="CB2" s="382"/>
      <c r="CC2" s="383"/>
      <c r="CD2" s="21"/>
      <c r="CE2" s="381" t="s">
        <v>156</v>
      </c>
      <c r="CF2" s="382"/>
      <c r="CG2" s="382"/>
      <c r="CH2" s="382"/>
      <c r="CI2" s="382"/>
      <c r="CJ2" s="383"/>
      <c r="CK2" s="187"/>
      <c r="CL2" s="381" t="s">
        <v>157</v>
      </c>
      <c r="CM2" s="382"/>
      <c r="CN2" s="382"/>
      <c r="CO2" s="382"/>
      <c r="CP2" s="382"/>
      <c r="CQ2" s="383"/>
      <c r="CR2" s="21"/>
      <c r="CS2" s="21"/>
      <c r="CT2" s="21"/>
      <c r="CU2" s="21"/>
      <c r="CV2" s="21"/>
      <c r="CW2" s="181"/>
      <c r="CY2" s="389" t="s">
        <v>152</v>
      </c>
      <c r="CZ2" s="382"/>
      <c r="DA2" s="382"/>
      <c r="DB2" s="382"/>
      <c r="DC2" s="382"/>
      <c r="DD2" s="383"/>
      <c r="DE2" s="21"/>
      <c r="DF2" s="381" t="s">
        <v>153</v>
      </c>
      <c r="DG2" s="382"/>
      <c r="DH2" s="382"/>
      <c r="DI2" s="382"/>
      <c r="DJ2" s="382"/>
      <c r="DK2" s="383"/>
      <c r="DL2" s="21"/>
      <c r="DM2" s="381" t="s">
        <v>154</v>
      </c>
      <c r="DN2" s="382"/>
      <c r="DO2" s="382"/>
      <c r="DP2" s="382"/>
      <c r="DQ2" s="382"/>
      <c r="DR2" s="383"/>
      <c r="DS2" s="21"/>
      <c r="DT2" s="381" t="s">
        <v>155</v>
      </c>
      <c r="DU2" s="382"/>
      <c r="DV2" s="382"/>
      <c r="DW2" s="382"/>
      <c r="DX2" s="382"/>
      <c r="DY2" s="383"/>
      <c r="DZ2" s="21"/>
      <c r="EA2" s="381" t="s">
        <v>156</v>
      </c>
      <c r="EB2" s="382"/>
      <c r="EC2" s="382"/>
      <c r="ED2" s="382"/>
      <c r="EE2" s="382"/>
      <c r="EF2" s="383"/>
      <c r="EG2" s="187"/>
      <c r="EH2" s="381" t="s">
        <v>157</v>
      </c>
      <c r="EI2" s="382"/>
      <c r="EJ2" s="382"/>
      <c r="EK2" s="382"/>
      <c r="EL2" s="382"/>
      <c r="EM2" s="383"/>
      <c r="EN2" s="21"/>
      <c r="EO2" s="21"/>
      <c r="EP2" s="21"/>
      <c r="EQ2" s="21"/>
      <c r="ER2" s="21"/>
      <c r="ES2" s="181"/>
      <c r="EU2" s="384" t="s">
        <v>156</v>
      </c>
      <c r="EV2" s="382"/>
      <c r="EW2" s="382"/>
      <c r="EX2" s="382"/>
      <c r="EY2" s="382"/>
      <c r="EZ2" s="393"/>
    </row>
    <row r="3" spans="1:156" x14ac:dyDescent="0.3">
      <c r="B3" s="221" t="str">
        <f>'User Interface'!C8</f>
        <v>Extreme Winter</v>
      </c>
      <c r="D3" s="221" t="str">
        <f>'User Interface'!G8</f>
        <v>Large - 279 sq m (3000 sq ft)</v>
      </c>
      <c r="E3" s="21"/>
      <c r="G3" s="267" t="s">
        <v>264</v>
      </c>
      <c r="H3" s="136"/>
      <c r="I3" s="216" t="s">
        <v>265</v>
      </c>
      <c r="J3" s="136"/>
      <c r="K3" s="238" t="s">
        <v>266</v>
      </c>
      <c r="L3" s="136"/>
      <c r="M3" s="21"/>
      <c r="N3" s="266" t="s">
        <v>264</v>
      </c>
      <c r="O3" s="136"/>
      <c r="P3" s="216" t="s">
        <v>265</v>
      </c>
      <c r="Q3" s="136"/>
      <c r="R3" s="238" t="s">
        <v>266</v>
      </c>
      <c r="S3" s="136"/>
      <c r="T3" s="21"/>
      <c r="U3" s="266" t="s">
        <v>264</v>
      </c>
      <c r="V3" s="136"/>
      <c r="W3" s="216" t="s">
        <v>265</v>
      </c>
      <c r="X3" s="136"/>
      <c r="Y3" s="238" t="s">
        <v>266</v>
      </c>
      <c r="Z3" s="136"/>
      <c r="AA3" s="21"/>
      <c r="AB3" s="266" t="s">
        <v>264</v>
      </c>
      <c r="AC3" s="136"/>
      <c r="AD3" s="216" t="s">
        <v>265</v>
      </c>
      <c r="AE3" s="136"/>
      <c r="AF3" s="238" t="s">
        <v>266</v>
      </c>
      <c r="AG3" s="136"/>
      <c r="AH3" s="21"/>
      <c r="AI3" s="266" t="s">
        <v>264</v>
      </c>
      <c r="AJ3" s="136"/>
      <c r="AK3" s="216" t="s">
        <v>265</v>
      </c>
      <c r="AL3" s="136"/>
      <c r="AM3" s="238" t="s">
        <v>266</v>
      </c>
      <c r="AN3" s="136"/>
      <c r="AO3" s="21"/>
      <c r="AP3" s="266" t="s">
        <v>264</v>
      </c>
      <c r="AQ3" s="136"/>
      <c r="AR3" s="216" t="s">
        <v>265</v>
      </c>
      <c r="AS3" s="136"/>
      <c r="AT3" s="238" t="s">
        <v>266</v>
      </c>
      <c r="AU3" s="136"/>
      <c r="AV3" s="21"/>
      <c r="AW3" s="373" t="s">
        <v>219</v>
      </c>
      <c r="AX3" s="374"/>
      <c r="AY3" s="21"/>
      <c r="AZ3" s="373" t="s">
        <v>218</v>
      </c>
      <c r="BA3" s="388"/>
      <c r="BC3" s="267" t="s">
        <v>264</v>
      </c>
      <c r="BD3" s="136"/>
      <c r="BE3" s="216" t="s">
        <v>265</v>
      </c>
      <c r="BF3" s="136"/>
      <c r="BG3" s="238" t="s">
        <v>266</v>
      </c>
      <c r="BH3" s="136"/>
      <c r="BI3" s="21"/>
      <c r="BJ3" s="266" t="s">
        <v>264</v>
      </c>
      <c r="BK3" s="136"/>
      <c r="BL3" s="216" t="s">
        <v>265</v>
      </c>
      <c r="BM3" s="136"/>
      <c r="BN3" s="238" t="s">
        <v>266</v>
      </c>
      <c r="BO3" s="136"/>
      <c r="BP3" s="21"/>
      <c r="BQ3" s="266" t="s">
        <v>264</v>
      </c>
      <c r="BR3" s="136"/>
      <c r="BS3" s="216" t="s">
        <v>265</v>
      </c>
      <c r="BT3" s="136"/>
      <c r="BU3" s="238" t="s">
        <v>266</v>
      </c>
      <c r="BV3" s="136"/>
      <c r="BW3" s="21"/>
      <c r="BX3" s="266" t="s">
        <v>264</v>
      </c>
      <c r="BY3" s="136"/>
      <c r="BZ3" s="216" t="s">
        <v>265</v>
      </c>
      <c r="CA3" s="136"/>
      <c r="CB3" s="238" t="s">
        <v>266</v>
      </c>
      <c r="CC3" s="136"/>
      <c r="CD3" s="21"/>
      <c r="CE3" s="266" t="s">
        <v>264</v>
      </c>
      <c r="CF3" s="136"/>
      <c r="CG3" s="216" t="s">
        <v>265</v>
      </c>
      <c r="CH3" s="136"/>
      <c r="CI3" s="238" t="s">
        <v>266</v>
      </c>
      <c r="CJ3" s="136"/>
      <c r="CK3" s="21"/>
      <c r="CL3" s="266" t="s">
        <v>264</v>
      </c>
      <c r="CM3" s="136"/>
      <c r="CN3" s="216" t="s">
        <v>265</v>
      </c>
      <c r="CO3" s="136"/>
      <c r="CP3" s="238" t="s">
        <v>266</v>
      </c>
      <c r="CQ3" s="136"/>
      <c r="CR3" s="21"/>
      <c r="CS3" s="373" t="s">
        <v>219</v>
      </c>
      <c r="CT3" s="374"/>
      <c r="CU3" s="21"/>
      <c r="CV3" s="373" t="s">
        <v>218</v>
      </c>
      <c r="CW3" s="388"/>
      <c r="CY3" s="267" t="s">
        <v>264</v>
      </c>
      <c r="CZ3" s="136"/>
      <c r="DA3" s="216" t="s">
        <v>265</v>
      </c>
      <c r="DB3" s="136"/>
      <c r="DC3" s="238" t="s">
        <v>266</v>
      </c>
      <c r="DD3" s="136"/>
      <c r="DE3" s="21"/>
      <c r="DF3" s="266" t="s">
        <v>264</v>
      </c>
      <c r="DG3" s="136"/>
      <c r="DH3" s="216" t="s">
        <v>265</v>
      </c>
      <c r="DI3" s="136"/>
      <c r="DJ3" s="238" t="s">
        <v>266</v>
      </c>
      <c r="DK3" s="136"/>
      <c r="DL3" s="21"/>
      <c r="DM3" s="266" t="s">
        <v>264</v>
      </c>
      <c r="DN3" s="136"/>
      <c r="DO3" s="216" t="s">
        <v>265</v>
      </c>
      <c r="DP3" s="136"/>
      <c r="DQ3" s="238" t="s">
        <v>266</v>
      </c>
      <c r="DR3" s="136"/>
      <c r="DS3" s="21"/>
      <c r="DT3" s="266" t="s">
        <v>264</v>
      </c>
      <c r="DU3" s="136"/>
      <c r="DV3" s="216" t="s">
        <v>265</v>
      </c>
      <c r="DW3" s="136"/>
      <c r="DX3" s="238" t="s">
        <v>266</v>
      </c>
      <c r="DY3" s="136"/>
      <c r="DZ3" s="21"/>
      <c r="EA3" s="266" t="s">
        <v>264</v>
      </c>
      <c r="EB3" s="136"/>
      <c r="EC3" s="216" t="s">
        <v>265</v>
      </c>
      <c r="ED3" s="136"/>
      <c r="EE3" s="238" t="s">
        <v>266</v>
      </c>
      <c r="EF3" s="136"/>
      <c r="EG3" s="21"/>
      <c r="EH3" s="266" t="s">
        <v>264</v>
      </c>
      <c r="EI3" s="136"/>
      <c r="EJ3" s="216" t="s">
        <v>265</v>
      </c>
      <c r="EK3" s="136"/>
      <c r="EL3" s="238" t="s">
        <v>266</v>
      </c>
      <c r="EM3" s="136"/>
      <c r="EN3" s="21"/>
      <c r="EO3" s="373" t="s">
        <v>219</v>
      </c>
      <c r="EP3" s="374"/>
      <c r="EQ3" s="21"/>
      <c r="ER3" s="373" t="s">
        <v>218</v>
      </c>
      <c r="ES3" s="388"/>
      <c r="EU3" s="302" t="s">
        <v>264</v>
      </c>
      <c r="EV3" s="136"/>
      <c r="EW3" s="216" t="s">
        <v>265</v>
      </c>
      <c r="EX3" s="136"/>
      <c r="EY3" s="238" t="s">
        <v>266</v>
      </c>
      <c r="EZ3" s="303"/>
    </row>
    <row r="4" spans="1:156" x14ac:dyDescent="0.3">
      <c r="G4" s="190" t="s">
        <v>217</v>
      </c>
      <c r="H4" s="206" t="s">
        <v>9</v>
      </c>
      <c r="I4" s="203" t="s">
        <v>217</v>
      </c>
      <c r="J4" s="204" t="s">
        <v>9</v>
      </c>
      <c r="K4" s="203" t="s">
        <v>217</v>
      </c>
      <c r="L4" s="206" t="s">
        <v>9</v>
      </c>
      <c r="M4" s="21"/>
      <c r="N4" s="203" t="s">
        <v>217</v>
      </c>
      <c r="O4" s="206" t="s">
        <v>9</v>
      </c>
      <c r="P4" s="203" t="s">
        <v>217</v>
      </c>
      <c r="Q4" s="204" t="s">
        <v>9</v>
      </c>
      <c r="R4" s="203" t="s">
        <v>217</v>
      </c>
      <c r="S4" s="206" t="s">
        <v>9</v>
      </c>
      <c r="T4" s="21"/>
      <c r="U4" s="203" t="s">
        <v>217</v>
      </c>
      <c r="V4" s="206" t="s">
        <v>9</v>
      </c>
      <c r="W4" s="203" t="s">
        <v>217</v>
      </c>
      <c r="X4" s="204" t="s">
        <v>9</v>
      </c>
      <c r="Y4" s="203" t="s">
        <v>217</v>
      </c>
      <c r="Z4" s="206" t="s">
        <v>9</v>
      </c>
      <c r="AA4" s="21"/>
      <c r="AB4" s="203" t="s">
        <v>217</v>
      </c>
      <c r="AC4" s="206" t="s">
        <v>9</v>
      </c>
      <c r="AD4" s="203" t="s">
        <v>217</v>
      </c>
      <c r="AE4" s="204" t="s">
        <v>9</v>
      </c>
      <c r="AF4" s="203" t="s">
        <v>217</v>
      </c>
      <c r="AG4" s="206" t="s">
        <v>9</v>
      </c>
      <c r="AH4" s="21"/>
      <c r="AI4" s="203" t="s">
        <v>217</v>
      </c>
      <c r="AJ4" s="206" t="s">
        <v>9</v>
      </c>
      <c r="AK4" s="203" t="s">
        <v>217</v>
      </c>
      <c r="AL4" s="204" t="s">
        <v>9</v>
      </c>
      <c r="AM4" s="203" t="s">
        <v>217</v>
      </c>
      <c r="AN4" s="206" t="s">
        <v>9</v>
      </c>
      <c r="AO4" s="21"/>
      <c r="AP4" s="203" t="s">
        <v>217</v>
      </c>
      <c r="AQ4" s="206" t="s">
        <v>9</v>
      </c>
      <c r="AR4" s="203" t="s">
        <v>217</v>
      </c>
      <c r="AS4" s="206" t="s">
        <v>9</v>
      </c>
      <c r="AT4" s="203" t="s">
        <v>217</v>
      </c>
      <c r="AU4" s="206" t="s">
        <v>9</v>
      </c>
      <c r="AV4" s="21"/>
      <c r="AW4" s="203" t="s">
        <v>217</v>
      </c>
      <c r="AX4" s="20" t="s">
        <v>9</v>
      </c>
      <c r="AY4" s="21"/>
      <c r="AZ4" s="203" t="s">
        <v>217</v>
      </c>
      <c r="BA4" s="181" t="s">
        <v>9</v>
      </c>
      <c r="BC4" s="190" t="s">
        <v>217</v>
      </c>
      <c r="BD4" s="206" t="s">
        <v>9</v>
      </c>
      <c r="BE4" s="203" t="s">
        <v>217</v>
      </c>
      <c r="BF4" s="204" t="s">
        <v>9</v>
      </c>
      <c r="BG4" s="203" t="s">
        <v>217</v>
      </c>
      <c r="BH4" s="206" t="s">
        <v>9</v>
      </c>
      <c r="BI4" s="21"/>
      <c r="BJ4" s="203" t="s">
        <v>217</v>
      </c>
      <c r="BK4" s="206" t="s">
        <v>9</v>
      </c>
      <c r="BL4" s="203" t="s">
        <v>217</v>
      </c>
      <c r="BM4" s="204" t="s">
        <v>9</v>
      </c>
      <c r="BN4" s="203" t="s">
        <v>217</v>
      </c>
      <c r="BO4" s="206" t="s">
        <v>9</v>
      </c>
      <c r="BP4" s="21"/>
      <c r="BQ4" s="203" t="s">
        <v>217</v>
      </c>
      <c r="BR4" s="206" t="s">
        <v>9</v>
      </c>
      <c r="BS4" s="203" t="s">
        <v>217</v>
      </c>
      <c r="BT4" s="204" t="s">
        <v>9</v>
      </c>
      <c r="BU4" s="203" t="s">
        <v>217</v>
      </c>
      <c r="BV4" s="206" t="s">
        <v>9</v>
      </c>
      <c r="BW4" s="21"/>
      <c r="BX4" s="203" t="s">
        <v>217</v>
      </c>
      <c r="BY4" s="206" t="s">
        <v>9</v>
      </c>
      <c r="BZ4" s="203" t="s">
        <v>217</v>
      </c>
      <c r="CA4" s="204" t="s">
        <v>9</v>
      </c>
      <c r="CB4" s="203" t="s">
        <v>217</v>
      </c>
      <c r="CC4" s="206" t="s">
        <v>9</v>
      </c>
      <c r="CD4" s="21"/>
      <c r="CE4" s="203" t="s">
        <v>217</v>
      </c>
      <c r="CF4" s="206" t="s">
        <v>9</v>
      </c>
      <c r="CG4" s="203" t="s">
        <v>217</v>
      </c>
      <c r="CH4" s="204" t="s">
        <v>9</v>
      </c>
      <c r="CI4" s="203" t="s">
        <v>217</v>
      </c>
      <c r="CJ4" s="206" t="s">
        <v>9</v>
      </c>
      <c r="CK4" s="21"/>
      <c r="CL4" s="203" t="s">
        <v>217</v>
      </c>
      <c r="CM4" s="206" t="s">
        <v>9</v>
      </c>
      <c r="CN4" s="203" t="s">
        <v>217</v>
      </c>
      <c r="CO4" s="206" t="s">
        <v>9</v>
      </c>
      <c r="CP4" s="203" t="s">
        <v>217</v>
      </c>
      <c r="CQ4" s="206" t="s">
        <v>9</v>
      </c>
      <c r="CR4" s="21"/>
      <c r="CS4" s="203" t="s">
        <v>217</v>
      </c>
      <c r="CT4" s="20" t="s">
        <v>9</v>
      </c>
      <c r="CU4" s="21"/>
      <c r="CV4" s="203" t="s">
        <v>217</v>
      </c>
      <c r="CW4" s="181" t="s">
        <v>9</v>
      </c>
      <c r="CY4" s="190" t="s">
        <v>217</v>
      </c>
      <c r="CZ4" s="206" t="s">
        <v>9</v>
      </c>
      <c r="DA4" s="203" t="s">
        <v>217</v>
      </c>
      <c r="DB4" s="204" t="s">
        <v>9</v>
      </c>
      <c r="DC4" s="203" t="s">
        <v>217</v>
      </c>
      <c r="DD4" s="206" t="s">
        <v>9</v>
      </c>
      <c r="DE4" s="21"/>
      <c r="DF4" s="203" t="s">
        <v>217</v>
      </c>
      <c r="DG4" s="206" t="s">
        <v>9</v>
      </c>
      <c r="DH4" s="203" t="s">
        <v>217</v>
      </c>
      <c r="DI4" s="204" t="s">
        <v>9</v>
      </c>
      <c r="DJ4" s="203" t="s">
        <v>217</v>
      </c>
      <c r="DK4" s="206" t="s">
        <v>9</v>
      </c>
      <c r="DL4" s="21"/>
      <c r="DM4" s="203" t="s">
        <v>217</v>
      </c>
      <c r="DN4" s="206" t="s">
        <v>9</v>
      </c>
      <c r="DO4" s="203" t="s">
        <v>217</v>
      </c>
      <c r="DP4" s="204" t="s">
        <v>9</v>
      </c>
      <c r="DQ4" s="203" t="s">
        <v>217</v>
      </c>
      <c r="DR4" s="206" t="s">
        <v>9</v>
      </c>
      <c r="DS4" s="21"/>
      <c r="DT4" s="203" t="s">
        <v>217</v>
      </c>
      <c r="DU4" s="206" t="s">
        <v>9</v>
      </c>
      <c r="DV4" s="203" t="s">
        <v>217</v>
      </c>
      <c r="DW4" s="204" t="s">
        <v>9</v>
      </c>
      <c r="DX4" s="203" t="s">
        <v>217</v>
      </c>
      <c r="DY4" s="206" t="s">
        <v>9</v>
      </c>
      <c r="DZ4" s="21"/>
      <c r="EA4" s="203" t="s">
        <v>217</v>
      </c>
      <c r="EB4" s="206" t="s">
        <v>9</v>
      </c>
      <c r="EC4" s="203" t="s">
        <v>217</v>
      </c>
      <c r="ED4" s="204" t="s">
        <v>9</v>
      </c>
      <c r="EE4" s="203" t="s">
        <v>217</v>
      </c>
      <c r="EF4" s="206" t="s">
        <v>9</v>
      </c>
      <c r="EG4" s="21"/>
      <c r="EH4" s="203" t="s">
        <v>217</v>
      </c>
      <c r="EI4" s="206" t="s">
        <v>9</v>
      </c>
      <c r="EJ4" s="203" t="s">
        <v>217</v>
      </c>
      <c r="EK4" s="206" t="s">
        <v>9</v>
      </c>
      <c r="EL4" s="203" t="s">
        <v>217</v>
      </c>
      <c r="EM4" s="206" t="s">
        <v>9</v>
      </c>
      <c r="EN4" s="21"/>
      <c r="EO4" s="203" t="s">
        <v>217</v>
      </c>
      <c r="EP4" s="20" t="s">
        <v>9</v>
      </c>
      <c r="EQ4" s="21"/>
      <c r="ER4" s="203" t="s">
        <v>217</v>
      </c>
      <c r="ES4" s="181" t="s">
        <v>9</v>
      </c>
      <c r="EU4" s="304" t="s">
        <v>217</v>
      </c>
      <c r="EV4" s="206" t="s">
        <v>9</v>
      </c>
      <c r="EW4" s="203" t="s">
        <v>217</v>
      </c>
      <c r="EX4" s="204" t="s">
        <v>9</v>
      </c>
      <c r="EY4" s="203" t="s">
        <v>217</v>
      </c>
      <c r="EZ4" s="305" t="s">
        <v>9</v>
      </c>
    </row>
    <row r="5" spans="1:156" ht="28.8" x14ac:dyDescent="0.3">
      <c r="A5" s="164" t="s">
        <v>217</v>
      </c>
      <c r="B5" s="220" t="s">
        <v>260</v>
      </c>
      <c r="C5" s="220" t="s">
        <v>261</v>
      </c>
      <c r="D5" s="220" t="s">
        <v>262</v>
      </c>
      <c r="E5" s="307" t="s">
        <v>307</v>
      </c>
      <c r="G5" s="260">
        <v>0</v>
      </c>
      <c r="H5" s="211">
        <f>'HVAC Appliances Austin'!H5</f>
        <v>0</v>
      </c>
      <c r="I5" s="110">
        <v>0</v>
      </c>
      <c r="J5" s="211">
        <f>'HVAC Appliances Austin'!J5</f>
        <v>0</v>
      </c>
      <c r="K5" s="110">
        <v>0</v>
      </c>
      <c r="L5" s="211">
        <f>'HVAC Appliances Austin'!L5</f>
        <v>0</v>
      </c>
      <c r="M5" s="21"/>
      <c r="N5" s="110">
        <v>0</v>
      </c>
      <c r="O5" s="211">
        <f>'HVAC Appliances Austin'!O5</f>
        <v>186.8343124999997</v>
      </c>
      <c r="P5" s="110">
        <v>0</v>
      </c>
      <c r="Q5" s="211">
        <f>'HVAC Appliances Austin'!Q5</f>
        <v>254.51062499999955</v>
      </c>
      <c r="R5" s="110">
        <v>0</v>
      </c>
      <c r="S5" s="211">
        <f>'HVAC Appliances Austin'!S5</f>
        <v>299.96174999999914</v>
      </c>
      <c r="T5" s="21"/>
      <c r="U5" s="110">
        <v>0</v>
      </c>
      <c r="V5" s="211">
        <f>'HVAC Appliances Austin'!V5</f>
        <v>254.69186805555532</v>
      </c>
      <c r="W5" s="110">
        <v>0</v>
      </c>
      <c r="X5" s="211">
        <f>'HVAC Appliances Austin'!X5</f>
        <v>367.19451388888882</v>
      </c>
      <c r="Y5" s="110">
        <v>0</v>
      </c>
      <c r="Z5" s="211">
        <f>'HVAC Appliances Austin'!Z5</f>
        <v>443.43963888888771</v>
      </c>
      <c r="AA5" s="21"/>
      <c r="AB5" s="110">
        <v>0</v>
      </c>
      <c r="AC5" s="211">
        <f>'HVAC Appliances Austin'!AC5</f>
        <v>64.350249999999832</v>
      </c>
      <c r="AD5" s="110">
        <v>0</v>
      </c>
      <c r="AE5" s="211">
        <f>'HVAC Appliances Austin'!AE5</f>
        <v>55.467499999999781</v>
      </c>
      <c r="AF5" s="110">
        <v>0</v>
      </c>
      <c r="AG5" s="211">
        <f>'HVAC Appliances Austin'!AG5</f>
        <v>56.76799999999993</v>
      </c>
      <c r="AH5" s="21"/>
      <c r="AI5" s="110">
        <v>0</v>
      </c>
      <c r="AJ5" s="211">
        <f>'HVAC Appliances Austin'!AJ5</f>
        <v>0</v>
      </c>
      <c r="AK5" s="110">
        <v>0</v>
      </c>
      <c r="AL5" s="211">
        <f>'HVAC Appliances Austin'!AL5</f>
        <v>0</v>
      </c>
      <c r="AM5" s="110">
        <v>0</v>
      </c>
      <c r="AN5" s="211">
        <f>'HVAC Appliances Austin'!AN5</f>
        <v>0</v>
      </c>
      <c r="AO5" s="21"/>
      <c r="AP5" s="110">
        <v>0</v>
      </c>
      <c r="AQ5" s="211">
        <f>'HVAC Appliances Austin'!AQ5</f>
        <v>638.35103472222204</v>
      </c>
      <c r="AR5" s="110">
        <v>0</v>
      </c>
      <c r="AS5" s="211">
        <f>'HVAC Appliances Austin'!AS5</f>
        <v>1011.9611805555562</v>
      </c>
      <c r="AT5" s="110">
        <v>0</v>
      </c>
      <c r="AU5" s="211">
        <f>'HVAC Appliances Austin'!AU5</f>
        <v>1282.4413055555551</v>
      </c>
      <c r="AV5" s="21"/>
      <c r="AW5" s="110">
        <v>0</v>
      </c>
      <c r="AX5" s="211"/>
      <c r="AY5" s="21"/>
      <c r="AZ5" s="110">
        <v>0</v>
      </c>
      <c r="BA5" s="264"/>
      <c r="BC5" s="260">
        <v>0</v>
      </c>
      <c r="BD5" s="211">
        <f>'HVAC Appliances Austin'!BD5</f>
        <v>15.648333333333333</v>
      </c>
      <c r="BE5" s="110">
        <v>0</v>
      </c>
      <c r="BF5" s="211">
        <f>'HVAC Appliances Austin'!BF5</f>
        <v>20.25333333333333</v>
      </c>
      <c r="BG5" s="110">
        <v>0</v>
      </c>
      <c r="BH5" s="211">
        <f>'HVAC Appliances Austin'!BH5</f>
        <v>29.83333333333335</v>
      </c>
      <c r="BI5" s="21"/>
      <c r="BJ5" s="110">
        <v>0</v>
      </c>
      <c r="BK5" s="211">
        <f>'HVAC Appliances Austin'!BK5</f>
        <v>0</v>
      </c>
      <c r="BL5" s="110">
        <v>0</v>
      </c>
      <c r="BM5" s="211">
        <f>'HVAC Appliances Austin'!BM5</f>
        <v>0</v>
      </c>
      <c r="BN5" s="110">
        <v>0</v>
      </c>
      <c r="BO5" s="211">
        <f>'HVAC Appliances Austin'!BO5</f>
        <v>0</v>
      </c>
      <c r="BP5" s="21"/>
      <c r="BQ5" s="110">
        <v>0</v>
      </c>
      <c r="BR5" s="211">
        <f>'HVAC Appliances Austin'!BR5</f>
        <v>0</v>
      </c>
      <c r="BS5" s="110">
        <v>0</v>
      </c>
      <c r="BT5" s="211">
        <f>'HVAC Appliances Austin'!BT5</f>
        <v>0</v>
      </c>
      <c r="BU5" s="110">
        <v>0</v>
      </c>
      <c r="BV5" s="211">
        <f>'HVAC Appliances Austin'!BV5</f>
        <v>0</v>
      </c>
      <c r="BW5" s="21"/>
      <c r="BX5" s="110">
        <v>0</v>
      </c>
      <c r="BY5" s="211">
        <f>'HVAC Appliances Austin'!BY5</f>
        <v>0</v>
      </c>
      <c r="BZ5" s="110">
        <v>0</v>
      </c>
      <c r="CA5" s="211">
        <f>'HVAC Appliances Austin'!CA5</f>
        <v>0</v>
      </c>
      <c r="CB5" s="110">
        <v>0</v>
      </c>
      <c r="CC5" s="211">
        <f>'HVAC Appliances Austin'!CC5</f>
        <v>0</v>
      </c>
      <c r="CD5" s="21"/>
      <c r="CE5" s="110">
        <v>0</v>
      </c>
      <c r="CF5" s="211">
        <f>'HVAC Appliances Austin'!CF5</f>
        <v>131.70500000000001</v>
      </c>
      <c r="CG5" s="110">
        <v>0</v>
      </c>
      <c r="CH5" s="211">
        <f>'HVAC Appliances Austin'!CH5</f>
        <v>258.64</v>
      </c>
      <c r="CI5" s="110">
        <v>0</v>
      </c>
      <c r="CJ5" s="211">
        <f>'HVAC Appliances Austin'!CJ5</f>
        <v>343.5</v>
      </c>
      <c r="CK5" s="21"/>
      <c r="CL5" s="110">
        <v>0</v>
      </c>
      <c r="CM5" s="211">
        <f>'HVAC Appliances Austin'!CM5</f>
        <v>0</v>
      </c>
      <c r="CN5" s="110">
        <v>0</v>
      </c>
      <c r="CO5" s="211">
        <f>'HVAC Appliances Austin'!CO5</f>
        <v>0</v>
      </c>
      <c r="CP5" s="110">
        <v>0</v>
      </c>
      <c r="CQ5" s="211">
        <f>'HVAC Appliances Austin'!CQ5</f>
        <v>0</v>
      </c>
      <c r="CR5" s="21"/>
      <c r="CS5" s="110">
        <v>0</v>
      </c>
      <c r="CT5" s="211"/>
      <c r="CU5" s="21"/>
      <c r="CV5" s="110">
        <v>0</v>
      </c>
      <c r="CW5" s="264"/>
      <c r="CY5" s="260">
        <v>0</v>
      </c>
      <c r="CZ5" s="211">
        <f>'HVAC Appliances Austin'!CZ5</f>
        <v>145.18661111111109</v>
      </c>
      <c r="DA5" s="110">
        <v>0</v>
      </c>
      <c r="DB5" s="211">
        <f>'HVAC Appliances Austin'!DB5</f>
        <v>188.83213888888895</v>
      </c>
      <c r="DC5" s="110">
        <v>0</v>
      </c>
      <c r="DD5" s="211">
        <f>'HVAC Appliances Austin'!DD5</f>
        <v>265.82466666666613</v>
      </c>
      <c r="DE5" s="21"/>
      <c r="DF5" s="110">
        <v>0</v>
      </c>
      <c r="DG5" s="211">
        <f>'HVAC Appliances Austin'!DG5</f>
        <v>213.88899999999984</v>
      </c>
      <c r="DH5" s="110">
        <v>0</v>
      </c>
      <c r="DI5" s="211">
        <f>'HVAC Appliances Austin'!DI5</f>
        <v>285.54268749999954</v>
      </c>
      <c r="DJ5" s="110">
        <v>0</v>
      </c>
      <c r="DK5" s="211">
        <f>'HVAC Appliances Austin'!DK5</f>
        <v>335.00106249999948</v>
      </c>
      <c r="DL5" s="21"/>
      <c r="DM5" s="110">
        <v>0</v>
      </c>
      <c r="DN5" s="211">
        <f>'HVAC Appliances Austin'!DN5</f>
        <v>289.80599999999987</v>
      </c>
      <c r="DO5" s="110">
        <v>0</v>
      </c>
      <c r="DP5" s="211">
        <f>'HVAC Appliances Austin'!DP5</f>
        <v>410.42946527777735</v>
      </c>
      <c r="DQ5" s="110">
        <v>0</v>
      </c>
      <c r="DR5" s="211">
        <f>'HVAC Appliances Austin'!DR5</f>
        <v>496.15039583333288</v>
      </c>
      <c r="DS5" s="21"/>
      <c r="DT5" s="110">
        <v>0</v>
      </c>
      <c r="DU5" s="211">
        <f>'HVAC Appliances Austin'!DU5</f>
        <v>0</v>
      </c>
      <c r="DV5" s="110">
        <v>0</v>
      </c>
      <c r="DW5" s="211">
        <f>'HVAC Appliances Austin'!DW5</f>
        <v>0</v>
      </c>
      <c r="DX5" s="110">
        <v>0</v>
      </c>
      <c r="DY5" s="211">
        <f>'HVAC Appliances Austin'!DY5</f>
        <v>0</v>
      </c>
      <c r="DZ5" s="21"/>
      <c r="EA5" s="110">
        <v>0</v>
      </c>
      <c r="EB5" s="211">
        <f>'HVAC Appliances Amarillo'!EB5</f>
        <v>6900</v>
      </c>
      <c r="EC5" s="110">
        <v>0</v>
      </c>
      <c r="ED5" s="211">
        <f>'HVAC Appliances Amarillo'!ED5</f>
        <v>12300</v>
      </c>
      <c r="EE5" s="110">
        <v>0</v>
      </c>
      <c r="EF5" s="211">
        <f>'HVAC Appliances Amarillo'!EF5</f>
        <v>16000</v>
      </c>
      <c r="EG5" s="21"/>
      <c r="EH5" s="110">
        <v>0</v>
      </c>
      <c r="EI5" s="211">
        <f>'HVAC Appliances Austin'!EI5</f>
        <v>683.91099999999994</v>
      </c>
      <c r="EJ5" s="110">
        <v>0</v>
      </c>
      <c r="EK5" s="211">
        <f>'HVAC Appliances Austin'!EK5</f>
        <v>1073.3852986111115</v>
      </c>
      <c r="EL5" s="110">
        <v>0</v>
      </c>
      <c r="EM5" s="211">
        <f>'HVAC Appliances Austin'!EM5</f>
        <v>1357.9028958333342</v>
      </c>
      <c r="EN5" s="21"/>
      <c r="EO5" s="110">
        <v>0</v>
      </c>
      <c r="EP5" s="211"/>
      <c r="EQ5" s="21"/>
      <c r="ER5" s="110">
        <v>0</v>
      </c>
      <c r="ES5" s="264"/>
      <c r="EU5" s="260">
        <v>0</v>
      </c>
      <c r="EV5" s="209">
        <f>'HVAC Appliances Amarillo'!EV5</f>
        <v>5400</v>
      </c>
      <c r="EW5" s="110">
        <v>0</v>
      </c>
      <c r="EX5" s="209">
        <f>'HVAC Appliances Amarillo'!EX5</f>
        <v>5400</v>
      </c>
      <c r="EY5" s="110">
        <v>0</v>
      </c>
      <c r="EZ5" s="308">
        <f>'HVAC Appliances Amarillo'!EZ5</f>
        <v>5400</v>
      </c>
    </row>
    <row r="6" spans="1:156" x14ac:dyDescent="0.3">
      <c r="A6" s="108">
        <v>0</v>
      </c>
      <c r="B6" s="223">
        <f>IF(AND($B$3=$G$2,$D$3=$G$3),H5,IF(AND($B$3=$G$2,$D$3=$I$3),J5,IF(AND($B$3=$G$2,$D$3=$K$3),L5,IF(AND($B$3=$N$2,$D$3=$N$3),O5,IF(AND($B$3=$N$2,$D$3=$P$3),Q5,IF(AND($B$3=$N$2,$D$3=$R$3),S5,IF(AND($B$3=$U$2,$D$3=$U$3),V5,IF(AND($B$3=$U$2,$D$3=$W$3),X5,IF(AND($B$3=$U$2,$D$3=$Y$3),Z5,IF(AND($B$3=$AB$2,$D$3=$AB$3),AC5,IF(AND($B$3=$AB$2,$D$3=$AD$3),AE5,IF(AND($B$3=$AB$2,$D$3=$AF$3),AG5,IF(AND($B$3=$AI$2,$D$3=$AI$3),AJ5,IF(AND($B$3=$AI$2,$D$3=$AK$3),AL5,IF(AND($B$3=$AI$2,$D$3=$AM$3),AN5,IF(AND($B$3=$AP$2,$D$3=$AP$3),AQ5,IF(AND($B$3=$AP$2,$D$3=$AR$3),AS5,IF(AND($B$3=$AP$2,$D$3=$AT$3),AU5,IF($B$3=$AW$3,AX5,IF($B$3=$AZ$3,BA5,0))))))))))))))))))))</f>
        <v>0</v>
      </c>
      <c r="C6" s="224">
        <f>IF(AND($B$3=$BC$2,$D$3=$BC$3),BD5,IF(AND($B$3=$BC$2,$D$3=$BE$3),BF5,IF(AND($B$3=$BC$2,$D$3=$BG$3),BH5,IF(AND($B$3=$BJ$2,$D$3=$BJ$3),BK5,IF(AND($B$3=$BJ$2,$D$3=$BL$3),BM5,IF(AND($B$3=$BJ$2,$D$3=$BN$3),BO5,IF(AND($B$3=$BQ$2,$D$3=$BQ$3),BR5,IF(AND($B$3=$BQ$2,$D$3=$BS$3),BT5,IF(AND($B$3=$BQ$2,$D$3=$BU$3),BV5,IF(AND($B$3=$BX$2,$D$3=$BX$3),BY5,IF(AND($B$3=$BX$2,$D$3=$BZ$3),CA5,IF(AND($B$3=$BX$2,$D$3=$CB$3),CC5,IF(AND($B$3=$CE$2,$D$3=$CE$3),CF5,IF(AND($B$3=$CE$2,$D$3=$CG$3),CH5,IF(AND($B$3=$CE$2,$D$3=$CI$3),CJ5,IF(AND($B$3=$CL$2,$D$3=$CL$3),CM5,IF(AND($B$3=$CL$2,$D$3=$CN$3),CO5,IF(AND($B$3=$CL$2,$D$3=$CP$3),CQ5,IF($B$3=$CS$3,CT5,IF($B$3=$CV$3,CW5,0))))))))))))))))))))</f>
        <v>343.5</v>
      </c>
      <c r="D6" s="225">
        <f>IF(AND($B$3=$CY$2,$D$3=$CY$3),CZ5,IF(AND($B$3=$CY$2,$D$3=$DA$3),DB5,IF(AND($B$3=$CY$2,$D$3=$DC$3),DD5,IF(AND($B$3=$DF$2,$D$3=$DF$3),DG5,IF(AND($B$3=$DF$2,$D$3=$DH$3),DI5,IF(AND($B$3=$DF$2,$D$3=$DJ$3),DK5,IF(AND($B$3=$DM$2,$D$3=$DM$3),DN5,IF(AND($B$3=$DM$2,$D$3=$DO$3),DP5,IF(AND($B$3=$DM$2,$D$3=$DQ$3),DR5,IF(AND($B$3=$DT$2,$D$3=$DT$3),DU5,IF(AND($B$3=$DT$2,$D$3=$DV$3),DW5,IF(AND($B$3=$DT$2,$D$3=$DX$3),DY5,IF(AND($B$3=$EA$2,$D$3=$EA$3),EB5,IF(AND($B$3=$EA$2,$D$3=$EC$3),ED5,IF(AND($B$3=$EA$2,$D$3=$EE$3),EF5,IF(AND($B$3=$EH$2,$D$3=$EH$3),EI5,IF(AND($B$3=$EH$2,$D$3=$EJ$3),EK5,IF(AND($B$3=$EH$2,$D$3=$EL$3),EM5,IF($B$3=$EO$3,EP5,IF($B$3=$ER$3,ES5,0))))))))))))))))))))</f>
        <v>16000</v>
      </c>
      <c r="E6" s="225">
        <f>IF(AND($B$3=$EU$2,$D$3=$EU$3),EV5,IF(AND($B$3=$EU$2,$D$3=$EW$3),EX5,IF(AND($B$3=$EU$2,$D$3=$EY$3),EZ5,D6)))</f>
        <v>5400</v>
      </c>
      <c r="G6" s="260">
        <v>1.0416666666666666E-2</v>
      </c>
      <c r="H6" s="211">
        <f>'HVAC Appliances Austin'!H6</f>
        <v>0</v>
      </c>
      <c r="I6" s="110">
        <v>1.0416666666666666E-2</v>
      </c>
      <c r="J6" s="211">
        <f>'HVAC Appliances Austin'!J6</f>
        <v>0</v>
      </c>
      <c r="K6" s="110">
        <v>1.0416666666666666E-2</v>
      </c>
      <c r="L6" s="211">
        <f>'HVAC Appliances Austin'!L6</f>
        <v>0</v>
      </c>
      <c r="M6" s="21"/>
      <c r="N6" s="110">
        <v>1.0416666666666666E-2</v>
      </c>
      <c r="O6" s="211">
        <f>'HVAC Appliances Austin'!O6</f>
        <v>186.8343124999997</v>
      </c>
      <c r="P6" s="110">
        <v>1.0416666666666666E-2</v>
      </c>
      <c r="Q6" s="211">
        <f>'HVAC Appliances Austin'!Q6</f>
        <v>254.51062499999955</v>
      </c>
      <c r="R6" s="110">
        <v>1.0416666666666666E-2</v>
      </c>
      <c r="S6" s="211">
        <f>'HVAC Appliances Austin'!S6</f>
        <v>299.96174999999914</v>
      </c>
      <c r="T6" s="21"/>
      <c r="U6" s="110">
        <v>1.0416666666666666E-2</v>
      </c>
      <c r="V6" s="211">
        <f>'HVAC Appliances Austin'!V6</f>
        <v>254.69186805555532</v>
      </c>
      <c r="W6" s="110">
        <v>1.0416666666666666E-2</v>
      </c>
      <c r="X6" s="211">
        <f>'HVAC Appliances Austin'!X6</f>
        <v>367.19451388888882</v>
      </c>
      <c r="Y6" s="110">
        <v>1.0416666666666666E-2</v>
      </c>
      <c r="Z6" s="211">
        <f>'HVAC Appliances Austin'!Z6</f>
        <v>443.43963888888771</v>
      </c>
      <c r="AA6" s="21"/>
      <c r="AB6" s="110">
        <v>1.0416666666666666E-2</v>
      </c>
      <c r="AC6" s="211">
        <f>'HVAC Appliances Austin'!AC6</f>
        <v>64.350249999999832</v>
      </c>
      <c r="AD6" s="110">
        <v>1.0416666666666666E-2</v>
      </c>
      <c r="AE6" s="211">
        <f>'HVAC Appliances Austin'!AE6</f>
        <v>55.467499999999781</v>
      </c>
      <c r="AF6" s="110">
        <v>1.0416666666666666E-2</v>
      </c>
      <c r="AG6" s="211">
        <f>'HVAC Appliances Austin'!AG6</f>
        <v>56.76799999999993</v>
      </c>
      <c r="AH6" s="21"/>
      <c r="AI6" s="110">
        <v>1.0416666666666666E-2</v>
      </c>
      <c r="AJ6" s="211">
        <f>'HVAC Appliances Austin'!AJ6</f>
        <v>0</v>
      </c>
      <c r="AK6" s="110">
        <v>1.0416666666666666E-2</v>
      </c>
      <c r="AL6" s="211">
        <f>'HVAC Appliances Austin'!AL6</f>
        <v>0</v>
      </c>
      <c r="AM6" s="110">
        <v>1.0416666666666666E-2</v>
      </c>
      <c r="AN6" s="211">
        <f>'HVAC Appliances Austin'!AN6</f>
        <v>0</v>
      </c>
      <c r="AO6" s="21"/>
      <c r="AP6" s="110">
        <v>1.0416666666666666E-2</v>
      </c>
      <c r="AQ6" s="211">
        <f>'HVAC Appliances Austin'!AQ6</f>
        <v>638.35103472222204</v>
      </c>
      <c r="AR6" s="110">
        <v>1.0416666666666666E-2</v>
      </c>
      <c r="AS6" s="211">
        <f>'HVAC Appliances Austin'!AS6</f>
        <v>1011.9611805555562</v>
      </c>
      <c r="AT6" s="110">
        <v>1.0416666666666666E-2</v>
      </c>
      <c r="AU6" s="211">
        <f>'HVAC Appliances Austin'!AU6</f>
        <v>1282.4413055555551</v>
      </c>
      <c r="AV6" s="21"/>
      <c r="AW6" s="110">
        <v>1.0416666666666666E-2</v>
      </c>
      <c r="AX6" s="211"/>
      <c r="AY6" s="21"/>
      <c r="AZ6" s="110">
        <v>1.0416666666666666E-2</v>
      </c>
      <c r="BA6" s="264"/>
      <c r="BC6" s="260">
        <v>1.0416666666666666E-2</v>
      </c>
      <c r="BD6" s="211">
        <f>'HVAC Appliances Austin'!BD6</f>
        <v>15.648333333333333</v>
      </c>
      <c r="BE6" s="110">
        <v>1.0416666666666666E-2</v>
      </c>
      <c r="BF6" s="211">
        <f>'HVAC Appliances Austin'!BF6</f>
        <v>20.25333333333333</v>
      </c>
      <c r="BG6" s="110">
        <v>1.0416666666666666E-2</v>
      </c>
      <c r="BH6" s="211">
        <f>'HVAC Appliances Austin'!BH6</f>
        <v>29.83333333333335</v>
      </c>
      <c r="BI6" s="21"/>
      <c r="BJ6" s="110">
        <v>1.0416666666666666E-2</v>
      </c>
      <c r="BK6" s="211">
        <f>'HVAC Appliances Austin'!BK6</f>
        <v>0</v>
      </c>
      <c r="BL6" s="110">
        <v>1.0416666666666666E-2</v>
      </c>
      <c r="BM6" s="211">
        <f>'HVAC Appliances Austin'!BM6</f>
        <v>0</v>
      </c>
      <c r="BN6" s="110">
        <v>1.0416666666666666E-2</v>
      </c>
      <c r="BO6" s="211">
        <f>'HVAC Appliances Austin'!BO6</f>
        <v>0</v>
      </c>
      <c r="BP6" s="21"/>
      <c r="BQ6" s="110">
        <v>1.0416666666666666E-2</v>
      </c>
      <c r="BR6" s="211">
        <f>'HVAC Appliances Austin'!BR6</f>
        <v>0</v>
      </c>
      <c r="BS6" s="110">
        <v>1.0416666666666666E-2</v>
      </c>
      <c r="BT6" s="211">
        <f>'HVAC Appliances Austin'!BT6</f>
        <v>0</v>
      </c>
      <c r="BU6" s="110">
        <v>1.0416666666666666E-2</v>
      </c>
      <c r="BV6" s="211">
        <f>'HVAC Appliances Austin'!BV6</f>
        <v>0</v>
      </c>
      <c r="BW6" s="21"/>
      <c r="BX6" s="110">
        <v>1.0416666666666666E-2</v>
      </c>
      <c r="BY6" s="211">
        <f>'HVAC Appliances Austin'!BY6</f>
        <v>0</v>
      </c>
      <c r="BZ6" s="110">
        <v>1.0416666666666666E-2</v>
      </c>
      <c r="CA6" s="211">
        <f>'HVAC Appliances Austin'!CA6</f>
        <v>0</v>
      </c>
      <c r="CB6" s="110">
        <v>1.0416666666666666E-2</v>
      </c>
      <c r="CC6" s="211">
        <f>'HVAC Appliances Austin'!CC6</f>
        <v>0</v>
      </c>
      <c r="CD6" s="186"/>
      <c r="CE6" s="110">
        <v>1.0416666666666666E-2</v>
      </c>
      <c r="CF6" s="211">
        <f>'HVAC Appliances Austin'!CF6</f>
        <v>131.70500000000001</v>
      </c>
      <c r="CG6" s="110">
        <v>1.0416666666666666E-2</v>
      </c>
      <c r="CH6" s="211">
        <f>'HVAC Appliances Austin'!CH6</f>
        <v>258.64</v>
      </c>
      <c r="CI6" s="110">
        <v>1.0416666666666666E-2</v>
      </c>
      <c r="CJ6" s="211">
        <f>'HVAC Appliances Austin'!CJ6</f>
        <v>343.5</v>
      </c>
      <c r="CK6" s="21"/>
      <c r="CL6" s="110">
        <v>1.0416666666666666E-2</v>
      </c>
      <c r="CM6" s="211">
        <f>'HVAC Appliances Austin'!CM6</f>
        <v>0</v>
      </c>
      <c r="CN6" s="110">
        <v>1.0416666666666666E-2</v>
      </c>
      <c r="CO6" s="211">
        <f>'HVAC Appliances Austin'!CO6</f>
        <v>0</v>
      </c>
      <c r="CP6" s="110">
        <v>1.0416666666666666E-2</v>
      </c>
      <c r="CQ6" s="211">
        <f>'HVAC Appliances Austin'!CQ6</f>
        <v>0</v>
      </c>
      <c r="CR6" s="21"/>
      <c r="CS6" s="110">
        <v>1.0416666666666666E-2</v>
      </c>
      <c r="CT6" s="211"/>
      <c r="CU6" s="21"/>
      <c r="CV6" s="110">
        <v>1.0416666666666666E-2</v>
      </c>
      <c r="CW6" s="264"/>
      <c r="CY6" s="260">
        <v>1.0416666666666666E-2</v>
      </c>
      <c r="CZ6" s="211">
        <f>'HVAC Appliances Austin'!CZ6</f>
        <v>145.18661111111109</v>
      </c>
      <c r="DA6" s="110">
        <v>1.0416666666666666E-2</v>
      </c>
      <c r="DB6" s="211">
        <f>'HVAC Appliances Austin'!DB6</f>
        <v>188.83213888888895</v>
      </c>
      <c r="DC6" s="110">
        <v>1.0416666666666666E-2</v>
      </c>
      <c r="DD6" s="211">
        <f>'HVAC Appliances Austin'!DD6</f>
        <v>265.82466666666613</v>
      </c>
      <c r="DE6" s="21"/>
      <c r="DF6" s="110">
        <v>1.0416666666666666E-2</v>
      </c>
      <c r="DG6" s="211">
        <f>'HVAC Appliances Austin'!DG6</f>
        <v>213.88899999999984</v>
      </c>
      <c r="DH6" s="110">
        <v>1.0416666666666666E-2</v>
      </c>
      <c r="DI6" s="211">
        <f>'HVAC Appliances Austin'!DI6</f>
        <v>285.54268749999954</v>
      </c>
      <c r="DJ6" s="110">
        <v>1.0416666666666666E-2</v>
      </c>
      <c r="DK6" s="211">
        <f>'HVAC Appliances Austin'!DK6</f>
        <v>335.00106249999948</v>
      </c>
      <c r="DL6" s="21"/>
      <c r="DM6" s="110">
        <v>1.0416666666666666E-2</v>
      </c>
      <c r="DN6" s="211">
        <f>'HVAC Appliances Austin'!DN6</f>
        <v>289.80599999999987</v>
      </c>
      <c r="DO6" s="110">
        <v>1.0416666666666666E-2</v>
      </c>
      <c r="DP6" s="211">
        <f>'HVAC Appliances Austin'!DP6</f>
        <v>410.42946527777735</v>
      </c>
      <c r="DQ6" s="110">
        <v>1.0416666666666666E-2</v>
      </c>
      <c r="DR6" s="211">
        <f>'HVAC Appliances Austin'!DR6</f>
        <v>496.15039583333288</v>
      </c>
      <c r="DS6" s="21"/>
      <c r="DT6" s="110">
        <v>1.0416666666666666E-2</v>
      </c>
      <c r="DU6" s="211">
        <f>'HVAC Appliances Austin'!DU6</f>
        <v>0</v>
      </c>
      <c r="DV6" s="110">
        <v>1.0416666666666666E-2</v>
      </c>
      <c r="DW6" s="211">
        <f>'HVAC Appliances Austin'!DW6</f>
        <v>0</v>
      </c>
      <c r="DX6" s="110">
        <v>1.0416666666666666E-2</v>
      </c>
      <c r="DY6" s="211">
        <f>'HVAC Appliances Austin'!DY6</f>
        <v>0</v>
      </c>
      <c r="DZ6" s="21"/>
      <c r="EA6" s="110">
        <v>1.0416666666666666E-2</v>
      </c>
      <c r="EB6" s="211">
        <f>'HVAC Appliances Amarillo'!EB6</f>
        <v>6900</v>
      </c>
      <c r="EC6" s="110">
        <v>1.0416666666666666E-2</v>
      </c>
      <c r="ED6" s="211">
        <f>'HVAC Appliances Amarillo'!ED6</f>
        <v>12300</v>
      </c>
      <c r="EE6" s="110">
        <v>1.0416666666666666E-2</v>
      </c>
      <c r="EF6" s="211">
        <f>'HVAC Appliances Amarillo'!EF6</f>
        <v>16000</v>
      </c>
      <c r="EG6" s="21"/>
      <c r="EH6" s="110">
        <v>1.0416666666666666E-2</v>
      </c>
      <c r="EI6" s="211">
        <f>'HVAC Appliances Austin'!EI6</f>
        <v>683.91099999999994</v>
      </c>
      <c r="EJ6" s="110">
        <v>1.0416666666666666E-2</v>
      </c>
      <c r="EK6" s="211">
        <f>'HVAC Appliances Austin'!EK6</f>
        <v>1073.3852986111115</v>
      </c>
      <c r="EL6" s="110">
        <v>1.0416666666666666E-2</v>
      </c>
      <c r="EM6" s="211">
        <f>'HVAC Appliances Austin'!EM6</f>
        <v>1357.9028958333342</v>
      </c>
      <c r="EN6" s="21"/>
      <c r="EO6" s="110">
        <v>1.0416666666666666E-2</v>
      </c>
      <c r="EP6" s="211"/>
      <c r="EQ6" s="21"/>
      <c r="ER6" s="110">
        <v>1.0416666666666666E-2</v>
      </c>
      <c r="ES6" s="264"/>
      <c r="EU6" s="260">
        <v>1.0416666666666666E-2</v>
      </c>
      <c r="EV6" s="209">
        <f>'HVAC Appliances Amarillo'!EV6</f>
        <v>5400</v>
      </c>
      <c r="EW6" s="110">
        <v>1.0416666666666666E-2</v>
      </c>
      <c r="EX6" s="209">
        <f>'HVAC Appliances Amarillo'!EX6</f>
        <v>5400</v>
      </c>
      <c r="EY6" s="110">
        <v>1.0416666666666666E-2</v>
      </c>
      <c r="EZ6" s="308">
        <f>'HVAC Appliances Amarillo'!EZ6</f>
        <v>5400</v>
      </c>
    </row>
    <row r="7" spans="1:156" x14ac:dyDescent="0.3">
      <c r="A7" s="108">
        <v>1.0416666666666666E-2</v>
      </c>
      <c r="B7" s="226">
        <f t="shared" ref="B7:B70" si="0">IF(AND($B$3=$G$2,$D$3=$G$3),H6,IF(AND($B$3=$G$2,$D$3=$I$3),J6,IF(AND($B$3=$G$2,$D$3=$K$3),L6,IF(AND($B$3=$N$2,$D$3=$N$3),O6,IF(AND($B$3=$N$2,$D$3=$P$3),Q6,IF(AND($B$3=$N$2,$D$3=$R$3),S6,IF(AND($B$3=$U$2,$D$3=$U$3),V6,IF(AND($B$3=$U$2,$D$3=$W$3),X6,IF(AND($B$3=$U$2,$D$3=$Y$3),Z6,IF(AND($B$3=$AB$2,$D$3=$AB$3),AC6,IF(AND($B$3=$AB$2,$D$3=$AD$3),AE6,IF(AND($B$3=$AB$2,$D$3=$AF$3),AG6,IF(AND($B$3=$AI$2,$D$3=$AI$3),AJ6,IF(AND($B$3=$AI$2,$D$3=$AK$3),AL6,IF(AND($B$3=$AI$2,$D$3=$AM$3),AN6,IF(AND($B$3=$AP$2,$D$3=$AP$3),AQ6,IF(AND($B$3=$AP$2,$D$3=$AR$3),AS6,IF(AND($B$3=$AP$2,$D$3=$AT$3),AU6,IF($B$3=$AW$3,AX6,IF($B$3=$AZ$3,BA6,0))))))))))))))))))))</f>
        <v>0</v>
      </c>
      <c r="C7" s="21">
        <f t="shared" ref="C7:C70" si="1">IF(AND($B$3=$BC$2,$D$3=$BC$3),BD6,IF(AND($B$3=$BC$2,$D$3=$BE$3),BF6,IF(AND($B$3=$BC$2,$D$3=$BG$3),BH6,IF(AND($B$3=$BJ$2,$D$3=$BJ$3),BK6,IF(AND($B$3=$BJ$2,$D$3=$BL$3),BM6,IF(AND($B$3=$BJ$2,$D$3=$BN$3),BO6,IF(AND($B$3=$BQ$2,$D$3=$BQ$3),BR6,IF(AND($B$3=$BQ$2,$D$3=$BS$3),BT6,IF(AND($B$3=$BQ$2,$D$3=$BU$3),BV6,IF(AND($B$3=$BX$2,$D$3=$BX$3),BY6,IF(AND($B$3=$BX$2,$D$3=$BZ$3),CA6,IF(AND($B$3=$BX$2,$D$3=$CB$3),CC6,IF(AND($B$3=$CE$2,$D$3=$CE$3),CF6,IF(AND($B$3=$CE$2,$D$3=$CG$3),CH6,IF(AND($B$3=$CE$2,$D$3=$CI$3),CJ6,IF(AND($B$3=$CL$2,$D$3=$CL$3),CM6,IF(AND($B$3=$CL$2,$D$3=$CN$3),CO6,IF(AND($B$3=$CL$2,$D$3=$CP$3),CQ6,IF($B$3=$CS$3,CT6,IF($B$3=$CV$3,CW6,0))))))))))))))))))))</f>
        <v>343.5</v>
      </c>
      <c r="D7" s="20">
        <f t="shared" ref="D7:D70" si="2">IF(AND($B$3=$CY$2,$D$3=$CY$3),CZ6,IF(AND($B$3=$CY$2,$D$3=$DA$3),DB6,IF(AND($B$3=$CY$2,$D$3=$DC$3),DD6,IF(AND($B$3=$DF$2,$D$3=$DF$3),DG6,IF(AND($B$3=$DF$2,$D$3=$DH$3),DI6,IF(AND($B$3=$DF$2,$D$3=$DJ$3),DK6,IF(AND($B$3=$DM$2,$D$3=$DM$3),DN6,IF(AND($B$3=$DM$2,$D$3=$DO$3),DP6,IF(AND($B$3=$DM$2,$D$3=$DQ$3),DR6,IF(AND($B$3=$DT$2,$D$3=$DT$3),DU6,IF(AND($B$3=$DT$2,$D$3=$DV$3),DW6,IF(AND($B$3=$DT$2,$D$3=$DX$3),DY6,IF(AND($B$3=$EA$2,$D$3=$EA$3),EB6,IF(AND($B$3=$EA$2,$D$3=$EC$3),ED6,IF(AND($B$3=$EA$2,$D$3=$EE$3),EF6,IF(AND($B$3=$EH$2,$D$3=$EH$3),EI6,IF(AND($B$3=$EH$2,$D$3=$EJ$3),EK6,IF(AND($B$3=$EH$2,$D$3=$EL$3),EM6,IF($B$3=$EO$3,EP6,IF($B$3=$ER$3,ES6,0))))))))))))))))))))</f>
        <v>16000</v>
      </c>
      <c r="E7" s="20">
        <f t="shared" ref="E7:E70" si="3">IF(AND($B$3=$EU$2,$D$3=$EU$3),EV6,IF(AND($B$3=$EU$2,$D$3=$EW$3),EX6,IF(AND($B$3=$EU$2,$D$3=$EY$3),EZ6,D7)))</f>
        <v>5400</v>
      </c>
      <c r="G7" s="260">
        <v>2.0833333333333301E-2</v>
      </c>
      <c r="H7" s="211">
        <f>'HVAC Appliances Austin'!H7</f>
        <v>0</v>
      </c>
      <c r="I7" s="110">
        <v>2.0833333333333301E-2</v>
      </c>
      <c r="J7" s="211">
        <f>'HVAC Appliances Austin'!J7</f>
        <v>0</v>
      </c>
      <c r="K7" s="110">
        <v>2.0833333333333301E-2</v>
      </c>
      <c r="L7" s="211">
        <f>'HVAC Appliances Austin'!L7</f>
        <v>0</v>
      </c>
      <c r="M7" s="21"/>
      <c r="N7" s="110">
        <v>2.0833333333333301E-2</v>
      </c>
      <c r="O7" s="211">
        <f>'HVAC Appliances Austin'!O7</f>
        <v>186.8343124999997</v>
      </c>
      <c r="P7" s="110">
        <v>2.0833333333333301E-2</v>
      </c>
      <c r="Q7" s="211">
        <f>'HVAC Appliances Austin'!Q7</f>
        <v>254.51062499999955</v>
      </c>
      <c r="R7" s="110">
        <v>2.0833333333333301E-2</v>
      </c>
      <c r="S7" s="211">
        <f>'HVAC Appliances Austin'!S7</f>
        <v>299.96174999999914</v>
      </c>
      <c r="T7" s="21"/>
      <c r="U7" s="110">
        <v>2.0833333333333301E-2</v>
      </c>
      <c r="V7" s="211">
        <f>'HVAC Appliances Austin'!V7</f>
        <v>254.69186805555532</v>
      </c>
      <c r="W7" s="110">
        <v>2.0833333333333301E-2</v>
      </c>
      <c r="X7" s="211">
        <f>'HVAC Appliances Austin'!X7</f>
        <v>367.19451388888882</v>
      </c>
      <c r="Y7" s="110">
        <v>2.0833333333333301E-2</v>
      </c>
      <c r="Z7" s="211">
        <f>'HVAC Appliances Austin'!Z7</f>
        <v>443.43963888888771</v>
      </c>
      <c r="AA7" s="21"/>
      <c r="AB7" s="110">
        <v>2.0833333333333301E-2</v>
      </c>
      <c r="AC7" s="211">
        <f>'HVAC Appliances Austin'!AC7</f>
        <v>64.350249999999832</v>
      </c>
      <c r="AD7" s="110">
        <v>2.0833333333333301E-2</v>
      </c>
      <c r="AE7" s="211">
        <f>'HVAC Appliances Austin'!AE7</f>
        <v>55.467499999999781</v>
      </c>
      <c r="AF7" s="110">
        <v>2.0833333333333301E-2</v>
      </c>
      <c r="AG7" s="211">
        <f>'HVAC Appliances Austin'!AG7</f>
        <v>56.76799999999993</v>
      </c>
      <c r="AH7" s="21"/>
      <c r="AI7" s="110">
        <v>2.0833333333333301E-2</v>
      </c>
      <c r="AJ7" s="211">
        <f>'HVAC Appliances Austin'!AJ7</f>
        <v>0</v>
      </c>
      <c r="AK7" s="110">
        <v>2.0833333333333301E-2</v>
      </c>
      <c r="AL7" s="211">
        <f>'HVAC Appliances Austin'!AL7</f>
        <v>0</v>
      </c>
      <c r="AM7" s="110">
        <v>2.0833333333333301E-2</v>
      </c>
      <c r="AN7" s="211">
        <f>'HVAC Appliances Austin'!AN7</f>
        <v>0</v>
      </c>
      <c r="AO7" s="21"/>
      <c r="AP7" s="110">
        <v>2.0833333333333301E-2</v>
      </c>
      <c r="AQ7" s="211">
        <f>'HVAC Appliances Austin'!AQ7</f>
        <v>638.35103472222204</v>
      </c>
      <c r="AR7" s="110">
        <v>2.0833333333333301E-2</v>
      </c>
      <c r="AS7" s="211">
        <f>'HVAC Appliances Austin'!AS7</f>
        <v>1011.9611805555562</v>
      </c>
      <c r="AT7" s="110">
        <v>2.0833333333333301E-2</v>
      </c>
      <c r="AU7" s="211">
        <f>'HVAC Appliances Austin'!AU7</f>
        <v>1282.4413055555551</v>
      </c>
      <c r="AV7" s="21"/>
      <c r="AW7" s="110">
        <v>2.0833333333333301E-2</v>
      </c>
      <c r="AX7" s="211"/>
      <c r="AY7" s="21"/>
      <c r="AZ7" s="110">
        <v>2.0833333333333301E-2</v>
      </c>
      <c r="BA7" s="264"/>
      <c r="BC7" s="260">
        <v>2.0833333333333301E-2</v>
      </c>
      <c r="BD7" s="211">
        <f>'HVAC Appliances Austin'!BD7</f>
        <v>15.648333333333333</v>
      </c>
      <c r="BE7" s="110">
        <v>2.0833333333333301E-2</v>
      </c>
      <c r="BF7" s="211">
        <f>'HVAC Appliances Austin'!BF7</f>
        <v>20.25333333333333</v>
      </c>
      <c r="BG7" s="110">
        <v>2.0833333333333301E-2</v>
      </c>
      <c r="BH7" s="211">
        <f>'HVAC Appliances Austin'!BH7</f>
        <v>29.83333333333335</v>
      </c>
      <c r="BI7" s="21"/>
      <c r="BJ7" s="110">
        <v>2.0833333333333301E-2</v>
      </c>
      <c r="BK7" s="211">
        <f>'HVAC Appliances Austin'!BK7</f>
        <v>0</v>
      </c>
      <c r="BL7" s="110">
        <v>2.0833333333333301E-2</v>
      </c>
      <c r="BM7" s="211">
        <f>'HVAC Appliances Austin'!BM7</f>
        <v>0</v>
      </c>
      <c r="BN7" s="110">
        <v>2.0833333333333301E-2</v>
      </c>
      <c r="BO7" s="211">
        <f>'HVAC Appliances Austin'!BO7</f>
        <v>0</v>
      </c>
      <c r="BP7" s="21"/>
      <c r="BQ7" s="110">
        <v>2.0833333333333301E-2</v>
      </c>
      <c r="BR7" s="211">
        <f>'HVAC Appliances Austin'!BR7</f>
        <v>0</v>
      </c>
      <c r="BS7" s="110">
        <v>2.0833333333333301E-2</v>
      </c>
      <c r="BT7" s="211">
        <f>'HVAC Appliances Austin'!BT7</f>
        <v>0</v>
      </c>
      <c r="BU7" s="110">
        <v>2.0833333333333301E-2</v>
      </c>
      <c r="BV7" s="211">
        <f>'HVAC Appliances Austin'!BV7</f>
        <v>0</v>
      </c>
      <c r="BW7" s="21"/>
      <c r="BX7" s="110">
        <v>2.0833333333333301E-2</v>
      </c>
      <c r="BY7" s="211">
        <f>'HVAC Appliances Austin'!BY7</f>
        <v>0</v>
      </c>
      <c r="BZ7" s="110">
        <v>2.0833333333333301E-2</v>
      </c>
      <c r="CA7" s="211">
        <f>'HVAC Appliances Austin'!CA7</f>
        <v>0</v>
      </c>
      <c r="CB7" s="110">
        <v>2.0833333333333301E-2</v>
      </c>
      <c r="CC7" s="211">
        <f>'HVAC Appliances Austin'!CC7</f>
        <v>0</v>
      </c>
      <c r="CD7" s="189"/>
      <c r="CE7" s="110">
        <v>2.0833333333333301E-2</v>
      </c>
      <c r="CF7" s="211">
        <f>'HVAC Appliances Austin'!CF7</f>
        <v>131.70500000000001</v>
      </c>
      <c r="CG7" s="110">
        <v>2.0833333333333301E-2</v>
      </c>
      <c r="CH7" s="211">
        <f>'HVAC Appliances Austin'!CH7</f>
        <v>258.64</v>
      </c>
      <c r="CI7" s="110">
        <v>2.0833333333333301E-2</v>
      </c>
      <c r="CJ7" s="211">
        <f>'HVAC Appliances Austin'!CJ7</f>
        <v>343.5</v>
      </c>
      <c r="CK7" s="21"/>
      <c r="CL7" s="110">
        <v>2.0833333333333301E-2</v>
      </c>
      <c r="CM7" s="211">
        <f>'HVAC Appliances Austin'!CM7</f>
        <v>0</v>
      </c>
      <c r="CN7" s="110">
        <v>2.0833333333333301E-2</v>
      </c>
      <c r="CO7" s="211">
        <f>'HVAC Appliances Austin'!CO7</f>
        <v>0</v>
      </c>
      <c r="CP7" s="110">
        <v>2.0833333333333301E-2</v>
      </c>
      <c r="CQ7" s="211">
        <f>'HVAC Appliances Austin'!CQ7</f>
        <v>0</v>
      </c>
      <c r="CR7" s="21"/>
      <c r="CS7" s="110">
        <v>2.0833333333333301E-2</v>
      </c>
      <c r="CT7" s="211"/>
      <c r="CU7" s="21"/>
      <c r="CV7" s="110">
        <v>2.0833333333333301E-2</v>
      </c>
      <c r="CW7" s="264"/>
      <c r="CY7" s="260">
        <v>2.0833333333333301E-2</v>
      </c>
      <c r="CZ7" s="211">
        <f>'HVAC Appliances Austin'!CZ7</f>
        <v>145.18661111111109</v>
      </c>
      <c r="DA7" s="110">
        <v>2.0833333333333301E-2</v>
      </c>
      <c r="DB7" s="211">
        <f>'HVAC Appliances Austin'!DB7</f>
        <v>188.83213888888895</v>
      </c>
      <c r="DC7" s="110">
        <v>2.0833333333333301E-2</v>
      </c>
      <c r="DD7" s="211">
        <f>'HVAC Appliances Austin'!DD7</f>
        <v>265.82466666666613</v>
      </c>
      <c r="DE7" s="21"/>
      <c r="DF7" s="110">
        <v>2.0833333333333301E-2</v>
      </c>
      <c r="DG7" s="211">
        <f>'HVAC Appliances Austin'!DG7</f>
        <v>213.88899999999984</v>
      </c>
      <c r="DH7" s="110">
        <v>2.0833333333333301E-2</v>
      </c>
      <c r="DI7" s="211">
        <f>'HVAC Appliances Austin'!DI7</f>
        <v>285.54268749999954</v>
      </c>
      <c r="DJ7" s="110">
        <v>2.0833333333333301E-2</v>
      </c>
      <c r="DK7" s="211">
        <f>'HVAC Appliances Austin'!DK7</f>
        <v>335.00106249999948</v>
      </c>
      <c r="DL7" s="21"/>
      <c r="DM7" s="110">
        <v>2.0833333333333301E-2</v>
      </c>
      <c r="DN7" s="211">
        <f>'HVAC Appliances Austin'!DN7</f>
        <v>289.80599999999987</v>
      </c>
      <c r="DO7" s="110">
        <v>2.0833333333333301E-2</v>
      </c>
      <c r="DP7" s="211">
        <f>'HVAC Appliances Austin'!DP7</f>
        <v>410.42946527777735</v>
      </c>
      <c r="DQ7" s="110">
        <v>2.0833333333333301E-2</v>
      </c>
      <c r="DR7" s="211">
        <f>'HVAC Appliances Austin'!DR7</f>
        <v>496.15039583333288</v>
      </c>
      <c r="DS7" s="21"/>
      <c r="DT7" s="110">
        <v>2.0833333333333301E-2</v>
      </c>
      <c r="DU7" s="211">
        <f>'HVAC Appliances Austin'!DU7</f>
        <v>0</v>
      </c>
      <c r="DV7" s="110">
        <v>2.0833333333333301E-2</v>
      </c>
      <c r="DW7" s="211">
        <f>'HVAC Appliances Austin'!DW7</f>
        <v>0</v>
      </c>
      <c r="DX7" s="110">
        <v>2.0833333333333301E-2</v>
      </c>
      <c r="DY7" s="211">
        <f>'HVAC Appliances Austin'!DY7</f>
        <v>0</v>
      </c>
      <c r="DZ7" s="21"/>
      <c r="EA7" s="110">
        <v>2.0833333333333301E-2</v>
      </c>
      <c r="EB7" s="211">
        <f>'HVAC Appliances Amarillo'!EB7</f>
        <v>0</v>
      </c>
      <c r="EC7" s="110">
        <v>2.0833333333333301E-2</v>
      </c>
      <c r="ED7" s="211">
        <f>'HVAC Appliances Amarillo'!ED7</f>
        <v>0</v>
      </c>
      <c r="EE7" s="110">
        <v>2.0833333333333301E-2</v>
      </c>
      <c r="EF7" s="211">
        <f>'HVAC Appliances Amarillo'!EF7</f>
        <v>0</v>
      </c>
      <c r="EG7" s="21"/>
      <c r="EH7" s="110">
        <v>2.0833333333333301E-2</v>
      </c>
      <c r="EI7" s="211">
        <f>'HVAC Appliances Austin'!EI7</f>
        <v>683.91099999999994</v>
      </c>
      <c r="EJ7" s="110">
        <v>2.0833333333333301E-2</v>
      </c>
      <c r="EK7" s="211">
        <f>'HVAC Appliances Austin'!EK7</f>
        <v>1073.3852986111115</v>
      </c>
      <c r="EL7" s="110">
        <v>2.0833333333333301E-2</v>
      </c>
      <c r="EM7" s="211">
        <f>'HVAC Appliances Austin'!EM7</f>
        <v>1357.9028958333342</v>
      </c>
      <c r="EN7" s="21"/>
      <c r="EO7" s="110">
        <v>2.0833333333333301E-2</v>
      </c>
      <c r="EP7" s="211"/>
      <c r="EQ7" s="21"/>
      <c r="ER7" s="110">
        <v>2.0833333333333301E-2</v>
      </c>
      <c r="ES7" s="264"/>
      <c r="EU7" s="260">
        <v>2.0833333333333301E-2</v>
      </c>
      <c r="EV7" s="209">
        <f>'HVAC Appliances Amarillo'!EV7</f>
        <v>0</v>
      </c>
      <c r="EW7" s="110">
        <v>2.0833333333333301E-2</v>
      </c>
      <c r="EX7" s="209">
        <f>'HVAC Appliances Amarillo'!EX7</f>
        <v>0</v>
      </c>
      <c r="EY7" s="110">
        <v>2.0833333333333301E-2</v>
      </c>
      <c r="EZ7" s="308">
        <f>'HVAC Appliances Amarillo'!EZ7</f>
        <v>0</v>
      </c>
    </row>
    <row r="8" spans="1:156" x14ac:dyDescent="0.3">
      <c r="A8" s="108">
        <v>2.0833333333333301E-2</v>
      </c>
      <c r="B8" s="226">
        <f t="shared" si="0"/>
        <v>0</v>
      </c>
      <c r="C8" s="21">
        <f t="shared" si="1"/>
        <v>343.5</v>
      </c>
      <c r="D8" s="20">
        <f t="shared" si="2"/>
        <v>0</v>
      </c>
      <c r="E8" s="20">
        <f t="shared" si="3"/>
        <v>0</v>
      </c>
      <c r="G8" s="260">
        <v>3.125E-2</v>
      </c>
      <c r="H8" s="211">
        <f>'HVAC Appliances Austin'!H8</f>
        <v>0</v>
      </c>
      <c r="I8" s="110">
        <v>3.125E-2</v>
      </c>
      <c r="J8" s="211">
        <f>'HVAC Appliances Austin'!J8</f>
        <v>0</v>
      </c>
      <c r="K8" s="110">
        <v>3.125E-2</v>
      </c>
      <c r="L8" s="211">
        <f>'HVAC Appliances Austin'!L8</f>
        <v>0</v>
      </c>
      <c r="M8" s="21"/>
      <c r="N8" s="110">
        <v>3.125E-2</v>
      </c>
      <c r="O8" s="211">
        <f>'HVAC Appliances Austin'!O8</f>
        <v>186.8343124999997</v>
      </c>
      <c r="P8" s="110">
        <v>3.125E-2</v>
      </c>
      <c r="Q8" s="211">
        <f>'HVAC Appliances Austin'!Q8</f>
        <v>254.51062499999955</v>
      </c>
      <c r="R8" s="110">
        <v>3.125E-2</v>
      </c>
      <c r="S8" s="211">
        <f>'HVAC Appliances Austin'!S8</f>
        <v>299.96174999999914</v>
      </c>
      <c r="T8" s="21"/>
      <c r="U8" s="110">
        <v>3.125E-2</v>
      </c>
      <c r="V8" s="211">
        <f>'HVAC Appliances Austin'!V8</f>
        <v>254.69186805555532</v>
      </c>
      <c r="W8" s="110">
        <v>3.125E-2</v>
      </c>
      <c r="X8" s="211">
        <f>'HVAC Appliances Austin'!X8</f>
        <v>367.19451388888882</v>
      </c>
      <c r="Y8" s="110">
        <v>3.125E-2</v>
      </c>
      <c r="Z8" s="211">
        <f>'HVAC Appliances Austin'!Z8</f>
        <v>443.43963888888771</v>
      </c>
      <c r="AA8" s="21"/>
      <c r="AB8" s="110">
        <v>3.125E-2</v>
      </c>
      <c r="AC8" s="211">
        <f>'HVAC Appliances Austin'!AC8</f>
        <v>64.350249999999832</v>
      </c>
      <c r="AD8" s="110">
        <v>3.125E-2</v>
      </c>
      <c r="AE8" s="211">
        <f>'HVAC Appliances Austin'!AE8</f>
        <v>55.467499999999781</v>
      </c>
      <c r="AF8" s="110">
        <v>3.125E-2</v>
      </c>
      <c r="AG8" s="211">
        <f>'HVAC Appliances Austin'!AG8</f>
        <v>56.76799999999993</v>
      </c>
      <c r="AH8" s="21"/>
      <c r="AI8" s="110">
        <v>3.125E-2</v>
      </c>
      <c r="AJ8" s="211">
        <f>'HVAC Appliances Austin'!AJ8</f>
        <v>0</v>
      </c>
      <c r="AK8" s="110">
        <v>3.125E-2</v>
      </c>
      <c r="AL8" s="211">
        <f>'HVAC Appliances Austin'!AL8</f>
        <v>0</v>
      </c>
      <c r="AM8" s="110">
        <v>3.125E-2</v>
      </c>
      <c r="AN8" s="211">
        <f>'HVAC Appliances Austin'!AN8</f>
        <v>0</v>
      </c>
      <c r="AO8" s="21"/>
      <c r="AP8" s="110">
        <v>3.125E-2</v>
      </c>
      <c r="AQ8" s="211">
        <f>'HVAC Appliances Austin'!AQ8</f>
        <v>638.35103472222204</v>
      </c>
      <c r="AR8" s="110">
        <v>3.125E-2</v>
      </c>
      <c r="AS8" s="211">
        <f>'HVAC Appliances Austin'!AS8</f>
        <v>1011.9611805555562</v>
      </c>
      <c r="AT8" s="110">
        <v>3.125E-2</v>
      </c>
      <c r="AU8" s="211">
        <f>'HVAC Appliances Austin'!AU8</f>
        <v>1282.4413055555551</v>
      </c>
      <c r="AV8" s="21"/>
      <c r="AW8" s="110">
        <v>3.125E-2</v>
      </c>
      <c r="AX8" s="211"/>
      <c r="AY8" s="21"/>
      <c r="AZ8" s="110">
        <v>3.125E-2</v>
      </c>
      <c r="BA8" s="264"/>
      <c r="BC8" s="260">
        <v>3.125E-2</v>
      </c>
      <c r="BD8" s="211">
        <f>'HVAC Appliances Austin'!BD8</f>
        <v>15.648333333333333</v>
      </c>
      <c r="BE8" s="110">
        <v>3.125E-2</v>
      </c>
      <c r="BF8" s="211">
        <f>'HVAC Appliances Austin'!BF8</f>
        <v>20.25333333333333</v>
      </c>
      <c r="BG8" s="110">
        <v>3.125E-2</v>
      </c>
      <c r="BH8" s="211">
        <f>'HVAC Appliances Austin'!BH8</f>
        <v>29.83333333333335</v>
      </c>
      <c r="BI8" s="21"/>
      <c r="BJ8" s="110">
        <v>3.125E-2</v>
      </c>
      <c r="BK8" s="211">
        <f>'HVAC Appliances Austin'!BK8</f>
        <v>0</v>
      </c>
      <c r="BL8" s="110">
        <v>3.125E-2</v>
      </c>
      <c r="BM8" s="211">
        <f>'HVAC Appliances Austin'!BM8</f>
        <v>0</v>
      </c>
      <c r="BN8" s="110">
        <v>3.125E-2</v>
      </c>
      <c r="BO8" s="211">
        <f>'HVAC Appliances Austin'!BO8</f>
        <v>0</v>
      </c>
      <c r="BP8" s="21"/>
      <c r="BQ8" s="110">
        <v>3.125E-2</v>
      </c>
      <c r="BR8" s="211">
        <f>'HVAC Appliances Austin'!BR8</f>
        <v>0</v>
      </c>
      <c r="BS8" s="110">
        <v>3.125E-2</v>
      </c>
      <c r="BT8" s="211">
        <f>'HVAC Appliances Austin'!BT8</f>
        <v>0</v>
      </c>
      <c r="BU8" s="110">
        <v>3.125E-2</v>
      </c>
      <c r="BV8" s="211">
        <f>'HVAC Appliances Austin'!BV8</f>
        <v>0</v>
      </c>
      <c r="BW8" s="21"/>
      <c r="BX8" s="110">
        <v>3.125E-2</v>
      </c>
      <c r="BY8" s="211">
        <f>'HVAC Appliances Austin'!BY8</f>
        <v>0</v>
      </c>
      <c r="BZ8" s="110">
        <v>3.125E-2</v>
      </c>
      <c r="CA8" s="211">
        <f>'HVAC Appliances Austin'!CA8</f>
        <v>0</v>
      </c>
      <c r="CB8" s="110">
        <v>3.125E-2</v>
      </c>
      <c r="CC8" s="211">
        <f>'HVAC Appliances Austin'!CC8</f>
        <v>0</v>
      </c>
      <c r="CD8" s="21"/>
      <c r="CE8" s="110">
        <v>3.125E-2</v>
      </c>
      <c r="CF8" s="211">
        <f>'HVAC Appliances Austin'!CF8</f>
        <v>131.70500000000001</v>
      </c>
      <c r="CG8" s="110">
        <v>3.125E-2</v>
      </c>
      <c r="CH8" s="211">
        <f>'HVAC Appliances Austin'!CH8</f>
        <v>258.64</v>
      </c>
      <c r="CI8" s="110">
        <v>3.125E-2</v>
      </c>
      <c r="CJ8" s="211">
        <f>'HVAC Appliances Austin'!CJ8</f>
        <v>343.5</v>
      </c>
      <c r="CK8" s="21"/>
      <c r="CL8" s="110">
        <v>3.125E-2</v>
      </c>
      <c r="CM8" s="211">
        <f>'HVAC Appliances Austin'!CM8</f>
        <v>0</v>
      </c>
      <c r="CN8" s="110">
        <v>3.125E-2</v>
      </c>
      <c r="CO8" s="211">
        <f>'HVAC Appliances Austin'!CO8</f>
        <v>0</v>
      </c>
      <c r="CP8" s="110">
        <v>3.125E-2</v>
      </c>
      <c r="CQ8" s="211">
        <f>'HVAC Appliances Austin'!CQ8</f>
        <v>0</v>
      </c>
      <c r="CR8" s="21"/>
      <c r="CS8" s="110">
        <v>3.125E-2</v>
      </c>
      <c r="CT8" s="211"/>
      <c r="CU8" s="21"/>
      <c r="CV8" s="110">
        <v>3.125E-2</v>
      </c>
      <c r="CW8" s="264"/>
      <c r="CY8" s="260">
        <v>3.125E-2</v>
      </c>
      <c r="CZ8" s="211">
        <f>'HVAC Appliances Austin'!CZ8</f>
        <v>145.18661111111109</v>
      </c>
      <c r="DA8" s="110">
        <v>3.125E-2</v>
      </c>
      <c r="DB8" s="211">
        <f>'HVAC Appliances Austin'!DB8</f>
        <v>188.83213888888895</v>
      </c>
      <c r="DC8" s="110">
        <v>3.125E-2</v>
      </c>
      <c r="DD8" s="211">
        <f>'HVAC Appliances Austin'!DD8</f>
        <v>265.82466666666613</v>
      </c>
      <c r="DE8" s="21"/>
      <c r="DF8" s="110">
        <v>3.125E-2</v>
      </c>
      <c r="DG8" s="211">
        <f>'HVAC Appliances Austin'!DG8</f>
        <v>213.88899999999984</v>
      </c>
      <c r="DH8" s="110">
        <v>3.125E-2</v>
      </c>
      <c r="DI8" s="211">
        <f>'HVAC Appliances Austin'!DI8</f>
        <v>285.54268749999954</v>
      </c>
      <c r="DJ8" s="110">
        <v>3.125E-2</v>
      </c>
      <c r="DK8" s="211">
        <f>'HVAC Appliances Austin'!DK8</f>
        <v>335.00106249999948</v>
      </c>
      <c r="DL8" s="21"/>
      <c r="DM8" s="110">
        <v>3.125E-2</v>
      </c>
      <c r="DN8" s="211">
        <f>'HVAC Appliances Austin'!DN8</f>
        <v>289.80599999999987</v>
      </c>
      <c r="DO8" s="110">
        <v>3.125E-2</v>
      </c>
      <c r="DP8" s="211">
        <f>'HVAC Appliances Austin'!DP8</f>
        <v>410.42946527777735</v>
      </c>
      <c r="DQ8" s="110">
        <v>3.125E-2</v>
      </c>
      <c r="DR8" s="211">
        <f>'HVAC Appliances Austin'!DR8</f>
        <v>496.15039583333288</v>
      </c>
      <c r="DS8" s="21"/>
      <c r="DT8" s="110">
        <v>3.125E-2</v>
      </c>
      <c r="DU8" s="211">
        <f>'HVAC Appliances Austin'!DU8</f>
        <v>0</v>
      </c>
      <c r="DV8" s="110">
        <v>3.125E-2</v>
      </c>
      <c r="DW8" s="211">
        <f>'HVAC Appliances Austin'!DW8</f>
        <v>0</v>
      </c>
      <c r="DX8" s="110">
        <v>3.125E-2</v>
      </c>
      <c r="DY8" s="211">
        <f>'HVAC Appliances Austin'!DY8</f>
        <v>0</v>
      </c>
      <c r="DZ8" s="21"/>
      <c r="EA8" s="110">
        <v>3.125E-2</v>
      </c>
      <c r="EB8" s="211">
        <f>'HVAC Appliances Amarillo'!EB8</f>
        <v>0</v>
      </c>
      <c r="EC8" s="110">
        <v>3.125E-2</v>
      </c>
      <c r="ED8" s="211">
        <f>'HVAC Appliances Amarillo'!ED8</f>
        <v>0</v>
      </c>
      <c r="EE8" s="110">
        <v>3.125E-2</v>
      </c>
      <c r="EF8" s="211">
        <f>'HVAC Appliances Amarillo'!EF8</f>
        <v>0</v>
      </c>
      <c r="EG8" s="21"/>
      <c r="EH8" s="110">
        <v>3.125E-2</v>
      </c>
      <c r="EI8" s="211">
        <f>'HVAC Appliances Austin'!EI8</f>
        <v>683.91099999999994</v>
      </c>
      <c r="EJ8" s="110">
        <v>3.125E-2</v>
      </c>
      <c r="EK8" s="211">
        <f>'HVAC Appliances Austin'!EK8</f>
        <v>1073.3852986111115</v>
      </c>
      <c r="EL8" s="110">
        <v>3.125E-2</v>
      </c>
      <c r="EM8" s="211">
        <f>'HVAC Appliances Austin'!EM8</f>
        <v>1357.9028958333342</v>
      </c>
      <c r="EN8" s="21"/>
      <c r="EO8" s="110">
        <v>3.125E-2</v>
      </c>
      <c r="EP8" s="211"/>
      <c r="EQ8" s="21"/>
      <c r="ER8" s="110">
        <v>3.125E-2</v>
      </c>
      <c r="ES8" s="264"/>
      <c r="EU8" s="260">
        <v>3.125E-2</v>
      </c>
      <c r="EV8" s="209">
        <f>'HVAC Appliances Amarillo'!EV8</f>
        <v>0</v>
      </c>
      <c r="EW8" s="110">
        <v>3.125E-2</v>
      </c>
      <c r="EX8" s="209">
        <f>'HVAC Appliances Amarillo'!EX8</f>
        <v>0</v>
      </c>
      <c r="EY8" s="110">
        <v>3.125E-2</v>
      </c>
      <c r="EZ8" s="308">
        <f>'HVAC Appliances Amarillo'!EZ8</f>
        <v>0</v>
      </c>
    </row>
    <row r="9" spans="1:156" x14ac:dyDescent="0.3">
      <c r="A9" s="108">
        <v>3.125E-2</v>
      </c>
      <c r="B9" s="226">
        <f t="shared" si="0"/>
        <v>0</v>
      </c>
      <c r="C9" s="21">
        <f t="shared" si="1"/>
        <v>343.5</v>
      </c>
      <c r="D9" s="20">
        <f t="shared" si="2"/>
        <v>0</v>
      </c>
      <c r="E9" s="20">
        <f t="shared" si="3"/>
        <v>0</v>
      </c>
      <c r="G9" s="260">
        <v>4.1666666666666699E-2</v>
      </c>
      <c r="H9" s="211">
        <f>'HVAC Appliances Austin'!H9</f>
        <v>0</v>
      </c>
      <c r="I9" s="110">
        <v>4.1666666666666699E-2</v>
      </c>
      <c r="J9" s="211">
        <f>'HVAC Appliances Austin'!J9</f>
        <v>0</v>
      </c>
      <c r="K9" s="110">
        <v>4.1666666666666699E-2</v>
      </c>
      <c r="L9" s="211">
        <f>'HVAC Appliances Austin'!L9</f>
        <v>0</v>
      </c>
      <c r="M9" s="21"/>
      <c r="N9" s="110">
        <v>4.1666666666666699E-2</v>
      </c>
      <c r="O9" s="211">
        <f>'HVAC Appliances Austin'!O9</f>
        <v>174.6618124999998</v>
      </c>
      <c r="P9" s="110">
        <v>4.1666666666666699E-2</v>
      </c>
      <c r="Q9" s="211">
        <f>'HVAC Appliances Austin'!Q9</f>
        <v>234.39562499999988</v>
      </c>
      <c r="R9" s="110">
        <v>4.1666666666666699E-2</v>
      </c>
      <c r="S9" s="211">
        <f>'HVAC Appliances Austin'!S9</f>
        <v>274.58174999999983</v>
      </c>
      <c r="T9" s="21"/>
      <c r="U9" s="110">
        <v>4.1666666666666699E-2</v>
      </c>
      <c r="V9" s="211">
        <f>'HVAC Appliances Austin'!V9</f>
        <v>244.39099999999968</v>
      </c>
      <c r="W9" s="110">
        <v>4.1666666666666699E-2</v>
      </c>
      <c r="X9" s="211">
        <f>'HVAC Appliances Austin'!X9</f>
        <v>350.03999999999945</v>
      </c>
      <c r="Y9" s="110">
        <v>4.1666666666666699E-2</v>
      </c>
      <c r="Z9" s="211">
        <f>'HVAC Appliances Austin'!Z9</f>
        <v>421.48199999999878</v>
      </c>
      <c r="AA9" s="21"/>
      <c r="AB9" s="110">
        <v>4.1666666666666699E-2</v>
      </c>
      <c r="AC9" s="211">
        <f>'HVAC Appliances Austin'!AC9</f>
        <v>56.699888888888886</v>
      </c>
      <c r="AD9" s="110">
        <v>4.1666666666666699E-2</v>
      </c>
      <c r="AE9" s="211">
        <f>'HVAC Appliances Austin'!AE9</f>
        <v>43.68222222222218</v>
      </c>
      <c r="AF9" s="110">
        <v>4.1666666666666699E-2</v>
      </c>
      <c r="AG9" s="211">
        <f>'HVAC Appliances Austin'!AG9</f>
        <v>43.924222222222028</v>
      </c>
      <c r="AH9" s="21"/>
      <c r="AI9" s="110">
        <v>4.1666666666666699E-2</v>
      </c>
      <c r="AJ9" s="211">
        <f>'HVAC Appliances Austin'!AJ9</f>
        <v>0</v>
      </c>
      <c r="AK9" s="110">
        <v>4.1666666666666699E-2</v>
      </c>
      <c r="AL9" s="211">
        <f>'HVAC Appliances Austin'!AL9</f>
        <v>0</v>
      </c>
      <c r="AM9" s="110">
        <v>4.1666666666666699E-2</v>
      </c>
      <c r="AN9" s="211">
        <f>'HVAC Appliances Austin'!AN9</f>
        <v>0</v>
      </c>
      <c r="AO9" s="21"/>
      <c r="AP9" s="110">
        <v>4.1666666666666699E-2</v>
      </c>
      <c r="AQ9" s="211">
        <f>'HVAC Appliances Austin'!AQ9</f>
        <v>563.68888888888898</v>
      </c>
      <c r="AR9" s="110">
        <v>4.1666666666666699E-2</v>
      </c>
      <c r="AS9" s="211">
        <f>'HVAC Appliances Austin'!AS9</f>
        <v>885.92222222222313</v>
      </c>
      <c r="AT9" s="110">
        <v>4.1666666666666699E-2</v>
      </c>
      <c r="AU9" s="211">
        <f>'HVAC Appliances Austin'!AU9</f>
        <v>1117.1222222222225</v>
      </c>
      <c r="AV9" s="21"/>
      <c r="AW9" s="110">
        <v>4.1666666666666699E-2</v>
      </c>
      <c r="AX9" s="211"/>
      <c r="AY9" s="21"/>
      <c r="AZ9" s="110">
        <v>4.1666666666666699E-2</v>
      </c>
      <c r="BA9" s="264"/>
      <c r="BC9" s="260">
        <v>4.1666666666666699E-2</v>
      </c>
      <c r="BD9" s="211">
        <f>'HVAC Appliances Austin'!BD9</f>
        <v>29.523333333333341</v>
      </c>
      <c r="BE9" s="110">
        <v>4.1666666666666699E-2</v>
      </c>
      <c r="BF9" s="211">
        <f>'HVAC Appliances Austin'!BF9</f>
        <v>48.753333333333345</v>
      </c>
      <c r="BG9" s="110">
        <v>4.1666666666666699E-2</v>
      </c>
      <c r="BH9" s="211">
        <f>'HVAC Appliances Austin'!BH9</f>
        <v>67.333333333333357</v>
      </c>
      <c r="BI9" s="21"/>
      <c r="BJ9" s="110">
        <v>4.1666666666666699E-2</v>
      </c>
      <c r="BK9" s="211">
        <f>'HVAC Appliances Austin'!BK9</f>
        <v>0</v>
      </c>
      <c r="BL9" s="110">
        <v>4.1666666666666699E-2</v>
      </c>
      <c r="BM9" s="211">
        <f>'HVAC Appliances Austin'!BM9</f>
        <v>0</v>
      </c>
      <c r="BN9" s="110">
        <v>4.1666666666666699E-2</v>
      </c>
      <c r="BO9" s="211">
        <f>'HVAC Appliances Austin'!BO9</f>
        <v>0</v>
      </c>
      <c r="BP9" s="21"/>
      <c r="BQ9" s="110">
        <v>4.1666666666666699E-2</v>
      </c>
      <c r="BR9" s="211">
        <f>'HVAC Appliances Austin'!BR9</f>
        <v>0</v>
      </c>
      <c r="BS9" s="110">
        <v>4.1666666666666699E-2</v>
      </c>
      <c r="BT9" s="211">
        <f>'HVAC Appliances Austin'!BT9</f>
        <v>0</v>
      </c>
      <c r="BU9" s="110">
        <v>4.1666666666666699E-2</v>
      </c>
      <c r="BV9" s="211">
        <f>'HVAC Appliances Austin'!BV9</f>
        <v>0</v>
      </c>
      <c r="BW9" s="21"/>
      <c r="BX9" s="110">
        <v>4.1666666666666699E-2</v>
      </c>
      <c r="BY9" s="211">
        <f>'HVAC Appliances Austin'!BY9</f>
        <v>0</v>
      </c>
      <c r="BZ9" s="110">
        <v>4.1666666666666699E-2</v>
      </c>
      <c r="CA9" s="211">
        <f>'HVAC Appliances Austin'!CA9</f>
        <v>0</v>
      </c>
      <c r="CB9" s="110">
        <v>4.1666666666666699E-2</v>
      </c>
      <c r="CC9" s="211">
        <f>'HVAC Appliances Austin'!CC9</f>
        <v>0</v>
      </c>
      <c r="CD9" s="21"/>
      <c r="CE9" s="110">
        <v>4.1666666666666699E-2</v>
      </c>
      <c r="CF9" s="211">
        <f>'HVAC Appliances Austin'!CF9</f>
        <v>133.2775</v>
      </c>
      <c r="CG9" s="110">
        <v>4.1666666666666699E-2</v>
      </c>
      <c r="CH9" s="211">
        <f>'HVAC Appliances Austin'!CH9</f>
        <v>261.87</v>
      </c>
      <c r="CI9" s="110">
        <v>4.1666666666666699E-2</v>
      </c>
      <c r="CJ9" s="211">
        <f>'HVAC Appliances Austin'!CJ9</f>
        <v>347.75</v>
      </c>
      <c r="CK9" s="21"/>
      <c r="CL9" s="110">
        <v>4.1666666666666699E-2</v>
      </c>
      <c r="CM9" s="211">
        <f>'HVAC Appliances Austin'!CM9</f>
        <v>0</v>
      </c>
      <c r="CN9" s="110">
        <v>4.1666666666666699E-2</v>
      </c>
      <c r="CO9" s="211">
        <f>'HVAC Appliances Austin'!CO9</f>
        <v>0</v>
      </c>
      <c r="CP9" s="110">
        <v>4.1666666666666699E-2</v>
      </c>
      <c r="CQ9" s="211">
        <f>'HVAC Appliances Austin'!CQ9</f>
        <v>0</v>
      </c>
      <c r="CR9" s="21"/>
      <c r="CS9" s="110">
        <v>4.1666666666666699E-2</v>
      </c>
      <c r="CT9" s="211"/>
      <c r="CU9" s="21"/>
      <c r="CV9" s="110">
        <v>4.1666666666666699E-2</v>
      </c>
      <c r="CW9" s="264"/>
      <c r="CY9" s="260">
        <v>4.1666666666666699E-2</v>
      </c>
      <c r="CZ9" s="211">
        <f>'HVAC Appliances Austin'!CZ9</f>
        <v>277.54911111111113</v>
      </c>
      <c r="DA9" s="110">
        <v>4.1666666666666699E-2</v>
      </c>
      <c r="DB9" s="211">
        <f>'HVAC Appliances Austin'!DB9</f>
        <v>421.62588888888905</v>
      </c>
      <c r="DC9" s="110">
        <v>4.1666666666666699E-2</v>
      </c>
      <c r="DD9" s="211">
        <f>'HVAC Appliances Austin'!DD9</f>
        <v>578.8746666666666</v>
      </c>
      <c r="DE9" s="21"/>
      <c r="DF9" s="110">
        <v>4.1666666666666699E-2</v>
      </c>
      <c r="DG9" s="211">
        <f>'HVAC Appliances Austin'!DG9</f>
        <v>199.81900000000002</v>
      </c>
      <c r="DH9" s="110">
        <v>4.1666666666666699E-2</v>
      </c>
      <c r="DI9" s="211">
        <f>'HVAC Appliances Austin'!DI9</f>
        <v>262.58518750000002</v>
      </c>
      <c r="DJ9" s="110">
        <v>4.1666666666666699E-2</v>
      </c>
      <c r="DK9" s="211">
        <f>'HVAC Appliances Austin'!DK9</f>
        <v>305.45856249999969</v>
      </c>
      <c r="DL9" s="21"/>
      <c r="DM9" s="110">
        <v>4.1666666666666699E-2</v>
      </c>
      <c r="DN9" s="211">
        <f>'HVAC Appliances Austin'!DN9</f>
        <v>278.50599999999974</v>
      </c>
      <c r="DO9" s="110">
        <v>4.1666666666666699E-2</v>
      </c>
      <c r="DP9" s="211">
        <f>'HVAC Appliances Austin'!DP9</f>
        <v>391.74699999999962</v>
      </c>
      <c r="DQ9" s="110">
        <v>4.1666666666666699E-2</v>
      </c>
      <c r="DR9" s="211">
        <f>'HVAC Appliances Austin'!DR9</f>
        <v>472.00299999999993</v>
      </c>
      <c r="DS9" s="21"/>
      <c r="DT9" s="110">
        <v>4.1666666666666699E-2</v>
      </c>
      <c r="DU9" s="211">
        <f>'HVAC Appliances Austin'!DU9</f>
        <v>0</v>
      </c>
      <c r="DV9" s="110">
        <v>4.1666666666666699E-2</v>
      </c>
      <c r="DW9" s="211">
        <f>'HVAC Appliances Austin'!DW9</f>
        <v>0</v>
      </c>
      <c r="DX9" s="110">
        <v>4.1666666666666699E-2</v>
      </c>
      <c r="DY9" s="211">
        <f>'HVAC Appliances Austin'!DY9</f>
        <v>0</v>
      </c>
      <c r="DZ9" s="21"/>
      <c r="EA9" s="110">
        <v>4.1666666666666699E-2</v>
      </c>
      <c r="EB9" s="211">
        <f>'HVAC Appliances Amarillo'!EB9</f>
        <v>6900</v>
      </c>
      <c r="EC9" s="110">
        <v>4.1666666666666699E-2</v>
      </c>
      <c r="ED9" s="211">
        <f>'HVAC Appliances Amarillo'!ED9</f>
        <v>12300</v>
      </c>
      <c r="EE9" s="110">
        <v>4.1666666666666699E-2</v>
      </c>
      <c r="EF9" s="211">
        <f>'HVAC Appliances Amarillo'!EF9</f>
        <v>16000</v>
      </c>
      <c r="EG9" s="21"/>
      <c r="EH9" s="110">
        <v>4.1666666666666699E-2</v>
      </c>
      <c r="EI9" s="211">
        <f>'HVAC Appliances Austin'!EI9</f>
        <v>609.80000000000007</v>
      </c>
      <c r="EJ9" s="110">
        <v>4.1666666666666699E-2</v>
      </c>
      <c r="EK9" s="211">
        <f>'HVAC Appliances Austin'!EK9</f>
        <v>947.54444444444493</v>
      </c>
      <c r="EL9" s="110">
        <v>4.1666666666666699E-2</v>
      </c>
      <c r="EM9" s="211">
        <f>'HVAC Appliances Austin'!EM9</f>
        <v>1193.8333333333335</v>
      </c>
      <c r="EN9" s="21"/>
      <c r="EO9" s="110">
        <v>4.1666666666666699E-2</v>
      </c>
      <c r="EP9" s="211"/>
      <c r="EQ9" s="21"/>
      <c r="ER9" s="110">
        <v>4.1666666666666699E-2</v>
      </c>
      <c r="ES9" s="264"/>
      <c r="EU9" s="260">
        <v>4.1666666666666699E-2</v>
      </c>
      <c r="EV9" s="209">
        <f>'HVAC Appliances Amarillo'!EV9</f>
        <v>5400</v>
      </c>
      <c r="EW9" s="110">
        <v>4.1666666666666699E-2</v>
      </c>
      <c r="EX9" s="209">
        <f>'HVAC Appliances Amarillo'!EX9</f>
        <v>5400</v>
      </c>
      <c r="EY9" s="110">
        <v>4.1666666666666699E-2</v>
      </c>
      <c r="EZ9" s="308">
        <f>'HVAC Appliances Amarillo'!EZ9</f>
        <v>5400</v>
      </c>
    </row>
    <row r="10" spans="1:156" x14ac:dyDescent="0.3">
      <c r="A10" s="108">
        <v>4.1666666666666699E-2</v>
      </c>
      <c r="B10" s="226">
        <f t="shared" si="0"/>
        <v>0</v>
      </c>
      <c r="C10" s="21">
        <f t="shared" si="1"/>
        <v>347.75</v>
      </c>
      <c r="D10" s="20">
        <f t="shared" si="2"/>
        <v>16000</v>
      </c>
      <c r="E10" s="20">
        <f t="shared" si="3"/>
        <v>5400</v>
      </c>
      <c r="G10" s="260">
        <v>5.2083333333333301E-2</v>
      </c>
      <c r="H10" s="211">
        <f>'HVAC Appliances Austin'!H10</f>
        <v>0</v>
      </c>
      <c r="I10" s="110">
        <v>5.2083333333333301E-2</v>
      </c>
      <c r="J10" s="211">
        <f>'HVAC Appliances Austin'!J10</f>
        <v>0</v>
      </c>
      <c r="K10" s="110">
        <v>5.2083333333333301E-2</v>
      </c>
      <c r="L10" s="211">
        <f>'HVAC Appliances Austin'!L10</f>
        <v>0</v>
      </c>
      <c r="M10" s="21"/>
      <c r="N10" s="110">
        <v>5.2083333333333301E-2</v>
      </c>
      <c r="O10" s="211">
        <f>'HVAC Appliances Austin'!O10</f>
        <v>174.6618124999998</v>
      </c>
      <c r="P10" s="110">
        <v>5.2083333333333301E-2</v>
      </c>
      <c r="Q10" s="211">
        <f>'HVAC Appliances Austin'!Q10</f>
        <v>234.39562499999988</v>
      </c>
      <c r="R10" s="110">
        <v>5.2083333333333301E-2</v>
      </c>
      <c r="S10" s="211">
        <f>'HVAC Appliances Austin'!S10</f>
        <v>274.58174999999983</v>
      </c>
      <c r="T10" s="21"/>
      <c r="U10" s="110">
        <v>5.2083333333333301E-2</v>
      </c>
      <c r="V10" s="211">
        <f>'HVAC Appliances Austin'!V10</f>
        <v>244.39099999999968</v>
      </c>
      <c r="W10" s="110">
        <v>5.2083333333333301E-2</v>
      </c>
      <c r="X10" s="211">
        <f>'HVAC Appliances Austin'!X10</f>
        <v>350.03999999999945</v>
      </c>
      <c r="Y10" s="110">
        <v>5.2083333333333301E-2</v>
      </c>
      <c r="Z10" s="211">
        <f>'HVAC Appliances Austin'!Z10</f>
        <v>421.48199999999878</v>
      </c>
      <c r="AA10" s="21"/>
      <c r="AB10" s="110">
        <v>5.2083333333333301E-2</v>
      </c>
      <c r="AC10" s="211">
        <f>'HVAC Appliances Austin'!AC10</f>
        <v>56.699888888888886</v>
      </c>
      <c r="AD10" s="110">
        <v>5.2083333333333301E-2</v>
      </c>
      <c r="AE10" s="211">
        <f>'HVAC Appliances Austin'!AE10</f>
        <v>43.68222222222218</v>
      </c>
      <c r="AF10" s="110">
        <v>5.2083333333333301E-2</v>
      </c>
      <c r="AG10" s="211">
        <f>'HVAC Appliances Austin'!AG10</f>
        <v>43.924222222222028</v>
      </c>
      <c r="AH10" s="21"/>
      <c r="AI10" s="110">
        <v>5.2083333333333301E-2</v>
      </c>
      <c r="AJ10" s="211">
        <f>'HVAC Appliances Austin'!AJ10</f>
        <v>0</v>
      </c>
      <c r="AK10" s="110">
        <v>5.2083333333333301E-2</v>
      </c>
      <c r="AL10" s="211">
        <f>'HVAC Appliances Austin'!AL10</f>
        <v>0</v>
      </c>
      <c r="AM10" s="110">
        <v>5.2083333333333301E-2</v>
      </c>
      <c r="AN10" s="211">
        <f>'HVAC Appliances Austin'!AN10</f>
        <v>0</v>
      </c>
      <c r="AO10" s="21"/>
      <c r="AP10" s="110">
        <v>5.2083333333333301E-2</v>
      </c>
      <c r="AQ10" s="211">
        <f>'HVAC Appliances Austin'!AQ10</f>
        <v>563.68888888888898</v>
      </c>
      <c r="AR10" s="110">
        <v>5.2083333333333301E-2</v>
      </c>
      <c r="AS10" s="211">
        <f>'HVAC Appliances Austin'!AS10</f>
        <v>885.92222222222313</v>
      </c>
      <c r="AT10" s="110">
        <v>5.2083333333333301E-2</v>
      </c>
      <c r="AU10" s="211">
        <f>'HVAC Appliances Austin'!AU10</f>
        <v>1117.1222222222225</v>
      </c>
      <c r="AV10" s="21"/>
      <c r="AW10" s="110">
        <v>5.2083333333333301E-2</v>
      </c>
      <c r="AX10" s="211"/>
      <c r="AY10" s="21"/>
      <c r="AZ10" s="110">
        <v>5.2083333333333301E-2</v>
      </c>
      <c r="BA10" s="264"/>
      <c r="BC10" s="260">
        <v>5.2083333333333301E-2</v>
      </c>
      <c r="BD10" s="211">
        <f>'HVAC Appliances Austin'!BD10</f>
        <v>29.523333333333341</v>
      </c>
      <c r="BE10" s="110">
        <v>5.2083333333333301E-2</v>
      </c>
      <c r="BF10" s="211">
        <f>'HVAC Appliances Austin'!BF10</f>
        <v>48.753333333333345</v>
      </c>
      <c r="BG10" s="110">
        <v>5.2083333333333301E-2</v>
      </c>
      <c r="BH10" s="211">
        <f>'HVAC Appliances Austin'!BH10</f>
        <v>67.333333333333357</v>
      </c>
      <c r="BI10" s="21"/>
      <c r="BJ10" s="110">
        <v>5.2083333333333301E-2</v>
      </c>
      <c r="BK10" s="211">
        <f>'HVAC Appliances Austin'!BK10</f>
        <v>0</v>
      </c>
      <c r="BL10" s="110">
        <v>5.2083333333333301E-2</v>
      </c>
      <c r="BM10" s="211">
        <f>'HVAC Appliances Austin'!BM10</f>
        <v>0</v>
      </c>
      <c r="BN10" s="110">
        <v>5.2083333333333301E-2</v>
      </c>
      <c r="BO10" s="211">
        <f>'HVAC Appliances Austin'!BO10</f>
        <v>0</v>
      </c>
      <c r="BP10" s="21"/>
      <c r="BQ10" s="110">
        <v>5.2083333333333301E-2</v>
      </c>
      <c r="BR10" s="211">
        <f>'HVAC Appliances Austin'!BR10</f>
        <v>0</v>
      </c>
      <c r="BS10" s="110">
        <v>5.2083333333333301E-2</v>
      </c>
      <c r="BT10" s="211">
        <f>'HVAC Appliances Austin'!BT10</f>
        <v>0</v>
      </c>
      <c r="BU10" s="110">
        <v>5.2083333333333301E-2</v>
      </c>
      <c r="BV10" s="211">
        <f>'HVAC Appliances Austin'!BV10</f>
        <v>0</v>
      </c>
      <c r="BW10" s="21"/>
      <c r="BX10" s="110">
        <v>5.2083333333333301E-2</v>
      </c>
      <c r="BY10" s="211">
        <f>'HVAC Appliances Austin'!BY10</f>
        <v>0</v>
      </c>
      <c r="BZ10" s="110">
        <v>5.2083333333333301E-2</v>
      </c>
      <c r="CA10" s="211">
        <f>'HVAC Appliances Austin'!CA10</f>
        <v>0</v>
      </c>
      <c r="CB10" s="110">
        <v>5.2083333333333301E-2</v>
      </c>
      <c r="CC10" s="211">
        <f>'HVAC Appliances Austin'!CC10</f>
        <v>0</v>
      </c>
      <c r="CD10" s="21"/>
      <c r="CE10" s="110">
        <v>5.2083333333333301E-2</v>
      </c>
      <c r="CF10" s="211">
        <f>'HVAC Appliances Austin'!CF10</f>
        <v>133.2775</v>
      </c>
      <c r="CG10" s="110">
        <v>5.2083333333333301E-2</v>
      </c>
      <c r="CH10" s="211">
        <f>'HVAC Appliances Austin'!CH10</f>
        <v>261.87</v>
      </c>
      <c r="CI10" s="110">
        <v>5.2083333333333301E-2</v>
      </c>
      <c r="CJ10" s="211">
        <f>'HVAC Appliances Austin'!CJ10</f>
        <v>347.75</v>
      </c>
      <c r="CK10" s="21"/>
      <c r="CL10" s="110">
        <v>5.2083333333333301E-2</v>
      </c>
      <c r="CM10" s="211">
        <f>'HVAC Appliances Austin'!CM10</f>
        <v>0</v>
      </c>
      <c r="CN10" s="110">
        <v>5.2083333333333301E-2</v>
      </c>
      <c r="CO10" s="211">
        <f>'HVAC Appliances Austin'!CO10</f>
        <v>0</v>
      </c>
      <c r="CP10" s="110">
        <v>5.2083333333333301E-2</v>
      </c>
      <c r="CQ10" s="211">
        <f>'HVAC Appliances Austin'!CQ10</f>
        <v>0</v>
      </c>
      <c r="CR10" s="21"/>
      <c r="CS10" s="110">
        <v>5.2083333333333301E-2</v>
      </c>
      <c r="CT10" s="211"/>
      <c r="CU10" s="21"/>
      <c r="CV10" s="110">
        <v>5.2083333333333301E-2</v>
      </c>
      <c r="CW10" s="264"/>
      <c r="CY10" s="260">
        <v>5.2083333333333301E-2</v>
      </c>
      <c r="CZ10" s="211">
        <f>'HVAC Appliances Austin'!CZ10</f>
        <v>277.54911111111113</v>
      </c>
      <c r="DA10" s="110">
        <v>5.2083333333333301E-2</v>
      </c>
      <c r="DB10" s="211">
        <f>'HVAC Appliances Austin'!DB10</f>
        <v>421.62588888888905</v>
      </c>
      <c r="DC10" s="110">
        <v>5.2083333333333301E-2</v>
      </c>
      <c r="DD10" s="211">
        <f>'HVAC Appliances Austin'!DD10</f>
        <v>578.8746666666666</v>
      </c>
      <c r="DE10" s="21"/>
      <c r="DF10" s="110">
        <v>5.2083333333333301E-2</v>
      </c>
      <c r="DG10" s="211">
        <f>'HVAC Appliances Austin'!DG10</f>
        <v>199.81900000000002</v>
      </c>
      <c r="DH10" s="110">
        <v>5.2083333333333301E-2</v>
      </c>
      <c r="DI10" s="211">
        <f>'HVAC Appliances Austin'!DI10</f>
        <v>262.58518750000002</v>
      </c>
      <c r="DJ10" s="110">
        <v>5.2083333333333301E-2</v>
      </c>
      <c r="DK10" s="211">
        <f>'HVAC Appliances Austin'!DK10</f>
        <v>305.45856249999969</v>
      </c>
      <c r="DL10" s="21"/>
      <c r="DM10" s="110">
        <v>5.2083333333333301E-2</v>
      </c>
      <c r="DN10" s="211">
        <f>'HVAC Appliances Austin'!DN10</f>
        <v>278.50599999999974</v>
      </c>
      <c r="DO10" s="110">
        <v>5.2083333333333301E-2</v>
      </c>
      <c r="DP10" s="211">
        <f>'HVAC Appliances Austin'!DP10</f>
        <v>391.74699999999962</v>
      </c>
      <c r="DQ10" s="110">
        <v>5.2083333333333301E-2</v>
      </c>
      <c r="DR10" s="211">
        <f>'HVAC Appliances Austin'!DR10</f>
        <v>472.00299999999993</v>
      </c>
      <c r="DS10" s="21"/>
      <c r="DT10" s="110">
        <v>5.2083333333333301E-2</v>
      </c>
      <c r="DU10" s="211">
        <f>'HVAC Appliances Austin'!DU10</f>
        <v>0</v>
      </c>
      <c r="DV10" s="110">
        <v>5.2083333333333301E-2</v>
      </c>
      <c r="DW10" s="211">
        <f>'HVAC Appliances Austin'!DW10</f>
        <v>0</v>
      </c>
      <c r="DX10" s="110">
        <v>5.2083333333333301E-2</v>
      </c>
      <c r="DY10" s="211">
        <f>'HVAC Appliances Austin'!DY10</f>
        <v>0</v>
      </c>
      <c r="DZ10" s="21"/>
      <c r="EA10" s="110">
        <v>5.2083333333333301E-2</v>
      </c>
      <c r="EB10" s="211">
        <f>'HVAC Appliances Amarillo'!EB10</f>
        <v>6900</v>
      </c>
      <c r="EC10" s="110">
        <v>5.2083333333333301E-2</v>
      </c>
      <c r="ED10" s="211">
        <f>'HVAC Appliances Amarillo'!ED10</f>
        <v>12300</v>
      </c>
      <c r="EE10" s="110">
        <v>5.2083333333333301E-2</v>
      </c>
      <c r="EF10" s="211">
        <f>'HVAC Appliances Amarillo'!EF10</f>
        <v>16000</v>
      </c>
      <c r="EG10" s="21"/>
      <c r="EH10" s="110">
        <v>5.2083333333333301E-2</v>
      </c>
      <c r="EI10" s="211">
        <f>'HVAC Appliances Austin'!EI10</f>
        <v>609.80000000000007</v>
      </c>
      <c r="EJ10" s="110">
        <v>5.2083333333333301E-2</v>
      </c>
      <c r="EK10" s="211">
        <f>'HVAC Appliances Austin'!EK10</f>
        <v>947.54444444444493</v>
      </c>
      <c r="EL10" s="110">
        <v>5.2083333333333301E-2</v>
      </c>
      <c r="EM10" s="211">
        <f>'HVAC Appliances Austin'!EM10</f>
        <v>1193.8333333333335</v>
      </c>
      <c r="EN10" s="21"/>
      <c r="EO10" s="110">
        <v>5.2083333333333301E-2</v>
      </c>
      <c r="EP10" s="211"/>
      <c r="EQ10" s="21"/>
      <c r="ER10" s="110">
        <v>5.2083333333333301E-2</v>
      </c>
      <c r="ES10" s="264"/>
      <c r="EU10" s="260">
        <v>5.2083333333333301E-2</v>
      </c>
      <c r="EV10" s="209">
        <f>'HVAC Appliances Amarillo'!EV10</f>
        <v>5400</v>
      </c>
      <c r="EW10" s="110">
        <v>5.2083333333333301E-2</v>
      </c>
      <c r="EX10" s="209">
        <f>'HVAC Appliances Amarillo'!EX10</f>
        <v>5400</v>
      </c>
      <c r="EY10" s="110">
        <v>5.2083333333333301E-2</v>
      </c>
      <c r="EZ10" s="308">
        <f>'HVAC Appliances Amarillo'!EZ10</f>
        <v>5400</v>
      </c>
    </row>
    <row r="11" spans="1:156" x14ac:dyDescent="0.3">
      <c r="A11" s="108">
        <v>5.2083333333333301E-2</v>
      </c>
      <c r="B11" s="226">
        <f t="shared" si="0"/>
        <v>0</v>
      </c>
      <c r="C11" s="21">
        <f t="shared" si="1"/>
        <v>347.75</v>
      </c>
      <c r="D11" s="20">
        <f t="shared" si="2"/>
        <v>16000</v>
      </c>
      <c r="E11" s="20">
        <f t="shared" si="3"/>
        <v>5400</v>
      </c>
      <c r="G11" s="260">
        <v>6.25E-2</v>
      </c>
      <c r="H11" s="211">
        <f>'HVAC Appliances Austin'!H11</f>
        <v>0</v>
      </c>
      <c r="I11" s="110">
        <v>6.25E-2</v>
      </c>
      <c r="J11" s="211">
        <f>'HVAC Appliances Austin'!J11</f>
        <v>0</v>
      </c>
      <c r="K11" s="110">
        <v>6.25E-2</v>
      </c>
      <c r="L11" s="211">
        <f>'HVAC Appliances Austin'!L11</f>
        <v>0</v>
      </c>
      <c r="M11" s="21"/>
      <c r="N11" s="110">
        <v>6.25E-2</v>
      </c>
      <c r="O11" s="211">
        <f>'HVAC Appliances Austin'!O11</f>
        <v>174.6618124999998</v>
      </c>
      <c r="P11" s="110">
        <v>6.25E-2</v>
      </c>
      <c r="Q11" s="211">
        <f>'HVAC Appliances Austin'!Q11</f>
        <v>234.39562499999988</v>
      </c>
      <c r="R11" s="110">
        <v>6.25E-2</v>
      </c>
      <c r="S11" s="211">
        <f>'HVAC Appliances Austin'!S11</f>
        <v>274.58174999999983</v>
      </c>
      <c r="T11" s="21"/>
      <c r="U11" s="110">
        <v>6.25E-2</v>
      </c>
      <c r="V11" s="211">
        <f>'HVAC Appliances Austin'!V11</f>
        <v>244.39099999999968</v>
      </c>
      <c r="W11" s="110">
        <v>6.25E-2</v>
      </c>
      <c r="X11" s="211">
        <f>'HVAC Appliances Austin'!X11</f>
        <v>350.03999999999945</v>
      </c>
      <c r="Y11" s="110">
        <v>6.25E-2</v>
      </c>
      <c r="Z11" s="211">
        <f>'HVAC Appliances Austin'!Z11</f>
        <v>421.48199999999878</v>
      </c>
      <c r="AA11" s="21"/>
      <c r="AB11" s="110">
        <v>6.25E-2</v>
      </c>
      <c r="AC11" s="211">
        <f>'HVAC Appliances Austin'!AC11</f>
        <v>56.699888888888886</v>
      </c>
      <c r="AD11" s="110">
        <v>6.25E-2</v>
      </c>
      <c r="AE11" s="211">
        <f>'HVAC Appliances Austin'!AE11</f>
        <v>43.68222222222218</v>
      </c>
      <c r="AF11" s="110">
        <v>6.25E-2</v>
      </c>
      <c r="AG11" s="211">
        <f>'HVAC Appliances Austin'!AG11</f>
        <v>43.924222222222028</v>
      </c>
      <c r="AH11" s="21"/>
      <c r="AI11" s="110">
        <v>6.25E-2</v>
      </c>
      <c r="AJ11" s="211">
        <f>'HVAC Appliances Austin'!AJ11</f>
        <v>0</v>
      </c>
      <c r="AK11" s="110">
        <v>6.25E-2</v>
      </c>
      <c r="AL11" s="211">
        <f>'HVAC Appliances Austin'!AL11</f>
        <v>0</v>
      </c>
      <c r="AM11" s="110">
        <v>6.25E-2</v>
      </c>
      <c r="AN11" s="211">
        <f>'HVAC Appliances Austin'!AN11</f>
        <v>0</v>
      </c>
      <c r="AO11" s="21"/>
      <c r="AP11" s="110">
        <v>6.25E-2</v>
      </c>
      <c r="AQ11" s="211">
        <f>'HVAC Appliances Austin'!AQ11</f>
        <v>563.68888888888898</v>
      </c>
      <c r="AR11" s="110">
        <v>6.25E-2</v>
      </c>
      <c r="AS11" s="211">
        <f>'HVAC Appliances Austin'!AS11</f>
        <v>885.92222222222313</v>
      </c>
      <c r="AT11" s="110">
        <v>6.25E-2</v>
      </c>
      <c r="AU11" s="211">
        <f>'HVAC Appliances Austin'!AU11</f>
        <v>1117.1222222222225</v>
      </c>
      <c r="AV11" s="21"/>
      <c r="AW11" s="110">
        <v>6.25E-2</v>
      </c>
      <c r="AX11" s="211"/>
      <c r="AY11" s="21"/>
      <c r="AZ11" s="110">
        <v>6.25E-2</v>
      </c>
      <c r="BA11" s="264"/>
      <c r="BC11" s="260">
        <v>6.25E-2</v>
      </c>
      <c r="BD11" s="211">
        <f>'HVAC Appliances Austin'!BD11</f>
        <v>29.523333333333341</v>
      </c>
      <c r="BE11" s="110">
        <v>6.25E-2</v>
      </c>
      <c r="BF11" s="211">
        <f>'HVAC Appliances Austin'!BF11</f>
        <v>48.753333333333345</v>
      </c>
      <c r="BG11" s="110">
        <v>6.25E-2</v>
      </c>
      <c r="BH11" s="211">
        <f>'HVAC Appliances Austin'!BH11</f>
        <v>67.333333333333357</v>
      </c>
      <c r="BI11" s="21"/>
      <c r="BJ11" s="110">
        <v>6.25E-2</v>
      </c>
      <c r="BK11" s="211">
        <f>'HVAC Appliances Austin'!BK11</f>
        <v>0</v>
      </c>
      <c r="BL11" s="110">
        <v>6.25E-2</v>
      </c>
      <c r="BM11" s="211">
        <f>'HVAC Appliances Austin'!BM11</f>
        <v>0</v>
      </c>
      <c r="BN11" s="110">
        <v>6.25E-2</v>
      </c>
      <c r="BO11" s="211">
        <f>'HVAC Appliances Austin'!BO11</f>
        <v>0</v>
      </c>
      <c r="BP11" s="21"/>
      <c r="BQ11" s="110">
        <v>6.25E-2</v>
      </c>
      <c r="BR11" s="211">
        <f>'HVAC Appliances Austin'!BR11</f>
        <v>0</v>
      </c>
      <c r="BS11" s="110">
        <v>6.25E-2</v>
      </c>
      <c r="BT11" s="211">
        <f>'HVAC Appliances Austin'!BT11</f>
        <v>0</v>
      </c>
      <c r="BU11" s="110">
        <v>6.25E-2</v>
      </c>
      <c r="BV11" s="211">
        <f>'HVAC Appliances Austin'!BV11</f>
        <v>0</v>
      </c>
      <c r="BW11" s="21"/>
      <c r="BX11" s="110">
        <v>6.25E-2</v>
      </c>
      <c r="BY11" s="211">
        <f>'HVAC Appliances Austin'!BY11</f>
        <v>0</v>
      </c>
      <c r="BZ11" s="110">
        <v>6.25E-2</v>
      </c>
      <c r="CA11" s="211">
        <f>'HVAC Appliances Austin'!CA11</f>
        <v>0</v>
      </c>
      <c r="CB11" s="110">
        <v>6.25E-2</v>
      </c>
      <c r="CC11" s="211">
        <f>'HVAC Appliances Austin'!CC11</f>
        <v>0</v>
      </c>
      <c r="CD11" s="21"/>
      <c r="CE11" s="110">
        <v>6.25E-2</v>
      </c>
      <c r="CF11" s="211">
        <f>'HVAC Appliances Austin'!CF11</f>
        <v>133.2775</v>
      </c>
      <c r="CG11" s="110">
        <v>6.25E-2</v>
      </c>
      <c r="CH11" s="211">
        <f>'HVAC Appliances Austin'!CH11</f>
        <v>261.87</v>
      </c>
      <c r="CI11" s="110">
        <v>6.25E-2</v>
      </c>
      <c r="CJ11" s="211">
        <f>'HVAC Appliances Austin'!CJ11</f>
        <v>347.75</v>
      </c>
      <c r="CK11" s="21"/>
      <c r="CL11" s="110">
        <v>6.25E-2</v>
      </c>
      <c r="CM11" s="211">
        <f>'HVAC Appliances Austin'!CM11</f>
        <v>0</v>
      </c>
      <c r="CN11" s="110">
        <v>6.25E-2</v>
      </c>
      <c r="CO11" s="211">
        <f>'HVAC Appliances Austin'!CO11</f>
        <v>0</v>
      </c>
      <c r="CP11" s="110">
        <v>6.25E-2</v>
      </c>
      <c r="CQ11" s="211">
        <f>'HVAC Appliances Austin'!CQ11</f>
        <v>0</v>
      </c>
      <c r="CR11" s="21"/>
      <c r="CS11" s="110">
        <v>6.25E-2</v>
      </c>
      <c r="CT11" s="211"/>
      <c r="CU11" s="21"/>
      <c r="CV11" s="110">
        <v>6.25E-2</v>
      </c>
      <c r="CW11" s="264"/>
      <c r="CY11" s="260">
        <v>6.25E-2</v>
      </c>
      <c r="CZ11" s="211">
        <f>'HVAC Appliances Austin'!CZ11</f>
        <v>277.54911111111113</v>
      </c>
      <c r="DA11" s="110">
        <v>6.25E-2</v>
      </c>
      <c r="DB11" s="211">
        <f>'HVAC Appliances Austin'!DB11</f>
        <v>421.62588888888905</v>
      </c>
      <c r="DC11" s="110">
        <v>6.25E-2</v>
      </c>
      <c r="DD11" s="211">
        <f>'HVAC Appliances Austin'!DD11</f>
        <v>578.8746666666666</v>
      </c>
      <c r="DE11" s="21"/>
      <c r="DF11" s="110">
        <v>6.25E-2</v>
      </c>
      <c r="DG11" s="211">
        <f>'HVAC Appliances Austin'!DG11</f>
        <v>199.81900000000002</v>
      </c>
      <c r="DH11" s="110">
        <v>6.25E-2</v>
      </c>
      <c r="DI11" s="211">
        <f>'HVAC Appliances Austin'!DI11</f>
        <v>262.58518750000002</v>
      </c>
      <c r="DJ11" s="110">
        <v>6.25E-2</v>
      </c>
      <c r="DK11" s="211">
        <f>'HVAC Appliances Austin'!DK11</f>
        <v>305.45856249999969</v>
      </c>
      <c r="DL11" s="21"/>
      <c r="DM11" s="110">
        <v>6.25E-2</v>
      </c>
      <c r="DN11" s="211">
        <f>'HVAC Appliances Austin'!DN11</f>
        <v>278.50599999999974</v>
      </c>
      <c r="DO11" s="110">
        <v>6.25E-2</v>
      </c>
      <c r="DP11" s="211">
        <f>'HVAC Appliances Austin'!DP11</f>
        <v>391.74699999999962</v>
      </c>
      <c r="DQ11" s="110">
        <v>6.25E-2</v>
      </c>
      <c r="DR11" s="211">
        <f>'HVAC Appliances Austin'!DR11</f>
        <v>472.00299999999993</v>
      </c>
      <c r="DS11" s="21"/>
      <c r="DT11" s="110">
        <v>6.25E-2</v>
      </c>
      <c r="DU11" s="211">
        <f>'HVAC Appliances Austin'!DU11</f>
        <v>0</v>
      </c>
      <c r="DV11" s="110">
        <v>6.25E-2</v>
      </c>
      <c r="DW11" s="211">
        <f>'HVAC Appliances Austin'!DW11</f>
        <v>0</v>
      </c>
      <c r="DX11" s="110">
        <v>6.25E-2</v>
      </c>
      <c r="DY11" s="211">
        <f>'HVAC Appliances Austin'!DY11</f>
        <v>0</v>
      </c>
      <c r="DZ11" s="21"/>
      <c r="EA11" s="110">
        <v>6.25E-2</v>
      </c>
      <c r="EB11" s="211">
        <f>'HVAC Appliances Amarillo'!EB11</f>
        <v>0</v>
      </c>
      <c r="EC11" s="110">
        <v>6.25E-2</v>
      </c>
      <c r="ED11" s="211">
        <f>'HVAC Appliances Amarillo'!ED11</f>
        <v>0</v>
      </c>
      <c r="EE11" s="110">
        <v>6.25E-2</v>
      </c>
      <c r="EF11" s="211">
        <f>'HVAC Appliances Amarillo'!EF11</f>
        <v>16000</v>
      </c>
      <c r="EG11" s="21"/>
      <c r="EH11" s="110">
        <v>6.25E-2</v>
      </c>
      <c r="EI11" s="211">
        <f>'HVAC Appliances Austin'!EI11</f>
        <v>609.80000000000007</v>
      </c>
      <c r="EJ11" s="110">
        <v>6.25E-2</v>
      </c>
      <c r="EK11" s="211">
        <f>'HVAC Appliances Austin'!EK11</f>
        <v>947.54444444444493</v>
      </c>
      <c r="EL11" s="110">
        <v>6.25E-2</v>
      </c>
      <c r="EM11" s="211">
        <f>'HVAC Appliances Austin'!EM11</f>
        <v>1193.8333333333335</v>
      </c>
      <c r="EN11" s="21"/>
      <c r="EO11" s="110">
        <v>6.25E-2</v>
      </c>
      <c r="EP11" s="211"/>
      <c r="EQ11" s="21"/>
      <c r="ER11" s="110">
        <v>6.25E-2</v>
      </c>
      <c r="ES11" s="264"/>
      <c r="EU11" s="260">
        <v>6.25E-2</v>
      </c>
      <c r="EV11" s="209">
        <f>'HVAC Appliances Amarillo'!EV11</f>
        <v>0</v>
      </c>
      <c r="EW11" s="110">
        <v>6.25E-2</v>
      </c>
      <c r="EX11" s="209">
        <f>'HVAC Appliances Amarillo'!EX11</f>
        <v>0</v>
      </c>
      <c r="EY11" s="110">
        <v>6.25E-2</v>
      </c>
      <c r="EZ11" s="308">
        <f>'HVAC Appliances Amarillo'!EZ11</f>
        <v>5400</v>
      </c>
    </row>
    <row r="12" spans="1:156" x14ac:dyDescent="0.3">
      <c r="A12" s="108">
        <v>6.25E-2</v>
      </c>
      <c r="B12" s="226">
        <f t="shared" si="0"/>
        <v>0</v>
      </c>
      <c r="C12" s="21">
        <f t="shared" si="1"/>
        <v>347.75</v>
      </c>
      <c r="D12" s="20">
        <f t="shared" si="2"/>
        <v>16000</v>
      </c>
      <c r="E12" s="20">
        <f t="shared" si="3"/>
        <v>5400</v>
      </c>
      <c r="G12" s="260">
        <v>7.2916666666666699E-2</v>
      </c>
      <c r="H12" s="211">
        <f>'HVAC Appliances Austin'!H12</f>
        <v>0</v>
      </c>
      <c r="I12" s="110">
        <v>7.2916666666666699E-2</v>
      </c>
      <c r="J12" s="211">
        <f>'HVAC Appliances Austin'!J12</f>
        <v>0</v>
      </c>
      <c r="K12" s="110">
        <v>7.2916666666666699E-2</v>
      </c>
      <c r="L12" s="211">
        <f>'HVAC Appliances Austin'!L12</f>
        <v>0</v>
      </c>
      <c r="M12" s="21"/>
      <c r="N12" s="110">
        <v>7.2916666666666699E-2</v>
      </c>
      <c r="O12" s="211">
        <f>'HVAC Appliances Austin'!O12</f>
        <v>174.6618124999998</v>
      </c>
      <c r="P12" s="110">
        <v>7.2916666666666699E-2</v>
      </c>
      <c r="Q12" s="211">
        <f>'HVAC Appliances Austin'!Q12</f>
        <v>234.39562499999988</v>
      </c>
      <c r="R12" s="110">
        <v>7.2916666666666699E-2</v>
      </c>
      <c r="S12" s="211">
        <f>'HVAC Appliances Austin'!S12</f>
        <v>274.58174999999983</v>
      </c>
      <c r="T12" s="21"/>
      <c r="U12" s="110">
        <v>7.2916666666666699E-2</v>
      </c>
      <c r="V12" s="211">
        <f>'HVAC Appliances Austin'!V12</f>
        <v>244.39099999999968</v>
      </c>
      <c r="W12" s="110">
        <v>7.2916666666666699E-2</v>
      </c>
      <c r="X12" s="211">
        <f>'HVAC Appliances Austin'!X12</f>
        <v>350.03999999999945</v>
      </c>
      <c r="Y12" s="110">
        <v>7.2916666666666699E-2</v>
      </c>
      <c r="Z12" s="211">
        <f>'HVAC Appliances Austin'!Z12</f>
        <v>421.48199999999878</v>
      </c>
      <c r="AA12" s="21"/>
      <c r="AB12" s="110">
        <v>7.2916666666666699E-2</v>
      </c>
      <c r="AC12" s="211">
        <f>'HVAC Appliances Austin'!AC12</f>
        <v>56.699888888888886</v>
      </c>
      <c r="AD12" s="110">
        <v>7.2916666666666699E-2</v>
      </c>
      <c r="AE12" s="211">
        <f>'HVAC Appliances Austin'!AE12</f>
        <v>43.68222222222218</v>
      </c>
      <c r="AF12" s="110">
        <v>7.2916666666666699E-2</v>
      </c>
      <c r="AG12" s="211">
        <f>'HVAC Appliances Austin'!AG12</f>
        <v>43.924222222222028</v>
      </c>
      <c r="AH12" s="21"/>
      <c r="AI12" s="110">
        <v>7.2916666666666699E-2</v>
      </c>
      <c r="AJ12" s="211">
        <f>'HVAC Appliances Austin'!AJ12</f>
        <v>0</v>
      </c>
      <c r="AK12" s="110">
        <v>7.2916666666666699E-2</v>
      </c>
      <c r="AL12" s="211">
        <f>'HVAC Appliances Austin'!AL12</f>
        <v>0</v>
      </c>
      <c r="AM12" s="110">
        <v>7.2916666666666699E-2</v>
      </c>
      <c r="AN12" s="211">
        <f>'HVAC Appliances Austin'!AN12</f>
        <v>0</v>
      </c>
      <c r="AO12" s="21"/>
      <c r="AP12" s="110">
        <v>7.2916666666666699E-2</v>
      </c>
      <c r="AQ12" s="211">
        <f>'HVAC Appliances Austin'!AQ12</f>
        <v>563.68888888888898</v>
      </c>
      <c r="AR12" s="110">
        <v>7.2916666666666699E-2</v>
      </c>
      <c r="AS12" s="211">
        <f>'HVAC Appliances Austin'!AS12</f>
        <v>885.92222222222313</v>
      </c>
      <c r="AT12" s="110">
        <v>7.2916666666666699E-2</v>
      </c>
      <c r="AU12" s="211">
        <f>'HVAC Appliances Austin'!AU12</f>
        <v>1117.1222222222225</v>
      </c>
      <c r="AV12" s="21"/>
      <c r="AW12" s="110">
        <v>7.2916666666666699E-2</v>
      </c>
      <c r="AX12" s="211"/>
      <c r="AY12" s="21"/>
      <c r="AZ12" s="110">
        <v>7.2916666666666699E-2</v>
      </c>
      <c r="BA12" s="264"/>
      <c r="BC12" s="260">
        <v>7.2916666666666699E-2</v>
      </c>
      <c r="BD12" s="211">
        <f>'HVAC Appliances Austin'!BD12</f>
        <v>29.523333333333341</v>
      </c>
      <c r="BE12" s="110">
        <v>7.2916666666666699E-2</v>
      </c>
      <c r="BF12" s="211">
        <f>'HVAC Appliances Austin'!BF12</f>
        <v>48.753333333333345</v>
      </c>
      <c r="BG12" s="110">
        <v>7.2916666666666699E-2</v>
      </c>
      <c r="BH12" s="211">
        <f>'HVAC Appliances Austin'!BH12</f>
        <v>67.333333333333357</v>
      </c>
      <c r="BI12" s="21"/>
      <c r="BJ12" s="110">
        <v>7.2916666666666699E-2</v>
      </c>
      <c r="BK12" s="211">
        <f>'HVAC Appliances Austin'!BK12</f>
        <v>0</v>
      </c>
      <c r="BL12" s="110">
        <v>7.2916666666666699E-2</v>
      </c>
      <c r="BM12" s="211">
        <f>'HVAC Appliances Austin'!BM12</f>
        <v>0</v>
      </c>
      <c r="BN12" s="110">
        <v>7.2916666666666699E-2</v>
      </c>
      <c r="BO12" s="211">
        <f>'HVAC Appliances Austin'!BO12</f>
        <v>0</v>
      </c>
      <c r="BP12" s="21"/>
      <c r="BQ12" s="110">
        <v>7.2916666666666699E-2</v>
      </c>
      <c r="BR12" s="211">
        <f>'HVAC Appliances Austin'!BR12</f>
        <v>0</v>
      </c>
      <c r="BS12" s="110">
        <v>7.2916666666666699E-2</v>
      </c>
      <c r="BT12" s="211">
        <f>'HVAC Appliances Austin'!BT12</f>
        <v>0</v>
      </c>
      <c r="BU12" s="110">
        <v>7.2916666666666699E-2</v>
      </c>
      <c r="BV12" s="211">
        <f>'HVAC Appliances Austin'!BV12</f>
        <v>0</v>
      </c>
      <c r="BW12" s="21"/>
      <c r="BX12" s="110">
        <v>7.2916666666666699E-2</v>
      </c>
      <c r="BY12" s="211">
        <f>'HVAC Appliances Austin'!BY12</f>
        <v>0</v>
      </c>
      <c r="BZ12" s="110">
        <v>7.2916666666666699E-2</v>
      </c>
      <c r="CA12" s="211">
        <f>'HVAC Appliances Austin'!CA12</f>
        <v>0</v>
      </c>
      <c r="CB12" s="110">
        <v>7.2916666666666699E-2</v>
      </c>
      <c r="CC12" s="211">
        <f>'HVAC Appliances Austin'!CC12</f>
        <v>0</v>
      </c>
      <c r="CD12" s="21"/>
      <c r="CE12" s="110">
        <v>7.2916666666666699E-2</v>
      </c>
      <c r="CF12" s="211">
        <f>'HVAC Appliances Austin'!CF12</f>
        <v>133.2775</v>
      </c>
      <c r="CG12" s="110">
        <v>7.2916666666666699E-2</v>
      </c>
      <c r="CH12" s="211">
        <f>'HVAC Appliances Austin'!CH12</f>
        <v>261.87</v>
      </c>
      <c r="CI12" s="110">
        <v>7.2916666666666699E-2</v>
      </c>
      <c r="CJ12" s="211">
        <f>'HVAC Appliances Austin'!CJ12</f>
        <v>347.75</v>
      </c>
      <c r="CK12" s="21"/>
      <c r="CL12" s="110">
        <v>7.2916666666666699E-2</v>
      </c>
      <c r="CM12" s="211">
        <f>'HVAC Appliances Austin'!CM12</f>
        <v>0</v>
      </c>
      <c r="CN12" s="110">
        <v>7.2916666666666699E-2</v>
      </c>
      <c r="CO12" s="211">
        <f>'HVAC Appliances Austin'!CO12</f>
        <v>0</v>
      </c>
      <c r="CP12" s="110">
        <v>7.2916666666666699E-2</v>
      </c>
      <c r="CQ12" s="211">
        <f>'HVAC Appliances Austin'!CQ12</f>
        <v>0</v>
      </c>
      <c r="CR12" s="21"/>
      <c r="CS12" s="110">
        <v>7.2916666666666699E-2</v>
      </c>
      <c r="CT12" s="211"/>
      <c r="CU12" s="21"/>
      <c r="CV12" s="110">
        <v>7.2916666666666699E-2</v>
      </c>
      <c r="CW12" s="264"/>
      <c r="CY12" s="260">
        <v>7.2916666666666699E-2</v>
      </c>
      <c r="CZ12" s="211">
        <f>'HVAC Appliances Austin'!CZ12</f>
        <v>277.54911111111113</v>
      </c>
      <c r="DA12" s="110">
        <v>7.2916666666666699E-2</v>
      </c>
      <c r="DB12" s="211">
        <f>'HVAC Appliances Austin'!DB12</f>
        <v>421.62588888888905</v>
      </c>
      <c r="DC12" s="110">
        <v>7.2916666666666699E-2</v>
      </c>
      <c r="DD12" s="211">
        <f>'HVAC Appliances Austin'!DD12</f>
        <v>578.8746666666666</v>
      </c>
      <c r="DE12" s="21"/>
      <c r="DF12" s="110">
        <v>7.2916666666666699E-2</v>
      </c>
      <c r="DG12" s="211">
        <f>'HVAC Appliances Austin'!DG12</f>
        <v>199.81900000000002</v>
      </c>
      <c r="DH12" s="110">
        <v>7.2916666666666699E-2</v>
      </c>
      <c r="DI12" s="211">
        <f>'HVAC Appliances Austin'!DI12</f>
        <v>262.58518750000002</v>
      </c>
      <c r="DJ12" s="110">
        <v>7.2916666666666699E-2</v>
      </c>
      <c r="DK12" s="211">
        <f>'HVAC Appliances Austin'!DK12</f>
        <v>305.45856249999969</v>
      </c>
      <c r="DL12" s="21"/>
      <c r="DM12" s="110">
        <v>7.2916666666666699E-2</v>
      </c>
      <c r="DN12" s="211">
        <f>'HVAC Appliances Austin'!DN12</f>
        <v>278.50599999999974</v>
      </c>
      <c r="DO12" s="110">
        <v>7.2916666666666699E-2</v>
      </c>
      <c r="DP12" s="211">
        <f>'HVAC Appliances Austin'!DP12</f>
        <v>391.74699999999962</v>
      </c>
      <c r="DQ12" s="110">
        <v>7.2916666666666699E-2</v>
      </c>
      <c r="DR12" s="211">
        <f>'HVAC Appliances Austin'!DR12</f>
        <v>472.00299999999993</v>
      </c>
      <c r="DS12" s="21"/>
      <c r="DT12" s="110">
        <v>7.2916666666666699E-2</v>
      </c>
      <c r="DU12" s="211">
        <f>'HVAC Appliances Austin'!DU12</f>
        <v>0</v>
      </c>
      <c r="DV12" s="110">
        <v>7.2916666666666699E-2</v>
      </c>
      <c r="DW12" s="211">
        <f>'HVAC Appliances Austin'!DW12</f>
        <v>0</v>
      </c>
      <c r="DX12" s="110">
        <v>7.2916666666666699E-2</v>
      </c>
      <c r="DY12" s="211">
        <f>'HVAC Appliances Austin'!DY12</f>
        <v>0</v>
      </c>
      <c r="DZ12" s="21"/>
      <c r="EA12" s="110">
        <v>7.2916666666666699E-2</v>
      </c>
      <c r="EB12" s="211">
        <f>'HVAC Appliances Amarillo'!EB12</f>
        <v>0</v>
      </c>
      <c r="EC12" s="110">
        <v>7.2916666666666699E-2</v>
      </c>
      <c r="ED12" s="211">
        <f>'HVAC Appliances Amarillo'!ED12</f>
        <v>0</v>
      </c>
      <c r="EE12" s="110">
        <v>7.2916666666666699E-2</v>
      </c>
      <c r="EF12" s="211">
        <f>'HVAC Appliances Amarillo'!EF12</f>
        <v>0</v>
      </c>
      <c r="EG12" s="21"/>
      <c r="EH12" s="110">
        <v>7.2916666666666699E-2</v>
      </c>
      <c r="EI12" s="211">
        <f>'HVAC Appliances Austin'!EI12</f>
        <v>609.80000000000007</v>
      </c>
      <c r="EJ12" s="110">
        <v>7.2916666666666699E-2</v>
      </c>
      <c r="EK12" s="211">
        <f>'HVAC Appliances Austin'!EK12</f>
        <v>947.54444444444493</v>
      </c>
      <c r="EL12" s="110">
        <v>7.2916666666666699E-2</v>
      </c>
      <c r="EM12" s="211">
        <f>'HVAC Appliances Austin'!EM12</f>
        <v>1193.8333333333335</v>
      </c>
      <c r="EN12" s="21"/>
      <c r="EO12" s="110">
        <v>7.2916666666666699E-2</v>
      </c>
      <c r="EP12" s="211"/>
      <c r="EQ12" s="21"/>
      <c r="ER12" s="110">
        <v>7.2916666666666699E-2</v>
      </c>
      <c r="ES12" s="264"/>
      <c r="EU12" s="260">
        <v>7.2916666666666699E-2</v>
      </c>
      <c r="EV12" s="209">
        <f>'HVAC Appliances Amarillo'!EV12</f>
        <v>0</v>
      </c>
      <c r="EW12" s="110">
        <v>7.2916666666666699E-2</v>
      </c>
      <c r="EX12" s="209">
        <f>'HVAC Appliances Amarillo'!EX12</f>
        <v>0</v>
      </c>
      <c r="EY12" s="110">
        <v>7.2916666666666699E-2</v>
      </c>
      <c r="EZ12" s="308">
        <f>'HVAC Appliances Amarillo'!EZ12</f>
        <v>0</v>
      </c>
    </row>
    <row r="13" spans="1:156" x14ac:dyDescent="0.3">
      <c r="A13" s="108">
        <v>7.2916666666666699E-2</v>
      </c>
      <c r="B13" s="226">
        <f t="shared" si="0"/>
        <v>0</v>
      </c>
      <c r="C13" s="21">
        <f t="shared" si="1"/>
        <v>347.75</v>
      </c>
      <c r="D13" s="20">
        <f t="shared" si="2"/>
        <v>0</v>
      </c>
      <c r="E13" s="20">
        <f t="shared" si="3"/>
        <v>0</v>
      </c>
      <c r="G13" s="260">
        <v>8.3333333333333301E-2</v>
      </c>
      <c r="H13" s="211">
        <f>'HVAC Appliances Austin'!H13</f>
        <v>0</v>
      </c>
      <c r="I13" s="110">
        <v>8.3333333333333301E-2</v>
      </c>
      <c r="J13" s="211">
        <f>'HVAC Appliances Austin'!J13</f>
        <v>0</v>
      </c>
      <c r="K13" s="110">
        <v>8.3333333333333301E-2</v>
      </c>
      <c r="L13" s="211">
        <f>'HVAC Appliances Austin'!L13</f>
        <v>0</v>
      </c>
      <c r="M13" s="21"/>
      <c r="N13" s="110">
        <v>8.3333333333333301E-2</v>
      </c>
      <c r="O13" s="211">
        <f>'HVAC Appliances Austin'!O13</f>
        <v>152.18488888888871</v>
      </c>
      <c r="P13" s="110">
        <v>8.3333333333333301E-2</v>
      </c>
      <c r="Q13" s="211">
        <f>'HVAC Appliances Austin'!Q13</f>
        <v>197.36222222222244</v>
      </c>
      <c r="R13" s="110">
        <v>8.3333333333333301E-2</v>
      </c>
      <c r="S13" s="211">
        <f>'HVAC Appliances Austin'!S13</f>
        <v>228.11422222222211</v>
      </c>
      <c r="T13" s="21"/>
      <c r="U13" s="110">
        <v>8.3333333333333301E-2</v>
      </c>
      <c r="V13" s="211">
        <f>'HVAC Appliances Austin'!V13</f>
        <v>244.39099999999968</v>
      </c>
      <c r="W13" s="110">
        <v>8.3333333333333301E-2</v>
      </c>
      <c r="X13" s="211">
        <f>'HVAC Appliances Austin'!X13</f>
        <v>350.03999999999945</v>
      </c>
      <c r="Y13" s="110">
        <v>8.3333333333333301E-2</v>
      </c>
      <c r="Z13" s="211">
        <f>'HVAC Appliances Austin'!Z13</f>
        <v>421.48199999999878</v>
      </c>
      <c r="AA13" s="21"/>
      <c r="AB13" s="110">
        <v>8.3333333333333301E-2</v>
      </c>
      <c r="AC13" s="211">
        <f>'HVAC Appliances Austin'!AC13</f>
        <v>54.375999999999756</v>
      </c>
      <c r="AD13" s="110">
        <v>8.3333333333333301E-2</v>
      </c>
      <c r="AE13" s="211">
        <f>'HVAC Appliances Austin'!AE13</f>
        <v>40.159999999999755</v>
      </c>
      <c r="AF13" s="110">
        <v>8.3333333333333301E-2</v>
      </c>
      <c r="AG13" s="211">
        <f>'HVAC Appliances Austin'!AG13</f>
        <v>40.231999999999601</v>
      </c>
      <c r="AH13" s="21"/>
      <c r="AI13" s="110">
        <v>8.3333333333333301E-2</v>
      </c>
      <c r="AJ13" s="211">
        <f>'HVAC Appliances Austin'!AJ13</f>
        <v>0</v>
      </c>
      <c r="AK13" s="110">
        <v>8.3333333333333301E-2</v>
      </c>
      <c r="AL13" s="211">
        <f>'HVAC Appliances Austin'!AL13</f>
        <v>0</v>
      </c>
      <c r="AM13" s="110">
        <v>8.3333333333333301E-2</v>
      </c>
      <c r="AN13" s="211">
        <f>'HVAC Appliances Austin'!AN13</f>
        <v>0</v>
      </c>
      <c r="AO13" s="21"/>
      <c r="AP13" s="110">
        <v>8.3333333333333301E-2</v>
      </c>
      <c r="AQ13" s="211">
        <f>'HVAC Appliances Austin'!AQ13</f>
        <v>433.1883680555556</v>
      </c>
      <c r="AR13" s="110">
        <v>8.3333333333333301E-2</v>
      </c>
      <c r="AS13" s="211">
        <f>'HVAC Appliances Austin'!AS13</f>
        <v>666.12951388888939</v>
      </c>
      <c r="AT13" s="110">
        <v>8.3333333333333301E-2</v>
      </c>
      <c r="AU13" s="211">
        <f>'HVAC Appliances Austin'!AU13</f>
        <v>830.00763888888912</v>
      </c>
      <c r="AV13" s="21"/>
      <c r="AW13" s="110">
        <v>8.3333333333333301E-2</v>
      </c>
      <c r="AX13" s="211"/>
      <c r="AY13" s="21"/>
      <c r="AZ13" s="110">
        <v>8.3333333333333301E-2</v>
      </c>
      <c r="BA13" s="264"/>
      <c r="BC13" s="260">
        <v>8.3333333333333301E-2</v>
      </c>
      <c r="BD13" s="211">
        <f>'HVAC Appliances Austin'!BD13</f>
        <v>35.69</v>
      </c>
      <c r="BE13" s="110">
        <v>8.3333333333333301E-2</v>
      </c>
      <c r="BF13" s="211">
        <f>'HVAC Appliances Austin'!BF13</f>
        <v>61.42</v>
      </c>
      <c r="BG13" s="110">
        <v>8.3333333333333301E-2</v>
      </c>
      <c r="BH13" s="211">
        <f>'HVAC Appliances Austin'!BH13</f>
        <v>84.000000000000014</v>
      </c>
      <c r="BI13" s="21"/>
      <c r="BJ13" s="110">
        <v>8.3333333333333301E-2</v>
      </c>
      <c r="BK13" s="211">
        <f>'HVAC Appliances Austin'!BK13</f>
        <v>0</v>
      </c>
      <c r="BL13" s="110">
        <v>8.3333333333333301E-2</v>
      </c>
      <c r="BM13" s="211">
        <f>'HVAC Appliances Austin'!BM13</f>
        <v>0</v>
      </c>
      <c r="BN13" s="110">
        <v>8.3333333333333301E-2</v>
      </c>
      <c r="BO13" s="211">
        <f>'HVAC Appliances Austin'!BO13</f>
        <v>0</v>
      </c>
      <c r="BP13" s="21"/>
      <c r="BQ13" s="110">
        <v>8.3333333333333301E-2</v>
      </c>
      <c r="BR13" s="211">
        <f>'HVAC Appliances Austin'!BR13</f>
        <v>0</v>
      </c>
      <c r="BS13" s="110">
        <v>8.3333333333333301E-2</v>
      </c>
      <c r="BT13" s="211">
        <f>'HVAC Appliances Austin'!BT13</f>
        <v>0</v>
      </c>
      <c r="BU13" s="110">
        <v>8.3333333333333301E-2</v>
      </c>
      <c r="BV13" s="211">
        <f>'HVAC Appliances Austin'!BV13</f>
        <v>0</v>
      </c>
      <c r="BW13" s="21"/>
      <c r="BX13" s="110">
        <v>8.3333333333333301E-2</v>
      </c>
      <c r="BY13" s="211">
        <f>'HVAC Appliances Austin'!BY13</f>
        <v>0</v>
      </c>
      <c r="BZ13" s="110">
        <v>8.3333333333333301E-2</v>
      </c>
      <c r="CA13" s="211">
        <f>'HVAC Appliances Austin'!CA13</f>
        <v>0</v>
      </c>
      <c r="CB13" s="110">
        <v>8.3333333333333301E-2</v>
      </c>
      <c r="CC13" s="211">
        <f>'HVAC Appliances Austin'!CC13</f>
        <v>0</v>
      </c>
      <c r="CD13" s="21"/>
      <c r="CE13" s="110">
        <v>8.3333333333333301E-2</v>
      </c>
      <c r="CF13" s="211">
        <f>'HVAC Appliances Austin'!CF13</f>
        <v>132.87666666666667</v>
      </c>
      <c r="CG13" s="110">
        <v>8.3333333333333301E-2</v>
      </c>
      <c r="CH13" s="211">
        <f>'HVAC Appliances Austin'!CH13</f>
        <v>261.04666666666662</v>
      </c>
      <c r="CI13" s="110">
        <v>8.3333333333333301E-2</v>
      </c>
      <c r="CJ13" s="211">
        <f>'HVAC Appliances Austin'!CJ13</f>
        <v>346.66666666666669</v>
      </c>
      <c r="CK13" s="21"/>
      <c r="CL13" s="110">
        <v>8.3333333333333301E-2</v>
      </c>
      <c r="CM13" s="211">
        <f>'HVAC Appliances Austin'!CM13</f>
        <v>0</v>
      </c>
      <c r="CN13" s="110">
        <v>8.3333333333333301E-2</v>
      </c>
      <c r="CO13" s="211">
        <f>'HVAC Appliances Austin'!CO13</f>
        <v>0</v>
      </c>
      <c r="CP13" s="110">
        <v>8.3333333333333301E-2</v>
      </c>
      <c r="CQ13" s="211">
        <f>'HVAC Appliances Austin'!CQ13</f>
        <v>0</v>
      </c>
      <c r="CR13" s="21"/>
      <c r="CS13" s="110">
        <v>8.3333333333333301E-2</v>
      </c>
      <c r="CT13" s="211"/>
      <c r="CU13" s="21"/>
      <c r="CV13" s="110">
        <v>8.3333333333333301E-2</v>
      </c>
      <c r="CW13" s="264"/>
      <c r="CY13" s="260">
        <v>8.3333333333333301E-2</v>
      </c>
      <c r="CZ13" s="211">
        <f>'HVAC Appliances Austin'!CZ13</f>
        <v>356.23800000000006</v>
      </c>
      <c r="DA13" s="110">
        <v>8.3333333333333301E-2</v>
      </c>
      <c r="DB13" s="211">
        <f>'HVAC Appliances Austin'!DB13</f>
        <v>572.93700000000001</v>
      </c>
      <c r="DC13" s="110">
        <v>8.3333333333333301E-2</v>
      </c>
      <c r="DD13" s="211">
        <f>'HVAC Appliances Austin'!DD13</f>
        <v>783.00800000000015</v>
      </c>
      <c r="DE13" s="21"/>
      <c r="DF13" s="110">
        <v>8.3333333333333301E-2</v>
      </c>
      <c r="DG13" s="211">
        <f>'HVAC Appliances Austin'!DG13</f>
        <v>173.33600000000021</v>
      </c>
      <c r="DH13" s="110">
        <v>8.3333333333333301E-2</v>
      </c>
      <c r="DI13" s="211">
        <f>'HVAC Appliances Austin'!DI13</f>
        <v>219.57644444444435</v>
      </c>
      <c r="DJ13" s="110">
        <v>8.3333333333333301E-2</v>
      </c>
      <c r="DK13" s="211">
        <f>'HVAC Appliances Austin'!DK13</f>
        <v>250.20133333333351</v>
      </c>
      <c r="DL13" s="21"/>
      <c r="DM13" s="110">
        <v>8.3333333333333301E-2</v>
      </c>
      <c r="DN13" s="211">
        <f>'HVAC Appliances Austin'!DN13</f>
        <v>278.50599999999974</v>
      </c>
      <c r="DO13" s="110">
        <v>8.3333333333333301E-2</v>
      </c>
      <c r="DP13" s="211">
        <f>'HVAC Appliances Austin'!DP13</f>
        <v>391.74699999999962</v>
      </c>
      <c r="DQ13" s="110">
        <v>8.3333333333333301E-2</v>
      </c>
      <c r="DR13" s="211">
        <f>'HVAC Appliances Austin'!DR13</f>
        <v>472.00299999999993</v>
      </c>
      <c r="DS13" s="21"/>
      <c r="DT13" s="110">
        <v>8.3333333333333301E-2</v>
      </c>
      <c r="DU13" s="211">
        <f>'HVAC Appliances Austin'!DU13</f>
        <v>0</v>
      </c>
      <c r="DV13" s="110">
        <v>8.3333333333333301E-2</v>
      </c>
      <c r="DW13" s="211">
        <f>'HVAC Appliances Austin'!DW13</f>
        <v>0</v>
      </c>
      <c r="DX13" s="110">
        <v>8.3333333333333301E-2</v>
      </c>
      <c r="DY13" s="211">
        <f>'HVAC Appliances Austin'!DY13</f>
        <v>0</v>
      </c>
      <c r="DZ13" s="21"/>
      <c r="EA13" s="110">
        <v>8.3333333333333301E-2</v>
      </c>
      <c r="EB13" s="211">
        <f>'HVAC Appliances Amarillo'!EB13</f>
        <v>6900</v>
      </c>
      <c r="EC13" s="110">
        <v>8.3333333333333301E-2</v>
      </c>
      <c r="ED13" s="211">
        <f>'HVAC Appliances Amarillo'!ED13</f>
        <v>12300</v>
      </c>
      <c r="EE13" s="110">
        <v>8.3333333333333301E-2</v>
      </c>
      <c r="EF13" s="211">
        <f>'HVAC Appliances Amarillo'!EF13</f>
        <v>16000</v>
      </c>
      <c r="EG13" s="21"/>
      <c r="EH13" s="110">
        <v>8.3333333333333301E-2</v>
      </c>
      <c r="EI13" s="211">
        <f>'HVAC Appliances Austin'!EI13</f>
        <v>477.93333333333362</v>
      </c>
      <c r="EJ13" s="110">
        <v>8.3333333333333301E-2</v>
      </c>
      <c r="EK13" s="211">
        <f>'HVAC Appliances Austin'!EK13</f>
        <v>724.72829861111165</v>
      </c>
      <c r="EL13" s="110">
        <v>8.3333333333333301E-2</v>
      </c>
      <c r="EM13" s="211">
        <f>'HVAC Appliances Austin'!EM13</f>
        <v>903.78489583333408</v>
      </c>
      <c r="EN13" s="21"/>
      <c r="EO13" s="110">
        <v>8.3333333333333301E-2</v>
      </c>
      <c r="EP13" s="211"/>
      <c r="EQ13" s="21"/>
      <c r="ER13" s="110">
        <v>8.3333333333333301E-2</v>
      </c>
      <c r="ES13" s="264"/>
      <c r="EU13" s="260">
        <v>8.3333333333333301E-2</v>
      </c>
      <c r="EV13" s="209">
        <f>'HVAC Appliances Amarillo'!EV13</f>
        <v>5400</v>
      </c>
      <c r="EW13" s="110">
        <v>8.3333333333333301E-2</v>
      </c>
      <c r="EX13" s="209">
        <f>'HVAC Appliances Amarillo'!EX13</f>
        <v>5400</v>
      </c>
      <c r="EY13" s="110">
        <v>8.3333333333333301E-2</v>
      </c>
      <c r="EZ13" s="308">
        <f>'HVAC Appliances Amarillo'!EZ13</f>
        <v>5400</v>
      </c>
    </row>
    <row r="14" spans="1:156" x14ac:dyDescent="0.3">
      <c r="A14" s="108">
        <v>8.3333333333333301E-2</v>
      </c>
      <c r="B14" s="226">
        <f t="shared" si="0"/>
        <v>0</v>
      </c>
      <c r="C14" s="21">
        <f t="shared" si="1"/>
        <v>346.66666666666669</v>
      </c>
      <c r="D14" s="20">
        <f t="shared" si="2"/>
        <v>16000</v>
      </c>
      <c r="E14" s="20">
        <f t="shared" si="3"/>
        <v>5400</v>
      </c>
      <c r="G14" s="260">
        <v>9.375E-2</v>
      </c>
      <c r="H14" s="211">
        <f>'HVAC Appliances Austin'!H14</f>
        <v>0</v>
      </c>
      <c r="I14" s="110">
        <v>9.375E-2</v>
      </c>
      <c r="J14" s="211">
        <f>'HVAC Appliances Austin'!J14</f>
        <v>0</v>
      </c>
      <c r="K14" s="110">
        <v>9.375E-2</v>
      </c>
      <c r="L14" s="211">
        <f>'HVAC Appliances Austin'!L14</f>
        <v>0</v>
      </c>
      <c r="M14" s="21"/>
      <c r="N14" s="110">
        <v>9.375E-2</v>
      </c>
      <c r="O14" s="211">
        <f>'HVAC Appliances Austin'!O14</f>
        <v>152.18488888888871</v>
      </c>
      <c r="P14" s="110">
        <v>9.375E-2</v>
      </c>
      <c r="Q14" s="211">
        <f>'HVAC Appliances Austin'!Q14</f>
        <v>197.36222222222244</v>
      </c>
      <c r="R14" s="110">
        <v>9.375E-2</v>
      </c>
      <c r="S14" s="211">
        <f>'HVAC Appliances Austin'!S14</f>
        <v>228.11422222222211</v>
      </c>
      <c r="T14" s="21"/>
      <c r="U14" s="110">
        <v>9.375E-2</v>
      </c>
      <c r="V14" s="211">
        <f>'HVAC Appliances Austin'!V14</f>
        <v>244.39099999999968</v>
      </c>
      <c r="W14" s="110">
        <v>9.375E-2</v>
      </c>
      <c r="X14" s="211">
        <f>'HVAC Appliances Austin'!X14</f>
        <v>350.03999999999945</v>
      </c>
      <c r="Y14" s="110">
        <v>9.375E-2</v>
      </c>
      <c r="Z14" s="211">
        <f>'HVAC Appliances Austin'!Z14</f>
        <v>421.48199999999878</v>
      </c>
      <c r="AA14" s="21"/>
      <c r="AB14" s="110">
        <v>9.375E-2</v>
      </c>
      <c r="AC14" s="211">
        <f>'HVAC Appliances Austin'!AC14</f>
        <v>54.375999999999756</v>
      </c>
      <c r="AD14" s="110">
        <v>9.375E-2</v>
      </c>
      <c r="AE14" s="211">
        <f>'HVAC Appliances Austin'!AE14</f>
        <v>40.159999999999755</v>
      </c>
      <c r="AF14" s="110">
        <v>9.375E-2</v>
      </c>
      <c r="AG14" s="211">
        <f>'HVAC Appliances Austin'!AG14</f>
        <v>40.231999999999601</v>
      </c>
      <c r="AH14" s="21"/>
      <c r="AI14" s="110">
        <v>9.375E-2</v>
      </c>
      <c r="AJ14" s="211">
        <f>'HVAC Appliances Austin'!AJ14</f>
        <v>0</v>
      </c>
      <c r="AK14" s="110">
        <v>9.375E-2</v>
      </c>
      <c r="AL14" s="211">
        <f>'HVAC Appliances Austin'!AL14</f>
        <v>0</v>
      </c>
      <c r="AM14" s="110">
        <v>9.375E-2</v>
      </c>
      <c r="AN14" s="211">
        <f>'HVAC Appliances Austin'!AN14</f>
        <v>0</v>
      </c>
      <c r="AO14" s="21"/>
      <c r="AP14" s="110">
        <v>9.375E-2</v>
      </c>
      <c r="AQ14" s="211">
        <f>'HVAC Appliances Austin'!AQ14</f>
        <v>433.1883680555556</v>
      </c>
      <c r="AR14" s="110">
        <v>9.375E-2</v>
      </c>
      <c r="AS14" s="211">
        <f>'HVAC Appliances Austin'!AS14</f>
        <v>666.12951388888939</v>
      </c>
      <c r="AT14" s="110">
        <v>9.375E-2</v>
      </c>
      <c r="AU14" s="211">
        <f>'HVAC Appliances Austin'!AU14</f>
        <v>830.00763888888912</v>
      </c>
      <c r="AV14" s="21"/>
      <c r="AW14" s="110">
        <v>9.375E-2</v>
      </c>
      <c r="AX14" s="211"/>
      <c r="AY14" s="21"/>
      <c r="AZ14" s="110">
        <v>9.375E-2</v>
      </c>
      <c r="BA14" s="264"/>
      <c r="BC14" s="260">
        <v>9.375E-2</v>
      </c>
      <c r="BD14" s="211">
        <f>'HVAC Appliances Austin'!BD14</f>
        <v>35.69</v>
      </c>
      <c r="BE14" s="110">
        <v>9.375E-2</v>
      </c>
      <c r="BF14" s="211">
        <f>'HVAC Appliances Austin'!BF14</f>
        <v>61.42</v>
      </c>
      <c r="BG14" s="110">
        <v>9.375E-2</v>
      </c>
      <c r="BH14" s="211">
        <f>'HVAC Appliances Austin'!BH14</f>
        <v>84.000000000000014</v>
      </c>
      <c r="BI14" s="21"/>
      <c r="BJ14" s="110">
        <v>9.375E-2</v>
      </c>
      <c r="BK14" s="211">
        <f>'HVAC Appliances Austin'!BK14</f>
        <v>0</v>
      </c>
      <c r="BL14" s="110">
        <v>9.375E-2</v>
      </c>
      <c r="BM14" s="211">
        <f>'HVAC Appliances Austin'!BM14</f>
        <v>0</v>
      </c>
      <c r="BN14" s="110">
        <v>9.375E-2</v>
      </c>
      <c r="BO14" s="211">
        <f>'HVAC Appliances Austin'!BO14</f>
        <v>0</v>
      </c>
      <c r="BP14" s="21"/>
      <c r="BQ14" s="110">
        <v>9.375E-2</v>
      </c>
      <c r="BR14" s="211">
        <f>'HVAC Appliances Austin'!BR14</f>
        <v>0</v>
      </c>
      <c r="BS14" s="110">
        <v>9.375E-2</v>
      </c>
      <c r="BT14" s="211">
        <f>'HVAC Appliances Austin'!BT14</f>
        <v>0</v>
      </c>
      <c r="BU14" s="110">
        <v>9.375E-2</v>
      </c>
      <c r="BV14" s="211">
        <f>'HVAC Appliances Austin'!BV14</f>
        <v>0</v>
      </c>
      <c r="BW14" s="21"/>
      <c r="BX14" s="110">
        <v>9.375E-2</v>
      </c>
      <c r="BY14" s="211">
        <f>'HVAC Appliances Austin'!BY14</f>
        <v>0</v>
      </c>
      <c r="BZ14" s="110">
        <v>9.375E-2</v>
      </c>
      <c r="CA14" s="211">
        <f>'HVAC Appliances Austin'!CA14</f>
        <v>0</v>
      </c>
      <c r="CB14" s="110">
        <v>9.375E-2</v>
      </c>
      <c r="CC14" s="211">
        <f>'HVAC Appliances Austin'!CC14</f>
        <v>0</v>
      </c>
      <c r="CD14" s="21"/>
      <c r="CE14" s="110">
        <v>9.375E-2</v>
      </c>
      <c r="CF14" s="211">
        <f>'HVAC Appliances Austin'!CF14</f>
        <v>132.87666666666667</v>
      </c>
      <c r="CG14" s="110">
        <v>9.375E-2</v>
      </c>
      <c r="CH14" s="211">
        <f>'HVAC Appliances Austin'!CH14</f>
        <v>261.04666666666662</v>
      </c>
      <c r="CI14" s="110">
        <v>9.375E-2</v>
      </c>
      <c r="CJ14" s="211">
        <f>'HVAC Appliances Austin'!CJ14</f>
        <v>346.66666666666669</v>
      </c>
      <c r="CK14" s="21"/>
      <c r="CL14" s="110">
        <v>9.375E-2</v>
      </c>
      <c r="CM14" s="211">
        <f>'HVAC Appliances Austin'!CM14</f>
        <v>0</v>
      </c>
      <c r="CN14" s="110">
        <v>9.375E-2</v>
      </c>
      <c r="CO14" s="211">
        <f>'HVAC Appliances Austin'!CO14</f>
        <v>0</v>
      </c>
      <c r="CP14" s="110">
        <v>9.375E-2</v>
      </c>
      <c r="CQ14" s="211">
        <f>'HVAC Appliances Austin'!CQ14</f>
        <v>0</v>
      </c>
      <c r="CR14" s="21"/>
      <c r="CS14" s="110">
        <v>9.375E-2</v>
      </c>
      <c r="CT14" s="211"/>
      <c r="CU14" s="21"/>
      <c r="CV14" s="110">
        <v>9.375E-2</v>
      </c>
      <c r="CW14" s="264"/>
      <c r="CY14" s="260">
        <v>9.375E-2</v>
      </c>
      <c r="CZ14" s="211">
        <f>'HVAC Appliances Austin'!CZ14</f>
        <v>356.23800000000006</v>
      </c>
      <c r="DA14" s="110">
        <v>9.375E-2</v>
      </c>
      <c r="DB14" s="211">
        <f>'HVAC Appliances Austin'!DB14</f>
        <v>572.93700000000001</v>
      </c>
      <c r="DC14" s="110">
        <v>9.375E-2</v>
      </c>
      <c r="DD14" s="211">
        <f>'HVAC Appliances Austin'!DD14</f>
        <v>783.00800000000015</v>
      </c>
      <c r="DE14" s="21"/>
      <c r="DF14" s="110">
        <v>9.375E-2</v>
      </c>
      <c r="DG14" s="211">
        <f>'HVAC Appliances Austin'!DG14</f>
        <v>173.33600000000021</v>
      </c>
      <c r="DH14" s="110">
        <v>9.375E-2</v>
      </c>
      <c r="DI14" s="211">
        <f>'HVAC Appliances Austin'!DI14</f>
        <v>219.57644444444435</v>
      </c>
      <c r="DJ14" s="110">
        <v>9.375E-2</v>
      </c>
      <c r="DK14" s="211">
        <f>'HVAC Appliances Austin'!DK14</f>
        <v>250.20133333333351</v>
      </c>
      <c r="DL14" s="21"/>
      <c r="DM14" s="110">
        <v>9.375E-2</v>
      </c>
      <c r="DN14" s="211">
        <f>'HVAC Appliances Austin'!DN14</f>
        <v>278.50599999999974</v>
      </c>
      <c r="DO14" s="110">
        <v>9.375E-2</v>
      </c>
      <c r="DP14" s="211">
        <f>'HVAC Appliances Austin'!DP14</f>
        <v>391.74699999999962</v>
      </c>
      <c r="DQ14" s="110">
        <v>9.375E-2</v>
      </c>
      <c r="DR14" s="211">
        <f>'HVAC Appliances Austin'!DR14</f>
        <v>472.00299999999993</v>
      </c>
      <c r="DS14" s="21"/>
      <c r="DT14" s="110">
        <v>9.375E-2</v>
      </c>
      <c r="DU14" s="211">
        <f>'HVAC Appliances Austin'!DU14</f>
        <v>0</v>
      </c>
      <c r="DV14" s="110">
        <v>9.375E-2</v>
      </c>
      <c r="DW14" s="211">
        <f>'HVAC Appliances Austin'!DW14</f>
        <v>0</v>
      </c>
      <c r="DX14" s="110">
        <v>9.375E-2</v>
      </c>
      <c r="DY14" s="211">
        <f>'HVAC Appliances Austin'!DY14</f>
        <v>0</v>
      </c>
      <c r="DZ14" s="21"/>
      <c r="EA14" s="110">
        <v>9.375E-2</v>
      </c>
      <c r="EB14" s="211">
        <f>'HVAC Appliances Amarillo'!EB14</f>
        <v>6900</v>
      </c>
      <c r="EC14" s="110">
        <v>9.375E-2</v>
      </c>
      <c r="ED14" s="211">
        <f>'HVAC Appliances Amarillo'!ED14</f>
        <v>12300</v>
      </c>
      <c r="EE14" s="110">
        <v>9.375E-2</v>
      </c>
      <c r="EF14" s="211">
        <f>'HVAC Appliances Amarillo'!EF14</f>
        <v>16000</v>
      </c>
      <c r="EG14" s="21"/>
      <c r="EH14" s="110">
        <v>9.375E-2</v>
      </c>
      <c r="EI14" s="211">
        <f>'HVAC Appliances Austin'!EI14</f>
        <v>477.93333333333362</v>
      </c>
      <c r="EJ14" s="110">
        <v>9.375E-2</v>
      </c>
      <c r="EK14" s="211">
        <f>'HVAC Appliances Austin'!EK14</f>
        <v>724.72829861111165</v>
      </c>
      <c r="EL14" s="110">
        <v>9.375E-2</v>
      </c>
      <c r="EM14" s="211">
        <f>'HVAC Appliances Austin'!EM14</f>
        <v>903.78489583333408</v>
      </c>
      <c r="EN14" s="21"/>
      <c r="EO14" s="110">
        <v>9.375E-2</v>
      </c>
      <c r="EP14" s="211"/>
      <c r="EQ14" s="21"/>
      <c r="ER14" s="110">
        <v>9.375E-2</v>
      </c>
      <c r="ES14" s="264"/>
      <c r="EU14" s="260">
        <v>9.375E-2</v>
      </c>
      <c r="EV14" s="209">
        <f>'HVAC Appliances Amarillo'!EV14</f>
        <v>5400</v>
      </c>
      <c r="EW14" s="110">
        <v>9.375E-2</v>
      </c>
      <c r="EX14" s="209">
        <f>'HVAC Appliances Amarillo'!EX14</f>
        <v>5400</v>
      </c>
      <c r="EY14" s="110">
        <v>9.375E-2</v>
      </c>
      <c r="EZ14" s="308">
        <f>'HVAC Appliances Amarillo'!EZ14</f>
        <v>5400</v>
      </c>
    </row>
    <row r="15" spans="1:156" x14ac:dyDescent="0.3">
      <c r="A15" s="108">
        <v>9.375E-2</v>
      </c>
      <c r="B15" s="226">
        <f t="shared" si="0"/>
        <v>0</v>
      </c>
      <c r="C15" s="21">
        <f t="shared" si="1"/>
        <v>346.66666666666669</v>
      </c>
      <c r="D15" s="20">
        <f t="shared" si="2"/>
        <v>16000</v>
      </c>
      <c r="E15" s="20">
        <f t="shared" si="3"/>
        <v>5400</v>
      </c>
      <c r="G15" s="260">
        <v>0.104166666666667</v>
      </c>
      <c r="H15" s="211">
        <f>'HVAC Appliances Austin'!H15</f>
        <v>0</v>
      </c>
      <c r="I15" s="110">
        <v>0.104166666666667</v>
      </c>
      <c r="J15" s="211">
        <f>'HVAC Appliances Austin'!J15</f>
        <v>0</v>
      </c>
      <c r="K15" s="110">
        <v>0.104166666666667</v>
      </c>
      <c r="L15" s="211">
        <f>'HVAC Appliances Austin'!L15</f>
        <v>0</v>
      </c>
      <c r="M15" s="21"/>
      <c r="N15" s="110">
        <v>0.104166666666667</v>
      </c>
      <c r="O15" s="211">
        <f>'HVAC Appliances Austin'!O15</f>
        <v>152.18488888888871</v>
      </c>
      <c r="P15" s="110">
        <v>0.104166666666667</v>
      </c>
      <c r="Q15" s="211">
        <f>'HVAC Appliances Austin'!Q15</f>
        <v>197.36222222222244</v>
      </c>
      <c r="R15" s="110">
        <v>0.104166666666667</v>
      </c>
      <c r="S15" s="211">
        <f>'HVAC Appliances Austin'!S15</f>
        <v>228.11422222222211</v>
      </c>
      <c r="T15" s="21"/>
      <c r="U15" s="110">
        <v>0.104166666666667</v>
      </c>
      <c r="V15" s="211">
        <f>'HVAC Appliances Austin'!V15</f>
        <v>244.39099999999968</v>
      </c>
      <c r="W15" s="110">
        <v>0.104166666666667</v>
      </c>
      <c r="X15" s="211">
        <f>'HVAC Appliances Austin'!X15</f>
        <v>350.03999999999945</v>
      </c>
      <c r="Y15" s="110">
        <v>0.104166666666667</v>
      </c>
      <c r="Z15" s="211">
        <f>'HVAC Appliances Austin'!Z15</f>
        <v>421.48199999999878</v>
      </c>
      <c r="AA15" s="21"/>
      <c r="AB15" s="110">
        <v>0.104166666666667</v>
      </c>
      <c r="AC15" s="211">
        <f>'HVAC Appliances Austin'!AC15</f>
        <v>54.375999999999756</v>
      </c>
      <c r="AD15" s="110">
        <v>0.104166666666667</v>
      </c>
      <c r="AE15" s="211">
        <f>'HVAC Appliances Austin'!AE15</f>
        <v>40.159999999999755</v>
      </c>
      <c r="AF15" s="110">
        <v>0.104166666666667</v>
      </c>
      <c r="AG15" s="211">
        <f>'HVAC Appliances Austin'!AG15</f>
        <v>40.231999999999601</v>
      </c>
      <c r="AH15" s="21"/>
      <c r="AI15" s="110">
        <v>0.104166666666667</v>
      </c>
      <c r="AJ15" s="211">
        <f>'HVAC Appliances Austin'!AJ15</f>
        <v>0</v>
      </c>
      <c r="AK15" s="110">
        <v>0.104166666666667</v>
      </c>
      <c r="AL15" s="211">
        <f>'HVAC Appliances Austin'!AL15</f>
        <v>0</v>
      </c>
      <c r="AM15" s="110">
        <v>0.104166666666667</v>
      </c>
      <c r="AN15" s="211">
        <f>'HVAC Appliances Austin'!AN15</f>
        <v>0</v>
      </c>
      <c r="AO15" s="21"/>
      <c r="AP15" s="110">
        <v>0.104166666666667</v>
      </c>
      <c r="AQ15" s="211">
        <f>'HVAC Appliances Austin'!AQ15</f>
        <v>433.1883680555556</v>
      </c>
      <c r="AR15" s="110">
        <v>0.104166666666667</v>
      </c>
      <c r="AS15" s="211">
        <f>'HVAC Appliances Austin'!AS15</f>
        <v>666.12951388888939</v>
      </c>
      <c r="AT15" s="110">
        <v>0.104166666666667</v>
      </c>
      <c r="AU15" s="211">
        <f>'HVAC Appliances Austin'!AU15</f>
        <v>830.00763888888912</v>
      </c>
      <c r="AV15" s="21"/>
      <c r="AW15" s="110">
        <v>0.104166666666667</v>
      </c>
      <c r="AX15" s="211"/>
      <c r="AY15" s="21"/>
      <c r="AZ15" s="110">
        <v>0.104166666666667</v>
      </c>
      <c r="BA15" s="264"/>
      <c r="BC15" s="260">
        <v>0.104166666666667</v>
      </c>
      <c r="BD15" s="211">
        <f>'HVAC Appliances Austin'!BD15</f>
        <v>35.69</v>
      </c>
      <c r="BE15" s="110">
        <v>0.104166666666667</v>
      </c>
      <c r="BF15" s="211">
        <f>'HVAC Appliances Austin'!BF15</f>
        <v>61.42</v>
      </c>
      <c r="BG15" s="110">
        <v>0.104166666666667</v>
      </c>
      <c r="BH15" s="211">
        <f>'HVAC Appliances Austin'!BH15</f>
        <v>84.000000000000014</v>
      </c>
      <c r="BI15" s="21"/>
      <c r="BJ15" s="110">
        <v>0.104166666666667</v>
      </c>
      <c r="BK15" s="211">
        <f>'HVAC Appliances Austin'!BK15</f>
        <v>0</v>
      </c>
      <c r="BL15" s="110">
        <v>0.104166666666667</v>
      </c>
      <c r="BM15" s="211">
        <f>'HVAC Appliances Austin'!BM15</f>
        <v>0</v>
      </c>
      <c r="BN15" s="110">
        <v>0.104166666666667</v>
      </c>
      <c r="BO15" s="211">
        <f>'HVAC Appliances Austin'!BO15</f>
        <v>0</v>
      </c>
      <c r="BP15" s="21"/>
      <c r="BQ15" s="110">
        <v>0.104166666666667</v>
      </c>
      <c r="BR15" s="211">
        <f>'HVAC Appliances Austin'!BR15</f>
        <v>0</v>
      </c>
      <c r="BS15" s="110">
        <v>0.104166666666667</v>
      </c>
      <c r="BT15" s="211">
        <f>'HVAC Appliances Austin'!BT15</f>
        <v>0</v>
      </c>
      <c r="BU15" s="110">
        <v>0.104166666666667</v>
      </c>
      <c r="BV15" s="211">
        <f>'HVAC Appliances Austin'!BV15</f>
        <v>0</v>
      </c>
      <c r="BW15" s="21"/>
      <c r="BX15" s="110">
        <v>0.104166666666667</v>
      </c>
      <c r="BY15" s="211">
        <f>'HVAC Appliances Austin'!BY15</f>
        <v>0</v>
      </c>
      <c r="BZ15" s="110">
        <v>0.104166666666667</v>
      </c>
      <c r="CA15" s="211">
        <f>'HVAC Appliances Austin'!CA15</f>
        <v>0</v>
      </c>
      <c r="CB15" s="110">
        <v>0.104166666666667</v>
      </c>
      <c r="CC15" s="211">
        <f>'HVAC Appliances Austin'!CC15</f>
        <v>0</v>
      </c>
      <c r="CD15" s="21"/>
      <c r="CE15" s="110">
        <v>0.104166666666667</v>
      </c>
      <c r="CF15" s="211">
        <f>'HVAC Appliances Austin'!CF15</f>
        <v>132.87666666666667</v>
      </c>
      <c r="CG15" s="110">
        <v>0.104166666666667</v>
      </c>
      <c r="CH15" s="211">
        <f>'HVAC Appliances Austin'!CH15</f>
        <v>261.04666666666662</v>
      </c>
      <c r="CI15" s="110">
        <v>0.104166666666667</v>
      </c>
      <c r="CJ15" s="211">
        <f>'HVAC Appliances Austin'!CJ15</f>
        <v>346.66666666666669</v>
      </c>
      <c r="CK15" s="21"/>
      <c r="CL15" s="110">
        <v>0.104166666666667</v>
      </c>
      <c r="CM15" s="211">
        <f>'HVAC Appliances Austin'!CM15</f>
        <v>0</v>
      </c>
      <c r="CN15" s="110">
        <v>0.104166666666667</v>
      </c>
      <c r="CO15" s="211">
        <f>'HVAC Appliances Austin'!CO15</f>
        <v>0</v>
      </c>
      <c r="CP15" s="110">
        <v>0.104166666666667</v>
      </c>
      <c r="CQ15" s="211">
        <f>'HVAC Appliances Austin'!CQ15</f>
        <v>0</v>
      </c>
      <c r="CR15" s="21"/>
      <c r="CS15" s="110">
        <v>0.104166666666667</v>
      </c>
      <c r="CT15" s="211"/>
      <c r="CU15" s="21"/>
      <c r="CV15" s="110">
        <v>0.104166666666667</v>
      </c>
      <c r="CW15" s="264"/>
      <c r="CY15" s="260">
        <v>0.104166666666667</v>
      </c>
      <c r="CZ15" s="211">
        <f>'HVAC Appliances Austin'!CZ15</f>
        <v>356.23800000000006</v>
      </c>
      <c r="DA15" s="110">
        <v>0.104166666666667</v>
      </c>
      <c r="DB15" s="211">
        <f>'HVAC Appliances Austin'!DB15</f>
        <v>572.93700000000001</v>
      </c>
      <c r="DC15" s="110">
        <v>0.104166666666667</v>
      </c>
      <c r="DD15" s="211">
        <f>'HVAC Appliances Austin'!DD15</f>
        <v>783.00800000000015</v>
      </c>
      <c r="DE15" s="21"/>
      <c r="DF15" s="110">
        <v>0.104166666666667</v>
      </c>
      <c r="DG15" s="211">
        <f>'HVAC Appliances Austin'!DG15</f>
        <v>173.33600000000021</v>
      </c>
      <c r="DH15" s="110">
        <v>0.104166666666667</v>
      </c>
      <c r="DI15" s="211">
        <f>'HVAC Appliances Austin'!DI15</f>
        <v>219.57644444444435</v>
      </c>
      <c r="DJ15" s="110">
        <v>0.104166666666667</v>
      </c>
      <c r="DK15" s="211">
        <f>'HVAC Appliances Austin'!DK15</f>
        <v>250.20133333333351</v>
      </c>
      <c r="DL15" s="21"/>
      <c r="DM15" s="110">
        <v>0.104166666666667</v>
      </c>
      <c r="DN15" s="211">
        <f>'HVAC Appliances Austin'!DN15</f>
        <v>278.50599999999974</v>
      </c>
      <c r="DO15" s="110">
        <v>0.104166666666667</v>
      </c>
      <c r="DP15" s="211">
        <f>'HVAC Appliances Austin'!DP15</f>
        <v>391.74699999999962</v>
      </c>
      <c r="DQ15" s="110">
        <v>0.104166666666667</v>
      </c>
      <c r="DR15" s="211">
        <f>'HVAC Appliances Austin'!DR15</f>
        <v>472.00299999999993</v>
      </c>
      <c r="DS15" s="21"/>
      <c r="DT15" s="110">
        <v>0.104166666666667</v>
      </c>
      <c r="DU15" s="211">
        <f>'HVAC Appliances Austin'!DU15</f>
        <v>0</v>
      </c>
      <c r="DV15" s="110">
        <v>0.104166666666667</v>
      </c>
      <c r="DW15" s="211">
        <f>'HVAC Appliances Austin'!DW15</f>
        <v>0</v>
      </c>
      <c r="DX15" s="110">
        <v>0.104166666666667</v>
      </c>
      <c r="DY15" s="211">
        <f>'HVAC Appliances Austin'!DY15</f>
        <v>0</v>
      </c>
      <c r="DZ15" s="21"/>
      <c r="EA15" s="110">
        <v>0.104166666666667</v>
      </c>
      <c r="EB15" s="211">
        <f>'HVAC Appliances Amarillo'!EB15</f>
        <v>0</v>
      </c>
      <c r="EC15" s="110">
        <v>0.104166666666667</v>
      </c>
      <c r="ED15" s="211">
        <f>'HVAC Appliances Amarillo'!ED15</f>
        <v>0</v>
      </c>
      <c r="EE15" s="110">
        <v>0.104166666666667</v>
      </c>
      <c r="EF15" s="211">
        <f>'HVAC Appliances Amarillo'!EF15</f>
        <v>16000</v>
      </c>
      <c r="EG15" s="21"/>
      <c r="EH15" s="110">
        <v>0.104166666666667</v>
      </c>
      <c r="EI15" s="211">
        <f>'HVAC Appliances Austin'!EI15</f>
        <v>477.93333333333362</v>
      </c>
      <c r="EJ15" s="110">
        <v>0.104166666666667</v>
      </c>
      <c r="EK15" s="211">
        <f>'HVAC Appliances Austin'!EK15</f>
        <v>724.72829861111165</v>
      </c>
      <c r="EL15" s="110">
        <v>0.104166666666667</v>
      </c>
      <c r="EM15" s="211">
        <f>'HVAC Appliances Austin'!EM15</f>
        <v>903.78489583333408</v>
      </c>
      <c r="EN15" s="21"/>
      <c r="EO15" s="110">
        <v>0.104166666666667</v>
      </c>
      <c r="EP15" s="211"/>
      <c r="EQ15" s="21"/>
      <c r="ER15" s="110">
        <v>0.104166666666667</v>
      </c>
      <c r="ES15" s="264"/>
      <c r="EU15" s="260">
        <v>0.104166666666667</v>
      </c>
      <c r="EV15" s="209">
        <f>'HVAC Appliances Amarillo'!EV15</f>
        <v>0</v>
      </c>
      <c r="EW15" s="110">
        <v>0.104166666666667</v>
      </c>
      <c r="EX15" s="209">
        <f>'HVAC Appliances Amarillo'!EX15</f>
        <v>0</v>
      </c>
      <c r="EY15" s="110">
        <v>0.104166666666667</v>
      </c>
      <c r="EZ15" s="308">
        <f>'HVAC Appliances Amarillo'!EZ15</f>
        <v>5400</v>
      </c>
    </row>
    <row r="16" spans="1:156" x14ac:dyDescent="0.3">
      <c r="A16" s="108">
        <v>0.104166666666667</v>
      </c>
      <c r="B16" s="226">
        <f t="shared" si="0"/>
        <v>0</v>
      </c>
      <c r="C16" s="21">
        <f t="shared" si="1"/>
        <v>346.66666666666669</v>
      </c>
      <c r="D16" s="20">
        <f t="shared" si="2"/>
        <v>16000</v>
      </c>
      <c r="E16" s="20">
        <f t="shared" si="3"/>
        <v>5400</v>
      </c>
      <c r="G16" s="260">
        <v>0.114583333333333</v>
      </c>
      <c r="H16" s="211">
        <f>'HVAC Appliances Austin'!H16</f>
        <v>0</v>
      </c>
      <c r="I16" s="110">
        <v>0.114583333333333</v>
      </c>
      <c r="J16" s="211">
        <f>'HVAC Appliances Austin'!J16</f>
        <v>0</v>
      </c>
      <c r="K16" s="110">
        <v>0.114583333333333</v>
      </c>
      <c r="L16" s="211">
        <f>'HVAC Appliances Austin'!L16</f>
        <v>0</v>
      </c>
      <c r="M16" s="21"/>
      <c r="N16" s="110">
        <v>0.114583333333333</v>
      </c>
      <c r="O16" s="211">
        <f>'HVAC Appliances Austin'!O16</f>
        <v>152.18488888888871</v>
      </c>
      <c r="P16" s="110">
        <v>0.114583333333333</v>
      </c>
      <c r="Q16" s="211">
        <f>'HVAC Appliances Austin'!Q16</f>
        <v>197.36222222222244</v>
      </c>
      <c r="R16" s="110">
        <v>0.114583333333333</v>
      </c>
      <c r="S16" s="211">
        <f>'HVAC Appliances Austin'!S16</f>
        <v>228.11422222222211</v>
      </c>
      <c r="T16" s="21"/>
      <c r="U16" s="110">
        <v>0.114583333333333</v>
      </c>
      <c r="V16" s="211">
        <f>'HVAC Appliances Austin'!V16</f>
        <v>244.39099999999968</v>
      </c>
      <c r="W16" s="110">
        <v>0.114583333333333</v>
      </c>
      <c r="X16" s="211">
        <f>'HVAC Appliances Austin'!X16</f>
        <v>350.03999999999945</v>
      </c>
      <c r="Y16" s="110">
        <v>0.114583333333333</v>
      </c>
      <c r="Z16" s="211">
        <f>'HVAC Appliances Austin'!Z16</f>
        <v>421.48199999999878</v>
      </c>
      <c r="AA16" s="21"/>
      <c r="AB16" s="110">
        <v>0.114583333333333</v>
      </c>
      <c r="AC16" s="211">
        <f>'HVAC Appliances Austin'!AC16</f>
        <v>54.375999999999756</v>
      </c>
      <c r="AD16" s="110">
        <v>0.114583333333333</v>
      </c>
      <c r="AE16" s="211">
        <f>'HVAC Appliances Austin'!AE16</f>
        <v>40.159999999999755</v>
      </c>
      <c r="AF16" s="110">
        <v>0.114583333333333</v>
      </c>
      <c r="AG16" s="211">
        <f>'HVAC Appliances Austin'!AG16</f>
        <v>40.231999999999601</v>
      </c>
      <c r="AH16" s="21"/>
      <c r="AI16" s="110">
        <v>0.114583333333333</v>
      </c>
      <c r="AJ16" s="211">
        <f>'HVAC Appliances Austin'!AJ16</f>
        <v>0</v>
      </c>
      <c r="AK16" s="110">
        <v>0.114583333333333</v>
      </c>
      <c r="AL16" s="211">
        <f>'HVAC Appliances Austin'!AL16</f>
        <v>0</v>
      </c>
      <c r="AM16" s="110">
        <v>0.114583333333333</v>
      </c>
      <c r="AN16" s="211">
        <f>'HVAC Appliances Austin'!AN16</f>
        <v>0</v>
      </c>
      <c r="AO16" s="21"/>
      <c r="AP16" s="110">
        <v>0.114583333333333</v>
      </c>
      <c r="AQ16" s="211">
        <f>'HVAC Appliances Austin'!AQ16</f>
        <v>433.1883680555556</v>
      </c>
      <c r="AR16" s="110">
        <v>0.114583333333333</v>
      </c>
      <c r="AS16" s="211">
        <f>'HVAC Appliances Austin'!AS16</f>
        <v>666.12951388888939</v>
      </c>
      <c r="AT16" s="110">
        <v>0.114583333333333</v>
      </c>
      <c r="AU16" s="211">
        <f>'HVAC Appliances Austin'!AU16</f>
        <v>830.00763888888912</v>
      </c>
      <c r="AV16" s="21"/>
      <c r="AW16" s="110">
        <v>0.114583333333333</v>
      </c>
      <c r="AX16" s="211"/>
      <c r="AY16" s="21"/>
      <c r="AZ16" s="110">
        <v>0.114583333333333</v>
      </c>
      <c r="BA16" s="264"/>
      <c r="BC16" s="260">
        <v>0.114583333333333</v>
      </c>
      <c r="BD16" s="211">
        <f>'HVAC Appliances Austin'!BD16</f>
        <v>35.69</v>
      </c>
      <c r="BE16" s="110">
        <v>0.114583333333333</v>
      </c>
      <c r="BF16" s="211">
        <f>'HVAC Appliances Austin'!BF16</f>
        <v>61.42</v>
      </c>
      <c r="BG16" s="110">
        <v>0.114583333333333</v>
      </c>
      <c r="BH16" s="211">
        <f>'HVAC Appliances Austin'!BH16</f>
        <v>84.000000000000014</v>
      </c>
      <c r="BI16" s="21"/>
      <c r="BJ16" s="110">
        <v>0.114583333333333</v>
      </c>
      <c r="BK16" s="211">
        <f>'HVAC Appliances Austin'!BK16</f>
        <v>0</v>
      </c>
      <c r="BL16" s="110">
        <v>0.114583333333333</v>
      </c>
      <c r="BM16" s="211">
        <f>'HVAC Appliances Austin'!BM16</f>
        <v>0</v>
      </c>
      <c r="BN16" s="110">
        <v>0.114583333333333</v>
      </c>
      <c r="BO16" s="211">
        <f>'HVAC Appliances Austin'!BO16</f>
        <v>0</v>
      </c>
      <c r="BP16" s="21"/>
      <c r="BQ16" s="110">
        <v>0.114583333333333</v>
      </c>
      <c r="BR16" s="211">
        <f>'HVAC Appliances Austin'!BR16</f>
        <v>0</v>
      </c>
      <c r="BS16" s="110">
        <v>0.114583333333333</v>
      </c>
      <c r="BT16" s="211">
        <f>'HVAC Appliances Austin'!BT16</f>
        <v>0</v>
      </c>
      <c r="BU16" s="110">
        <v>0.114583333333333</v>
      </c>
      <c r="BV16" s="211">
        <f>'HVAC Appliances Austin'!BV16</f>
        <v>0</v>
      </c>
      <c r="BW16" s="21"/>
      <c r="BX16" s="110">
        <v>0.114583333333333</v>
      </c>
      <c r="BY16" s="211">
        <f>'HVAC Appliances Austin'!BY16</f>
        <v>0</v>
      </c>
      <c r="BZ16" s="110">
        <v>0.114583333333333</v>
      </c>
      <c r="CA16" s="211">
        <f>'HVAC Appliances Austin'!CA16</f>
        <v>0</v>
      </c>
      <c r="CB16" s="110">
        <v>0.114583333333333</v>
      </c>
      <c r="CC16" s="211">
        <f>'HVAC Appliances Austin'!CC16</f>
        <v>0</v>
      </c>
      <c r="CD16" s="21"/>
      <c r="CE16" s="110">
        <v>0.114583333333333</v>
      </c>
      <c r="CF16" s="211">
        <f>'HVAC Appliances Austin'!CF16</f>
        <v>132.87666666666667</v>
      </c>
      <c r="CG16" s="110">
        <v>0.114583333333333</v>
      </c>
      <c r="CH16" s="211">
        <f>'HVAC Appliances Austin'!CH16</f>
        <v>261.04666666666662</v>
      </c>
      <c r="CI16" s="110">
        <v>0.114583333333333</v>
      </c>
      <c r="CJ16" s="211">
        <f>'HVAC Appliances Austin'!CJ16</f>
        <v>346.66666666666669</v>
      </c>
      <c r="CK16" s="21"/>
      <c r="CL16" s="110">
        <v>0.114583333333333</v>
      </c>
      <c r="CM16" s="211">
        <f>'HVAC Appliances Austin'!CM16</f>
        <v>0</v>
      </c>
      <c r="CN16" s="110">
        <v>0.114583333333333</v>
      </c>
      <c r="CO16" s="211">
        <f>'HVAC Appliances Austin'!CO16</f>
        <v>0</v>
      </c>
      <c r="CP16" s="110">
        <v>0.114583333333333</v>
      </c>
      <c r="CQ16" s="211">
        <f>'HVAC Appliances Austin'!CQ16</f>
        <v>0</v>
      </c>
      <c r="CR16" s="21"/>
      <c r="CS16" s="110">
        <v>0.114583333333333</v>
      </c>
      <c r="CT16" s="211"/>
      <c r="CU16" s="21"/>
      <c r="CV16" s="110">
        <v>0.114583333333333</v>
      </c>
      <c r="CW16" s="264"/>
      <c r="CY16" s="260">
        <v>0.114583333333333</v>
      </c>
      <c r="CZ16" s="211">
        <f>'HVAC Appliances Austin'!CZ16</f>
        <v>356.23800000000006</v>
      </c>
      <c r="DA16" s="110">
        <v>0.114583333333333</v>
      </c>
      <c r="DB16" s="211">
        <f>'HVAC Appliances Austin'!DB16</f>
        <v>572.93700000000001</v>
      </c>
      <c r="DC16" s="110">
        <v>0.114583333333333</v>
      </c>
      <c r="DD16" s="211">
        <f>'HVAC Appliances Austin'!DD16</f>
        <v>783.00800000000015</v>
      </c>
      <c r="DE16" s="21"/>
      <c r="DF16" s="110">
        <v>0.114583333333333</v>
      </c>
      <c r="DG16" s="211">
        <f>'HVAC Appliances Austin'!DG16</f>
        <v>173.33600000000021</v>
      </c>
      <c r="DH16" s="110">
        <v>0.114583333333333</v>
      </c>
      <c r="DI16" s="211">
        <f>'HVAC Appliances Austin'!DI16</f>
        <v>219.57644444444435</v>
      </c>
      <c r="DJ16" s="110">
        <v>0.114583333333333</v>
      </c>
      <c r="DK16" s="211">
        <f>'HVAC Appliances Austin'!DK16</f>
        <v>250.20133333333351</v>
      </c>
      <c r="DL16" s="21"/>
      <c r="DM16" s="110">
        <v>0.114583333333333</v>
      </c>
      <c r="DN16" s="211">
        <f>'HVAC Appliances Austin'!DN16</f>
        <v>278.50599999999974</v>
      </c>
      <c r="DO16" s="110">
        <v>0.114583333333333</v>
      </c>
      <c r="DP16" s="211">
        <f>'HVAC Appliances Austin'!DP16</f>
        <v>391.74699999999962</v>
      </c>
      <c r="DQ16" s="110">
        <v>0.114583333333333</v>
      </c>
      <c r="DR16" s="211">
        <f>'HVAC Appliances Austin'!DR16</f>
        <v>472.00299999999993</v>
      </c>
      <c r="DS16" s="21"/>
      <c r="DT16" s="110">
        <v>0.114583333333333</v>
      </c>
      <c r="DU16" s="211">
        <f>'HVAC Appliances Austin'!DU16</f>
        <v>0</v>
      </c>
      <c r="DV16" s="110">
        <v>0.114583333333333</v>
      </c>
      <c r="DW16" s="211">
        <f>'HVAC Appliances Austin'!DW16</f>
        <v>0</v>
      </c>
      <c r="DX16" s="110">
        <v>0.114583333333333</v>
      </c>
      <c r="DY16" s="211">
        <f>'HVAC Appliances Austin'!DY16</f>
        <v>0</v>
      </c>
      <c r="DZ16" s="21"/>
      <c r="EA16" s="110">
        <v>0.114583333333333</v>
      </c>
      <c r="EB16" s="211">
        <f>'HVAC Appliances Amarillo'!EB16</f>
        <v>0</v>
      </c>
      <c r="EC16" s="110">
        <v>0.114583333333333</v>
      </c>
      <c r="ED16" s="211">
        <f>'HVAC Appliances Amarillo'!ED16</f>
        <v>0</v>
      </c>
      <c r="EE16" s="110">
        <v>0.114583333333333</v>
      </c>
      <c r="EF16" s="211">
        <f>'HVAC Appliances Amarillo'!EF16</f>
        <v>0</v>
      </c>
      <c r="EG16" s="21"/>
      <c r="EH16" s="110">
        <v>0.114583333333333</v>
      </c>
      <c r="EI16" s="211">
        <f>'HVAC Appliances Austin'!EI16</f>
        <v>477.93333333333362</v>
      </c>
      <c r="EJ16" s="110">
        <v>0.114583333333333</v>
      </c>
      <c r="EK16" s="211">
        <f>'HVAC Appliances Austin'!EK16</f>
        <v>724.72829861111165</v>
      </c>
      <c r="EL16" s="110">
        <v>0.114583333333333</v>
      </c>
      <c r="EM16" s="211">
        <f>'HVAC Appliances Austin'!EM16</f>
        <v>903.78489583333408</v>
      </c>
      <c r="EN16" s="21"/>
      <c r="EO16" s="110">
        <v>0.114583333333333</v>
      </c>
      <c r="EP16" s="211"/>
      <c r="EQ16" s="21"/>
      <c r="ER16" s="110">
        <v>0.114583333333333</v>
      </c>
      <c r="ES16" s="264"/>
      <c r="EU16" s="260">
        <v>0.114583333333333</v>
      </c>
      <c r="EV16" s="209">
        <f>'HVAC Appliances Amarillo'!EV16</f>
        <v>0</v>
      </c>
      <c r="EW16" s="110">
        <v>0.114583333333333</v>
      </c>
      <c r="EX16" s="209">
        <f>'HVAC Appliances Amarillo'!EX16</f>
        <v>0</v>
      </c>
      <c r="EY16" s="110">
        <v>0.114583333333333</v>
      </c>
      <c r="EZ16" s="308">
        <f>'HVAC Appliances Amarillo'!EZ16</f>
        <v>0</v>
      </c>
    </row>
    <row r="17" spans="1:156" x14ac:dyDescent="0.3">
      <c r="A17" s="108">
        <v>0.114583333333333</v>
      </c>
      <c r="B17" s="226">
        <f t="shared" si="0"/>
        <v>0</v>
      </c>
      <c r="C17" s="21">
        <f t="shared" si="1"/>
        <v>346.66666666666669</v>
      </c>
      <c r="D17" s="20">
        <f t="shared" si="2"/>
        <v>0</v>
      </c>
      <c r="E17" s="20">
        <f t="shared" si="3"/>
        <v>0</v>
      </c>
      <c r="G17" s="260">
        <v>0.125</v>
      </c>
      <c r="H17" s="211">
        <f>'HVAC Appliances Austin'!H17</f>
        <v>0</v>
      </c>
      <c r="I17" s="110">
        <v>0.125</v>
      </c>
      <c r="J17" s="211">
        <f>'HVAC Appliances Austin'!J17</f>
        <v>0</v>
      </c>
      <c r="K17" s="110">
        <v>0.125</v>
      </c>
      <c r="L17" s="211">
        <f>'HVAC Appliances Austin'!L17</f>
        <v>0</v>
      </c>
      <c r="M17" s="21"/>
      <c r="N17" s="110">
        <v>0.125</v>
      </c>
      <c r="O17" s="211">
        <f>'HVAC Appliances Austin'!O17</f>
        <v>146.51431249999979</v>
      </c>
      <c r="P17" s="110">
        <v>0.125</v>
      </c>
      <c r="Q17" s="211">
        <f>'HVAC Appliances Austin'!Q17</f>
        <v>188.04562499999955</v>
      </c>
      <c r="R17" s="110">
        <v>0.125</v>
      </c>
      <c r="S17" s="211">
        <f>'HVAC Appliances Austin'!S17</f>
        <v>216.48674999999963</v>
      </c>
      <c r="T17" s="21"/>
      <c r="U17" s="110">
        <v>0.125</v>
      </c>
      <c r="V17" s="211">
        <f>'HVAC Appliances Austin'!V17</f>
        <v>247.24986805555517</v>
      </c>
      <c r="W17" s="110">
        <v>0.125</v>
      </c>
      <c r="X17" s="211">
        <f>'HVAC Appliances Austin'!X17</f>
        <v>354.79951388888821</v>
      </c>
      <c r="Y17" s="110">
        <v>0.125</v>
      </c>
      <c r="Z17" s="211">
        <f>'HVAC Appliances Austin'!Z17</f>
        <v>427.5706388888878</v>
      </c>
      <c r="AA17" s="21"/>
      <c r="AB17" s="110">
        <v>0.125</v>
      </c>
      <c r="AC17" s="211">
        <f>'HVAC Appliances Austin'!AC17</f>
        <v>54.375999999999756</v>
      </c>
      <c r="AD17" s="110">
        <v>0.125</v>
      </c>
      <c r="AE17" s="211">
        <f>'HVAC Appliances Austin'!AE17</f>
        <v>40.159999999999755</v>
      </c>
      <c r="AF17" s="110">
        <v>0.125</v>
      </c>
      <c r="AG17" s="211">
        <f>'HVAC Appliances Austin'!AG17</f>
        <v>40.231999999999601</v>
      </c>
      <c r="AH17" s="21"/>
      <c r="AI17" s="110">
        <v>0.125</v>
      </c>
      <c r="AJ17" s="211">
        <f>'HVAC Appliances Austin'!AJ17</f>
        <v>0</v>
      </c>
      <c r="AK17" s="110">
        <v>0.125</v>
      </c>
      <c r="AL17" s="211">
        <f>'HVAC Appliances Austin'!AL17</f>
        <v>0</v>
      </c>
      <c r="AM17" s="110">
        <v>0.125</v>
      </c>
      <c r="AN17" s="211">
        <f>'HVAC Appliances Austin'!AN17</f>
        <v>0</v>
      </c>
      <c r="AO17" s="21"/>
      <c r="AP17" s="110">
        <v>0.125</v>
      </c>
      <c r="AQ17" s="211">
        <f>'HVAC Appliances Austin'!AQ17</f>
        <v>348.1550347222223</v>
      </c>
      <c r="AR17" s="110">
        <v>0.125</v>
      </c>
      <c r="AS17" s="211">
        <f>'HVAC Appliances Austin'!AS17</f>
        <v>523.39618055555582</v>
      </c>
      <c r="AT17" s="110">
        <v>0.125</v>
      </c>
      <c r="AU17" s="211">
        <f>'HVAC Appliances Austin'!AU17</f>
        <v>644.67430555555575</v>
      </c>
      <c r="AV17" s="21"/>
      <c r="AW17" s="110">
        <v>0.125</v>
      </c>
      <c r="AX17" s="211"/>
      <c r="AY17" s="21"/>
      <c r="AZ17" s="110">
        <v>0.125</v>
      </c>
      <c r="BA17" s="264"/>
      <c r="BC17" s="260">
        <v>0.125</v>
      </c>
      <c r="BD17" s="211">
        <f>'HVAC Appliances Austin'!BD17</f>
        <v>31.157499999999992</v>
      </c>
      <c r="BE17" s="110">
        <v>0.125</v>
      </c>
      <c r="BF17" s="211">
        <f>'HVAC Appliances Austin'!BF17</f>
        <v>52.109999999999992</v>
      </c>
      <c r="BG17" s="110">
        <v>0.125</v>
      </c>
      <c r="BH17" s="211">
        <f>'HVAC Appliances Austin'!BH17</f>
        <v>71.749999999999986</v>
      </c>
      <c r="BI17" s="21"/>
      <c r="BJ17" s="110">
        <v>0.125</v>
      </c>
      <c r="BK17" s="211">
        <f>'HVAC Appliances Austin'!BK17</f>
        <v>0</v>
      </c>
      <c r="BL17" s="110">
        <v>0.125</v>
      </c>
      <c r="BM17" s="211">
        <f>'HVAC Appliances Austin'!BM17</f>
        <v>0</v>
      </c>
      <c r="BN17" s="110">
        <v>0.125</v>
      </c>
      <c r="BO17" s="211">
        <f>'HVAC Appliances Austin'!BO17</f>
        <v>0</v>
      </c>
      <c r="BP17" s="21"/>
      <c r="BQ17" s="110">
        <v>0.125</v>
      </c>
      <c r="BR17" s="211">
        <f>'HVAC Appliances Austin'!BR17</f>
        <v>0</v>
      </c>
      <c r="BS17" s="110">
        <v>0.125</v>
      </c>
      <c r="BT17" s="211">
        <f>'HVAC Appliances Austin'!BT17</f>
        <v>0</v>
      </c>
      <c r="BU17" s="110">
        <v>0.125</v>
      </c>
      <c r="BV17" s="211">
        <f>'HVAC Appliances Austin'!BV17</f>
        <v>0</v>
      </c>
      <c r="BW17" s="21"/>
      <c r="BX17" s="110">
        <v>0.125</v>
      </c>
      <c r="BY17" s="211">
        <f>'HVAC Appliances Austin'!BY17</f>
        <v>0</v>
      </c>
      <c r="BZ17" s="110">
        <v>0.125</v>
      </c>
      <c r="CA17" s="211">
        <f>'HVAC Appliances Austin'!CA17</f>
        <v>0</v>
      </c>
      <c r="CB17" s="110">
        <v>0.125</v>
      </c>
      <c r="CC17" s="211">
        <f>'HVAC Appliances Austin'!CC17</f>
        <v>0</v>
      </c>
      <c r="CD17" s="21"/>
      <c r="CE17" s="110">
        <v>0.125</v>
      </c>
      <c r="CF17" s="211">
        <f>'HVAC Appliances Austin'!CF17</f>
        <v>135.4975</v>
      </c>
      <c r="CG17" s="110">
        <v>0.125</v>
      </c>
      <c r="CH17" s="211">
        <f>'HVAC Appliances Austin'!CH17</f>
        <v>266.43</v>
      </c>
      <c r="CI17" s="110">
        <v>0.125</v>
      </c>
      <c r="CJ17" s="211">
        <f>'HVAC Appliances Austin'!CJ17</f>
        <v>353.75</v>
      </c>
      <c r="CK17" s="21"/>
      <c r="CL17" s="110">
        <v>0.125</v>
      </c>
      <c r="CM17" s="211">
        <f>'HVAC Appliances Austin'!CM17</f>
        <v>0</v>
      </c>
      <c r="CN17" s="110">
        <v>0.125</v>
      </c>
      <c r="CO17" s="211">
        <f>'HVAC Appliances Austin'!CO17</f>
        <v>0</v>
      </c>
      <c r="CP17" s="110">
        <v>0.125</v>
      </c>
      <c r="CQ17" s="211">
        <f>'HVAC Appliances Austin'!CQ17</f>
        <v>0</v>
      </c>
      <c r="CR17" s="21"/>
      <c r="CS17" s="110">
        <v>0.125</v>
      </c>
      <c r="CT17" s="211"/>
      <c r="CU17" s="21"/>
      <c r="CV17" s="110">
        <v>0.125</v>
      </c>
      <c r="CW17" s="264"/>
      <c r="CY17" s="260">
        <v>0.125</v>
      </c>
      <c r="CZ17" s="211">
        <f>'HVAC Appliances Austin'!CZ17</f>
        <v>297.21137499999992</v>
      </c>
      <c r="DA17" s="110">
        <v>0.125</v>
      </c>
      <c r="DB17" s="211">
        <f>'HVAC Appliances Austin'!DB17</f>
        <v>458.85581249999973</v>
      </c>
      <c r="DC17" s="110">
        <v>0.125</v>
      </c>
      <c r="DD17" s="211">
        <f>'HVAC Appliances Austin'!DD17</f>
        <v>629.07449999999972</v>
      </c>
      <c r="DE17" s="21"/>
      <c r="DF17" s="110">
        <v>0.125</v>
      </c>
      <c r="DG17" s="211">
        <f>'HVAC Appliances Austin'!DG17</f>
        <v>166.53399999999979</v>
      </c>
      <c r="DH17" s="110">
        <v>0.125</v>
      </c>
      <c r="DI17" s="211">
        <f>'HVAC Appliances Austin'!DI17</f>
        <v>208.5776874999996</v>
      </c>
      <c r="DJ17" s="110">
        <v>0.125</v>
      </c>
      <c r="DK17" s="211">
        <f>'HVAC Appliances Austin'!DK17</f>
        <v>236.09106249999991</v>
      </c>
      <c r="DL17" s="21"/>
      <c r="DM17" s="110">
        <v>0.125</v>
      </c>
      <c r="DN17" s="211">
        <f>'HVAC Appliances Austin'!DN17</f>
        <v>281.64899999999989</v>
      </c>
      <c r="DO17" s="110">
        <v>0.125</v>
      </c>
      <c r="DP17" s="211">
        <f>'HVAC Appliances Austin'!DP17</f>
        <v>396.94046527777749</v>
      </c>
      <c r="DQ17" s="110">
        <v>0.125</v>
      </c>
      <c r="DR17" s="211">
        <f>'HVAC Appliances Austin'!DR17</f>
        <v>478.7143958333333</v>
      </c>
      <c r="DS17" s="21"/>
      <c r="DT17" s="110">
        <v>0.125</v>
      </c>
      <c r="DU17" s="211">
        <f>'HVAC Appliances Austin'!DU17</f>
        <v>0</v>
      </c>
      <c r="DV17" s="110">
        <v>0.125</v>
      </c>
      <c r="DW17" s="211">
        <f>'HVAC Appliances Austin'!DW17</f>
        <v>0</v>
      </c>
      <c r="DX17" s="110">
        <v>0.125</v>
      </c>
      <c r="DY17" s="211">
        <f>'HVAC Appliances Austin'!DY17</f>
        <v>0</v>
      </c>
      <c r="DZ17" s="21"/>
      <c r="EA17" s="110">
        <v>0.125</v>
      </c>
      <c r="EB17" s="211">
        <f>'HVAC Appliances Amarillo'!EB17</f>
        <v>6900</v>
      </c>
      <c r="EC17" s="110">
        <v>0.125</v>
      </c>
      <c r="ED17" s="211">
        <f>'HVAC Appliances Amarillo'!ED17</f>
        <v>12300</v>
      </c>
      <c r="EE17" s="110">
        <v>0.125</v>
      </c>
      <c r="EF17" s="211">
        <f>'HVAC Appliances Amarillo'!EF17</f>
        <v>16000</v>
      </c>
      <c r="EG17" s="21"/>
      <c r="EH17" s="110">
        <v>0.125</v>
      </c>
      <c r="EI17" s="211">
        <f>'HVAC Appliances Austin'!EI17</f>
        <v>389.80000000000018</v>
      </c>
      <c r="EJ17" s="110">
        <v>0.125</v>
      </c>
      <c r="EK17" s="211">
        <f>'HVAC Appliances Austin'!EK17</f>
        <v>576.82829861111134</v>
      </c>
      <c r="EL17" s="110">
        <v>0.125</v>
      </c>
      <c r="EM17" s="211">
        <f>'HVAC Appliances Austin'!EM17</f>
        <v>711.68489583333371</v>
      </c>
      <c r="EN17" s="21"/>
      <c r="EO17" s="110">
        <v>0.125</v>
      </c>
      <c r="EP17" s="211"/>
      <c r="EQ17" s="21"/>
      <c r="ER17" s="110">
        <v>0.125</v>
      </c>
      <c r="ES17" s="264"/>
      <c r="EU17" s="260">
        <v>0.125</v>
      </c>
      <c r="EV17" s="209">
        <f>'HVAC Appliances Amarillo'!EV17</f>
        <v>5400</v>
      </c>
      <c r="EW17" s="110">
        <v>0.125</v>
      </c>
      <c r="EX17" s="209">
        <f>'HVAC Appliances Amarillo'!EX17</f>
        <v>5400</v>
      </c>
      <c r="EY17" s="110">
        <v>0.125</v>
      </c>
      <c r="EZ17" s="308">
        <f>'HVAC Appliances Amarillo'!EZ17</f>
        <v>5400</v>
      </c>
    </row>
    <row r="18" spans="1:156" x14ac:dyDescent="0.3">
      <c r="A18" s="108">
        <v>0.125</v>
      </c>
      <c r="B18" s="226">
        <f t="shared" si="0"/>
        <v>0</v>
      </c>
      <c r="C18" s="21">
        <f t="shared" si="1"/>
        <v>353.75</v>
      </c>
      <c r="D18" s="20">
        <f t="shared" si="2"/>
        <v>16000</v>
      </c>
      <c r="E18" s="20">
        <f t="shared" si="3"/>
        <v>5400</v>
      </c>
      <c r="G18" s="260">
        <v>0.13541666666666699</v>
      </c>
      <c r="H18" s="211">
        <f>'HVAC Appliances Austin'!H18</f>
        <v>0</v>
      </c>
      <c r="I18" s="110">
        <v>0.13541666666666699</v>
      </c>
      <c r="J18" s="211">
        <f>'HVAC Appliances Austin'!J18</f>
        <v>0</v>
      </c>
      <c r="K18" s="110">
        <v>0.13541666666666699</v>
      </c>
      <c r="L18" s="211">
        <f>'HVAC Appliances Austin'!L18</f>
        <v>0</v>
      </c>
      <c r="M18" s="21"/>
      <c r="N18" s="110">
        <v>0.13541666666666699</v>
      </c>
      <c r="O18" s="211">
        <f>'HVAC Appliances Austin'!O18</f>
        <v>146.51431249999979</v>
      </c>
      <c r="P18" s="110">
        <v>0.13541666666666699</v>
      </c>
      <c r="Q18" s="211">
        <f>'HVAC Appliances Austin'!Q18</f>
        <v>188.04562499999955</v>
      </c>
      <c r="R18" s="110">
        <v>0.13541666666666699</v>
      </c>
      <c r="S18" s="211">
        <f>'HVAC Appliances Austin'!S18</f>
        <v>216.48674999999963</v>
      </c>
      <c r="T18" s="21"/>
      <c r="U18" s="110">
        <v>0.13541666666666699</v>
      </c>
      <c r="V18" s="211">
        <f>'HVAC Appliances Austin'!V18</f>
        <v>247.24986805555517</v>
      </c>
      <c r="W18" s="110">
        <v>0.13541666666666699</v>
      </c>
      <c r="X18" s="211">
        <f>'HVAC Appliances Austin'!X18</f>
        <v>354.79951388888821</v>
      </c>
      <c r="Y18" s="110">
        <v>0.13541666666666699</v>
      </c>
      <c r="Z18" s="211">
        <f>'HVAC Appliances Austin'!Z18</f>
        <v>427.5706388888878</v>
      </c>
      <c r="AA18" s="21"/>
      <c r="AB18" s="110">
        <v>0.13541666666666699</v>
      </c>
      <c r="AC18" s="211">
        <f>'HVAC Appliances Austin'!AC18</f>
        <v>54.375999999999756</v>
      </c>
      <c r="AD18" s="110">
        <v>0.13541666666666699</v>
      </c>
      <c r="AE18" s="211">
        <f>'HVAC Appliances Austin'!AE18</f>
        <v>40.159999999999755</v>
      </c>
      <c r="AF18" s="110">
        <v>0.13541666666666699</v>
      </c>
      <c r="AG18" s="211">
        <f>'HVAC Appliances Austin'!AG18</f>
        <v>40.231999999999601</v>
      </c>
      <c r="AH18" s="21"/>
      <c r="AI18" s="110">
        <v>0.13541666666666699</v>
      </c>
      <c r="AJ18" s="211">
        <f>'HVAC Appliances Austin'!AJ18</f>
        <v>0</v>
      </c>
      <c r="AK18" s="110">
        <v>0.13541666666666699</v>
      </c>
      <c r="AL18" s="211">
        <f>'HVAC Appliances Austin'!AL18</f>
        <v>0</v>
      </c>
      <c r="AM18" s="110">
        <v>0.13541666666666699</v>
      </c>
      <c r="AN18" s="211">
        <f>'HVAC Appliances Austin'!AN18</f>
        <v>0</v>
      </c>
      <c r="AO18" s="21"/>
      <c r="AP18" s="110">
        <v>0.13541666666666699</v>
      </c>
      <c r="AQ18" s="211">
        <f>'HVAC Appliances Austin'!AQ18</f>
        <v>348.1550347222223</v>
      </c>
      <c r="AR18" s="110">
        <v>0.13541666666666699</v>
      </c>
      <c r="AS18" s="211">
        <f>'HVAC Appliances Austin'!AS18</f>
        <v>523.39618055555582</v>
      </c>
      <c r="AT18" s="110">
        <v>0.13541666666666699</v>
      </c>
      <c r="AU18" s="211">
        <f>'HVAC Appliances Austin'!AU18</f>
        <v>644.67430555555575</v>
      </c>
      <c r="AV18" s="21"/>
      <c r="AW18" s="110">
        <v>0.13541666666666699</v>
      </c>
      <c r="AX18" s="211"/>
      <c r="AY18" s="21"/>
      <c r="AZ18" s="110">
        <v>0.13541666666666699</v>
      </c>
      <c r="BA18" s="264"/>
      <c r="BC18" s="260">
        <v>0.13541666666666699</v>
      </c>
      <c r="BD18" s="211">
        <f>'HVAC Appliances Austin'!BD18</f>
        <v>31.157499999999992</v>
      </c>
      <c r="BE18" s="110">
        <v>0.13541666666666699</v>
      </c>
      <c r="BF18" s="211">
        <f>'HVAC Appliances Austin'!BF18</f>
        <v>52.109999999999992</v>
      </c>
      <c r="BG18" s="110">
        <v>0.13541666666666699</v>
      </c>
      <c r="BH18" s="211">
        <f>'HVAC Appliances Austin'!BH18</f>
        <v>71.749999999999986</v>
      </c>
      <c r="BI18" s="21"/>
      <c r="BJ18" s="110">
        <v>0.13541666666666699</v>
      </c>
      <c r="BK18" s="211">
        <f>'HVAC Appliances Austin'!BK18</f>
        <v>0</v>
      </c>
      <c r="BL18" s="110">
        <v>0.13541666666666699</v>
      </c>
      <c r="BM18" s="211">
        <f>'HVAC Appliances Austin'!BM18</f>
        <v>0</v>
      </c>
      <c r="BN18" s="110">
        <v>0.13541666666666699</v>
      </c>
      <c r="BO18" s="211">
        <f>'HVAC Appliances Austin'!BO18</f>
        <v>0</v>
      </c>
      <c r="BP18" s="21"/>
      <c r="BQ18" s="110">
        <v>0.13541666666666699</v>
      </c>
      <c r="BR18" s="211">
        <f>'HVAC Appliances Austin'!BR18</f>
        <v>0</v>
      </c>
      <c r="BS18" s="110">
        <v>0.13541666666666699</v>
      </c>
      <c r="BT18" s="211">
        <f>'HVAC Appliances Austin'!BT18</f>
        <v>0</v>
      </c>
      <c r="BU18" s="110">
        <v>0.13541666666666699</v>
      </c>
      <c r="BV18" s="211">
        <f>'HVAC Appliances Austin'!BV18</f>
        <v>0</v>
      </c>
      <c r="BW18" s="21"/>
      <c r="BX18" s="110">
        <v>0.13541666666666699</v>
      </c>
      <c r="BY18" s="211">
        <f>'HVAC Appliances Austin'!BY18</f>
        <v>0</v>
      </c>
      <c r="BZ18" s="110">
        <v>0.13541666666666699</v>
      </c>
      <c r="CA18" s="211">
        <f>'HVAC Appliances Austin'!CA18</f>
        <v>0</v>
      </c>
      <c r="CB18" s="110">
        <v>0.13541666666666699</v>
      </c>
      <c r="CC18" s="211">
        <f>'HVAC Appliances Austin'!CC18</f>
        <v>0</v>
      </c>
      <c r="CD18" s="21"/>
      <c r="CE18" s="110">
        <v>0.13541666666666699</v>
      </c>
      <c r="CF18" s="211">
        <f>'HVAC Appliances Austin'!CF18</f>
        <v>135.4975</v>
      </c>
      <c r="CG18" s="110">
        <v>0.13541666666666699</v>
      </c>
      <c r="CH18" s="211">
        <f>'HVAC Appliances Austin'!CH18</f>
        <v>266.43</v>
      </c>
      <c r="CI18" s="110">
        <v>0.13541666666666699</v>
      </c>
      <c r="CJ18" s="211">
        <f>'HVAC Appliances Austin'!CJ18</f>
        <v>353.75</v>
      </c>
      <c r="CK18" s="21"/>
      <c r="CL18" s="110">
        <v>0.13541666666666699</v>
      </c>
      <c r="CM18" s="211">
        <f>'HVAC Appliances Austin'!CM18</f>
        <v>0</v>
      </c>
      <c r="CN18" s="110">
        <v>0.13541666666666699</v>
      </c>
      <c r="CO18" s="211">
        <f>'HVAC Appliances Austin'!CO18</f>
        <v>0</v>
      </c>
      <c r="CP18" s="110">
        <v>0.13541666666666699</v>
      </c>
      <c r="CQ18" s="211">
        <f>'HVAC Appliances Austin'!CQ18</f>
        <v>0</v>
      </c>
      <c r="CR18" s="21"/>
      <c r="CS18" s="110">
        <v>0.13541666666666699</v>
      </c>
      <c r="CT18" s="211"/>
      <c r="CU18" s="21"/>
      <c r="CV18" s="110">
        <v>0.13541666666666699</v>
      </c>
      <c r="CW18" s="264"/>
      <c r="CY18" s="260">
        <v>0.13541666666666699</v>
      </c>
      <c r="CZ18" s="211">
        <f>'HVAC Appliances Austin'!CZ18</f>
        <v>297.21137499999992</v>
      </c>
      <c r="DA18" s="110">
        <v>0.13541666666666699</v>
      </c>
      <c r="DB18" s="211">
        <f>'HVAC Appliances Austin'!DB18</f>
        <v>458.85581249999973</v>
      </c>
      <c r="DC18" s="110">
        <v>0.13541666666666699</v>
      </c>
      <c r="DD18" s="211">
        <f>'HVAC Appliances Austin'!DD18</f>
        <v>629.07449999999972</v>
      </c>
      <c r="DE18" s="21"/>
      <c r="DF18" s="110">
        <v>0.13541666666666699</v>
      </c>
      <c r="DG18" s="211">
        <f>'HVAC Appliances Austin'!DG18</f>
        <v>166.53399999999979</v>
      </c>
      <c r="DH18" s="110">
        <v>0.13541666666666699</v>
      </c>
      <c r="DI18" s="211">
        <f>'HVAC Appliances Austin'!DI18</f>
        <v>208.5776874999996</v>
      </c>
      <c r="DJ18" s="110">
        <v>0.13541666666666699</v>
      </c>
      <c r="DK18" s="211">
        <f>'HVAC Appliances Austin'!DK18</f>
        <v>236.09106249999991</v>
      </c>
      <c r="DL18" s="21"/>
      <c r="DM18" s="110">
        <v>0.13541666666666699</v>
      </c>
      <c r="DN18" s="211">
        <f>'HVAC Appliances Austin'!DN18</f>
        <v>281.64899999999989</v>
      </c>
      <c r="DO18" s="110">
        <v>0.13541666666666699</v>
      </c>
      <c r="DP18" s="211">
        <f>'HVAC Appliances Austin'!DP18</f>
        <v>396.94046527777749</v>
      </c>
      <c r="DQ18" s="110">
        <v>0.13541666666666699</v>
      </c>
      <c r="DR18" s="211">
        <f>'HVAC Appliances Austin'!DR18</f>
        <v>478.7143958333333</v>
      </c>
      <c r="DS18" s="21"/>
      <c r="DT18" s="110">
        <v>0.13541666666666699</v>
      </c>
      <c r="DU18" s="211">
        <f>'HVAC Appliances Austin'!DU18</f>
        <v>0</v>
      </c>
      <c r="DV18" s="110">
        <v>0.13541666666666699</v>
      </c>
      <c r="DW18" s="211">
        <f>'HVAC Appliances Austin'!DW18</f>
        <v>0</v>
      </c>
      <c r="DX18" s="110">
        <v>0.13541666666666699</v>
      </c>
      <c r="DY18" s="211">
        <f>'HVAC Appliances Austin'!DY18</f>
        <v>0</v>
      </c>
      <c r="DZ18" s="21"/>
      <c r="EA18" s="110">
        <v>0.13541666666666699</v>
      </c>
      <c r="EB18" s="211">
        <f>'HVAC Appliances Amarillo'!EB18</f>
        <v>6900</v>
      </c>
      <c r="EC18" s="110">
        <v>0.13541666666666699</v>
      </c>
      <c r="ED18" s="211">
        <f>'HVAC Appliances Amarillo'!ED18</f>
        <v>12300</v>
      </c>
      <c r="EE18" s="110">
        <v>0.13541666666666699</v>
      </c>
      <c r="EF18" s="211">
        <f>'HVAC Appliances Amarillo'!EF18</f>
        <v>16000</v>
      </c>
      <c r="EG18" s="21"/>
      <c r="EH18" s="110">
        <v>0.13541666666666699</v>
      </c>
      <c r="EI18" s="211">
        <f>'HVAC Appliances Austin'!EI18</f>
        <v>389.80000000000018</v>
      </c>
      <c r="EJ18" s="110">
        <v>0.13541666666666699</v>
      </c>
      <c r="EK18" s="211">
        <f>'HVAC Appliances Austin'!EK18</f>
        <v>576.82829861111134</v>
      </c>
      <c r="EL18" s="110">
        <v>0.13541666666666699</v>
      </c>
      <c r="EM18" s="211">
        <f>'HVAC Appliances Austin'!EM18</f>
        <v>711.68489583333371</v>
      </c>
      <c r="EN18" s="21"/>
      <c r="EO18" s="110">
        <v>0.13541666666666699</v>
      </c>
      <c r="EP18" s="211"/>
      <c r="EQ18" s="21"/>
      <c r="ER18" s="110">
        <v>0.13541666666666699</v>
      </c>
      <c r="ES18" s="264"/>
      <c r="EU18" s="260">
        <v>0.13541666666666699</v>
      </c>
      <c r="EV18" s="209">
        <f>'HVAC Appliances Amarillo'!EV18</f>
        <v>5400</v>
      </c>
      <c r="EW18" s="110">
        <v>0.13541666666666699</v>
      </c>
      <c r="EX18" s="209">
        <f>'HVAC Appliances Amarillo'!EX18</f>
        <v>5400</v>
      </c>
      <c r="EY18" s="110">
        <v>0.13541666666666699</v>
      </c>
      <c r="EZ18" s="308">
        <f>'HVAC Appliances Amarillo'!EZ18</f>
        <v>5400</v>
      </c>
    </row>
    <row r="19" spans="1:156" x14ac:dyDescent="0.3">
      <c r="A19" s="108">
        <v>0.13541666666666699</v>
      </c>
      <c r="B19" s="226">
        <f t="shared" si="0"/>
        <v>0</v>
      </c>
      <c r="C19" s="21">
        <f t="shared" si="1"/>
        <v>353.75</v>
      </c>
      <c r="D19" s="20">
        <f t="shared" si="2"/>
        <v>16000</v>
      </c>
      <c r="E19" s="20">
        <f t="shared" si="3"/>
        <v>5400</v>
      </c>
      <c r="G19" s="260">
        <v>0.14583333333333301</v>
      </c>
      <c r="H19" s="211">
        <f>'HVAC Appliances Austin'!H19</f>
        <v>0</v>
      </c>
      <c r="I19" s="110">
        <v>0.14583333333333301</v>
      </c>
      <c r="J19" s="211">
        <f>'HVAC Appliances Austin'!J19</f>
        <v>0</v>
      </c>
      <c r="K19" s="110">
        <v>0.14583333333333301</v>
      </c>
      <c r="L19" s="211">
        <f>'HVAC Appliances Austin'!L19</f>
        <v>0</v>
      </c>
      <c r="M19" s="21"/>
      <c r="N19" s="110">
        <v>0.14583333333333301</v>
      </c>
      <c r="O19" s="211">
        <f>'HVAC Appliances Austin'!O19</f>
        <v>146.51431249999979</v>
      </c>
      <c r="P19" s="110">
        <v>0.14583333333333301</v>
      </c>
      <c r="Q19" s="211">
        <f>'HVAC Appliances Austin'!Q19</f>
        <v>188.04562499999955</v>
      </c>
      <c r="R19" s="110">
        <v>0.14583333333333301</v>
      </c>
      <c r="S19" s="211">
        <f>'HVAC Appliances Austin'!S19</f>
        <v>216.48674999999963</v>
      </c>
      <c r="T19" s="21"/>
      <c r="U19" s="110">
        <v>0.14583333333333301</v>
      </c>
      <c r="V19" s="211">
        <f>'HVAC Appliances Austin'!V19</f>
        <v>247.24986805555517</v>
      </c>
      <c r="W19" s="110">
        <v>0.14583333333333301</v>
      </c>
      <c r="X19" s="211">
        <f>'HVAC Appliances Austin'!X19</f>
        <v>354.79951388888821</v>
      </c>
      <c r="Y19" s="110">
        <v>0.14583333333333301</v>
      </c>
      <c r="Z19" s="211">
        <f>'HVAC Appliances Austin'!Z19</f>
        <v>427.5706388888878</v>
      </c>
      <c r="AA19" s="21"/>
      <c r="AB19" s="110">
        <v>0.14583333333333301</v>
      </c>
      <c r="AC19" s="211">
        <f>'HVAC Appliances Austin'!AC19</f>
        <v>54.375999999999756</v>
      </c>
      <c r="AD19" s="110">
        <v>0.14583333333333301</v>
      </c>
      <c r="AE19" s="211">
        <f>'HVAC Appliances Austin'!AE19</f>
        <v>40.159999999999755</v>
      </c>
      <c r="AF19" s="110">
        <v>0.14583333333333301</v>
      </c>
      <c r="AG19" s="211">
        <f>'HVAC Appliances Austin'!AG19</f>
        <v>40.231999999999601</v>
      </c>
      <c r="AH19" s="21"/>
      <c r="AI19" s="110">
        <v>0.14583333333333301</v>
      </c>
      <c r="AJ19" s="211">
        <f>'HVAC Appliances Austin'!AJ19</f>
        <v>0</v>
      </c>
      <c r="AK19" s="110">
        <v>0.14583333333333301</v>
      </c>
      <c r="AL19" s="211">
        <f>'HVAC Appliances Austin'!AL19</f>
        <v>0</v>
      </c>
      <c r="AM19" s="110">
        <v>0.14583333333333301</v>
      </c>
      <c r="AN19" s="211">
        <f>'HVAC Appliances Austin'!AN19</f>
        <v>0</v>
      </c>
      <c r="AO19" s="21"/>
      <c r="AP19" s="110">
        <v>0.14583333333333301</v>
      </c>
      <c r="AQ19" s="211">
        <f>'HVAC Appliances Austin'!AQ19</f>
        <v>348.1550347222223</v>
      </c>
      <c r="AR19" s="110">
        <v>0.14583333333333301</v>
      </c>
      <c r="AS19" s="211">
        <f>'HVAC Appliances Austin'!AS19</f>
        <v>523.39618055555582</v>
      </c>
      <c r="AT19" s="110">
        <v>0.14583333333333301</v>
      </c>
      <c r="AU19" s="211">
        <f>'HVAC Appliances Austin'!AU19</f>
        <v>644.67430555555575</v>
      </c>
      <c r="AV19" s="21"/>
      <c r="AW19" s="110">
        <v>0.14583333333333301</v>
      </c>
      <c r="AX19" s="211"/>
      <c r="AY19" s="21"/>
      <c r="AZ19" s="110">
        <v>0.14583333333333301</v>
      </c>
      <c r="BA19" s="264"/>
      <c r="BC19" s="260">
        <v>0.14583333333333301</v>
      </c>
      <c r="BD19" s="211">
        <f>'HVAC Appliances Austin'!BD19</f>
        <v>31.157499999999992</v>
      </c>
      <c r="BE19" s="110">
        <v>0.14583333333333301</v>
      </c>
      <c r="BF19" s="211">
        <f>'HVAC Appliances Austin'!BF19</f>
        <v>52.109999999999992</v>
      </c>
      <c r="BG19" s="110">
        <v>0.14583333333333301</v>
      </c>
      <c r="BH19" s="211">
        <f>'HVAC Appliances Austin'!BH19</f>
        <v>71.749999999999986</v>
      </c>
      <c r="BI19" s="21"/>
      <c r="BJ19" s="110">
        <v>0.14583333333333301</v>
      </c>
      <c r="BK19" s="211">
        <f>'HVAC Appliances Austin'!BK19</f>
        <v>0</v>
      </c>
      <c r="BL19" s="110">
        <v>0.14583333333333301</v>
      </c>
      <c r="BM19" s="211">
        <f>'HVAC Appliances Austin'!BM19</f>
        <v>0</v>
      </c>
      <c r="BN19" s="110">
        <v>0.14583333333333301</v>
      </c>
      <c r="BO19" s="211">
        <f>'HVAC Appliances Austin'!BO19</f>
        <v>0</v>
      </c>
      <c r="BP19" s="21"/>
      <c r="BQ19" s="110">
        <v>0.14583333333333301</v>
      </c>
      <c r="BR19" s="211">
        <f>'HVAC Appliances Austin'!BR19</f>
        <v>0</v>
      </c>
      <c r="BS19" s="110">
        <v>0.14583333333333301</v>
      </c>
      <c r="BT19" s="211">
        <f>'HVAC Appliances Austin'!BT19</f>
        <v>0</v>
      </c>
      <c r="BU19" s="110">
        <v>0.14583333333333301</v>
      </c>
      <c r="BV19" s="211">
        <f>'HVAC Appliances Austin'!BV19</f>
        <v>0</v>
      </c>
      <c r="BW19" s="21"/>
      <c r="BX19" s="110">
        <v>0.14583333333333301</v>
      </c>
      <c r="BY19" s="211">
        <f>'HVAC Appliances Austin'!BY19</f>
        <v>0</v>
      </c>
      <c r="BZ19" s="110">
        <v>0.14583333333333301</v>
      </c>
      <c r="CA19" s="211">
        <f>'HVAC Appliances Austin'!CA19</f>
        <v>0</v>
      </c>
      <c r="CB19" s="110">
        <v>0.14583333333333301</v>
      </c>
      <c r="CC19" s="211">
        <f>'HVAC Appliances Austin'!CC19</f>
        <v>0</v>
      </c>
      <c r="CD19" s="21"/>
      <c r="CE19" s="110">
        <v>0.14583333333333301</v>
      </c>
      <c r="CF19" s="211">
        <f>'HVAC Appliances Austin'!CF19</f>
        <v>135.4975</v>
      </c>
      <c r="CG19" s="110">
        <v>0.14583333333333301</v>
      </c>
      <c r="CH19" s="211">
        <f>'HVAC Appliances Austin'!CH19</f>
        <v>266.43</v>
      </c>
      <c r="CI19" s="110">
        <v>0.14583333333333301</v>
      </c>
      <c r="CJ19" s="211">
        <f>'HVAC Appliances Austin'!CJ19</f>
        <v>353.75</v>
      </c>
      <c r="CK19" s="21"/>
      <c r="CL19" s="110">
        <v>0.14583333333333301</v>
      </c>
      <c r="CM19" s="211">
        <f>'HVAC Appliances Austin'!CM19</f>
        <v>0</v>
      </c>
      <c r="CN19" s="110">
        <v>0.14583333333333301</v>
      </c>
      <c r="CO19" s="211">
        <f>'HVAC Appliances Austin'!CO19</f>
        <v>0</v>
      </c>
      <c r="CP19" s="110">
        <v>0.14583333333333301</v>
      </c>
      <c r="CQ19" s="211">
        <f>'HVAC Appliances Austin'!CQ19</f>
        <v>0</v>
      </c>
      <c r="CR19" s="21"/>
      <c r="CS19" s="110">
        <v>0.14583333333333301</v>
      </c>
      <c r="CT19" s="211"/>
      <c r="CU19" s="21"/>
      <c r="CV19" s="110">
        <v>0.14583333333333301</v>
      </c>
      <c r="CW19" s="264"/>
      <c r="CY19" s="260">
        <v>0.14583333333333301</v>
      </c>
      <c r="CZ19" s="211">
        <f>'HVAC Appliances Austin'!CZ19</f>
        <v>297.21137499999992</v>
      </c>
      <c r="DA19" s="110">
        <v>0.14583333333333301</v>
      </c>
      <c r="DB19" s="211">
        <f>'HVAC Appliances Austin'!DB19</f>
        <v>458.85581249999973</v>
      </c>
      <c r="DC19" s="110">
        <v>0.14583333333333301</v>
      </c>
      <c r="DD19" s="211">
        <f>'HVAC Appliances Austin'!DD19</f>
        <v>629.07449999999972</v>
      </c>
      <c r="DE19" s="21"/>
      <c r="DF19" s="110">
        <v>0.14583333333333301</v>
      </c>
      <c r="DG19" s="211">
        <f>'HVAC Appliances Austin'!DG19</f>
        <v>166.53399999999979</v>
      </c>
      <c r="DH19" s="110">
        <v>0.14583333333333301</v>
      </c>
      <c r="DI19" s="211">
        <f>'HVAC Appliances Austin'!DI19</f>
        <v>208.5776874999996</v>
      </c>
      <c r="DJ19" s="110">
        <v>0.14583333333333301</v>
      </c>
      <c r="DK19" s="211">
        <f>'HVAC Appliances Austin'!DK19</f>
        <v>236.09106249999991</v>
      </c>
      <c r="DL19" s="21"/>
      <c r="DM19" s="110">
        <v>0.14583333333333301</v>
      </c>
      <c r="DN19" s="211">
        <f>'HVAC Appliances Austin'!DN19</f>
        <v>281.64899999999989</v>
      </c>
      <c r="DO19" s="110">
        <v>0.14583333333333301</v>
      </c>
      <c r="DP19" s="211">
        <f>'HVAC Appliances Austin'!DP19</f>
        <v>396.94046527777749</v>
      </c>
      <c r="DQ19" s="110">
        <v>0.14583333333333301</v>
      </c>
      <c r="DR19" s="211">
        <f>'HVAC Appliances Austin'!DR19</f>
        <v>478.7143958333333</v>
      </c>
      <c r="DS19" s="21"/>
      <c r="DT19" s="110">
        <v>0.14583333333333301</v>
      </c>
      <c r="DU19" s="211">
        <f>'HVAC Appliances Austin'!DU19</f>
        <v>0</v>
      </c>
      <c r="DV19" s="110">
        <v>0.14583333333333301</v>
      </c>
      <c r="DW19" s="211">
        <f>'HVAC Appliances Austin'!DW19</f>
        <v>0</v>
      </c>
      <c r="DX19" s="110">
        <v>0.14583333333333301</v>
      </c>
      <c r="DY19" s="211">
        <f>'HVAC Appliances Austin'!DY19</f>
        <v>0</v>
      </c>
      <c r="DZ19" s="21"/>
      <c r="EA19" s="110">
        <v>0.14583333333333301</v>
      </c>
      <c r="EB19" s="211">
        <f>'HVAC Appliances Amarillo'!EB19</f>
        <v>0</v>
      </c>
      <c r="EC19" s="110">
        <v>0.14583333333333301</v>
      </c>
      <c r="ED19" s="211">
        <f>'HVAC Appliances Amarillo'!ED19</f>
        <v>12300</v>
      </c>
      <c r="EE19" s="110">
        <v>0.14583333333333301</v>
      </c>
      <c r="EF19" s="211">
        <f>'HVAC Appliances Amarillo'!EF19</f>
        <v>16000</v>
      </c>
      <c r="EG19" s="21"/>
      <c r="EH19" s="110">
        <v>0.14583333333333301</v>
      </c>
      <c r="EI19" s="211">
        <f>'HVAC Appliances Austin'!EI19</f>
        <v>389.80000000000018</v>
      </c>
      <c r="EJ19" s="110">
        <v>0.14583333333333301</v>
      </c>
      <c r="EK19" s="211">
        <f>'HVAC Appliances Austin'!EK19</f>
        <v>576.82829861111134</v>
      </c>
      <c r="EL19" s="110">
        <v>0.14583333333333301</v>
      </c>
      <c r="EM19" s="211">
        <f>'HVAC Appliances Austin'!EM19</f>
        <v>711.68489583333371</v>
      </c>
      <c r="EN19" s="21"/>
      <c r="EO19" s="110">
        <v>0.14583333333333301</v>
      </c>
      <c r="EP19" s="211"/>
      <c r="EQ19" s="21"/>
      <c r="ER19" s="110">
        <v>0.14583333333333301</v>
      </c>
      <c r="ES19" s="264"/>
      <c r="EU19" s="260">
        <v>0.14583333333333301</v>
      </c>
      <c r="EV19" s="209">
        <f>'HVAC Appliances Amarillo'!EV19</f>
        <v>0</v>
      </c>
      <c r="EW19" s="110">
        <v>0.14583333333333301</v>
      </c>
      <c r="EX19" s="209">
        <f>'HVAC Appliances Amarillo'!EX19</f>
        <v>5400</v>
      </c>
      <c r="EY19" s="110">
        <v>0.14583333333333301</v>
      </c>
      <c r="EZ19" s="308">
        <f>'HVAC Appliances Amarillo'!EZ19</f>
        <v>5400</v>
      </c>
    </row>
    <row r="20" spans="1:156" x14ac:dyDescent="0.3">
      <c r="A20" s="108">
        <v>0.14583333333333301</v>
      </c>
      <c r="B20" s="226">
        <f t="shared" si="0"/>
        <v>0</v>
      </c>
      <c r="C20" s="21">
        <f t="shared" si="1"/>
        <v>353.75</v>
      </c>
      <c r="D20" s="20">
        <f t="shared" si="2"/>
        <v>16000</v>
      </c>
      <c r="E20" s="20">
        <f t="shared" si="3"/>
        <v>5400</v>
      </c>
      <c r="G20" s="260">
        <v>0.15625</v>
      </c>
      <c r="H20" s="211">
        <f>'HVAC Appliances Austin'!H20</f>
        <v>0</v>
      </c>
      <c r="I20" s="110">
        <v>0.15625</v>
      </c>
      <c r="J20" s="211">
        <f>'HVAC Appliances Austin'!J20</f>
        <v>0</v>
      </c>
      <c r="K20" s="110">
        <v>0.15625</v>
      </c>
      <c r="L20" s="211">
        <f>'HVAC Appliances Austin'!L20</f>
        <v>0</v>
      </c>
      <c r="M20" s="21"/>
      <c r="N20" s="110">
        <v>0.15625</v>
      </c>
      <c r="O20" s="211">
        <f>'HVAC Appliances Austin'!O20</f>
        <v>146.51431249999979</v>
      </c>
      <c r="P20" s="110">
        <v>0.15625</v>
      </c>
      <c r="Q20" s="211">
        <f>'HVAC Appliances Austin'!Q20</f>
        <v>188.04562499999955</v>
      </c>
      <c r="R20" s="110">
        <v>0.15625</v>
      </c>
      <c r="S20" s="211">
        <f>'HVAC Appliances Austin'!S20</f>
        <v>216.48674999999963</v>
      </c>
      <c r="T20" s="21"/>
      <c r="U20" s="110">
        <v>0.15625</v>
      </c>
      <c r="V20" s="211">
        <f>'HVAC Appliances Austin'!V20</f>
        <v>247.24986805555517</v>
      </c>
      <c r="W20" s="110">
        <v>0.15625</v>
      </c>
      <c r="X20" s="211">
        <f>'HVAC Appliances Austin'!X20</f>
        <v>354.79951388888821</v>
      </c>
      <c r="Y20" s="110">
        <v>0.15625</v>
      </c>
      <c r="Z20" s="211">
        <f>'HVAC Appliances Austin'!Z20</f>
        <v>427.5706388888878</v>
      </c>
      <c r="AA20" s="21"/>
      <c r="AB20" s="110">
        <v>0.15625</v>
      </c>
      <c r="AC20" s="211">
        <f>'HVAC Appliances Austin'!AC20</f>
        <v>54.375999999999756</v>
      </c>
      <c r="AD20" s="110">
        <v>0.15625</v>
      </c>
      <c r="AE20" s="211">
        <f>'HVAC Appliances Austin'!AE20</f>
        <v>40.159999999999755</v>
      </c>
      <c r="AF20" s="110">
        <v>0.15625</v>
      </c>
      <c r="AG20" s="211">
        <f>'HVAC Appliances Austin'!AG20</f>
        <v>40.231999999999601</v>
      </c>
      <c r="AH20" s="21"/>
      <c r="AI20" s="110">
        <v>0.15625</v>
      </c>
      <c r="AJ20" s="211">
        <f>'HVAC Appliances Austin'!AJ20</f>
        <v>0</v>
      </c>
      <c r="AK20" s="110">
        <v>0.15625</v>
      </c>
      <c r="AL20" s="211">
        <f>'HVAC Appliances Austin'!AL20</f>
        <v>0</v>
      </c>
      <c r="AM20" s="110">
        <v>0.15625</v>
      </c>
      <c r="AN20" s="211">
        <f>'HVAC Appliances Austin'!AN20</f>
        <v>0</v>
      </c>
      <c r="AO20" s="21"/>
      <c r="AP20" s="110">
        <v>0.15625</v>
      </c>
      <c r="AQ20" s="211">
        <f>'HVAC Appliances Austin'!AQ20</f>
        <v>348.1550347222223</v>
      </c>
      <c r="AR20" s="110">
        <v>0.15625</v>
      </c>
      <c r="AS20" s="211">
        <f>'HVAC Appliances Austin'!AS20</f>
        <v>523.39618055555582</v>
      </c>
      <c r="AT20" s="110">
        <v>0.15625</v>
      </c>
      <c r="AU20" s="211">
        <f>'HVAC Appliances Austin'!AU20</f>
        <v>644.67430555555575</v>
      </c>
      <c r="AV20" s="21"/>
      <c r="AW20" s="110">
        <v>0.15625</v>
      </c>
      <c r="AX20" s="211"/>
      <c r="AY20" s="21"/>
      <c r="AZ20" s="110">
        <v>0.15625</v>
      </c>
      <c r="BA20" s="264"/>
      <c r="BC20" s="260">
        <v>0.15625</v>
      </c>
      <c r="BD20" s="211">
        <f>'HVAC Appliances Austin'!BD20</f>
        <v>31.157499999999992</v>
      </c>
      <c r="BE20" s="110">
        <v>0.15625</v>
      </c>
      <c r="BF20" s="211">
        <f>'HVAC Appliances Austin'!BF20</f>
        <v>52.109999999999992</v>
      </c>
      <c r="BG20" s="110">
        <v>0.15625</v>
      </c>
      <c r="BH20" s="211">
        <f>'HVAC Appliances Austin'!BH20</f>
        <v>71.749999999999986</v>
      </c>
      <c r="BI20" s="21"/>
      <c r="BJ20" s="110">
        <v>0.15625</v>
      </c>
      <c r="BK20" s="211">
        <f>'HVAC Appliances Austin'!BK20</f>
        <v>0</v>
      </c>
      <c r="BL20" s="110">
        <v>0.15625</v>
      </c>
      <c r="BM20" s="211">
        <f>'HVAC Appliances Austin'!BM20</f>
        <v>0</v>
      </c>
      <c r="BN20" s="110">
        <v>0.15625</v>
      </c>
      <c r="BO20" s="211">
        <f>'HVAC Appliances Austin'!BO20</f>
        <v>0</v>
      </c>
      <c r="BP20" s="21"/>
      <c r="BQ20" s="110">
        <v>0.15625</v>
      </c>
      <c r="BR20" s="211">
        <f>'HVAC Appliances Austin'!BR20</f>
        <v>0</v>
      </c>
      <c r="BS20" s="110">
        <v>0.15625</v>
      </c>
      <c r="BT20" s="211">
        <f>'HVAC Appliances Austin'!BT20</f>
        <v>0</v>
      </c>
      <c r="BU20" s="110">
        <v>0.15625</v>
      </c>
      <c r="BV20" s="211">
        <f>'HVAC Appliances Austin'!BV20</f>
        <v>0</v>
      </c>
      <c r="BW20" s="21"/>
      <c r="BX20" s="110">
        <v>0.15625</v>
      </c>
      <c r="BY20" s="211">
        <f>'HVAC Appliances Austin'!BY20</f>
        <v>0</v>
      </c>
      <c r="BZ20" s="110">
        <v>0.15625</v>
      </c>
      <c r="CA20" s="211">
        <f>'HVAC Appliances Austin'!CA20</f>
        <v>0</v>
      </c>
      <c r="CB20" s="110">
        <v>0.15625</v>
      </c>
      <c r="CC20" s="211">
        <f>'HVAC Appliances Austin'!CC20</f>
        <v>0</v>
      </c>
      <c r="CD20" s="21"/>
      <c r="CE20" s="110">
        <v>0.15625</v>
      </c>
      <c r="CF20" s="211">
        <f>'HVAC Appliances Austin'!CF20</f>
        <v>135.4975</v>
      </c>
      <c r="CG20" s="110">
        <v>0.15625</v>
      </c>
      <c r="CH20" s="211">
        <f>'HVAC Appliances Austin'!CH20</f>
        <v>266.43</v>
      </c>
      <c r="CI20" s="110">
        <v>0.15625</v>
      </c>
      <c r="CJ20" s="211">
        <f>'HVAC Appliances Austin'!CJ20</f>
        <v>353.75</v>
      </c>
      <c r="CK20" s="21"/>
      <c r="CL20" s="110">
        <v>0.15625</v>
      </c>
      <c r="CM20" s="211">
        <f>'HVAC Appliances Austin'!CM20</f>
        <v>0</v>
      </c>
      <c r="CN20" s="110">
        <v>0.15625</v>
      </c>
      <c r="CO20" s="211">
        <f>'HVAC Appliances Austin'!CO20</f>
        <v>0</v>
      </c>
      <c r="CP20" s="110">
        <v>0.15625</v>
      </c>
      <c r="CQ20" s="211">
        <f>'HVAC Appliances Austin'!CQ20</f>
        <v>0</v>
      </c>
      <c r="CR20" s="21"/>
      <c r="CS20" s="110">
        <v>0.15625</v>
      </c>
      <c r="CT20" s="211"/>
      <c r="CU20" s="21"/>
      <c r="CV20" s="110">
        <v>0.15625</v>
      </c>
      <c r="CW20" s="264"/>
      <c r="CY20" s="260">
        <v>0.15625</v>
      </c>
      <c r="CZ20" s="211">
        <f>'HVAC Appliances Austin'!CZ20</f>
        <v>297.21137499999992</v>
      </c>
      <c r="DA20" s="110">
        <v>0.15625</v>
      </c>
      <c r="DB20" s="211">
        <f>'HVAC Appliances Austin'!DB20</f>
        <v>458.85581249999973</v>
      </c>
      <c r="DC20" s="110">
        <v>0.15625</v>
      </c>
      <c r="DD20" s="211">
        <f>'HVAC Appliances Austin'!DD20</f>
        <v>629.07449999999972</v>
      </c>
      <c r="DE20" s="21"/>
      <c r="DF20" s="110">
        <v>0.15625</v>
      </c>
      <c r="DG20" s="211">
        <f>'HVAC Appliances Austin'!DG20</f>
        <v>166.53399999999979</v>
      </c>
      <c r="DH20" s="110">
        <v>0.15625</v>
      </c>
      <c r="DI20" s="211">
        <f>'HVAC Appliances Austin'!DI20</f>
        <v>208.5776874999996</v>
      </c>
      <c r="DJ20" s="110">
        <v>0.15625</v>
      </c>
      <c r="DK20" s="211">
        <f>'HVAC Appliances Austin'!DK20</f>
        <v>236.09106249999991</v>
      </c>
      <c r="DL20" s="21"/>
      <c r="DM20" s="110">
        <v>0.15625</v>
      </c>
      <c r="DN20" s="211">
        <f>'HVAC Appliances Austin'!DN20</f>
        <v>281.64899999999989</v>
      </c>
      <c r="DO20" s="110">
        <v>0.15625</v>
      </c>
      <c r="DP20" s="211">
        <f>'HVAC Appliances Austin'!DP20</f>
        <v>396.94046527777749</v>
      </c>
      <c r="DQ20" s="110">
        <v>0.15625</v>
      </c>
      <c r="DR20" s="211">
        <f>'HVAC Appliances Austin'!DR20</f>
        <v>478.7143958333333</v>
      </c>
      <c r="DS20" s="21"/>
      <c r="DT20" s="110">
        <v>0.15625</v>
      </c>
      <c r="DU20" s="211">
        <f>'HVAC Appliances Austin'!DU20</f>
        <v>0</v>
      </c>
      <c r="DV20" s="110">
        <v>0.15625</v>
      </c>
      <c r="DW20" s="211">
        <f>'HVAC Appliances Austin'!DW20</f>
        <v>0</v>
      </c>
      <c r="DX20" s="110">
        <v>0.15625</v>
      </c>
      <c r="DY20" s="211">
        <f>'HVAC Appliances Austin'!DY20</f>
        <v>0</v>
      </c>
      <c r="DZ20" s="21"/>
      <c r="EA20" s="110">
        <v>0.15625</v>
      </c>
      <c r="EB20" s="211">
        <f>'HVAC Appliances Amarillo'!EB20</f>
        <v>0</v>
      </c>
      <c r="EC20" s="110">
        <v>0.15625</v>
      </c>
      <c r="ED20" s="211">
        <f>'HVAC Appliances Amarillo'!ED20</f>
        <v>0</v>
      </c>
      <c r="EE20" s="110">
        <v>0.15625</v>
      </c>
      <c r="EF20" s="211">
        <f>'HVAC Appliances Amarillo'!EF20</f>
        <v>0</v>
      </c>
      <c r="EG20" s="21"/>
      <c r="EH20" s="110">
        <v>0.15625</v>
      </c>
      <c r="EI20" s="211">
        <f>'HVAC Appliances Austin'!EI20</f>
        <v>389.80000000000018</v>
      </c>
      <c r="EJ20" s="110">
        <v>0.15625</v>
      </c>
      <c r="EK20" s="211">
        <f>'HVAC Appliances Austin'!EK20</f>
        <v>576.82829861111134</v>
      </c>
      <c r="EL20" s="110">
        <v>0.15625</v>
      </c>
      <c r="EM20" s="211">
        <f>'HVAC Appliances Austin'!EM20</f>
        <v>711.68489583333371</v>
      </c>
      <c r="EN20" s="21"/>
      <c r="EO20" s="110">
        <v>0.15625</v>
      </c>
      <c r="EP20" s="211"/>
      <c r="EQ20" s="21"/>
      <c r="ER20" s="110">
        <v>0.15625</v>
      </c>
      <c r="ES20" s="264"/>
      <c r="EU20" s="260">
        <v>0.15625</v>
      </c>
      <c r="EV20" s="209">
        <f>'HVAC Appliances Amarillo'!EV20</f>
        <v>0</v>
      </c>
      <c r="EW20" s="110">
        <v>0.15625</v>
      </c>
      <c r="EX20" s="209">
        <f>'HVAC Appliances Amarillo'!EX20</f>
        <v>0</v>
      </c>
      <c r="EY20" s="110">
        <v>0.15625</v>
      </c>
      <c r="EZ20" s="308">
        <f>'HVAC Appliances Amarillo'!EZ20</f>
        <v>0</v>
      </c>
    </row>
    <row r="21" spans="1:156" x14ac:dyDescent="0.3">
      <c r="A21" s="108">
        <v>0.15625</v>
      </c>
      <c r="B21" s="226">
        <f t="shared" si="0"/>
        <v>0</v>
      </c>
      <c r="C21" s="21">
        <f t="shared" si="1"/>
        <v>353.75</v>
      </c>
      <c r="D21" s="20">
        <f t="shared" si="2"/>
        <v>0</v>
      </c>
      <c r="E21" s="20">
        <f t="shared" si="3"/>
        <v>0</v>
      </c>
      <c r="G21" s="260">
        <v>0.16666666666666699</v>
      </c>
      <c r="H21" s="211">
        <f>'HVAC Appliances Austin'!H21</f>
        <v>0</v>
      </c>
      <c r="I21" s="110">
        <v>0.16666666666666699</v>
      </c>
      <c r="J21" s="211">
        <f>'HVAC Appliances Austin'!J21</f>
        <v>0</v>
      </c>
      <c r="K21" s="110">
        <v>0.16666666666666699</v>
      </c>
      <c r="L21" s="211">
        <f>'HVAC Appliances Austin'!L21</f>
        <v>0</v>
      </c>
      <c r="M21" s="21"/>
      <c r="N21" s="110">
        <v>0.16666666666666699</v>
      </c>
      <c r="O21" s="211">
        <f>'HVAC Appliances Austin'!O21</f>
        <v>148.88420138888881</v>
      </c>
      <c r="P21" s="110">
        <v>0.16666666666666699</v>
      </c>
      <c r="Q21" s="211">
        <f>'HVAC Appliances Austin'!Q21</f>
        <v>191.93784722222196</v>
      </c>
      <c r="R21" s="110">
        <v>0.16666666666666699</v>
      </c>
      <c r="S21" s="211">
        <f>'HVAC Appliances Austin'!S21</f>
        <v>221.3409722222215</v>
      </c>
      <c r="T21" s="21"/>
      <c r="U21" s="110">
        <v>0.16666666666666699</v>
      </c>
      <c r="V21" s="211">
        <f>'HVAC Appliances Austin'!V21</f>
        <v>263.9648680555552</v>
      </c>
      <c r="W21" s="110">
        <v>0.16666666666666699</v>
      </c>
      <c r="X21" s="211">
        <f>'HVAC Appliances Austin'!X21</f>
        <v>382.64951388888858</v>
      </c>
      <c r="Y21" s="110">
        <v>0.16666666666666699</v>
      </c>
      <c r="Z21" s="211">
        <f>'HVAC Appliances Austin'!Z21</f>
        <v>463.25063888888798</v>
      </c>
      <c r="AA21" s="21"/>
      <c r="AB21" s="110">
        <v>0.16666666666666699</v>
      </c>
      <c r="AC21" s="211">
        <f>'HVAC Appliances Austin'!AC21</f>
        <v>54.375999999999756</v>
      </c>
      <c r="AD21" s="110">
        <v>0.16666666666666699</v>
      </c>
      <c r="AE21" s="211">
        <f>'HVAC Appliances Austin'!AE21</f>
        <v>40.159999999999755</v>
      </c>
      <c r="AF21" s="110">
        <v>0.16666666666666699</v>
      </c>
      <c r="AG21" s="211">
        <f>'HVAC Appliances Austin'!AG21</f>
        <v>40.231999999999601</v>
      </c>
      <c r="AH21" s="21"/>
      <c r="AI21" s="110">
        <v>0.16666666666666699</v>
      </c>
      <c r="AJ21" s="211">
        <f>'HVAC Appliances Austin'!AJ21</f>
        <v>0</v>
      </c>
      <c r="AK21" s="110">
        <v>0.16666666666666699</v>
      </c>
      <c r="AL21" s="211">
        <f>'HVAC Appliances Austin'!AL21</f>
        <v>0</v>
      </c>
      <c r="AM21" s="110">
        <v>0.16666666666666699</v>
      </c>
      <c r="AN21" s="211">
        <f>'HVAC Appliances Austin'!AN21</f>
        <v>0</v>
      </c>
      <c r="AO21" s="21"/>
      <c r="AP21" s="110">
        <v>0.16666666666666699</v>
      </c>
      <c r="AQ21" s="211">
        <f>'HVAC Appliances Austin'!AQ21</f>
        <v>335.79999999999956</v>
      </c>
      <c r="AR21" s="110">
        <v>0.16666666666666699</v>
      </c>
      <c r="AS21" s="211">
        <f>'HVAC Appliances Austin'!AS21</f>
        <v>502.69999999999993</v>
      </c>
      <c r="AT21" s="110">
        <v>0.16666666666666699</v>
      </c>
      <c r="AU21" s="211">
        <f>'HVAC Appliances Austin'!AU21</f>
        <v>617.90000000000009</v>
      </c>
      <c r="AV21" s="21"/>
      <c r="AW21" s="110">
        <v>0.16666666666666699</v>
      </c>
      <c r="AX21" s="211"/>
      <c r="AY21" s="21"/>
      <c r="AZ21" s="110">
        <v>0.16666666666666699</v>
      </c>
      <c r="BA21" s="264"/>
      <c r="BC21" s="260">
        <v>0.16666666666666699</v>
      </c>
      <c r="BD21" s="211">
        <f>'HVAC Appliances Austin'!BD21</f>
        <v>24.68249999999999</v>
      </c>
      <c r="BE21" s="110">
        <v>0.16666666666666699</v>
      </c>
      <c r="BF21" s="211">
        <f>'HVAC Appliances Austin'!BF21</f>
        <v>38.809999999999981</v>
      </c>
      <c r="BG21" s="110">
        <v>0.16666666666666699</v>
      </c>
      <c r="BH21" s="211">
        <f>'HVAC Appliances Austin'!BH21</f>
        <v>54.249999999999993</v>
      </c>
      <c r="BI21" s="21"/>
      <c r="BJ21" s="110">
        <v>0.16666666666666699</v>
      </c>
      <c r="BK21" s="211">
        <f>'HVAC Appliances Austin'!BK21</f>
        <v>0</v>
      </c>
      <c r="BL21" s="110">
        <v>0.16666666666666699</v>
      </c>
      <c r="BM21" s="211">
        <f>'HVAC Appliances Austin'!BM21</f>
        <v>0</v>
      </c>
      <c r="BN21" s="110">
        <v>0.16666666666666699</v>
      </c>
      <c r="BO21" s="211">
        <f>'HVAC Appliances Austin'!BO21</f>
        <v>0</v>
      </c>
      <c r="BP21" s="21"/>
      <c r="BQ21" s="110">
        <v>0.16666666666666699</v>
      </c>
      <c r="BR21" s="211">
        <f>'HVAC Appliances Austin'!BR21</f>
        <v>0</v>
      </c>
      <c r="BS21" s="110">
        <v>0.16666666666666699</v>
      </c>
      <c r="BT21" s="211">
        <f>'HVAC Appliances Austin'!BT21</f>
        <v>0</v>
      </c>
      <c r="BU21" s="110">
        <v>0.16666666666666699</v>
      </c>
      <c r="BV21" s="211">
        <f>'HVAC Appliances Austin'!BV21</f>
        <v>0</v>
      </c>
      <c r="BW21" s="21"/>
      <c r="BX21" s="110">
        <v>0.16666666666666699</v>
      </c>
      <c r="BY21" s="211">
        <f>'HVAC Appliances Austin'!BY21</f>
        <v>0</v>
      </c>
      <c r="BZ21" s="110">
        <v>0.16666666666666699</v>
      </c>
      <c r="CA21" s="211">
        <f>'HVAC Appliances Austin'!CA21</f>
        <v>0</v>
      </c>
      <c r="CB21" s="110">
        <v>0.16666666666666699</v>
      </c>
      <c r="CC21" s="211">
        <f>'HVAC Appliances Austin'!CC21</f>
        <v>0</v>
      </c>
      <c r="CD21" s="21"/>
      <c r="CE21" s="110">
        <v>0.16666666666666699</v>
      </c>
      <c r="CF21" s="211">
        <f>'HVAC Appliances Austin'!CF21</f>
        <v>136.94666666666666</v>
      </c>
      <c r="CG21" s="110">
        <v>0.16666666666666699</v>
      </c>
      <c r="CH21" s="211">
        <f>'HVAC Appliances Austin'!CH21</f>
        <v>269.40666666666669</v>
      </c>
      <c r="CI21" s="110">
        <v>0.16666666666666699</v>
      </c>
      <c r="CJ21" s="211">
        <f>'HVAC Appliances Austin'!CJ21</f>
        <v>357.66666666666669</v>
      </c>
      <c r="CK21" s="21"/>
      <c r="CL21" s="110">
        <v>0.16666666666666699</v>
      </c>
      <c r="CM21" s="211">
        <f>'HVAC Appliances Austin'!CM21</f>
        <v>0</v>
      </c>
      <c r="CN21" s="110">
        <v>0.16666666666666699</v>
      </c>
      <c r="CO21" s="211">
        <f>'HVAC Appliances Austin'!CO21</f>
        <v>0</v>
      </c>
      <c r="CP21" s="110">
        <v>0.16666666666666699</v>
      </c>
      <c r="CQ21" s="211">
        <f>'HVAC Appliances Austin'!CQ21</f>
        <v>0</v>
      </c>
      <c r="CR21" s="21"/>
      <c r="CS21" s="110">
        <v>0.16666666666666699</v>
      </c>
      <c r="CT21" s="211"/>
      <c r="CU21" s="21"/>
      <c r="CV21" s="110">
        <v>0.16666666666666699</v>
      </c>
      <c r="CW21" s="264"/>
      <c r="CY21" s="260">
        <v>0.16666666666666699</v>
      </c>
      <c r="CZ21" s="211">
        <f>'HVAC Appliances Austin'!CZ21</f>
        <v>224.34137499999986</v>
      </c>
      <c r="DA21" s="110">
        <v>0.16666666666666699</v>
      </c>
      <c r="DB21" s="211">
        <f>'HVAC Appliances Austin'!DB21</f>
        <v>323.4758124999999</v>
      </c>
      <c r="DC21" s="110">
        <v>0.16666666666666699</v>
      </c>
      <c r="DD21" s="211">
        <f>'HVAC Appliances Austin'!DD21</f>
        <v>446.65449999999976</v>
      </c>
      <c r="DE21" s="21"/>
      <c r="DF21" s="110">
        <v>0.16666666666666699</v>
      </c>
      <c r="DG21" s="211">
        <f>'HVAC Appliances Austin'!DG21</f>
        <v>169.38333333333327</v>
      </c>
      <c r="DH21" s="110">
        <v>0.16666666666666699</v>
      </c>
      <c r="DI21" s="211">
        <f>'HVAC Appliances Austin'!DI21</f>
        <v>213.18246527777762</v>
      </c>
      <c r="DJ21" s="110">
        <v>0.16666666666666699</v>
      </c>
      <c r="DK21" s="211">
        <f>'HVAC Appliances Austin'!DK21</f>
        <v>241.99739583333323</v>
      </c>
      <c r="DL21" s="21"/>
      <c r="DM21" s="110">
        <v>0.16666666666666699</v>
      </c>
      <c r="DN21" s="211">
        <f>'HVAC Appliances Austin'!DN21</f>
        <v>299.92233333333326</v>
      </c>
      <c r="DO21" s="110">
        <v>0.16666666666666699</v>
      </c>
      <c r="DP21" s="211">
        <f>'HVAC Appliances Austin'!DP21</f>
        <v>427.17879861111061</v>
      </c>
      <c r="DQ21" s="110">
        <v>0.16666666666666699</v>
      </c>
      <c r="DR21" s="211">
        <f>'HVAC Appliances Austin'!DR21</f>
        <v>517.80939583333293</v>
      </c>
      <c r="DS21" s="21"/>
      <c r="DT21" s="110">
        <v>0.16666666666666699</v>
      </c>
      <c r="DU21" s="211">
        <f>'HVAC Appliances Austin'!DU21</f>
        <v>0</v>
      </c>
      <c r="DV21" s="110">
        <v>0.16666666666666699</v>
      </c>
      <c r="DW21" s="211">
        <f>'HVAC Appliances Austin'!DW21</f>
        <v>0</v>
      </c>
      <c r="DX21" s="110">
        <v>0.16666666666666699</v>
      </c>
      <c r="DY21" s="211">
        <f>'HVAC Appliances Austin'!DY21</f>
        <v>0</v>
      </c>
      <c r="DZ21" s="21"/>
      <c r="EA21" s="110">
        <v>0.16666666666666699</v>
      </c>
      <c r="EB21" s="211">
        <f>'HVAC Appliances Amarillo'!EB21</f>
        <v>6900</v>
      </c>
      <c r="EC21" s="110">
        <v>0.16666666666666699</v>
      </c>
      <c r="ED21" s="211">
        <f>'HVAC Appliances Amarillo'!ED21</f>
        <v>12300</v>
      </c>
      <c r="EE21" s="110">
        <v>0.16666666666666699</v>
      </c>
      <c r="EF21" s="211">
        <f>'HVAC Appliances Amarillo'!EF21</f>
        <v>16000</v>
      </c>
      <c r="EG21" s="21"/>
      <c r="EH21" s="110">
        <v>0.16666666666666699</v>
      </c>
      <c r="EI21" s="211">
        <f>'HVAC Appliances Austin'!EI21</f>
        <v>376.79999999999984</v>
      </c>
      <c r="EJ21" s="110">
        <v>0.16666666666666699</v>
      </c>
      <c r="EK21" s="211">
        <f>'HVAC Appliances Austin'!EK21</f>
        <v>555.09999999999991</v>
      </c>
      <c r="EL21" s="110">
        <v>0.16666666666666699</v>
      </c>
      <c r="EM21" s="211">
        <f>'HVAC Appliances Austin'!EM21</f>
        <v>683.5</v>
      </c>
      <c r="EN21" s="21"/>
      <c r="EO21" s="110">
        <v>0.16666666666666699</v>
      </c>
      <c r="EP21" s="211"/>
      <c r="EQ21" s="21"/>
      <c r="ER21" s="110">
        <v>0.16666666666666699</v>
      </c>
      <c r="ES21" s="264"/>
      <c r="EU21" s="260">
        <v>0.16666666666666699</v>
      </c>
      <c r="EV21" s="209">
        <f>'HVAC Appliances Amarillo'!EV21</f>
        <v>5400</v>
      </c>
      <c r="EW21" s="110">
        <v>0.16666666666666699</v>
      </c>
      <c r="EX21" s="209">
        <f>'HVAC Appliances Amarillo'!EX21</f>
        <v>5400</v>
      </c>
      <c r="EY21" s="110">
        <v>0.16666666666666699</v>
      </c>
      <c r="EZ21" s="308">
        <f>'HVAC Appliances Amarillo'!EZ21</f>
        <v>5400</v>
      </c>
    </row>
    <row r="22" spans="1:156" x14ac:dyDescent="0.3">
      <c r="A22" s="108">
        <v>0.16666666666666699</v>
      </c>
      <c r="B22" s="226">
        <f t="shared" si="0"/>
        <v>0</v>
      </c>
      <c r="C22" s="21">
        <f t="shared" si="1"/>
        <v>357.66666666666669</v>
      </c>
      <c r="D22" s="20">
        <f t="shared" si="2"/>
        <v>16000</v>
      </c>
      <c r="E22" s="20">
        <f t="shared" si="3"/>
        <v>5400</v>
      </c>
      <c r="G22" s="260">
        <v>0.17708333333333301</v>
      </c>
      <c r="H22" s="211">
        <f>'HVAC Appliances Austin'!H22</f>
        <v>0</v>
      </c>
      <c r="I22" s="110">
        <v>0.17708333333333301</v>
      </c>
      <c r="J22" s="211">
        <f>'HVAC Appliances Austin'!J22</f>
        <v>0</v>
      </c>
      <c r="K22" s="110">
        <v>0.17708333333333301</v>
      </c>
      <c r="L22" s="211">
        <f>'HVAC Appliances Austin'!L22</f>
        <v>0</v>
      </c>
      <c r="M22" s="21"/>
      <c r="N22" s="110">
        <v>0.17708333333333301</v>
      </c>
      <c r="O22" s="211">
        <f>'HVAC Appliances Austin'!O22</f>
        <v>148.88420138888881</v>
      </c>
      <c r="P22" s="110">
        <v>0.17708333333333301</v>
      </c>
      <c r="Q22" s="211">
        <f>'HVAC Appliances Austin'!Q22</f>
        <v>191.93784722222196</v>
      </c>
      <c r="R22" s="110">
        <v>0.17708333333333301</v>
      </c>
      <c r="S22" s="211">
        <f>'HVAC Appliances Austin'!S22</f>
        <v>221.3409722222215</v>
      </c>
      <c r="T22" s="21"/>
      <c r="U22" s="110">
        <v>0.17708333333333301</v>
      </c>
      <c r="V22" s="211">
        <f>'HVAC Appliances Austin'!V22</f>
        <v>263.9648680555552</v>
      </c>
      <c r="W22" s="110">
        <v>0.17708333333333301</v>
      </c>
      <c r="X22" s="211">
        <f>'HVAC Appliances Austin'!X22</f>
        <v>382.64951388888858</v>
      </c>
      <c r="Y22" s="110">
        <v>0.17708333333333301</v>
      </c>
      <c r="Z22" s="211">
        <f>'HVAC Appliances Austin'!Z22</f>
        <v>463.25063888888798</v>
      </c>
      <c r="AA22" s="21"/>
      <c r="AB22" s="110">
        <v>0.17708333333333301</v>
      </c>
      <c r="AC22" s="211">
        <f>'HVAC Appliances Austin'!AC22</f>
        <v>54.375999999999756</v>
      </c>
      <c r="AD22" s="110">
        <v>0.17708333333333301</v>
      </c>
      <c r="AE22" s="211">
        <f>'HVAC Appliances Austin'!AE22</f>
        <v>40.159999999999755</v>
      </c>
      <c r="AF22" s="110">
        <v>0.17708333333333301</v>
      </c>
      <c r="AG22" s="211">
        <f>'HVAC Appliances Austin'!AG22</f>
        <v>40.231999999999601</v>
      </c>
      <c r="AH22" s="21"/>
      <c r="AI22" s="110">
        <v>0.17708333333333301</v>
      </c>
      <c r="AJ22" s="211">
        <f>'HVAC Appliances Austin'!AJ22</f>
        <v>0</v>
      </c>
      <c r="AK22" s="110">
        <v>0.17708333333333301</v>
      </c>
      <c r="AL22" s="211">
        <f>'HVAC Appliances Austin'!AL22</f>
        <v>0</v>
      </c>
      <c r="AM22" s="110">
        <v>0.17708333333333301</v>
      </c>
      <c r="AN22" s="211">
        <f>'HVAC Appliances Austin'!AN22</f>
        <v>0</v>
      </c>
      <c r="AO22" s="21"/>
      <c r="AP22" s="110">
        <v>0.17708333333333301</v>
      </c>
      <c r="AQ22" s="211">
        <f>'HVAC Appliances Austin'!AQ22</f>
        <v>335.79999999999956</v>
      </c>
      <c r="AR22" s="110">
        <v>0.17708333333333301</v>
      </c>
      <c r="AS22" s="211">
        <f>'HVAC Appliances Austin'!AS22</f>
        <v>502.69999999999993</v>
      </c>
      <c r="AT22" s="110">
        <v>0.17708333333333301</v>
      </c>
      <c r="AU22" s="211">
        <f>'HVAC Appliances Austin'!AU22</f>
        <v>617.90000000000009</v>
      </c>
      <c r="AV22" s="21"/>
      <c r="AW22" s="110">
        <v>0.17708333333333301</v>
      </c>
      <c r="AX22" s="211"/>
      <c r="AY22" s="21"/>
      <c r="AZ22" s="110">
        <v>0.17708333333333301</v>
      </c>
      <c r="BA22" s="264"/>
      <c r="BC22" s="260">
        <v>0.17708333333333301</v>
      </c>
      <c r="BD22" s="211">
        <f>'HVAC Appliances Austin'!BD22</f>
        <v>24.68249999999999</v>
      </c>
      <c r="BE22" s="110">
        <v>0.17708333333333301</v>
      </c>
      <c r="BF22" s="211">
        <f>'HVAC Appliances Austin'!BF22</f>
        <v>38.809999999999981</v>
      </c>
      <c r="BG22" s="110">
        <v>0.17708333333333301</v>
      </c>
      <c r="BH22" s="211">
        <f>'HVAC Appliances Austin'!BH22</f>
        <v>54.249999999999993</v>
      </c>
      <c r="BI22" s="21"/>
      <c r="BJ22" s="110">
        <v>0.17708333333333301</v>
      </c>
      <c r="BK22" s="211">
        <f>'HVAC Appliances Austin'!BK22</f>
        <v>0</v>
      </c>
      <c r="BL22" s="110">
        <v>0.17708333333333301</v>
      </c>
      <c r="BM22" s="211">
        <f>'HVAC Appliances Austin'!BM22</f>
        <v>0</v>
      </c>
      <c r="BN22" s="110">
        <v>0.17708333333333301</v>
      </c>
      <c r="BO22" s="211">
        <f>'HVAC Appliances Austin'!BO22</f>
        <v>0</v>
      </c>
      <c r="BP22" s="21"/>
      <c r="BQ22" s="110">
        <v>0.17708333333333301</v>
      </c>
      <c r="BR22" s="211">
        <f>'HVAC Appliances Austin'!BR22</f>
        <v>0</v>
      </c>
      <c r="BS22" s="110">
        <v>0.17708333333333301</v>
      </c>
      <c r="BT22" s="211">
        <f>'HVAC Appliances Austin'!BT22</f>
        <v>0</v>
      </c>
      <c r="BU22" s="110">
        <v>0.17708333333333301</v>
      </c>
      <c r="BV22" s="211">
        <f>'HVAC Appliances Austin'!BV22</f>
        <v>0</v>
      </c>
      <c r="BW22" s="21"/>
      <c r="BX22" s="110">
        <v>0.17708333333333301</v>
      </c>
      <c r="BY22" s="211">
        <f>'HVAC Appliances Austin'!BY22</f>
        <v>0</v>
      </c>
      <c r="BZ22" s="110">
        <v>0.17708333333333301</v>
      </c>
      <c r="CA22" s="211">
        <f>'HVAC Appliances Austin'!CA22</f>
        <v>0</v>
      </c>
      <c r="CB22" s="110">
        <v>0.17708333333333301</v>
      </c>
      <c r="CC22" s="211">
        <f>'HVAC Appliances Austin'!CC22</f>
        <v>0</v>
      </c>
      <c r="CD22" s="21"/>
      <c r="CE22" s="110">
        <v>0.17708333333333301</v>
      </c>
      <c r="CF22" s="211">
        <f>'HVAC Appliances Austin'!CF22</f>
        <v>136.94666666666666</v>
      </c>
      <c r="CG22" s="110">
        <v>0.17708333333333301</v>
      </c>
      <c r="CH22" s="211">
        <f>'HVAC Appliances Austin'!CH22</f>
        <v>269.40666666666669</v>
      </c>
      <c r="CI22" s="110">
        <v>0.17708333333333301</v>
      </c>
      <c r="CJ22" s="211">
        <f>'HVAC Appliances Austin'!CJ22</f>
        <v>357.66666666666669</v>
      </c>
      <c r="CK22" s="21"/>
      <c r="CL22" s="110">
        <v>0.17708333333333301</v>
      </c>
      <c r="CM22" s="211">
        <f>'HVAC Appliances Austin'!CM22</f>
        <v>0</v>
      </c>
      <c r="CN22" s="110">
        <v>0.17708333333333301</v>
      </c>
      <c r="CO22" s="211">
        <f>'HVAC Appliances Austin'!CO22</f>
        <v>0</v>
      </c>
      <c r="CP22" s="110">
        <v>0.17708333333333301</v>
      </c>
      <c r="CQ22" s="211">
        <f>'HVAC Appliances Austin'!CQ22</f>
        <v>0</v>
      </c>
      <c r="CR22" s="21"/>
      <c r="CS22" s="110">
        <v>0.17708333333333301</v>
      </c>
      <c r="CT22" s="211"/>
      <c r="CU22" s="21"/>
      <c r="CV22" s="110">
        <v>0.17708333333333301</v>
      </c>
      <c r="CW22" s="264"/>
      <c r="CY22" s="260">
        <v>0.17708333333333301</v>
      </c>
      <c r="CZ22" s="211">
        <f>'HVAC Appliances Austin'!CZ22</f>
        <v>224.34137499999986</v>
      </c>
      <c r="DA22" s="110">
        <v>0.17708333333333301</v>
      </c>
      <c r="DB22" s="211">
        <f>'HVAC Appliances Austin'!DB22</f>
        <v>323.4758124999999</v>
      </c>
      <c r="DC22" s="110">
        <v>0.17708333333333301</v>
      </c>
      <c r="DD22" s="211">
        <f>'HVAC Appliances Austin'!DD22</f>
        <v>446.65449999999976</v>
      </c>
      <c r="DE22" s="21"/>
      <c r="DF22" s="110">
        <v>0.17708333333333301</v>
      </c>
      <c r="DG22" s="211">
        <f>'HVAC Appliances Austin'!DG22</f>
        <v>169.38333333333327</v>
      </c>
      <c r="DH22" s="110">
        <v>0.17708333333333301</v>
      </c>
      <c r="DI22" s="211">
        <f>'HVAC Appliances Austin'!DI22</f>
        <v>213.18246527777762</v>
      </c>
      <c r="DJ22" s="110">
        <v>0.17708333333333301</v>
      </c>
      <c r="DK22" s="211">
        <f>'HVAC Appliances Austin'!DK22</f>
        <v>241.99739583333323</v>
      </c>
      <c r="DL22" s="21"/>
      <c r="DM22" s="110">
        <v>0.17708333333333301</v>
      </c>
      <c r="DN22" s="211">
        <f>'HVAC Appliances Austin'!DN22</f>
        <v>299.92233333333326</v>
      </c>
      <c r="DO22" s="110">
        <v>0.17708333333333301</v>
      </c>
      <c r="DP22" s="211">
        <f>'HVAC Appliances Austin'!DP22</f>
        <v>427.17879861111061</v>
      </c>
      <c r="DQ22" s="110">
        <v>0.17708333333333301</v>
      </c>
      <c r="DR22" s="211">
        <f>'HVAC Appliances Austin'!DR22</f>
        <v>517.80939583333293</v>
      </c>
      <c r="DS22" s="21"/>
      <c r="DT22" s="110">
        <v>0.17708333333333301</v>
      </c>
      <c r="DU22" s="211">
        <f>'HVAC Appliances Austin'!DU22</f>
        <v>0</v>
      </c>
      <c r="DV22" s="110">
        <v>0.17708333333333301</v>
      </c>
      <c r="DW22" s="211">
        <f>'HVAC Appliances Austin'!DW22</f>
        <v>0</v>
      </c>
      <c r="DX22" s="110">
        <v>0.17708333333333301</v>
      </c>
      <c r="DY22" s="211">
        <f>'HVAC Appliances Austin'!DY22</f>
        <v>0</v>
      </c>
      <c r="DZ22" s="21"/>
      <c r="EA22" s="110">
        <v>0.17708333333333301</v>
      </c>
      <c r="EB22" s="211">
        <f>'HVAC Appliances Amarillo'!EB22</f>
        <v>6900</v>
      </c>
      <c r="EC22" s="110">
        <v>0.17708333333333301</v>
      </c>
      <c r="ED22" s="211">
        <f>'HVAC Appliances Amarillo'!ED22</f>
        <v>12300</v>
      </c>
      <c r="EE22" s="110">
        <v>0.17708333333333301</v>
      </c>
      <c r="EF22" s="211">
        <f>'HVAC Appliances Amarillo'!EF22</f>
        <v>16000</v>
      </c>
      <c r="EG22" s="21"/>
      <c r="EH22" s="110">
        <v>0.17708333333333301</v>
      </c>
      <c r="EI22" s="211">
        <f>'HVAC Appliances Austin'!EI22</f>
        <v>376.79999999999984</v>
      </c>
      <c r="EJ22" s="110">
        <v>0.17708333333333301</v>
      </c>
      <c r="EK22" s="211">
        <f>'HVAC Appliances Austin'!EK22</f>
        <v>555.09999999999991</v>
      </c>
      <c r="EL22" s="110">
        <v>0.17708333333333301</v>
      </c>
      <c r="EM22" s="211">
        <f>'HVAC Appliances Austin'!EM22</f>
        <v>683.5</v>
      </c>
      <c r="EN22" s="21"/>
      <c r="EO22" s="110">
        <v>0.17708333333333301</v>
      </c>
      <c r="EP22" s="211"/>
      <c r="EQ22" s="21"/>
      <c r="ER22" s="110">
        <v>0.17708333333333301</v>
      </c>
      <c r="ES22" s="264"/>
      <c r="EU22" s="260">
        <v>0.17708333333333301</v>
      </c>
      <c r="EV22" s="209">
        <f>'HVAC Appliances Amarillo'!EV22</f>
        <v>5400</v>
      </c>
      <c r="EW22" s="110">
        <v>0.17708333333333301</v>
      </c>
      <c r="EX22" s="209">
        <f>'HVAC Appliances Amarillo'!EX22</f>
        <v>5400</v>
      </c>
      <c r="EY22" s="110">
        <v>0.17708333333333301</v>
      </c>
      <c r="EZ22" s="308">
        <f>'HVAC Appliances Amarillo'!EZ22</f>
        <v>5400</v>
      </c>
    </row>
    <row r="23" spans="1:156" x14ac:dyDescent="0.3">
      <c r="A23" s="108">
        <v>0.17708333333333301</v>
      </c>
      <c r="B23" s="226">
        <f t="shared" si="0"/>
        <v>0</v>
      </c>
      <c r="C23" s="21">
        <f t="shared" si="1"/>
        <v>357.66666666666669</v>
      </c>
      <c r="D23" s="20">
        <f t="shared" si="2"/>
        <v>16000</v>
      </c>
      <c r="E23" s="20">
        <f t="shared" si="3"/>
        <v>5400</v>
      </c>
      <c r="G23" s="260">
        <v>0.1875</v>
      </c>
      <c r="H23" s="211">
        <f>'HVAC Appliances Austin'!H23</f>
        <v>0</v>
      </c>
      <c r="I23" s="110">
        <v>0.1875</v>
      </c>
      <c r="J23" s="211">
        <f>'HVAC Appliances Austin'!J23</f>
        <v>0</v>
      </c>
      <c r="K23" s="110">
        <v>0.1875</v>
      </c>
      <c r="L23" s="211">
        <f>'HVAC Appliances Austin'!L23</f>
        <v>0</v>
      </c>
      <c r="M23" s="21"/>
      <c r="N23" s="110">
        <v>0.1875</v>
      </c>
      <c r="O23" s="211">
        <f>'HVAC Appliances Austin'!O23</f>
        <v>148.88420138888881</v>
      </c>
      <c r="P23" s="110">
        <v>0.1875</v>
      </c>
      <c r="Q23" s="211">
        <f>'HVAC Appliances Austin'!Q23</f>
        <v>191.93784722222196</v>
      </c>
      <c r="R23" s="110">
        <v>0.1875</v>
      </c>
      <c r="S23" s="211">
        <f>'HVAC Appliances Austin'!S23</f>
        <v>221.3409722222215</v>
      </c>
      <c r="T23" s="21"/>
      <c r="U23" s="110">
        <v>0.1875</v>
      </c>
      <c r="V23" s="211">
        <f>'HVAC Appliances Austin'!V23</f>
        <v>263.9648680555552</v>
      </c>
      <c r="W23" s="110">
        <v>0.1875</v>
      </c>
      <c r="X23" s="211">
        <f>'HVAC Appliances Austin'!X23</f>
        <v>382.64951388888858</v>
      </c>
      <c r="Y23" s="110">
        <v>0.1875</v>
      </c>
      <c r="Z23" s="211">
        <f>'HVAC Appliances Austin'!Z23</f>
        <v>463.25063888888798</v>
      </c>
      <c r="AA23" s="21"/>
      <c r="AB23" s="110">
        <v>0.1875</v>
      </c>
      <c r="AC23" s="211">
        <f>'HVAC Appliances Austin'!AC23</f>
        <v>54.375999999999756</v>
      </c>
      <c r="AD23" s="110">
        <v>0.1875</v>
      </c>
      <c r="AE23" s="211">
        <f>'HVAC Appliances Austin'!AE23</f>
        <v>40.159999999999755</v>
      </c>
      <c r="AF23" s="110">
        <v>0.1875</v>
      </c>
      <c r="AG23" s="211">
        <f>'HVAC Appliances Austin'!AG23</f>
        <v>40.231999999999601</v>
      </c>
      <c r="AH23" s="21"/>
      <c r="AI23" s="110">
        <v>0.1875</v>
      </c>
      <c r="AJ23" s="211">
        <f>'HVAC Appliances Austin'!AJ23</f>
        <v>0</v>
      </c>
      <c r="AK23" s="110">
        <v>0.1875</v>
      </c>
      <c r="AL23" s="211">
        <f>'HVAC Appliances Austin'!AL23</f>
        <v>0</v>
      </c>
      <c r="AM23" s="110">
        <v>0.1875</v>
      </c>
      <c r="AN23" s="211">
        <f>'HVAC Appliances Austin'!AN23</f>
        <v>0</v>
      </c>
      <c r="AO23" s="21"/>
      <c r="AP23" s="110">
        <v>0.1875</v>
      </c>
      <c r="AQ23" s="211">
        <f>'HVAC Appliances Austin'!AQ23</f>
        <v>335.79999999999956</v>
      </c>
      <c r="AR23" s="110">
        <v>0.1875</v>
      </c>
      <c r="AS23" s="211">
        <f>'HVAC Appliances Austin'!AS23</f>
        <v>502.69999999999993</v>
      </c>
      <c r="AT23" s="110">
        <v>0.1875</v>
      </c>
      <c r="AU23" s="211">
        <f>'HVAC Appliances Austin'!AU23</f>
        <v>617.90000000000009</v>
      </c>
      <c r="AV23" s="21"/>
      <c r="AW23" s="110">
        <v>0.1875</v>
      </c>
      <c r="AX23" s="211"/>
      <c r="AY23" s="21"/>
      <c r="AZ23" s="110">
        <v>0.1875</v>
      </c>
      <c r="BA23" s="264"/>
      <c r="BC23" s="260">
        <v>0.1875</v>
      </c>
      <c r="BD23" s="211">
        <f>'HVAC Appliances Austin'!BD23</f>
        <v>24.68249999999999</v>
      </c>
      <c r="BE23" s="110">
        <v>0.1875</v>
      </c>
      <c r="BF23" s="211">
        <f>'HVAC Appliances Austin'!BF23</f>
        <v>38.809999999999981</v>
      </c>
      <c r="BG23" s="110">
        <v>0.1875</v>
      </c>
      <c r="BH23" s="211">
        <f>'HVAC Appliances Austin'!BH23</f>
        <v>54.249999999999993</v>
      </c>
      <c r="BI23" s="21"/>
      <c r="BJ23" s="110">
        <v>0.1875</v>
      </c>
      <c r="BK23" s="211">
        <f>'HVAC Appliances Austin'!BK23</f>
        <v>0</v>
      </c>
      <c r="BL23" s="110">
        <v>0.1875</v>
      </c>
      <c r="BM23" s="211">
        <f>'HVAC Appliances Austin'!BM23</f>
        <v>0</v>
      </c>
      <c r="BN23" s="110">
        <v>0.1875</v>
      </c>
      <c r="BO23" s="211">
        <f>'HVAC Appliances Austin'!BO23</f>
        <v>0</v>
      </c>
      <c r="BP23" s="21"/>
      <c r="BQ23" s="110">
        <v>0.1875</v>
      </c>
      <c r="BR23" s="211">
        <f>'HVAC Appliances Austin'!BR23</f>
        <v>0</v>
      </c>
      <c r="BS23" s="110">
        <v>0.1875</v>
      </c>
      <c r="BT23" s="211">
        <f>'HVAC Appliances Austin'!BT23</f>
        <v>0</v>
      </c>
      <c r="BU23" s="110">
        <v>0.1875</v>
      </c>
      <c r="BV23" s="211">
        <f>'HVAC Appliances Austin'!BV23</f>
        <v>0</v>
      </c>
      <c r="BW23" s="21"/>
      <c r="BX23" s="110">
        <v>0.1875</v>
      </c>
      <c r="BY23" s="211">
        <f>'HVAC Appliances Austin'!BY23</f>
        <v>0</v>
      </c>
      <c r="BZ23" s="110">
        <v>0.1875</v>
      </c>
      <c r="CA23" s="211">
        <f>'HVAC Appliances Austin'!CA23</f>
        <v>0</v>
      </c>
      <c r="CB23" s="110">
        <v>0.1875</v>
      </c>
      <c r="CC23" s="211">
        <f>'HVAC Appliances Austin'!CC23</f>
        <v>0</v>
      </c>
      <c r="CD23" s="21"/>
      <c r="CE23" s="110">
        <v>0.1875</v>
      </c>
      <c r="CF23" s="211">
        <f>'HVAC Appliances Austin'!CF23</f>
        <v>136.94666666666666</v>
      </c>
      <c r="CG23" s="110">
        <v>0.1875</v>
      </c>
      <c r="CH23" s="211">
        <f>'HVAC Appliances Austin'!CH23</f>
        <v>269.40666666666669</v>
      </c>
      <c r="CI23" s="110">
        <v>0.1875</v>
      </c>
      <c r="CJ23" s="211">
        <f>'HVAC Appliances Austin'!CJ23</f>
        <v>357.66666666666669</v>
      </c>
      <c r="CK23" s="21"/>
      <c r="CL23" s="110">
        <v>0.1875</v>
      </c>
      <c r="CM23" s="211">
        <f>'HVAC Appliances Austin'!CM23</f>
        <v>0</v>
      </c>
      <c r="CN23" s="110">
        <v>0.1875</v>
      </c>
      <c r="CO23" s="211">
        <f>'HVAC Appliances Austin'!CO23</f>
        <v>0</v>
      </c>
      <c r="CP23" s="110">
        <v>0.1875</v>
      </c>
      <c r="CQ23" s="211">
        <f>'HVAC Appliances Austin'!CQ23</f>
        <v>0</v>
      </c>
      <c r="CR23" s="21"/>
      <c r="CS23" s="110">
        <v>0.1875</v>
      </c>
      <c r="CT23" s="211"/>
      <c r="CU23" s="21"/>
      <c r="CV23" s="110">
        <v>0.1875</v>
      </c>
      <c r="CW23" s="264"/>
      <c r="CY23" s="260">
        <v>0.1875</v>
      </c>
      <c r="CZ23" s="211">
        <f>'HVAC Appliances Austin'!CZ23</f>
        <v>224.34137499999986</v>
      </c>
      <c r="DA23" s="110">
        <v>0.1875</v>
      </c>
      <c r="DB23" s="211">
        <f>'HVAC Appliances Austin'!DB23</f>
        <v>323.4758124999999</v>
      </c>
      <c r="DC23" s="110">
        <v>0.1875</v>
      </c>
      <c r="DD23" s="211">
        <f>'HVAC Appliances Austin'!DD23</f>
        <v>446.65449999999976</v>
      </c>
      <c r="DE23" s="21"/>
      <c r="DF23" s="110">
        <v>0.1875</v>
      </c>
      <c r="DG23" s="211">
        <f>'HVAC Appliances Austin'!DG23</f>
        <v>169.38333333333327</v>
      </c>
      <c r="DH23" s="110">
        <v>0.1875</v>
      </c>
      <c r="DI23" s="211">
        <f>'HVAC Appliances Austin'!DI23</f>
        <v>213.18246527777762</v>
      </c>
      <c r="DJ23" s="110">
        <v>0.1875</v>
      </c>
      <c r="DK23" s="211">
        <f>'HVAC Appliances Austin'!DK23</f>
        <v>241.99739583333323</v>
      </c>
      <c r="DL23" s="21"/>
      <c r="DM23" s="110">
        <v>0.1875</v>
      </c>
      <c r="DN23" s="211">
        <f>'HVAC Appliances Austin'!DN23</f>
        <v>299.92233333333326</v>
      </c>
      <c r="DO23" s="110">
        <v>0.1875</v>
      </c>
      <c r="DP23" s="211">
        <f>'HVAC Appliances Austin'!DP23</f>
        <v>427.17879861111061</v>
      </c>
      <c r="DQ23" s="110">
        <v>0.1875</v>
      </c>
      <c r="DR23" s="211">
        <f>'HVAC Appliances Austin'!DR23</f>
        <v>517.80939583333293</v>
      </c>
      <c r="DS23" s="21"/>
      <c r="DT23" s="110">
        <v>0.1875</v>
      </c>
      <c r="DU23" s="211">
        <f>'HVAC Appliances Austin'!DU23</f>
        <v>0</v>
      </c>
      <c r="DV23" s="110">
        <v>0.1875</v>
      </c>
      <c r="DW23" s="211">
        <f>'HVAC Appliances Austin'!DW23</f>
        <v>0</v>
      </c>
      <c r="DX23" s="110">
        <v>0.1875</v>
      </c>
      <c r="DY23" s="211">
        <f>'HVAC Appliances Austin'!DY23</f>
        <v>0</v>
      </c>
      <c r="DZ23" s="21"/>
      <c r="EA23" s="110">
        <v>0.1875</v>
      </c>
      <c r="EB23" s="211">
        <f>'HVAC Appliances Amarillo'!EB23</f>
        <v>0</v>
      </c>
      <c r="EC23" s="110">
        <v>0.1875</v>
      </c>
      <c r="ED23" s="211">
        <f>'HVAC Appliances Amarillo'!ED23</f>
        <v>12300</v>
      </c>
      <c r="EE23" s="110">
        <v>0.1875</v>
      </c>
      <c r="EF23" s="211">
        <f>'HVAC Appliances Amarillo'!EF23</f>
        <v>16000</v>
      </c>
      <c r="EG23" s="21"/>
      <c r="EH23" s="110">
        <v>0.1875</v>
      </c>
      <c r="EI23" s="211">
        <f>'HVAC Appliances Austin'!EI23</f>
        <v>376.79999999999984</v>
      </c>
      <c r="EJ23" s="110">
        <v>0.1875</v>
      </c>
      <c r="EK23" s="211">
        <f>'HVAC Appliances Austin'!EK23</f>
        <v>555.09999999999991</v>
      </c>
      <c r="EL23" s="110">
        <v>0.1875</v>
      </c>
      <c r="EM23" s="211">
        <f>'HVAC Appliances Austin'!EM23</f>
        <v>683.5</v>
      </c>
      <c r="EN23" s="21"/>
      <c r="EO23" s="110">
        <v>0.1875</v>
      </c>
      <c r="EP23" s="211"/>
      <c r="EQ23" s="21"/>
      <c r="ER23" s="110">
        <v>0.1875</v>
      </c>
      <c r="ES23" s="264"/>
      <c r="EU23" s="260">
        <v>0.1875</v>
      </c>
      <c r="EV23" s="209">
        <f>'HVAC Appliances Amarillo'!EV23</f>
        <v>0</v>
      </c>
      <c r="EW23" s="110">
        <v>0.1875</v>
      </c>
      <c r="EX23" s="209">
        <f>'HVAC Appliances Amarillo'!EX23</f>
        <v>5400</v>
      </c>
      <c r="EY23" s="110">
        <v>0.1875</v>
      </c>
      <c r="EZ23" s="308">
        <f>'HVAC Appliances Amarillo'!EZ23</f>
        <v>5400</v>
      </c>
    </row>
    <row r="24" spans="1:156" x14ac:dyDescent="0.3">
      <c r="A24" s="108">
        <v>0.1875</v>
      </c>
      <c r="B24" s="226">
        <f t="shared" si="0"/>
        <v>0</v>
      </c>
      <c r="C24" s="21">
        <f t="shared" si="1"/>
        <v>357.66666666666669</v>
      </c>
      <c r="D24" s="20">
        <f t="shared" si="2"/>
        <v>16000</v>
      </c>
      <c r="E24" s="20">
        <f t="shared" si="3"/>
        <v>5400</v>
      </c>
      <c r="G24" s="260">
        <v>0.19791666666666699</v>
      </c>
      <c r="H24" s="211">
        <f>'HVAC Appliances Austin'!H24</f>
        <v>0</v>
      </c>
      <c r="I24" s="110">
        <v>0.19791666666666699</v>
      </c>
      <c r="J24" s="211">
        <f>'HVAC Appliances Austin'!J24</f>
        <v>0</v>
      </c>
      <c r="K24" s="110">
        <v>0.19791666666666699</v>
      </c>
      <c r="L24" s="211">
        <f>'HVAC Appliances Austin'!L24</f>
        <v>0</v>
      </c>
      <c r="M24" s="21"/>
      <c r="N24" s="110">
        <v>0.19791666666666699</v>
      </c>
      <c r="O24" s="211">
        <f>'HVAC Appliances Austin'!O24</f>
        <v>148.88420138888881</v>
      </c>
      <c r="P24" s="110">
        <v>0.19791666666666699</v>
      </c>
      <c r="Q24" s="211">
        <f>'HVAC Appliances Austin'!Q24</f>
        <v>191.93784722222196</v>
      </c>
      <c r="R24" s="110">
        <v>0.19791666666666699</v>
      </c>
      <c r="S24" s="211">
        <f>'HVAC Appliances Austin'!S24</f>
        <v>221.3409722222215</v>
      </c>
      <c r="T24" s="21"/>
      <c r="U24" s="110">
        <v>0.19791666666666699</v>
      </c>
      <c r="V24" s="211">
        <f>'HVAC Appliances Austin'!V24</f>
        <v>263.9648680555552</v>
      </c>
      <c r="W24" s="110">
        <v>0.19791666666666699</v>
      </c>
      <c r="X24" s="211">
        <f>'HVAC Appliances Austin'!X24</f>
        <v>382.64951388888858</v>
      </c>
      <c r="Y24" s="110">
        <v>0.19791666666666699</v>
      </c>
      <c r="Z24" s="211">
        <f>'HVAC Appliances Austin'!Z24</f>
        <v>463.25063888888798</v>
      </c>
      <c r="AA24" s="21"/>
      <c r="AB24" s="110">
        <v>0.19791666666666699</v>
      </c>
      <c r="AC24" s="211">
        <f>'HVAC Appliances Austin'!AC24</f>
        <v>54.375999999999756</v>
      </c>
      <c r="AD24" s="110">
        <v>0.19791666666666699</v>
      </c>
      <c r="AE24" s="211">
        <f>'HVAC Appliances Austin'!AE24</f>
        <v>40.159999999999755</v>
      </c>
      <c r="AF24" s="110">
        <v>0.19791666666666699</v>
      </c>
      <c r="AG24" s="211">
        <f>'HVAC Appliances Austin'!AG24</f>
        <v>40.231999999999601</v>
      </c>
      <c r="AH24" s="21"/>
      <c r="AI24" s="110">
        <v>0.19791666666666699</v>
      </c>
      <c r="AJ24" s="211">
        <f>'HVAC Appliances Austin'!AJ24</f>
        <v>0</v>
      </c>
      <c r="AK24" s="110">
        <v>0.19791666666666699</v>
      </c>
      <c r="AL24" s="211">
        <f>'HVAC Appliances Austin'!AL24</f>
        <v>0</v>
      </c>
      <c r="AM24" s="110">
        <v>0.19791666666666699</v>
      </c>
      <c r="AN24" s="211">
        <f>'HVAC Appliances Austin'!AN24</f>
        <v>0</v>
      </c>
      <c r="AO24" s="21"/>
      <c r="AP24" s="110">
        <v>0.19791666666666699</v>
      </c>
      <c r="AQ24" s="211">
        <f>'HVAC Appliances Austin'!AQ24</f>
        <v>335.79999999999956</v>
      </c>
      <c r="AR24" s="110">
        <v>0.19791666666666699</v>
      </c>
      <c r="AS24" s="211">
        <f>'HVAC Appliances Austin'!AS24</f>
        <v>502.69999999999993</v>
      </c>
      <c r="AT24" s="110">
        <v>0.19791666666666699</v>
      </c>
      <c r="AU24" s="211">
        <f>'HVAC Appliances Austin'!AU24</f>
        <v>617.90000000000009</v>
      </c>
      <c r="AV24" s="21"/>
      <c r="AW24" s="110">
        <v>0.19791666666666699</v>
      </c>
      <c r="AX24" s="211"/>
      <c r="AY24" s="21"/>
      <c r="AZ24" s="110">
        <v>0.19791666666666699</v>
      </c>
      <c r="BA24" s="264"/>
      <c r="BC24" s="260">
        <v>0.19791666666666699</v>
      </c>
      <c r="BD24" s="211">
        <f>'HVAC Appliances Austin'!BD24</f>
        <v>24.68249999999999</v>
      </c>
      <c r="BE24" s="110">
        <v>0.19791666666666699</v>
      </c>
      <c r="BF24" s="211">
        <f>'HVAC Appliances Austin'!BF24</f>
        <v>38.809999999999981</v>
      </c>
      <c r="BG24" s="110">
        <v>0.19791666666666699</v>
      </c>
      <c r="BH24" s="211">
        <f>'HVAC Appliances Austin'!BH24</f>
        <v>54.249999999999993</v>
      </c>
      <c r="BI24" s="21"/>
      <c r="BJ24" s="110">
        <v>0.19791666666666699</v>
      </c>
      <c r="BK24" s="211">
        <f>'HVAC Appliances Austin'!BK24</f>
        <v>0</v>
      </c>
      <c r="BL24" s="110">
        <v>0.19791666666666699</v>
      </c>
      <c r="BM24" s="211">
        <f>'HVAC Appliances Austin'!BM24</f>
        <v>0</v>
      </c>
      <c r="BN24" s="110">
        <v>0.19791666666666699</v>
      </c>
      <c r="BO24" s="211">
        <f>'HVAC Appliances Austin'!BO24</f>
        <v>0</v>
      </c>
      <c r="BP24" s="21"/>
      <c r="BQ24" s="110">
        <v>0.19791666666666699</v>
      </c>
      <c r="BR24" s="211">
        <f>'HVAC Appliances Austin'!BR24</f>
        <v>0</v>
      </c>
      <c r="BS24" s="110">
        <v>0.19791666666666699</v>
      </c>
      <c r="BT24" s="211">
        <f>'HVAC Appliances Austin'!BT24</f>
        <v>0</v>
      </c>
      <c r="BU24" s="110">
        <v>0.19791666666666699</v>
      </c>
      <c r="BV24" s="211">
        <f>'HVAC Appliances Austin'!BV24</f>
        <v>0</v>
      </c>
      <c r="BW24" s="21"/>
      <c r="BX24" s="110">
        <v>0.19791666666666699</v>
      </c>
      <c r="BY24" s="211">
        <f>'HVAC Appliances Austin'!BY24</f>
        <v>0</v>
      </c>
      <c r="BZ24" s="110">
        <v>0.19791666666666699</v>
      </c>
      <c r="CA24" s="211">
        <f>'HVAC Appliances Austin'!CA24</f>
        <v>0</v>
      </c>
      <c r="CB24" s="110">
        <v>0.19791666666666699</v>
      </c>
      <c r="CC24" s="211">
        <f>'HVAC Appliances Austin'!CC24</f>
        <v>0</v>
      </c>
      <c r="CD24" s="21"/>
      <c r="CE24" s="110">
        <v>0.19791666666666699</v>
      </c>
      <c r="CF24" s="211">
        <f>'HVAC Appliances Austin'!CF24</f>
        <v>136.94666666666666</v>
      </c>
      <c r="CG24" s="110">
        <v>0.19791666666666699</v>
      </c>
      <c r="CH24" s="211">
        <f>'HVAC Appliances Austin'!CH24</f>
        <v>269.40666666666669</v>
      </c>
      <c r="CI24" s="110">
        <v>0.19791666666666699</v>
      </c>
      <c r="CJ24" s="211">
        <f>'HVAC Appliances Austin'!CJ24</f>
        <v>357.66666666666669</v>
      </c>
      <c r="CK24" s="21"/>
      <c r="CL24" s="110">
        <v>0.19791666666666699</v>
      </c>
      <c r="CM24" s="211">
        <f>'HVAC Appliances Austin'!CM24</f>
        <v>0</v>
      </c>
      <c r="CN24" s="110">
        <v>0.19791666666666699</v>
      </c>
      <c r="CO24" s="211">
        <f>'HVAC Appliances Austin'!CO24</f>
        <v>0</v>
      </c>
      <c r="CP24" s="110">
        <v>0.19791666666666699</v>
      </c>
      <c r="CQ24" s="211">
        <f>'HVAC Appliances Austin'!CQ24</f>
        <v>0</v>
      </c>
      <c r="CR24" s="21"/>
      <c r="CS24" s="110">
        <v>0.19791666666666699</v>
      </c>
      <c r="CT24" s="211"/>
      <c r="CU24" s="21"/>
      <c r="CV24" s="110">
        <v>0.19791666666666699</v>
      </c>
      <c r="CW24" s="264"/>
      <c r="CY24" s="260">
        <v>0.19791666666666699</v>
      </c>
      <c r="CZ24" s="211">
        <f>'HVAC Appliances Austin'!CZ24</f>
        <v>224.34137499999986</v>
      </c>
      <c r="DA24" s="110">
        <v>0.19791666666666699</v>
      </c>
      <c r="DB24" s="211">
        <f>'HVAC Appliances Austin'!DB24</f>
        <v>323.4758124999999</v>
      </c>
      <c r="DC24" s="110">
        <v>0.19791666666666699</v>
      </c>
      <c r="DD24" s="211">
        <f>'HVAC Appliances Austin'!DD24</f>
        <v>446.65449999999976</v>
      </c>
      <c r="DE24" s="21"/>
      <c r="DF24" s="110">
        <v>0.19791666666666699</v>
      </c>
      <c r="DG24" s="211">
        <f>'HVAC Appliances Austin'!DG24</f>
        <v>169.38333333333327</v>
      </c>
      <c r="DH24" s="110">
        <v>0.19791666666666699</v>
      </c>
      <c r="DI24" s="211">
        <f>'HVAC Appliances Austin'!DI24</f>
        <v>213.18246527777762</v>
      </c>
      <c r="DJ24" s="110">
        <v>0.19791666666666699</v>
      </c>
      <c r="DK24" s="211">
        <f>'HVAC Appliances Austin'!DK24</f>
        <v>241.99739583333323</v>
      </c>
      <c r="DL24" s="21"/>
      <c r="DM24" s="110">
        <v>0.19791666666666699</v>
      </c>
      <c r="DN24" s="211">
        <f>'HVAC Appliances Austin'!DN24</f>
        <v>299.92233333333326</v>
      </c>
      <c r="DO24" s="110">
        <v>0.19791666666666699</v>
      </c>
      <c r="DP24" s="211">
        <f>'HVAC Appliances Austin'!DP24</f>
        <v>427.17879861111061</v>
      </c>
      <c r="DQ24" s="110">
        <v>0.19791666666666699</v>
      </c>
      <c r="DR24" s="211">
        <f>'HVAC Appliances Austin'!DR24</f>
        <v>517.80939583333293</v>
      </c>
      <c r="DS24" s="21"/>
      <c r="DT24" s="110">
        <v>0.19791666666666699</v>
      </c>
      <c r="DU24" s="211">
        <f>'HVAC Appliances Austin'!DU24</f>
        <v>0</v>
      </c>
      <c r="DV24" s="110">
        <v>0.19791666666666699</v>
      </c>
      <c r="DW24" s="211">
        <f>'HVAC Appliances Austin'!DW24</f>
        <v>0</v>
      </c>
      <c r="DX24" s="110">
        <v>0.19791666666666699</v>
      </c>
      <c r="DY24" s="211">
        <f>'HVAC Appliances Austin'!DY24</f>
        <v>0</v>
      </c>
      <c r="DZ24" s="21"/>
      <c r="EA24" s="110">
        <v>0.19791666666666699</v>
      </c>
      <c r="EB24" s="211">
        <f>'HVAC Appliances Amarillo'!EB24</f>
        <v>0</v>
      </c>
      <c r="EC24" s="110">
        <v>0.19791666666666699</v>
      </c>
      <c r="ED24" s="211">
        <f>'HVAC Appliances Amarillo'!ED24</f>
        <v>0</v>
      </c>
      <c r="EE24" s="110">
        <v>0.19791666666666699</v>
      </c>
      <c r="EF24" s="211">
        <f>'HVAC Appliances Amarillo'!EF24</f>
        <v>0</v>
      </c>
      <c r="EG24" s="21"/>
      <c r="EH24" s="110">
        <v>0.19791666666666699</v>
      </c>
      <c r="EI24" s="211">
        <f>'HVAC Appliances Austin'!EI24</f>
        <v>376.79999999999984</v>
      </c>
      <c r="EJ24" s="110">
        <v>0.19791666666666699</v>
      </c>
      <c r="EK24" s="211">
        <f>'HVAC Appliances Austin'!EK24</f>
        <v>555.09999999999991</v>
      </c>
      <c r="EL24" s="110">
        <v>0.19791666666666699</v>
      </c>
      <c r="EM24" s="211">
        <f>'HVAC Appliances Austin'!EM24</f>
        <v>683.5</v>
      </c>
      <c r="EN24" s="21"/>
      <c r="EO24" s="110">
        <v>0.19791666666666699</v>
      </c>
      <c r="EP24" s="211"/>
      <c r="EQ24" s="21"/>
      <c r="ER24" s="110">
        <v>0.19791666666666699</v>
      </c>
      <c r="ES24" s="264"/>
      <c r="EU24" s="260">
        <v>0.19791666666666699</v>
      </c>
      <c r="EV24" s="209">
        <f>'HVAC Appliances Amarillo'!EV24</f>
        <v>0</v>
      </c>
      <c r="EW24" s="110">
        <v>0.19791666666666699</v>
      </c>
      <c r="EX24" s="209">
        <f>'HVAC Appliances Amarillo'!EX24</f>
        <v>0</v>
      </c>
      <c r="EY24" s="110">
        <v>0.19791666666666699</v>
      </c>
      <c r="EZ24" s="308">
        <f>'HVAC Appliances Amarillo'!EZ24</f>
        <v>0</v>
      </c>
    </row>
    <row r="25" spans="1:156" x14ac:dyDescent="0.3">
      <c r="A25" s="108">
        <v>0.19791666666666699</v>
      </c>
      <c r="B25" s="226">
        <f t="shared" si="0"/>
        <v>0</v>
      </c>
      <c r="C25" s="21">
        <f t="shared" si="1"/>
        <v>357.66666666666669</v>
      </c>
      <c r="D25" s="20">
        <f t="shared" si="2"/>
        <v>0</v>
      </c>
      <c r="E25" s="20">
        <f t="shared" si="3"/>
        <v>0</v>
      </c>
      <c r="G25" s="260">
        <v>0.20833333333333301</v>
      </c>
      <c r="H25" s="211">
        <f>'HVAC Appliances Austin'!H25</f>
        <v>0</v>
      </c>
      <c r="I25" s="110">
        <v>0.20833333333333301</v>
      </c>
      <c r="J25" s="211">
        <f>'HVAC Appliances Austin'!J25</f>
        <v>0</v>
      </c>
      <c r="K25" s="110">
        <v>0.20833333333333301</v>
      </c>
      <c r="L25" s="211">
        <f>'HVAC Appliances Austin'!L25</f>
        <v>0</v>
      </c>
      <c r="M25" s="21"/>
      <c r="N25" s="110">
        <v>0.20833333333333301</v>
      </c>
      <c r="O25" s="211">
        <f>'HVAC Appliances Austin'!O25</f>
        <v>127.67847222222206</v>
      </c>
      <c r="P25" s="110">
        <v>0.20833333333333301</v>
      </c>
      <c r="Q25" s="211">
        <f>'HVAC Appliances Austin'!Q25</f>
        <v>157.19305555555562</v>
      </c>
      <c r="R25" s="110">
        <v>0.20833333333333301</v>
      </c>
      <c r="S25" s="211">
        <f>'HVAC Appliances Austin'!S25</f>
        <v>178.20555555555507</v>
      </c>
      <c r="T25" s="21"/>
      <c r="U25" s="110">
        <v>0.20833333333333301</v>
      </c>
      <c r="V25" s="211">
        <f>'HVAC Appliances Austin'!V25</f>
        <v>274.73899999999952</v>
      </c>
      <c r="W25" s="110">
        <v>0.20833333333333301</v>
      </c>
      <c r="X25" s="211">
        <f>'HVAC Appliances Austin'!X25</f>
        <v>400.62</v>
      </c>
      <c r="Y25" s="110">
        <v>0.20833333333333301</v>
      </c>
      <c r="Z25" s="211">
        <f>'HVAC Appliances Austin'!Z25</f>
        <v>486.31799999999936</v>
      </c>
      <c r="AA25" s="21"/>
      <c r="AB25" s="110">
        <v>0.20833333333333301</v>
      </c>
      <c r="AC25" s="211">
        <f>'HVAC Appliances Austin'!AC25</f>
        <v>54.375999999999756</v>
      </c>
      <c r="AD25" s="110">
        <v>0.20833333333333301</v>
      </c>
      <c r="AE25" s="211">
        <f>'HVAC Appliances Austin'!AE25</f>
        <v>40.159999999999755</v>
      </c>
      <c r="AF25" s="110">
        <v>0.20833333333333301</v>
      </c>
      <c r="AG25" s="211">
        <f>'HVAC Appliances Austin'!AG25</f>
        <v>40.231999999999601</v>
      </c>
      <c r="AH25" s="21"/>
      <c r="AI25" s="110">
        <v>0.20833333333333301</v>
      </c>
      <c r="AJ25" s="211">
        <f>'HVAC Appliances Austin'!AJ25</f>
        <v>0</v>
      </c>
      <c r="AK25" s="110">
        <v>0.20833333333333301</v>
      </c>
      <c r="AL25" s="211">
        <f>'HVAC Appliances Austin'!AL25</f>
        <v>0</v>
      </c>
      <c r="AM25" s="110">
        <v>0.20833333333333301</v>
      </c>
      <c r="AN25" s="211">
        <f>'HVAC Appliances Austin'!AN25</f>
        <v>0</v>
      </c>
      <c r="AO25" s="21"/>
      <c r="AP25" s="110">
        <v>0.20833333333333301</v>
      </c>
      <c r="AQ25" s="211">
        <f>'HVAC Appliances Austin'!AQ25</f>
        <v>328.99113888888922</v>
      </c>
      <c r="AR25" s="110">
        <v>0.20833333333333301</v>
      </c>
      <c r="AS25" s="211">
        <f>'HVAC Appliances Austin'!AS25</f>
        <v>491.29972222222261</v>
      </c>
      <c r="AT25" s="110">
        <v>0.20833333333333301</v>
      </c>
      <c r="AU25" s="211">
        <f>'HVAC Appliances Austin'!AU25</f>
        <v>603.16422222222286</v>
      </c>
      <c r="AV25" s="21"/>
      <c r="AW25" s="110">
        <v>0.20833333333333301</v>
      </c>
      <c r="AX25" s="211"/>
      <c r="AY25" s="21"/>
      <c r="AZ25" s="110">
        <v>0.20833333333333301</v>
      </c>
      <c r="BA25" s="264"/>
      <c r="BC25" s="260">
        <v>0.20833333333333301</v>
      </c>
      <c r="BD25" s="211">
        <f>'HVAC Appliances Austin'!BD25</f>
        <v>19.779999999999998</v>
      </c>
      <c r="BE25" s="110">
        <v>0.20833333333333301</v>
      </c>
      <c r="BF25" s="211">
        <f>'HVAC Appliances Austin'!BF25</f>
        <v>28.740000000000002</v>
      </c>
      <c r="BG25" s="110">
        <v>0.20833333333333301</v>
      </c>
      <c r="BH25" s="211">
        <f>'HVAC Appliances Austin'!BH25</f>
        <v>41.000000000000007</v>
      </c>
      <c r="BI25" s="21"/>
      <c r="BJ25" s="110">
        <v>0.20833333333333301</v>
      </c>
      <c r="BK25" s="211">
        <f>'HVAC Appliances Austin'!BK25</f>
        <v>0</v>
      </c>
      <c r="BL25" s="110">
        <v>0.20833333333333301</v>
      </c>
      <c r="BM25" s="211">
        <f>'HVAC Appliances Austin'!BM25</f>
        <v>0</v>
      </c>
      <c r="BN25" s="110">
        <v>0.20833333333333301</v>
      </c>
      <c r="BO25" s="211">
        <f>'HVAC Appliances Austin'!BO25</f>
        <v>0</v>
      </c>
      <c r="BP25" s="21"/>
      <c r="BQ25" s="110">
        <v>0.20833333333333301</v>
      </c>
      <c r="BR25" s="211">
        <f>'HVAC Appliances Austin'!BR25</f>
        <v>0</v>
      </c>
      <c r="BS25" s="110">
        <v>0.20833333333333301</v>
      </c>
      <c r="BT25" s="211">
        <f>'HVAC Appliances Austin'!BT25</f>
        <v>0</v>
      </c>
      <c r="BU25" s="110">
        <v>0.20833333333333301</v>
      </c>
      <c r="BV25" s="211">
        <f>'HVAC Appliances Austin'!BV25</f>
        <v>0</v>
      </c>
      <c r="BW25" s="21"/>
      <c r="BX25" s="110">
        <v>0.20833333333333301</v>
      </c>
      <c r="BY25" s="211">
        <f>'HVAC Appliances Austin'!BY25</f>
        <v>0</v>
      </c>
      <c r="BZ25" s="110">
        <v>0.20833333333333301</v>
      </c>
      <c r="CA25" s="211">
        <f>'HVAC Appliances Austin'!CA25</f>
        <v>0</v>
      </c>
      <c r="CB25" s="110">
        <v>0.20833333333333301</v>
      </c>
      <c r="CC25" s="211">
        <f>'HVAC Appliances Austin'!CC25</f>
        <v>0</v>
      </c>
      <c r="CD25" s="21"/>
      <c r="CE25" s="110">
        <v>0.20833333333333301</v>
      </c>
      <c r="CF25" s="211">
        <f>'HVAC Appliances Austin'!CF25</f>
        <v>136.33000000000001</v>
      </c>
      <c r="CG25" s="110">
        <v>0.20833333333333301</v>
      </c>
      <c r="CH25" s="211">
        <f>'HVAC Appliances Austin'!CH25</f>
        <v>268.14000000000004</v>
      </c>
      <c r="CI25" s="110">
        <v>0.20833333333333301</v>
      </c>
      <c r="CJ25" s="211">
        <f>'HVAC Appliances Austin'!CJ25</f>
        <v>356.00000000000006</v>
      </c>
      <c r="CK25" s="21"/>
      <c r="CL25" s="110">
        <v>0.20833333333333301</v>
      </c>
      <c r="CM25" s="211">
        <f>'HVAC Appliances Austin'!CM25</f>
        <v>0</v>
      </c>
      <c r="CN25" s="110">
        <v>0.20833333333333301</v>
      </c>
      <c r="CO25" s="211">
        <f>'HVAC Appliances Austin'!CO25</f>
        <v>0</v>
      </c>
      <c r="CP25" s="110">
        <v>0.20833333333333301</v>
      </c>
      <c r="CQ25" s="211">
        <f>'HVAC Appliances Austin'!CQ25</f>
        <v>0</v>
      </c>
      <c r="CR25" s="21"/>
      <c r="CS25" s="110">
        <v>0.20833333333333301</v>
      </c>
      <c r="CT25" s="211"/>
      <c r="CU25" s="21"/>
      <c r="CV25" s="110">
        <v>0.20833333333333301</v>
      </c>
      <c r="CW25" s="264"/>
      <c r="CY25" s="260">
        <v>0.20833333333333301</v>
      </c>
      <c r="CZ25" s="211">
        <f>'HVAC Appliances Austin'!CZ25</f>
        <v>178.13200000000006</v>
      </c>
      <c r="DA25" s="110">
        <v>0.20833333333333301</v>
      </c>
      <c r="DB25" s="211">
        <f>'HVAC Appliances Austin'!DB25</f>
        <v>242.56800000000032</v>
      </c>
      <c r="DC25" s="110">
        <v>0.20833333333333301</v>
      </c>
      <c r="DD25" s="211">
        <f>'HVAC Appliances Austin'!DD25</f>
        <v>337.87199999999996</v>
      </c>
      <c r="DE25" s="21"/>
      <c r="DF25" s="110">
        <v>0.20833333333333301</v>
      </c>
      <c r="DG25" s="211">
        <f>'HVAC Appliances Austin'!DG25</f>
        <v>143.50833333333341</v>
      </c>
      <c r="DH25" s="110">
        <v>0.20833333333333301</v>
      </c>
      <c r="DI25" s="211">
        <f>'HVAC Appliances Austin'!DI25</f>
        <v>171.51319444444434</v>
      </c>
      <c r="DJ25" s="110">
        <v>0.20833333333333301</v>
      </c>
      <c r="DK25" s="211">
        <f>'HVAC Appliances Austin'!DK25</f>
        <v>188.61458333333348</v>
      </c>
      <c r="DL25" s="21"/>
      <c r="DM25" s="110">
        <v>0.20833333333333301</v>
      </c>
      <c r="DN25" s="211">
        <f>'HVAC Appliances Austin'!DN25</f>
        <v>311.61399999999969</v>
      </c>
      <c r="DO25" s="110">
        <v>0.20833333333333301</v>
      </c>
      <c r="DP25" s="211">
        <f>'HVAC Appliances Austin'!DP25</f>
        <v>446.56299999999936</v>
      </c>
      <c r="DQ25" s="110">
        <v>0.20833333333333301</v>
      </c>
      <c r="DR25" s="211">
        <f>'HVAC Appliances Austin'!DR25</f>
        <v>542.88699999999949</v>
      </c>
      <c r="DS25" s="21"/>
      <c r="DT25" s="110">
        <v>0.20833333333333301</v>
      </c>
      <c r="DU25" s="211">
        <f>'HVAC Appliances Austin'!DU25</f>
        <v>0</v>
      </c>
      <c r="DV25" s="110">
        <v>0.20833333333333301</v>
      </c>
      <c r="DW25" s="211">
        <f>'HVAC Appliances Austin'!DW25</f>
        <v>0</v>
      </c>
      <c r="DX25" s="110">
        <v>0.20833333333333301</v>
      </c>
      <c r="DY25" s="211">
        <f>'HVAC Appliances Austin'!DY25</f>
        <v>0</v>
      </c>
      <c r="DZ25" s="21"/>
      <c r="EA25" s="110">
        <v>0.20833333333333301</v>
      </c>
      <c r="EB25" s="211">
        <f>'HVAC Appliances Amarillo'!EB25</f>
        <v>6900</v>
      </c>
      <c r="EC25" s="110">
        <v>0.20833333333333301</v>
      </c>
      <c r="ED25" s="211">
        <f>'HVAC Appliances Amarillo'!ED25</f>
        <v>12300</v>
      </c>
      <c r="EE25" s="110">
        <v>0.20833333333333301</v>
      </c>
      <c r="EF25" s="211">
        <f>'HVAC Appliances Amarillo'!EF25</f>
        <v>16000</v>
      </c>
      <c r="EG25" s="21"/>
      <c r="EH25" s="110">
        <v>0.20833333333333301</v>
      </c>
      <c r="EI25" s="211">
        <f>'HVAC Appliances Austin'!EI25</f>
        <v>369.61100000000022</v>
      </c>
      <c r="EJ25" s="110">
        <v>0.20833333333333301</v>
      </c>
      <c r="EK25" s="211">
        <f>'HVAC Appliances Austin'!EK25</f>
        <v>543.0951944444447</v>
      </c>
      <c r="EL25" s="110">
        <v>0.20833333333333301</v>
      </c>
      <c r="EM25" s="211">
        <f>'HVAC Appliances Austin'!EM25</f>
        <v>667.93258333333358</v>
      </c>
      <c r="EN25" s="21"/>
      <c r="EO25" s="110">
        <v>0.20833333333333301</v>
      </c>
      <c r="EP25" s="211"/>
      <c r="EQ25" s="21"/>
      <c r="ER25" s="110">
        <v>0.20833333333333301</v>
      </c>
      <c r="ES25" s="264"/>
      <c r="EU25" s="260">
        <v>0.20833333333333301</v>
      </c>
      <c r="EV25" s="209">
        <f>'HVAC Appliances Amarillo'!EV25</f>
        <v>5400</v>
      </c>
      <c r="EW25" s="110">
        <v>0.20833333333333301</v>
      </c>
      <c r="EX25" s="209">
        <f>'HVAC Appliances Amarillo'!EX25</f>
        <v>5400</v>
      </c>
      <c r="EY25" s="110">
        <v>0.20833333333333301</v>
      </c>
      <c r="EZ25" s="308">
        <f>'HVAC Appliances Amarillo'!EZ25</f>
        <v>5400</v>
      </c>
    </row>
    <row r="26" spans="1:156" x14ac:dyDescent="0.3">
      <c r="A26" s="108">
        <v>0.20833333333333301</v>
      </c>
      <c r="B26" s="226">
        <f t="shared" si="0"/>
        <v>0</v>
      </c>
      <c r="C26" s="21">
        <f t="shared" si="1"/>
        <v>356.00000000000006</v>
      </c>
      <c r="D26" s="20">
        <f t="shared" si="2"/>
        <v>16000</v>
      </c>
      <c r="E26" s="20">
        <f t="shared" si="3"/>
        <v>5400</v>
      </c>
      <c r="G26" s="260">
        <v>0.21875</v>
      </c>
      <c r="H26" s="211">
        <f>'HVAC Appliances Austin'!H26</f>
        <v>0</v>
      </c>
      <c r="I26" s="110">
        <v>0.21875</v>
      </c>
      <c r="J26" s="211">
        <f>'HVAC Appliances Austin'!J26</f>
        <v>0</v>
      </c>
      <c r="K26" s="110">
        <v>0.21875</v>
      </c>
      <c r="L26" s="211">
        <f>'HVAC Appliances Austin'!L26</f>
        <v>0</v>
      </c>
      <c r="M26" s="21"/>
      <c r="N26" s="110">
        <v>0.21875</v>
      </c>
      <c r="O26" s="211">
        <f>'HVAC Appliances Austin'!O26</f>
        <v>127.67847222222206</v>
      </c>
      <c r="P26" s="110">
        <v>0.21875</v>
      </c>
      <c r="Q26" s="211">
        <f>'HVAC Appliances Austin'!Q26</f>
        <v>157.19305555555562</v>
      </c>
      <c r="R26" s="110">
        <v>0.21875</v>
      </c>
      <c r="S26" s="211">
        <f>'HVAC Appliances Austin'!S26</f>
        <v>178.20555555555507</v>
      </c>
      <c r="T26" s="21"/>
      <c r="U26" s="110">
        <v>0.21875</v>
      </c>
      <c r="V26" s="211">
        <f>'HVAC Appliances Austin'!V26</f>
        <v>274.73899999999952</v>
      </c>
      <c r="W26" s="110">
        <v>0.21875</v>
      </c>
      <c r="X26" s="211">
        <f>'HVAC Appliances Austin'!X26</f>
        <v>400.62</v>
      </c>
      <c r="Y26" s="110">
        <v>0.21875</v>
      </c>
      <c r="Z26" s="211">
        <f>'HVAC Appliances Austin'!Z26</f>
        <v>486.31799999999936</v>
      </c>
      <c r="AA26" s="21"/>
      <c r="AB26" s="110">
        <v>0.21875</v>
      </c>
      <c r="AC26" s="211">
        <f>'HVAC Appliances Austin'!AC26</f>
        <v>54.375999999999756</v>
      </c>
      <c r="AD26" s="110">
        <v>0.21875</v>
      </c>
      <c r="AE26" s="211">
        <f>'HVAC Appliances Austin'!AE26</f>
        <v>40.159999999999755</v>
      </c>
      <c r="AF26" s="110">
        <v>0.21875</v>
      </c>
      <c r="AG26" s="211">
        <f>'HVAC Appliances Austin'!AG26</f>
        <v>40.231999999999601</v>
      </c>
      <c r="AH26" s="21"/>
      <c r="AI26" s="110">
        <v>0.21875</v>
      </c>
      <c r="AJ26" s="211">
        <f>'HVAC Appliances Austin'!AJ26</f>
        <v>0</v>
      </c>
      <c r="AK26" s="110">
        <v>0.21875</v>
      </c>
      <c r="AL26" s="211">
        <f>'HVAC Appliances Austin'!AL26</f>
        <v>0</v>
      </c>
      <c r="AM26" s="110">
        <v>0.21875</v>
      </c>
      <c r="AN26" s="211">
        <f>'HVAC Appliances Austin'!AN26</f>
        <v>0</v>
      </c>
      <c r="AO26" s="21"/>
      <c r="AP26" s="110">
        <v>0.21875</v>
      </c>
      <c r="AQ26" s="211">
        <f>'HVAC Appliances Austin'!AQ26</f>
        <v>328.99113888888922</v>
      </c>
      <c r="AR26" s="110">
        <v>0.21875</v>
      </c>
      <c r="AS26" s="211">
        <f>'HVAC Appliances Austin'!AS26</f>
        <v>491.29972222222261</v>
      </c>
      <c r="AT26" s="110">
        <v>0.21875</v>
      </c>
      <c r="AU26" s="211">
        <f>'HVAC Appliances Austin'!AU26</f>
        <v>603.16422222222286</v>
      </c>
      <c r="AV26" s="21"/>
      <c r="AW26" s="110">
        <v>0.21875</v>
      </c>
      <c r="AX26" s="211"/>
      <c r="AY26" s="21"/>
      <c r="AZ26" s="110">
        <v>0.21875</v>
      </c>
      <c r="BA26" s="264"/>
      <c r="BC26" s="260">
        <v>0.21875</v>
      </c>
      <c r="BD26" s="211">
        <f>'HVAC Appliances Austin'!BD26</f>
        <v>19.779999999999998</v>
      </c>
      <c r="BE26" s="110">
        <v>0.21875</v>
      </c>
      <c r="BF26" s="211">
        <f>'HVAC Appliances Austin'!BF26</f>
        <v>28.740000000000002</v>
      </c>
      <c r="BG26" s="110">
        <v>0.21875</v>
      </c>
      <c r="BH26" s="211">
        <f>'HVAC Appliances Austin'!BH26</f>
        <v>41.000000000000007</v>
      </c>
      <c r="BI26" s="21"/>
      <c r="BJ26" s="110">
        <v>0.21875</v>
      </c>
      <c r="BK26" s="211">
        <f>'HVAC Appliances Austin'!BK26</f>
        <v>0</v>
      </c>
      <c r="BL26" s="110">
        <v>0.21875</v>
      </c>
      <c r="BM26" s="211">
        <f>'HVAC Appliances Austin'!BM26</f>
        <v>0</v>
      </c>
      <c r="BN26" s="110">
        <v>0.21875</v>
      </c>
      <c r="BO26" s="211">
        <f>'HVAC Appliances Austin'!BO26</f>
        <v>0</v>
      </c>
      <c r="BP26" s="21"/>
      <c r="BQ26" s="110">
        <v>0.21875</v>
      </c>
      <c r="BR26" s="211">
        <f>'HVAC Appliances Austin'!BR26</f>
        <v>0</v>
      </c>
      <c r="BS26" s="110">
        <v>0.21875</v>
      </c>
      <c r="BT26" s="211">
        <f>'HVAC Appliances Austin'!BT26</f>
        <v>0</v>
      </c>
      <c r="BU26" s="110">
        <v>0.21875</v>
      </c>
      <c r="BV26" s="211">
        <f>'HVAC Appliances Austin'!BV26</f>
        <v>0</v>
      </c>
      <c r="BW26" s="21"/>
      <c r="BX26" s="110">
        <v>0.21875</v>
      </c>
      <c r="BY26" s="211">
        <f>'HVAC Appliances Austin'!BY26</f>
        <v>0</v>
      </c>
      <c r="BZ26" s="110">
        <v>0.21875</v>
      </c>
      <c r="CA26" s="211">
        <f>'HVAC Appliances Austin'!CA26</f>
        <v>0</v>
      </c>
      <c r="CB26" s="110">
        <v>0.21875</v>
      </c>
      <c r="CC26" s="211">
        <f>'HVAC Appliances Austin'!CC26</f>
        <v>0</v>
      </c>
      <c r="CD26" s="21"/>
      <c r="CE26" s="110">
        <v>0.21875</v>
      </c>
      <c r="CF26" s="211">
        <f>'HVAC Appliances Austin'!CF26</f>
        <v>136.33000000000001</v>
      </c>
      <c r="CG26" s="110">
        <v>0.21875</v>
      </c>
      <c r="CH26" s="211">
        <f>'HVAC Appliances Austin'!CH26</f>
        <v>268.14000000000004</v>
      </c>
      <c r="CI26" s="110">
        <v>0.21875</v>
      </c>
      <c r="CJ26" s="211">
        <f>'HVAC Appliances Austin'!CJ26</f>
        <v>356.00000000000006</v>
      </c>
      <c r="CK26" s="21"/>
      <c r="CL26" s="110">
        <v>0.21875</v>
      </c>
      <c r="CM26" s="211">
        <f>'HVAC Appliances Austin'!CM26</f>
        <v>0</v>
      </c>
      <c r="CN26" s="110">
        <v>0.21875</v>
      </c>
      <c r="CO26" s="211">
        <f>'HVAC Appliances Austin'!CO26</f>
        <v>0</v>
      </c>
      <c r="CP26" s="110">
        <v>0.21875</v>
      </c>
      <c r="CQ26" s="211">
        <f>'HVAC Appliances Austin'!CQ26</f>
        <v>0</v>
      </c>
      <c r="CR26" s="21"/>
      <c r="CS26" s="110">
        <v>0.21875</v>
      </c>
      <c r="CT26" s="211"/>
      <c r="CU26" s="21"/>
      <c r="CV26" s="110">
        <v>0.21875</v>
      </c>
      <c r="CW26" s="264"/>
      <c r="CY26" s="260">
        <v>0.21875</v>
      </c>
      <c r="CZ26" s="211">
        <f>'HVAC Appliances Austin'!CZ26</f>
        <v>178.13200000000006</v>
      </c>
      <c r="DA26" s="110">
        <v>0.21875</v>
      </c>
      <c r="DB26" s="211">
        <f>'HVAC Appliances Austin'!DB26</f>
        <v>242.56800000000032</v>
      </c>
      <c r="DC26" s="110">
        <v>0.21875</v>
      </c>
      <c r="DD26" s="211">
        <f>'HVAC Appliances Austin'!DD26</f>
        <v>337.87199999999996</v>
      </c>
      <c r="DE26" s="21"/>
      <c r="DF26" s="110">
        <v>0.21875</v>
      </c>
      <c r="DG26" s="211">
        <f>'HVAC Appliances Austin'!DG26</f>
        <v>143.50833333333341</v>
      </c>
      <c r="DH26" s="110">
        <v>0.21875</v>
      </c>
      <c r="DI26" s="211">
        <f>'HVAC Appliances Austin'!DI26</f>
        <v>171.51319444444434</v>
      </c>
      <c r="DJ26" s="110">
        <v>0.21875</v>
      </c>
      <c r="DK26" s="211">
        <f>'HVAC Appliances Austin'!DK26</f>
        <v>188.61458333333348</v>
      </c>
      <c r="DL26" s="21"/>
      <c r="DM26" s="110">
        <v>0.21875</v>
      </c>
      <c r="DN26" s="211">
        <f>'HVAC Appliances Austin'!DN26</f>
        <v>311.61399999999969</v>
      </c>
      <c r="DO26" s="110">
        <v>0.21875</v>
      </c>
      <c r="DP26" s="211">
        <f>'HVAC Appliances Austin'!DP26</f>
        <v>446.56299999999936</v>
      </c>
      <c r="DQ26" s="110">
        <v>0.21875</v>
      </c>
      <c r="DR26" s="211">
        <f>'HVAC Appliances Austin'!DR26</f>
        <v>542.88699999999949</v>
      </c>
      <c r="DS26" s="21"/>
      <c r="DT26" s="110">
        <v>0.21875</v>
      </c>
      <c r="DU26" s="211">
        <f>'HVAC Appliances Austin'!DU26</f>
        <v>0</v>
      </c>
      <c r="DV26" s="110">
        <v>0.21875</v>
      </c>
      <c r="DW26" s="211">
        <f>'HVAC Appliances Austin'!DW26</f>
        <v>0</v>
      </c>
      <c r="DX26" s="110">
        <v>0.21875</v>
      </c>
      <c r="DY26" s="211">
        <f>'HVAC Appliances Austin'!DY26</f>
        <v>0</v>
      </c>
      <c r="DZ26" s="21"/>
      <c r="EA26" s="110">
        <v>0.21875</v>
      </c>
      <c r="EB26" s="211">
        <f>'HVAC Appliances Amarillo'!EB26</f>
        <v>6900</v>
      </c>
      <c r="EC26" s="110">
        <v>0.21875</v>
      </c>
      <c r="ED26" s="211">
        <f>'HVAC Appliances Amarillo'!ED26</f>
        <v>12300</v>
      </c>
      <c r="EE26" s="110">
        <v>0.21875</v>
      </c>
      <c r="EF26" s="211">
        <f>'HVAC Appliances Amarillo'!EF26</f>
        <v>16000</v>
      </c>
      <c r="EG26" s="21"/>
      <c r="EH26" s="110">
        <v>0.21875</v>
      </c>
      <c r="EI26" s="211">
        <f>'HVAC Appliances Austin'!EI26</f>
        <v>369.61100000000022</v>
      </c>
      <c r="EJ26" s="110">
        <v>0.21875</v>
      </c>
      <c r="EK26" s="211">
        <f>'HVAC Appliances Austin'!EK26</f>
        <v>543.0951944444447</v>
      </c>
      <c r="EL26" s="110">
        <v>0.21875</v>
      </c>
      <c r="EM26" s="211">
        <f>'HVAC Appliances Austin'!EM26</f>
        <v>667.93258333333358</v>
      </c>
      <c r="EN26" s="21"/>
      <c r="EO26" s="110">
        <v>0.21875</v>
      </c>
      <c r="EP26" s="211"/>
      <c r="EQ26" s="21"/>
      <c r="ER26" s="110">
        <v>0.21875</v>
      </c>
      <c r="ES26" s="264"/>
      <c r="EU26" s="260">
        <v>0.21875</v>
      </c>
      <c r="EV26" s="209">
        <f>'HVAC Appliances Amarillo'!EV26</f>
        <v>5400</v>
      </c>
      <c r="EW26" s="110">
        <v>0.21875</v>
      </c>
      <c r="EX26" s="209">
        <f>'HVAC Appliances Amarillo'!EX26</f>
        <v>5400</v>
      </c>
      <c r="EY26" s="110">
        <v>0.21875</v>
      </c>
      <c r="EZ26" s="308">
        <f>'HVAC Appliances Amarillo'!EZ26</f>
        <v>5400</v>
      </c>
    </row>
    <row r="27" spans="1:156" x14ac:dyDescent="0.3">
      <c r="A27" s="108">
        <v>0.21875</v>
      </c>
      <c r="B27" s="226">
        <f t="shared" si="0"/>
        <v>0</v>
      </c>
      <c r="C27" s="21">
        <f t="shared" si="1"/>
        <v>356.00000000000006</v>
      </c>
      <c r="D27" s="20">
        <f t="shared" si="2"/>
        <v>16000</v>
      </c>
      <c r="E27" s="20">
        <f t="shared" si="3"/>
        <v>5400</v>
      </c>
      <c r="G27" s="260">
        <v>0.22916666666666699</v>
      </c>
      <c r="H27" s="211">
        <f>'HVAC Appliances Austin'!H27</f>
        <v>0</v>
      </c>
      <c r="I27" s="110">
        <v>0.22916666666666699</v>
      </c>
      <c r="J27" s="211">
        <f>'HVAC Appliances Austin'!J27</f>
        <v>0</v>
      </c>
      <c r="K27" s="110">
        <v>0.22916666666666699</v>
      </c>
      <c r="L27" s="211">
        <f>'HVAC Appliances Austin'!L27</f>
        <v>0</v>
      </c>
      <c r="M27" s="21"/>
      <c r="N27" s="110">
        <v>0.22916666666666699</v>
      </c>
      <c r="O27" s="211">
        <f>'HVAC Appliances Austin'!O27</f>
        <v>127.67847222222206</v>
      </c>
      <c r="P27" s="110">
        <v>0.22916666666666699</v>
      </c>
      <c r="Q27" s="211">
        <f>'HVAC Appliances Austin'!Q27</f>
        <v>157.19305555555562</v>
      </c>
      <c r="R27" s="110">
        <v>0.22916666666666699</v>
      </c>
      <c r="S27" s="211">
        <f>'HVAC Appliances Austin'!S27</f>
        <v>178.20555555555507</v>
      </c>
      <c r="T27" s="21"/>
      <c r="U27" s="110">
        <v>0.22916666666666699</v>
      </c>
      <c r="V27" s="211">
        <f>'HVAC Appliances Austin'!V27</f>
        <v>274.73899999999952</v>
      </c>
      <c r="W27" s="110">
        <v>0.22916666666666699</v>
      </c>
      <c r="X27" s="211">
        <f>'HVAC Appliances Austin'!X27</f>
        <v>400.62</v>
      </c>
      <c r="Y27" s="110">
        <v>0.22916666666666699</v>
      </c>
      <c r="Z27" s="211">
        <f>'HVAC Appliances Austin'!Z27</f>
        <v>486.31799999999936</v>
      </c>
      <c r="AA27" s="21"/>
      <c r="AB27" s="110">
        <v>0.22916666666666699</v>
      </c>
      <c r="AC27" s="211">
        <f>'HVAC Appliances Austin'!AC27</f>
        <v>54.375999999999756</v>
      </c>
      <c r="AD27" s="110">
        <v>0.22916666666666699</v>
      </c>
      <c r="AE27" s="211">
        <f>'HVAC Appliances Austin'!AE27</f>
        <v>40.159999999999755</v>
      </c>
      <c r="AF27" s="110">
        <v>0.22916666666666699</v>
      </c>
      <c r="AG27" s="211">
        <f>'HVAC Appliances Austin'!AG27</f>
        <v>40.231999999999601</v>
      </c>
      <c r="AH27" s="21"/>
      <c r="AI27" s="110">
        <v>0.22916666666666699</v>
      </c>
      <c r="AJ27" s="211">
        <f>'HVAC Appliances Austin'!AJ27</f>
        <v>0</v>
      </c>
      <c r="AK27" s="110">
        <v>0.22916666666666699</v>
      </c>
      <c r="AL27" s="211">
        <f>'HVAC Appliances Austin'!AL27</f>
        <v>0</v>
      </c>
      <c r="AM27" s="110">
        <v>0.22916666666666699</v>
      </c>
      <c r="AN27" s="211">
        <f>'HVAC Appliances Austin'!AN27</f>
        <v>0</v>
      </c>
      <c r="AO27" s="21"/>
      <c r="AP27" s="110">
        <v>0.22916666666666699</v>
      </c>
      <c r="AQ27" s="211">
        <f>'HVAC Appliances Austin'!AQ27</f>
        <v>328.99113888888922</v>
      </c>
      <c r="AR27" s="110">
        <v>0.22916666666666699</v>
      </c>
      <c r="AS27" s="211">
        <f>'HVAC Appliances Austin'!AS27</f>
        <v>491.29972222222261</v>
      </c>
      <c r="AT27" s="110">
        <v>0.22916666666666699</v>
      </c>
      <c r="AU27" s="211">
        <f>'HVAC Appliances Austin'!AU27</f>
        <v>603.16422222222286</v>
      </c>
      <c r="AV27" s="21"/>
      <c r="AW27" s="110">
        <v>0.22916666666666699</v>
      </c>
      <c r="AX27" s="211"/>
      <c r="AY27" s="21"/>
      <c r="AZ27" s="110">
        <v>0.22916666666666699</v>
      </c>
      <c r="BA27" s="264"/>
      <c r="BC27" s="260">
        <v>0.22916666666666699</v>
      </c>
      <c r="BD27" s="211">
        <f>'HVAC Appliances Austin'!BD27</f>
        <v>19.779999999999998</v>
      </c>
      <c r="BE27" s="110">
        <v>0.22916666666666699</v>
      </c>
      <c r="BF27" s="211">
        <f>'HVAC Appliances Austin'!BF27</f>
        <v>28.740000000000002</v>
      </c>
      <c r="BG27" s="110">
        <v>0.22916666666666699</v>
      </c>
      <c r="BH27" s="211">
        <f>'HVAC Appliances Austin'!BH27</f>
        <v>41.000000000000007</v>
      </c>
      <c r="BI27" s="21"/>
      <c r="BJ27" s="110">
        <v>0.22916666666666699</v>
      </c>
      <c r="BK27" s="211">
        <f>'HVAC Appliances Austin'!BK27</f>
        <v>0</v>
      </c>
      <c r="BL27" s="110">
        <v>0.22916666666666699</v>
      </c>
      <c r="BM27" s="211">
        <f>'HVAC Appliances Austin'!BM27</f>
        <v>0</v>
      </c>
      <c r="BN27" s="110">
        <v>0.22916666666666699</v>
      </c>
      <c r="BO27" s="211">
        <f>'HVAC Appliances Austin'!BO27</f>
        <v>0</v>
      </c>
      <c r="BP27" s="21"/>
      <c r="BQ27" s="110">
        <v>0.22916666666666699</v>
      </c>
      <c r="BR27" s="211">
        <f>'HVAC Appliances Austin'!BR27</f>
        <v>0</v>
      </c>
      <c r="BS27" s="110">
        <v>0.22916666666666699</v>
      </c>
      <c r="BT27" s="211">
        <f>'HVAC Appliances Austin'!BT27</f>
        <v>0</v>
      </c>
      <c r="BU27" s="110">
        <v>0.22916666666666699</v>
      </c>
      <c r="BV27" s="211">
        <f>'HVAC Appliances Austin'!BV27</f>
        <v>0</v>
      </c>
      <c r="BW27" s="21"/>
      <c r="BX27" s="110">
        <v>0.22916666666666699</v>
      </c>
      <c r="BY27" s="211">
        <f>'HVAC Appliances Austin'!BY27</f>
        <v>0</v>
      </c>
      <c r="BZ27" s="110">
        <v>0.22916666666666699</v>
      </c>
      <c r="CA27" s="211">
        <f>'HVAC Appliances Austin'!CA27</f>
        <v>0</v>
      </c>
      <c r="CB27" s="110">
        <v>0.22916666666666699</v>
      </c>
      <c r="CC27" s="211">
        <f>'HVAC Appliances Austin'!CC27</f>
        <v>0</v>
      </c>
      <c r="CD27" s="21"/>
      <c r="CE27" s="110">
        <v>0.22916666666666699</v>
      </c>
      <c r="CF27" s="211">
        <f>'HVAC Appliances Austin'!CF27</f>
        <v>136.33000000000001</v>
      </c>
      <c r="CG27" s="110">
        <v>0.22916666666666699</v>
      </c>
      <c r="CH27" s="211">
        <f>'HVAC Appliances Austin'!CH27</f>
        <v>268.14000000000004</v>
      </c>
      <c r="CI27" s="110">
        <v>0.22916666666666699</v>
      </c>
      <c r="CJ27" s="211">
        <f>'HVAC Appliances Austin'!CJ27</f>
        <v>356.00000000000006</v>
      </c>
      <c r="CK27" s="21"/>
      <c r="CL27" s="110">
        <v>0.22916666666666699</v>
      </c>
      <c r="CM27" s="211">
        <f>'HVAC Appliances Austin'!CM27</f>
        <v>0</v>
      </c>
      <c r="CN27" s="110">
        <v>0.22916666666666699</v>
      </c>
      <c r="CO27" s="211">
        <f>'HVAC Appliances Austin'!CO27</f>
        <v>0</v>
      </c>
      <c r="CP27" s="110">
        <v>0.22916666666666699</v>
      </c>
      <c r="CQ27" s="211">
        <f>'HVAC Appliances Austin'!CQ27</f>
        <v>0</v>
      </c>
      <c r="CR27" s="21"/>
      <c r="CS27" s="110">
        <v>0.22916666666666699</v>
      </c>
      <c r="CT27" s="211"/>
      <c r="CU27" s="21"/>
      <c r="CV27" s="110">
        <v>0.22916666666666699</v>
      </c>
      <c r="CW27" s="264"/>
      <c r="CY27" s="260">
        <v>0.22916666666666699</v>
      </c>
      <c r="CZ27" s="211">
        <f>'HVAC Appliances Austin'!CZ27</f>
        <v>178.13200000000006</v>
      </c>
      <c r="DA27" s="110">
        <v>0.22916666666666699</v>
      </c>
      <c r="DB27" s="211">
        <f>'HVAC Appliances Austin'!DB27</f>
        <v>242.56800000000032</v>
      </c>
      <c r="DC27" s="110">
        <v>0.22916666666666699</v>
      </c>
      <c r="DD27" s="211">
        <f>'HVAC Appliances Austin'!DD27</f>
        <v>337.87199999999996</v>
      </c>
      <c r="DE27" s="21"/>
      <c r="DF27" s="110">
        <v>0.22916666666666699</v>
      </c>
      <c r="DG27" s="211">
        <f>'HVAC Appliances Austin'!DG27</f>
        <v>143.50833333333341</v>
      </c>
      <c r="DH27" s="110">
        <v>0.22916666666666699</v>
      </c>
      <c r="DI27" s="211">
        <f>'HVAC Appliances Austin'!DI27</f>
        <v>171.51319444444434</v>
      </c>
      <c r="DJ27" s="110">
        <v>0.22916666666666699</v>
      </c>
      <c r="DK27" s="211">
        <f>'HVAC Appliances Austin'!DK27</f>
        <v>188.61458333333348</v>
      </c>
      <c r="DL27" s="21"/>
      <c r="DM27" s="110">
        <v>0.22916666666666699</v>
      </c>
      <c r="DN27" s="211">
        <f>'HVAC Appliances Austin'!DN27</f>
        <v>311.61399999999969</v>
      </c>
      <c r="DO27" s="110">
        <v>0.22916666666666699</v>
      </c>
      <c r="DP27" s="211">
        <f>'HVAC Appliances Austin'!DP27</f>
        <v>446.56299999999936</v>
      </c>
      <c r="DQ27" s="110">
        <v>0.22916666666666699</v>
      </c>
      <c r="DR27" s="211">
        <f>'HVAC Appliances Austin'!DR27</f>
        <v>542.88699999999949</v>
      </c>
      <c r="DS27" s="21"/>
      <c r="DT27" s="110">
        <v>0.22916666666666699</v>
      </c>
      <c r="DU27" s="211">
        <f>'HVAC Appliances Austin'!DU27</f>
        <v>0</v>
      </c>
      <c r="DV27" s="110">
        <v>0.22916666666666699</v>
      </c>
      <c r="DW27" s="211">
        <f>'HVAC Appliances Austin'!DW27</f>
        <v>0</v>
      </c>
      <c r="DX27" s="110">
        <v>0.22916666666666699</v>
      </c>
      <c r="DY27" s="211">
        <f>'HVAC Appliances Austin'!DY27</f>
        <v>0</v>
      </c>
      <c r="DZ27" s="21"/>
      <c r="EA27" s="110">
        <v>0.22916666666666699</v>
      </c>
      <c r="EB27" s="211">
        <f>'HVAC Appliances Amarillo'!EB27</f>
        <v>0</v>
      </c>
      <c r="EC27" s="110">
        <v>0.22916666666666699</v>
      </c>
      <c r="ED27" s="211">
        <f>'HVAC Appliances Amarillo'!ED27</f>
        <v>12300</v>
      </c>
      <c r="EE27" s="110">
        <v>0.22916666666666699</v>
      </c>
      <c r="EF27" s="211">
        <f>'HVAC Appliances Amarillo'!EF27</f>
        <v>16000</v>
      </c>
      <c r="EG27" s="21"/>
      <c r="EH27" s="110">
        <v>0.22916666666666699</v>
      </c>
      <c r="EI27" s="211">
        <f>'HVAC Appliances Austin'!EI27</f>
        <v>369.61100000000022</v>
      </c>
      <c r="EJ27" s="110">
        <v>0.22916666666666699</v>
      </c>
      <c r="EK27" s="211">
        <f>'HVAC Appliances Austin'!EK27</f>
        <v>543.0951944444447</v>
      </c>
      <c r="EL27" s="110">
        <v>0.22916666666666699</v>
      </c>
      <c r="EM27" s="211">
        <f>'HVAC Appliances Austin'!EM27</f>
        <v>667.93258333333358</v>
      </c>
      <c r="EN27" s="21"/>
      <c r="EO27" s="110">
        <v>0.22916666666666699</v>
      </c>
      <c r="EP27" s="211"/>
      <c r="EQ27" s="21"/>
      <c r="ER27" s="110">
        <v>0.22916666666666699</v>
      </c>
      <c r="ES27" s="264"/>
      <c r="EU27" s="260">
        <v>0.22916666666666699</v>
      </c>
      <c r="EV27" s="209">
        <f>'HVAC Appliances Amarillo'!EV27</f>
        <v>0</v>
      </c>
      <c r="EW27" s="110">
        <v>0.22916666666666699</v>
      </c>
      <c r="EX27" s="209">
        <f>'HVAC Appliances Amarillo'!EX27</f>
        <v>5400</v>
      </c>
      <c r="EY27" s="110">
        <v>0.22916666666666699</v>
      </c>
      <c r="EZ27" s="308">
        <f>'HVAC Appliances Amarillo'!EZ27</f>
        <v>5400</v>
      </c>
    </row>
    <row r="28" spans="1:156" x14ac:dyDescent="0.3">
      <c r="A28" s="108">
        <v>0.22916666666666699</v>
      </c>
      <c r="B28" s="226">
        <f t="shared" si="0"/>
        <v>0</v>
      </c>
      <c r="C28" s="21">
        <f t="shared" si="1"/>
        <v>356.00000000000006</v>
      </c>
      <c r="D28" s="20">
        <f t="shared" si="2"/>
        <v>16000</v>
      </c>
      <c r="E28" s="20">
        <f t="shared" si="3"/>
        <v>5400</v>
      </c>
      <c r="G28" s="260">
        <v>0.23958333333333301</v>
      </c>
      <c r="H28" s="211">
        <f>'HVAC Appliances Austin'!H28</f>
        <v>0</v>
      </c>
      <c r="I28" s="110">
        <v>0.23958333333333301</v>
      </c>
      <c r="J28" s="211">
        <f>'HVAC Appliances Austin'!J28</f>
        <v>0</v>
      </c>
      <c r="K28" s="110">
        <v>0.23958333333333301</v>
      </c>
      <c r="L28" s="211">
        <f>'HVAC Appliances Austin'!L28</f>
        <v>0</v>
      </c>
      <c r="M28" s="21"/>
      <c r="N28" s="110">
        <v>0.23958333333333301</v>
      </c>
      <c r="O28" s="211">
        <f>'HVAC Appliances Austin'!O28</f>
        <v>127.67847222222206</v>
      </c>
      <c r="P28" s="110">
        <v>0.23958333333333301</v>
      </c>
      <c r="Q28" s="211">
        <f>'HVAC Appliances Austin'!Q28</f>
        <v>157.19305555555562</v>
      </c>
      <c r="R28" s="110">
        <v>0.23958333333333301</v>
      </c>
      <c r="S28" s="211">
        <f>'HVAC Appliances Austin'!S28</f>
        <v>178.20555555555507</v>
      </c>
      <c r="T28" s="21"/>
      <c r="U28" s="110">
        <v>0.23958333333333301</v>
      </c>
      <c r="V28" s="211">
        <f>'HVAC Appliances Austin'!V28</f>
        <v>274.73899999999952</v>
      </c>
      <c r="W28" s="110">
        <v>0.23958333333333301</v>
      </c>
      <c r="X28" s="211">
        <f>'HVAC Appliances Austin'!X28</f>
        <v>400.62</v>
      </c>
      <c r="Y28" s="110">
        <v>0.23958333333333301</v>
      </c>
      <c r="Z28" s="211">
        <f>'HVAC Appliances Austin'!Z28</f>
        <v>486.31799999999936</v>
      </c>
      <c r="AA28" s="21"/>
      <c r="AB28" s="110">
        <v>0.23958333333333301</v>
      </c>
      <c r="AC28" s="211">
        <f>'HVAC Appliances Austin'!AC28</f>
        <v>54.375999999999756</v>
      </c>
      <c r="AD28" s="110">
        <v>0.23958333333333301</v>
      </c>
      <c r="AE28" s="211">
        <f>'HVAC Appliances Austin'!AE28</f>
        <v>40.159999999999755</v>
      </c>
      <c r="AF28" s="110">
        <v>0.23958333333333301</v>
      </c>
      <c r="AG28" s="211">
        <f>'HVAC Appliances Austin'!AG28</f>
        <v>40.231999999999601</v>
      </c>
      <c r="AH28" s="21"/>
      <c r="AI28" s="110">
        <v>0.23958333333333301</v>
      </c>
      <c r="AJ28" s="211">
        <f>'HVAC Appliances Austin'!AJ28</f>
        <v>0</v>
      </c>
      <c r="AK28" s="110">
        <v>0.23958333333333301</v>
      </c>
      <c r="AL28" s="211">
        <f>'HVAC Appliances Austin'!AL28</f>
        <v>0</v>
      </c>
      <c r="AM28" s="110">
        <v>0.23958333333333301</v>
      </c>
      <c r="AN28" s="211">
        <f>'HVAC Appliances Austin'!AN28</f>
        <v>0</v>
      </c>
      <c r="AO28" s="21"/>
      <c r="AP28" s="110">
        <v>0.23958333333333301</v>
      </c>
      <c r="AQ28" s="211">
        <f>'HVAC Appliances Austin'!AQ28</f>
        <v>328.99113888888922</v>
      </c>
      <c r="AR28" s="110">
        <v>0.23958333333333301</v>
      </c>
      <c r="AS28" s="211">
        <f>'HVAC Appliances Austin'!AS28</f>
        <v>491.29972222222261</v>
      </c>
      <c r="AT28" s="110">
        <v>0.23958333333333301</v>
      </c>
      <c r="AU28" s="211">
        <f>'HVAC Appliances Austin'!AU28</f>
        <v>603.16422222222286</v>
      </c>
      <c r="AV28" s="21"/>
      <c r="AW28" s="110">
        <v>0.23958333333333301</v>
      </c>
      <c r="AX28" s="211"/>
      <c r="AY28" s="21"/>
      <c r="AZ28" s="110">
        <v>0.23958333333333301</v>
      </c>
      <c r="BA28" s="264"/>
      <c r="BC28" s="260">
        <v>0.23958333333333301</v>
      </c>
      <c r="BD28" s="211">
        <f>'HVAC Appliances Austin'!BD28</f>
        <v>19.779999999999998</v>
      </c>
      <c r="BE28" s="110">
        <v>0.23958333333333301</v>
      </c>
      <c r="BF28" s="211">
        <f>'HVAC Appliances Austin'!BF28</f>
        <v>28.740000000000002</v>
      </c>
      <c r="BG28" s="110">
        <v>0.23958333333333301</v>
      </c>
      <c r="BH28" s="211">
        <f>'HVAC Appliances Austin'!BH28</f>
        <v>41.000000000000007</v>
      </c>
      <c r="BI28" s="21"/>
      <c r="BJ28" s="110">
        <v>0.23958333333333301</v>
      </c>
      <c r="BK28" s="211">
        <f>'HVAC Appliances Austin'!BK28</f>
        <v>0</v>
      </c>
      <c r="BL28" s="110">
        <v>0.23958333333333301</v>
      </c>
      <c r="BM28" s="211">
        <f>'HVAC Appliances Austin'!BM28</f>
        <v>0</v>
      </c>
      <c r="BN28" s="110">
        <v>0.23958333333333301</v>
      </c>
      <c r="BO28" s="211">
        <f>'HVAC Appliances Austin'!BO28</f>
        <v>0</v>
      </c>
      <c r="BP28" s="21"/>
      <c r="BQ28" s="110">
        <v>0.23958333333333301</v>
      </c>
      <c r="BR28" s="211">
        <f>'HVAC Appliances Austin'!BR28</f>
        <v>0</v>
      </c>
      <c r="BS28" s="110">
        <v>0.23958333333333301</v>
      </c>
      <c r="BT28" s="211">
        <f>'HVAC Appliances Austin'!BT28</f>
        <v>0</v>
      </c>
      <c r="BU28" s="110">
        <v>0.23958333333333301</v>
      </c>
      <c r="BV28" s="211">
        <f>'HVAC Appliances Austin'!BV28</f>
        <v>0</v>
      </c>
      <c r="BW28" s="21"/>
      <c r="BX28" s="110">
        <v>0.23958333333333301</v>
      </c>
      <c r="BY28" s="211">
        <f>'HVAC Appliances Austin'!BY28</f>
        <v>0</v>
      </c>
      <c r="BZ28" s="110">
        <v>0.23958333333333301</v>
      </c>
      <c r="CA28" s="211">
        <f>'HVAC Appliances Austin'!CA28</f>
        <v>0</v>
      </c>
      <c r="CB28" s="110">
        <v>0.23958333333333301</v>
      </c>
      <c r="CC28" s="211">
        <f>'HVAC Appliances Austin'!CC28</f>
        <v>0</v>
      </c>
      <c r="CD28" s="21"/>
      <c r="CE28" s="110">
        <v>0.23958333333333301</v>
      </c>
      <c r="CF28" s="211">
        <f>'HVAC Appliances Austin'!CF28</f>
        <v>136.33000000000001</v>
      </c>
      <c r="CG28" s="110">
        <v>0.23958333333333301</v>
      </c>
      <c r="CH28" s="211">
        <f>'HVAC Appliances Austin'!CH28</f>
        <v>268.14000000000004</v>
      </c>
      <c r="CI28" s="110">
        <v>0.23958333333333301</v>
      </c>
      <c r="CJ28" s="211">
        <f>'HVAC Appliances Austin'!CJ28</f>
        <v>356.00000000000006</v>
      </c>
      <c r="CK28" s="21"/>
      <c r="CL28" s="110">
        <v>0.23958333333333301</v>
      </c>
      <c r="CM28" s="211">
        <f>'HVAC Appliances Austin'!CM28</f>
        <v>0</v>
      </c>
      <c r="CN28" s="110">
        <v>0.23958333333333301</v>
      </c>
      <c r="CO28" s="211">
        <f>'HVAC Appliances Austin'!CO28</f>
        <v>0</v>
      </c>
      <c r="CP28" s="110">
        <v>0.23958333333333301</v>
      </c>
      <c r="CQ28" s="211">
        <f>'HVAC Appliances Austin'!CQ28</f>
        <v>0</v>
      </c>
      <c r="CR28" s="21"/>
      <c r="CS28" s="110">
        <v>0.23958333333333301</v>
      </c>
      <c r="CT28" s="211"/>
      <c r="CU28" s="21"/>
      <c r="CV28" s="110">
        <v>0.23958333333333301</v>
      </c>
      <c r="CW28" s="264"/>
      <c r="CY28" s="260">
        <v>0.23958333333333301</v>
      </c>
      <c r="CZ28" s="211">
        <f>'HVAC Appliances Austin'!CZ28</f>
        <v>178.13200000000006</v>
      </c>
      <c r="DA28" s="110">
        <v>0.23958333333333301</v>
      </c>
      <c r="DB28" s="211">
        <f>'HVAC Appliances Austin'!DB28</f>
        <v>242.56800000000032</v>
      </c>
      <c r="DC28" s="110">
        <v>0.23958333333333301</v>
      </c>
      <c r="DD28" s="211">
        <f>'HVAC Appliances Austin'!DD28</f>
        <v>337.87199999999996</v>
      </c>
      <c r="DE28" s="21"/>
      <c r="DF28" s="110">
        <v>0.23958333333333301</v>
      </c>
      <c r="DG28" s="211">
        <f>'HVAC Appliances Austin'!DG28</f>
        <v>143.50833333333341</v>
      </c>
      <c r="DH28" s="110">
        <v>0.23958333333333301</v>
      </c>
      <c r="DI28" s="211">
        <f>'HVAC Appliances Austin'!DI28</f>
        <v>171.51319444444434</v>
      </c>
      <c r="DJ28" s="110">
        <v>0.23958333333333301</v>
      </c>
      <c r="DK28" s="211">
        <f>'HVAC Appliances Austin'!DK28</f>
        <v>188.61458333333348</v>
      </c>
      <c r="DL28" s="21"/>
      <c r="DM28" s="110">
        <v>0.23958333333333301</v>
      </c>
      <c r="DN28" s="211">
        <f>'HVAC Appliances Austin'!DN28</f>
        <v>311.61399999999969</v>
      </c>
      <c r="DO28" s="110">
        <v>0.23958333333333301</v>
      </c>
      <c r="DP28" s="211">
        <f>'HVAC Appliances Austin'!DP28</f>
        <v>446.56299999999936</v>
      </c>
      <c r="DQ28" s="110">
        <v>0.23958333333333301</v>
      </c>
      <c r="DR28" s="211">
        <f>'HVAC Appliances Austin'!DR28</f>
        <v>542.88699999999949</v>
      </c>
      <c r="DS28" s="21"/>
      <c r="DT28" s="110">
        <v>0.23958333333333301</v>
      </c>
      <c r="DU28" s="211">
        <f>'HVAC Appliances Austin'!DU28</f>
        <v>0</v>
      </c>
      <c r="DV28" s="110">
        <v>0.23958333333333301</v>
      </c>
      <c r="DW28" s="211">
        <f>'HVAC Appliances Austin'!DW28</f>
        <v>0</v>
      </c>
      <c r="DX28" s="110">
        <v>0.23958333333333301</v>
      </c>
      <c r="DY28" s="211">
        <f>'HVAC Appliances Austin'!DY28</f>
        <v>0</v>
      </c>
      <c r="DZ28" s="21"/>
      <c r="EA28" s="110">
        <v>0.23958333333333301</v>
      </c>
      <c r="EB28" s="211">
        <f>'HVAC Appliances Amarillo'!EB28</f>
        <v>0</v>
      </c>
      <c r="EC28" s="110">
        <v>0.23958333333333301</v>
      </c>
      <c r="ED28" s="211">
        <f>'HVAC Appliances Amarillo'!ED28</f>
        <v>0</v>
      </c>
      <c r="EE28" s="110">
        <v>0.23958333333333301</v>
      </c>
      <c r="EF28" s="211">
        <f>'HVAC Appliances Amarillo'!EF28</f>
        <v>0</v>
      </c>
      <c r="EG28" s="21"/>
      <c r="EH28" s="110">
        <v>0.23958333333333301</v>
      </c>
      <c r="EI28" s="211">
        <f>'HVAC Appliances Austin'!EI28</f>
        <v>369.61100000000022</v>
      </c>
      <c r="EJ28" s="110">
        <v>0.23958333333333301</v>
      </c>
      <c r="EK28" s="211">
        <f>'HVAC Appliances Austin'!EK28</f>
        <v>543.0951944444447</v>
      </c>
      <c r="EL28" s="110">
        <v>0.23958333333333301</v>
      </c>
      <c r="EM28" s="211">
        <f>'HVAC Appliances Austin'!EM28</f>
        <v>667.93258333333358</v>
      </c>
      <c r="EN28" s="21"/>
      <c r="EO28" s="110">
        <v>0.23958333333333301</v>
      </c>
      <c r="EP28" s="211"/>
      <c r="EQ28" s="21"/>
      <c r="ER28" s="110">
        <v>0.23958333333333301</v>
      </c>
      <c r="ES28" s="264"/>
      <c r="EU28" s="260">
        <v>0.23958333333333301</v>
      </c>
      <c r="EV28" s="209">
        <f>'HVAC Appliances Amarillo'!EV28</f>
        <v>0</v>
      </c>
      <c r="EW28" s="110">
        <v>0.23958333333333301</v>
      </c>
      <c r="EX28" s="209">
        <f>'HVAC Appliances Amarillo'!EX28</f>
        <v>0</v>
      </c>
      <c r="EY28" s="110">
        <v>0.23958333333333301</v>
      </c>
      <c r="EZ28" s="308">
        <f>'HVAC Appliances Amarillo'!EZ28</f>
        <v>0</v>
      </c>
    </row>
    <row r="29" spans="1:156" x14ac:dyDescent="0.3">
      <c r="A29" s="108">
        <v>0.23958333333333301</v>
      </c>
      <c r="B29" s="226">
        <f t="shared" si="0"/>
        <v>0</v>
      </c>
      <c r="C29" s="21">
        <f t="shared" si="1"/>
        <v>356.00000000000006</v>
      </c>
      <c r="D29" s="20">
        <f t="shared" si="2"/>
        <v>0</v>
      </c>
      <c r="E29" s="20">
        <f t="shared" si="3"/>
        <v>0</v>
      </c>
      <c r="G29" s="260">
        <v>0.25</v>
      </c>
      <c r="H29" s="211">
        <f>'HVAC Appliances Austin'!H29</f>
        <v>0</v>
      </c>
      <c r="I29" s="110">
        <v>0.25</v>
      </c>
      <c r="J29" s="211">
        <f>'HVAC Appliances Austin'!J29</f>
        <v>0</v>
      </c>
      <c r="K29" s="110">
        <v>0.25</v>
      </c>
      <c r="L29" s="211">
        <f>'HVAC Appliances Austin'!L29</f>
        <v>0</v>
      </c>
      <c r="M29" s="21"/>
      <c r="N29" s="110">
        <v>0.25</v>
      </c>
      <c r="O29" s="211">
        <f>'HVAC Appliances Austin'!O29</f>
        <v>109.69131249999997</v>
      </c>
      <c r="P29" s="110">
        <v>0.25</v>
      </c>
      <c r="Q29" s="211">
        <f>'HVAC Appliances Austin'!Q29</f>
        <v>127.9006250000001</v>
      </c>
      <c r="R29" s="110">
        <v>0.25</v>
      </c>
      <c r="S29" s="211">
        <f>'HVAC Appliances Austin'!S29</f>
        <v>142.26574999999951</v>
      </c>
      <c r="T29" s="21"/>
      <c r="U29" s="110">
        <v>0.25</v>
      </c>
      <c r="V29" s="211">
        <f>'HVAC Appliances Austin'!V29</f>
        <v>309.50503472222181</v>
      </c>
      <c r="W29" s="110">
        <v>0.25</v>
      </c>
      <c r="X29" s="211">
        <f>'HVAC Appliances Austin'!X29</f>
        <v>458.6961805555556</v>
      </c>
      <c r="Y29" s="110">
        <v>0.25</v>
      </c>
      <c r="Z29" s="211">
        <f>'HVAC Appliances Austin'!Z29</f>
        <v>561.07430555555516</v>
      </c>
      <c r="AA29" s="21"/>
      <c r="AB29" s="110">
        <v>0.25</v>
      </c>
      <c r="AC29" s="211">
        <f>'HVAC Appliances Austin'!AC29</f>
        <v>54.375999999999756</v>
      </c>
      <c r="AD29" s="110">
        <v>0.25</v>
      </c>
      <c r="AE29" s="211">
        <f>'HVAC Appliances Austin'!AE29</f>
        <v>40.159999999999755</v>
      </c>
      <c r="AF29" s="110">
        <v>0.25</v>
      </c>
      <c r="AG29" s="211">
        <f>'HVAC Appliances Austin'!AG29</f>
        <v>40.231999999999601</v>
      </c>
      <c r="AH29" s="21"/>
      <c r="AI29" s="110">
        <v>0.25</v>
      </c>
      <c r="AJ29" s="211">
        <f>'HVAC Appliances Austin'!AJ29</f>
        <v>0</v>
      </c>
      <c r="AK29" s="110">
        <v>0.25</v>
      </c>
      <c r="AL29" s="211">
        <f>'HVAC Appliances Austin'!AL29</f>
        <v>0</v>
      </c>
      <c r="AM29" s="110">
        <v>0.25</v>
      </c>
      <c r="AN29" s="211">
        <f>'HVAC Appliances Austin'!AN29</f>
        <v>0</v>
      </c>
      <c r="AO29" s="21"/>
      <c r="AP29" s="110">
        <v>0.25</v>
      </c>
      <c r="AQ29" s="211">
        <f>'HVAC Appliances Austin'!AQ29</f>
        <v>369.47820138888852</v>
      </c>
      <c r="AR29" s="110">
        <v>0.25</v>
      </c>
      <c r="AS29" s="211">
        <f>'HVAC Appliances Austin'!AS29</f>
        <v>559.14284722222214</v>
      </c>
      <c r="AT29" s="110">
        <v>0.25</v>
      </c>
      <c r="AU29" s="211">
        <f>'HVAC Appliances Austin'!AU29</f>
        <v>690.9839722222215</v>
      </c>
      <c r="AV29" s="21"/>
      <c r="AW29" s="110">
        <v>0.25</v>
      </c>
      <c r="AX29" s="211"/>
      <c r="AY29" s="21"/>
      <c r="AZ29" s="110">
        <v>0.25</v>
      </c>
      <c r="BA29" s="264"/>
      <c r="BC29" s="260">
        <v>0.25</v>
      </c>
      <c r="BD29" s="211">
        <f>'HVAC Appliances Austin'!BD29</f>
        <v>17.93</v>
      </c>
      <c r="BE29" s="110">
        <v>0.25</v>
      </c>
      <c r="BF29" s="211">
        <f>'HVAC Appliances Austin'!BF29</f>
        <v>24.940000000000005</v>
      </c>
      <c r="BG29" s="110">
        <v>0.25</v>
      </c>
      <c r="BH29" s="211">
        <f>'HVAC Appliances Austin'!BH29</f>
        <v>36.000000000000007</v>
      </c>
      <c r="BI29" s="21"/>
      <c r="BJ29" s="110">
        <v>0.25</v>
      </c>
      <c r="BK29" s="211">
        <f>'HVAC Appliances Austin'!BK29</f>
        <v>0</v>
      </c>
      <c r="BL29" s="110">
        <v>0.25</v>
      </c>
      <c r="BM29" s="211">
        <f>'HVAC Appliances Austin'!BM29</f>
        <v>0</v>
      </c>
      <c r="BN29" s="110">
        <v>0.25</v>
      </c>
      <c r="BO29" s="211">
        <f>'HVAC Appliances Austin'!BO29</f>
        <v>0</v>
      </c>
      <c r="BP29" s="21"/>
      <c r="BQ29" s="110">
        <v>0.25</v>
      </c>
      <c r="BR29" s="211">
        <f>'HVAC Appliances Austin'!BR29</f>
        <v>0</v>
      </c>
      <c r="BS29" s="110">
        <v>0.25</v>
      </c>
      <c r="BT29" s="211">
        <f>'HVAC Appliances Austin'!BT29</f>
        <v>0</v>
      </c>
      <c r="BU29" s="110">
        <v>0.25</v>
      </c>
      <c r="BV29" s="211">
        <f>'HVAC Appliances Austin'!BV29</f>
        <v>0</v>
      </c>
      <c r="BW29" s="21"/>
      <c r="BX29" s="110">
        <v>0.25</v>
      </c>
      <c r="BY29" s="211">
        <f>'HVAC Appliances Austin'!BY29</f>
        <v>0</v>
      </c>
      <c r="BZ29" s="110">
        <v>0.25</v>
      </c>
      <c r="CA29" s="211">
        <f>'HVAC Appliances Austin'!CA29</f>
        <v>0</v>
      </c>
      <c r="CB29" s="110">
        <v>0.25</v>
      </c>
      <c r="CC29" s="211">
        <f>'HVAC Appliances Austin'!CC29</f>
        <v>0</v>
      </c>
      <c r="CD29" s="21"/>
      <c r="CE29" s="110">
        <v>0.25</v>
      </c>
      <c r="CF29" s="211">
        <f>'HVAC Appliances Austin'!CF29</f>
        <v>134.17166666666668</v>
      </c>
      <c r="CG29" s="110">
        <v>0.25</v>
      </c>
      <c r="CH29" s="211">
        <f>'HVAC Appliances Austin'!CH29</f>
        <v>263.70666666666665</v>
      </c>
      <c r="CI29" s="110">
        <v>0.25</v>
      </c>
      <c r="CJ29" s="211">
        <f>'HVAC Appliances Austin'!CJ29</f>
        <v>350.16666666666669</v>
      </c>
      <c r="CK29" s="21"/>
      <c r="CL29" s="110">
        <v>0.25</v>
      </c>
      <c r="CM29" s="211">
        <f>'HVAC Appliances Austin'!CM29</f>
        <v>0</v>
      </c>
      <c r="CN29" s="110">
        <v>0.25</v>
      </c>
      <c r="CO29" s="211">
        <f>'HVAC Appliances Austin'!CO29</f>
        <v>0</v>
      </c>
      <c r="CP29" s="110">
        <v>0.25</v>
      </c>
      <c r="CQ29" s="211">
        <f>'HVAC Appliances Austin'!CQ29</f>
        <v>0</v>
      </c>
      <c r="CR29" s="21"/>
      <c r="CS29" s="110">
        <v>0.25</v>
      </c>
      <c r="CT29" s="211"/>
      <c r="CU29" s="21"/>
      <c r="CV29" s="110">
        <v>0.25</v>
      </c>
      <c r="CW29" s="264"/>
      <c r="CY29" s="260">
        <v>0.25</v>
      </c>
      <c r="CZ29" s="211">
        <f>'HVAC Appliances Austin'!CZ29</f>
        <v>162.70200000000003</v>
      </c>
      <c r="DA29" s="110">
        <v>0.25</v>
      </c>
      <c r="DB29" s="211">
        <f>'HVAC Appliances Austin'!DB29</f>
        <v>216.87299999999988</v>
      </c>
      <c r="DC29" s="110">
        <v>0.25</v>
      </c>
      <c r="DD29" s="211">
        <f>'HVAC Appliances Austin'!DD29</f>
        <v>303.39199999999965</v>
      </c>
      <c r="DE29" s="21"/>
      <c r="DF29" s="110">
        <v>0.25</v>
      </c>
      <c r="DG29" s="211">
        <f>'HVAC Appliances Austin'!DG29</f>
        <v>120.74100000000016</v>
      </c>
      <c r="DH29" s="110">
        <v>0.25</v>
      </c>
      <c r="DI29" s="211">
        <f>'HVAC Appliances Austin'!DI29</f>
        <v>135.16168749999969</v>
      </c>
      <c r="DJ29" s="110">
        <v>0.25</v>
      </c>
      <c r="DK29" s="211">
        <f>'HVAC Appliances Austin'!DK29</f>
        <v>142.18206249999986</v>
      </c>
      <c r="DL29" s="21"/>
      <c r="DM29" s="110">
        <v>0.25</v>
      </c>
      <c r="DN29" s="211">
        <f>'HVAC Appliances Austin'!DN29</f>
        <v>348.93333333333317</v>
      </c>
      <c r="DO29" s="110">
        <v>0.25</v>
      </c>
      <c r="DP29" s="211">
        <f>'HVAC Appliances Austin'!DP29</f>
        <v>508.61163194444447</v>
      </c>
      <c r="DQ29" s="110">
        <v>0.25</v>
      </c>
      <c r="DR29" s="211">
        <f>'HVAC Appliances Austin'!DR29</f>
        <v>623.23489583333333</v>
      </c>
      <c r="DS29" s="21"/>
      <c r="DT29" s="110">
        <v>0.25</v>
      </c>
      <c r="DU29" s="211">
        <f>'HVAC Appliances Austin'!DU29</f>
        <v>0</v>
      </c>
      <c r="DV29" s="110">
        <v>0.25</v>
      </c>
      <c r="DW29" s="211">
        <f>'HVAC Appliances Austin'!DW29</f>
        <v>0</v>
      </c>
      <c r="DX29" s="110">
        <v>0.25</v>
      </c>
      <c r="DY29" s="211">
        <f>'HVAC Appliances Austin'!DY29</f>
        <v>0</v>
      </c>
      <c r="DZ29" s="21"/>
      <c r="EA29" s="110">
        <v>0.25</v>
      </c>
      <c r="EB29" s="211">
        <f>'HVAC Appliances Amarillo'!EB29</f>
        <v>6900</v>
      </c>
      <c r="EC29" s="110">
        <v>0.25</v>
      </c>
      <c r="ED29" s="211">
        <f>'HVAC Appliances Amarillo'!ED29</f>
        <v>12300</v>
      </c>
      <c r="EE29" s="110">
        <v>0.25</v>
      </c>
      <c r="EF29" s="211">
        <f>'HVAC Appliances Amarillo'!EF29</f>
        <v>16000</v>
      </c>
      <c r="EG29" s="21"/>
      <c r="EH29" s="110">
        <v>0.25</v>
      </c>
      <c r="EI29" s="211">
        <f>'HVAC Appliances Austin'!EI29</f>
        <v>412.10899999999987</v>
      </c>
      <c r="EJ29" s="110">
        <v>0.25</v>
      </c>
      <c r="EK29" s="211">
        <f>'HVAC Appliances Austin'!EK29</f>
        <v>614.17213194444423</v>
      </c>
      <c r="EL29" s="110">
        <v>0.25</v>
      </c>
      <c r="EM29" s="211">
        <f>'HVAC Appliances Austin'!EM29</f>
        <v>760.14939583333296</v>
      </c>
      <c r="EN29" s="21"/>
      <c r="EO29" s="110">
        <v>0.25</v>
      </c>
      <c r="EP29" s="211"/>
      <c r="EQ29" s="21"/>
      <c r="ER29" s="110">
        <v>0.25</v>
      </c>
      <c r="ES29" s="264"/>
      <c r="EU29" s="260">
        <v>0.25</v>
      </c>
      <c r="EV29" s="209">
        <f>'HVAC Appliances Amarillo'!EV29</f>
        <v>5400</v>
      </c>
      <c r="EW29" s="110">
        <v>0.25</v>
      </c>
      <c r="EX29" s="209">
        <f>'HVAC Appliances Amarillo'!EX29</f>
        <v>5400</v>
      </c>
      <c r="EY29" s="110">
        <v>0.25</v>
      </c>
      <c r="EZ29" s="308">
        <f>'HVAC Appliances Amarillo'!EZ29</f>
        <v>5400</v>
      </c>
    </row>
    <row r="30" spans="1:156" x14ac:dyDescent="0.3">
      <c r="A30" s="108">
        <v>0.25</v>
      </c>
      <c r="B30" s="226">
        <f t="shared" si="0"/>
        <v>0</v>
      </c>
      <c r="C30" s="21">
        <f t="shared" si="1"/>
        <v>350.16666666666669</v>
      </c>
      <c r="D30" s="20">
        <f t="shared" si="2"/>
        <v>16000</v>
      </c>
      <c r="E30" s="20">
        <f t="shared" si="3"/>
        <v>5400</v>
      </c>
      <c r="G30" s="260">
        <v>0.26041666666666702</v>
      </c>
      <c r="H30" s="211">
        <f>'HVAC Appliances Austin'!H30</f>
        <v>0</v>
      </c>
      <c r="I30" s="110">
        <v>0.26041666666666702</v>
      </c>
      <c r="J30" s="211">
        <f>'HVAC Appliances Austin'!J30</f>
        <v>0</v>
      </c>
      <c r="K30" s="110">
        <v>0.26041666666666702</v>
      </c>
      <c r="L30" s="211">
        <f>'HVAC Appliances Austin'!L30</f>
        <v>0</v>
      </c>
      <c r="M30" s="21"/>
      <c r="N30" s="110">
        <v>0.26041666666666702</v>
      </c>
      <c r="O30" s="211">
        <f>'HVAC Appliances Austin'!O30</f>
        <v>109.69131249999997</v>
      </c>
      <c r="P30" s="110">
        <v>0.26041666666666702</v>
      </c>
      <c r="Q30" s="211">
        <f>'HVAC Appliances Austin'!Q30</f>
        <v>127.9006250000001</v>
      </c>
      <c r="R30" s="110">
        <v>0.26041666666666702</v>
      </c>
      <c r="S30" s="211">
        <f>'HVAC Appliances Austin'!S30</f>
        <v>142.26574999999951</v>
      </c>
      <c r="T30" s="21"/>
      <c r="U30" s="110">
        <v>0.26041666666666702</v>
      </c>
      <c r="V30" s="211">
        <f>'HVAC Appliances Austin'!V30</f>
        <v>309.50503472222181</v>
      </c>
      <c r="W30" s="110">
        <v>0.26041666666666702</v>
      </c>
      <c r="X30" s="211">
        <f>'HVAC Appliances Austin'!X30</f>
        <v>458.6961805555556</v>
      </c>
      <c r="Y30" s="110">
        <v>0.26041666666666702</v>
      </c>
      <c r="Z30" s="211">
        <f>'HVAC Appliances Austin'!Z30</f>
        <v>561.07430555555516</v>
      </c>
      <c r="AA30" s="21"/>
      <c r="AB30" s="110">
        <v>0.26041666666666702</v>
      </c>
      <c r="AC30" s="211">
        <f>'HVAC Appliances Austin'!AC30</f>
        <v>54.375999999999756</v>
      </c>
      <c r="AD30" s="110">
        <v>0.26041666666666702</v>
      </c>
      <c r="AE30" s="211">
        <f>'HVAC Appliances Austin'!AE30</f>
        <v>40.159999999999755</v>
      </c>
      <c r="AF30" s="110">
        <v>0.26041666666666702</v>
      </c>
      <c r="AG30" s="211">
        <f>'HVAC Appliances Austin'!AG30</f>
        <v>40.231999999999601</v>
      </c>
      <c r="AH30" s="21"/>
      <c r="AI30" s="110">
        <v>0.26041666666666702</v>
      </c>
      <c r="AJ30" s="211">
        <f>'HVAC Appliances Austin'!AJ30</f>
        <v>0</v>
      </c>
      <c r="AK30" s="110">
        <v>0.26041666666666702</v>
      </c>
      <c r="AL30" s="211">
        <f>'HVAC Appliances Austin'!AL30</f>
        <v>0</v>
      </c>
      <c r="AM30" s="110">
        <v>0.26041666666666702</v>
      </c>
      <c r="AN30" s="211">
        <f>'HVAC Appliances Austin'!AN30</f>
        <v>0</v>
      </c>
      <c r="AO30" s="21"/>
      <c r="AP30" s="110">
        <v>0.26041666666666702</v>
      </c>
      <c r="AQ30" s="211">
        <f>'HVAC Appliances Austin'!AQ30</f>
        <v>369.47820138888852</v>
      </c>
      <c r="AR30" s="110">
        <v>0.26041666666666702</v>
      </c>
      <c r="AS30" s="211">
        <f>'HVAC Appliances Austin'!AS30</f>
        <v>559.14284722222214</v>
      </c>
      <c r="AT30" s="110">
        <v>0.26041666666666702</v>
      </c>
      <c r="AU30" s="211">
        <f>'HVAC Appliances Austin'!AU30</f>
        <v>690.9839722222215</v>
      </c>
      <c r="AV30" s="21"/>
      <c r="AW30" s="110">
        <v>0.26041666666666702</v>
      </c>
      <c r="AX30" s="211"/>
      <c r="AY30" s="21"/>
      <c r="AZ30" s="110">
        <v>0.26041666666666702</v>
      </c>
      <c r="BA30" s="264"/>
      <c r="BC30" s="260">
        <v>0.26041666666666702</v>
      </c>
      <c r="BD30" s="211">
        <f>'HVAC Appliances Austin'!BD30</f>
        <v>17.93</v>
      </c>
      <c r="BE30" s="110">
        <v>0.26041666666666702</v>
      </c>
      <c r="BF30" s="211">
        <f>'HVAC Appliances Austin'!BF30</f>
        <v>24.940000000000005</v>
      </c>
      <c r="BG30" s="110">
        <v>0.26041666666666702</v>
      </c>
      <c r="BH30" s="211">
        <f>'HVAC Appliances Austin'!BH30</f>
        <v>36.000000000000007</v>
      </c>
      <c r="BI30" s="21"/>
      <c r="BJ30" s="110">
        <v>0.26041666666666702</v>
      </c>
      <c r="BK30" s="211">
        <f>'HVAC Appliances Austin'!BK30</f>
        <v>0</v>
      </c>
      <c r="BL30" s="110">
        <v>0.26041666666666702</v>
      </c>
      <c r="BM30" s="211">
        <f>'HVAC Appliances Austin'!BM30</f>
        <v>0</v>
      </c>
      <c r="BN30" s="110">
        <v>0.26041666666666702</v>
      </c>
      <c r="BO30" s="211">
        <f>'HVAC Appliances Austin'!BO30</f>
        <v>0</v>
      </c>
      <c r="BP30" s="21"/>
      <c r="BQ30" s="110">
        <v>0.26041666666666702</v>
      </c>
      <c r="BR30" s="211">
        <f>'HVAC Appliances Austin'!BR30</f>
        <v>0</v>
      </c>
      <c r="BS30" s="110">
        <v>0.26041666666666702</v>
      </c>
      <c r="BT30" s="211">
        <f>'HVAC Appliances Austin'!BT30</f>
        <v>0</v>
      </c>
      <c r="BU30" s="110">
        <v>0.26041666666666702</v>
      </c>
      <c r="BV30" s="211">
        <f>'HVAC Appliances Austin'!BV30</f>
        <v>0</v>
      </c>
      <c r="BW30" s="21"/>
      <c r="BX30" s="110">
        <v>0.26041666666666702</v>
      </c>
      <c r="BY30" s="211">
        <f>'HVAC Appliances Austin'!BY30</f>
        <v>0</v>
      </c>
      <c r="BZ30" s="110">
        <v>0.26041666666666702</v>
      </c>
      <c r="CA30" s="211">
        <f>'HVAC Appliances Austin'!CA30</f>
        <v>0</v>
      </c>
      <c r="CB30" s="110">
        <v>0.26041666666666702</v>
      </c>
      <c r="CC30" s="211">
        <f>'HVAC Appliances Austin'!CC30</f>
        <v>0</v>
      </c>
      <c r="CD30" s="21"/>
      <c r="CE30" s="110">
        <v>0.26041666666666702</v>
      </c>
      <c r="CF30" s="211">
        <f>'HVAC Appliances Austin'!CF30</f>
        <v>134.17166666666668</v>
      </c>
      <c r="CG30" s="110">
        <v>0.26041666666666702</v>
      </c>
      <c r="CH30" s="211">
        <f>'HVAC Appliances Austin'!CH30</f>
        <v>263.70666666666665</v>
      </c>
      <c r="CI30" s="110">
        <v>0.26041666666666702</v>
      </c>
      <c r="CJ30" s="211">
        <f>'HVAC Appliances Austin'!CJ30</f>
        <v>350.16666666666669</v>
      </c>
      <c r="CK30" s="21"/>
      <c r="CL30" s="110">
        <v>0.26041666666666702</v>
      </c>
      <c r="CM30" s="211">
        <f>'HVAC Appliances Austin'!CM30</f>
        <v>0</v>
      </c>
      <c r="CN30" s="110">
        <v>0.26041666666666702</v>
      </c>
      <c r="CO30" s="211">
        <f>'HVAC Appliances Austin'!CO30</f>
        <v>0</v>
      </c>
      <c r="CP30" s="110">
        <v>0.26041666666666702</v>
      </c>
      <c r="CQ30" s="211">
        <f>'HVAC Appliances Austin'!CQ30</f>
        <v>0</v>
      </c>
      <c r="CR30" s="21"/>
      <c r="CS30" s="110">
        <v>0.26041666666666702</v>
      </c>
      <c r="CT30" s="211"/>
      <c r="CU30" s="21"/>
      <c r="CV30" s="110">
        <v>0.26041666666666702</v>
      </c>
      <c r="CW30" s="264"/>
      <c r="CY30" s="260">
        <v>0.26041666666666702</v>
      </c>
      <c r="CZ30" s="211">
        <f>'HVAC Appliances Austin'!CZ30</f>
        <v>162.70200000000003</v>
      </c>
      <c r="DA30" s="110">
        <v>0.26041666666666702</v>
      </c>
      <c r="DB30" s="211">
        <f>'HVAC Appliances Austin'!DB30</f>
        <v>216.87299999999988</v>
      </c>
      <c r="DC30" s="110">
        <v>0.26041666666666702</v>
      </c>
      <c r="DD30" s="211">
        <f>'HVAC Appliances Austin'!DD30</f>
        <v>303.39199999999965</v>
      </c>
      <c r="DE30" s="21"/>
      <c r="DF30" s="110">
        <v>0.26041666666666702</v>
      </c>
      <c r="DG30" s="211">
        <f>'HVAC Appliances Austin'!DG30</f>
        <v>120.74100000000016</v>
      </c>
      <c r="DH30" s="110">
        <v>0.26041666666666702</v>
      </c>
      <c r="DI30" s="211">
        <f>'HVAC Appliances Austin'!DI30</f>
        <v>135.16168749999969</v>
      </c>
      <c r="DJ30" s="110">
        <v>0.26041666666666702</v>
      </c>
      <c r="DK30" s="211">
        <f>'HVAC Appliances Austin'!DK30</f>
        <v>142.18206249999986</v>
      </c>
      <c r="DL30" s="21"/>
      <c r="DM30" s="110">
        <v>0.26041666666666702</v>
      </c>
      <c r="DN30" s="211">
        <f>'HVAC Appliances Austin'!DN30</f>
        <v>348.93333333333317</v>
      </c>
      <c r="DO30" s="110">
        <v>0.26041666666666702</v>
      </c>
      <c r="DP30" s="211">
        <f>'HVAC Appliances Austin'!DP30</f>
        <v>508.61163194444447</v>
      </c>
      <c r="DQ30" s="110">
        <v>0.26041666666666702</v>
      </c>
      <c r="DR30" s="211">
        <f>'HVAC Appliances Austin'!DR30</f>
        <v>623.23489583333333</v>
      </c>
      <c r="DS30" s="21"/>
      <c r="DT30" s="110">
        <v>0.26041666666666702</v>
      </c>
      <c r="DU30" s="211">
        <f>'HVAC Appliances Austin'!DU30</f>
        <v>0</v>
      </c>
      <c r="DV30" s="110">
        <v>0.26041666666666702</v>
      </c>
      <c r="DW30" s="211">
        <f>'HVAC Appliances Austin'!DW30</f>
        <v>0</v>
      </c>
      <c r="DX30" s="110">
        <v>0.26041666666666702</v>
      </c>
      <c r="DY30" s="211">
        <f>'HVAC Appliances Austin'!DY30</f>
        <v>0</v>
      </c>
      <c r="DZ30" s="21"/>
      <c r="EA30" s="110">
        <v>0.26041666666666702</v>
      </c>
      <c r="EB30" s="211">
        <f>'HVAC Appliances Amarillo'!EB30</f>
        <v>6900</v>
      </c>
      <c r="EC30" s="110">
        <v>0.26041666666666702</v>
      </c>
      <c r="ED30" s="211">
        <f>'HVAC Appliances Amarillo'!ED30</f>
        <v>12300</v>
      </c>
      <c r="EE30" s="110">
        <v>0.26041666666666702</v>
      </c>
      <c r="EF30" s="211">
        <f>'HVAC Appliances Amarillo'!EF30</f>
        <v>16000</v>
      </c>
      <c r="EG30" s="21"/>
      <c r="EH30" s="110">
        <v>0.26041666666666702</v>
      </c>
      <c r="EI30" s="211">
        <f>'HVAC Appliances Austin'!EI30</f>
        <v>412.10899999999987</v>
      </c>
      <c r="EJ30" s="110">
        <v>0.26041666666666702</v>
      </c>
      <c r="EK30" s="211">
        <f>'HVAC Appliances Austin'!EK30</f>
        <v>614.17213194444423</v>
      </c>
      <c r="EL30" s="110">
        <v>0.26041666666666702</v>
      </c>
      <c r="EM30" s="211">
        <f>'HVAC Appliances Austin'!EM30</f>
        <v>760.14939583333296</v>
      </c>
      <c r="EN30" s="21"/>
      <c r="EO30" s="110">
        <v>0.26041666666666702</v>
      </c>
      <c r="EP30" s="211"/>
      <c r="EQ30" s="21"/>
      <c r="ER30" s="110">
        <v>0.26041666666666702</v>
      </c>
      <c r="ES30" s="264"/>
      <c r="EU30" s="260">
        <v>0.26041666666666702</v>
      </c>
      <c r="EV30" s="209">
        <f>'HVAC Appliances Amarillo'!EV30</f>
        <v>5400</v>
      </c>
      <c r="EW30" s="110">
        <v>0.26041666666666702</v>
      </c>
      <c r="EX30" s="209">
        <f>'HVAC Appliances Amarillo'!EX30</f>
        <v>5400</v>
      </c>
      <c r="EY30" s="110">
        <v>0.26041666666666702</v>
      </c>
      <c r="EZ30" s="308">
        <f>'HVAC Appliances Amarillo'!EZ30</f>
        <v>5400</v>
      </c>
    </row>
    <row r="31" spans="1:156" x14ac:dyDescent="0.3">
      <c r="A31" s="108">
        <v>0.26041666666666702</v>
      </c>
      <c r="B31" s="226">
        <f t="shared" si="0"/>
        <v>0</v>
      </c>
      <c r="C31" s="21">
        <f t="shared" si="1"/>
        <v>350.16666666666669</v>
      </c>
      <c r="D31" s="20">
        <f t="shared" si="2"/>
        <v>16000</v>
      </c>
      <c r="E31" s="20">
        <f t="shared" si="3"/>
        <v>5400</v>
      </c>
      <c r="G31" s="260">
        <v>0.27083333333333298</v>
      </c>
      <c r="H31" s="211">
        <f>'HVAC Appliances Austin'!H31</f>
        <v>0</v>
      </c>
      <c r="I31" s="110">
        <v>0.27083333333333298</v>
      </c>
      <c r="J31" s="211">
        <f>'HVAC Appliances Austin'!J31</f>
        <v>0</v>
      </c>
      <c r="K31" s="110">
        <v>0.27083333333333298</v>
      </c>
      <c r="L31" s="211">
        <f>'HVAC Appliances Austin'!L31</f>
        <v>0</v>
      </c>
      <c r="M31" s="21"/>
      <c r="N31" s="110">
        <v>0.27083333333333298</v>
      </c>
      <c r="O31" s="211">
        <f>'HVAC Appliances Austin'!O31</f>
        <v>109.69131249999997</v>
      </c>
      <c r="P31" s="110">
        <v>0.27083333333333298</v>
      </c>
      <c r="Q31" s="211">
        <f>'HVAC Appliances Austin'!Q31</f>
        <v>127.9006250000001</v>
      </c>
      <c r="R31" s="110">
        <v>0.27083333333333298</v>
      </c>
      <c r="S31" s="211">
        <f>'HVAC Appliances Austin'!S31</f>
        <v>142.26574999999951</v>
      </c>
      <c r="T31" s="21"/>
      <c r="U31" s="110">
        <v>0.27083333333333298</v>
      </c>
      <c r="V31" s="211">
        <f>'HVAC Appliances Austin'!V31</f>
        <v>309.50503472222181</v>
      </c>
      <c r="W31" s="110">
        <v>0.27083333333333298</v>
      </c>
      <c r="X31" s="211">
        <f>'HVAC Appliances Austin'!X31</f>
        <v>458.6961805555556</v>
      </c>
      <c r="Y31" s="110">
        <v>0.27083333333333298</v>
      </c>
      <c r="Z31" s="211">
        <f>'HVAC Appliances Austin'!Z31</f>
        <v>561.07430555555516</v>
      </c>
      <c r="AA31" s="21"/>
      <c r="AB31" s="110">
        <v>0.27083333333333298</v>
      </c>
      <c r="AC31" s="211">
        <f>'HVAC Appliances Austin'!AC31</f>
        <v>54.375999999999756</v>
      </c>
      <c r="AD31" s="110">
        <v>0.27083333333333298</v>
      </c>
      <c r="AE31" s="211">
        <f>'HVAC Appliances Austin'!AE31</f>
        <v>40.159999999999755</v>
      </c>
      <c r="AF31" s="110">
        <v>0.27083333333333298</v>
      </c>
      <c r="AG31" s="211">
        <f>'HVAC Appliances Austin'!AG31</f>
        <v>40.231999999999601</v>
      </c>
      <c r="AH31" s="21"/>
      <c r="AI31" s="110">
        <v>0.27083333333333298</v>
      </c>
      <c r="AJ31" s="211">
        <f>'HVAC Appliances Austin'!AJ31</f>
        <v>0</v>
      </c>
      <c r="AK31" s="110">
        <v>0.27083333333333298</v>
      </c>
      <c r="AL31" s="211">
        <f>'HVAC Appliances Austin'!AL31</f>
        <v>0</v>
      </c>
      <c r="AM31" s="110">
        <v>0.27083333333333298</v>
      </c>
      <c r="AN31" s="211">
        <f>'HVAC Appliances Austin'!AN31</f>
        <v>0</v>
      </c>
      <c r="AO31" s="21"/>
      <c r="AP31" s="110">
        <v>0.27083333333333298</v>
      </c>
      <c r="AQ31" s="211">
        <f>'HVAC Appliances Austin'!AQ31</f>
        <v>369.47820138888852</v>
      </c>
      <c r="AR31" s="110">
        <v>0.27083333333333298</v>
      </c>
      <c r="AS31" s="211">
        <f>'HVAC Appliances Austin'!AS31</f>
        <v>559.14284722222214</v>
      </c>
      <c r="AT31" s="110">
        <v>0.27083333333333298</v>
      </c>
      <c r="AU31" s="211">
        <f>'HVAC Appliances Austin'!AU31</f>
        <v>690.9839722222215</v>
      </c>
      <c r="AV31" s="21"/>
      <c r="AW31" s="110">
        <v>0.27083333333333298</v>
      </c>
      <c r="AX31" s="211"/>
      <c r="AY31" s="21"/>
      <c r="AZ31" s="110">
        <v>0.27083333333333298</v>
      </c>
      <c r="BA31" s="264"/>
      <c r="BC31" s="260">
        <v>0.27083333333333298</v>
      </c>
      <c r="BD31" s="211">
        <f>'HVAC Appliances Austin'!BD31</f>
        <v>17.93</v>
      </c>
      <c r="BE31" s="110">
        <v>0.27083333333333298</v>
      </c>
      <c r="BF31" s="211">
        <f>'HVAC Appliances Austin'!BF31</f>
        <v>24.940000000000005</v>
      </c>
      <c r="BG31" s="110">
        <v>0.27083333333333298</v>
      </c>
      <c r="BH31" s="211">
        <f>'HVAC Appliances Austin'!BH31</f>
        <v>36.000000000000007</v>
      </c>
      <c r="BI31" s="21"/>
      <c r="BJ31" s="110">
        <v>0.27083333333333298</v>
      </c>
      <c r="BK31" s="211">
        <f>'HVAC Appliances Austin'!BK31</f>
        <v>0</v>
      </c>
      <c r="BL31" s="110">
        <v>0.27083333333333298</v>
      </c>
      <c r="BM31" s="211">
        <f>'HVAC Appliances Austin'!BM31</f>
        <v>0</v>
      </c>
      <c r="BN31" s="110">
        <v>0.27083333333333298</v>
      </c>
      <c r="BO31" s="211">
        <f>'HVAC Appliances Austin'!BO31</f>
        <v>0</v>
      </c>
      <c r="BP31" s="21"/>
      <c r="BQ31" s="110">
        <v>0.27083333333333298</v>
      </c>
      <c r="BR31" s="211">
        <f>'HVAC Appliances Austin'!BR31</f>
        <v>0</v>
      </c>
      <c r="BS31" s="110">
        <v>0.27083333333333298</v>
      </c>
      <c r="BT31" s="211">
        <f>'HVAC Appliances Austin'!BT31</f>
        <v>0</v>
      </c>
      <c r="BU31" s="110">
        <v>0.27083333333333298</v>
      </c>
      <c r="BV31" s="211">
        <f>'HVAC Appliances Austin'!BV31</f>
        <v>0</v>
      </c>
      <c r="BW31" s="21"/>
      <c r="BX31" s="110">
        <v>0.27083333333333298</v>
      </c>
      <c r="BY31" s="211">
        <f>'HVAC Appliances Austin'!BY31</f>
        <v>0</v>
      </c>
      <c r="BZ31" s="110">
        <v>0.27083333333333298</v>
      </c>
      <c r="CA31" s="211">
        <f>'HVAC Appliances Austin'!CA31</f>
        <v>0</v>
      </c>
      <c r="CB31" s="110">
        <v>0.27083333333333298</v>
      </c>
      <c r="CC31" s="211">
        <f>'HVAC Appliances Austin'!CC31</f>
        <v>0</v>
      </c>
      <c r="CD31" s="21"/>
      <c r="CE31" s="110">
        <v>0.27083333333333298</v>
      </c>
      <c r="CF31" s="211">
        <f>'HVAC Appliances Austin'!CF31</f>
        <v>134.17166666666668</v>
      </c>
      <c r="CG31" s="110">
        <v>0.27083333333333298</v>
      </c>
      <c r="CH31" s="211">
        <f>'HVAC Appliances Austin'!CH31</f>
        <v>263.70666666666665</v>
      </c>
      <c r="CI31" s="110">
        <v>0.27083333333333298</v>
      </c>
      <c r="CJ31" s="211">
        <f>'HVAC Appliances Austin'!CJ31</f>
        <v>350.16666666666669</v>
      </c>
      <c r="CK31" s="21"/>
      <c r="CL31" s="110">
        <v>0.27083333333333298</v>
      </c>
      <c r="CM31" s="211">
        <f>'HVAC Appliances Austin'!CM31</f>
        <v>0</v>
      </c>
      <c r="CN31" s="110">
        <v>0.27083333333333298</v>
      </c>
      <c r="CO31" s="211">
        <f>'HVAC Appliances Austin'!CO31</f>
        <v>0</v>
      </c>
      <c r="CP31" s="110">
        <v>0.27083333333333298</v>
      </c>
      <c r="CQ31" s="211">
        <f>'HVAC Appliances Austin'!CQ31</f>
        <v>0</v>
      </c>
      <c r="CR31" s="21"/>
      <c r="CS31" s="110">
        <v>0.27083333333333298</v>
      </c>
      <c r="CT31" s="211"/>
      <c r="CU31" s="21"/>
      <c r="CV31" s="110">
        <v>0.27083333333333298</v>
      </c>
      <c r="CW31" s="264"/>
      <c r="CY31" s="260">
        <v>0.27083333333333298</v>
      </c>
      <c r="CZ31" s="211">
        <f>'HVAC Appliances Austin'!CZ31</f>
        <v>162.70200000000003</v>
      </c>
      <c r="DA31" s="110">
        <v>0.27083333333333298</v>
      </c>
      <c r="DB31" s="211">
        <f>'HVAC Appliances Austin'!DB31</f>
        <v>216.87299999999988</v>
      </c>
      <c r="DC31" s="110">
        <v>0.27083333333333298</v>
      </c>
      <c r="DD31" s="211">
        <f>'HVAC Appliances Austin'!DD31</f>
        <v>303.39199999999965</v>
      </c>
      <c r="DE31" s="21"/>
      <c r="DF31" s="110">
        <v>0.27083333333333298</v>
      </c>
      <c r="DG31" s="211">
        <f>'HVAC Appliances Austin'!DG31</f>
        <v>120.74100000000016</v>
      </c>
      <c r="DH31" s="110">
        <v>0.27083333333333298</v>
      </c>
      <c r="DI31" s="211">
        <f>'HVAC Appliances Austin'!DI31</f>
        <v>135.16168749999969</v>
      </c>
      <c r="DJ31" s="110">
        <v>0.27083333333333298</v>
      </c>
      <c r="DK31" s="211">
        <f>'HVAC Appliances Austin'!DK31</f>
        <v>142.18206249999986</v>
      </c>
      <c r="DL31" s="21"/>
      <c r="DM31" s="110">
        <v>0.27083333333333298</v>
      </c>
      <c r="DN31" s="211">
        <f>'HVAC Appliances Austin'!DN31</f>
        <v>348.93333333333317</v>
      </c>
      <c r="DO31" s="110">
        <v>0.27083333333333298</v>
      </c>
      <c r="DP31" s="211">
        <f>'HVAC Appliances Austin'!DP31</f>
        <v>508.61163194444447</v>
      </c>
      <c r="DQ31" s="110">
        <v>0.27083333333333298</v>
      </c>
      <c r="DR31" s="211">
        <f>'HVAC Appliances Austin'!DR31</f>
        <v>623.23489583333333</v>
      </c>
      <c r="DS31" s="21"/>
      <c r="DT31" s="110">
        <v>0.27083333333333298</v>
      </c>
      <c r="DU31" s="211">
        <f>'HVAC Appliances Austin'!DU31</f>
        <v>0</v>
      </c>
      <c r="DV31" s="110">
        <v>0.27083333333333298</v>
      </c>
      <c r="DW31" s="211">
        <f>'HVAC Appliances Austin'!DW31</f>
        <v>0</v>
      </c>
      <c r="DX31" s="110">
        <v>0.27083333333333298</v>
      </c>
      <c r="DY31" s="211">
        <f>'HVAC Appliances Austin'!DY31</f>
        <v>0</v>
      </c>
      <c r="DZ31" s="21"/>
      <c r="EA31" s="110">
        <v>0.27083333333333298</v>
      </c>
      <c r="EB31" s="211">
        <f>'HVAC Appliances Amarillo'!EB31</f>
        <v>0</v>
      </c>
      <c r="EC31" s="110">
        <v>0.27083333333333298</v>
      </c>
      <c r="ED31" s="211">
        <f>'HVAC Appliances Amarillo'!ED31</f>
        <v>12300</v>
      </c>
      <c r="EE31" s="110">
        <v>0.27083333333333298</v>
      </c>
      <c r="EF31" s="211">
        <f>'HVAC Appliances Amarillo'!EF31</f>
        <v>16000</v>
      </c>
      <c r="EG31" s="21"/>
      <c r="EH31" s="110">
        <v>0.27083333333333298</v>
      </c>
      <c r="EI31" s="211">
        <f>'HVAC Appliances Austin'!EI31</f>
        <v>412.10899999999987</v>
      </c>
      <c r="EJ31" s="110">
        <v>0.27083333333333298</v>
      </c>
      <c r="EK31" s="211">
        <f>'HVAC Appliances Austin'!EK31</f>
        <v>614.17213194444423</v>
      </c>
      <c r="EL31" s="110">
        <v>0.27083333333333298</v>
      </c>
      <c r="EM31" s="211">
        <f>'HVAC Appliances Austin'!EM31</f>
        <v>760.14939583333296</v>
      </c>
      <c r="EN31" s="21"/>
      <c r="EO31" s="110">
        <v>0.27083333333333298</v>
      </c>
      <c r="EP31" s="211"/>
      <c r="EQ31" s="21"/>
      <c r="ER31" s="110">
        <v>0.27083333333333298</v>
      </c>
      <c r="ES31" s="264"/>
      <c r="EU31" s="260">
        <v>0.27083333333333298</v>
      </c>
      <c r="EV31" s="209">
        <f>'HVAC Appliances Amarillo'!EV31</f>
        <v>0</v>
      </c>
      <c r="EW31" s="110">
        <v>0.27083333333333298</v>
      </c>
      <c r="EX31" s="209">
        <f>'HVAC Appliances Amarillo'!EX31</f>
        <v>5400</v>
      </c>
      <c r="EY31" s="110">
        <v>0.27083333333333298</v>
      </c>
      <c r="EZ31" s="308">
        <f>'HVAC Appliances Amarillo'!EZ31</f>
        <v>5400</v>
      </c>
    </row>
    <row r="32" spans="1:156" x14ac:dyDescent="0.3">
      <c r="A32" s="108">
        <v>0.27083333333333298</v>
      </c>
      <c r="B32" s="226">
        <f t="shared" si="0"/>
        <v>0</v>
      </c>
      <c r="C32" s="21">
        <f t="shared" si="1"/>
        <v>350.16666666666669</v>
      </c>
      <c r="D32" s="20">
        <f t="shared" si="2"/>
        <v>16000</v>
      </c>
      <c r="E32" s="20">
        <f t="shared" si="3"/>
        <v>5400</v>
      </c>
      <c r="G32" s="260">
        <v>0.28125</v>
      </c>
      <c r="H32" s="211">
        <f>'HVAC Appliances Austin'!H32</f>
        <v>0</v>
      </c>
      <c r="I32" s="110">
        <v>0.28125</v>
      </c>
      <c r="J32" s="211">
        <f>'HVAC Appliances Austin'!J32</f>
        <v>0</v>
      </c>
      <c r="K32" s="110">
        <v>0.28125</v>
      </c>
      <c r="L32" s="211">
        <f>'HVAC Appliances Austin'!L32</f>
        <v>0</v>
      </c>
      <c r="M32" s="21"/>
      <c r="N32" s="110">
        <v>0.28125</v>
      </c>
      <c r="O32" s="211">
        <f>'HVAC Appliances Austin'!O32</f>
        <v>109.69131249999997</v>
      </c>
      <c r="P32" s="110">
        <v>0.28125</v>
      </c>
      <c r="Q32" s="211">
        <f>'HVAC Appliances Austin'!Q32</f>
        <v>127.9006250000001</v>
      </c>
      <c r="R32" s="110">
        <v>0.28125</v>
      </c>
      <c r="S32" s="211">
        <f>'HVAC Appliances Austin'!S32</f>
        <v>142.26574999999951</v>
      </c>
      <c r="T32" s="21"/>
      <c r="U32" s="110">
        <v>0.28125</v>
      </c>
      <c r="V32" s="211">
        <f>'HVAC Appliances Austin'!V32</f>
        <v>309.50503472222181</v>
      </c>
      <c r="W32" s="110">
        <v>0.28125</v>
      </c>
      <c r="X32" s="211">
        <f>'HVAC Appliances Austin'!X32</f>
        <v>458.6961805555556</v>
      </c>
      <c r="Y32" s="110">
        <v>0.28125</v>
      </c>
      <c r="Z32" s="211">
        <f>'HVAC Appliances Austin'!Z32</f>
        <v>561.07430555555516</v>
      </c>
      <c r="AA32" s="21"/>
      <c r="AB32" s="110">
        <v>0.28125</v>
      </c>
      <c r="AC32" s="211">
        <f>'HVAC Appliances Austin'!AC32</f>
        <v>54.375999999999756</v>
      </c>
      <c r="AD32" s="110">
        <v>0.28125</v>
      </c>
      <c r="AE32" s="211">
        <f>'HVAC Appliances Austin'!AE32</f>
        <v>40.159999999999755</v>
      </c>
      <c r="AF32" s="110">
        <v>0.28125</v>
      </c>
      <c r="AG32" s="211">
        <f>'HVAC Appliances Austin'!AG32</f>
        <v>40.231999999999601</v>
      </c>
      <c r="AH32" s="21"/>
      <c r="AI32" s="110">
        <v>0.28125</v>
      </c>
      <c r="AJ32" s="211">
        <f>'HVAC Appliances Austin'!AJ32</f>
        <v>0</v>
      </c>
      <c r="AK32" s="110">
        <v>0.28125</v>
      </c>
      <c r="AL32" s="211">
        <f>'HVAC Appliances Austin'!AL32</f>
        <v>0</v>
      </c>
      <c r="AM32" s="110">
        <v>0.28125</v>
      </c>
      <c r="AN32" s="211">
        <f>'HVAC Appliances Austin'!AN32</f>
        <v>0</v>
      </c>
      <c r="AO32" s="21"/>
      <c r="AP32" s="110">
        <v>0.28125</v>
      </c>
      <c r="AQ32" s="211">
        <f>'HVAC Appliances Austin'!AQ32</f>
        <v>369.47820138888852</v>
      </c>
      <c r="AR32" s="110">
        <v>0.28125</v>
      </c>
      <c r="AS32" s="211">
        <f>'HVAC Appliances Austin'!AS32</f>
        <v>559.14284722222214</v>
      </c>
      <c r="AT32" s="110">
        <v>0.28125</v>
      </c>
      <c r="AU32" s="211">
        <f>'HVAC Appliances Austin'!AU32</f>
        <v>690.9839722222215</v>
      </c>
      <c r="AV32" s="21"/>
      <c r="AW32" s="110">
        <v>0.28125</v>
      </c>
      <c r="AX32" s="211"/>
      <c r="AY32" s="21"/>
      <c r="AZ32" s="110">
        <v>0.28125</v>
      </c>
      <c r="BA32" s="264"/>
      <c r="BC32" s="260">
        <v>0.28125</v>
      </c>
      <c r="BD32" s="211">
        <f>'HVAC Appliances Austin'!BD32</f>
        <v>17.93</v>
      </c>
      <c r="BE32" s="110">
        <v>0.28125</v>
      </c>
      <c r="BF32" s="211">
        <f>'HVAC Appliances Austin'!BF32</f>
        <v>24.940000000000005</v>
      </c>
      <c r="BG32" s="110">
        <v>0.28125</v>
      </c>
      <c r="BH32" s="211">
        <f>'HVAC Appliances Austin'!BH32</f>
        <v>36.000000000000007</v>
      </c>
      <c r="BI32" s="21"/>
      <c r="BJ32" s="110">
        <v>0.28125</v>
      </c>
      <c r="BK32" s="211">
        <f>'HVAC Appliances Austin'!BK32</f>
        <v>0</v>
      </c>
      <c r="BL32" s="110">
        <v>0.28125</v>
      </c>
      <c r="BM32" s="211">
        <f>'HVAC Appliances Austin'!BM32</f>
        <v>0</v>
      </c>
      <c r="BN32" s="110">
        <v>0.28125</v>
      </c>
      <c r="BO32" s="211">
        <f>'HVAC Appliances Austin'!BO32</f>
        <v>0</v>
      </c>
      <c r="BP32" s="21"/>
      <c r="BQ32" s="110">
        <v>0.28125</v>
      </c>
      <c r="BR32" s="211">
        <f>'HVAC Appliances Austin'!BR32</f>
        <v>0</v>
      </c>
      <c r="BS32" s="110">
        <v>0.28125</v>
      </c>
      <c r="BT32" s="211">
        <f>'HVAC Appliances Austin'!BT32</f>
        <v>0</v>
      </c>
      <c r="BU32" s="110">
        <v>0.28125</v>
      </c>
      <c r="BV32" s="211">
        <f>'HVAC Appliances Austin'!BV32</f>
        <v>0</v>
      </c>
      <c r="BW32" s="21"/>
      <c r="BX32" s="110">
        <v>0.28125</v>
      </c>
      <c r="BY32" s="211">
        <f>'HVAC Appliances Austin'!BY32</f>
        <v>0</v>
      </c>
      <c r="BZ32" s="110">
        <v>0.28125</v>
      </c>
      <c r="CA32" s="211">
        <f>'HVAC Appliances Austin'!CA32</f>
        <v>0</v>
      </c>
      <c r="CB32" s="110">
        <v>0.28125</v>
      </c>
      <c r="CC32" s="211">
        <f>'HVAC Appliances Austin'!CC32</f>
        <v>0</v>
      </c>
      <c r="CD32" s="21"/>
      <c r="CE32" s="110">
        <v>0.28125</v>
      </c>
      <c r="CF32" s="211">
        <f>'HVAC Appliances Austin'!CF32</f>
        <v>134.17166666666668</v>
      </c>
      <c r="CG32" s="110">
        <v>0.28125</v>
      </c>
      <c r="CH32" s="211">
        <f>'HVAC Appliances Austin'!CH32</f>
        <v>263.70666666666665</v>
      </c>
      <c r="CI32" s="110">
        <v>0.28125</v>
      </c>
      <c r="CJ32" s="211">
        <f>'HVAC Appliances Austin'!CJ32</f>
        <v>350.16666666666669</v>
      </c>
      <c r="CK32" s="21"/>
      <c r="CL32" s="110">
        <v>0.28125</v>
      </c>
      <c r="CM32" s="211">
        <f>'HVAC Appliances Austin'!CM32</f>
        <v>0</v>
      </c>
      <c r="CN32" s="110">
        <v>0.28125</v>
      </c>
      <c r="CO32" s="211">
        <f>'HVAC Appliances Austin'!CO32</f>
        <v>0</v>
      </c>
      <c r="CP32" s="110">
        <v>0.28125</v>
      </c>
      <c r="CQ32" s="211">
        <f>'HVAC Appliances Austin'!CQ32</f>
        <v>0</v>
      </c>
      <c r="CR32" s="21"/>
      <c r="CS32" s="110">
        <v>0.28125</v>
      </c>
      <c r="CT32" s="211"/>
      <c r="CU32" s="21"/>
      <c r="CV32" s="110">
        <v>0.28125</v>
      </c>
      <c r="CW32" s="264"/>
      <c r="CY32" s="260">
        <v>0.28125</v>
      </c>
      <c r="CZ32" s="211">
        <f>'HVAC Appliances Austin'!CZ32</f>
        <v>162.70200000000003</v>
      </c>
      <c r="DA32" s="110">
        <v>0.28125</v>
      </c>
      <c r="DB32" s="211">
        <f>'HVAC Appliances Austin'!DB32</f>
        <v>216.87299999999988</v>
      </c>
      <c r="DC32" s="110">
        <v>0.28125</v>
      </c>
      <c r="DD32" s="211">
        <f>'HVAC Appliances Austin'!DD32</f>
        <v>303.39199999999965</v>
      </c>
      <c r="DE32" s="21"/>
      <c r="DF32" s="110">
        <v>0.28125</v>
      </c>
      <c r="DG32" s="211">
        <f>'HVAC Appliances Austin'!DG32</f>
        <v>120.74100000000016</v>
      </c>
      <c r="DH32" s="110">
        <v>0.28125</v>
      </c>
      <c r="DI32" s="211">
        <f>'HVAC Appliances Austin'!DI32</f>
        <v>135.16168749999969</v>
      </c>
      <c r="DJ32" s="110">
        <v>0.28125</v>
      </c>
      <c r="DK32" s="211">
        <f>'HVAC Appliances Austin'!DK32</f>
        <v>142.18206249999986</v>
      </c>
      <c r="DL32" s="21"/>
      <c r="DM32" s="110">
        <v>0.28125</v>
      </c>
      <c r="DN32" s="211">
        <f>'HVAC Appliances Austin'!DN32</f>
        <v>348.93333333333317</v>
      </c>
      <c r="DO32" s="110">
        <v>0.28125</v>
      </c>
      <c r="DP32" s="211">
        <f>'HVAC Appliances Austin'!DP32</f>
        <v>508.61163194444447</v>
      </c>
      <c r="DQ32" s="110">
        <v>0.28125</v>
      </c>
      <c r="DR32" s="211">
        <f>'HVAC Appliances Austin'!DR32</f>
        <v>623.23489583333333</v>
      </c>
      <c r="DS32" s="21"/>
      <c r="DT32" s="110">
        <v>0.28125</v>
      </c>
      <c r="DU32" s="211">
        <f>'HVAC Appliances Austin'!DU32</f>
        <v>0</v>
      </c>
      <c r="DV32" s="110">
        <v>0.28125</v>
      </c>
      <c r="DW32" s="211">
        <f>'HVAC Appliances Austin'!DW32</f>
        <v>0</v>
      </c>
      <c r="DX32" s="110">
        <v>0.28125</v>
      </c>
      <c r="DY32" s="211">
        <f>'HVAC Appliances Austin'!DY32</f>
        <v>0</v>
      </c>
      <c r="DZ32" s="21"/>
      <c r="EA32" s="110">
        <v>0.28125</v>
      </c>
      <c r="EB32" s="211">
        <f>'HVAC Appliances Amarillo'!EB32</f>
        <v>0</v>
      </c>
      <c r="EC32" s="110">
        <v>0.28125</v>
      </c>
      <c r="ED32" s="211">
        <f>'HVAC Appliances Amarillo'!ED32</f>
        <v>0</v>
      </c>
      <c r="EE32" s="110">
        <v>0.28125</v>
      </c>
      <c r="EF32" s="211">
        <f>'HVAC Appliances Amarillo'!EF32</f>
        <v>0</v>
      </c>
      <c r="EG32" s="21"/>
      <c r="EH32" s="110">
        <v>0.28125</v>
      </c>
      <c r="EI32" s="211">
        <f>'HVAC Appliances Austin'!EI32</f>
        <v>412.10899999999987</v>
      </c>
      <c r="EJ32" s="110">
        <v>0.28125</v>
      </c>
      <c r="EK32" s="211">
        <f>'HVAC Appliances Austin'!EK32</f>
        <v>614.17213194444423</v>
      </c>
      <c r="EL32" s="110">
        <v>0.28125</v>
      </c>
      <c r="EM32" s="211">
        <f>'HVAC Appliances Austin'!EM32</f>
        <v>760.14939583333296</v>
      </c>
      <c r="EN32" s="21"/>
      <c r="EO32" s="110">
        <v>0.28125</v>
      </c>
      <c r="EP32" s="211"/>
      <c r="EQ32" s="21"/>
      <c r="ER32" s="110">
        <v>0.28125</v>
      </c>
      <c r="ES32" s="264"/>
      <c r="EU32" s="260">
        <v>0.28125</v>
      </c>
      <c r="EV32" s="209">
        <f>'HVAC Appliances Amarillo'!EV32</f>
        <v>0</v>
      </c>
      <c r="EW32" s="110">
        <v>0.28125</v>
      </c>
      <c r="EX32" s="209">
        <f>'HVAC Appliances Amarillo'!EX32</f>
        <v>0</v>
      </c>
      <c r="EY32" s="110">
        <v>0.28125</v>
      </c>
      <c r="EZ32" s="308">
        <f>'HVAC Appliances Amarillo'!EZ32</f>
        <v>0</v>
      </c>
    </row>
    <row r="33" spans="1:156" x14ac:dyDescent="0.3">
      <c r="A33" s="108">
        <v>0.28125</v>
      </c>
      <c r="B33" s="226">
        <f t="shared" si="0"/>
        <v>0</v>
      </c>
      <c r="C33" s="21">
        <f t="shared" si="1"/>
        <v>350.16666666666669</v>
      </c>
      <c r="D33" s="20">
        <f t="shared" si="2"/>
        <v>0</v>
      </c>
      <c r="E33" s="20">
        <f t="shared" si="3"/>
        <v>0</v>
      </c>
      <c r="G33" s="260">
        <v>0.29166666666666702</v>
      </c>
      <c r="H33" s="211">
        <f>'HVAC Appliances Austin'!H33</f>
        <v>0</v>
      </c>
      <c r="I33" s="110">
        <v>0.29166666666666702</v>
      </c>
      <c r="J33" s="211">
        <f>'HVAC Appliances Austin'!J33</f>
        <v>0</v>
      </c>
      <c r="K33" s="110">
        <v>0.29166666666666702</v>
      </c>
      <c r="L33" s="211">
        <f>'HVAC Appliances Austin'!L33</f>
        <v>0</v>
      </c>
      <c r="M33" s="21"/>
      <c r="N33" s="110">
        <v>0.29166666666666702</v>
      </c>
      <c r="O33" s="211">
        <f>'HVAC Appliances Austin'!O33</f>
        <v>157.38181249999982</v>
      </c>
      <c r="P33" s="110">
        <v>0.29166666666666702</v>
      </c>
      <c r="Q33" s="211">
        <f>'HVAC Appliances Austin'!Q33</f>
        <v>205.91062500000001</v>
      </c>
      <c r="R33" s="110">
        <v>0.29166666666666702</v>
      </c>
      <c r="S33" s="211">
        <f>'HVAC Appliances Austin'!S33</f>
        <v>238.80674999999928</v>
      </c>
      <c r="T33" s="21"/>
      <c r="U33" s="110">
        <v>0.29166666666666702</v>
      </c>
      <c r="V33" s="211">
        <f>'HVAC Appliances Austin'!V33</f>
        <v>339.23403472222213</v>
      </c>
      <c r="W33" s="110">
        <v>0.29166666666666702</v>
      </c>
      <c r="X33" s="211">
        <f>'HVAC Appliances Austin'!X33</f>
        <v>508.45118055555582</v>
      </c>
      <c r="Y33" s="110">
        <v>0.29166666666666702</v>
      </c>
      <c r="Z33" s="211">
        <f>'HVAC Appliances Austin'!Z33</f>
        <v>625.33730555555553</v>
      </c>
      <c r="AA33" s="21"/>
      <c r="AB33" s="110">
        <v>0.29166666666666702</v>
      </c>
      <c r="AC33" s="211">
        <f>'HVAC Appliances Austin'!AC33</f>
        <v>54.375999999999756</v>
      </c>
      <c r="AD33" s="110">
        <v>0.29166666666666702</v>
      </c>
      <c r="AE33" s="211">
        <f>'HVAC Appliances Austin'!AE33</f>
        <v>40.159999999999755</v>
      </c>
      <c r="AF33" s="110">
        <v>0.29166666666666702</v>
      </c>
      <c r="AG33" s="211">
        <f>'HVAC Appliances Austin'!AG33</f>
        <v>40.231999999999601</v>
      </c>
      <c r="AH33" s="21"/>
      <c r="AI33" s="110">
        <v>0.29166666666666702</v>
      </c>
      <c r="AJ33" s="211">
        <f>'HVAC Appliances Austin'!AJ33</f>
        <v>0</v>
      </c>
      <c r="AK33" s="110">
        <v>0.29166666666666702</v>
      </c>
      <c r="AL33" s="211">
        <f>'HVAC Appliances Austin'!AL33</f>
        <v>0</v>
      </c>
      <c r="AM33" s="110">
        <v>0.29166666666666702</v>
      </c>
      <c r="AN33" s="211">
        <f>'HVAC Appliances Austin'!AN33</f>
        <v>0</v>
      </c>
      <c r="AO33" s="21"/>
      <c r="AP33" s="110">
        <v>0.29166666666666702</v>
      </c>
      <c r="AQ33" s="211">
        <f>'HVAC Appliances Austin'!AQ33</f>
        <v>396.32580555555506</v>
      </c>
      <c r="AR33" s="110">
        <v>0.29166666666666702</v>
      </c>
      <c r="AS33" s="211">
        <f>'HVAC Appliances Austin'!AS33</f>
        <v>604.19638888888858</v>
      </c>
      <c r="AT33" s="110">
        <v>0.29166666666666702</v>
      </c>
      <c r="AU33" s="211">
        <f>'HVAC Appliances Austin'!AU33</f>
        <v>749.45688888888776</v>
      </c>
      <c r="AV33" s="21"/>
      <c r="AW33" s="110">
        <v>0.29166666666666702</v>
      </c>
      <c r="AX33" s="211"/>
      <c r="AY33" s="21"/>
      <c r="AZ33" s="110">
        <v>0.29166666666666702</v>
      </c>
      <c r="BA33" s="264"/>
      <c r="BC33" s="260">
        <v>0.29166666666666702</v>
      </c>
      <c r="BD33" s="211">
        <f>'HVAC Appliances Austin'!BD33</f>
        <v>13.829166666666657</v>
      </c>
      <c r="BE33" s="110">
        <v>0.29166666666666702</v>
      </c>
      <c r="BF33" s="211">
        <f>'HVAC Appliances Austin'!BF33</f>
        <v>16.516666666666652</v>
      </c>
      <c r="BG33" s="110">
        <v>0.29166666666666702</v>
      </c>
      <c r="BH33" s="211">
        <f>'HVAC Appliances Austin'!BH33</f>
        <v>24.916666666666643</v>
      </c>
      <c r="BI33" s="21"/>
      <c r="BJ33" s="110">
        <v>0.29166666666666702</v>
      </c>
      <c r="BK33" s="211">
        <f>'HVAC Appliances Austin'!BK33</f>
        <v>0</v>
      </c>
      <c r="BL33" s="110">
        <v>0.29166666666666702</v>
      </c>
      <c r="BM33" s="211">
        <f>'HVAC Appliances Austin'!BM33</f>
        <v>0</v>
      </c>
      <c r="BN33" s="110">
        <v>0.29166666666666702</v>
      </c>
      <c r="BO33" s="211">
        <f>'HVAC Appliances Austin'!BO33</f>
        <v>0</v>
      </c>
      <c r="BP33" s="21"/>
      <c r="BQ33" s="110">
        <v>0.29166666666666702</v>
      </c>
      <c r="BR33" s="211">
        <f>'HVAC Appliances Austin'!BR33</f>
        <v>0</v>
      </c>
      <c r="BS33" s="110">
        <v>0.29166666666666702</v>
      </c>
      <c r="BT33" s="211">
        <f>'HVAC Appliances Austin'!BT33</f>
        <v>0</v>
      </c>
      <c r="BU33" s="110">
        <v>0.29166666666666702</v>
      </c>
      <c r="BV33" s="211">
        <f>'HVAC Appliances Austin'!BV33</f>
        <v>0</v>
      </c>
      <c r="BW33" s="21"/>
      <c r="BX33" s="110">
        <v>0.29166666666666702</v>
      </c>
      <c r="BY33" s="211">
        <f>'HVAC Appliances Austin'!BY33</f>
        <v>0</v>
      </c>
      <c r="BZ33" s="110">
        <v>0.29166666666666702</v>
      </c>
      <c r="CA33" s="211">
        <f>'HVAC Appliances Austin'!CA33</f>
        <v>0</v>
      </c>
      <c r="CB33" s="110">
        <v>0.29166666666666702</v>
      </c>
      <c r="CC33" s="211">
        <f>'HVAC Appliances Austin'!CC33</f>
        <v>0</v>
      </c>
      <c r="CD33" s="21"/>
      <c r="CE33" s="110">
        <v>0.29166666666666702</v>
      </c>
      <c r="CF33" s="211">
        <f>'HVAC Appliances Austin'!CF33</f>
        <v>133.92500000000001</v>
      </c>
      <c r="CG33" s="110">
        <v>0.29166666666666702</v>
      </c>
      <c r="CH33" s="211">
        <f>'HVAC Appliances Austin'!CH33</f>
        <v>263.2</v>
      </c>
      <c r="CI33" s="110">
        <v>0.29166666666666702</v>
      </c>
      <c r="CJ33" s="211">
        <f>'HVAC Appliances Austin'!CJ33</f>
        <v>349.50000000000006</v>
      </c>
      <c r="CK33" s="21"/>
      <c r="CL33" s="110">
        <v>0.29166666666666702</v>
      </c>
      <c r="CM33" s="211">
        <f>'HVAC Appliances Austin'!CM33</f>
        <v>0</v>
      </c>
      <c r="CN33" s="110">
        <v>0.29166666666666702</v>
      </c>
      <c r="CO33" s="211">
        <f>'HVAC Appliances Austin'!CO33</f>
        <v>0</v>
      </c>
      <c r="CP33" s="110">
        <v>0.29166666666666702</v>
      </c>
      <c r="CQ33" s="211">
        <f>'HVAC Appliances Austin'!CQ33</f>
        <v>0</v>
      </c>
      <c r="CR33" s="21"/>
      <c r="CS33" s="110">
        <v>0.29166666666666702</v>
      </c>
      <c r="CT33" s="211"/>
      <c r="CU33" s="21"/>
      <c r="CV33" s="110">
        <v>0.29166666666666702</v>
      </c>
      <c r="CW33" s="264"/>
      <c r="CY33" s="260">
        <v>0.29166666666666702</v>
      </c>
      <c r="CZ33" s="211">
        <f>'HVAC Appliances Austin'!CZ33</f>
        <v>132.42048611111102</v>
      </c>
      <c r="DA33" s="110">
        <v>0.29166666666666702</v>
      </c>
      <c r="DB33" s="211">
        <f>'HVAC Appliances Austin'!DB33</f>
        <v>169.36336805555575</v>
      </c>
      <c r="DC33" s="110">
        <v>0.29166666666666702</v>
      </c>
      <c r="DD33" s="211">
        <f>'HVAC Appliances Austin'!DD33</f>
        <v>239.79583333333298</v>
      </c>
      <c r="DE33" s="21"/>
      <c r="DF33" s="110">
        <v>0.29166666666666702</v>
      </c>
      <c r="DG33" s="211">
        <f>'HVAC Appliances Austin'!DG33</f>
        <v>179.52399999999986</v>
      </c>
      <c r="DH33" s="110">
        <v>0.29166666666666702</v>
      </c>
      <c r="DI33" s="211">
        <f>'HVAC Appliances Austin'!DI33</f>
        <v>229.6001875</v>
      </c>
      <c r="DJ33" s="110">
        <v>0.29166666666666702</v>
      </c>
      <c r="DK33" s="211">
        <f>'HVAC Appliances Austin'!DK33</f>
        <v>263.06856249999998</v>
      </c>
      <c r="DL33" s="21"/>
      <c r="DM33" s="110">
        <v>0.29166666666666702</v>
      </c>
      <c r="DN33" s="211">
        <f>'HVAC Appliances Austin'!DN33</f>
        <v>380.41899999999987</v>
      </c>
      <c r="DO33" s="110">
        <v>0.29166666666666702</v>
      </c>
      <c r="DP33" s="211">
        <f>'HVAC Appliances Austin'!DP33</f>
        <v>561.14629861111132</v>
      </c>
      <c r="DQ33" s="110">
        <v>0.29166666666666702</v>
      </c>
      <c r="DR33" s="211">
        <f>'HVAC Appliances Austin'!DR33</f>
        <v>691.34189583333375</v>
      </c>
      <c r="DS33" s="21"/>
      <c r="DT33" s="110">
        <v>0.29166666666666702</v>
      </c>
      <c r="DU33" s="211">
        <f>'HVAC Appliances Austin'!DU33</f>
        <v>0</v>
      </c>
      <c r="DV33" s="110">
        <v>0.29166666666666702</v>
      </c>
      <c r="DW33" s="211">
        <f>'HVAC Appliances Austin'!DW33</f>
        <v>0</v>
      </c>
      <c r="DX33" s="110">
        <v>0.29166666666666702</v>
      </c>
      <c r="DY33" s="211">
        <f>'HVAC Appliances Austin'!DY33</f>
        <v>0</v>
      </c>
      <c r="DZ33" s="21"/>
      <c r="EA33" s="110">
        <v>0.29166666666666702</v>
      </c>
      <c r="EB33" s="211">
        <f>'HVAC Appliances Amarillo'!EB33</f>
        <v>6900</v>
      </c>
      <c r="EC33" s="110">
        <v>0.29166666666666702</v>
      </c>
      <c r="ED33" s="211">
        <f>'HVAC Appliances Amarillo'!ED33</f>
        <v>12300</v>
      </c>
      <c r="EE33" s="110">
        <v>0.29166666666666702</v>
      </c>
      <c r="EF33" s="211">
        <f>'HVAC Appliances Amarillo'!EF33</f>
        <v>16000</v>
      </c>
      <c r="EG33" s="21"/>
      <c r="EH33" s="110">
        <v>0.29166666666666702</v>
      </c>
      <c r="EI33" s="211">
        <f>'HVAC Appliances Austin'!EI33</f>
        <v>439.98899999999981</v>
      </c>
      <c r="EJ33" s="110">
        <v>0.29166666666666702</v>
      </c>
      <c r="EK33" s="211">
        <f>'HVAC Appliances Austin'!EK33</f>
        <v>660.93452777777713</v>
      </c>
      <c r="EL33" s="110">
        <v>0.29166666666666702</v>
      </c>
      <c r="EM33" s="211">
        <f>'HVAC Appliances Austin'!EM33</f>
        <v>820.87658333333286</v>
      </c>
      <c r="EN33" s="21"/>
      <c r="EO33" s="110">
        <v>0.29166666666666702</v>
      </c>
      <c r="EP33" s="211"/>
      <c r="EQ33" s="21"/>
      <c r="ER33" s="110">
        <v>0.29166666666666702</v>
      </c>
      <c r="ES33" s="264"/>
      <c r="EU33" s="260">
        <v>0.29166666666666702</v>
      </c>
      <c r="EV33" s="209">
        <f>'HVAC Appliances Amarillo'!EV33</f>
        <v>5400</v>
      </c>
      <c r="EW33" s="110">
        <v>0.29166666666666702</v>
      </c>
      <c r="EX33" s="209">
        <f>'HVAC Appliances Amarillo'!EX33</f>
        <v>5400</v>
      </c>
      <c r="EY33" s="110">
        <v>0.29166666666666702</v>
      </c>
      <c r="EZ33" s="308">
        <f>'HVAC Appliances Amarillo'!EZ33</f>
        <v>5400</v>
      </c>
    </row>
    <row r="34" spans="1:156" x14ac:dyDescent="0.3">
      <c r="A34" s="108">
        <v>0.29166666666666702</v>
      </c>
      <c r="B34" s="226">
        <f t="shared" si="0"/>
        <v>0</v>
      </c>
      <c r="C34" s="21">
        <f t="shared" si="1"/>
        <v>349.50000000000006</v>
      </c>
      <c r="D34" s="20">
        <f t="shared" si="2"/>
        <v>16000</v>
      </c>
      <c r="E34" s="20">
        <f t="shared" si="3"/>
        <v>5400</v>
      </c>
      <c r="G34" s="260">
        <v>0.30208333333333298</v>
      </c>
      <c r="H34" s="211">
        <f>'HVAC Appliances Austin'!H34</f>
        <v>0</v>
      </c>
      <c r="I34" s="110">
        <v>0.30208333333333298</v>
      </c>
      <c r="J34" s="211">
        <f>'HVAC Appliances Austin'!J34</f>
        <v>0</v>
      </c>
      <c r="K34" s="110">
        <v>0.30208333333333298</v>
      </c>
      <c r="L34" s="211">
        <f>'HVAC Appliances Austin'!L34</f>
        <v>0</v>
      </c>
      <c r="M34" s="21"/>
      <c r="N34" s="110">
        <v>0.30208333333333298</v>
      </c>
      <c r="O34" s="211">
        <f>'HVAC Appliances Austin'!O34</f>
        <v>157.38181249999982</v>
      </c>
      <c r="P34" s="110">
        <v>0.30208333333333298</v>
      </c>
      <c r="Q34" s="211">
        <f>'HVAC Appliances Austin'!Q34</f>
        <v>205.91062500000001</v>
      </c>
      <c r="R34" s="110">
        <v>0.30208333333333298</v>
      </c>
      <c r="S34" s="211">
        <f>'HVAC Appliances Austin'!S34</f>
        <v>238.80674999999928</v>
      </c>
      <c r="T34" s="21"/>
      <c r="U34" s="110">
        <v>0.30208333333333298</v>
      </c>
      <c r="V34" s="211">
        <f>'HVAC Appliances Austin'!V34</f>
        <v>339.23403472222213</v>
      </c>
      <c r="W34" s="110">
        <v>0.30208333333333298</v>
      </c>
      <c r="X34" s="211">
        <f>'HVAC Appliances Austin'!X34</f>
        <v>508.45118055555582</v>
      </c>
      <c r="Y34" s="110">
        <v>0.30208333333333298</v>
      </c>
      <c r="Z34" s="211">
        <f>'HVAC Appliances Austin'!Z34</f>
        <v>625.33730555555553</v>
      </c>
      <c r="AA34" s="21"/>
      <c r="AB34" s="110">
        <v>0.30208333333333298</v>
      </c>
      <c r="AC34" s="211">
        <f>'HVAC Appliances Austin'!AC34</f>
        <v>54.375999999999756</v>
      </c>
      <c r="AD34" s="110">
        <v>0.30208333333333298</v>
      </c>
      <c r="AE34" s="211">
        <f>'HVAC Appliances Austin'!AE34</f>
        <v>40.159999999999755</v>
      </c>
      <c r="AF34" s="110">
        <v>0.30208333333333298</v>
      </c>
      <c r="AG34" s="211">
        <f>'HVAC Appliances Austin'!AG34</f>
        <v>40.231999999999601</v>
      </c>
      <c r="AH34" s="21"/>
      <c r="AI34" s="110">
        <v>0.30208333333333298</v>
      </c>
      <c r="AJ34" s="211">
        <f>'HVAC Appliances Austin'!AJ34</f>
        <v>0</v>
      </c>
      <c r="AK34" s="110">
        <v>0.30208333333333298</v>
      </c>
      <c r="AL34" s="211">
        <f>'HVAC Appliances Austin'!AL34</f>
        <v>0</v>
      </c>
      <c r="AM34" s="110">
        <v>0.30208333333333298</v>
      </c>
      <c r="AN34" s="211">
        <f>'HVAC Appliances Austin'!AN34</f>
        <v>0</v>
      </c>
      <c r="AO34" s="21"/>
      <c r="AP34" s="110">
        <v>0.30208333333333298</v>
      </c>
      <c r="AQ34" s="211">
        <f>'HVAC Appliances Austin'!AQ34</f>
        <v>396.32580555555506</v>
      </c>
      <c r="AR34" s="110">
        <v>0.30208333333333298</v>
      </c>
      <c r="AS34" s="211">
        <f>'HVAC Appliances Austin'!AS34</f>
        <v>604.19638888888858</v>
      </c>
      <c r="AT34" s="110">
        <v>0.30208333333333298</v>
      </c>
      <c r="AU34" s="211">
        <f>'HVAC Appliances Austin'!AU34</f>
        <v>749.45688888888776</v>
      </c>
      <c r="AV34" s="21"/>
      <c r="AW34" s="110">
        <v>0.30208333333333298</v>
      </c>
      <c r="AX34" s="211"/>
      <c r="AY34" s="21"/>
      <c r="AZ34" s="110">
        <v>0.30208333333333298</v>
      </c>
      <c r="BA34" s="264"/>
      <c r="BC34" s="260">
        <v>0.30208333333333298</v>
      </c>
      <c r="BD34" s="211">
        <f>'HVAC Appliances Austin'!BD34</f>
        <v>13.829166666666657</v>
      </c>
      <c r="BE34" s="110">
        <v>0.30208333333333298</v>
      </c>
      <c r="BF34" s="211">
        <f>'HVAC Appliances Austin'!BF34</f>
        <v>16.516666666666652</v>
      </c>
      <c r="BG34" s="110">
        <v>0.30208333333333298</v>
      </c>
      <c r="BH34" s="211">
        <f>'HVAC Appliances Austin'!BH34</f>
        <v>24.916666666666643</v>
      </c>
      <c r="BI34" s="21"/>
      <c r="BJ34" s="110">
        <v>0.30208333333333298</v>
      </c>
      <c r="BK34" s="211">
        <f>'HVAC Appliances Austin'!BK34</f>
        <v>0</v>
      </c>
      <c r="BL34" s="110">
        <v>0.30208333333333298</v>
      </c>
      <c r="BM34" s="211">
        <f>'HVAC Appliances Austin'!BM34</f>
        <v>0</v>
      </c>
      <c r="BN34" s="110">
        <v>0.30208333333333298</v>
      </c>
      <c r="BO34" s="211">
        <f>'HVAC Appliances Austin'!BO34</f>
        <v>0</v>
      </c>
      <c r="BP34" s="21"/>
      <c r="BQ34" s="110">
        <v>0.30208333333333298</v>
      </c>
      <c r="BR34" s="211">
        <f>'HVAC Appliances Austin'!BR34</f>
        <v>0</v>
      </c>
      <c r="BS34" s="110">
        <v>0.30208333333333298</v>
      </c>
      <c r="BT34" s="211">
        <f>'HVAC Appliances Austin'!BT34</f>
        <v>0</v>
      </c>
      <c r="BU34" s="110">
        <v>0.30208333333333298</v>
      </c>
      <c r="BV34" s="211">
        <f>'HVAC Appliances Austin'!BV34</f>
        <v>0</v>
      </c>
      <c r="BW34" s="21"/>
      <c r="BX34" s="110">
        <v>0.30208333333333298</v>
      </c>
      <c r="BY34" s="211">
        <f>'HVAC Appliances Austin'!BY34</f>
        <v>0</v>
      </c>
      <c r="BZ34" s="110">
        <v>0.30208333333333298</v>
      </c>
      <c r="CA34" s="211">
        <f>'HVAC Appliances Austin'!CA34</f>
        <v>0</v>
      </c>
      <c r="CB34" s="110">
        <v>0.30208333333333298</v>
      </c>
      <c r="CC34" s="211">
        <f>'HVAC Appliances Austin'!CC34</f>
        <v>0</v>
      </c>
      <c r="CD34" s="21"/>
      <c r="CE34" s="110">
        <v>0.30208333333333298</v>
      </c>
      <c r="CF34" s="211">
        <f>'HVAC Appliances Austin'!CF34</f>
        <v>133.92500000000001</v>
      </c>
      <c r="CG34" s="110">
        <v>0.30208333333333298</v>
      </c>
      <c r="CH34" s="211">
        <f>'HVAC Appliances Austin'!CH34</f>
        <v>263.2</v>
      </c>
      <c r="CI34" s="110">
        <v>0.30208333333333298</v>
      </c>
      <c r="CJ34" s="211">
        <f>'HVAC Appliances Austin'!CJ34</f>
        <v>349.50000000000006</v>
      </c>
      <c r="CK34" s="21"/>
      <c r="CL34" s="110">
        <v>0.30208333333333298</v>
      </c>
      <c r="CM34" s="211">
        <f>'HVAC Appliances Austin'!CM34</f>
        <v>0</v>
      </c>
      <c r="CN34" s="110">
        <v>0.30208333333333298</v>
      </c>
      <c r="CO34" s="211">
        <f>'HVAC Appliances Austin'!CO34</f>
        <v>0</v>
      </c>
      <c r="CP34" s="110">
        <v>0.30208333333333298</v>
      </c>
      <c r="CQ34" s="211">
        <f>'HVAC Appliances Austin'!CQ34</f>
        <v>0</v>
      </c>
      <c r="CR34" s="21"/>
      <c r="CS34" s="110">
        <v>0.30208333333333298</v>
      </c>
      <c r="CT34" s="211"/>
      <c r="CU34" s="21"/>
      <c r="CV34" s="110">
        <v>0.30208333333333298</v>
      </c>
      <c r="CW34" s="264"/>
      <c r="CY34" s="260">
        <v>0.30208333333333298</v>
      </c>
      <c r="CZ34" s="211">
        <f>'HVAC Appliances Austin'!CZ34</f>
        <v>132.42048611111102</v>
      </c>
      <c r="DA34" s="110">
        <v>0.30208333333333298</v>
      </c>
      <c r="DB34" s="211">
        <f>'HVAC Appliances Austin'!DB34</f>
        <v>169.36336805555575</v>
      </c>
      <c r="DC34" s="110">
        <v>0.30208333333333298</v>
      </c>
      <c r="DD34" s="211">
        <f>'HVAC Appliances Austin'!DD34</f>
        <v>239.79583333333298</v>
      </c>
      <c r="DE34" s="21"/>
      <c r="DF34" s="110">
        <v>0.30208333333333298</v>
      </c>
      <c r="DG34" s="211">
        <f>'HVAC Appliances Austin'!DG34</f>
        <v>179.52399999999986</v>
      </c>
      <c r="DH34" s="110">
        <v>0.30208333333333298</v>
      </c>
      <c r="DI34" s="211">
        <f>'HVAC Appliances Austin'!DI34</f>
        <v>229.6001875</v>
      </c>
      <c r="DJ34" s="110">
        <v>0.30208333333333298</v>
      </c>
      <c r="DK34" s="211">
        <f>'HVAC Appliances Austin'!DK34</f>
        <v>263.06856249999998</v>
      </c>
      <c r="DL34" s="21"/>
      <c r="DM34" s="110">
        <v>0.30208333333333298</v>
      </c>
      <c r="DN34" s="211">
        <f>'HVAC Appliances Austin'!DN34</f>
        <v>380.41899999999987</v>
      </c>
      <c r="DO34" s="110">
        <v>0.30208333333333298</v>
      </c>
      <c r="DP34" s="211">
        <f>'HVAC Appliances Austin'!DP34</f>
        <v>561.14629861111132</v>
      </c>
      <c r="DQ34" s="110">
        <v>0.30208333333333298</v>
      </c>
      <c r="DR34" s="211">
        <f>'HVAC Appliances Austin'!DR34</f>
        <v>691.34189583333375</v>
      </c>
      <c r="DS34" s="21"/>
      <c r="DT34" s="110">
        <v>0.30208333333333298</v>
      </c>
      <c r="DU34" s="211">
        <f>'HVAC Appliances Austin'!DU34</f>
        <v>0</v>
      </c>
      <c r="DV34" s="110">
        <v>0.30208333333333298</v>
      </c>
      <c r="DW34" s="211">
        <f>'HVAC Appliances Austin'!DW34</f>
        <v>0</v>
      </c>
      <c r="DX34" s="110">
        <v>0.30208333333333298</v>
      </c>
      <c r="DY34" s="211">
        <f>'HVAC Appliances Austin'!DY34</f>
        <v>0</v>
      </c>
      <c r="DZ34" s="21"/>
      <c r="EA34" s="110">
        <v>0.30208333333333298</v>
      </c>
      <c r="EB34" s="211">
        <f>'HVAC Appliances Amarillo'!EB34</f>
        <v>6900</v>
      </c>
      <c r="EC34" s="110">
        <v>0.30208333333333298</v>
      </c>
      <c r="ED34" s="211">
        <f>'HVAC Appliances Amarillo'!ED34</f>
        <v>12300</v>
      </c>
      <c r="EE34" s="110">
        <v>0.30208333333333298</v>
      </c>
      <c r="EF34" s="211">
        <f>'HVAC Appliances Amarillo'!EF34</f>
        <v>16000</v>
      </c>
      <c r="EG34" s="21"/>
      <c r="EH34" s="110">
        <v>0.30208333333333298</v>
      </c>
      <c r="EI34" s="211">
        <f>'HVAC Appliances Austin'!EI34</f>
        <v>439.98899999999981</v>
      </c>
      <c r="EJ34" s="110">
        <v>0.30208333333333298</v>
      </c>
      <c r="EK34" s="211">
        <f>'HVAC Appliances Austin'!EK34</f>
        <v>660.93452777777713</v>
      </c>
      <c r="EL34" s="110">
        <v>0.30208333333333298</v>
      </c>
      <c r="EM34" s="211">
        <f>'HVAC Appliances Austin'!EM34</f>
        <v>820.87658333333286</v>
      </c>
      <c r="EN34" s="21"/>
      <c r="EO34" s="110">
        <v>0.30208333333333298</v>
      </c>
      <c r="EP34" s="211"/>
      <c r="EQ34" s="21"/>
      <c r="ER34" s="110">
        <v>0.30208333333333298</v>
      </c>
      <c r="ES34" s="264"/>
      <c r="EU34" s="260">
        <v>0.30208333333333298</v>
      </c>
      <c r="EV34" s="209">
        <f>'HVAC Appliances Amarillo'!EV34</f>
        <v>5400</v>
      </c>
      <c r="EW34" s="110">
        <v>0.30208333333333298</v>
      </c>
      <c r="EX34" s="209">
        <f>'HVAC Appliances Amarillo'!EX34</f>
        <v>5400</v>
      </c>
      <c r="EY34" s="110">
        <v>0.30208333333333298</v>
      </c>
      <c r="EZ34" s="308">
        <f>'HVAC Appliances Amarillo'!EZ34</f>
        <v>5400</v>
      </c>
    </row>
    <row r="35" spans="1:156" x14ac:dyDescent="0.3">
      <c r="A35" s="108">
        <v>0.30208333333333298</v>
      </c>
      <c r="B35" s="226">
        <f t="shared" si="0"/>
        <v>0</v>
      </c>
      <c r="C35" s="21">
        <f t="shared" si="1"/>
        <v>349.50000000000006</v>
      </c>
      <c r="D35" s="20">
        <f t="shared" si="2"/>
        <v>16000</v>
      </c>
      <c r="E35" s="20">
        <f t="shared" si="3"/>
        <v>5400</v>
      </c>
      <c r="G35" s="260">
        <v>0.3125</v>
      </c>
      <c r="H35" s="211">
        <f>'HVAC Appliances Austin'!H35</f>
        <v>0</v>
      </c>
      <c r="I35" s="110">
        <v>0.3125</v>
      </c>
      <c r="J35" s="211">
        <f>'HVAC Appliances Austin'!J35</f>
        <v>0</v>
      </c>
      <c r="K35" s="110">
        <v>0.3125</v>
      </c>
      <c r="L35" s="211">
        <f>'HVAC Appliances Austin'!L35</f>
        <v>0</v>
      </c>
      <c r="M35" s="21"/>
      <c r="N35" s="110">
        <v>0.3125</v>
      </c>
      <c r="O35" s="211">
        <f>'HVAC Appliances Austin'!O35</f>
        <v>157.38181249999982</v>
      </c>
      <c r="P35" s="110">
        <v>0.3125</v>
      </c>
      <c r="Q35" s="211">
        <f>'HVAC Appliances Austin'!Q35</f>
        <v>205.91062500000001</v>
      </c>
      <c r="R35" s="110">
        <v>0.3125</v>
      </c>
      <c r="S35" s="211">
        <f>'HVAC Appliances Austin'!S35</f>
        <v>238.80674999999928</v>
      </c>
      <c r="T35" s="21"/>
      <c r="U35" s="110">
        <v>0.3125</v>
      </c>
      <c r="V35" s="211">
        <f>'HVAC Appliances Austin'!V35</f>
        <v>339.23403472222213</v>
      </c>
      <c r="W35" s="110">
        <v>0.3125</v>
      </c>
      <c r="X35" s="211">
        <f>'HVAC Appliances Austin'!X35</f>
        <v>508.45118055555582</v>
      </c>
      <c r="Y35" s="110">
        <v>0.3125</v>
      </c>
      <c r="Z35" s="211">
        <f>'HVAC Appliances Austin'!Z35</f>
        <v>625.33730555555553</v>
      </c>
      <c r="AA35" s="21"/>
      <c r="AB35" s="110">
        <v>0.3125</v>
      </c>
      <c r="AC35" s="211">
        <f>'HVAC Appliances Austin'!AC35</f>
        <v>54.375999999999756</v>
      </c>
      <c r="AD35" s="110">
        <v>0.3125</v>
      </c>
      <c r="AE35" s="211">
        <f>'HVAC Appliances Austin'!AE35</f>
        <v>40.159999999999755</v>
      </c>
      <c r="AF35" s="110">
        <v>0.3125</v>
      </c>
      <c r="AG35" s="211">
        <f>'HVAC Appliances Austin'!AG35</f>
        <v>40.231999999999601</v>
      </c>
      <c r="AH35" s="21"/>
      <c r="AI35" s="110">
        <v>0.3125</v>
      </c>
      <c r="AJ35" s="211">
        <f>'HVAC Appliances Austin'!AJ35</f>
        <v>0</v>
      </c>
      <c r="AK35" s="110">
        <v>0.3125</v>
      </c>
      <c r="AL35" s="211">
        <f>'HVAC Appliances Austin'!AL35</f>
        <v>0</v>
      </c>
      <c r="AM35" s="110">
        <v>0.3125</v>
      </c>
      <c r="AN35" s="211">
        <f>'HVAC Appliances Austin'!AN35</f>
        <v>0</v>
      </c>
      <c r="AO35" s="21"/>
      <c r="AP35" s="110">
        <v>0.3125</v>
      </c>
      <c r="AQ35" s="211">
        <f>'HVAC Appliances Austin'!AQ35</f>
        <v>396.32580555555506</v>
      </c>
      <c r="AR35" s="110">
        <v>0.3125</v>
      </c>
      <c r="AS35" s="211">
        <f>'HVAC Appliances Austin'!AS35</f>
        <v>604.19638888888858</v>
      </c>
      <c r="AT35" s="110">
        <v>0.3125</v>
      </c>
      <c r="AU35" s="211">
        <f>'HVAC Appliances Austin'!AU35</f>
        <v>749.45688888888776</v>
      </c>
      <c r="AV35" s="21"/>
      <c r="AW35" s="110">
        <v>0.3125</v>
      </c>
      <c r="AX35" s="211"/>
      <c r="AY35" s="21"/>
      <c r="AZ35" s="110">
        <v>0.3125</v>
      </c>
      <c r="BA35" s="264"/>
      <c r="BC35" s="260">
        <v>0.3125</v>
      </c>
      <c r="BD35" s="211">
        <f>'HVAC Appliances Austin'!BD35</f>
        <v>13.829166666666657</v>
      </c>
      <c r="BE35" s="110">
        <v>0.3125</v>
      </c>
      <c r="BF35" s="211">
        <f>'HVAC Appliances Austin'!BF35</f>
        <v>16.516666666666652</v>
      </c>
      <c r="BG35" s="110">
        <v>0.3125</v>
      </c>
      <c r="BH35" s="211">
        <f>'HVAC Appliances Austin'!BH35</f>
        <v>24.916666666666643</v>
      </c>
      <c r="BI35" s="21"/>
      <c r="BJ35" s="110">
        <v>0.3125</v>
      </c>
      <c r="BK35" s="211">
        <f>'HVAC Appliances Austin'!BK35</f>
        <v>0</v>
      </c>
      <c r="BL35" s="110">
        <v>0.3125</v>
      </c>
      <c r="BM35" s="211">
        <f>'HVAC Appliances Austin'!BM35</f>
        <v>0</v>
      </c>
      <c r="BN35" s="110">
        <v>0.3125</v>
      </c>
      <c r="BO35" s="211">
        <f>'HVAC Appliances Austin'!BO35</f>
        <v>0</v>
      </c>
      <c r="BP35" s="21"/>
      <c r="BQ35" s="110">
        <v>0.3125</v>
      </c>
      <c r="BR35" s="211">
        <f>'HVAC Appliances Austin'!BR35</f>
        <v>0</v>
      </c>
      <c r="BS35" s="110">
        <v>0.3125</v>
      </c>
      <c r="BT35" s="211">
        <f>'HVAC Appliances Austin'!BT35</f>
        <v>0</v>
      </c>
      <c r="BU35" s="110">
        <v>0.3125</v>
      </c>
      <c r="BV35" s="211">
        <f>'HVAC Appliances Austin'!BV35</f>
        <v>0</v>
      </c>
      <c r="BW35" s="21"/>
      <c r="BX35" s="110">
        <v>0.3125</v>
      </c>
      <c r="BY35" s="211">
        <f>'HVAC Appliances Austin'!BY35</f>
        <v>0</v>
      </c>
      <c r="BZ35" s="110">
        <v>0.3125</v>
      </c>
      <c r="CA35" s="211">
        <f>'HVAC Appliances Austin'!CA35</f>
        <v>0</v>
      </c>
      <c r="CB35" s="110">
        <v>0.3125</v>
      </c>
      <c r="CC35" s="211">
        <f>'HVAC Appliances Austin'!CC35</f>
        <v>0</v>
      </c>
      <c r="CD35" s="21"/>
      <c r="CE35" s="110">
        <v>0.3125</v>
      </c>
      <c r="CF35" s="211">
        <f>'HVAC Appliances Austin'!CF35</f>
        <v>133.92500000000001</v>
      </c>
      <c r="CG35" s="110">
        <v>0.3125</v>
      </c>
      <c r="CH35" s="211">
        <f>'HVAC Appliances Austin'!CH35</f>
        <v>263.2</v>
      </c>
      <c r="CI35" s="110">
        <v>0.3125</v>
      </c>
      <c r="CJ35" s="211">
        <f>'HVAC Appliances Austin'!CJ35</f>
        <v>349.50000000000006</v>
      </c>
      <c r="CK35" s="21"/>
      <c r="CL35" s="110">
        <v>0.3125</v>
      </c>
      <c r="CM35" s="211">
        <f>'HVAC Appliances Austin'!CM35</f>
        <v>0</v>
      </c>
      <c r="CN35" s="110">
        <v>0.3125</v>
      </c>
      <c r="CO35" s="211">
        <f>'HVAC Appliances Austin'!CO35</f>
        <v>0</v>
      </c>
      <c r="CP35" s="110">
        <v>0.3125</v>
      </c>
      <c r="CQ35" s="211">
        <f>'HVAC Appliances Austin'!CQ35</f>
        <v>0</v>
      </c>
      <c r="CR35" s="21"/>
      <c r="CS35" s="110">
        <v>0.3125</v>
      </c>
      <c r="CT35" s="211"/>
      <c r="CU35" s="21"/>
      <c r="CV35" s="110">
        <v>0.3125</v>
      </c>
      <c r="CW35" s="264"/>
      <c r="CY35" s="260">
        <v>0.3125</v>
      </c>
      <c r="CZ35" s="211">
        <f>'HVAC Appliances Austin'!CZ35</f>
        <v>132.42048611111102</v>
      </c>
      <c r="DA35" s="110">
        <v>0.3125</v>
      </c>
      <c r="DB35" s="211">
        <f>'HVAC Appliances Austin'!DB35</f>
        <v>169.36336805555575</v>
      </c>
      <c r="DC35" s="110">
        <v>0.3125</v>
      </c>
      <c r="DD35" s="211">
        <f>'HVAC Appliances Austin'!DD35</f>
        <v>239.79583333333298</v>
      </c>
      <c r="DE35" s="21"/>
      <c r="DF35" s="110">
        <v>0.3125</v>
      </c>
      <c r="DG35" s="211">
        <f>'HVAC Appliances Austin'!DG35</f>
        <v>179.52399999999986</v>
      </c>
      <c r="DH35" s="110">
        <v>0.3125</v>
      </c>
      <c r="DI35" s="211">
        <f>'HVAC Appliances Austin'!DI35</f>
        <v>229.6001875</v>
      </c>
      <c r="DJ35" s="110">
        <v>0.3125</v>
      </c>
      <c r="DK35" s="211">
        <f>'HVAC Appliances Austin'!DK35</f>
        <v>263.06856249999998</v>
      </c>
      <c r="DL35" s="21"/>
      <c r="DM35" s="110">
        <v>0.3125</v>
      </c>
      <c r="DN35" s="211">
        <f>'HVAC Appliances Austin'!DN35</f>
        <v>380.41899999999987</v>
      </c>
      <c r="DO35" s="110">
        <v>0.3125</v>
      </c>
      <c r="DP35" s="211">
        <f>'HVAC Appliances Austin'!DP35</f>
        <v>561.14629861111132</v>
      </c>
      <c r="DQ35" s="110">
        <v>0.3125</v>
      </c>
      <c r="DR35" s="211">
        <f>'HVAC Appliances Austin'!DR35</f>
        <v>691.34189583333375</v>
      </c>
      <c r="DS35" s="21"/>
      <c r="DT35" s="110">
        <v>0.3125</v>
      </c>
      <c r="DU35" s="211">
        <f>'HVAC Appliances Austin'!DU35</f>
        <v>0</v>
      </c>
      <c r="DV35" s="110">
        <v>0.3125</v>
      </c>
      <c r="DW35" s="211">
        <f>'HVAC Appliances Austin'!DW35</f>
        <v>0</v>
      </c>
      <c r="DX35" s="110">
        <v>0.3125</v>
      </c>
      <c r="DY35" s="211">
        <f>'HVAC Appliances Austin'!DY35</f>
        <v>0</v>
      </c>
      <c r="DZ35" s="21"/>
      <c r="EA35" s="110">
        <v>0.3125</v>
      </c>
      <c r="EB35" s="211">
        <f>'HVAC Appliances Amarillo'!EB35</f>
        <v>0</v>
      </c>
      <c r="EC35" s="110">
        <v>0.3125</v>
      </c>
      <c r="ED35" s="211">
        <f>'HVAC Appliances Amarillo'!ED35</f>
        <v>12300</v>
      </c>
      <c r="EE35" s="110">
        <v>0.3125</v>
      </c>
      <c r="EF35" s="211">
        <f>'HVAC Appliances Amarillo'!EF35</f>
        <v>16000</v>
      </c>
      <c r="EG35" s="21"/>
      <c r="EH35" s="110">
        <v>0.3125</v>
      </c>
      <c r="EI35" s="211">
        <f>'HVAC Appliances Austin'!EI35</f>
        <v>439.98899999999981</v>
      </c>
      <c r="EJ35" s="110">
        <v>0.3125</v>
      </c>
      <c r="EK35" s="211">
        <f>'HVAC Appliances Austin'!EK35</f>
        <v>660.93452777777713</v>
      </c>
      <c r="EL35" s="110">
        <v>0.3125</v>
      </c>
      <c r="EM35" s="211">
        <f>'HVAC Appliances Austin'!EM35</f>
        <v>820.87658333333286</v>
      </c>
      <c r="EN35" s="21"/>
      <c r="EO35" s="110">
        <v>0.3125</v>
      </c>
      <c r="EP35" s="211"/>
      <c r="EQ35" s="21"/>
      <c r="ER35" s="110">
        <v>0.3125</v>
      </c>
      <c r="ES35" s="264"/>
      <c r="EU35" s="260">
        <v>0.3125</v>
      </c>
      <c r="EV35" s="209">
        <f>'HVAC Appliances Amarillo'!EV35</f>
        <v>0</v>
      </c>
      <c r="EW35" s="110">
        <v>0.3125</v>
      </c>
      <c r="EX35" s="209">
        <f>'HVAC Appliances Amarillo'!EX35</f>
        <v>5400</v>
      </c>
      <c r="EY35" s="110">
        <v>0.3125</v>
      </c>
      <c r="EZ35" s="308">
        <f>'HVAC Appliances Amarillo'!EZ35</f>
        <v>5400</v>
      </c>
    </row>
    <row r="36" spans="1:156" x14ac:dyDescent="0.3">
      <c r="A36" s="108">
        <v>0.3125</v>
      </c>
      <c r="B36" s="226">
        <f t="shared" si="0"/>
        <v>0</v>
      </c>
      <c r="C36" s="21">
        <f t="shared" si="1"/>
        <v>349.50000000000006</v>
      </c>
      <c r="D36" s="20">
        <f t="shared" si="2"/>
        <v>16000</v>
      </c>
      <c r="E36" s="20">
        <f t="shared" si="3"/>
        <v>5400</v>
      </c>
      <c r="G36" s="260">
        <v>0.32291666666666702</v>
      </c>
      <c r="H36" s="211">
        <f>'HVAC Appliances Austin'!H36</f>
        <v>0</v>
      </c>
      <c r="I36" s="110">
        <v>0.32291666666666702</v>
      </c>
      <c r="J36" s="211">
        <f>'HVAC Appliances Austin'!J36</f>
        <v>0</v>
      </c>
      <c r="K36" s="110">
        <v>0.32291666666666702</v>
      </c>
      <c r="L36" s="211">
        <f>'HVAC Appliances Austin'!L36</f>
        <v>0</v>
      </c>
      <c r="M36" s="21"/>
      <c r="N36" s="110">
        <v>0.32291666666666702</v>
      </c>
      <c r="O36" s="211">
        <f>'HVAC Appliances Austin'!O36</f>
        <v>157.38181249999982</v>
      </c>
      <c r="P36" s="110">
        <v>0.32291666666666702</v>
      </c>
      <c r="Q36" s="211">
        <f>'HVAC Appliances Austin'!Q36</f>
        <v>205.91062500000001</v>
      </c>
      <c r="R36" s="110">
        <v>0.32291666666666702</v>
      </c>
      <c r="S36" s="211">
        <f>'HVAC Appliances Austin'!S36</f>
        <v>238.80674999999928</v>
      </c>
      <c r="T36" s="21"/>
      <c r="U36" s="110">
        <v>0.32291666666666702</v>
      </c>
      <c r="V36" s="211">
        <f>'HVAC Appliances Austin'!V36</f>
        <v>339.23403472222213</v>
      </c>
      <c r="W36" s="110">
        <v>0.32291666666666702</v>
      </c>
      <c r="X36" s="211">
        <f>'HVAC Appliances Austin'!X36</f>
        <v>508.45118055555582</v>
      </c>
      <c r="Y36" s="110">
        <v>0.32291666666666702</v>
      </c>
      <c r="Z36" s="211">
        <f>'HVAC Appliances Austin'!Z36</f>
        <v>625.33730555555553</v>
      </c>
      <c r="AA36" s="21"/>
      <c r="AB36" s="110">
        <v>0.32291666666666702</v>
      </c>
      <c r="AC36" s="211">
        <f>'HVAC Appliances Austin'!AC36</f>
        <v>54.375999999999756</v>
      </c>
      <c r="AD36" s="110">
        <v>0.32291666666666702</v>
      </c>
      <c r="AE36" s="211">
        <f>'HVAC Appliances Austin'!AE36</f>
        <v>40.159999999999755</v>
      </c>
      <c r="AF36" s="110">
        <v>0.32291666666666702</v>
      </c>
      <c r="AG36" s="211">
        <f>'HVAC Appliances Austin'!AG36</f>
        <v>40.231999999999601</v>
      </c>
      <c r="AH36" s="21"/>
      <c r="AI36" s="110">
        <v>0.32291666666666702</v>
      </c>
      <c r="AJ36" s="211">
        <f>'HVAC Appliances Austin'!AJ36</f>
        <v>0</v>
      </c>
      <c r="AK36" s="110">
        <v>0.32291666666666702</v>
      </c>
      <c r="AL36" s="211">
        <f>'HVAC Appliances Austin'!AL36</f>
        <v>0</v>
      </c>
      <c r="AM36" s="110">
        <v>0.32291666666666702</v>
      </c>
      <c r="AN36" s="211">
        <f>'HVAC Appliances Austin'!AN36</f>
        <v>0</v>
      </c>
      <c r="AO36" s="21"/>
      <c r="AP36" s="110">
        <v>0.32291666666666702</v>
      </c>
      <c r="AQ36" s="211">
        <f>'HVAC Appliances Austin'!AQ36</f>
        <v>396.32580555555506</v>
      </c>
      <c r="AR36" s="110">
        <v>0.32291666666666702</v>
      </c>
      <c r="AS36" s="211">
        <f>'HVAC Appliances Austin'!AS36</f>
        <v>604.19638888888858</v>
      </c>
      <c r="AT36" s="110">
        <v>0.32291666666666702</v>
      </c>
      <c r="AU36" s="211">
        <f>'HVAC Appliances Austin'!AU36</f>
        <v>749.45688888888776</v>
      </c>
      <c r="AV36" s="21"/>
      <c r="AW36" s="110">
        <v>0.32291666666666702</v>
      </c>
      <c r="AX36" s="211"/>
      <c r="AY36" s="21"/>
      <c r="AZ36" s="110">
        <v>0.32291666666666702</v>
      </c>
      <c r="BA36" s="264"/>
      <c r="BC36" s="260">
        <v>0.32291666666666702</v>
      </c>
      <c r="BD36" s="211">
        <f>'HVAC Appliances Austin'!BD36</f>
        <v>13.829166666666657</v>
      </c>
      <c r="BE36" s="110">
        <v>0.32291666666666702</v>
      </c>
      <c r="BF36" s="211">
        <f>'HVAC Appliances Austin'!BF36</f>
        <v>16.516666666666652</v>
      </c>
      <c r="BG36" s="110">
        <v>0.32291666666666702</v>
      </c>
      <c r="BH36" s="211">
        <f>'HVAC Appliances Austin'!BH36</f>
        <v>24.916666666666643</v>
      </c>
      <c r="BI36" s="21"/>
      <c r="BJ36" s="110">
        <v>0.32291666666666702</v>
      </c>
      <c r="BK36" s="211">
        <f>'HVAC Appliances Austin'!BK36</f>
        <v>0</v>
      </c>
      <c r="BL36" s="110">
        <v>0.32291666666666702</v>
      </c>
      <c r="BM36" s="211">
        <f>'HVAC Appliances Austin'!BM36</f>
        <v>0</v>
      </c>
      <c r="BN36" s="110">
        <v>0.32291666666666702</v>
      </c>
      <c r="BO36" s="211">
        <f>'HVAC Appliances Austin'!BO36</f>
        <v>0</v>
      </c>
      <c r="BP36" s="21"/>
      <c r="BQ36" s="110">
        <v>0.32291666666666702</v>
      </c>
      <c r="BR36" s="211">
        <f>'HVAC Appliances Austin'!BR36</f>
        <v>0</v>
      </c>
      <c r="BS36" s="110">
        <v>0.32291666666666702</v>
      </c>
      <c r="BT36" s="211">
        <f>'HVAC Appliances Austin'!BT36</f>
        <v>0</v>
      </c>
      <c r="BU36" s="110">
        <v>0.32291666666666702</v>
      </c>
      <c r="BV36" s="211">
        <f>'HVAC Appliances Austin'!BV36</f>
        <v>0</v>
      </c>
      <c r="BW36" s="21"/>
      <c r="BX36" s="110">
        <v>0.32291666666666702</v>
      </c>
      <c r="BY36" s="211">
        <f>'HVAC Appliances Austin'!BY36</f>
        <v>0</v>
      </c>
      <c r="BZ36" s="110">
        <v>0.32291666666666702</v>
      </c>
      <c r="CA36" s="211">
        <f>'HVAC Appliances Austin'!CA36</f>
        <v>0</v>
      </c>
      <c r="CB36" s="110">
        <v>0.32291666666666702</v>
      </c>
      <c r="CC36" s="211">
        <f>'HVAC Appliances Austin'!CC36</f>
        <v>0</v>
      </c>
      <c r="CD36" s="21"/>
      <c r="CE36" s="110">
        <v>0.32291666666666702</v>
      </c>
      <c r="CF36" s="211">
        <f>'HVAC Appliances Austin'!CF36</f>
        <v>133.92500000000001</v>
      </c>
      <c r="CG36" s="110">
        <v>0.32291666666666702</v>
      </c>
      <c r="CH36" s="211">
        <f>'HVAC Appliances Austin'!CH36</f>
        <v>263.2</v>
      </c>
      <c r="CI36" s="110">
        <v>0.32291666666666702</v>
      </c>
      <c r="CJ36" s="211">
        <f>'HVAC Appliances Austin'!CJ36</f>
        <v>349.50000000000006</v>
      </c>
      <c r="CK36" s="21"/>
      <c r="CL36" s="110">
        <v>0.32291666666666702</v>
      </c>
      <c r="CM36" s="211">
        <f>'HVAC Appliances Austin'!CM36</f>
        <v>0</v>
      </c>
      <c r="CN36" s="110">
        <v>0.32291666666666702</v>
      </c>
      <c r="CO36" s="211">
        <f>'HVAC Appliances Austin'!CO36</f>
        <v>0</v>
      </c>
      <c r="CP36" s="110">
        <v>0.32291666666666702</v>
      </c>
      <c r="CQ36" s="211">
        <f>'HVAC Appliances Austin'!CQ36</f>
        <v>0</v>
      </c>
      <c r="CR36" s="21"/>
      <c r="CS36" s="110">
        <v>0.32291666666666702</v>
      </c>
      <c r="CT36" s="211"/>
      <c r="CU36" s="21"/>
      <c r="CV36" s="110">
        <v>0.32291666666666702</v>
      </c>
      <c r="CW36" s="264"/>
      <c r="CY36" s="260">
        <v>0.32291666666666702</v>
      </c>
      <c r="CZ36" s="211">
        <f>'HVAC Appliances Austin'!CZ36</f>
        <v>132.42048611111102</v>
      </c>
      <c r="DA36" s="110">
        <v>0.32291666666666702</v>
      </c>
      <c r="DB36" s="211">
        <f>'HVAC Appliances Austin'!DB36</f>
        <v>169.36336805555575</v>
      </c>
      <c r="DC36" s="110">
        <v>0.32291666666666702</v>
      </c>
      <c r="DD36" s="211">
        <f>'HVAC Appliances Austin'!DD36</f>
        <v>239.79583333333298</v>
      </c>
      <c r="DE36" s="21"/>
      <c r="DF36" s="110">
        <v>0.32291666666666702</v>
      </c>
      <c r="DG36" s="211">
        <f>'HVAC Appliances Austin'!DG36</f>
        <v>179.52399999999986</v>
      </c>
      <c r="DH36" s="110">
        <v>0.32291666666666702</v>
      </c>
      <c r="DI36" s="211">
        <f>'HVAC Appliances Austin'!DI36</f>
        <v>229.6001875</v>
      </c>
      <c r="DJ36" s="110">
        <v>0.32291666666666702</v>
      </c>
      <c r="DK36" s="211">
        <f>'HVAC Appliances Austin'!DK36</f>
        <v>263.06856249999998</v>
      </c>
      <c r="DL36" s="21"/>
      <c r="DM36" s="110">
        <v>0.32291666666666702</v>
      </c>
      <c r="DN36" s="211">
        <f>'HVAC Appliances Austin'!DN36</f>
        <v>380.41899999999987</v>
      </c>
      <c r="DO36" s="110">
        <v>0.32291666666666702</v>
      </c>
      <c r="DP36" s="211">
        <f>'HVAC Appliances Austin'!DP36</f>
        <v>561.14629861111132</v>
      </c>
      <c r="DQ36" s="110">
        <v>0.32291666666666702</v>
      </c>
      <c r="DR36" s="211">
        <f>'HVAC Appliances Austin'!DR36</f>
        <v>691.34189583333375</v>
      </c>
      <c r="DS36" s="21"/>
      <c r="DT36" s="110">
        <v>0.32291666666666702</v>
      </c>
      <c r="DU36" s="211">
        <f>'HVAC Appliances Austin'!DU36</f>
        <v>0</v>
      </c>
      <c r="DV36" s="110">
        <v>0.32291666666666702</v>
      </c>
      <c r="DW36" s="211">
        <f>'HVAC Appliances Austin'!DW36</f>
        <v>0</v>
      </c>
      <c r="DX36" s="110">
        <v>0.32291666666666702</v>
      </c>
      <c r="DY36" s="211">
        <f>'HVAC Appliances Austin'!DY36</f>
        <v>0</v>
      </c>
      <c r="DZ36" s="21"/>
      <c r="EA36" s="110">
        <v>0.32291666666666702</v>
      </c>
      <c r="EB36" s="211">
        <f>'HVAC Appliances Amarillo'!EB36</f>
        <v>0</v>
      </c>
      <c r="EC36" s="110">
        <v>0.32291666666666702</v>
      </c>
      <c r="ED36" s="211">
        <f>'HVAC Appliances Amarillo'!ED36</f>
        <v>0</v>
      </c>
      <c r="EE36" s="110">
        <v>0.32291666666666702</v>
      </c>
      <c r="EF36" s="211">
        <f>'HVAC Appliances Amarillo'!EF36</f>
        <v>0</v>
      </c>
      <c r="EG36" s="21"/>
      <c r="EH36" s="110">
        <v>0.32291666666666702</v>
      </c>
      <c r="EI36" s="211">
        <f>'HVAC Appliances Austin'!EI36</f>
        <v>439.98899999999981</v>
      </c>
      <c r="EJ36" s="110">
        <v>0.32291666666666702</v>
      </c>
      <c r="EK36" s="211">
        <f>'HVAC Appliances Austin'!EK36</f>
        <v>660.93452777777713</v>
      </c>
      <c r="EL36" s="110">
        <v>0.32291666666666702</v>
      </c>
      <c r="EM36" s="211">
        <f>'HVAC Appliances Austin'!EM36</f>
        <v>820.87658333333286</v>
      </c>
      <c r="EN36" s="21"/>
      <c r="EO36" s="110">
        <v>0.32291666666666702</v>
      </c>
      <c r="EP36" s="211"/>
      <c r="EQ36" s="21"/>
      <c r="ER36" s="110">
        <v>0.32291666666666702</v>
      </c>
      <c r="ES36" s="264"/>
      <c r="EU36" s="260">
        <v>0.32291666666666702</v>
      </c>
      <c r="EV36" s="209">
        <f>'HVAC Appliances Amarillo'!EV36</f>
        <v>0</v>
      </c>
      <c r="EW36" s="110">
        <v>0.32291666666666702</v>
      </c>
      <c r="EX36" s="209">
        <f>'HVAC Appliances Amarillo'!EX36</f>
        <v>0</v>
      </c>
      <c r="EY36" s="110">
        <v>0.32291666666666702</v>
      </c>
      <c r="EZ36" s="308">
        <f>'HVAC Appliances Amarillo'!EZ36</f>
        <v>0</v>
      </c>
    </row>
    <row r="37" spans="1:156" x14ac:dyDescent="0.3">
      <c r="A37" s="108">
        <v>0.32291666666666702</v>
      </c>
      <c r="B37" s="226">
        <f t="shared" si="0"/>
        <v>0</v>
      </c>
      <c r="C37" s="21">
        <f t="shared" si="1"/>
        <v>349.50000000000006</v>
      </c>
      <c r="D37" s="20">
        <f t="shared" si="2"/>
        <v>0</v>
      </c>
      <c r="E37" s="20">
        <f t="shared" si="3"/>
        <v>0</v>
      </c>
      <c r="G37" s="260">
        <v>0.33333333333333298</v>
      </c>
      <c r="H37" s="211">
        <f>'HVAC Appliances Austin'!H37</f>
        <v>0</v>
      </c>
      <c r="I37" s="110">
        <v>0.33333333333333298</v>
      </c>
      <c r="J37" s="211">
        <f>'HVAC Appliances Austin'!J37</f>
        <v>0</v>
      </c>
      <c r="K37" s="110">
        <v>0.33333333333333298</v>
      </c>
      <c r="L37" s="211">
        <f>'HVAC Appliances Austin'!L37</f>
        <v>0</v>
      </c>
      <c r="M37" s="21"/>
      <c r="N37" s="110">
        <v>0.33333333333333298</v>
      </c>
      <c r="O37" s="211">
        <f>'HVAC Appliances Austin'!O37</f>
        <v>246.02222222222224</v>
      </c>
      <c r="P37" s="110">
        <v>0.33333333333333298</v>
      </c>
      <c r="Q37" s="211">
        <f>'HVAC Appliances Austin'!Q37</f>
        <v>352.75555555555547</v>
      </c>
      <c r="R37" s="110">
        <v>0.33333333333333298</v>
      </c>
      <c r="S37" s="211">
        <f>'HVAC Appliances Austin'!S37</f>
        <v>424.95555555555552</v>
      </c>
      <c r="T37" s="21"/>
      <c r="U37" s="110">
        <v>0.33333333333333298</v>
      </c>
      <c r="V37" s="211">
        <f>'HVAC Appliances Austin'!V37</f>
        <v>392.04513888888891</v>
      </c>
      <c r="W37" s="110">
        <v>0.33333333333333298</v>
      </c>
      <c r="X37" s="211">
        <f>'HVAC Appliances Austin'!X37</f>
        <v>597.00972222222242</v>
      </c>
      <c r="Y37" s="110">
        <v>0.33333333333333298</v>
      </c>
      <c r="Z37" s="211">
        <f>'HVAC Appliances Austin'!Z37</f>
        <v>740.12222222222283</v>
      </c>
      <c r="AA37" s="21"/>
      <c r="AB37" s="110">
        <v>0.33333333333333298</v>
      </c>
      <c r="AC37" s="211">
        <f>'HVAC Appliances Austin'!AC37</f>
        <v>55.171034722222181</v>
      </c>
      <c r="AD37" s="110">
        <v>0.33333333333333298</v>
      </c>
      <c r="AE37" s="211">
        <f>'HVAC Appliances Austin'!AE37</f>
        <v>41.361180555555599</v>
      </c>
      <c r="AF37" s="110">
        <v>0.33333333333333298</v>
      </c>
      <c r="AG37" s="211">
        <f>'HVAC Appliances Austin'!AG37</f>
        <v>41.481305555555181</v>
      </c>
      <c r="AH37" s="21"/>
      <c r="AI37" s="110">
        <v>0.33333333333333298</v>
      </c>
      <c r="AJ37" s="211">
        <f>'HVAC Appliances Austin'!AJ37</f>
        <v>0</v>
      </c>
      <c r="AK37" s="110">
        <v>0.33333333333333298</v>
      </c>
      <c r="AL37" s="211">
        <f>'HVAC Appliances Austin'!AL37</f>
        <v>0</v>
      </c>
      <c r="AM37" s="110">
        <v>0.33333333333333298</v>
      </c>
      <c r="AN37" s="211">
        <f>'HVAC Appliances Austin'!AN37</f>
        <v>0</v>
      </c>
      <c r="AO37" s="21"/>
      <c r="AP37" s="110">
        <v>0.33333333333333298</v>
      </c>
      <c r="AQ37" s="211">
        <f>'HVAC Appliances Austin'!AQ37</f>
        <v>477.78580555555584</v>
      </c>
      <c r="AR37" s="110">
        <v>0.33333333333333298</v>
      </c>
      <c r="AS37" s="211">
        <f>'HVAC Appliances Austin'!AS37</f>
        <v>741.15638888888964</v>
      </c>
      <c r="AT37" s="110">
        <v>0.33333333333333298</v>
      </c>
      <c r="AU37" s="211">
        <f>'HVAC Appliances Austin'!AU37</f>
        <v>927.81688888888914</v>
      </c>
      <c r="AV37" s="21"/>
      <c r="AW37" s="110">
        <v>0.33333333333333298</v>
      </c>
      <c r="AX37" s="211"/>
      <c r="AY37" s="21"/>
      <c r="AZ37" s="110">
        <v>0.33333333333333298</v>
      </c>
      <c r="BA37" s="264"/>
      <c r="BC37" s="260">
        <v>0.33333333333333298</v>
      </c>
      <c r="BD37" s="211">
        <f>'HVAC Appliances Austin'!BD37</f>
        <v>9.1733333333333249</v>
      </c>
      <c r="BE37" s="110">
        <v>0.33333333333333298</v>
      </c>
      <c r="BF37" s="211">
        <f>'HVAC Appliances Austin'!BF37</f>
        <v>6.9533333333333252</v>
      </c>
      <c r="BG37" s="110">
        <v>0.33333333333333298</v>
      </c>
      <c r="BH37" s="211">
        <f>'HVAC Appliances Austin'!BH37</f>
        <v>12.333333333333307</v>
      </c>
      <c r="BI37" s="21"/>
      <c r="BJ37" s="110">
        <v>0.33333333333333298</v>
      </c>
      <c r="BK37" s="211">
        <f>'HVAC Appliances Austin'!BK37</f>
        <v>0</v>
      </c>
      <c r="BL37" s="110">
        <v>0.33333333333333298</v>
      </c>
      <c r="BM37" s="211">
        <f>'HVAC Appliances Austin'!BM37</f>
        <v>0</v>
      </c>
      <c r="BN37" s="110">
        <v>0.33333333333333298</v>
      </c>
      <c r="BO37" s="211">
        <f>'HVAC Appliances Austin'!BO37</f>
        <v>0</v>
      </c>
      <c r="BP37" s="21"/>
      <c r="BQ37" s="110">
        <v>0.33333333333333298</v>
      </c>
      <c r="BR37" s="211">
        <f>'HVAC Appliances Austin'!BR37</f>
        <v>0</v>
      </c>
      <c r="BS37" s="110">
        <v>0.33333333333333298</v>
      </c>
      <c r="BT37" s="211">
        <f>'HVAC Appliances Austin'!BT37</f>
        <v>0</v>
      </c>
      <c r="BU37" s="110">
        <v>0.33333333333333298</v>
      </c>
      <c r="BV37" s="211">
        <f>'HVAC Appliances Austin'!BV37</f>
        <v>0</v>
      </c>
      <c r="BW37" s="21"/>
      <c r="BX37" s="110">
        <v>0.33333333333333298</v>
      </c>
      <c r="BY37" s="211">
        <f>'HVAC Appliances Austin'!BY37</f>
        <v>0</v>
      </c>
      <c r="BZ37" s="110">
        <v>0.33333333333333298</v>
      </c>
      <c r="CA37" s="211">
        <f>'HVAC Appliances Austin'!CA37</f>
        <v>0</v>
      </c>
      <c r="CB37" s="110">
        <v>0.33333333333333298</v>
      </c>
      <c r="CC37" s="211">
        <f>'HVAC Appliances Austin'!CC37</f>
        <v>0</v>
      </c>
      <c r="CD37" s="21"/>
      <c r="CE37" s="110">
        <v>0.33333333333333298</v>
      </c>
      <c r="CF37" s="211">
        <f>'HVAC Appliances Austin'!CF37</f>
        <v>128.59083333333331</v>
      </c>
      <c r="CG37" s="110">
        <v>0.33333333333333298</v>
      </c>
      <c r="CH37" s="211">
        <f>'HVAC Appliances Austin'!CH37</f>
        <v>252.24333333333337</v>
      </c>
      <c r="CI37" s="110">
        <v>0.33333333333333298</v>
      </c>
      <c r="CJ37" s="211">
        <f>'HVAC Appliances Austin'!CJ37</f>
        <v>335.08333333333337</v>
      </c>
      <c r="CK37" s="21"/>
      <c r="CL37" s="110">
        <v>0.33333333333333298</v>
      </c>
      <c r="CM37" s="211">
        <f>'HVAC Appliances Austin'!CM37</f>
        <v>0</v>
      </c>
      <c r="CN37" s="110">
        <v>0.33333333333333298</v>
      </c>
      <c r="CO37" s="211">
        <f>'HVAC Appliances Austin'!CO37</f>
        <v>0</v>
      </c>
      <c r="CP37" s="110">
        <v>0.33333333333333298</v>
      </c>
      <c r="CQ37" s="211">
        <f>'HVAC Appliances Austin'!CQ37</f>
        <v>0</v>
      </c>
      <c r="CR37" s="21"/>
      <c r="CS37" s="110">
        <v>0.33333333333333298</v>
      </c>
      <c r="CT37" s="211"/>
      <c r="CU37" s="21"/>
      <c r="CV37" s="110">
        <v>0.33333333333333298</v>
      </c>
      <c r="CW37" s="264"/>
      <c r="CY37" s="260">
        <v>0.33333333333333298</v>
      </c>
      <c r="CZ37" s="211">
        <f>'HVAC Appliances Austin'!CZ37</f>
        <v>104.59244444444438</v>
      </c>
      <c r="DA37" s="110">
        <v>0.33333333333333298</v>
      </c>
      <c r="DB37" s="211">
        <f>'HVAC Appliances Austin'!DB37</f>
        <v>131.20755555555542</v>
      </c>
      <c r="DC37" s="110">
        <v>0.33333333333333298</v>
      </c>
      <c r="DD37" s="211">
        <f>'HVAC Appliances Austin'!DD37</f>
        <v>189.03466666666668</v>
      </c>
      <c r="DE37" s="21"/>
      <c r="DF37" s="110">
        <v>0.33333333333333298</v>
      </c>
      <c r="DG37" s="211">
        <f>'HVAC Appliances Austin'!DG37</f>
        <v>280.30000000000007</v>
      </c>
      <c r="DH37" s="110">
        <v>0.33333333333333298</v>
      </c>
      <c r="DI37" s="211">
        <f>'HVAC Appliances Austin'!DI37</f>
        <v>394.71111111111099</v>
      </c>
      <c r="DJ37" s="110">
        <v>0.33333333333333298</v>
      </c>
      <c r="DK37" s="211">
        <f>'HVAC Appliances Austin'!DK37</f>
        <v>475.833333333334</v>
      </c>
      <c r="DL37" s="21"/>
      <c r="DM37" s="110">
        <v>0.33333333333333298</v>
      </c>
      <c r="DN37" s="211">
        <f>'HVAC Appliances Austin'!DN37</f>
        <v>435.55833333333356</v>
      </c>
      <c r="DO37" s="110">
        <v>0.33333333333333298</v>
      </c>
      <c r="DP37" s="211">
        <f>'HVAC Appliances Austin'!DP37</f>
        <v>653.49652777777806</v>
      </c>
      <c r="DQ37" s="110">
        <v>0.33333333333333298</v>
      </c>
      <c r="DR37" s="211">
        <f>'HVAC Appliances Austin'!DR37</f>
        <v>811.21458333333374</v>
      </c>
      <c r="DS37" s="21"/>
      <c r="DT37" s="110">
        <v>0.33333333333333298</v>
      </c>
      <c r="DU37" s="211">
        <f>'HVAC Appliances Austin'!DU37</f>
        <v>0</v>
      </c>
      <c r="DV37" s="110">
        <v>0.33333333333333298</v>
      </c>
      <c r="DW37" s="211">
        <f>'HVAC Appliances Austin'!DW37</f>
        <v>0</v>
      </c>
      <c r="DX37" s="110">
        <v>0.33333333333333298</v>
      </c>
      <c r="DY37" s="211">
        <f>'HVAC Appliances Austin'!DY37</f>
        <v>0</v>
      </c>
      <c r="DZ37" s="21"/>
      <c r="EA37" s="110">
        <v>0.33333333333333298</v>
      </c>
      <c r="EB37" s="211">
        <f>'HVAC Appliances Amarillo'!EB37</f>
        <v>6900</v>
      </c>
      <c r="EC37" s="110">
        <v>0.33333333333333298</v>
      </c>
      <c r="ED37" s="211">
        <f>'HVAC Appliances Amarillo'!ED37</f>
        <v>12300</v>
      </c>
      <c r="EE37" s="110">
        <v>0.33333333333333298</v>
      </c>
      <c r="EF37" s="211">
        <f>'HVAC Appliances Amarillo'!EF37</f>
        <v>16000</v>
      </c>
      <c r="EG37" s="21"/>
      <c r="EH37" s="110">
        <v>0.33333333333333298</v>
      </c>
      <c r="EI37" s="211">
        <f>'HVAC Appliances Austin'!EI37</f>
        <v>523.3889999999999</v>
      </c>
      <c r="EJ37" s="110">
        <v>0.33333333333333298</v>
      </c>
      <c r="EK37" s="211">
        <f>'HVAC Appliances Austin'!EK37</f>
        <v>801.35452777777778</v>
      </c>
      <c r="EL37" s="110">
        <v>0.33333333333333298</v>
      </c>
      <c r="EM37" s="211">
        <f>'HVAC Appliances Austin'!EM37</f>
        <v>1003.456583333334</v>
      </c>
      <c r="EN37" s="21"/>
      <c r="EO37" s="110">
        <v>0.33333333333333298</v>
      </c>
      <c r="EP37" s="211"/>
      <c r="EQ37" s="21"/>
      <c r="ER37" s="110">
        <v>0.33333333333333298</v>
      </c>
      <c r="ES37" s="264"/>
      <c r="EU37" s="260">
        <v>0.33333333333333298</v>
      </c>
      <c r="EV37" s="209">
        <f>'HVAC Appliances Amarillo'!EV37</f>
        <v>5400</v>
      </c>
      <c r="EW37" s="110">
        <v>0.33333333333333298</v>
      </c>
      <c r="EX37" s="209">
        <f>'HVAC Appliances Amarillo'!EX37</f>
        <v>5400</v>
      </c>
      <c r="EY37" s="110">
        <v>0.33333333333333298</v>
      </c>
      <c r="EZ37" s="308">
        <f>'HVAC Appliances Amarillo'!EZ37</f>
        <v>5400</v>
      </c>
    </row>
    <row r="38" spans="1:156" x14ac:dyDescent="0.3">
      <c r="A38" s="108">
        <v>0.33333333333333298</v>
      </c>
      <c r="B38" s="226">
        <f t="shared" si="0"/>
        <v>0</v>
      </c>
      <c r="C38" s="21">
        <f t="shared" si="1"/>
        <v>335.08333333333337</v>
      </c>
      <c r="D38" s="20">
        <f t="shared" si="2"/>
        <v>16000</v>
      </c>
      <c r="E38" s="20">
        <f t="shared" si="3"/>
        <v>5400</v>
      </c>
      <c r="G38" s="260">
        <v>0.34375</v>
      </c>
      <c r="H38" s="211">
        <f>'HVAC Appliances Austin'!H38</f>
        <v>0</v>
      </c>
      <c r="I38" s="110">
        <v>0.34375</v>
      </c>
      <c r="J38" s="211">
        <f>'HVAC Appliances Austin'!J38</f>
        <v>0</v>
      </c>
      <c r="K38" s="110">
        <v>0.34375</v>
      </c>
      <c r="L38" s="211">
        <f>'HVAC Appliances Austin'!L38</f>
        <v>0</v>
      </c>
      <c r="M38" s="21"/>
      <c r="N38" s="110">
        <v>0.34375</v>
      </c>
      <c r="O38" s="211">
        <f>'HVAC Appliances Austin'!O38</f>
        <v>246.02222222222224</v>
      </c>
      <c r="P38" s="110">
        <v>0.34375</v>
      </c>
      <c r="Q38" s="211">
        <f>'HVAC Appliances Austin'!Q38</f>
        <v>352.75555555555547</v>
      </c>
      <c r="R38" s="110">
        <v>0.34375</v>
      </c>
      <c r="S38" s="211">
        <f>'HVAC Appliances Austin'!S38</f>
        <v>424.95555555555552</v>
      </c>
      <c r="T38" s="21"/>
      <c r="U38" s="110">
        <v>0.34375</v>
      </c>
      <c r="V38" s="211">
        <f>'HVAC Appliances Austin'!V38</f>
        <v>392.04513888888891</v>
      </c>
      <c r="W38" s="110">
        <v>0.34375</v>
      </c>
      <c r="X38" s="211">
        <f>'HVAC Appliances Austin'!X38</f>
        <v>597.00972222222242</v>
      </c>
      <c r="Y38" s="110">
        <v>0.34375</v>
      </c>
      <c r="Z38" s="211">
        <f>'HVAC Appliances Austin'!Z38</f>
        <v>740.12222222222283</v>
      </c>
      <c r="AA38" s="21"/>
      <c r="AB38" s="110">
        <v>0.34375</v>
      </c>
      <c r="AC38" s="211">
        <f>'HVAC Appliances Austin'!AC38</f>
        <v>55.171034722222181</v>
      </c>
      <c r="AD38" s="110">
        <v>0.34375</v>
      </c>
      <c r="AE38" s="211">
        <f>'HVAC Appliances Austin'!AE38</f>
        <v>41.361180555555599</v>
      </c>
      <c r="AF38" s="110">
        <v>0.34375</v>
      </c>
      <c r="AG38" s="211">
        <f>'HVAC Appliances Austin'!AG38</f>
        <v>41.481305555555181</v>
      </c>
      <c r="AH38" s="21"/>
      <c r="AI38" s="110">
        <v>0.34375</v>
      </c>
      <c r="AJ38" s="211">
        <f>'HVAC Appliances Austin'!AJ38</f>
        <v>0</v>
      </c>
      <c r="AK38" s="110">
        <v>0.34375</v>
      </c>
      <c r="AL38" s="211">
        <f>'HVAC Appliances Austin'!AL38</f>
        <v>0</v>
      </c>
      <c r="AM38" s="110">
        <v>0.34375</v>
      </c>
      <c r="AN38" s="211">
        <f>'HVAC Appliances Austin'!AN38</f>
        <v>0</v>
      </c>
      <c r="AO38" s="21"/>
      <c r="AP38" s="110">
        <v>0.34375</v>
      </c>
      <c r="AQ38" s="211">
        <f>'HVAC Appliances Austin'!AQ38</f>
        <v>477.78580555555584</v>
      </c>
      <c r="AR38" s="110">
        <v>0.34375</v>
      </c>
      <c r="AS38" s="211">
        <f>'HVAC Appliances Austin'!AS38</f>
        <v>741.15638888888964</v>
      </c>
      <c r="AT38" s="110">
        <v>0.34375</v>
      </c>
      <c r="AU38" s="211">
        <f>'HVAC Appliances Austin'!AU38</f>
        <v>927.81688888888914</v>
      </c>
      <c r="AV38" s="21"/>
      <c r="AW38" s="110">
        <v>0.34375</v>
      </c>
      <c r="AX38" s="211"/>
      <c r="AY38" s="21"/>
      <c r="AZ38" s="110">
        <v>0.34375</v>
      </c>
      <c r="BA38" s="264"/>
      <c r="BC38" s="260">
        <v>0.34375</v>
      </c>
      <c r="BD38" s="211">
        <f>'HVAC Appliances Austin'!BD38</f>
        <v>9.1733333333333249</v>
      </c>
      <c r="BE38" s="110">
        <v>0.34375</v>
      </c>
      <c r="BF38" s="211">
        <f>'HVAC Appliances Austin'!BF38</f>
        <v>6.9533333333333252</v>
      </c>
      <c r="BG38" s="110">
        <v>0.34375</v>
      </c>
      <c r="BH38" s="211">
        <f>'HVAC Appliances Austin'!BH38</f>
        <v>12.333333333333307</v>
      </c>
      <c r="BI38" s="21"/>
      <c r="BJ38" s="110">
        <v>0.34375</v>
      </c>
      <c r="BK38" s="211">
        <f>'HVAC Appliances Austin'!BK38</f>
        <v>0</v>
      </c>
      <c r="BL38" s="110">
        <v>0.34375</v>
      </c>
      <c r="BM38" s="211">
        <f>'HVAC Appliances Austin'!BM38</f>
        <v>0</v>
      </c>
      <c r="BN38" s="110">
        <v>0.34375</v>
      </c>
      <c r="BO38" s="211">
        <f>'HVAC Appliances Austin'!BO38</f>
        <v>0</v>
      </c>
      <c r="BP38" s="21"/>
      <c r="BQ38" s="110">
        <v>0.34375</v>
      </c>
      <c r="BR38" s="211">
        <f>'HVAC Appliances Austin'!BR38</f>
        <v>0</v>
      </c>
      <c r="BS38" s="110">
        <v>0.34375</v>
      </c>
      <c r="BT38" s="211">
        <f>'HVAC Appliances Austin'!BT38</f>
        <v>0</v>
      </c>
      <c r="BU38" s="110">
        <v>0.34375</v>
      </c>
      <c r="BV38" s="211">
        <f>'HVAC Appliances Austin'!BV38</f>
        <v>0</v>
      </c>
      <c r="BW38" s="21"/>
      <c r="BX38" s="110">
        <v>0.34375</v>
      </c>
      <c r="BY38" s="211">
        <f>'HVAC Appliances Austin'!BY38</f>
        <v>0</v>
      </c>
      <c r="BZ38" s="110">
        <v>0.34375</v>
      </c>
      <c r="CA38" s="211">
        <f>'HVAC Appliances Austin'!CA38</f>
        <v>0</v>
      </c>
      <c r="CB38" s="110">
        <v>0.34375</v>
      </c>
      <c r="CC38" s="211">
        <f>'HVAC Appliances Austin'!CC38</f>
        <v>0</v>
      </c>
      <c r="CD38" s="21"/>
      <c r="CE38" s="110">
        <v>0.34375</v>
      </c>
      <c r="CF38" s="211">
        <f>'HVAC Appliances Austin'!CF38</f>
        <v>128.59083333333331</v>
      </c>
      <c r="CG38" s="110">
        <v>0.34375</v>
      </c>
      <c r="CH38" s="211">
        <f>'HVAC Appliances Austin'!CH38</f>
        <v>252.24333333333337</v>
      </c>
      <c r="CI38" s="110">
        <v>0.34375</v>
      </c>
      <c r="CJ38" s="211">
        <f>'HVAC Appliances Austin'!CJ38</f>
        <v>335.08333333333337</v>
      </c>
      <c r="CK38" s="21"/>
      <c r="CL38" s="110">
        <v>0.34375</v>
      </c>
      <c r="CM38" s="211">
        <f>'HVAC Appliances Austin'!CM38</f>
        <v>0</v>
      </c>
      <c r="CN38" s="110">
        <v>0.34375</v>
      </c>
      <c r="CO38" s="211">
        <f>'HVAC Appliances Austin'!CO38</f>
        <v>0</v>
      </c>
      <c r="CP38" s="110">
        <v>0.34375</v>
      </c>
      <c r="CQ38" s="211">
        <f>'HVAC Appliances Austin'!CQ38</f>
        <v>0</v>
      </c>
      <c r="CR38" s="21"/>
      <c r="CS38" s="110">
        <v>0.34375</v>
      </c>
      <c r="CT38" s="211"/>
      <c r="CU38" s="21"/>
      <c r="CV38" s="110">
        <v>0.34375</v>
      </c>
      <c r="CW38" s="264"/>
      <c r="CY38" s="260">
        <v>0.34375</v>
      </c>
      <c r="CZ38" s="211">
        <f>'HVAC Appliances Austin'!CZ38</f>
        <v>104.59244444444438</v>
      </c>
      <c r="DA38" s="110">
        <v>0.34375</v>
      </c>
      <c r="DB38" s="211">
        <f>'HVAC Appliances Austin'!DB38</f>
        <v>131.20755555555542</v>
      </c>
      <c r="DC38" s="110">
        <v>0.34375</v>
      </c>
      <c r="DD38" s="211">
        <f>'HVAC Appliances Austin'!DD38</f>
        <v>189.03466666666668</v>
      </c>
      <c r="DE38" s="21"/>
      <c r="DF38" s="110">
        <v>0.34375</v>
      </c>
      <c r="DG38" s="211">
        <f>'HVAC Appliances Austin'!DG38</f>
        <v>280.30000000000007</v>
      </c>
      <c r="DH38" s="110">
        <v>0.34375</v>
      </c>
      <c r="DI38" s="211">
        <f>'HVAC Appliances Austin'!DI38</f>
        <v>394.71111111111099</v>
      </c>
      <c r="DJ38" s="110">
        <v>0.34375</v>
      </c>
      <c r="DK38" s="211">
        <f>'HVAC Appliances Austin'!DK38</f>
        <v>475.833333333334</v>
      </c>
      <c r="DL38" s="21"/>
      <c r="DM38" s="110">
        <v>0.34375</v>
      </c>
      <c r="DN38" s="211">
        <f>'HVAC Appliances Austin'!DN38</f>
        <v>435.55833333333356</v>
      </c>
      <c r="DO38" s="110">
        <v>0.34375</v>
      </c>
      <c r="DP38" s="211">
        <f>'HVAC Appliances Austin'!DP38</f>
        <v>653.49652777777806</v>
      </c>
      <c r="DQ38" s="110">
        <v>0.34375</v>
      </c>
      <c r="DR38" s="211">
        <f>'HVAC Appliances Austin'!DR38</f>
        <v>811.21458333333374</v>
      </c>
      <c r="DS38" s="21"/>
      <c r="DT38" s="110">
        <v>0.34375</v>
      </c>
      <c r="DU38" s="211">
        <f>'HVAC Appliances Austin'!DU38</f>
        <v>0</v>
      </c>
      <c r="DV38" s="110">
        <v>0.34375</v>
      </c>
      <c r="DW38" s="211">
        <f>'HVAC Appliances Austin'!DW38</f>
        <v>0</v>
      </c>
      <c r="DX38" s="110">
        <v>0.34375</v>
      </c>
      <c r="DY38" s="211">
        <f>'HVAC Appliances Austin'!DY38</f>
        <v>0</v>
      </c>
      <c r="DZ38" s="21"/>
      <c r="EA38" s="110">
        <v>0.34375</v>
      </c>
      <c r="EB38" s="211">
        <f>'HVAC Appliances Amarillo'!EB38</f>
        <v>6900</v>
      </c>
      <c r="EC38" s="110">
        <v>0.34375</v>
      </c>
      <c r="ED38" s="211">
        <f>'HVAC Appliances Amarillo'!ED38</f>
        <v>12300</v>
      </c>
      <c r="EE38" s="110">
        <v>0.34375</v>
      </c>
      <c r="EF38" s="211">
        <f>'HVAC Appliances Amarillo'!EF38</f>
        <v>16000</v>
      </c>
      <c r="EG38" s="21"/>
      <c r="EH38" s="110">
        <v>0.34375</v>
      </c>
      <c r="EI38" s="211">
        <f>'HVAC Appliances Austin'!EI38</f>
        <v>523.3889999999999</v>
      </c>
      <c r="EJ38" s="110">
        <v>0.34375</v>
      </c>
      <c r="EK38" s="211">
        <f>'HVAC Appliances Austin'!EK38</f>
        <v>801.35452777777778</v>
      </c>
      <c r="EL38" s="110">
        <v>0.34375</v>
      </c>
      <c r="EM38" s="211">
        <f>'HVAC Appliances Austin'!EM38</f>
        <v>1003.456583333334</v>
      </c>
      <c r="EN38" s="21"/>
      <c r="EO38" s="110">
        <v>0.34375</v>
      </c>
      <c r="EP38" s="211"/>
      <c r="EQ38" s="21"/>
      <c r="ER38" s="110">
        <v>0.34375</v>
      </c>
      <c r="ES38" s="264"/>
      <c r="EU38" s="260">
        <v>0.34375</v>
      </c>
      <c r="EV38" s="209">
        <f>'HVAC Appliances Amarillo'!EV38</f>
        <v>5400</v>
      </c>
      <c r="EW38" s="110">
        <v>0.34375</v>
      </c>
      <c r="EX38" s="209">
        <f>'HVAC Appliances Amarillo'!EX38</f>
        <v>5400</v>
      </c>
      <c r="EY38" s="110">
        <v>0.34375</v>
      </c>
      <c r="EZ38" s="308">
        <f>'HVAC Appliances Amarillo'!EZ38</f>
        <v>5400</v>
      </c>
    </row>
    <row r="39" spans="1:156" x14ac:dyDescent="0.3">
      <c r="A39" s="108">
        <v>0.34375</v>
      </c>
      <c r="B39" s="226">
        <f t="shared" si="0"/>
        <v>0</v>
      </c>
      <c r="C39" s="21">
        <f t="shared" si="1"/>
        <v>335.08333333333337</v>
      </c>
      <c r="D39" s="20">
        <f t="shared" si="2"/>
        <v>16000</v>
      </c>
      <c r="E39" s="20">
        <f t="shared" si="3"/>
        <v>5400</v>
      </c>
      <c r="G39" s="260">
        <v>0.35416666666666702</v>
      </c>
      <c r="H39" s="211">
        <f>'HVAC Appliances Austin'!H39</f>
        <v>0</v>
      </c>
      <c r="I39" s="110">
        <v>0.35416666666666702</v>
      </c>
      <c r="J39" s="211">
        <f>'HVAC Appliances Austin'!J39</f>
        <v>0</v>
      </c>
      <c r="K39" s="110">
        <v>0.35416666666666702</v>
      </c>
      <c r="L39" s="211">
        <f>'HVAC Appliances Austin'!L39</f>
        <v>0</v>
      </c>
      <c r="M39" s="21"/>
      <c r="N39" s="110">
        <v>0.35416666666666702</v>
      </c>
      <c r="O39" s="211">
        <f>'HVAC Appliances Austin'!O39</f>
        <v>246.02222222222224</v>
      </c>
      <c r="P39" s="110">
        <v>0.35416666666666702</v>
      </c>
      <c r="Q39" s="211">
        <f>'HVAC Appliances Austin'!Q39</f>
        <v>352.75555555555547</v>
      </c>
      <c r="R39" s="110">
        <v>0.35416666666666702</v>
      </c>
      <c r="S39" s="211">
        <f>'HVAC Appliances Austin'!S39</f>
        <v>424.95555555555552</v>
      </c>
      <c r="T39" s="21"/>
      <c r="U39" s="110">
        <v>0.35416666666666702</v>
      </c>
      <c r="V39" s="211">
        <f>'HVAC Appliances Austin'!V39</f>
        <v>392.04513888888891</v>
      </c>
      <c r="W39" s="110">
        <v>0.35416666666666702</v>
      </c>
      <c r="X39" s="211">
        <f>'HVAC Appliances Austin'!X39</f>
        <v>597.00972222222242</v>
      </c>
      <c r="Y39" s="110">
        <v>0.35416666666666702</v>
      </c>
      <c r="Z39" s="211">
        <f>'HVAC Appliances Austin'!Z39</f>
        <v>740.12222222222283</v>
      </c>
      <c r="AA39" s="21"/>
      <c r="AB39" s="110">
        <v>0.35416666666666702</v>
      </c>
      <c r="AC39" s="211">
        <f>'HVAC Appliances Austin'!AC39</f>
        <v>55.171034722222181</v>
      </c>
      <c r="AD39" s="110">
        <v>0.35416666666666702</v>
      </c>
      <c r="AE39" s="211">
        <f>'HVAC Appliances Austin'!AE39</f>
        <v>41.361180555555599</v>
      </c>
      <c r="AF39" s="110">
        <v>0.35416666666666702</v>
      </c>
      <c r="AG39" s="211">
        <f>'HVAC Appliances Austin'!AG39</f>
        <v>41.481305555555181</v>
      </c>
      <c r="AH39" s="21"/>
      <c r="AI39" s="110">
        <v>0.35416666666666702</v>
      </c>
      <c r="AJ39" s="211">
        <f>'HVAC Appliances Austin'!AJ39</f>
        <v>0</v>
      </c>
      <c r="AK39" s="110">
        <v>0.35416666666666702</v>
      </c>
      <c r="AL39" s="211">
        <f>'HVAC Appliances Austin'!AL39</f>
        <v>0</v>
      </c>
      <c r="AM39" s="110">
        <v>0.35416666666666702</v>
      </c>
      <c r="AN39" s="211">
        <f>'HVAC Appliances Austin'!AN39</f>
        <v>0</v>
      </c>
      <c r="AO39" s="21"/>
      <c r="AP39" s="110">
        <v>0.35416666666666702</v>
      </c>
      <c r="AQ39" s="211">
        <f>'HVAC Appliances Austin'!AQ39</f>
        <v>477.78580555555584</v>
      </c>
      <c r="AR39" s="110">
        <v>0.35416666666666702</v>
      </c>
      <c r="AS39" s="211">
        <f>'HVAC Appliances Austin'!AS39</f>
        <v>741.15638888888964</v>
      </c>
      <c r="AT39" s="110">
        <v>0.35416666666666702</v>
      </c>
      <c r="AU39" s="211">
        <f>'HVAC Appliances Austin'!AU39</f>
        <v>927.81688888888914</v>
      </c>
      <c r="AV39" s="21"/>
      <c r="AW39" s="110">
        <v>0.35416666666666702</v>
      </c>
      <c r="AX39" s="211"/>
      <c r="AY39" s="21"/>
      <c r="AZ39" s="110">
        <v>0.35416666666666702</v>
      </c>
      <c r="BA39" s="264"/>
      <c r="BC39" s="260">
        <v>0.35416666666666702</v>
      </c>
      <c r="BD39" s="211">
        <f>'HVAC Appliances Austin'!BD39</f>
        <v>9.1733333333333249</v>
      </c>
      <c r="BE39" s="110">
        <v>0.35416666666666702</v>
      </c>
      <c r="BF39" s="211">
        <f>'HVAC Appliances Austin'!BF39</f>
        <v>6.9533333333333252</v>
      </c>
      <c r="BG39" s="110">
        <v>0.35416666666666702</v>
      </c>
      <c r="BH39" s="211">
        <f>'HVAC Appliances Austin'!BH39</f>
        <v>12.333333333333307</v>
      </c>
      <c r="BI39" s="21"/>
      <c r="BJ39" s="110">
        <v>0.35416666666666702</v>
      </c>
      <c r="BK39" s="211">
        <f>'HVAC Appliances Austin'!BK39</f>
        <v>0</v>
      </c>
      <c r="BL39" s="110">
        <v>0.35416666666666702</v>
      </c>
      <c r="BM39" s="211">
        <f>'HVAC Appliances Austin'!BM39</f>
        <v>0</v>
      </c>
      <c r="BN39" s="110">
        <v>0.35416666666666702</v>
      </c>
      <c r="BO39" s="211">
        <f>'HVAC Appliances Austin'!BO39</f>
        <v>0</v>
      </c>
      <c r="BP39" s="21"/>
      <c r="BQ39" s="110">
        <v>0.35416666666666702</v>
      </c>
      <c r="BR39" s="211">
        <f>'HVAC Appliances Austin'!BR39</f>
        <v>0</v>
      </c>
      <c r="BS39" s="110">
        <v>0.35416666666666702</v>
      </c>
      <c r="BT39" s="211">
        <f>'HVAC Appliances Austin'!BT39</f>
        <v>0</v>
      </c>
      <c r="BU39" s="110">
        <v>0.35416666666666702</v>
      </c>
      <c r="BV39" s="211">
        <f>'HVAC Appliances Austin'!BV39</f>
        <v>0</v>
      </c>
      <c r="BW39" s="21"/>
      <c r="BX39" s="110">
        <v>0.35416666666666702</v>
      </c>
      <c r="BY39" s="211">
        <f>'HVAC Appliances Austin'!BY39</f>
        <v>0</v>
      </c>
      <c r="BZ39" s="110">
        <v>0.35416666666666702</v>
      </c>
      <c r="CA39" s="211">
        <f>'HVAC Appliances Austin'!CA39</f>
        <v>0</v>
      </c>
      <c r="CB39" s="110">
        <v>0.35416666666666702</v>
      </c>
      <c r="CC39" s="211">
        <f>'HVAC Appliances Austin'!CC39</f>
        <v>0</v>
      </c>
      <c r="CD39" s="21"/>
      <c r="CE39" s="110">
        <v>0.35416666666666702</v>
      </c>
      <c r="CF39" s="211">
        <f>'HVAC Appliances Austin'!CF39</f>
        <v>128.59083333333331</v>
      </c>
      <c r="CG39" s="110">
        <v>0.35416666666666702</v>
      </c>
      <c r="CH39" s="211">
        <f>'HVAC Appliances Austin'!CH39</f>
        <v>252.24333333333337</v>
      </c>
      <c r="CI39" s="110">
        <v>0.35416666666666702</v>
      </c>
      <c r="CJ39" s="211">
        <f>'HVAC Appliances Austin'!CJ39</f>
        <v>335.08333333333337</v>
      </c>
      <c r="CK39" s="21"/>
      <c r="CL39" s="110">
        <v>0.35416666666666702</v>
      </c>
      <c r="CM39" s="211">
        <f>'HVAC Appliances Austin'!CM39</f>
        <v>0</v>
      </c>
      <c r="CN39" s="110">
        <v>0.35416666666666702</v>
      </c>
      <c r="CO39" s="211">
        <f>'HVAC Appliances Austin'!CO39</f>
        <v>0</v>
      </c>
      <c r="CP39" s="110">
        <v>0.35416666666666702</v>
      </c>
      <c r="CQ39" s="211">
        <f>'HVAC Appliances Austin'!CQ39</f>
        <v>0</v>
      </c>
      <c r="CR39" s="21"/>
      <c r="CS39" s="110">
        <v>0.35416666666666702</v>
      </c>
      <c r="CT39" s="211"/>
      <c r="CU39" s="21"/>
      <c r="CV39" s="110">
        <v>0.35416666666666702</v>
      </c>
      <c r="CW39" s="264"/>
      <c r="CY39" s="260">
        <v>0.35416666666666702</v>
      </c>
      <c r="CZ39" s="211">
        <f>'HVAC Appliances Austin'!CZ39</f>
        <v>104.59244444444438</v>
      </c>
      <c r="DA39" s="110">
        <v>0.35416666666666702</v>
      </c>
      <c r="DB39" s="211">
        <f>'HVAC Appliances Austin'!DB39</f>
        <v>131.20755555555542</v>
      </c>
      <c r="DC39" s="110">
        <v>0.35416666666666702</v>
      </c>
      <c r="DD39" s="211">
        <f>'HVAC Appliances Austin'!DD39</f>
        <v>189.03466666666668</v>
      </c>
      <c r="DE39" s="21"/>
      <c r="DF39" s="110">
        <v>0.35416666666666702</v>
      </c>
      <c r="DG39" s="211">
        <f>'HVAC Appliances Austin'!DG39</f>
        <v>280.30000000000007</v>
      </c>
      <c r="DH39" s="110">
        <v>0.35416666666666702</v>
      </c>
      <c r="DI39" s="211">
        <f>'HVAC Appliances Austin'!DI39</f>
        <v>394.71111111111099</v>
      </c>
      <c r="DJ39" s="110">
        <v>0.35416666666666702</v>
      </c>
      <c r="DK39" s="211">
        <f>'HVAC Appliances Austin'!DK39</f>
        <v>475.833333333334</v>
      </c>
      <c r="DL39" s="21"/>
      <c r="DM39" s="110">
        <v>0.35416666666666702</v>
      </c>
      <c r="DN39" s="211">
        <f>'HVAC Appliances Austin'!DN39</f>
        <v>435.55833333333356</v>
      </c>
      <c r="DO39" s="110">
        <v>0.35416666666666702</v>
      </c>
      <c r="DP39" s="211">
        <f>'HVAC Appliances Austin'!DP39</f>
        <v>653.49652777777806</v>
      </c>
      <c r="DQ39" s="110">
        <v>0.35416666666666702</v>
      </c>
      <c r="DR39" s="211">
        <f>'HVAC Appliances Austin'!DR39</f>
        <v>811.21458333333374</v>
      </c>
      <c r="DS39" s="21"/>
      <c r="DT39" s="110">
        <v>0.35416666666666702</v>
      </c>
      <c r="DU39" s="211">
        <f>'HVAC Appliances Austin'!DU39</f>
        <v>0</v>
      </c>
      <c r="DV39" s="110">
        <v>0.35416666666666702</v>
      </c>
      <c r="DW39" s="211">
        <f>'HVAC Appliances Austin'!DW39</f>
        <v>0</v>
      </c>
      <c r="DX39" s="110">
        <v>0.35416666666666702</v>
      </c>
      <c r="DY39" s="211">
        <f>'HVAC Appliances Austin'!DY39</f>
        <v>0</v>
      </c>
      <c r="DZ39" s="21"/>
      <c r="EA39" s="110">
        <v>0.35416666666666702</v>
      </c>
      <c r="EB39" s="211">
        <f>'HVAC Appliances Amarillo'!EB39</f>
        <v>0</v>
      </c>
      <c r="EC39" s="110">
        <v>0.35416666666666702</v>
      </c>
      <c r="ED39" s="211">
        <f>'HVAC Appliances Amarillo'!ED39</f>
        <v>0</v>
      </c>
      <c r="EE39" s="110">
        <v>0.35416666666666702</v>
      </c>
      <c r="EF39" s="211">
        <f>'HVAC Appliances Amarillo'!EF39</f>
        <v>0</v>
      </c>
      <c r="EG39" s="21"/>
      <c r="EH39" s="110">
        <v>0.35416666666666702</v>
      </c>
      <c r="EI39" s="211">
        <f>'HVAC Appliances Austin'!EI39</f>
        <v>523.3889999999999</v>
      </c>
      <c r="EJ39" s="110">
        <v>0.35416666666666702</v>
      </c>
      <c r="EK39" s="211">
        <f>'HVAC Appliances Austin'!EK39</f>
        <v>801.35452777777778</v>
      </c>
      <c r="EL39" s="110">
        <v>0.35416666666666702</v>
      </c>
      <c r="EM39" s="211">
        <f>'HVAC Appliances Austin'!EM39</f>
        <v>1003.456583333334</v>
      </c>
      <c r="EN39" s="21"/>
      <c r="EO39" s="110">
        <v>0.35416666666666702</v>
      </c>
      <c r="EP39" s="211"/>
      <c r="EQ39" s="21"/>
      <c r="ER39" s="110">
        <v>0.35416666666666702</v>
      </c>
      <c r="ES39" s="264"/>
      <c r="EU39" s="260">
        <v>0.35416666666666702</v>
      </c>
      <c r="EV39" s="209">
        <f>'HVAC Appliances Amarillo'!EV39</f>
        <v>0</v>
      </c>
      <c r="EW39" s="110">
        <v>0.35416666666666702</v>
      </c>
      <c r="EX39" s="209">
        <f>'HVAC Appliances Amarillo'!EX39</f>
        <v>0</v>
      </c>
      <c r="EY39" s="110">
        <v>0.35416666666666702</v>
      </c>
      <c r="EZ39" s="308">
        <f>'HVAC Appliances Amarillo'!EZ39</f>
        <v>0</v>
      </c>
    </row>
    <row r="40" spans="1:156" x14ac:dyDescent="0.3">
      <c r="A40" s="108">
        <v>0.35416666666666702</v>
      </c>
      <c r="B40" s="226">
        <f t="shared" si="0"/>
        <v>0</v>
      </c>
      <c r="C40" s="21">
        <f t="shared" si="1"/>
        <v>335.08333333333337</v>
      </c>
      <c r="D40" s="20">
        <f t="shared" si="2"/>
        <v>0</v>
      </c>
      <c r="E40" s="20">
        <f t="shared" si="3"/>
        <v>0</v>
      </c>
      <c r="G40" s="260">
        <v>0.36458333333333298</v>
      </c>
      <c r="H40" s="211">
        <f>'HVAC Appliances Austin'!H40</f>
        <v>0</v>
      </c>
      <c r="I40" s="110">
        <v>0.36458333333333298</v>
      </c>
      <c r="J40" s="211">
        <f>'HVAC Appliances Austin'!J40</f>
        <v>0</v>
      </c>
      <c r="K40" s="110">
        <v>0.36458333333333298</v>
      </c>
      <c r="L40" s="211">
        <f>'HVAC Appliances Austin'!L40</f>
        <v>0</v>
      </c>
      <c r="M40" s="21"/>
      <c r="N40" s="110">
        <v>0.36458333333333298</v>
      </c>
      <c r="O40" s="211">
        <f>'HVAC Appliances Austin'!O40</f>
        <v>246.02222222222224</v>
      </c>
      <c r="P40" s="110">
        <v>0.36458333333333298</v>
      </c>
      <c r="Q40" s="211">
        <f>'HVAC Appliances Austin'!Q40</f>
        <v>352.75555555555547</v>
      </c>
      <c r="R40" s="110">
        <v>0.36458333333333298</v>
      </c>
      <c r="S40" s="211">
        <f>'HVAC Appliances Austin'!S40</f>
        <v>424.95555555555552</v>
      </c>
      <c r="T40" s="21"/>
      <c r="U40" s="110">
        <v>0.36458333333333298</v>
      </c>
      <c r="V40" s="211">
        <f>'HVAC Appliances Austin'!V40</f>
        <v>392.04513888888891</v>
      </c>
      <c r="W40" s="110">
        <v>0.36458333333333298</v>
      </c>
      <c r="X40" s="211">
        <f>'HVAC Appliances Austin'!X40</f>
        <v>597.00972222222242</v>
      </c>
      <c r="Y40" s="110">
        <v>0.36458333333333298</v>
      </c>
      <c r="Z40" s="211">
        <f>'HVAC Appliances Austin'!Z40</f>
        <v>740.12222222222283</v>
      </c>
      <c r="AA40" s="21"/>
      <c r="AB40" s="110">
        <v>0.36458333333333298</v>
      </c>
      <c r="AC40" s="211">
        <f>'HVAC Appliances Austin'!AC40</f>
        <v>55.171034722222181</v>
      </c>
      <c r="AD40" s="110">
        <v>0.36458333333333298</v>
      </c>
      <c r="AE40" s="211">
        <f>'HVAC Appliances Austin'!AE40</f>
        <v>41.361180555555599</v>
      </c>
      <c r="AF40" s="110">
        <v>0.36458333333333298</v>
      </c>
      <c r="AG40" s="211">
        <f>'HVAC Appliances Austin'!AG40</f>
        <v>41.481305555555181</v>
      </c>
      <c r="AH40" s="21"/>
      <c r="AI40" s="110">
        <v>0.36458333333333298</v>
      </c>
      <c r="AJ40" s="211">
        <f>'HVAC Appliances Austin'!AJ40</f>
        <v>0</v>
      </c>
      <c r="AK40" s="110">
        <v>0.36458333333333298</v>
      </c>
      <c r="AL40" s="211">
        <f>'HVAC Appliances Austin'!AL40</f>
        <v>0</v>
      </c>
      <c r="AM40" s="110">
        <v>0.36458333333333298</v>
      </c>
      <c r="AN40" s="211">
        <f>'HVAC Appliances Austin'!AN40</f>
        <v>0</v>
      </c>
      <c r="AO40" s="21"/>
      <c r="AP40" s="110">
        <v>0.36458333333333298</v>
      </c>
      <c r="AQ40" s="211">
        <f>'HVAC Appliances Austin'!AQ40</f>
        <v>477.78580555555584</v>
      </c>
      <c r="AR40" s="110">
        <v>0.36458333333333298</v>
      </c>
      <c r="AS40" s="211">
        <f>'HVAC Appliances Austin'!AS40</f>
        <v>741.15638888888964</v>
      </c>
      <c r="AT40" s="110">
        <v>0.36458333333333298</v>
      </c>
      <c r="AU40" s="211">
        <f>'HVAC Appliances Austin'!AU40</f>
        <v>927.81688888888914</v>
      </c>
      <c r="AV40" s="21"/>
      <c r="AW40" s="110">
        <v>0.36458333333333298</v>
      </c>
      <c r="AX40" s="211"/>
      <c r="AY40" s="21"/>
      <c r="AZ40" s="110">
        <v>0.36458333333333298</v>
      </c>
      <c r="BA40" s="264"/>
      <c r="BC40" s="260">
        <v>0.36458333333333298</v>
      </c>
      <c r="BD40" s="211">
        <f>'HVAC Appliances Austin'!BD40</f>
        <v>9.1733333333333249</v>
      </c>
      <c r="BE40" s="110">
        <v>0.36458333333333298</v>
      </c>
      <c r="BF40" s="211">
        <f>'HVAC Appliances Austin'!BF40</f>
        <v>6.9533333333333252</v>
      </c>
      <c r="BG40" s="110">
        <v>0.36458333333333298</v>
      </c>
      <c r="BH40" s="211">
        <f>'HVAC Appliances Austin'!BH40</f>
        <v>12.333333333333307</v>
      </c>
      <c r="BI40" s="21"/>
      <c r="BJ40" s="110">
        <v>0.36458333333333298</v>
      </c>
      <c r="BK40" s="211">
        <f>'HVAC Appliances Austin'!BK40</f>
        <v>0</v>
      </c>
      <c r="BL40" s="110">
        <v>0.36458333333333298</v>
      </c>
      <c r="BM40" s="211">
        <f>'HVAC Appliances Austin'!BM40</f>
        <v>0</v>
      </c>
      <c r="BN40" s="110">
        <v>0.36458333333333298</v>
      </c>
      <c r="BO40" s="211">
        <f>'HVAC Appliances Austin'!BO40</f>
        <v>0</v>
      </c>
      <c r="BP40" s="21"/>
      <c r="BQ40" s="110">
        <v>0.36458333333333298</v>
      </c>
      <c r="BR40" s="211">
        <f>'HVAC Appliances Austin'!BR40</f>
        <v>0</v>
      </c>
      <c r="BS40" s="110">
        <v>0.36458333333333298</v>
      </c>
      <c r="BT40" s="211">
        <f>'HVAC Appliances Austin'!BT40</f>
        <v>0</v>
      </c>
      <c r="BU40" s="110">
        <v>0.36458333333333298</v>
      </c>
      <c r="BV40" s="211">
        <f>'HVAC Appliances Austin'!BV40</f>
        <v>0</v>
      </c>
      <c r="BW40" s="21"/>
      <c r="BX40" s="110">
        <v>0.36458333333333298</v>
      </c>
      <c r="BY40" s="211">
        <f>'HVAC Appliances Austin'!BY40</f>
        <v>0</v>
      </c>
      <c r="BZ40" s="110">
        <v>0.36458333333333298</v>
      </c>
      <c r="CA40" s="211">
        <f>'HVAC Appliances Austin'!CA40</f>
        <v>0</v>
      </c>
      <c r="CB40" s="110">
        <v>0.36458333333333298</v>
      </c>
      <c r="CC40" s="211">
        <f>'HVAC Appliances Austin'!CC40</f>
        <v>0</v>
      </c>
      <c r="CD40" s="21"/>
      <c r="CE40" s="110">
        <v>0.36458333333333298</v>
      </c>
      <c r="CF40" s="211">
        <f>'HVAC Appliances Austin'!CF40</f>
        <v>128.59083333333331</v>
      </c>
      <c r="CG40" s="110">
        <v>0.36458333333333298</v>
      </c>
      <c r="CH40" s="211">
        <f>'HVAC Appliances Austin'!CH40</f>
        <v>252.24333333333337</v>
      </c>
      <c r="CI40" s="110">
        <v>0.36458333333333298</v>
      </c>
      <c r="CJ40" s="211">
        <f>'HVAC Appliances Austin'!CJ40</f>
        <v>335.08333333333337</v>
      </c>
      <c r="CK40" s="21"/>
      <c r="CL40" s="110">
        <v>0.36458333333333298</v>
      </c>
      <c r="CM40" s="211">
        <f>'HVAC Appliances Austin'!CM40</f>
        <v>0</v>
      </c>
      <c r="CN40" s="110">
        <v>0.36458333333333298</v>
      </c>
      <c r="CO40" s="211">
        <f>'HVAC Appliances Austin'!CO40</f>
        <v>0</v>
      </c>
      <c r="CP40" s="110">
        <v>0.36458333333333298</v>
      </c>
      <c r="CQ40" s="211">
        <f>'HVAC Appliances Austin'!CQ40</f>
        <v>0</v>
      </c>
      <c r="CR40" s="21"/>
      <c r="CS40" s="110">
        <v>0.36458333333333298</v>
      </c>
      <c r="CT40" s="211"/>
      <c r="CU40" s="21"/>
      <c r="CV40" s="110">
        <v>0.36458333333333298</v>
      </c>
      <c r="CW40" s="264"/>
      <c r="CY40" s="260">
        <v>0.36458333333333298</v>
      </c>
      <c r="CZ40" s="211">
        <f>'HVAC Appliances Austin'!CZ40</f>
        <v>104.59244444444438</v>
      </c>
      <c r="DA40" s="110">
        <v>0.36458333333333298</v>
      </c>
      <c r="DB40" s="211">
        <f>'HVAC Appliances Austin'!DB40</f>
        <v>131.20755555555542</v>
      </c>
      <c r="DC40" s="110">
        <v>0.36458333333333298</v>
      </c>
      <c r="DD40" s="211">
        <f>'HVAC Appliances Austin'!DD40</f>
        <v>189.03466666666668</v>
      </c>
      <c r="DE40" s="21"/>
      <c r="DF40" s="110">
        <v>0.36458333333333298</v>
      </c>
      <c r="DG40" s="211">
        <f>'HVAC Appliances Austin'!DG40</f>
        <v>280.30000000000007</v>
      </c>
      <c r="DH40" s="110">
        <v>0.36458333333333298</v>
      </c>
      <c r="DI40" s="211">
        <f>'HVAC Appliances Austin'!DI40</f>
        <v>394.71111111111099</v>
      </c>
      <c r="DJ40" s="110">
        <v>0.36458333333333298</v>
      </c>
      <c r="DK40" s="211">
        <f>'HVAC Appliances Austin'!DK40</f>
        <v>475.833333333334</v>
      </c>
      <c r="DL40" s="21"/>
      <c r="DM40" s="110">
        <v>0.36458333333333298</v>
      </c>
      <c r="DN40" s="211">
        <f>'HVAC Appliances Austin'!DN40</f>
        <v>435.55833333333356</v>
      </c>
      <c r="DO40" s="110">
        <v>0.36458333333333298</v>
      </c>
      <c r="DP40" s="211">
        <f>'HVAC Appliances Austin'!DP40</f>
        <v>653.49652777777806</v>
      </c>
      <c r="DQ40" s="110">
        <v>0.36458333333333298</v>
      </c>
      <c r="DR40" s="211">
        <f>'HVAC Appliances Austin'!DR40</f>
        <v>811.21458333333374</v>
      </c>
      <c r="DS40" s="21"/>
      <c r="DT40" s="110">
        <v>0.36458333333333298</v>
      </c>
      <c r="DU40" s="211">
        <f>'HVAC Appliances Austin'!DU40</f>
        <v>0</v>
      </c>
      <c r="DV40" s="110">
        <v>0.36458333333333298</v>
      </c>
      <c r="DW40" s="211">
        <f>'HVAC Appliances Austin'!DW40</f>
        <v>0</v>
      </c>
      <c r="DX40" s="110">
        <v>0.36458333333333298</v>
      </c>
      <c r="DY40" s="211">
        <f>'HVAC Appliances Austin'!DY40</f>
        <v>0</v>
      </c>
      <c r="DZ40" s="21"/>
      <c r="EA40" s="110">
        <v>0.36458333333333298</v>
      </c>
      <c r="EB40" s="211">
        <f>'HVAC Appliances Amarillo'!EB40</f>
        <v>0</v>
      </c>
      <c r="EC40" s="110">
        <v>0.36458333333333298</v>
      </c>
      <c r="ED40" s="211">
        <f>'HVAC Appliances Amarillo'!ED40</f>
        <v>0</v>
      </c>
      <c r="EE40" s="110">
        <v>0.36458333333333298</v>
      </c>
      <c r="EF40" s="211">
        <f>'HVAC Appliances Amarillo'!EF40</f>
        <v>0</v>
      </c>
      <c r="EG40" s="21"/>
      <c r="EH40" s="110">
        <v>0.36458333333333298</v>
      </c>
      <c r="EI40" s="211">
        <f>'HVAC Appliances Austin'!EI40</f>
        <v>523.3889999999999</v>
      </c>
      <c r="EJ40" s="110">
        <v>0.36458333333333298</v>
      </c>
      <c r="EK40" s="211">
        <f>'HVAC Appliances Austin'!EK40</f>
        <v>801.35452777777778</v>
      </c>
      <c r="EL40" s="110">
        <v>0.36458333333333298</v>
      </c>
      <c r="EM40" s="211">
        <f>'HVAC Appliances Austin'!EM40</f>
        <v>1003.456583333334</v>
      </c>
      <c r="EN40" s="21"/>
      <c r="EO40" s="110">
        <v>0.36458333333333298</v>
      </c>
      <c r="EP40" s="211"/>
      <c r="EQ40" s="21"/>
      <c r="ER40" s="110">
        <v>0.36458333333333298</v>
      </c>
      <c r="ES40" s="264"/>
      <c r="EU40" s="260">
        <v>0.36458333333333298</v>
      </c>
      <c r="EV40" s="209">
        <f>'HVAC Appliances Amarillo'!EV40</f>
        <v>0</v>
      </c>
      <c r="EW40" s="110">
        <v>0.36458333333333298</v>
      </c>
      <c r="EX40" s="209">
        <f>'HVAC Appliances Amarillo'!EX40</f>
        <v>0</v>
      </c>
      <c r="EY40" s="110">
        <v>0.36458333333333298</v>
      </c>
      <c r="EZ40" s="308">
        <f>'HVAC Appliances Amarillo'!EZ40</f>
        <v>0</v>
      </c>
    </row>
    <row r="41" spans="1:156" x14ac:dyDescent="0.3">
      <c r="A41" s="108">
        <v>0.36458333333333298</v>
      </c>
      <c r="B41" s="226">
        <f t="shared" si="0"/>
        <v>0</v>
      </c>
      <c r="C41" s="21">
        <f t="shared" si="1"/>
        <v>335.08333333333337</v>
      </c>
      <c r="D41" s="20">
        <f t="shared" si="2"/>
        <v>0</v>
      </c>
      <c r="E41" s="20">
        <f t="shared" si="3"/>
        <v>0</v>
      </c>
      <c r="G41" s="260">
        <v>0.375</v>
      </c>
      <c r="H41" s="211">
        <f>'HVAC Appliances Austin'!H41</f>
        <v>0</v>
      </c>
      <c r="I41" s="110">
        <v>0.375</v>
      </c>
      <c r="J41" s="211">
        <f>'HVAC Appliances Austin'!J41</f>
        <v>0</v>
      </c>
      <c r="K41" s="110">
        <v>0.375</v>
      </c>
      <c r="L41" s="211">
        <f>'HVAC Appliances Austin'!L41</f>
        <v>0</v>
      </c>
      <c r="M41" s="21"/>
      <c r="N41" s="110">
        <v>0.375</v>
      </c>
      <c r="O41" s="211">
        <f>'HVAC Appliances Austin'!O41</f>
        <v>315.13820138888872</v>
      </c>
      <c r="P41" s="110">
        <v>0.375</v>
      </c>
      <c r="Q41" s="211">
        <f>'HVAC Appliances Austin'!Q41</f>
        <v>468.11784722222205</v>
      </c>
      <c r="R41" s="110">
        <v>0.375</v>
      </c>
      <c r="S41" s="211">
        <f>'HVAC Appliances Austin'!S41</f>
        <v>573.22897222222173</v>
      </c>
      <c r="T41" s="21"/>
      <c r="U41" s="110">
        <v>0.375</v>
      </c>
      <c r="V41" s="211">
        <f>'HVAC Appliances Austin'!V41</f>
        <v>539.26913888888873</v>
      </c>
      <c r="W41" s="110">
        <v>0.375</v>
      </c>
      <c r="X41" s="211">
        <f>'HVAC Appliances Austin'!X41</f>
        <v>844.73972222222255</v>
      </c>
      <c r="Y41" s="110">
        <v>0.375</v>
      </c>
      <c r="Z41" s="211">
        <f>'HVAC Appliances Austin'!Z41</f>
        <v>1063.2002222222225</v>
      </c>
      <c r="AA41" s="21"/>
      <c r="AB41" s="110">
        <v>0.375</v>
      </c>
      <c r="AC41" s="211">
        <f>'HVAC Appliances Austin'!AC41</f>
        <v>64.927805555555437</v>
      </c>
      <c r="AD41" s="110">
        <v>0.375</v>
      </c>
      <c r="AE41" s="211">
        <f>'HVAC Appliances Austin'!AE41</f>
        <v>56.366388888888565</v>
      </c>
      <c r="AF41" s="110">
        <v>0.375</v>
      </c>
      <c r="AG41" s="211">
        <f>'HVAC Appliances Austin'!AG41</f>
        <v>57.770888888888372</v>
      </c>
      <c r="AH41" s="21"/>
      <c r="AI41" s="110">
        <v>0.375</v>
      </c>
      <c r="AJ41" s="211">
        <f>'HVAC Appliances Austin'!AJ41</f>
        <v>0</v>
      </c>
      <c r="AK41" s="110">
        <v>0.375</v>
      </c>
      <c r="AL41" s="211">
        <f>'HVAC Appliances Austin'!AL41</f>
        <v>0</v>
      </c>
      <c r="AM41" s="110">
        <v>0.375</v>
      </c>
      <c r="AN41" s="211">
        <f>'HVAC Appliances Austin'!AN41</f>
        <v>0</v>
      </c>
      <c r="AO41" s="21"/>
      <c r="AP41" s="110">
        <v>0.375</v>
      </c>
      <c r="AQ41" s="211">
        <f>'HVAC Appliances Austin'!AQ41</f>
        <v>639.0462222222227</v>
      </c>
      <c r="AR41" s="110">
        <v>0.375</v>
      </c>
      <c r="AS41" s="211">
        <f>'HVAC Appliances Austin'!AS41</f>
        <v>1013.1355555555568</v>
      </c>
      <c r="AT41" s="110">
        <v>0.375</v>
      </c>
      <c r="AU41" s="211">
        <f>'HVAC Appliances Austin'!AU41</f>
        <v>1283.9835555555558</v>
      </c>
      <c r="AV41" s="21"/>
      <c r="AW41" s="110">
        <v>0.375</v>
      </c>
      <c r="AX41" s="211"/>
      <c r="AY41" s="21"/>
      <c r="AZ41" s="110">
        <v>0.375</v>
      </c>
      <c r="BA41" s="264"/>
      <c r="BC41" s="260">
        <v>0.375</v>
      </c>
      <c r="BD41" s="211">
        <f>'HVAC Appliances Austin'!BD41</f>
        <v>0</v>
      </c>
      <c r="BE41" s="110">
        <v>0.375</v>
      </c>
      <c r="BF41" s="211">
        <f>'HVAC Appliances Austin'!BF41</f>
        <v>0</v>
      </c>
      <c r="BG41" s="110">
        <v>0.375</v>
      </c>
      <c r="BH41" s="211">
        <f>'HVAC Appliances Austin'!BH41</f>
        <v>0</v>
      </c>
      <c r="BI41" s="21"/>
      <c r="BJ41" s="110">
        <v>0.375</v>
      </c>
      <c r="BK41" s="211">
        <f>'HVAC Appliances Austin'!BK41</f>
        <v>0</v>
      </c>
      <c r="BL41" s="110">
        <v>0.375</v>
      </c>
      <c r="BM41" s="211">
        <f>'HVAC Appliances Austin'!BM41</f>
        <v>0</v>
      </c>
      <c r="BN41" s="110">
        <v>0.375</v>
      </c>
      <c r="BO41" s="211">
        <f>'HVAC Appliances Austin'!BO41</f>
        <v>0</v>
      </c>
      <c r="BP41" s="21"/>
      <c r="BQ41" s="110">
        <v>0.375</v>
      </c>
      <c r="BR41" s="211">
        <f>'HVAC Appliances Austin'!BR41</f>
        <v>0</v>
      </c>
      <c r="BS41" s="110">
        <v>0.375</v>
      </c>
      <c r="BT41" s="211">
        <f>'HVAC Appliances Austin'!BT41</f>
        <v>0</v>
      </c>
      <c r="BU41" s="110">
        <v>0.375</v>
      </c>
      <c r="BV41" s="211">
        <f>'HVAC Appliances Austin'!BV41</f>
        <v>0</v>
      </c>
      <c r="BW41" s="21"/>
      <c r="BX41" s="110">
        <v>0.375</v>
      </c>
      <c r="BY41" s="211">
        <f>'HVAC Appliances Austin'!BY41</f>
        <v>0</v>
      </c>
      <c r="BZ41" s="110">
        <v>0.375</v>
      </c>
      <c r="CA41" s="211">
        <f>'HVAC Appliances Austin'!CA41</f>
        <v>0</v>
      </c>
      <c r="CB41" s="110">
        <v>0.375</v>
      </c>
      <c r="CC41" s="211">
        <f>'HVAC Appliances Austin'!CC41</f>
        <v>0</v>
      </c>
      <c r="CD41" s="21"/>
      <c r="CE41" s="110">
        <v>0.375</v>
      </c>
      <c r="CF41" s="211">
        <f>'HVAC Appliances Austin'!CF41</f>
        <v>116.13416666666667</v>
      </c>
      <c r="CG41" s="110">
        <v>0.375</v>
      </c>
      <c r="CH41" s="211">
        <f>'HVAC Appliances Austin'!CH41</f>
        <v>226.65666666666667</v>
      </c>
      <c r="CI41" s="110">
        <v>0.375</v>
      </c>
      <c r="CJ41" s="211">
        <f>'HVAC Appliances Austin'!CJ41</f>
        <v>301.41666666666669</v>
      </c>
      <c r="CK41" s="21"/>
      <c r="CL41" s="110">
        <v>0.375</v>
      </c>
      <c r="CM41" s="211">
        <f>'HVAC Appliances Austin'!CM41</f>
        <v>0</v>
      </c>
      <c r="CN41" s="110">
        <v>0.375</v>
      </c>
      <c r="CO41" s="211">
        <f>'HVAC Appliances Austin'!CO41</f>
        <v>0</v>
      </c>
      <c r="CP41" s="110">
        <v>0.375</v>
      </c>
      <c r="CQ41" s="211">
        <f>'HVAC Appliances Austin'!CQ41</f>
        <v>0</v>
      </c>
      <c r="CR41" s="21"/>
      <c r="CS41" s="110">
        <v>0.375</v>
      </c>
      <c r="CT41" s="211"/>
      <c r="CU41" s="21"/>
      <c r="CV41" s="110">
        <v>0.375</v>
      </c>
      <c r="CW41" s="264"/>
      <c r="CY41" s="260">
        <v>0.375</v>
      </c>
      <c r="CZ41" s="211">
        <f>'HVAC Appliances Austin'!CZ41</f>
        <v>83.616444444444497</v>
      </c>
      <c r="DA41" s="110">
        <v>0.375</v>
      </c>
      <c r="DB41" s="211">
        <f>'HVAC Appliances Austin'!DB41</f>
        <v>109.75022222222219</v>
      </c>
      <c r="DC41" s="110">
        <v>0.375</v>
      </c>
      <c r="DD41" s="211">
        <f>'HVAC Appliances Austin'!DD41</f>
        <v>160.9653333333334</v>
      </c>
      <c r="DE41" s="21"/>
      <c r="DF41" s="110">
        <v>0.375</v>
      </c>
      <c r="DG41" s="211">
        <f>'HVAC Appliances Austin'!DG41</f>
        <v>354.92733333333319</v>
      </c>
      <c r="DH41" s="110">
        <v>0.375</v>
      </c>
      <c r="DI41" s="211">
        <f>'HVAC Appliances Austin'!DI41</f>
        <v>518.60046527777786</v>
      </c>
      <c r="DJ41" s="110">
        <v>0.375</v>
      </c>
      <c r="DK41" s="211">
        <f>'HVAC Appliances Austin'!DK41</f>
        <v>636.1793958333335</v>
      </c>
      <c r="DL41" s="21"/>
      <c r="DM41" s="110">
        <v>0.375</v>
      </c>
      <c r="DN41" s="211">
        <f>'HVAC Appliances Austin'!DN41</f>
        <v>585.37233333333336</v>
      </c>
      <c r="DO41" s="110">
        <v>0.375</v>
      </c>
      <c r="DP41" s="211">
        <f>'HVAC Appliances Austin'!DP41</f>
        <v>906.1545277777783</v>
      </c>
      <c r="DQ41" s="110">
        <v>0.375</v>
      </c>
      <c r="DR41" s="211">
        <f>'HVAC Appliances Austin'!DR41</f>
        <v>1139.9065833333348</v>
      </c>
      <c r="DS41" s="21"/>
      <c r="DT41" s="110">
        <v>0.375</v>
      </c>
      <c r="DU41" s="211">
        <f>'HVAC Appliances Austin'!DU41</f>
        <v>0</v>
      </c>
      <c r="DV41" s="110">
        <v>0.375</v>
      </c>
      <c r="DW41" s="211">
        <f>'HVAC Appliances Austin'!DW41</f>
        <v>0</v>
      </c>
      <c r="DX41" s="110">
        <v>0.375</v>
      </c>
      <c r="DY41" s="211">
        <f>'HVAC Appliances Austin'!DY41</f>
        <v>0</v>
      </c>
      <c r="DZ41" s="21"/>
      <c r="EA41" s="110">
        <v>0.375</v>
      </c>
      <c r="EB41" s="211">
        <f>'HVAC Appliances Amarillo'!EB41</f>
        <v>6900</v>
      </c>
      <c r="EC41" s="110">
        <v>0.375</v>
      </c>
      <c r="ED41" s="211">
        <f>'HVAC Appliances Amarillo'!ED41</f>
        <v>12300</v>
      </c>
      <c r="EE41" s="110">
        <v>0.375</v>
      </c>
      <c r="EF41" s="211">
        <f>'HVAC Appliances Amarillo'!EF41</f>
        <v>16000</v>
      </c>
      <c r="EG41" s="21"/>
      <c r="EH41" s="110">
        <v>0.375</v>
      </c>
      <c r="EI41" s="211">
        <f>'HVAC Appliances Austin'!EI41</f>
        <v>684.59733333333372</v>
      </c>
      <c r="EJ41" s="110">
        <v>0.375</v>
      </c>
      <c r="EK41" s="211">
        <f>'HVAC Appliances Austin'!EK41</f>
        <v>1074.5524444444454</v>
      </c>
      <c r="EL41" s="110">
        <v>0.375</v>
      </c>
      <c r="EM41" s="211">
        <f>'HVAC Appliances Austin'!EM41</f>
        <v>1359.4253333333345</v>
      </c>
      <c r="EN41" s="21"/>
      <c r="EO41" s="110">
        <v>0.375</v>
      </c>
      <c r="EP41" s="211"/>
      <c r="EQ41" s="21"/>
      <c r="ER41" s="110">
        <v>0.375</v>
      </c>
      <c r="ES41" s="264"/>
      <c r="EU41" s="260">
        <v>0.375</v>
      </c>
      <c r="EV41" s="209">
        <f>'HVAC Appliances Amarillo'!EV41</f>
        <v>5400</v>
      </c>
      <c r="EW41" s="110">
        <v>0.375</v>
      </c>
      <c r="EX41" s="209">
        <f>'HVAC Appliances Amarillo'!EX41</f>
        <v>5400</v>
      </c>
      <c r="EY41" s="110">
        <v>0.375</v>
      </c>
      <c r="EZ41" s="308">
        <f>'HVAC Appliances Amarillo'!EZ41</f>
        <v>5400</v>
      </c>
    </row>
    <row r="42" spans="1:156" x14ac:dyDescent="0.3">
      <c r="A42" s="108">
        <v>0.375</v>
      </c>
      <c r="B42" s="226">
        <f t="shared" si="0"/>
        <v>0</v>
      </c>
      <c r="C42" s="21">
        <f t="shared" si="1"/>
        <v>301.41666666666669</v>
      </c>
      <c r="D42" s="20">
        <f t="shared" si="2"/>
        <v>16000</v>
      </c>
      <c r="E42" s="20">
        <f t="shared" si="3"/>
        <v>5400</v>
      </c>
      <c r="G42" s="260">
        <v>0.38541666666666702</v>
      </c>
      <c r="H42" s="211">
        <f>'HVAC Appliances Austin'!H42</f>
        <v>0</v>
      </c>
      <c r="I42" s="110">
        <v>0.38541666666666702</v>
      </c>
      <c r="J42" s="211">
        <f>'HVAC Appliances Austin'!J42</f>
        <v>0</v>
      </c>
      <c r="K42" s="110">
        <v>0.38541666666666702</v>
      </c>
      <c r="L42" s="211">
        <f>'HVAC Appliances Austin'!L42</f>
        <v>0</v>
      </c>
      <c r="M42" s="21"/>
      <c r="N42" s="110">
        <v>0.38541666666666702</v>
      </c>
      <c r="O42" s="211">
        <f>'HVAC Appliances Austin'!O42</f>
        <v>315.13820138888872</v>
      </c>
      <c r="P42" s="110">
        <v>0.38541666666666702</v>
      </c>
      <c r="Q42" s="211">
        <f>'HVAC Appliances Austin'!Q42</f>
        <v>468.11784722222205</v>
      </c>
      <c r="R42" s="110">
        <v>0.38541666666666702</v>
      </c>
      <c r="S42" s="211">
        <f>'HVAC Appliances Austin'!S42</f>
        <v>573.22897222222173</v>
      </c>
      <c r="T42" s="21"/>
      <c r="U42" s="110">
        <v>0.38541666666666702</v>
      </c>
      <c r="V42" s="211">
        <f>'HVAC Appliances Austin'!V42</f>
        <v>539.26913888888873</v>
      </c>
      <c r="W42" s="110">
        <v>0.38541666666666702</v>
      </c>
      <c r="X42" s="211">
        <f>'HVAC Appliances Austin'!X42</f>
        <v>844.73972222222255</v>
      </c>
      <c r="Y42" s="110">
        <v>0.38541666666666702</v>
      </c>
      <c r="Z42" s="211">
        <f>'HVAC Appliances Austin'!Z42</f>
        <v>1063.2002222222225</v>
      </c>
      <c r="AA42" s="21"/>
      <c r="AB42" s="110">
        <v>0.38541666666666702</v>
      </c>
      <c r="AC42" s="211">
        <f>'HVAC Appliances Austin'!AC42</f>
        <v>64.927805555555437</v>
      </c>
      <c r="AD42" s="110">
        <v>0.38541666666666702</v>
      </c>
      <c r="AE42" s="211">
        <f>'HVAC Appliances Austin'!AE42</f>
        <v>56.366388888888565</v>
      </c>
      <c r="AF42" s="110">
        <v>0.38541666666666702</v>
      </c>
      <c r="AG42" s="211">
        <f>'HVAC Appliances Austin'!AG42</f>
        <v>57.770888888888372</v>
      </c>
      <c r="AH42" s="21"/>
      <c r="AI42" s="110">
        <v>0.38541666666666702</v>
      </c>
      <c r="AJ42" s="211">
        <f>'HVAC Appliances Austin'!AJ42</f>
        <v>0</v>
      </c>
      <c r="AK42" s="110">
        <v>0.38541666666666702</v>
      </c>
      <c r="AL42" s="211">
        <f>'HVAC Appliances Austin'!AL42</f>
        <v>0</v>
      </c>
      <c r="AM42" s="110">
        <v>0.38541666666666702</v>
      </c>
      <c r="AN42" s="211">
        <f>'HVAC Appliances Austin'!AN42</f>
        <v>0</v>
      </c>
      <c r="AO42" s="21"/>
      <c r="AP42" s="110">
        <v>0.38541666666666702</v>
      </c>
      <c r="AQ42" s="211">
        <f>'HVAC Appliances Austin'!AQ42</f>
        <v>639.0462222222227</v>
      </c>
      <c r="AR42" s="110">
        <v>0.38541666666666702</v>
      </c>
      <c r="AS42" s="211">
        <f>'HVAC Appliances Austin'!AS42</f>
        <v>1013.1355555555568</v>
      </c>
      <c r="AT42" s="110">
        <v>0.38541666666666702</v>
      </c>
      <c r="AU42" s="211">
        <f>'HVAC Appliances Austin'!AU42</f>
        <v>1283.9835555555558</v>
      </c>
      <c r="AV42" s="21"/>
      <c r="AW42" s="110">
        <v>0.38541666666666702</v>
      </c>
      <c r="AX42" s="211"/>
      <c r="AY42" s="21"/>
      <c r="AZ42" s="110">
        <v>0.38541666666666702</v>
      </c>
      <c r="BA42" s="264"/>
      <c r="BC42" s="260">
        <v>0.38541666666666702</v>
      </c>
      <c r="BD42" s="211">
        <f>'HVAC Appliances Austin'!BD42</f>
        <v>0</v>
      </c>
      <c r="BE42" s="110">
        <v>0.38541666666666702</v>
      </c>
      <c r="BF42" s="211">
        <f>'HVAC Appliances Austin'!BF42</f>
        <v>0</v>
      </c>
      <c r="BG42" s="110">
        <v>0.38541666666666702</v>
      </c>
      <c r="BH42" s="211">
        <f>'HVAC Appliances Austin'!BH42</f>
        <v>0</v>
      </c>
      <c r="BI42" s="21"/>
      <c r="BJ42" s="110">
        <v>0.38541666666666702</v>
      </c>
      <c r="BK42" s="211">
        <f>'HVAC Appliances Austin'!BK42</f>
        <v>0</v>
      </c>
      <c r="BL42" s="110">
        <v>0.38541666666666702</v>
      </c>
      <c r="BM42" s="211">
        <f>'HVAC Appliances Austin'!BM42</f>
        <v>0</v>
      </c>
      <c r="BN42" s="110">
        <v>0.38541666666666702</v>
      </c>
      <c r="BO42" s="211">
        <f>'HVAC Appliances Austin'!BO42</f>
        <v>0</v>
      </c>
      <c r="BP42" s="21"/>
      <c r="BQ42" s="110">
        <v>0.38541666666666702</v>
      </c>
      <c r="BR42" s="211">
        <f>'HVAC Appliances Austin'!BR42</f>
        <v>0</v>
      </c>
      <c r="BS42" s="110">
        <v>0.38541666666666702</v>
      </c>
      <c r="BT42" s="211">
        <f>'HVAC Appliances Austin'!BT42</f>
        <v>0</v>
      </c>
      <c r="BU42" s="110">
        <v>0.38541666666666702</v>
      </c>
      <c r="BV42" s="211">
        <f>'HVAC Appliances Austin'!BV42</f>
        <v>0</v>
      </c>
      <c r="BW42" s="21"/>
      <c r="BX42" s="110">
        <v>0.38541666666666702</v>
      </c>
      <c r="BY42" s="211">
        <f>'HVAC Appliances Austin'!BY42</f>
        <v>0</v>
      </c>
      <c r="BZ42" s="110">
        <v>0.38541666666666702</v>
      </c>
      <c r="CA42" s="211">
        <f>'HVAC Appliances Austin'!CA42</f>
        <v>0</v>
      </c>
      <c r="CB42" s="110">
        <v>0.38541666666666702</v>
      </c>
      <c r="CC42" s="211">
        <f>'HVAC Appliances Austin'!CC42</f>
        <v>0</v>
      </c>
      <c r="CD42" s="21"/>
      <c r="CE42" s="110">
        <v>0.38541666666666702</v>
      </c>
      <c r="CF42" s="211">
        <f>'HVAC Appliances Austin'!CF42</f>
        <v>116.13416666666667</v>
      </c>
      <c r="CG42" s="110">
        <v>0.38541666666666702</v>
      </c>
      <c r="CH42" s="211">
        <f>'HVAC Appliances Austin'!CH42</f>
        <v>226.65666666666667</v>
      </c>
      <c r="CI42" s="110">
        <v>0.38541666666666702</v>
      </c>
      <c r="CJ42" s="211">
        <f>'HVAC Appliances Austin'!CJ42</f>
        <v>301.41666666666669</v>
      </c>
      <c r="CK42" s="21"/>
      <c r="CL42" s="110">
        <v>0.38541666666666702</v>
      </c>
      <c r="CM42" s="211">
        <f>'HVAC Appliances Austin'!CM42</f>
        <v>0</v>
      </c>
      <c r="CN42" s="110">
        <v>0.38541666666666702</v>
      </c>
      <c r="CO42" s="211">
        <f>'HVAC Appliances Austin'!CO42</f>
        <v>0</v>
      </c>
      <c r="CP42" s="110">
        <v>0.38541666666666702</v>
      </c>
      <c r="CQ42" s="211">
        <f>'HVAC Appliances Austin'!CQ42</f>
        <v>0</v>
      </c>
      <c r="CR42" s="21"/>
      <c r="CS42" s="110">
        <v>0.38541666666666702</v>
      </c>
      <c r="CT42" s="211"/>
      <c r="CU42" s="21"/>
      <c r="CV42" s="110">
        <v>0.38541666666666702</v>
      </c>
      <c r="CW42" s="264"/>
      <c r="CY42" s="260">
        <v>0.38541666666666702</v>
      </c>
      <c r="CZ42" s="211">
        <f>'HVAC Appliances Austin'!CZ42</f>
        <v>83.616444444444497</v>
      </c>
      <c r="DA42" s="110">
        <v>0.38541666666666702</v>
      </c>
      <c r="DB42" s="211">
        <f>'HVAC Appliances Austin'!DB42</f>
        <v>109.75022222222219</v>
      </c>
      <c r="DC42" s="110">
        <v>0.38541666666666702</v>
      </c>
      <c r="DD42" s="211">
        <f>'HVAC Appliances Austin'!DD42</f>
        <v>160.9653333333334</v>
      </c>
      <c r="DE42" s="21"/>
      <c r="DF42" s="110">
        <v>0.38541666666666702</v>
      </c>
      <c r="DG42" s="211">
        <f>'HVAC Appliances Austin'!DG42</f>
        <v>354.92733333333319</v>
      </c>
      <c r="DH42" s="110">
        <v>0.38541666666666702</v>
      </c>
      <c r="DI42" s="211">
        <f>'HVAC Appliances Austin'!DI42</f>
        <v>518.60046527777786</v>
      </c>
      <c r="DJ42" s="110">
        <v>0.38541666666666702</v>
      </c>
      <c r="DK42" s="211">
        <f>'HVAC Appliances Austin'!DK42</f>
        <v>636.1793958333335</v>
      </c>
      <c r="DL42" s="21"/>
      <c r="DM42" s="110">
        <v>0.38541666666666702</v>
      </c>
      <c r="DN42" s="211">
        <f>'HVAC Appliances Austin'!DN42</f>
        <v>585.37233333333336</v>
      </c>
      <c r="DO42" s="110">
        <v>0.38541666666666702</v>
      </c>
      <c r="DP42" s="211">
        <f>'HVAC Appliances Austin'!DP42</f>
        <v>906.1545277777783</v>
      </c>
      <c r="DQ42" s="110">
        <v>0.38541666666666702</v>
      </c>
      <c r="DR42" s="211">
        <f>'HVAC Appliances Austin'!DR42</f>
        <v>1139.9065833333348</v>
      </c>
      <c r="DS42" s="21"/>
      <c r="DT42" s="110">
        <v>0.38541666666666702</v>
      </c>
      <c r="DU42" s="211">
        <f>'HVAC Appliances Austin'!DU42</f>
        <v>0</v>
      </c>
      <c r="DV42" s="110">
        <v>0.38541666666666702</v>
      </c>
      <c r="DW42" s="211">
        <f>'HVAC Appliances Austin'!DW42</f>
        <v>0</v>
      </c>
      <c r="DX42" s="110">
        <v>0.38541666666666702</v>
      </c>
      <c r="DY42" s="211">
        <f>'HVAC Appliances Austin'!DY42</f>
        <v>0</v>
      </c>
      <c r="DZ42" s="21"/>
      <c r="EA42" s="110">
        <v>0.38541666666666702</v>
      </c>
      <c r="EB42" s="211">
        <f>'HVAC Appliances Amarillo'!EB42</f>
        <v>6900</v>
      </c>
      <c r="EC42" s="110">
        <v>0.38541666666666702</v>
      </c>
      <c r="ED42" s="211">
        <f>'HVAC Appliances Amarillo'!ED42</f>
        <v>12300</v>
      </c>
      <c r="EE42" s="110">
        <v>0.38541666666666702</v>
      </c>
      <c r="EF42" s="211">
        <f>'HVAC Appliances Amarillo'!EF42</f>
        <v>16000</v>
      </c>
      <c r="EG42" s="21"/>
      <c r="EH42" s="110">
        <v>0.38541666666666702</v>
      </c>
      <c r="EI42" s="211">
        <f>'HVAC Appliances Austin'!EI42</f>
        <v>684.59733333333372</v>
      </c>
      <c r="EJ42" s="110">
        <v>0.38541666666666702</v>
      </c>
      <c r="EK42" s="211">
        <f>'HVAC Appliances Austin'!EK42</f>
        <v>1074.5524444444454</v>
      </c>
      <c r="EL42" s="110">
        <v>0.38541666666666702</v>
      </c>
      <c r="EM42" s="211">
        <f>'HVAC Appliances Austin'!EM42</f>
        <v>1359.4253333333345</v>
      </c>
      <c r="EN42" s="21"/>
      <c r="EO42" s="110">
        <v>0.38541666666666702</v>
      </c>
      <c r="EP42" s="211"/>
      <c r="EQ42" s="21"/>
      <c r="ER42" s="110">
        <v>0.38541666666666702</v>
      </c>
      <c r="ES42" s="264"/>
      <c r="EU42" s="260">
        <v>0.38541666666666702</v>
      </c>
      <c r="EV42" s="209">
        <f>'HVAC Appliances Amarillo'!EV42</f>
        <v>5400</v>
      </c>
      <c r="EW42" s="110">
        <v>0.38541666666666702</v>
      </c>
      <c r="EX42" s="209">
        <f>'HVAC Appliances Amarillo'!EX42</f>
        <v>5400</v>
      </c>
      <c r="EY42" s="110">
        <v>0.38541666666666702</v>
      </c>
      <c r="EZ42" s="308">
        <f>'HVAC Appliances Amarillo'!EZ42</f>
        <v>5400</v>
      </c>
    </row>
    <row r="43" spans="1:156" x14ac:dyDescent="0.3">
      <c r="A43" s="108">
        <v>0.38541666666666702</v>
      </c>
      <c r="B43" s="226">
        <f t="shared" si="0"/>
        <v>0</v>
      </c>
      <c r="C43" s="21">
        <f t="shared" si="1"/>
        <v>301.41666666666669</v>
      </c>
      <c r="D43" s="20">
        <f t="shared" si="2"/>
        <v>16000</v>
      </c>
      <c r="E43" s="20">
        <f t="shared" si="3"/>
        <v>5400</v>
      </c>
      <c r="G43" s="260">
        <v>0.39583333333333298</v>
      </c>
      <c r="H43" s="211">
        <f>'HVAC Appliances Austin'!H43</f>
        <v>0</v>
      </c>
      <c r="I43" s="110">
        <v>0.39583333333333298</v>
      </c>
      <c r="J43" s="211">
        <f>'HVAC Appliances Austin'!J43</f>
        <v>0</v>
      </c>
      <c r="K43" s="110">
        <v>0.39583333333333298</v>
      </c>
      <c r="L43" s="211">
        <f>'HVAC Appliances Austin'!L43</f>
        <v>0</v>
      </c>
      <c r="M43" s="21"/>
      <c r="N43" s="110">
        <v>0.39583333333333298</v>
      </c>
      <c r="O43" s="211">
        <f>'HVAC Appliances Austin'!O43</f>
        <v>315.13820138888872</v>
      </c>
      <c r="P43" s="110">
        <v>0.39583333333333298</v>
      </c>
      <c r="Q43" s="211">
        <f>'HVAC Appliances Austin'!Q43</f>
        <v>468.11784722222205</v>
      </c>
      <c r="R43" s="110">
        <v>0.39583333333333298</v>
      </c>
      <c r="S43" s="211">
        <f>'HVAC Appliances Austin'!S43</f>
        <v>573.22897222222173</v>
      </c>
      <c r="T43" s="21"/>
      <c r="U43" s="110">
        <v>0.39583333333333298</v>
      </c>
      <c r="V43" s="211">
        <f>'HVAC Appliances Austin'!V43</f>
        <v>539.26913888888873</v>
      </c>
      <c r="W43" s="110">
        <v>0.39583333333333298</v>
      </c>
      <c r="X43" s="211">
        <f>'HVAC Appliances Austin'!X43</f>
        <v>844.73972222222255</v>
      </c>
      <c r="Y43" s="110">
        <v>0.39583333333333298</v>
      </c>
      <c r="Z43" s="211">
        <f>'HVAC Appliances Austin'!Z43</f>
        <v>1063.2002222222225</v>
      </c>
      <c r="AA43" s="21"/>
      <c r="AB43" s="110">
        <v>0.39583333333333298</v>
      </c>
      <c r="AC43" s="211">
        <f>'HVAC Appliances Austin'!AC43</f>
        <v>64.927805555555437</v>
      </c>
      <c r="AD43" s="110">
        <v>0.39583333333333298</v>
      </c>
      <c r="AE43" s="211">
        <f>'HVAC Appliances Austin'!AE43</f>
        <v>56.366388888888565</v>
      </c>
      <c r="AF43" s="110">
        <v>0.39583333333333298</v>
      </c>
      <c r="AG43" s="211">
        <f>'HVAC Appliances Austin'!AG43</f>
        <v>57.770888888888372</v>
      </c>
      <c r="AH43" s="21"/>
      <c r="AI43" s="110">
        <v>0.39583333333333298</v>
      </c>
      <c r="AJ43" s="211">
        <f>'HVAC Appliances Austin'!AJ43</f>
        <v>0</v>
      </c>
      <c r="AK43" s="110">
        <v>0.39583333333333298</v>
      </c>
      <c r="AL43" s="211">
        <f>'HVAC Appliances Austin'!AL43</f>
        <v>0</v>
      </c>
      <c r="AM43" s="110">
        <v>0.39583333333333298</v>
      </c>
      <c r="AN43" s="211">
        <f>'HVAC Appliances Austin'!AN43</f>
        <v>0</v>
      </c>
      <c r="AO43" s="21"/>
      <c r="AP43" s="110">
        <v>0.39583333333333298</v>
      </c>
      <c r="AQ43" s="211">
        <f>'HVAC Appliances Austin'!AQ43</f>
        <v>639.0462222222227</v>
      </c>
      <c r="AR43" s="110">
        <v>0.39583333333333298</v>
      </c>
      <c r="AS43" s="211">
        <f>'HVAC Appliances Austin'!AS43</f>
        <v>1013.1355555555568</v>
      </c>
      <c r="AT43" s="110">
        <v>0.39583333333333298</v>
      </c>
      <c r="AU43" s="211">
        <f>'HVAC Appliances Austin'!AU43</f>
        <v>1283.9835555555558</v>
      </c>
      <c r="AV43" s="21"/>
      <c r="AW43" s="110">
        <v>0.39583333333333298</v>
      </c>
      <c r="AX43" s="211"/>
      <c r="AY43" s="21"/>
      <c r="AZ43" s="110">
        <v>0.39583333333333298</v>
      </c>
      <c r="BA43" s="264"/>
      <c r="BC43" s="260">
        <v>0.39583333333333298</v>
      </c>
      <c r="BD43" s="211">
        <f>'HVAC Appliances Austin'!BD43</f>
        <v>0</v>
      </c>
      <c r="BE43" s="110">
        <v>0.39583333333333298</v>
      </c>
      <c r="BF43" s="211">
        <f>'HVAC Appliances Austin'!BF43</f>
        <v>0</v>
      </c>
      <c r="BG43" s="110">
        <v>0.39583333333333298</v>
      </c>
      <c r="BH43" s="211">
        <f>'HVAC Appliances Austin'!BH43</f>
        <v>0</v>
      </c>
      <c r="BI43" s="21"/>
      <c r="BJ43" s="110">
        <v>0.39583333333333298</v>
      </c>
      <c r="BK43" s="211">
        <f>'HVAC Appliances Austin'!BK43</f>
        <v>0</v>
      </c>
      <c r="BL43" s="110">
        <v>0.39583333333333298</v>
      </c>
      <c r="BM43" s="211">
        <f>'HVAC Appliances Austin'!BM43</f>
        <v>0</v>
      </c>
      <c r="BN43" s="110">
        <v>0.39583333333333298</v>
      </c>
      <c r="BO43" s="211">
        <f>'HVAC Appliances Austin'!BO43</f>
        <v>0</v>
      </c>
      <c r="BP43" s="21"/>
      <c r="BQ43" s="110">
        <v>0.39583333333333298</v>
      </c>
      <c r="BR43" s="211">
        <f>'HVAC Appliances Austin'!BR43</f>
        <v>0</v>
      </c>
      <c r="BS43" s="110">
        <v>0.39583333333333298</v>
      </c>
      <c r="BT43" s="211">
        <f>'HVAC Appliances Austin'!BT43</f>
        <v>0</v>
      </c>
      <c r="BU43" s="110">
        <v>0.39583333333333298</v>
      </c>
      <c r="BV43" s="211">
        <f>'HVAC Appliances Austin'!BV43</f>
        <v>0</v>
      </c>
      <c r="BW43" s="21"/>
      <c r="BX43" s="110">
        <v>0.39583333333333298</v>
      </c>
      <c r="BY43" s="211">
        <f>'HVAC Appliances Austin'!BY43</f>
        <v>0</v>
      </c>
      <c r="BZ43" s="110">
        <v>0.39583333333333298</v>
      </c>
      <c r="CA43" s="211">
        <f>'HVAC Appliances Austin'!CA43</f>
        <v>0</v>
      </c>
      <c r="CB43" s="110">
        <v>0.39583333333333298</v>
      </c>
      <c r="CC43" s="211">
        <f>'HVAC Appliances Austin'!CC43</f>
        <v>0</v>
      </c>
      <c r="CD43" s="21"/>
      <c r="CE43" s="110">
        <v>0.39583333333333298</v>
      </c>
      <c r="CF43" s="211">
        <f>'HVAC Appliances Austin'!CF43</f>
        <v>116.13416666666667</v>
      </c>
      <c r="CG43" s="110">
        <v>0.39583333333333298</v>
      </c>
      <c r="CH43" s="211">
        <f>'HVAC Appliances Austin'!CH43</f>
        <v>226.65666666666667</v>
      </c>
      <c r="CI43" s="110">
        <v>0.39583333333333298</v>
      </c>
      <c r="CJ43" s="211">
        <f>'HVAC Appliances Austin'!CJ43</f>
        <v>301.41666666666669</v>
      </c>
      <c r="CK43" s="21"/>
      <c r="CL43" s="110">
        <v>0.39583333333333298</v>
      </c>
      <c r="CM43" s="211">
        <f>'HVAC Appliances Austin'!CM43</f>
        <v>0</v>
      </c>
      <c r="CN43" s="110">
        <v>0.39583333333333298</v>
      </c>
      <c r="CO43" s="211">
        <f>'HVAC Appliances Austin'!CO43</f>
        <v>0</v>
      </c>
      <c r="CP43" s="110">
        <v>0.39583333333333298</v>
      </c>
      <c r="CQ43" s="211">
        <f>'HVAC Appliances Austin'!CQ43</f>
        <v>0</v>
      </c>
      <c r="CR43" s="21"/>
      <c r="CS43" s="110">
        <v>0.39583333333333298</v>
      </c>
      <c r="CT43" s="211"/>
      <c r="CU43" s="21"/>
      <c r="CV43" s="110">
        <v>0.39583333333333298</v>
      </c>
      <c r="CW43" s="264"/>
      <c r="CY43" s="260">
        <v>0.39583333333333298</v>
      </c>
      <c r="CZ43" s="211">
        <f>'HVAC Appliances Austin'!CZ43</f>
        <v>83.616444444444497</v>
      </c>
      <c r="DA43" s="110">
        <v>0.39583333333333298</v>
      </c>
      <c r="DB43" s="211">
        <f>'HVAC Appliances Austin'!DB43</f>
        <v>109.75022222222219</v>
      </c>
      <c r="DC43" s="110">
        <v>0.39583333333333298</v>
      </c>
      <c r="DD43" s="211">
        <f>'HVAC Appliances Austin'!DD43</f>
        <v>160.9653333333334</v>
      </c>
      <c r="DE43" s="21"/>
      <c r="DF43" s="110">
        <v>0.39583333333333298</v>
      </c>
      <c r="DG43" s="211">
        <f>'HVAC Appliances Austin'!DG43</f>
        <v>354.92733333333319</v>
      </c>
      <c r="DH43" s="110">
        <v>0.39583333333333298</v>
      </c>
      <c r="DI43" s="211">
        <f>'HVAC Appliances Austin'!DI43</f>
        <v>518.60046527777786</v>
      </c>
      <c r="DJ43" s="110">
        <v>0.39583333333333298</v>
      </c>
      <c r="DK43" s="211">
        <f>'HVAC Appliances Austin'!DK43</f>
        <v>636.1793958333335</v>
      </c>
      <c r="DL43" s="21"/>
      <c r="DM43" s="110">
        <v>0.39583333333333298</v>
      </c>
      <c r="DN43" s="211">
        <f>'HVAC Appliances Austin'!DN43</f>
        <v>585.37233333333336</v>
      </c>
      <c r="DO43" s="110">
        <v>0.39583333333333298</v>
      </c>
      <c r="DP43" s="211">
        <f>'HVAC Appliances Austin'!DP43</f>
        <v>906.1545277777783</v>
      </c>
      <c r="DQ43" s="110">
        <v>0.39583333333333298</v>
      </c>
      <c r="DR43" s="211">
        <f>'HVAC Appliances Austin'!DR43</f>
        <v>1139.9065833333348</v>
      </c>
      <c r="DS43" s="21"/>
      <c r="DT43" s="110">
        <v>0.39583333333333298</v>
      </c>
      <c r="DU43" s="211">
        <f>'HVAC Appliances Austin'!DU43</f>
        <v>0</v>
      </c>
      <c r="DV43" s="110">
        <v>0.39583333333333298</v>
      </c>
      <c r="DW43" s="211">
        <f>'HVAC Appliances Austin'!DW43</f>
        <v>0</v>
      </c>
      <c r="DX43" s="110">
        <v>0.39583333333333298</v>
      </c>
      <c r="DY43" s="211">
        <f>'HVAC Appliances Austin'!DY43</f>
        <v>0</v>
      </c>
      <c r="DZ43" s="21"/>
      <c r="EA43" s="110">
        <v>0.39583333333333298</v>
      </c>
      <c r="EB43" s="211">
        <f>'HVAC Appliances Amarillo'!EB43</f>
        <v>0</v>
      </c>
      <c r="EC43" s="110">
        <v>0.39583333333333298</v>
      </c>
      <c r="ED43" s="211">
        <f>'HVAC Appliances Amarillo'!ED43</f>
        <v>0</v>
      </c>
      <c r="EE43" s="110">
        <v>0.39583333333333298</v>
      </c>
      <c r="EF43" s="211">
        <f>'HVAC Appliances Amarillo'!EF43</f>
        <v>0</v>
      </c>
      <c r="EG43" s="21"/>
      <c r="EH43" s="110">
        <v>0.39583333333333298</v>
      </c>
      <c r="EI43" s="211">
        <f>'HVAC Appliances Austin'!EI43</f>
        <v>684.59733333333372</v>
      </c>
      <c r="EJ43" s="110">
        <v>0.39583333333333298</v>
      </c>
      <c r="EK43" s="211">
        <f>'HVAC Appliances Austin'!EK43</f>
        <v>1074.5524444444454</v>
      </c>
      <c r="EL43" s="110">
        <v>0.39583333333333298</v>
      </c>
      <c r="EM43" s="211">
        <f>'HVAC Appliances Austin'!EM43</f>
        <v>1359.4253333333345</v>
      </c>
      <c r="EN43" s="21"/>
      <c r="EO43" s="110">
        <v>0.39583333333333298</v>
      </c>
      <c r="EP43" s="211"/>
      <c r="EQ43" s="21"/>
      <c r="ER43" s="110">
        <v>0.39583333333333298</v>
      </c>
      <c r="ES43" s="264"/>
      <c r="EU43" s="260">
        <v>0.39583333333333298</v>
      </c>
      <c r="EV43" s="209">
        <f>'HVAC Appliances Amarillo'!EV43</f>
        <v>0</v>
      </c>
      <c r="EW43" s="110">
        <v>0.39583333333333298</v>
      </c>
      <c r="EX43" s="209">
        <f>'HVAC Appliances Amarillo'!EX43</f>
        <v>0</v>
      </c>
      <c r="EY43" s="110">
        <v>0.39583333333333298</v>
      </c>
      <c r="EZ43" s="308">
        <f>'HVAC Appliances Amarillo'!EZ43</f>
        <v>0</v>
      </c>
    </row>
    <row r="44" spans="1:156" x14ac:dyDescent="0.3">
      <c r="A44" s="108">
        <v>0.39583333333333298</v>
      </c>
      <c r="B44" s="226">
        <f t="shared" si="0"/>
        <v>0</v>
      </c>
      <c r="C44" s="21">
        <f t="shared" si="1"/>
        <v>301.41666666666669</v>
      </c>
      <c r="D44" s="20">
        <f t="shared" si="2"/>
        <v>0</v>
      </c>
      <c r="E44" s="20">
        <f t="shared" si="3"/>
        <v>0</v>
      </c>
      <c r="G44" s="260">
        <v>0.40625</v>
      </c>
      <c r="H44" s="211">
        <f>'HVAC Appliances Austin'!H44</f>
        <v>0</v>
      </c>
      <c r="I44" s="110">
        <v>0.40625</v>
      </c>
      <c r="J44" s="211">
        <f>'HVAC Appliances Austin'!J44</f>
        <v>0</v>
      </c>
      <c r="K44" s="110">
        <v>0.40625</v>
      </c>
      <c r="L44" s="211">
        <f>'HVAC Appliances Austin'!L44</f>
        <v>0</v>
      </c>
      <c r="M44" s="21"/>
      <c r="N44" s="110">
        <v>0.40625</v>
      </c>
      <c r="O44" s="211">
        <f>'HVAC Appliances Austin'!O44</f>
        <v>315.13820138888872</v>
      </c>
      <c r="P44" s="110">
        <v>0.40625</v>
      </c>
      <c r="Q44" s="211">
        <f>'HVAC Appliances Austin'!Q44</f>
        <v>468.11784722222205</v>
      </c>
      <c r="R44" s="110">
        <v>0.40625</v>
      </c>
      <c r="S44" s="211">
        <f>'HVAC Appliances Austin'!S44</f>
        <v>573.22897222222173</v>
      </c>
      <c r="T44" s="21"/>
      <c r="U44" s="110">
        <v>0.40625</v>
      </c>
      <c r="V44" s="211">
        <f>'HVAC Appliances Austin'!V44</f>
        <v>539.26913888888873</v>
      </c>
      <c r="W44" s="110">
        <v>0.40625</v>
      </c>
      <c r="X44" s="211">
        <f>'HVAC Appliances Austin'!X44</f>
        <v>844.73972222222255</v>
      </c>
      <c r="Y44" s="110">
        <v>0.40625</v>
      </c>
      <c r="Z44" s="211">
        <f>'HVAC Appliances Austin'!Z44</f>
        <v>1063.2002222222225</v>
      </c>
      <c r="AA44" s="21"/>
      <c r="AB44" s="110">
        <v>0.40625</v>
      </c>
      <c r="AC44" s="211">
        <f>'HVAC Appliances Austin'!AC44</f>
        <v>64.927805555555437</v>
      </c>
      <c r="AD44" s="110">
        <v>0.40625</v>
      </c>
      <c r="AE44" s="211">
        <f>'HVAC Appliances Austin'!AE44</f>
        <v>56.366388888888565</v>
      </c>
      <c r="AF44" s="110">
        <v>0.40625</v>
      </c>
      <c r="AG44" s="211">
        <f>'HVAC Appliances Austin'!AG44</f>
        <v>57.770888888888372</v>
      </c>
      <c r="AH44" s="21"/>
      <c r="AI44" s="110">
        <v>0.40625</v>
      </c>
      <c r="AJ44" s="211">
        <f>'HVAC Appliances Austin'!AJ44</f>
        <v>0</v>
      </c>
      <c r="AK44" s="110">
        <v>0.40625</v>
      </c>
      <c r="AL44" s="211">
        <f>'HVAC Appliances Austin'!AL44</f>
        <v>0</v>
      </c>
      <c r="AM44" s="110">
        <v>0.40625</v>
      </c>
      <c r="AN44" s="211">
        <f>'HVAC Appliances Austin'!AN44</f>
        <v>0</v>
      </c>
      <c r="AO44" s="21"/>
      <c r="AP44" s="110">
        <v>0.40625</v>
      </c>
      <c r="AQ44" s="211">
        <f>'HVAC Appliances Austin'!AQ44</f>
        <v>639.0462222222227</v>
      </c>
      <c r="AR44" s="110">
        <v>0.40625</v>
      </c>
      <c r="AS44" s="211">
        <f>'HVAC Appliances Austin'!AS44</f>
        <v>1013.1355555555568</v>
      </c>
      <c r="AT44" s="110">
        <v>0.40625</v>
      </c>
      <c r="AU44" s="211">
        <f>'HVAC Appliances Austin'!AU44</f>
        <v>1283.9835555555558</v>
      </c>
      <c r="AV44" s="21"/>
      <c r="AW44" s="110">
        <v>0.40625</v>
      </c>
      <c r="AX44" s="211"/>
      <c r="AY44" s="21"/>
      <c r="AZ44" s="110">
        <v>0.40625</v>
      </c>
      <c r="BA44" s="264"/>
      <c r="BC44" s="260">
        <v>0.40625</v>
      </c>
      <c r="BD44" s="211">
        <f>'HVAC Appliances Austin'!BD44</f>
        <v>0</v>
      </c>
      <c r="BE44" s="110">
        <v>0.40625</v>
      </c>
      <c r="BF44" s="211">
        <f>'HVAC Appliances Austin'!BF44</f>
        <v>0</v>
      </c>
      <c r="BG44" s="110">
        <v>0.40625</v>
      </c>
      <c r="BH44" s="211">
        <f>'HVAC Appliances Austin'!BH44</f>
        <v>0</v>
      </c>
      <c r="BI44" s="21"/>
      <c r="BJ44" s="110">
        <v>0.40625</v>
      </c>
      <c r="BK44" s="211">
        <f>'HVAC Appliances Austin'!BK44</f>
        <v>0</v>
      </c>
      <c r="BL44" s="110">
        <v>0.40625</v>
      </c>
      <c r="BM44" s="211">
        <f>'HVAC Appliances Austin'!BM44</f>
        <v>0</v>
      </c>
      <c r="BN44" s="110">
        <v>0.40625</v>
      </c>
      <c r="BO44" s="211">
        <f>'HVAC Appliances Austin'!BO44</f>
        <v>0</v>
      </c>
      <c r="BP44" s="21"/>
      <c r="BQ44" s="110">
        <v>0.40625</v>
      </c>
      <c r="BR44" s="211">
        <f>'HVAC Appliances Austin'!BR44</f>
        <v>0</v>
      </c>
      <c r="BS44" s="110">
        <v>0.40625</v>
      </c>
      <c r="BT44" s="211">
        <f>'HVAC Appliances Austin'!BT44</f>
        <v>0</v>
      </c>
      <c r="BU44" s="110">
        <v>0.40625</v>
      </c>
      <c r="BV44" s="211">
        <f>'HVAC Appliances Austin'!BV44</f>
        <v>0</v>
      </c>
      <c r="BW44" s="21"/>
      <c r="BX44" s="110">
        <v>0.40625</v>
      </c>
      <c r="BY44" s="211">
        <f>'HVAC Appliances Austin'!BY44</f>
        <v>0</v>
      </c>
      <c r="BZ44" s="110">
        <v>0.40625</v>
      </c>
      <c r="CA44" s="211">
        <f>'HVAC Appliances Austin'!CA44</f>
        <v>0</v>
      </c>
      <c r="CB44" s="110">
        <v>0.40625</v>
      </c>
      <c r="CC44" s="211">
        <f>'HVAC Appliances Austin'!CC44</f>
        <v>0</v>
      </c>
      <c r="CD44" s="21"/>
      <c r="CE44" s="110">
        <v>0.40625</v>
      </c>
      <c r="CF44" s="211">
        <f>'HVAC Appliances Austin'!CF44</f>
        <v>116.13416666666667</v>
      </c>
      <c r="CG44" s="110">
        <v>0.40625</v>
      </c>
      <c r="CH44" s="211">
        <f>'HVAC Appliances Austin'!CH44</f>
        <v>226.65666666666667</v>
      </c>
      <c r="CI44" s="110">
        <v>0.40625</v>
      </c>
      <c r="CJ44" s="211">
        <f>'HVAC Appliances Austin'!CJ44</f>
        <v>301.41666666666669</v>
      </c>
      <c r="CK44" s="21"/>
      <c r="CL44" s="110">
        <v>0.40625</v>
      </c>
      <c r="CM44" s="211">
        <f>'HVAC Appliances Austin'!CM44</f>
        <v>0</v>
      </c>
      <c r="CN44" s="110">
        <v>0.40625</v>
      </c>
      <c r="CO44" s="211">
        <f>'HVAC Appliances Austin'!CO44</f>
        <v>0</v>
      </c>
      <c r="CP44" s="110">
        <v>0.40625</v>
      </c>
      <c r="CQ44" s="211">
        <f>'HVAC Appliances Austin'!CQ44</f>
        <v>0</v>
      </c>
      <c r="CR44" s="21"/>
      <c r="CS44" s="110">
        <v>0.40625</v>
      </c>
      <c r="CT44" s="211"/>
      <c r="CU44" s="21"/>
      <c r="CV44" s="110">
        <v>0.40625</v>
      </c>
      <c r="CW44" s="264"/>
      <c r="CY44" s="260">
        <v>0.40625</v>
      </c>
      <c r="CZ44" s="211">
        <f>'HVAC Appliances Austin'!CZ44</f>
        <v>83.616444444444497</v>
      </c>
      <c r="DA44" s="110">
        <v>0.40625</v>
      </c>
      <c r="DB44" s="211">
        <f>'HVAC Appliances Austin'!DB44</f>
        <v>109.75022222222219</v>
      </c>
      <c r="DC44" s="110">
        <v>0.40625</v>
      </c>
      <c r="DD44" s="211">
        <f>'HVAC Appliances Austin'!DD44</f>
        <v>160.9653333333334</v>
      </c>
      <c r="DE44" s="21"/>
      <c r="DF44" s="110">
        <v>0.40625</v>
      </c>
      <c r="DG44" s="211">
        <f>'HVAC Appliances Austin'!DG44</f>
        <v>354.92733333333319</v>
      </c>
      <c r="DH44" s="110">
        <v>0.40625</v>
      </c>
      <c r="DI44" s="211">
        <f>'HVAC Appliances Austin'!DI44</f>
        <v>518.60046527777786</v>
      </c>
      <c r="DJ44" s="110">
        <v>0.40625</v>
      </c>
      <c r="DK44" s="211">
        <f>'HVAC Appliances Austin'!DK44</f>
        <v>636.1793958333335</v>
      </c>
      <c r="DL44" s="21"/>
      <c r="DM44" s="110">
        <v>0.40625</v>
      </c>
      <c r="DN44" s="211">
        <f>'HVAC Appliances Austin'!DN44</f>
        <v>585.37233333333336</v>
      </c>
      <c r="DO44" s="110">
        <v>0.40625</v>
      </c>
      <c r="DP44" s="211">
        <f>'HVAC Appliances Austin'!DP44</f>
        <v>906.1545277777783</v>
      </c>
      <c r="DQ44" s="110">
        <v>0.40625</v>
      </c>
      <c r="DR44" s="211">
        <f>'HVAC Appliances Austin'!DR44</f>
        <v>1139.9065833333348</v>
      </c>
      <c r="DS44" s="21"/>
      <c r="DT44" s="110">
        <v>0.40625</v>
      </c>
      <c r="DU44" s="211">
        <f>'HVAC Appliances Austin'!DU44</f>
        <v>0</v>
      </c>
      <c r="DV44" s="110">
        <v>0.40625</v>
      </c>
      <c r="DW44" s="211">
        <f>'HVAC Appliances Austin'!DW44</f>
        <v>0</v>
      </c>
      <c r="DX44" s="110">
        <v>0.40625</v>
      </c>
      <c r="DY44" s="211">
        <f>'HVAC Appliances Austin'!DY44</f>
        <v>0</v>
      </c>
      <c r="DZ44" s="21"/>
      <c r="EA44" s="110">
        <v>0.40625</v>
      </c>
      <c r="EB44" s="211">
        <f>'HVAC Appliances Amarillo'!EB44</f>
        <v>0</v>
      </c>
      <c r="EC44" s="110">
        <v>0.40625</v>
      </c>
      <c r="ED44" s="211">
        <f>'HVAC Appliances Amarillo'!ED44</f>
        <v>0</v>
      </c>
      <c r="EE44" s="110">
        <v>0.40625</v>
      </c>
      <c r="EF44" s="211">
        <f>'HVAC Appliances Amarillo'!EF44</f>
        <v>0</v>
      </c>
      <c r="EG44" s="21"/>
      <c r="EH44" s="110">
        <v>0.40625</v>
      </c>
      <c r="EI44" s="211">
        <f>'HVAC Appliances Austin'!EI44</f>
        <v>684.59733333333372</v>
      </c>
      <c r="EJ44" s="110">
        <v>0.40625</v>
      </c>
      <c r="EK44" s="211">
        <f>'HVAC Appliances Austin'!EK44</f>
        <v>1074.5524444444454</v>
      </c>
      <c r="EL44" s="110">
        <v>0.40625</v>
      </c>
      <c r="EM44" s="211">
        <f>'HVAC Appliances Austin'!EM44</f>
        <v>1359.4253333333345</v>
      </c>
      <c r="EN44" s="21"/>
      <c r="EO44" s="110">
        <v>0.40625</v>
      </c>
      <c r="EP44" s="211"/>
      <c r="EQ44" s="21"/>
      <c r="ER44" s="110">
        <v>0.40625</v>
      </c>
      <c r="ES44" s="264"/>
      <c r="EU44" s="260">
        <v>0.40625</v>
      </c>
      <c r="EV44" s="209">
        <f>'HVAC Appliances Amarillo'!EV44</f>
        <v>0</v>
      </c>
      <c r="EW44" s="110">
        <v>0.40625</v>
      </c>
      <c r="EX44" s="209">
        <f>'HVAC Appliances Amarillo'!EX44</f>
        <v>0</v>
      </c>
      <c r="EY44" s="110">
        <v>0.40625</v>
      </c>
      <c r="EZ44" s="308">
        <f>'HVAC Appliances Amarillo'!EZ44</f>
        <v>0</v>
      </c>
    </row>
    <row r="45" spans="1:156" x14ac:dyDescent="0.3">
      <c r="A45" s="108">
        <v>0.40625</v>
      </c>
      <c r="B45" s="226">
        <f t="shared" si="0"/>
        <v>0</v>
      </c>
      <c r="C45" s="21">
        <f t="shared" si="1"/>
        <v>301.41666666666669</v>
      </c>
      <c r="D45" s="20">
        <f t="shared" si="2"/>
        <v>0</v>
      </c>
      <c r="E45" s="20">
        <f t="shared" si="3"/>
        <v>0</v>
      </c>
      <c r="G45" s="260">
        <v>0.41666666666666702</v>
      </c>
      <c r="H45" s="211">
        <f>'HVAC Appliances Austin'!H45</f>
        <v>73.355555555555398</v>
      </c>
      <c r="I45" s="110">
        <v>0.41666666666666702</v>
      </c>
      <c r="J45" s="211">
        <f>'HVAC Appliances Austin'!J45</f>
        <v>69.588888888888917</v>
      </c>
      <c r="K45" s="110">
        <v>0.41666666666666702</v>
      </c>
      <c r="L45" s="211">
        <f>'HVAC Appliances Austin'!L45</f>
        <v>72.788888888888792</v>
      </c>
      <c r="M45" s="21"/>
      <c r="N45" s="110">
        <v>0.41666666666666702</v>
      </c>
      <c r="O45" s="211">
        <f>'HVAC Appliances Austin'!O45</f>
        <v>380.9310347222218</v>
      </c>
      <c r="P45" s="110">
        <v>0.41666666666666702</v>
      </c>
      <c r="Q45" s="211">
        <f>'HVAC Appliances Austin'!Q45</f>
        <v>578.35618055555528</v>
      </c>
      <c r="R45" s="110">
        <v>0.41666666666666702</v>
      </c>
      <c r="S45" s="211">
        <f>'HVAC Appliances Austin'!S45</f>
        <v>715.90630555555504</v>
      </c>
      <c r="T45" s="21"/>
      <c r="U45" s="110">
        <v>0.41666666666666702</v>
      </c>
      <c r="V45" s="211">
        <f>'HVAC Appliances Austin'!V45</f>
        <v>704.72655555555514</v>
      </c>
      <c r="W45" s="110">
        <v>0.41666666666666702</v>
      </c>
      <c r="X45" s="211">
        <f>'HVAC Appliances Austin'!X45</f>
        <v>1124.1488888888891</v>
      </c>
      <c r="Y45" s="110">
        <v>0.41666666666666702</v>
      </c>
      <c r="Z45" s="211">
        <f>'HVAC Appliances Austin'!Z45</f>
        <v>1429.9108888888886</v>
      </c>
      <c r="AA45" s="21"/>
      <c r="AB45" s="110">
        <v>0.41666666666666702</v>
      </c>
      <c r="AC45" s="211">
        <f>'HVAC Appliances Austin'!AC45</f>
        <v>72.690999999999946</v>
      </c>
      <c r="AD45" s="110">
        <v>0.41666666666666702</v>
      </c>
      <c r="AE45" s="211">
        <f>'HVAC Appliances Austin'!AE45</f>
        <v>68.540000000000049</v>
      </c>
      <c r="AF45" s="110">
        <v>0.41666666666666702</v>
      </c>
      <c r="AG45" s="211">
        <f>'HVAC Appliances Austin'!AG45</f>
        <v>71.581999999999809</v>
      </c>
      <c r="AH45" s="21"/>
      <c r="AI45" s="110">
        <v>0.41666666666666702</v>
      </c>
      <c r="AJ45" s="211">
        <f>'HVAC Appliances Austin'!AJ45</f>
        <v>0</v>
      </c>
      <c r="AK45" s="110">
        <v>0.41666666666666702</v>
      </c>
      <c r="AL45" s="211">
        <f>'HVAC Appliances Austin'!AL45</f>
        <v>0</v>
      </c>
      <c r="AM45" s="110">
        <v>0.41666666666666702</v>
      </c>
      <c r="AN45" s="211">
        <f>'HVAC Appliances Austin'!AN45</f>
        <v>0</v>
      </c>
      <c r="AO45" s="21"/>
      <c r="AP45" s="110">
        <v>0.41666666666666702</v>
      </c>
      <c r="AQ45" s="211">
        <f>'HVAC Appliances Austin'!AQ45</f>
        <v>768.43936805555472</v>
      </c>
      <c r="AR45" s="110">
        <v>0.41666666666666702</v>
      </c>
      <c r="AS45" s="211">
        <f>'HVAC Appliances Austin'!AS45</f>
        <v>1231.939513888889</v>
      </c>
      <c r="AT45" s="110">
        <v>0.41666666666666702</v>
      </c>
      <c r="AU45" s="211">
        <f>'HVAC Appliances Austin'!AU45</f>
        <v>1571.8396388888877</v>
      </c>
      <c r="AV45" s="21"/>
      <c r="AW45" s="110">
        <v>0.41666666666666702</v>
      </c>
      <c r="AX45" s="211"/>
      <c r="AY45" s="21"/>
      <c r="AZ45" s="110">
        <v>0.41666666666666702</v>
      </c>
      <c r="BA45" s="264"/>
      <c r="BC45" s="260">
        <v>0.41666666666666702</v>
      </c>
      <c r="BD45" s="211">
        <f>'HVAC Appliances Austin'!BD45</f>
        <v>0</v>
      </c>
      <c r="BE45" s="110">
        <v>0.41666666666666702</v>
      </c>
      <c r="BF45" s="211">
        <f>'HVAC Appliances Austin'!BF45</f>
        <v>0</v>
      </c>
      <c r="BG45" s="110">
        <v>0.41666666666666702</v>
      </c>
      <c r="BH45" s="211">
        <f>'HVAC Appliances Austin'!BH45</f>
        <v>0</v>
      </c>
      <c r="BI45" s="21"/>
      <c r="BJ45" s="110">
        <v>0.41666666666666702</v>
      </c>
      <c r="BK45" s="211">
        <f>'HVAC Appliances Austin'!BK45</f>
        <v>0</v>
      </c>
      <c r="BL45" s="110">
        <v>0.41666666666666702</v>
      </c>
      <c r="BM45" s="211">
        <f>'HVAC Appliances Austin'!BM45</f>
        <v>0</v>
      </c>
      <c r="BN45" s="110">
        <v>0.41666666666666702</v>
      </c>
      <c r="BO45" s="211">
        <f>'HVAC Appliances Austin'!BO45</f>
        <v>0</v>
      </c>
      <c r="BP45" s="21"/>
      <c r="BQ45" s="110">
        <v>0.41666666666666702</v>
      </c>
      <c r="BR45" s="211">
        <f>'HVAC Appliances Austin'!BR45</f>
        <v>0</v>
      </c>
      <c r="BS45" s="110">
        <v>0.41666666666666702</v>
      </c>
      <c r="BT45" s="211">
        <f>'HVAC Appliances Austin'!BT45</f>
        <v>0</v>
      </c>
      <c r="BU45" s="110">
        <v>0.41666666666666702</v>
      </c>
      <c r="BV45" s="211">
        <f>'HVAC Appliances Austin'!BV45</f>
        <v>0</v>
      </c>
      <c r="BW45" s="21"/>
      <c r="BX45" s="110">
        <v>0.41666666666666702</v>
      </c>
      <c r="BY45" s="211">
        <f>'HVAC Appliances Austin'!BY45</f>
        <v>0</v>
      </c>
      <c r="BZ45" s="110">
        <v>0.41666666666666702</v>
      </c>
      <c r="CA45" s="211">
        <f>'HVAC Appliances Austin'!CA45</f>
        <v>0</v>
      </c>
      <c r="CB45" s="110">
        <v>0.41666666666666702</v>
      </c>
      <c r="CC45" s="211">
        <f>'HVAC Appliances Austin'!CC45</f>
        <v>0</v>
      </c>
      <c r="CD45" s="21"/>
      <c r="CE45" s="110">
        <v>0.41666666666666702</v>
      </c>
      <c r="CF45" s="211">
        <f>'HVAC Appliances Austin'!CF45</f>
        <v>104.38666666666667</v>
      </c>
      <c r="CG45" s="110">
        <v>0.41666666666666702</v>
      </c>
      <c r="CH45" s="211">
        <f>'HVAC Appliances Austin'!CH45</f>
        <v>202.5266666666667</v>
      </c>
      <c r="CI45" s="110">
        <v>0.41666666666666702</v>
      </c>
      <c r="CJ45" s="211">
        <f>'HVAC Appliances Austin'!CJ45</f>
        <v>269.66666666666674</v>
      </c>
      <c r="CK45" s="21"/>
      <c r="CL45" s="110">
        <v>0.41666666666666702</v>
      </c>
      <c r="CM45" s="211">
        <f>'HVAC Appliances Austin'!CM45</f>
        <v>0</v>
      </c>
      <c r="CN45" s="110">
        <v>0.41666666666666702</v>
      </c>
      <c r="CO45" s="211">
        <f>'HVAC Appliances Austin'!CO45</f>
        <v>0</v>
      </c>
      <c r="CP45" s="110">
        <v>0.41666666666666702</v>
      </c>
      <c r="CQ45" s="211">
        <f>'HVAC Appliances Austin'!CQ45</f>
        <v>0</v>
      </c>
      <c r="CR45" s="21"/>
      <c r="CS45" s="110">
        <v>0.41666666666666702</v>
      </c>
      <c r="CT45" s="211"/>
      <c r="CU45" s="21"/>
      <c r="CV45" s="110">
        <v>0.41666666666666702</v>
      </c>
      <c r="CW45" s="264"/>
      <c r="CY45" s="260">
        <v>0.41666666666666702</v>
      </c>
      <c r="CZ45" s="211">
        <f>'HVAC Appliances Austin'!CZ45</f>
        <v>70.799999999999912</v>
      </c>
      <c r="DA45" s="110">
        <v>0.41666666666666702</v>
      </c>
      <c r="DB45" s="211">
        <f>'HVAC Appliances Austin'!DB45</f>
        <v>56.877777777777808</v>
      </c>
      <c r="DC45" s="110">
        <v>0.41666666666666702</v>
      </c>
      <c r="DD45" s="211">
        <f>'HVAC Appliances Austin'!DD45</f>
        <v>42.833333333333279</v>
      </c>
      <c r="DE45" s="21"/>
      <c r="DF45" s="110">
        <v>0.41666666666666702</v>
      </c>
      <c r="DG45" s="211">
        <f>'HVAC Appliances Austin'!DG45</f>
        <v>424.029333333333</v>
      </c>
      <c r="DH45" s="110">
        <v>0.41666666666666702</v>
      </c>
      <c r="DI45" s="211">
        <f>'HVAC Appliances Austin'!DI45</f>
        <v>634.15363194444433</v>
      </c>
      <c r="DJ45" s="110">
        <v>0.41666666666666702</v>
      </c>
      <c r="DK45" s="211">
        <f>'HVAC Appliances Austin'!DK45</f>
        <v>786.09289583333282</v>
      </c>
      <c r="DL45" s="21"/>
      <c r="DM45" s="110">
        <v>0.41666666666666702</v>
      </c>
      <c r="DN45" s="211">
        <f>'HVAC Appliances Austin'!DN45</f>
        <v>749.16599999999983</v>
      </c>
      <c r="DO45" s="110">
        <v>0.41666666666666702</v>
      </c>
      <c r="DP45" s="211">
        <f>'HVAC Appliances Austin'!DP45</f>
        <v>1184.4847777777777</v>
      </c>
      <c r="DQ45" s="110">
        <v>0.41666666666666702</v>
      </c>
      <c r="DR45" s="211">
        <f>'HVAC Appliances Austin'!DR45</f>
        <v>1502.8763333333334</v>
      </c>
      <c r="DS45" s="21"/>
      <c r="DT45" s="110">
        <v>0.41666666666666702</v>
      </c>
      <c r="DU45" s="211">
        <f>'HVAC Appliances Austin'!DU45</f>
        <v>69.805999999999869</v>
      </c>
      <c r="DV45" s="110">
        <v>0.41666666666666702</v>
      </c>
      <c r="DW45" s="211">
        <f>'HVAC Appliances Austin'!DW45</f>
        <v>55.346999999999809</v>
      </c>
      <c r="DX45" s="110">
        <v>0.41666666666666702</v>
      </c>
      <c r="DY45" s="211">
        <f>'HVAC Appliances Austin'!DY45</f>
        <v>40.903000000000134</v>
      </c>
      <c r="DZ45" s="21"/>
      <c r="EA45" s="110">
        <v>0.41666666666666702</v>
      </c>
      <c r="EB45" s="211">
        <f>'HVAC Appliances Amarillo'!EB45</f>
        <v>2931.6000000000004</v>
      </c>
      <c r="EC45" s="110">
        <v>0.41666666666666702</v>
      </c>
      <c r="ED45" s="211">
        <f>'HVAC Appliances Amarillo'!ED45</f>
        <v>12300</v>
      </c>
      <c r="EE45" s="110">
        <v>0.41666666666666702</v>
      </c>
      <c r="EF45" s="211">
        <f>'HVAC Appliances Amarillo'!EF45</f>
        <v>16000</v>
      </c>
      <c r="EG45" s="21"/>
      <c r="EH45" s="110">
        <v>0.41666666666666702</v>
      </c>
      <c r="EI45" s="211">
        <f>'HVAC Appliances Austin'!EI45</f>
        <v>811.32933333333267</v>
      </c>
      <c r="EJ45" s="110">
        <v>0.41666666666666702</v>
      </c>
      <c r="EK45" s="211">
        <f>'HVAC Appliances Austin'!EK45</f>
        <v>1290.5452986111104</v>
      </c>
      <c r="EL45" s="110">
        <v>0.41666666666666702</v>
      </c>
      <c r="EM45" s="211">
        <f>'HVAC Appliances Austin'!EM45</f>
        <v>1641.3678958333321</v>
      </c>
      <c r="EN45" s="21"/>
      <c r="EO45" s="110">
        <v>0.41666666666666702</v>
      </c>
      <c r="EP45" s="211"/>
      <c r="EQ45" s="21"/>
      <c r="ER45" s="110">
        <v>0.41666666666666702</v>
      </c>
      <c r="ES45" s="264"/>
      <c r="EU45" s="260">
        <v>0.41666666666666702</v>
      </c>
      <c r="EV45" s="209">
        <f>'HVAC Appliances Amarillo'!EV45</f>
        <v>1620</v>
      </c>
      <c r="EW45" s="110">
        <v>0.41666666666666702</v>
      </c>
      <c r="EX45" s="209">
        <f>'HVAC Appliances Amarillo'!EX45</f>
        <v>5400</v>
      </c>
      <c r="EY45" s="110">
        <v>0.41666666666666702</v>
      </c>
      <c r="EZ45" s="308">
        <f>'HVAC Appliances Amarillo'!EZ45</f>
        <v>5400</v>
      </c>
    </row>
    <row r="46" spans="1:156" x14ac:dyDescent="0.3">
      <c r="A46" s="108">
        <v>0.41666666666666702</v>
      </c>
      <c r="B46" s="226">
        <f t="shared" si="0"/>
        <v>0</v>
      </c>
      <c r="C46" s="21">
        <f t="shared" si="1"/>
        <v>269.66666666666674</v>
      </c>
      <c r="D46" s="20">
        <f t="shared" si="2"/>
        <v>16000</v>
      </c>
      <c r="E46" s="20">
        <f t="shared" si="3"/>
        <v>5400</v>
      </c>
      <c r="G46" s="260">
        <v>0.42708333333333298</v>
      </c>
      <c r="H46" s="211">
        <f>'HVAC Appliances Austin'!H46</f>
        <v>73.355555555555398</v>
      </c>
      <c r="I46" s="110">
        <v>0.42708333333333298</v>
      </c>
      <c r="J46" s="211">
        <f>'HVAC Appliances Austin'!J46</f>
        <v>69.588888888888917</v>
      </c>
      <c r="K46" s="110">
        <v>0.42708333333333298</v>
      </c>
      <c r="L46" s="211">
        <f>'HVAC Appliances Austin'!L46</f>
        <v>72.788888888888792</v>
      </c>
      <c r="M46" s="21"/>
      <c r="N46" s="110">
        <v>0.42708333333333298</v>
      </c>
      <c r="O46" s="211">
        <f>'HVAC Appliances Austin'!O46</f>
        <v>380.9310347222218</v>
      </c>
      <c r="P46" s="110">
        <v>0.42708333333333298</v>
      </c>
      <c r="Q46" s="211">
        <f>'HVAC Appliances Austin'!Q46</f>
        <v>578.35618055555528</v>
      </c>
      <c r="R46" s="110">
        <v>0.42708333333333298</v>
      </c>
      <c r="S46" s="211">
        <f>'HVAC Appliances Austin'!S46</f>
        <v>715.90630555555504</v>
      </c>
      <c r="T46" s="21"/>
      <c r="U46" s="110">
        <v>0.42708333333333298</v>
      </c>
      <c r="V46" s="211">
        <f>'HVAC Appliances Austin'!V46</f>
        <v>704.72655555555514</v>
      </c>
      <c r="W46" s="110">
        <v>0.42708333333333298</v>
      </c>
      <c r="X46" s="211">
        <f>'HVAC Appliances Austin'!X46</f>
        <v>1124.1488888888891</v>
      </c>
      <c r="Y46" s="110">
        <v>0.42708333333333298</v>
      </c>
      <c r="Z46" s="211">
        <f>'HVAC Appliances Austin'!Z46</f>
        <v>1429.9108888888886</v>
      </c>
      <c r="AA46" s="21"/>
      <c r="AB46" s="110">
        <v>0.42708333333333298</v>
      </c>
      <c r="AC46" s="211">
        <f>'HVAC Appliances Austin'!AC46</f>
        <v>72.690999999999946</v>
      </c>
      <c r="AD46" s="110">
        <v>0.42708333333333298</v>
      </c>
      <c r="AE46" s="211">
        <f>'HVAC Appliances Austin'!AE46</f>
        <v>68.540000000000049</v>
      </c>
      <c r="AF46" s="110">
        <v>0.42708333333333298</v>
      </c>
      <c r="AG46" s="211">
        <f>'HVAC Appliances Austin'!AG46</f>
        <v>71.581999999999809</v>
      </c>
      <c r="AH46" s="21"/>
      <c r="AI46" s="110">
        <v>0.42708333333333298</v>
      </c>
      <c r="AJ46" s="211">
        <f>'HVAC Appliances Austin'!AJ46</f>
        <v>0</v>
      </c>
      <c r="AK46" s="110">
        <v>0.42708333333333298</v>
      </c>
      <c r="AL46" s="211">
        <f>'HVAC Appliances Austin'!AL46</f>
        <v>0</v>
      </c>
      <c r="AM46" s="110">
        <v>0.42708333333333298</v>
      </c>
      <c r="AN46" s="211">
        <f>'HVAC Appliances Austin'!AN46</f>
        <v>0</v>
      </c>
      <c r="AO46" s="21"/>
      <c r="AP46" s="110">
        <v>0.42708333333333298</v>
      </c>
      <c r="AQ46" s="211">
        <f>'HVAC Appliances Austin'!AQ46</f>
        <v>768.43936805555472</v>
      </c>
      <c r="AR46" s="110">
        <v>0.42708333333333298</v>
      </c>
      <c r="AS46" s="211">
        <f>'HVAC Appliances Austin'!AS46</f>
        <v>1231.939513888889</v>
      </c>
      <c r="AT46" s="110">
        <v>0.42708333333333298</v>
      </c>
      <c r="AU46" s="211">
        <f>'HVAC Appliances Austin'!AU46</f>
        <v>1571.8396388888877</v>
      </c>
      <c r="AV46" s="21"/>
      <c r="AW46" s="110">
        <v>0.42708333333333298</v>
      </c>
      <c r="AX46" s="211"/>
      <c r="AY46" s="21"/>
      <c r="AZ46" s="110">
        <v>0.42708333333333298</v>
      </c>
      <c r="BA46" s="264"/>
      <c r="BC46" s="260">
        <v>0.42708333333333298</v>
      </c>
      <c r="BD46" s="211">
        <f>'HVAC Appliances Austin'!BD46</f>
        <v>0</v>
      </c>
      <c r="BE46" s="110">
        <v>0.42708333333333298</v>
      </c>
      <c r="BF46" s="211">
        <f>'HVAC Appliances Austin'!BF46</f>
        <v>0</v>
      </c>
      <c r="BG46" s="110">
        <v>0.42708333333333298</v>
      </c>
      <c r="BH46" s="211">
        <f>'HVAC Appliances Austin'!BH46</f>
        <v>0</v>
      </c>
      <c r="BI46" s="21"/>
      <c r="BJ46" s="110">
        <v>0.42708333333333298</v>
      </c>
      <c r="BK46" s="211">
        <f>'HVAC Appliances Austin'!BK46</f>
        <v>0</v>
      </c>
      <c r="BL46" s="110">
        <v>0.42708333333333298</v>
      </c>
      <c r="BM46" s="211">
        <f>'HVAC Appliances Austin'!BM46</f>
        <v>0</v>
      </c>
      <c r="BN46" s="110">
        <v>0.42708333333333298</v>
      </c>
      <c r="BO46" s="211">
        <f>'HVAC Appliances Austin'!BO46</f>
        <v>0</v>
      </c>
      <c r="BP46" s="21"/>
      <c r="BQ46" s="110">
        <v>0.42708333333333298</v>
      </c>
      <c r="BR46" s="211">
        <f>'HVAC Appliances Austin'!BR46</f>
        <v>0</v>
      </c>
      <c r="BS46" s="110">
        <v>0.42708333333333298</v>
      </c>
      <c r="BT46" s="211">
        <f>'HVAC Appliances Austin'!BT46</f>
        <v>0</v>
      </c>
      <c r="BU46" s="110">
        <v>0.42708333333333298</v>
      </c>
      <c r="BV46" s="211">
        <f>'HVAC Appliances Austin'!BV46</f>
        <v>0</v>
      </c>
      <c r="BW46" s="21"/>
      <c r="BX46" s="110">
        <v>0.42708333333333298</v>
      </c>
      <c r="BY46" s="211">
        <f>'HVAC Appliances Austin'!BY46</f>
        <v>0</v>
      </c>
      <c r="BZ46" s="110">
        <v>0.42708333333333298</v>
      </c>
      <c r="CA46" s="211">
        <f>'HVAC Appliances Austin'!CA46</f>
        <v>0</v>
      </c>
      <c r="CB46" s="110">
        <v>0.42708333333333298</v>
      </c>
      <c r="CC46" s="211">
        <f>'HVAC Appliances Austin'!CC46</f>
        <v>0</v>
      </c>
      <c r="CD46" s="21"/>
      <c r="CE46" s="110">
        <v>0.42708333333333298</v>
      </c>
      <c r="CF46" s="211">
        <f>'HVAC Appliances Austin'!CF46</f>
        <v>104.38666666666667</v>
      </c>
      <c r="CG46" s="110">
        <v>0.42708333333333298</v>
      </c>
      <c r="CH46" s="211">
        <f>'HVAC Appliances Austin'!CH46</f>
        <v>202.5266666666667</v>
      </c>
      <c r="CI46" s="110">
        <v>0.42708333333333298</v>
      </c>
      <c r="CJ46" s="211">
        <f>'HVAC Appliances Austin'!CJ46</f>
        <v>269.66666666666674</v>
      </c>
      <c r="CK46" s="21"/>
      <c r="CL46" s="110">
        <v>0.42708333333333298</v>
      </c>
      <c r="CM46" s="211">
        <f>'HVAC Appliances Austin'!CM46</f>
        <v>0</v>
      </c>
      <c r="CN46" s="110">
        <v>0.42708333333333298</v>
      </c>
      <c r="CO46" s="211">
        <f>'HVAC Appliances Austin'!CO46</f>
        <v>0</v>
      </c>
      <c r="CP46" s="110">
        <v>0.42708333333333298</v>
      </c>
      <c r="CQ46" s="211">
        <f>'HVAC Appliances Austin'!CQ46</f>
        <v>0</v>
      </c>
      <c r="CR46" s="21"/>
      <c r="CS46" s="110">
        <v>0.42708333333333298</v>
      </c>
      <c r="CT46" s="211"/>
      <c r="CU46" s="21"/>
      <c r="CV46" s="110">
        <v>0.42708333333333298</v>
      </c>
      <c r="CW46" s="264"/>
      <c r="CY46" s="260">
        <v>0.42708333333333298</v>
      </c>
      <c r="CZ46" s="211">
        <f>'HVAC Appliances Austin'!CZ46</f>
        <v>70.799999999999912</v>
      </c>
      <c r="DA46" s="110">
        <v>0.42708333333333298</v>
      </c>
      <c r="DB46" s="211">
        <f>'HVAC Appliances Austin'!DB46</f>
        <v>56.877777777777808</v>
      </c>
      <c r="DC46" s="110">
        <v>0.42708333333333298</v>
      </c>
      <c r="DD46" s="211">
        <f>'HVAC Appliances Austin'!DD46</f>
        <v>42.833333333333279</v>
      </c>
      <c r="DE46" s="21"/>
      <c r="DF46" s="110">
        <v>0.42708333333333298</v>
      </c>
      <c r="DG46" s="211">
        <f>'HVAC Appliances Austin'!DG46</f>
        <v>424.029333333333</v>
      </c>
      <c r="DH46" s="110">
        <v>0.42708333333333298</v>
      </c>
      <c r="DI46" s="211">
        <f>'HVAC Appliances Austin'!DI46</f>
        <v>634.15363194444433</v>
      </c>
      <c r="DJ46" s="110">
        <v>0.42708333333333298</v>
      </c>
      <c r="DK46" s="211">
        <f>'HVAC Appliances Austin'!DK46</f>
        <v>786.09289583333282</v>
      </c>
      <c r="DL46" s="21"/>
      <c r="DM46" s="110">
        <v>0.42708333333333298</v>
      </c>
      <c r="DN46" s="211">
        <f>'HVAC Appliances Austin'!DN46</f>
        <v>749.16599999999983</v>
      </c>
      <c r="DO46" s="110">
        <v>0.42708333333333298</v>
      </c>
      <c r="DP46" s="211">
        <f>'HVAC Appliances Austin'!DP46</f>
        <v>1184.4847777777777</v>
      </c>
      <c r="DQ46" s="110">
        <v>0.42708333333333298</v>
      </c>
      <c r="DR46" s="211">
        <f>'HVAC Appliances Austin'!DR46</f>
        <v>1502.8763333333334</v>
      </c>
      <c r="DS46" s="21"/>
      <c r="DT46" s="110">
        <v>0.42708333333333298</v>
      </c>
      <c r="DU46" s="211">
        <f>'HVAC Appliances Austin'!DU46</f>
        <v>69.805999999999869</v>
      </c>
      <c r="DV46" s="110">
        <v>0.42708333333333298</v>
      </c>
      <c r="DW46" s="211">
        <f>'HVAC Appliances Austin'!DW46</f>
        <v>55.346999999999809</v>
      </c>
      <c r="DX46" s="110">
        <v>0.42708333333333298</v>
      </c>
      <c r="DY46" s="211">
        <f>'HVAC Appliances Austin'!DY46</f>
        <v>40.903000000000134</v>
      </c>
      <c r="DZ46" s="21"/>
      <c r="EA46" s="110">
        <v>0.42708333333333298</v>
      </c>
      <c r="EB46" s="211">
        <f>'HVAC Appliances Amarillo'!EB46</f>
        <v>2931.6000000000004</v>
      </c>
      <c r="EC46" s="110">
        <v>0.42708333333333298</v>
      </c>
      <c r="ED46" s="211">
        <f>'HVAC Appliances Amarillo'!ED46</f>
        <v>0</v>
      </c>
      <c r="EE46" s="110">
        <v>0.42708333333333298</v>
      </c>
      <c r="EF46" s="211">
        <f>'HVAC Appliances Amarillo'!EF46</f>
        <v>0</v>
      </c>
      <c r="EG46" s="21"/>
      <c r="EH46" s="110">
        <v>0.42708333333333298</v>
      </c>
      <c r="EI46" s="211">
        <f>'HVAC Appliances Austin'!EI46</f>
        <v>811.32933333333267</v>
      </c>
      <c r="EJ46" s="110">
        <v>0.42708333333333298</v>
      </c>
      <c r="EK46" s="211">
        <f>'HVAC Appliances Austin'!EK46</f>
        <v>1290.5452986111104</v>
      </c>
      <c r="EL46" s="110">
        <v>0.42708333333333298</v>
      </c>
      <c r="EM46" s="211">
        <f>'HVAC Appliances Austin'!EM46</f>
        <v>1641.3678958333321</v>
      </c>
      <c r="EN46" s="21"/>
      <c r="EO46" s="110">
        <v>0.42708333333333298</v>
      </c>
      <c r="EP46" s="211"/>
      <c r="EQ46" s="21"/>
      <c r="ER46" s="110">
        <v>0.42708333333333298</v>
      </c>
      <c r="ES46" s="264"/>
      <c r="EU46" s="260">
        <v>0.42708333333333298</v>
      </c>
      <c r="EV46" s="209">
        <f>'HVAC Appliances Amarillo'!EV46</f>
        <v>1620</v>
      </c>
      <c r="EW46" s="110">
        <v>0.42708333333333298</v>
      </c>
      <c r="EX46" s="209">
        <f>'HVAC Appliances Amarillo'!EX46</f>
        <v>0</v>
      </c>
      <c r="EY46" s="110">
        <v>0.42708333333333298</v>
      </c>
      <c r="EZ46" s="308">
        <f>'HVAC Appliances Amarillo'!EZ46</f>
        <v>0</v>
      </c>
    </row>
    <row r="47" spans="1:156" x14ac:dyDescent="0.3">
      <c r="A47" s="108">
        <v>0.42708333333333298</v>
      </c>
      <c r="B47" s="226">
        <f t="shared" si="0"/>
        <v>0</v>
      </c>
      <c r="C47" s="21">
        <f t="shared" si="1"/>
        <v>269.66666666666674</v>
      </c>
      <c r="D47" s="20">
        <f t="shared" si="2"/>
        <v>0</v>
      </c>
      <c r="E47" s="20">
        <f t="shared" si="3"/>
        <v>0</v>
      </c>
      <c r="G47" s="260">
        <v>0.4375</v>
      </c>
      <c r="H47" s="211">
        <f>'HVAC Appliances Austin'!H47</f>
        <v>73.355555555555398</v>
      </c>
      <c r="I47" s="110">
        <v>0.4375</v>
      </c>
      <c r="J47" s="211">
        <f>'HVAC Appliances Austin'!J47</f>
        <v>69.588888888888917</v>
      </c>
      <c r="K47" s="110">
        <v>0.4375</v>
      </c>
      <c r="L47" s="211">
        <f>'HVAC Appliances Austin'!L47</f>
        <v>72.788888888888792</v>
      </c>
      <c r="M47" s="21"/>
      <c r="N47" s="110">
        <v>0.4375</v>
      </c>
      <c r="O47" s="211">
        <f>'HVAC Appliances Austin'!O47</f>
        <v>380.9310347222218</v>
      </c>
      <c r="P47" s="110">
        <v>0.4375</v>
      </c>
      <c r="Q47" s="211">
        <f>'HVAC Appliances Austin'!Q47</f>
        <v>578.35618055555528</v>
      </c>
      <c r="R47" s="110">
        <v>0.4375</v>
      </c>
      <c r="S47" s="211">
        <f>'HVAC Appliances Austin'!S47</f>
        <v>715.90630555555504</v>
      </c>
      <c r="T47" s="21"/>
      <c r="U47" s="110">
        <v>0.4375</v>
      </c>
      <c r="V47" s="211">
        <f>'HVAC Appliances Austin'!V47</f>
        <v>704.72655555555514</v>
      </c>
      <c r="W47" s="110">
        <v>0.4375</v>
      </c>
      <c r="X47" s="211">
        <f>'HVAC Appliances Austin'!X47</f>
        <v>1124.1488888888891</v>
      </c>
      <c r="Y47" s="110">
        <v>0.4375</v>
      </c>
      <c r="Z47" s="211">
        <f>'HVAC Appliances Austin'!Z47</f>
        <v>1429.9108888888886</v>
      </c>
      <c r="AA47" s="21"/>
      <c r="AB47" s="110">
        <v>0.4375</v>
      </c>
      <c r="AC47" s="211">
        <f>'HVAC Appliances Austin'!AC47</f>
        <v>72.690999999999946</v>
      </c>
      <c r="AD47" s="110">
        <v>0.4375</v>
      </c>
      <c r="AE47" s="211">
        <f>'HVAC Appliances Austin'!AE47</f>
        <v>68.540000000000049</v>
      </c>
      <c r="AF47" s="110">
        <v>0.4375</v>
      </c>
      <c r="AG47" s="211">
        <f>'HVAC Appliances Austin'!AG47</f>
        <v>71.581999999999809</v>
      </c>
      <c r="AH47" s="21"/>
      <c r="AI47" s="110">
        <v>0.4375</v>
      </c>
      <c r="AJ47" s="211">
        <f>'HVAC Appliances Austin'!AJ47</f>
        <v>0</v>
      </c>
      <c r="AK47" s="110">
        <v>0.4375</v>
      </c>
      <c r="AL47" s="211">
        <f>'HVAC Appliances Austin'!AL47</f>
        <v>0</v>
      </c>
      <c r="AM47" s="110">
        <v>0.4375</v>
      </c>
      <c r="AN47" s="211">
        <f>'HVAC Appliances Austin'!AN47</f>
        <v>0</v>
      </c>
      <c r="AO47" s="21"/>
      <c r="AP47" s="110">
        <v>0.4375</v>
      </c>
      <c r="AQ47" s="211">
        <f>'HVAC Appliances Austin'!AQ47</f>
        <v>768.43936805555472</v>
      </c>
      <c r="AR47" s="110">
        <v>0.4375</v>
      </c>
      <c r="AS47" s="211">
        <f>'HVAC Appliances Austin'!AS47</f>
        <v>1231.939513888889</v>
      </c>
      <c r="AT47" s="110">
        <v>0.4375</v>
      </c>
      <c r="AU47" s="211">
        <f>'HVAC Appliances Austin'!AU47</f>
        <v>1571.8396388888877</v>
      </c>
      <c r="AV47" s="21"/>
      <c r="AW47" s="110">
        <v>0.4375</v>
      </c>
      <c r="AX47" s="211"/>
      <c r="AY47" s="21"/>
      <c r="AZ47" s="110">
        <v>0.4375</v>
      </c>
      <c r="BA47" s="264"/>
      <c r="BC47" s="260">
        <v>0.4375</v>
      </c>
      <c r="BD47" s="211">
        <f>'HVAC Appliances Austin'!BD47</f>
        <v>0</v>
      </c>
      <c r="BE47" s="110">
        <v>0.4375</v>
      </c>
      <c r="BF47" s="211">
        <f>'HVAC Appliances Austin'!BF47</f>
        <v>0</v>
      </c>
      <c r="BG47" s="110">
        <v>0.4375</v>
      </c>
      <c r="BH47" s="211">
        <f>'HVAC Appliances Austin'!BH47</f>
        <v>0</v>
      </c>
      <c r="BI47" s="21"/>
      <c r="BJ47" s="110">
        <v>0.4375</v>
      </c>
      <c r="BK47" s="211">
        <f>'HVAC Appliances Austin'!BK47</f>
        <v>0</v>
      </c>
      <c r="BL47" s="110">
        <v>0.4375</v>
      </c>
      <c r="BM47" s="211">
        <f>'HVAC Appliances Austin'!BM47</f>
        <v>0</v>
      </c>
      <c r="BN47" s="110">
        <v>0.4375</v>
      </c>
      <c r="BO47" s="211">
        <f>'HVAC Appliances Austin'!BO47</f>
        <v>0</v>
      </c>
      <c r="BP47" s="21"/>
      <c r="BQ47" s="110">
        <v>0.4375</v>
      </c>
      <c r="BR47" s="211">
        <f>'HVAC Appliances Austin'!BR47</f>
        <v>0</v>
      </c>
      <c r="BS47" s="110">
        <v>0.4375</v>
      </c>
      <c r="BT47" s="211">
        <f>'HVAC Appliances Austin'!BT47</f>
        <v>0</v>
      </c>
      <c r="BU47" s="110">
        <v>0.4375</v>
      </c>
      <c r="BV47" s="211">
        <f>'HVAC Appliances Austin'!BV47</f>
        <v>0</v>
      </c>
      <c r="BW47" s="21"/>
      <c r="BX47" s="110">
        <v>0.4375</v>
      </c>
      <c r="BY47" s="211">
        <f>'HVAC Appliances Austin'!BY47</f>
        <v>0</v>
      </c>
      <c r="BZ47" s="110">
        <v>0.4375</v>
      </c>
      <c r="CA47" s="211">
        <f>'HVAC Appliances Austin'!CA47</f>
        <v>0</v>
      </c>
      <c r="CB47" s="110">
        <v>0.4375</v>
      </c>
      <c r="CC47" s="211">
        <f>'HVAC Appliances Austin'!CC47</f>
        <v>0</v>
      </c>
      <c r="CD47" s="21"/>
      <c r="CE47" s="110">
        <v>0.4375</v>
      </c>
      <c r="CF47" s="211">
        <f>'HVAC Appliances Austin'!CF47</f>
        <v>104.38666666666667</v>
      </c>
      <c r="CG47" s="110">
        <v>0.4375</v>
      </c>
      <c r="CH47" s="211">
        <f>'HVAC Appliances Austin'!CH47</f>
        <v>202.5266666666667</v>
      </c>
      <c r="CI47" s="110">
        <v>0.4375</v>
      </c>
      <c r="CJ47" s="211">
        <f>'HVAC Appliances Austin'!CJ47</f>
        <v>269.66666666666674</v>
      </c>
      <c r="CK47" s="21"/>
      <c r="CL47" s="110">
        <v>0.4375</v>
      </c>
      <c r="CM47" s="211">
        <f>'HVAC Appliances Austin'!CM47</f>
        <v>0</v>
      </c>
      <c r="CN47" s="110">
        <v>0.4375</v>
      </c>
      <c r="CO47" s="211">
        <f>'HVAC Appliances Austin'!CO47</f>
        <v>0</v>
      </c>
      <c r="CP47" s="110">
        <v>0.4375</v>
      </c>
      <c r="CQ47" s="211">
        <f>'HVAC Appliances Austin'!CQ47</f>
        <v>0</v>
      </c>
      <c r="CR47" s="21"/>
      <c r="CS47" s="110">
        <v>0.4375</v>
      </c>
      <c r="CT47" s="211"/>
      <c r="CU47" s="21"/>
      <c r="CV47" s="110">
        <v>0.4375</v>
      </c>
      <c r="CW47" s="264"/>
      <c r="CY47" s="260">
        <v>0.4375</v>
      </c>
      <c r="CZ47" s="211">
        <f>'HVAC Appliances Austin'!CZ47</f>
        <v>70.799999999999912</v>
      </c>
      <c r="DA47" s="110">
        <v>0.4375</v>
      </c>
      <c r="DB47" s="211">
        <f>'HVAC Appliances Austin'!DB47</f>
        <v>56.877777777777808</v>
      </c>
      <c r="DC47" s="110">
        <v>0.4375</v>
      </c>
      <c r="DD47" s="211">
        <f>'HVAC Appliances Austin'!DD47</f>
        <v>42.833333333333279</v>
      </c>
      <c r="DE47" s="21"/>
      <c r="DF47" s="110">
        <v>0.4375</v>
      </c>
      <c r="DG47" s="211">
        <f>'HVAC Appliances Austin'!DG47</f>
        <v>424.029333333333</v>
      </c>
      <c r="DH47" s="110">
        <v>0.4375</v>
      </c>
      <c r="DI47" s="211">
        <f>'HVAC Appliances Austin'!DI47</f>
        <v>634.15363194444433</v>
      </c>
      <c r="DJ47" s="110">
        <v>0.4375</v>
      </c>
      <c r="DK47" s="211">
        <f>'HVAC Appliances Austin'!DK47</f>
        <v>786.09289583333282</v>
      </c>
      <c r="DL47" s="21"/>
      <c r="DM47" s="110">
        <v>0.4375</v>
      </c>
      <c r="DN47" s="211">
        <f>'HVAC Appliances Austin'!DN47</f>
        <v>749.16599999999983</v>
      </c>
      <c r="DO47" s="110">
        <v>0.4375</v>
      </c>
      <c r="DP47" s="211">
        <f>'HVAC Appliances Austin'!DP47</f>
        <v>1184.4847777777777</v>
      </c>
      <c r="DQ47" s="110">
        <v>0.4375</v>
      </c>
      <c r="DR47" s="211">
        <f>'HVAC Appliances Austin'!DR47</f>
        <v>1502.8763333333334</v>
      </c>
      <c r="DS47" s="21"/>
      <c r="DT47" s="110">
        <v>0.4375</v>
      </c>
      <c r="DU47" s="211">
        <f>'HVAC Appliances Austin'!DU47</f>
        <v>69.805999999999869</v>
      </c>
      <c r="DV47" s="110">
        <v>0.4375</v>
      </c>
      <c r="DW47" s="211">
        <f>'HVAC Appliances Austin'!DW47</f>
        <v>55.346999999999809</v>
      </c>
      <c r="DX47" s="110">
        <v>0.4375</v>
      </c>
      <c r="DY47" s="211">
        <f>'HVAC Appliances Austin'!DY47</f>
        <v>40.903000000000134</v>
      </c>
      <c r="DZ47" s="21"/>
      <c r="EA47" s="110">
        <v>0.4375</v>
      </c>
      <c r="EB47" s="211">
        <f>'HVAC Appliances Amarillo'!EB47</f>
        <v>2931.6000000000004</v>
      </c>
      <c r="EC47" s="110">
        <v>0.4375</v>
      </c>
      <c r="ED47" s="211">
        <f>'HVAC Appliances Amarillo'!ED47</f>
        <v>0</v>
      </c>
      <c r="EE47" s="110">
        <v>0.4375</v>
      </c>
      <c r="EF47" s="211">
        <f>'HVAC Appliances Amarillo'!EF47</f>
        <v>0</v>
      </c>
      <c r="EG47" s="21"/>
      <c r="EH47" s="110">
        <v>0.4375</v>
      </c>
      <c r="EI47" s="211">
        <f>'HVAC Appliances Austin'!EI47</f>
        <v>811.32933333333267</v>
      </c>
      <c r="EJ47" s="110">
        <v>0.4375</v>
      </c>
      <c r="EK47" s="211">
        <f>'HVAC Appliances Austin'!EK47</f>
        <v>1290.5452986111104</v>
      </c>
      <c r="EL47" s="110">
        <v>0.4375</v>
      </c>
      <c r="EM47" s="211">
        <f>'HVAC Appliances Austin'!EM47</f>
        <v>1641.3678958333321</v>
      </c>
      <c r="EN47" s="21"/>
      <c r="EO47" s="110">
        <v>0.4375</v>
      </c>
      <c r="EP47" s="211"/>
      <c r="EQ47" s="21"/>
      <c r="ER47" s="110">
        <v>0.4375</v>
      </c>
      <c r="ES47" s="264"/>
      <c r="EU47" s="260">
        <v>0.4375</v>
      </c>
      <c r="EV47" s="209">
        <f>'HVAC Appliances Amarillo'!EV47</f>
        <v>1620</v>
      </c>
      <c r="EW47" s="110">
        <v>0.4375</v>
      </c>
      <c r="EX47" s="209">
        <f>'HVAC Appliances Amarillo'!EX47</f>
        <v>0</v>
      </c>
      <c r="EY47" s="110">
        <v>0.4375</v>
      </c>
      <c r="EZ47" s="308">
        <f>'HVAC Appliances Amarillo'!EZ47</f>
        <v>0</v>
      </c>
    </row>
    <row r="48" spans="1:156" x14ac:dyDescent="0.3">
      <c r="A48" s="108">
        <v>0.4375</v>
      </c>
      <c r="B48" s="226">
        <f t="shared" si="0"/>
        <v>0</v>
      </c>
      <c r="C48" s="21">
        <f t="shared" si="1"/>
        <v>269.66666666666674</v>
      </c>
      <c r="D48" s="20">
        <f t="shared" si="2"/>
        <v>0</v>
      </c>
      <c r="E48" s="20">
        <f t="shared" si="3"/>
        <v>0</v>
      </c>
      <c r="G48" s="260">
        <v>0.44791666666666702</v>
      </c>
      <c r="H48" s="211">
        <f>'HVAC Appliances Austin'!H48</f>
        <v>73.355555555555398</v>
      </c>
      <c r="I48" s="110">
        <v>0.44791666666666702</v>
      </c>
      <c r="J48" s="211">
        <f>'HVAC Appliances Austin'!J48</f>
        <v>69.588888888888917</v>
      </c>
      <c r="K48" s="110">
        <v>0.44791666666666702</v>
      </c>
      <c r="L48" s="211">
        <f>'HVAC Appliances Austin'!L48</f>
        <v>72.788888888888792</v>
      </c>
      <c r="M48" s="21"/>
      <c r="N48" s="110">
        <v>0.44791666666666702</v>
      </c>
      <c r="O48" s="211">
        <f>'HVAC Appliances Austin'!O48</f>
        <v>380.9310347222218</v>
      </c>
      <c r="P48" s="110">
        <v>0.44791666666666702</v>
      </c>
      <c r="Q48" s="211">
        <f>'HVAC Appliances Austin'!Q48</f>
        <v>578.35618055555528</v>
      </c>
      <c r="R48" s="110">
        <v>0.44791666666666702</v>
      </c>
      <c r="S48" s="211">
        <f>'HVAC Appliances Austin'!S48</f>
        <v>715.90630555555504</v>
      </c>
      <c r="T48" s="21"/>
      <c r="U48" s="110">
        <v>0.44791666666666702</v>
      </c>
      <c r="V48" s="211">
        <f>'HVAC Appliances Austin'!V48</f>
        <v>704.72655555555514</v>
      </c>
      <c r="W48" s="110">
        <v>0.44791666666666702</v>
      </c>
      <c r="X48" s="211">
        <f>'HVAC Appliances Austin'!X48</f>
        <v>1124.1488888888891</v>
      </c>
      <c r="Y48" s="110">
        <v>0.44791666666666702</v>
      </c>
      <c r="Z48" s="211">
        <f>'HVAC Appliances Austin'!Z48</f>
        <v>1429.9108888888886</v>
      </c>
      <c r="AA48" s="21"/>
      <c r="AB48" s="110">
        <v>0.44791666666666702</v>
      </c>
      <c r="AC48" s="211">
        <f>'HVAC Appliances Austin'!AC48</f>
        <v>72.690999999999946</v>
      </c>
      <c r="AD48" s="110">
        <v>0.44791666666666702</v>
      </c>
      <c r="AE48" s="211">
        <f>'HVAC Appliances Austin'!AE48</f>
        <v>68.540000000000049</v>
      </c>
      <c r="AF48" s="110">
        <v>0.44791666666666702</v>
      </c>
      <c r="AG48" s="211">
        <f>'HVAC Appliances Austin'!AG48</f>
        <v>71.581999999999809</v>
      </c>
      <c r="AH48" s="21"/>
      <c r="AI48" s="110">
        <v>0.44791666666666702</v>
      </c>
      <c r="AJ48" s="211">
        <f>'HVAC Appliances Austin'!AJ48</f>
        <v>0</v>
      </c>
      <c r="AK48" s="110">
        <v>0.44791666666666702</v>
      </c>
      <c r="AL48" s="211">
        <f>'HVAC Appliances Austin'!AL48</f>
        <v>0</v>
      </c>
      <c r="AM48" s="110">
        <v>0.44791666666666702</v>
      </c>
      <c r="AN48" s="211">
        <f>'HVAC Appliances Austin'!AN48</f>
        <v>0</v>
      </c>
      <c r="AO48" s="21"/>
      <c r="AP48" s="110">
        <v>0.44791666666666702</v>
      </c>
      <c r="AQ48" s="211">
        <f>'HVAC Appliances Austin'!AQ48</f>
        <v>768.43936805555472</v>
      </c>
      <c r="AR48" s="110">
        <v>0.44791666666666702</v>
      </c>
      <c r="AS48" s="211">
        <f>'HVAC Appliances Austin'!AS48</f>
        <v>1231.939513888889</v>
      </c>
      <c r="AT48" s="110">
        <v>0.44791666666666702</v>
      </c>
      <c r="AU48" s="211">
        <f>'HVAC Appliances Austin'!AU48</f>
        <v>1571.8396388888877</v>
      </c>
      <c r="AV48" s="21"/>
      <c r="AW48" s="110">
        <v>0.44791666666666702</v>
      </c>
      <c r="AX48" s="211"/>
      <c r="AY48" s="21"/>
      <c r="AZ48" s="110">
        <v>0.44791666666666702</v>
      </c>
      <c r="BA48" s="264"/>
      <c r="BC48" s="260">
        <v>0.44791666666666702</v>
      </c>
      <c r="BD48" s="211">
        <f>'HVAC Appliances Austin'!BD48</f>
        <v>0</v>
      </c>
      <c r="BE48" s="110">
        <v>0.44791666666666702</v>
      </c>
      <c r="BF48" s="211">
        <f>'HVAC Appliances Austin'!BF48</f>
        <v>0</v>
      </c>
      <c r="BG48" s="110">
        <v>0.44791666666666702</v>
      </c>
      <c r="BH48" s="211">
        <f>'HVAC Appliances Austin'!BH48</f>
        <v>0</v>
      </c>
      <c r="BI48" s="21"/>
      <c r="BJ48" s="110">
        <v>0.44791666666666702</v>
      </c>
      <c r="BK48" s="211">
        <f>'HVAC Appliances Austin'!BK48</f>
        <v>0</v>
      </c>
      <c r="BL48" s="110">
        <v>0.44791666666666702</v>
      </c>
      <c r="BM48" s="211">
        <f>'HVAC Appliances Austin'!BM48</f>
        <v>0</v>
      </c>
      <c r="BN48" s="110">
        <v>0.44791666666666702</v>
      </c>
      <c r="BO48" s="211">
        <f>'HVAC Appliances Austin'!BO48</f>
        <v>0</v>
      </c>
      <c r="BP48" s="21"/>
      <c r="BQ48" s="110">
        <v>0.44791666666666702</v>
      </c>
      <c r="BR48" s="211">
        <f>'HVAC Appliances Austin'!BR48</f>
        <v>0</v>
      </c>
      <c r="BS48" s="110">
        <v>0.44791666666666702</v>
      </c>
      <c r="BT48" s="211">
        <f>'HVAC Appliances Austin'!BT48</f>
        <v>0</v>
      </c>
      <c r="BU48" s="110">
        <v>0.44791666666666702</v>
      </c>
      <c r="BV48" s="211">
        <f>'HVAC Appliances Austin'!BV48</f>
        <v>0</v>
      </c>
      <c r="BW48" s="21"/>
      <c r="BX48" s="110">
        <v>0.44791666666666702</v>
      </c>
      <c r="BY48" s="211">
        <f>'HVAC Appliances Austin'!BY48</f>
        <v>0</v>
      </c>
      <c r="BZ48" s="110">
        <v>0.44791666666666702</v>
      </c>
      <c r="CA48" s="211">
        <f>'HVAC Appliances Austin'!CA48</f>
        <v>0</v>
      </c>
      <c r="CB48" s="110">
        <v>0.44791666666666702</v>
      </c>
      <c r="CC48" s="211">
        <f>'HVAC Appliances Austin'!CC48</f>
        <v>0</v>
      </c>
      <c r="CD48" s="21"/>
      <c r="CE48" s="110">
        <v>0.44791666666666702</v>
      </c>
      <c r="CF48" s="211">
        <f>'HVAC Appliances Austin'!CF48</f>
        <v>104.38666666666667</v>
      </c>
      <c r="CG48" s="110">
        <v>0.44791666666666702</v>
      </c>
      <c r="CH48" s="211">
        <f>'HVAC Appliances Austin'!CH48</f>
        <v>202.5266666666667</v>
      </c>
      <c r="CI48" s="110">
        <v>0.44791666666666702</v>
      </c>
      <c r="CJ48" s="211">
        <f>'HVAC Appliances Austin'!CJ48</f>
        <v>269.66666666666674</v>
      </c>
      <c r="CK48" s="21"/>
      <c r="CL48" s="110">
        <v>0.44791666666666702</v>
      </c>
      <c r="CM48" s="211">
        <f>'HVAC Appliances Austin'!CM48</f>
        <v>0</v>
      </c>
      <c r="CN48" s="110">
        <v>0.44791666666666702</v>
      </c>
      <c r="CO48" s="211">
        <f>'HVAC Appliances Austin'!CO48</f>
        <v>0</v>
      </c>
      <c r="CP48" s="110">
        <v>0.44791666666666702</v>
      </c>
      <c r="CQ48" s="211">
        <f>'HVAC Appliances Austin'!CQ48</f>
        <v>0</v>
      </c>
      <c r="CR48" s="21"/>
      <c r="CS48" s="110">
        <v>0.44791666666666702</v>
      </c>
      <c r="CT48" s="211"/>
      <c r="CU48" s="21"/>
      <c r="CV48" s="110">
        <v>0.44791666666666702</v>
      </c>
      <c r="CW48" s="264"/>
      <c r="CY48" s="260">
        <v>0.44791666666666702</v>
      </c>
      <c r="CZ48" s="211">
        <f>'HVAC Appliances Austin'!CZ48</f>
        <v>70.799999999999912</v>
      </c>
      <c r="DA48" s="110">
        <v>0.44791666666666702</v>
      </c>
      <c r="DB48" s="211">
        <f>'HVAC Appliances Austin'!DB48</f>
        <v>56.877777777777808</v>
      </c>
      <c r="DC48" s="110">
        <v>0.44791666666666702</v>
      </c>
      <c r="DD48" s="211">
        <f>'HVAC Appliances Austin'!DD48</f>
        <v>42.833333333333279</v>
      </c>
      <c r="DE48" s="21"/>
      <c r="DF48" s="110">
        <v>0.44791666666666702</v>
      </c>
      <c r="DG48" s="211">
        <f>'HVAC Appliances Austin'!DG48</f>
        <v>424.029333333333</v>
      </c>
      <c r="DH48" s="110">
        <v>0.44791666666666702</v>
      </c>
      <c r="DI48" s="211">
        <f>'HVAC Appliances Austin'!DI48</f>
        <v>634.15363194444433</v>
      </c>
      <c r="DJ48" s="110">
        <v>0.44791666666666702</v>
      </c>
      <c r="DK48" s="211">
        <f>'HVAC Appliances Austin'!DK48</f>
        <v>786.09289583333282</v>
      </c>
      <c r="DL48" s="21"/>
      <c r="DM48" s="110">
        <v>0.44791666666666702</v>
      </c>
      <c r="DN48" s="211">
        <f>'HVAC Appliances Austin'!DN48</f>
        <v>749.16599999999983</v>
      </c>
      <c r="DO48" s="110">
        <v>0.44791666666666702</v>
      </c>
      <c r="DP48" s="211">
        <f>'HVAC Appliances Austin'!DP48</f>
        <v>1184.4847777777777</v>
      </c>
      <c r="DQ48" s="110">
        <v>0.44791666666666702</v>
      </c>
      <c r="DR48" s="211">
        <f>'HVAC Appliances Austin'!DR48</f>
        <v>1502.8763333333334</v>
      </c>
      <c r="DS48" s="21"/>
      <c r="DT48" s="110">
        <v>0.44791666666666702</v>
      </c>
      <c r="DU48" s="211">
        <f>'HVAC Appliances Austin'!DU48</f>
        <v>69.805999999999869</v>
      </c>
      <c r="DV48" s="110">
        <v>0.44791666666666702</v>
      </c>
      <c r="DW48" s="211">
        <f>'HVAC Appliances Austin'!DW48</f>
        <v>55.346999999999809</v>
      </c>
      <c r="DX48" s="110">
        <v>0.44791666666666702</v>
      </c>
      <c r="DY48" s="211">
        <f>'HVAC Appliances Austin'!DY48</f>
        <v>40.903000000000134</v>
      </c>
      <c r="DZ48" s="21"/>
      <c r="EA48" s="110">
        <v>0.44791666666666702</v>
      </c>
      <c r="EB48" s="211">
        <f>'HVAC Appliances Amarillo'!EB48</f>
        <v>2931.6000000000004</v>
      </c>
      <c r="EC48" s="110">
        <v>0.44791666666666702</v>
      </c>
      <c r="ED48" s="211">
        <f>'HVAC Appliances Amarillo'!ED48</f>
        <v>0</v>
      </c>
      <c r="EE48" s="110">
        <v>0.44791666666666702</v>
      </c>
      <c r="EF48" s="211">
        <f>'HVAC Appliances Amarillo'!EF48</f>
        <v>0</v>
      </c>
      <c r="EG48" s="21"/>
      <c r="EH48" s="110">
        <v>0.44791666666666702</v>
      </c>
      <c r="EI48" s="211">
        <f>'HVAC Appliances Austin'!EI48</f>
        <v>811.32933333333267</v>
      </c>
      <c r="EJ48" s="110">
        <v>0.44791666666666702</v>
      </c>
      <c r="EK48" s="211">
        <f>'HVAC Appliances Austin'!EK48</f>
        <v>1290.5452986111104</v>
      </c>
      <c r="EL48" s="110">
        <v>0.44791666666666702</v>
      </c>
      <c r="EM48" s="211">
        <f>'HVAC Appliances Austin'!EM48</f>
        <v>1641.3678958333321</v>
      </c>
      <c r="EN48" s="21"/>
      <c r="EO48" s="110">
        <v>0.44791666666666702</v>
      </c>
      <c r="EP48" s="211"/>
      <c r="EQ48" s="21"/>
      <c r="ER48" s="110">
        <v>0.44791666666666702</v>
      </c>
      <c r="ES48" s="264"/>
      <c r="EU48" s="260">
        <v>0.44791666666666702</v>
      </c>
      <c r="EV48" s="209">
        <f>'HVAC Appliances Amarillo'!EV48</f>
        <v>1620</v>
      </c>
      <c r="EW48" s="110">
        <v>0.44791666666666702</v>
      </c>
      <c r="EX48" s="209">
        <f>'HVAC Appliances Amarillo'!EX48</f>
        <v>0</v>
      </c>
      <c r="EY48" s="110">
        <v>0.44791666666666702</v>
      </c>
      <c r="EZ48" s="308">
        <f>'HVAC Appliances Amarillo'!EZ48</f>
        <v>0</v>
      </c>
    </row>
    <row r="49" spans="1:156" x14ac:dyDescent="0.3">
      <c r="A49" s="108">
        <v>0.44791666666666702</v>
      </c>
      <c r="B49" s="226">
        <f t="shared" si="0"/>
        <v>0</v>
      </c>
      <c r="C49" s="21">
        <f t="shared" si="1"/>
        <v>269.66666666666674</v>
      </c>
      <c r="D49" s="20">
        <f t="shared" si="2"/>
        <v>0</v>
      </c>
      <c r="E49" s="20">
        <f t="shared" si="3"/>
        <v>0</v>
      </c>
      <c r="G49" s="260">
        <v>0.45833333333333298</v>
      </c>
      <c r="H49" s="211">
        <f>'HVAC Appliances Austin'!H49</f>
        <v>102.92847222222201</v>
      </c>
      <c r="I49" s="110">
        <v>0.45833333333333298</v>
      </c>
      <c r="J49" s="211">
        <f>'HVAC Appliances Austin'!J49</f>
        <v>116.9430555555555</v>
      </c>
      <c r="K49" s="110">
        <v>0.45833333333333298</v>
      </c>
      <c r="L49" s="211">
        <f>'HVAC Appliances Austin'!L49</f>
        <v>128.95555555555526</v>
      </c>
      <c r="M49" s="21"/>
      <c r="N49" s="110">
        <v>0.45833333333333298</v>
      </c>
      <c r="O49" s="211">
        <f>'HVAC Appliances Austin'!O49</f>
        <v>429.81353472222258</v>
      </c>
      <c r="P49" s="110">
        <v>0.45833333333333298</v>
      </c>
      <c r="Q49" s="211">
        <f>'HVAC Appliances Austin'!Q49</f>
        <v>660.45618055555622</v>
      </c>
      <c r="R49" s="110">
        <v>0.45833333333333298</v>
      </c>
      <c r="S49" s="211">
        <f>'HVAC Appliances Austin'!S49</f>
        <v>822.62130555555621</v>
      </c>
      <c r="T49" s="21"/>
      <c r="U49" s="110">
        <v>0.45833333333333298</v>
      </c>
      <c r="V49" s="211">
        <f>'HVAC Appliances Austin'!V49</f>
        <v>791.62103472222157</v>
      </c>
      <c r="W49" s="110">
        <v>0.45833333333333298</v>
      </c>
      <c r="X49" s="211">
        <f>'HVAC Appliances Austin'!X49</f>
        <v>1271.1811805555562</v>
      </c>
      <c r="Y49" s="110">
        <v>0.45833333333333298</v>
      </c>
      <c r="Z49" s="211">
        <f>'HVAC Appliances Austin'!Z49</f>
        <v>1623.561305555555</v>
      </c>
      <c r="AA49" s="21"/>
      <c r="AB49" s="110">
        <v>0.45833333333333298</v>
      </c>
      <c r="AC49" s="211">
        <f>'HVAC Appliances Austin'!AC49</f>
        <v>61.154368055555409</v>
      </c>
      <c r="AD49" s="110">
        <v>0.45833333333333298</v>
      </c>
      <c r="AE49" s="211">
        <f>'HVAC Appliances Austin'!AE49</f>
        <v>50.514513888888942</v>
      </c>
      <c r="AF49" s="110">
        <v>0.45833333333333298</v>
      </c>
      <c r="AG49" s="211">
        <f>'HVAC Appliances Austin'!AG49</f>
        <v>51.294638888888414</v>
      </c>
      <c r="AH49" s="21"/>
      <c r="AI49" s="110">
        <v>0.45833333333333298</v>
      </c>
      <c r="AJ49" s="211">
        <f>'HVAC Appliances Austin'!AJ49</f>
        <v>0</v>
      </c>
      <c r="AK49" s="110">
        <v>0.45833333333333298</v>
      </c>
      <c r="AL49" s="211">
        <f>'HVAC Appliances Austin'!AL49</f>
        <v>0</v>
      </c>
      <c r="AM49" s="110">
        <v>0.45833333333333298</v>
      </c>
      <c r="AN49" s="211">
        <f>'HVAC Appliances Austin'!AN49</f>
        <v>0</v>
      </c>
      <c r="AO49" s="21"/>
      <c r="AP49" s="110">
        <v>0.45833333333333298</v>
      </c>
      <c r="AQ49" s="211">
        <f>'HVAC Appliances Austin'!AQ49</f>
        <v>873.15020138888883</v>
      </c>
      <c r="AR49" s="110">
        <v>0.45833333333333298</v>
      </c>
      <c r="AS49" s="211">
        <f>'HVAC Appliances Austin'!AS49</f>
        <v>1409.2778472222221</v>
      </c>
      <c r="AT49" s="110">
        <v>0.45833333333333298</v>
      </c>
      <c r="AU49" s="211">
        <f>'HVAC Appliances Austin'!AU49</f>
        <v>1805.7729722222216</v>
      </c>
      <c r="AV49" s="21"/>
      <c r="AW49" s="110">
        <v>0.45833333333333298</v>
      </c>
      <c r="AX49" s="211"/>
      <c r="AY49" s="21"/>
      <c r="AZ49" s="110">
        <v>0.45833333333333298</v>
      </c>
      <c r="BA49" s="264"/>
      <c r="BC49" s="260">
        <v>0.45833333333333298</v>
      </c>
      <c r="BD49" s="211">
        <f>'HVAC Appliances Austin'!BD49</f>
        <v>0</v>
      </c>
      <c r="BE49" s="110">
        <v>0.45833333333333298</v>
      </c>
      <c r="BF49" s="211">
        <f>'HVAC Appliances Austin'!BF49</f>
        <v>0</v>
      </c>
      <c r="BG49" s="110">
        <v>0.45833333333333298</v>
      </c>
      <c r="BH49" s="211">
        <f>'HVAC Appliances Austin'!BH49</f>
        <v>0</v>
      </c>
      <c r="BI49" s="21"/>
      <c r="BJ49" s="110">
        <v>0.45833333333333298</v>
      </c>
      <c r="BK49" s="211">
        <f>'HVAC Appliances Austin'!BK49</f>
        <v>0</v>
      </c>
      <c r="BL49" s="110">
        <v>0.45833333333333298</v>
      </c>
      <c r="BM49" s="211">
        <f>'HVAC Appliances Austin'!BM49</f>
        <v>0</v>
      </c>
      <c r="BN49" s="110">
        <v>0.45833333333333298</v>
      </c>
      <c r="BO49" s="211">
        <f>'HVAC Appliances Austin'!BO49</f>
        <v>0</v>
      </c>
      <c r="BP49" s="21"/>
      <c r="BQ49" s="110">
        <v>0.45833333333333298</v>
      </c>
      <c r="BR49" s="211">
        <f>'HVAC Appliances Austin'!BR49</f>
        <v>0</v>
      </c>
      <c r="BS49" s="110">
        <v>0.45833333333333298</v>
      </c>
      <c r="BT49" s="211">
        <f>'HVAC Appliances Austin'!BT49</f>
        <v>0</v>
      </c>
      <c r="BU49" s="110">
        <v>0.45833333333333298</v>
      </c>
      <c r="BV49" s="211">
        <f>'HVAC Appliances Austin'!BV49</f>
        <v>0</v>
      </c>
      <c r="BW49" s="21"/>
      <c r="BX49" s="110">
        <v>0.45833333333333298</v>
      </c>
      <c r="BY49" s="211">
        <f>'HVAC Appliances Austin'!BY49</f>
        <v>0</v>
      </c>
      <c r="BZ49" s="110">
        <v>0.45833333333333298</v>
      </c>
      <c r="CA49" s="211">
        <f>'HVAC Appliances Austin'!CA49</f>
        <v>0</v>
      </c>
      <c r="CB49" s="110">
        <v>0.45833333333333298</v>
      </c>
      <c r="CC49" s="211">
        <f>'HVAC Appliances Austin'!CC49</f>
        <v>0</v>
      </c>
      <c r="CD49" s="21"/>
      <c r="CE49" s="110">
        <v>0.45833333333333298</v>
      </c>
      <c r="CF49" s="211">
        <f>'HVAC Appliances Austin'!CF49</f>
        <v>95.96916666666668</v>
      </c>
      <c r="CG49" s="110">
        <v>0.45833333333333298</v>
      </c>
      <c r="CH49" s="211">
        <f>'HVAC Appliances Austin'!CH49</f>
        <v>185.23666666666665</v>
      </c>
      <c r="CI49" s="110">
        <v>0.45833333333333298</v>
      </c>
      <c r="CJ49" s="211">
        <f>'HVAC Appliances Austin'!CJ49</f>
        <v>246.91666666666669</v>
      </c>
      <c r="CK49" s="21"/>
      <c r="CL49" s="110">
        <v>0.45833333333333298</v>
      </c>
      <c r="CM49" s="211">
        <f>'HVAC Appliances Austin'!CM49</f>
        <v>0</v>
      </c>
      <c r="CN49" s="110">
        <v>0.45833333333333298</v>
      </c>
      <c r="CO49" s="211">
        <f>'HVAC Appliances Austin'!CO49</f>
        <v>0</v>
      </c>
      <c r="CP49" s="110">
        <v>0.45833333333333298</v>
      </c>
      <c r="CQ49" s="211">
        <f>'HVAC Appliances Austin'!CQ49</f>
        <v>0</v>
      </c>
      <c r="CR49" s="21"/>
      <c r="CS49" s="110">
        <v>0.45833333333333298</v>
      </c>
      <c r="CT49" s="211"/>
      <c r="CU49" s="21"/>
      <c r="CV49" s="110">
        <v>0.45833333333333298</v>
      </c>
      <c r="CW49" s="264"/>
      <c r="CY49" s="260">
        <v>0.45833333333333298</v>
      </c>
      <c r="CZ49" s="211">
        <f>'HVAC Appliances Austin'!CZ49</f>
        <v>111.925</v>
      </c>
      <c r="DA49" s="110">
        <v>0.45833333333333298</v>
      </c>
      <c r="DB49" s="211">
        <f>'HVAC Appliances Austin'!DB49</f>
        <v>121.17986111111124</v>
      </c>
      <c r="DC49" s="110">
        <v>0.45833333333333298</v>
      </c>
      <c r="DD49" s="211">
        <f>'HVAC Appliances Austin'!DD49</f>
        <v>124.36458333333312</v>
      </c>
      <c r="DE49" s="21"/>
      <c r="DF49" s="110">
        <v>0.45833333333333298</v>
      </c>
      <c r="DG49" s="211">
        <f>'HVAC Appliances Austin'!DG49</f>
        <v>474.4743333333335</v>
      </c>
      <c r="DH49" s="110">
        <v>0.45833333333333298</v>
      </c>
      <c r="DI49" s="211">
        <f>'HVAC Appliances Austin'!DI49</f>
        <v>718.90613194444518</v>
      </c>
      <c r="DJ49" s="110">
        <v>0.45833333333333298</v>
      </c>
      <c r="DK49" s="211">
        <f>'HVAC Appliances Austin'!DK49</f>
        <v>896.2153958333339</v>
      </c>
      <c r="DL49" s="21"/>
      <c r="DM49" s="110">
        <v>0.45833333333333298</v>
      </c>
      <c r="DN49" s="211">
        <f>'HVAC Appliances Austin'!DN49</f>
        <v>833.84433333333322</v>
      </c>
      <c r="DO49" s="110">
        <v>0.45833333333333298</v>
      </c>
      <c r="DP49" s="211">
        <f>'HVAC Appliances Austin'!DP49</f>
        <v>1329.0086319444442</v>
      </c>
      <c r="DQ49" s="110">
        <v>0.45833333333333298</v>
      </c>
      <c r="DR49" s="211">
        <f>'HVAC Appliances Austin'!DR49</f>
        <v>1691.6128958333325</v>
      </c>
      <c r="DS49" s="21"/>
      <c r="DT49" s="110">
        <v>0.45833333333333298</v>
      </c>
      <c r="DU49" s="211">
        <f>'HVAC Appliances Austin'!DU49</f>
        <v>0</v>
      </c>
      <c r="DV49" s="110">
        <v>0.45833333333333298</v>
      </c>
      <c r="DW49" s="211">
        <f>'HVAC Appliances Austin'!DW49</f>
        <v>0</v>
      </c>
      <c r="DX49" s="110">
        <v>0.45833333333333298</v>
      </c>
      <c r="DY49" s="211">
        <f>'HVAC Appliances Austin'!DY49</f>
        <v>0</v>
      </c>
      <c r="DZ49" s="21"/>
      <c r="EA49" s="110">
        <v>0.45833333333333298</v>
      </c>
      <c r="EB49" s="211">
        <f>'HVAC Appliances Amarillo'!EB49</f>
        <v>2266.1625000000004</v>
      </c>
      <c r="EC49" s="110">
        <v>0.45833333333333298</v>
      </c>
      <c r="ED49" s="211">
        <f>'HVAC Appliances Amarillo'!ED49</f>
        <v>4697.7075000000004</v>
      </c>
      <c r="EE49" s="110">
        <v>0.45833333333333298</v>
      </c>
      <c r="EF49" s="211">
        <f>'HVAC Appliances Amarillo'!EF49</f>
        <v>6398.0366666666687</v>
      </c>
      <c r="EG49" s="21"/>
      <c r="EH49" s="110">
        <v>0.45833333333333298</v>
      </c>
      <c r="EI49" s="211">
        <f>'HVAC Appliances Austin'!EI49</f>
        <v>912.63933333333318</v>
      </c>
      <c r="EJ49" s="110">
        <v>0.45833333333333298</v>
      </c>
      <c r="EK49" s="211">
        <f>'HVAC Appliances Austin'!EK49</f>
        <v>1463.8044652777783</v>
      </c>
      <c r="EL49" s="110">
        <v>0.45833333333333298</v>
      </c>
      <c r="EM49" s="211">
        <f>'HVAC Appliances Austin'!EM49</f>
        <v>1867.7753958333337</v>
      </c>
      <c r="EN49" s="21"/>
      <c r="EO49" s="110">
        <v>0.45833333333333298</v>
      </c>
      <c r="EP49" s="211"/>
      <c r="EQ49" s="21"/>
      <c r="ER49" s="110">
        <v>0.45833333333333298</v>
      </c>
      <c r="ES49" s="264"/>
      <c r="EU49" s="260">
        <v>0.45833333333333298</v>
      </c>
      <c r="EV49" s="209">
        <f>'HVAC Appliances Amarillo'!EV49</f>
        <v>1620</v>
      </c>
      <c r="EW49" s="110">
        <v>0.45833333333333298</v>
      </c>
      <c r="EX49" s="209">
        <f>'HVAC Appliances Amarillo'!EX49</f>
        <v>2480</v>
      </c>
      <c r="EY49" s="110">
        <v>0.45833333333333298</v>
      </c>
      <c r="EZ49" s="308">
        <f>'HVAC Appliances Amarillo'!EZ49</f>
        <v>3390</v>
      </c>
    </row>
    <row r="50" spans="1:156" x14ac:dyDescent="0.3">
      <c r="A50" s="108">
        <v>0.45833333333333298</v>
      </c>
      <c r="B50" s="226">
        <f t="shared" si="0"/>
        <v>0</v>
      </c>
      <c r="C50" s="21">
        <f t="shared" si="1"/>
        <v>246.91666666666669</v>
      </c>
      <c r="D50" s="20">
        <f t="shared" si="2"/>
        <v>6398.0366666666687</v>
      </c>
      <c r="E50" s="20">
        <f t="shared" si="3"/>
        <v>3390</v>
      </c>
      <c r="G50" s="260">
        <v>0.46875</v>
      </c>
      <c r="H50" s="211">
        <f>'HVAC Appliances Austin'!H50</f>
        <v>102.92847222222201</v>
      </c>
      <c r="I50" s="110">
        <v>0.46875</v>
      </c>
      <c r="J50" s="211">
        <f>'HVAC Appliances Austin'!J50</f>
        <v>116.9430555555555</v>
      </c>
      <c r="K50" s="110">
        <v>0.46875</v>
      </c>
      <c r="L50" s="211">
        <f>'HVAC Appliances Austin'!L50</f>
        <v>128.95555555555526</v>
      </c>
      <c r="M50" s="21"/>
      <c r="N50" s="110">
        <v>0.46875</v>
      </c>
      <c r="O50" s="211">
        <f>'HVAC Appliances Austin'!O50</f>
        <v>429.81353472222258</v>
      </c>
      <c r="P50" s="110">
        <v>0.46875</v>
      </c>
      <c r="Q50" s="211">
        <f>'HVAC Appliances Austin'!Q50</f>
        <v>660.45618055555622</v>
      </c>
      <c r="R50" s="110">
        <v>0.46875</v>
      </c>
      <c r="S50" s="211">
        <f>'HVAC Appliances Austin'!S50</f>
        <v>822.62130555555621</v>
      </c>
      <c r="T50" s="21"/>
      <c r="U50" s="110">
        <v>0.46875</v>
      </c>
      <c r="V50" s="211">
        <f>'HVAC Appliances Austin'!V50</f>
        <v>791.62103472222157</v>
      </c>
      <c r="W50" s="110">
        <v>0.46875</v>
      </c>
      <c r="X50" s="211">
        <f>'HVAC Appliances Austin'!X50</f>
        <v>1271.1811805555562</v>
      </c>
      <c r="Y50" s="110">
        <v>0.46875</v>
      </c>
      <c r="Z50" s="211">
        <f>'HVAC Appliances Austin'!Z50</f>
        <v>1623.561305555555</v>
      </c>
      <c r="AA50" s="21"/>
      <c r="AB50" s="110">
        <v>0.46875</v>
      </c>
      <c r="AC50" s="211">
        <f>'HVAC Appliances Austin'!AC50</f>
        <v>61.154368055555409</v>
      </c>
      <c r="AD50" s="110">
        <v>0.46875</v>
      </c>
      <c r="AE50" s="211">
        <f>'HVAC Appliances Austin'!AE50</f>
        <v>50.514513888888942</v>
      </c>
      <c r="AF50" s="110">
        <v>0.46875</v>
      </c>
      <c r="AG50" s="211">
        <f>'HVAC Appliances Austin'!AG50</f>
        <v>51.294638888888414</v>
      </c>
      <c r="AH50" s="21"/>
      <c r="AI50" s="110">
        <v>0.46875</v>
      </c>
      <c r="AJ50" s="211">
        <f>'HVAC Appliances Austin'!AJ50</f>
        <v>0</v>
      </c>
      <c r="AK50" s="110">
        <v>0.46875</v>
      </c>
      <c r="AL50" s="211">
        <f>'HVAC Appliances Austin'!AL50</f>
        <v>0</v>
      </c>
      <c r="AM50" s="110">
        <v>0.46875</v>
      </c>
      <c r="AN50" s="211">
        <f>'HVAC Appliances Austin'!AN50</f>
        <v>0</v>
      </c>
      <c r="AO50" s="21"/>
      <c r="AP50" s="110">
        <v>0.46875</v>
      </c>
      <c r="AQ50" s="211">
        <f>'HVAC Appliances Austin'!AQ50</f>
        <v>873.15020138888883</v>
      </c>
      <c r="AR50" s="110">
        <v>0.46875</v>
      </c>
      <c r="AS50" s="211">
        <f>'HVAC Appliances Austin'!AS50</f>
        <v>1409.2778472222221</v>
      </c>
      <c r="AT50" s="110">
        <v>0.46875</v>
      </c>
      <c r="AU50" s="211">
        <f>'HVAC Appliances Austin'!AU50</f>
        <v>1805.7729722222216</v>
      </c>
      <c r="AV50" s="21"/>
      <c r="AW50" s="110">
        <v>0.46875</v>
      </c>
      <c r="AX50" s="211"/>
      <c r="AY50" s="21"/>
      <c r="AZ50" s="110">
        <v>0.46875</v>
      </c>
      <c r="BA50" s="264"/>
      <c r="BC50" s="260">
        <v>0.46875</v>
      </c>
      <c r="BD50" s="211">
        <f>'HVAC Appliances Austin'!BD50</f>
        <v>0</v>
      </c>
      <c r="BE50" s="110">
        <v>0.46875</v>
      </c>
      <c r="BF50" s="211">
        <f>'HVAC Appliances Austin'!BF50</f>
        <v>0</v>
      </c>
      <c r="BG50" s="110">
        <v>0.46875</v>
      </c>
      <c r="BH50" s="211">
        <f>'HVAC Appliances Austin'!BH50</f>
        <v>0</v>
      </c>
      <c r="BI50" s="21"/>
      <c r="BJ50" s="110">
        <v>0.46875</v>
      </c>
      <c r="BK50" s="211">
        <f>'HVAC Appliances Austin'!BK50</f>
        <v>0</v>
      </c>
      <c r="BL50" s="110">
        <v>0.46875</v>
      </c>
      <c r="BM50" s="211">
        <f>'HVAC Appliances Austin'!BM50</f>
        <v>0</v>
      </c>
      <c r="BN50" s="110">
        <v>0.46875</v>
      </c>
      <c r="BO50" s="211">
        <f>'HVAC Appliances Austin'!BO50</f>
        <v>0</v>
      </c>
      <c r="BP50" s="21"/>
      <c r="BQ50" s="110">
        <v>0.46875</v>
      </c>
      <c r="BR50" s="211">
        <f>'HVAC Appliances Austin'!BR50</f>
        <v>0</v>
      </c>
      <c r="BS50" s="110">
        <v>0.46875</v>
      </c>
      <c r="BT50" s="211">
        <f>'HVAC Appliances Austin'!BT50</f>
        <v>0</v>
      </c>
      <c r="BU50" s="110">
        <v>0.46875</v>
      </c>
      <c r="BV50" s="211">
        <f>'HVAC Appliances Austin'!BV50</f>
        <v>0</v>
      </c>
      <c r="BW50" s="21"/>
      <c r="BX50" s="110">
        <v>0.46875</v>
      </c>
      <c r="BY50" s="211">
        <f>'HVAC Appliances Austin'!BY50</f>
        <v>0</v>
      </c>
      <c r="BZ50" s="110">
        <v>0.46875</v>
      </c>
      <c r="CA50" s="211">
        <f>'HVAC Appliances Austin'!CA50</f>
        <v>0</v>
      </c>
      <c r="CB50" s="110">
        <v>0.46875</v>
      </c>
      <c r="CC50" s="211">
        <f>'HVAC Appliances Austin'!CC50</f>
        <v>0</v>
      </c>
      <c r="CD50" s="21"/>
      <c r="CE50" s="110">
        <v>0.46875</v>
      </c>
      <c r="CF50" s="211">
        <f>'HVAC Appliances Austin'!CF50</f>
        <v>95.96916666666668</v>
      </c>
      <c r="CG50" s="110">
        <v>0.46875</v>
      </c>
      <c r="CH50" s="211">
        <f>'HVAC Appliances Austin'!CH50</f>
        <v>185.23666666666665</v>
      </c>
      <c r="CI50" s="110">
        <v>0.46875</v>
      </c>
      <c r="CJ50" s="211">
        <f>'HVAC Appliances Austin'!CJ50</f>
        <v>246.91666666666669</v>
      </c>
      <c r="CK50" s="21"/>
      <c r="CL50" s="110">
        <v>0.46875</v>
      </c>
      <c r="CM50" s="211">
        <f>'HVAC Appliances Austin'!CM50</f>
        <v>0</v>
      </c>
      <c r="CN50" s="110">
        <v>0.46875</v>
      </c>
      <c r="CO50" s="211">
        <f>'HVAC Appliances Austin'!CO50</f>
        <v>0</v>
      </c>
      <c r="CP50" s="110">
        <v>0.46875</v>
      </c>
      <c r="CQ50" s="211">
        <f>'HVAC Appliances Austin'!CQ50</f>
        <v>0</v>
      </c>
      <c r="CR50" s="21"/>
      <c r="CS50" s="110">
        <v>0.46875</v>
      </c>
      <c r="CT50" s="211"/>
      <c r="CU50" s="21"/>
      <c r="CV50" s="110">
        <v>0.46875</v>
      </c>
      <c r="CW50" s="264"/>
      <c r="CY50" s="260">
        <v>0.46875</v>
      </c>
      <c r="CZ50" s="211">
        <f>'HVAC Appliances Austin'!CZ50</f>
        <v>111.925</v>
      </c>
      <c r="DA50" s="110">
        <v>0.46875</v>
      </c>
      <c r="DB50" s="211">
        <f>'HVAC Appliances Austin'!DB50</f>
        <v>121.17986111111124</v>
      </c>
      <c r="DC50" s="110">
        <v>0.46875</v>
      </c>
      <c r="DD50" s="211">
        <f>'HVAC Appliances Austin'!DD50</f>
        <v>124.36458333333312</v>
      </c>
      <c r="DE50" s="21"/>
      <c r="DF50" s="110">
        <v>0.46875</v>
      </c>
      <c r="DG50" s="211">
        <f>'HVAC Appliances Austin'!DG50</f>
        <v>474.4743333333335</v>
      </c>
      <c r="DH50" s="110">
        <v>0.46875</v>
      </c>
      <c r="DI50" s="211">
        <f>'HVAC Appliances Austin'!DI50</f>
        <v>718.90613194444518</v>
      </c>
      <c r="DJ50" s="110">
        <v>0.46875</v>
      </c>
      <c r="DK50" s="211">
        <f>'HVAC Appliances Austin'!DK50</f>
        <v>896.2153958333339</v>
      </c>
      <c r="DL50" s="21"/>
      <c r="DM50" s="110">
        <v>0.46875</v>
      </c>
      <c r="DN50" s="211">
        <f>'HVAC Appliances Austin'!DN50</f>
        <v>833.84433333333322</v>
      </c>
      <c r="DO50" s="110">
        <v>0.46875</v>
      </c>
      <c r="DP50" s="211">
        <f>'HVAC Appliances Austin'!DP50</f>
        <v>1329.0086319444442</v>
      </c>
      <c r="DQ50" s="110">
        <v>0.46875</v>
      </c>
      <c r="DR50" s="211">
        <f>'HVAC Appliances Austin'!DR50</f>
        <v>1691.6128958333325</v>
      </c>
      <c r="DS50" s="21"/>
      <c r="DT50" s="110">
        <v>0.46875</v>
      </c>
      <c r="DU50" s="211">
        <f>'HVAC Appliances Austin'!DU50</f>
        <v>0</v>
      </c>
      <c r="DV50" s="110">
        <v>0.46875</v>
      </c>
      <c r="DW50" s="211">
        <f>'HVAC Appliances Austin'!DW50</f>
        <v>0</v>
      </c>
      <c r="DX50" s="110">
        <v>0.46875</v>
      </c>
      <c r="DY50" s="211">
        <f>'HVAC Appliances Austin'!DY50</f>
        <v>0</v>
      </c>
      <c r="DZ50" s="21"/>
      <c r="EA50" s="110">
        <v>0.46875</v>
      </c>
      <c r="EB50" s="211">
        <f>'HVAC Appliances Amarillo'!EB50</f>
        <v>2266.1625000000004</v>
      </c>
      <c r="EC50" s="110">
        <v>0.46875</v>
      </c>
      <c r="ED50" s="211">
        <f>'HVAC Appliances Amarillo'!ED50</f>
        <v>4697.7075000000004</v>
      </c>
      <c r="EE50" s="110">
        <v>0.46875</v>
      </c>
      <c r="EF50" s="211">
        <f>'HVAC Appliances Amarillo'!EF50</f>
        <v>6398.0366666666687</v>
      </c>
      <c r="EG50" s="21"/>
      <c r="EH50" s="110">
        <v>0.46875</v>
      </c>
      <c r="EI50" s="211">
        <f>'HVAC Appliances Austin'!EI50</f>
        <v>912.63933333333318</v>
      </c>
      <c r="EJ50" s="110">
        <v>0.46875</v>
      </c>
      <c r="EK50" s="211">
        <f>'HVAC Appliances Austin'!EK50</f>
        <v>1463.8044652777783</v>
      </c>
      <c r="EL50" s="110">
        <v>0.46875</v>
      </c>
      <c r="EM50" s="211">
        <f>'HVAC Appliances Austin'!EM50</f>
        <v>1867.7753958333337</v>
      </c>
      <c r="EN50" s="21"/>
      <c r="EO50" s="110">
        <v>0.46875</v>
      </c>
      <c r="EP50" s="211"/>
      <c r="EQ50" s="21"/>
      <c r="ER50" s="110">
        <v>0.46875</v>
      </c>
      <c r="ES50" s="264"/>
      <c r="EU50" s="260">
        <v>0.46875</v>
      </c>
      <c r="EV50" s="209">
        <f>'HVAC Appliances Amarillo'!EV50</f>
        <v>1620</v>
      </c>
      <c r="EW50" s="110">
        <v>0.46875</v>
      </c>
      <c r="EX50" s="209">
        <f>'HVAC Appliances Amarillo'!EX50</f>
        <v>2480</v>
      </c>
      <c r="EY50" s="110">
        <v>0.46875</v>
      </c>
      <c r="EZ50" s="308">
        <f>'HVAC Appliances Amarillo'!EZ50</f>
        <v>3390</v>
      </c>
    </row>
    <row r="51" spans="1:156" x14ac:dyDescent="0.3">
      <c r="A51" s="108">
        <v>0.46875</v>
      </c>
      <c r="B51" s="226">
        <f t="shared" si="0"/>
        <v>0</v>
      </c>
      <c r="C51" s="21">
        <f t="shared" si="1"/>
        <v>246.91666666666669</v>
      </c>
      <c r="D51" s="20">
        <f t="shared" si="2"/>
        <v>6398.0366666666687</v>
      </c>
      <c r="E51" s="20">
        <f t="shared" si="3"/>
        <v>3390</v>
      </c>
      <c r="G51" s="260">
        <v>0.47916666666666702</v>
      </c>
      <c r="H51" s="211">
        <f>'HVAC Appliances Austin'!H51</f>
        <v>102.92847222222201</v>
      </c>
      <c r="I51" s="110">
        <v>0.47916666666666702</v>
      </c>
      <c r="J51" s="211">
        <f>'HVAC Appliances Austin'!J51</f>
        <v>116.9430555555555</v>
      </c>
      <c r="K51" s="110">
        <v>0.47916666666666702</v>
      </c>
      <c r="L51" s="211">
        <f>'HVAC Appliances Austin'!L51</f>
        <v>128.95555555555526</v>
      </c>
      <c r="M51" s="21"/>
      <c r="N51" s="110">
        <v>0.47916666666666702</v>
      </c>
      <c r="O51" s="211">
        <f>'HVAC Appliances Austin'!O51</f>
        <v>429.81353472222258</v>
      </c>
      <c r="P51" s="110">
        <v>0.47916666666666702</v>
      </c>
      <c r="Q51" s="211">
        <f>'HVAC Appliances Austin'!Q51</f>
        <v>660.45618055555622</v>
      </c>
      <c r="R51" s="110">
        <v>0.47916666666666702</v>
      </c>
      <c r="S51" s="211">
        <f>'HVAC Appliances Austin'!S51</f>
        <v>822.62130555555621</v>
      </c>
      <c r="T51" s="21"/>
      <c r="U51" s="110">
        <v>0.47916666666666702</v>
      </c>
      <c r="V51" s="211">
        <f>'HVAC Appliances Austin'!V51</f>
        <v>791.62103472222157</v>
      </c>
      <c r="W51" s="110">
        <v>0.47916666666666702</v>
      </c>
      <c r="X51" s="211">
        <f>'HVAC Appliances Austin'!X51</f>
        <v>1271.1811805555562</v>
      </c>
      <c r="Y51" s="110">
        <v>0.47916666666666702</v>
      </c>
      <c r="Z51" s="211">
        <f>'HVAC Appliances Austin'!Z51</f>
        <v>1623.561305555555</v>
      </c>
      <c r="AA51" s="21"/>
      <c r="AB51" s="110">
        <v>0.47916666666666702</v>
      </c>
      <c r="AC51" s="211">
        <f>'HVAC Appliances Austin'!AC51</f>
        <v>61.154368055555409</v>
      </c>
      <c r="AD51" s="110">
        <v>0.47916666666666702</v>
      </c>
      <c r="AE51" s="211">
        <f>'HVAC Appliances Austin'!AE51</f>
        <v>50.514513888888942</v>
      </c>
      <c r="AF51" s="110">
        <v>0.47916666666666702</v>
      </c>
      <c r="AG51" s="211">
        <f>'HVAC Appliances Austin'!AG51</f>
        <v>51.294638888888414</v>
      </c>
      <c r="AH51" s="21"/>
      <c r="AI51" s="110">
        <v>0.47916666666666702</v>
      </c>
      <c r="AJ51" s="211">
        <f>'HVAC Appliances Austin'!AJ51</f>
        <v>0</v>
      </c>
      <c r="AK51" s="110">
        <v>0.47916666666666702</v>
      </c>
      <c r="AL51" s="211">
        <f>'HVAC Appliances Austin'!AL51</f>
        <v>0</v>
      </c>
      <c r="AM51" s="110">
        <v>0.47916666666666702</v>
      </c>
      <c r="AN51" s="211">
        <f>'HVAC Appliances Austin'!AN51</f>
        <v>0</v>
      </c>
      <c r="AO51" s="21"/>
      <c r="AP51" s="110">
        <v>0.47916666666666702</v>
      </c>
      <c r="AQ51" s="211">
        <f>'HVAC Appliances Austin'!AQ51</f>
        <v>873.15020138888883</v>
      </c>
      <c r="AR51" s="110">
        <v>0.47916666666666702</v>
      </c>
      <c r="AS51" s="211">
        <f>'HVAC Appliances Austin'!AS51</f>
        <v>1409.2778472222221</v>
      </c>
      <c r="AT51" s="110">
        <v>0.47916666666666702</v>
      </c>
      <c r="AU51" s="211">
        <f>'HVAC Appliances Austin'!AU51</f>
        <v>1805.7729722222216</v>
      </c>
      <c r="AV51" s="21"/>
      <c r="AW51" s="110">
        <v>0.47916666666666702</v>
      </c>
      <c r="AX51" s="211"/>
      <c r="AY51" s="21"/>
      <c r="AZ51" s="110">
        <v>0.47916666666666702</v>
      </c>
      <c r="BA51" s="264"/>
      <c r="BC51" s="260">
        <v>0.47916666666666702</v>
      </c>
      <c r="BD51" s="211">
        <f>'HVAC Appliances Austin'!BD51</f>
        <v>0</v>
      </c>
      <c r="BE51" s="110">
        <v>0.47916666666666702</v>
      </c>
      <c r="BF51" s="211">
        <f>'HVAC Appliances Austin'!BF51</f>
        <v>0</v>
      </c>
      <c r="BG51" s="110">
        <v>0.47916666666666702</v>
      </c>
      <c r="BH51" s="211">
        <f>'HVAC Appliances Austin'!BH51</f>
        <v>0</v>
      </c>
      <c r="BI51" s="21"/>
      <c r="BJ51" s="110">
        <v>0.47916666666666702</v>
      </c>
      <c r="BK51" s="211">
        <f>'HVAC Appliances Austin'!BK51</f>
        <v>0</v>
      </c>
      <c r="BL51" s="110">
        <v>0.47916666666666702</v>
      </c>
      <c r="BM51" s="211">
        <f>'HVAC Appliances Austin'!BM51</f>
        <v>0</v>
      </c>
      <c r="BN51" s="110">
        <v>0.47916666666666702</v>
      </c>
      <c r="BO51" s="211">
        <f>'HVAC Appliances Austin'!BO51</f>
        <v>0</v>
      </c>
      <c r="BP51" s="21"/>
      <c r="BQ51" s="110">
        <v>0.47916666666666702</v>
      </c>
      <c r="BR51" s="211">
        <f>'HVAC Appliances Austin'!BR51</f>
        <v>0</v>
      </c>
      <c r="BS51" s="110">
        <v>0.47916666666666702</v>
      </c>
      <c r="BT51" s="211">
        <f>'HVAC Appliances Austin'!BT51</f>
        <v>0</v>
      </c>
      <c r="BU51" s="110">
        <v>0.47916666666666702</v>
      </c>
      <c r="BV51" s="211">
        <f>'HVAC Appliances Austin'!BV51</f>
        <v>0</v>
      </c>
      <c r="BW51" s="21"/>
      <c r="BX51" s="110">
        <v>0.47916666666666702</v>
      </c>
      <c r="BY51" s="211">
        <f>'HVAC Appliances Austin'!BY51</f>
        <v>0</v>
      </c>
      <c r="BZ51" s="110">
        <v>0.47916666666666702</v>
      </c>
      <c r="CA51" s="211">
        <f>'HVAC Appliances Austin'!CA51</f>
        <v>0</v>
      </c>
      <c r="CB51" s="110">
        <v>0.47916666666666702</v>
      </c>
      <c r="CC51" s="211">
        <f>'HVAC Appliances Austin'!CC51</f>
        <v>0</v>
      </c>
      <c r="CD51" s="21"/>
      <c r="CE51" s="110">
        <v>0.47916666666666702</v>
      </c>
      <c r="CF51" s="211">
        <f>'HVAC Appliances Austin'!CF51</f>
        <v>95.96916666666668</v>
      </c>
      <c r="CG51" s="110">
        <v>0.47916666666666702</v>
      </c>
      <c r="CH51" s="211">
        <f>'HVAC Appliances Austin'!CH51</f>
        <v>185.23666666666665</v>
      </c>
      <c r="CI51" s="110">
        <v>0.47916666666666702</v>
      </c>
      <c r="CJ51" s="211">
        <f>'HVAC Appliances Austin'!CJ51</f>
        <v>246.91666666666669</v>
      </c>
      <c r="CK51" s="21"/>
      <c r="CL51" s="110">
        <v>0.47916666666666702</v>
      </c>
      <c r="CM51" s="211">
        <f>'HVAC Appliances Austin'!CM51</f>
        <v>0</v>
      </c>
      <c r="CN51" s="110">
        <v>0.47916666666666702</v>
      </c>
      <c r="CO51" s="211">
        <f>'HVAC Appliances Austin'!CO51</f>
        <v>0</v>
      </c>
      <c r="CP51" s="110">
        <v>0.47916666666666702</v>
      </c>
      <c r="CQ51" s="211">
        <f>'HVAC Appliances Austin'!CQ51</f>
        <v>0</v>
      </c>
      <c r="CR51" s="21"/>
      <c r="CS51" s="110">
        <v>0.47916666666666702</v>
      </c>
      <c r="CT51" s="211"/>
      <c r="CU51" s="21"/>
      <c r="CV51" s="110">
        <v>0.47916666666666702</v>
      </c>
      <c r="CW51" s="264"/>
      <c r="CY51" s="260">
        <v>0.47916666666666702</v>
      </c>
      <c r="CZ51" s="211">
        <f>'HVAC Appliances Austin'!CZ51</f>
        <v>111.925</v>
      </c>
      <c r="DA51" s="110">
        <v>0.47916666666666702</v>
      </c>
      <c r="DB51" s="211">
        <f>'HVAC Appliances Austin'!DB51</f>
        <v>121.17986111111124</v>
      </c>
      <c r="DC51" s="110">
        <v>0.47916666666666702</v>
      </c>
      <c r="DD51" s="211">
        <f>'HVAC Appliances Austin'!DD51</f>
        <v>124.36458333333312</v>
      </c>
      <c r="DE51" s="21"/>
      <c r="DF51" s="110">
        <v>0.47916666666666702</v>
      </c>
      <c r="DG51" s="211">
        <f>'HVAC Appliances Austin'!DG51</f>
        <v>474.4743333333335</v>
      </c>
      <c r="DH51" s="110">
        <v>0.47916666666666702</v>
      </c>
      <c r="DI51" s="211">
        <f>'HVAC Appliances Austin'!DI51</f>
        <v>718.90613194444518</v>
      </c>
      <c r="DJ51" s="110">
        <v>0.47916666666666702</v>
      </c>
      <c r="DK51" s="211">
        <f>'HVAC Appliances Austin'!DK51</f>
        <v>896.2153958333339</v>
      </c>
      <c r="DL51" s="21"/>
      <c r="DM51" s="110">
        <v>0.47916666666666702</v>
      </c>
      <c r="DN51" s="211">
        <f>'HVAC Appliances Austin'!DN51</f>
        <v>833.84433333333322</v>
      </c>
      <c r="DO51" s="110">
        <v>0.47916666666666702</v>
      </c>
      <c r="DP51" s="211">
        <f>'HVAC Appliances Austin'!DP51</f>
        <v>1329.0086319444442</v>
      </c>
      <c r="DQ51" s="110">
        <v>0.47916666666666702</v>
      </c>
      <c r="DR51" s="211">
        <f>'HVAC Appliances Austin'!DR51</f>
        <v>1691.6128958333325</v>
      </c>
      <c r="DS51" s="21"/>
      <c r="DT51" s="110">
        <v>0.47916666666666702</v>
      </c>
      <c r="DU51" s="211">
        <f>'HVAC Appliances Austin'!DU51</f>
        <v>0</v>
      </c>
      <c r="DV51" s="110">
        <v>0.47916666666666702</v>
      </c>
      <c r="DW51" s="211">
        <f>'HVAC Appliances Austin'!DW51</f>
        <v>0</v>
      </c>
      <c r="DX51" s="110">
        <v>0.47916666666666702</v>
      </c>
      <c r="DY51" s="211">
        <f>'HVAC Appliances Austin'!DY51</f>
        <v>0</v>
      </c>
      <c r="DZ51" s="21"/>
      <c r="EA51" s="110">
        <v>0.47916666666666702</v>
      </c>
      <c r="EB51" s="211">
        <f>'HVAC Appliances Amarillo'!EB51</f>
        <v>2266.1625000000004</v>
      </c>
      <c r="EC51" s="110">
        <v>0.47916666666666702</v>
      </c>
      <c r="ED51" s="211">
        <f>'HVAC Appliances Amarillo'!ED51</f>
        <v>4697.7075000000004</v>
      </c>
      <c r="EE51" s="110">
        <v>0.47916666666666702</v>
      </c>
      <c r="EF51" s="211">
        <f>'HVAC Appliances Amarillo'!EF51</f>
        <v>6398.0366666666687</v>
      </c>
      <c r="EG51" s="21"/>
      <c r="EH51" s="110">
        <v>0.47916666666666702</v>
      </c>
      <c r="EI51" s="211">
        <f>'HVAC Appliances Austin'!EI51</f>
        <v>912.63933333333318</v>
      </c>
      <c r="EJ51" s="110">
        <v>0.47916666666666702</v>
      </c>
      <c r="EK51" s="211">
        <f>'HVAC Appliances Austin'!EK51</f>
        <v>1463.8044652777783</v>
      </c>
      <c r="EL51" s="110">
        <v>0.47916666666666702</v>
      </c>
      <c r="EM51" s="211">
        <f>'HVAC Appliances Austin'!EM51</f>
        <v>1867.7753958333337</v>
      </c>
      <c r="EN51" s="21"/>
      <c r="EO51" s="110">
        <v>0.47916666666666702</v>
      </c>
      <c r="EP51" s="211"/>
      <c r="EQ51" s="21"/>
      <c r="ER51" s="110">
        <v>0.47916666666666702</v>
      </c>
      <c r="ES51" s="264"/>
      <c r="EU51" s="260">
        <v>0.47916666666666702</v>
      </c>
      <c r="EV51" s="209">
        <f>'HVAC Appliances Amarillo'!EV51</f>
        <v>1620</v>
      </c>
      <c r="EW51" s="110">
        <v>0.47916666666666702</v>
      </c>
      <c r="EX51" s="209">
        <f>'HVAC Appliances Amarillo'!EX51</f>
        <v>2480</v>
      </c>
      <c r="EY51" s="110">
        <v>0.47916666666666702</v>
      </c>
      <c r="EZ51" s="308">
        <f>'HVAC Appliances Amarillo'!EZ51</f>
        <v>3390</v>
      </c>
    </row>
    <row r="52" spans="1:156" x14ac:dyDescent="0.3">
      <c r="A52" s="108">
        <v>0.47916666666666702</v>
      </c>
      <c r="B52" s="226">
        <f t="shared" si="0"/>
        <v>0</v>
      </c>
      <c r="C52" s="21">
        <f t="shared" si="1"/>
        <v>246.91666666666669</v>
      </c>
      <c r="D52" s="20">
        <f t="shared" si="2"/>
        <v>6398.0366666666687</v>
      </c>
      <c r="E52" s="20">
        <f t="shared" si="3"/>
        <v>3390</v>
      </c>
      <c r="G52" s="260">
        <v>0.48958333333333298</v>
      </c>
      <c r="H52" s="211">
        <f>'HVAC Appliances Austin'!H52</f>
        <v>102.92847222222201</v>
      </c>
      <c r="I52" s="110">
        <v>0.48958333333333298</v>
      </c>
      <c r="J52" s="211">
        <f>'HVAC Appliances Austin'!J52</f>
        <v>116.9430555555555</v>
      </c>
      <c r="K52" s="110">
        <v>0.48958333333333298</v>
      </c>
      <c r="L52" s="211">
        <f>'HVAC Appliances Austin'!L52</f>
        <v>128.95555555555526</v>
      </c>
      <c r="M52" s="21"/>
      <c r="N52" s="110">
        <v>0.48958333333333298</v>
      </c>
      <c r="O52" s="211">
        <f>'HVAC Appliances Austin'!O52</f>
        <v>429.81353472222258</v>
      </c>
      <c r="P52" s="110">
        <v>0.48958333333333298</v>
      </c>
      <c r="Q52" s="211">
        <f>'HVAC Appliances Austin'!Q52</f>
        <v>660.45618055555622</v>
      </c>
      <c r="R52" s="110">
        <v>0.48958333333333298</v>
      </c>
      <c r="S52" s="211">
        <f>'HVAC Appliances Austin'!S52</f>
        <v>822.62130555555621</v>
      </c>
      <c r="T52" s="21"/>
      <c r="U52" s="110">
        <v>0.48958333333333298</v>
      </c>
      <c r="V52" s="211">
        <f>'HVAC Appliances Austin'!V52</f>
        <v>791.62103472222157</v>
      </c>
      <c r="W52" s="110">
        <v>0.48958333333333298</v>
      </c>
      <c r="X52" s="211">
        <f>'HVAC Appliances Austin'!X52</f>
        <v>1271.1811805555562</v>
      </c>
      <c r="Y52" s="110">
        <v>0.48958333333333298</v>
      </c>
      <c r="Z52" s="211">
        <f>'HVAC Appliances Austin'!Z52</f>
        <v>1623.561305555555</v>
      </c>
      <c r="AA52" s="21"/>
      <c r="AB52" s="110">
        <v>0.48958333333333298</v>
      </c>
      <c r="AC52" s="211">
        <f>'HVAC Appliances Austin'!AC52</f>
        <v>61.154368055555409</v>
      </c>
      <c r="AD52" s="110">
        <v>0.48958333333333298</v>
      </c>
      <c r="AE52" s="211">
        <f>'HVAC Appliances Austin'!AE52</f>
        <v>50.514513888888942</v>
      </c>
      <c r="AF52" s="110">
        <v>0.48958333333333298</v>
      </c>
      <c r="AG52" s="211">
        <f>'HVAC Appliances Austin'!AG52</f>
        <v>51.294638888888414</v>
      </c>
      <c r="AH52" s="21"/>
      <c r="AI52" s="110">
        <v>0.48958333333333298</v>
      </c>
      <c r="AJ52" s="211">
        <f>'HVAC Appliances Austin'!AJ52</f>
        <v>0</v>
      </c>
      <c r="AK52" s="110">
        <v>0.48958333333333298</v>
      </c>
      <c r="AL52" s="211">
        <f>'HVAC Appliances Austin'!AL52</f>
        <v>0</v>
      </c>
      <c r="AM52" s="110">
        <v>0.48958333333333298</v>
      </c>
      <c r="AN52" s="211">
        <f>'HVAC Appliances Austin'!AN52</f>
        <v>0</v>
      </c>
      <c r="AO52" s="21"/>
      <c r="AP52" s="110">
        <v>0.48958333333333298</v>
      </c>
      <c r="AQ52" s="211">
        <f>'HVAC Appliances Austin'!AQ52</f>
        <v>873.15020138888883</v>
      </c>
      <c r="AR52" s="110">
        <v>0.48958333333333298</v>
      </c>
      <c r="AS52" s="211">
        <f>'HVAC Appliances Austin'!AS52</f>
        <v>1409.2778472222221</v>
      </c>
      <c r="AT52" s="110">
        <v>0.48958333333333298</v>
      </c>
      <c r="AU52" s="211">
        <f>'HVAC Appliances Austin'!AU52</f>
        <v>1805.7729722222216</v>
      </c>
      <c r="AV52" s="21"/>
      <c r="AW52" s="110">
        <v>0.48958333333333298</v>
      </c>
      <c r="AX52" s="211"/>
      <c r="AY52" s="21"/>
      <c r="AZ52" s="110">
        <v>0.48958333333333298</v>
      </c>
      <c r="BA52" s="264"/>
      <c r="BC52" s="260">
        <v>0.48958333333333298</v>
      </c>
      <c r="BD52" s="211">
        <f>'HVAC Appliances Austin'!BD52</f>
        <v>0</v>
      </c>
      <c r="BE52" s="110">
        <v>0.48958333333333298</v>
      </c>
      <c r="BF52" s="211">
        <f>'HVAC Appliances Austin'!BF52</f>
        <v>0</v>
      </c>
      <c r="BG52" s="110">
        <v>0.48958333333333298</v>
      </c>
      <c r="BH52" s="211">
        <f>'HVAC Appliances Austin'!BH52</f>
        <v>0</v>
      </c>
      <c r="BI52" s="21"/>
      <c r="BJ52" s="110">
        <v>0.48958333333333298</v>
      </c>
      <c r="BK52" s="211">
        <f>'HVAC Appliances Austin'!BK52</f>
        <v>0</v>
      </c>
      <c r="BL52" s="110">
        <v>0.48958333333333298</v>
      </c>
      <c r="BM52" s="211">
        <f>'HVAC Appliances Austin'!BM52</f>
        <v>0</v>
      </c>
      <c r="BN52" s="110">
        <v>0.48958333333333298</v>
      </c>
      <c r="BO52" s="211">
        <f>'HVAC Appliances Austin'!BO52</f>
        <v>0</v>
      </c>
      <c r="BP52" s="21"/>
      <c r="BQ52" s="110">
        <v>0.48958333333333298</v>
      </c>
      <c r="BR52" s="211">
        <f>'HVAC Appliances Austin'!BR52</f>
        <v>0</v>
      </c>
      <c r="BS52" s="110">
        <v>0.48958333333333298</v>
      </c>
      <c r="BT52" s="211">
        <f>'HVAC Appliances Austin'!BT52</f>
        <v>0</v>
      </c>
      <c r="BU52" s="110">
        <v>0.48958333333333298</v>
      </c>
      <c r="BV52" s="211">
        <f>'HVAC Appliances Austin'!BV52</f>
        <v>0</v>
      </c>
      <c r="BW52" s="21"/>
      <c r="BX52" s="110">
        <v>0.48958333333333298</v>
      </c>
      <c r="BY52" s="211">
        <f>'HVAC Appliances Austin'!BY52</f>
        <v>0</v>
      </c>
      <c r="BZ52" s="110">
        <v>0.48958333333333298</v>
      </c>
      <c r="CA52" s="211">
        <f>'HVAC Appliances Austin'!CA52</f>
        <v>0</v>
      </c>
      <c r="CB52" s="110">
        <v>0.48958333333333298</v>
      </c>
      <c r="CC52" s="211">
        <f>'HVAC Appliances Austin'!CC52</f>
        <v>0</v>
      </c>
      <c r="CD52" s="21"/>
      <c r="CE52" s="110">
        <v>0.48958333333333298</v>
      </c>
      <c r="CF52" s="211">
        <f>'HVAC Appliances Austin'!CF52</f>
        <v>95.96916666666668</v>
      </c>
      <c r="CG52" s="110">
        <v>0.48958333333333298</v>
      </c>
      <c r="CH52" s="211">
        <f>'HVAC Appliances Austin'!CH52</f>
        <v>185.23666666666665</v>
      </c>
      <c r="CI52" s="110">
        <v>0.48958333333333298</v>
      </c>
      <c r="CJ52" s="211">
        <f>'HVAC Appliances Austin'!CJ52</f>
        <v>246.91666666666669</v>
      </c>
      <c r="CK52" s="21"/>
      <c r="CL52" s="110">
        <v>0.48958333333333298</v>
      </c>
      <c r="CM52" s="211">
        <f>'HVAC Appliances Austin'!CM52</f>
        <v>0</v>
      </c>
      <c r="CN52" s="110">
        <v>0.48958333333333298</v>
      </c>
      <c r="CO52" s="211">
        <f>'HVAC Appliances Austin'!CO52</f>
        <v>0</v>
      </c>
      <c r="CP52" s="110">
        <v>0.48958333333333298</v>
      </c>
      <c r="CQ52" s="211">
        <f>'HVAC Appliances Austin'!CQ52</f>
        <v>0</v>
      </c>
      <c r="CR52" s="21"/>
      <c r="CS52" s="110">
        <v>0.48958333333333298</v>
      </c>
      <c r="CT52" s="211"/>
      <c r="CU52" s="21"/>
      <c r="CV52" s="110">
        <v>0.48958333333333298</v>
      </c>
      <c r="CW52" s="264"/>
      <c r="CY52" s="260">
        <v>0.48958333333333298</v>
      </c>
      <c r="CZ52" s="211">
        <f>'HVAC Appliances Austin'!CZ52</f>
        <v>111.925</v>
      </c>
      <c r="DA52" s="110">
        <v>0.48958333333333298</v>
      </c>
      <c r="DB52" s="211">
        <f>'HVAC Appliances Austin'!DB52</f>
        <v>121.17986111111124</v>
      </c>
      <c r="DC52" s="110">
        <v>0.48958333333333298</v>
      </c>
      <c r="DD52" s="211">
        <f>'HVAC Appliances Austin'!DD52</f>
        <v>124.36458333333312</v>
      </c>
      <c r="DE52" s="21"/>
      <c r="DF52" s="110">
        <v>0.48958333333333298</v>
      </c>
      <c r="DG52" s="211">
        <f>'HVAC Appliances Austin'!DG52</f>
        <v>474.4743333333335</v>
      </c>
      <c r="DH52" s="110">
        <v>0.48958333333333298</v>
      </c>
      <c r="DI52" s="211">
        <f>'HVAC Appliances Austin'!DI52</f>
        <v>718.90613194444518</v>
      </c>
      <c r="DJ52" s="110">
        <v>0.48958333333333298</v>
      </c>
      <c r="DK52" s="211">
        <f>'HVAC Appliances Austin'!DK52</f>
        <v>896.2153958333339</v>
      </c>
      <c r="DL52" s="21"/>
      <c r="DM52" s="110">
        <v>0.48958333333333298</v>
      </c>
      <c r="DN52" s="211">
        <f>'HVAC Appliances Austin'!DN52</f>
        <v>833.84433333333322</v>
      </c>
      <c r="DO52" s="110">
        <v>0.48958333333333298</v>
      </c>
      <c r="DP52" s="211">
        <f>'HVAC Appliances Austin'!DP52</f>
        <v>1329.0086319444442</v>
      </c>
      <c r="DQ52" s="110">
        <v>0.48958333333333298</v>
      </c>
      <c r="DR52" s="211">
        <f>'HVAC Appliances Austin'!DR52</f>
        <v>1691.6128958333325</v>
      </c>
      <c r="DS52" s="21"/>
      <c r="DT52" s="110">
        <v>0.48958333333333298</v>
      </c>
      <c r="DU52" s="211">
        <f>'HVAC Appliances Austin'!DU52</f>
        <v>0</v>
      </c>
      <c r="DV52" s="110">
        <v>0.48958333333333298</v>
      </c>
      <c r="DW52" s="211">
        <f>'HVAC Appliances Austin'!DW52</f>
        <v>0</v>
      </c>
      <c r="DX52" s="110">
        <v>0.48958333333333298</v>
      </c>
      <c r="DY52" s="211">
        <f>'HVAC Appliances Austin'!DY52</f>
        <v>0</v>
      </c>
      <c r="DZ52" s="21"/>
      <c r="EA52" s="110">
        <v>0.48958333333333298</v>
      </c>
      <c r="EB52" s="211">
        <f>'HVAC Appliances Amarillo'!EB52</f>
        <v>2266.1625000000004</v>
      </c>
      <c r="EC52" s="110">
        <v>0.48958333333333298</v>
      </c>
      <c r="ED52" s="211">
        <f>'HVAC Appliances Amarillo'!ED52</f>
        <v>4697.7075000000004</v>
      </c>
      <c r="EE52" s="110">
        <v>0.48958333333333298</v>
      </c>
      <c r="EF52" s="211">
        <f>'HVAC Appliances Amarillo'!EF52</f>
        <v>6398.0366666666687</v>
      </c>
      <c r="EG52" s="21"/>
      <c r="EH52" s="110">
        <v>0.48958333333333298</v>
      </c>
      <c r="EI52" s="211">
        <f>'HVAC Appliances Austin'!EI52</f>
        <v>912.63933333333318</v>
      </c>
      <c r="EJ52" s="110">
        <v>0.48958333333333298</v>
      </c>
      <c r="EK52" s="211">
        <f>'HVAC Appliances Austin'!EK52</f>
        <v>1463.8044652777783</v>
      </c>
      <c r="EL52" s="110">
        <v>0.48958333333333298</v>
      </c>
      <c r="EM52" s="211">
        <f>'HVAC Appliances Austin'!EM52</f>
        <v>1867.7753958333337</v>
      </c>
      <c r="EN52" s="21"/>
      <c r="EO52" s="110">
        <v>0.48958333333333298</v>
      </c>
      <c r="EP52" s="211"/>
      <c r="EQ52" s="21"/>
      <c r="ER52" s="110">
        <v>0.48958333333333298</v>
      </c>
      <c r="ES52" s="264"/>
      <c r="EU52" s="260">
        <v>0.48958333333333298</v>
      </c>
      <c r="EV52" s="209">
        <f>'HVAC Appliances Amarillo'!EV52</f>
        <v>1620</v>
      </c>
      <c r="EW52" s="110">
        <v>0.48958333333333298</v>
      </c>
      <c r="EX52" s="209">
        <f>'HVAC Appliances Amarillo'!EX52</f>
        <v>2480</v>
      </c>
      <c r="EY52" s="110">
        <v>0.48958333333333298</v>
      </c>
      <c r="EZ52" s="308">
        <f>'HVAC Appliances Amarillo'!EZ52</f>
        <v>3390</v>
      </c>
    </row>
    <row r="53" spans="1:156" x14ac:dyDescent="0.3">
      <c r="A53" s="108">
        <v>0.48958333333333298</v>
      </c>
      <c r="B53" s="226">
        <f t="shared" si="0"/>
        <v>0</v>
      </c>
      <c r="C53" s="21">
        <f t="shared" si="1"/>
        <v>246.91666666666669</v>
      </c>
      <c r="D53" s="20">
        <f t="shared" si="2"/>
        <v>6398.0366666666687</v>
      </c>
      <c r="E53" s="20">
        <f t="shared" si="3"/>
        <v>3390</v>
      </c>
      <c r="G53" s="260">
        <v>0.5</v>
      </c>
      <c r="H53" s="211">
        <f>'HVAC Appliances Austin'!H53</f>
        <v>137.01099999999988</v>
      </c>
      <c r="I53" s="110">
        <v>0.5</v>
      </c>
      <c r="J53" s="211">
        <f>'HVAC Appliances Austin'!J53</f>
        <v>172.46000000000006</v>
      </c>
      <c r="K53" s="110">
        <v>0.5</v>
      </c>
      <c r="L53" s="211">
        <f>'HVAC Appliances Austin'!L53</f>
        <v>197.10200000000012</v>
      </c>
      <c r="M53" s="21"/>
      <c r="N53" s="110">
        <v>0.5</v>
      </c>
      <c r="O53" s="211">
        <f>'HVAC Appliances Austin'!O53</f>
        <v>493.38399999999973</v>
      </c>
      <c r="P53" s="110">
        <v>0.5</v>
      </c>
      <c r="Q53" s="211">
        <f>'HVAC Appliances Austin'!Q53</f>
        <v>767.4199999999995</v>
      </c>
      <c r="R53" s="110">
        <v>0.5</v>
      </c>
      <c r="S53" s="211">
        <f>'HVAC Appliances Austin'!S53</f>
        <v>962.10799999999927</v>
      </c>
      <c r="T53" s="21"/>
      <c r="U53" s="110">
        <v>0.5</v>
      </c>
      <c r="V53" s="211">
        <f>'HVAC Appliances Austin'!V53</f>
        <v>839.07186805555546</v>
      </c>
      <c r="W53" s="110">
        <v>0.5</v>
      </c>
      <c r="X53" s="211">
        <f>'HVAC Appliances Austin'!X53</f>
        <v>1351.5395138888891</v>
      </c>
      <c r="Y53" s="110">
        <v>0.5</v>
      </c>
      <c r="Z53" s="211">
        <f>'HVAC Appliances Austin'!Z53</f>
        <v>1729.5546388888893</v>
      </c>
      <c r="AA53" s="21"/>
      <c r="AB53" s="110">
        <v>0.5</v>
      </c>
      <c r="AC53" s="211">
        <f>'HVAC Appliances Austin'!AC53</f>
        <v>64.206868055555418</v>
      </c>
      <c r="AD53" s="110">
        <v>0.5</v>
      </c>
      <c r="AE53" s="211">
        <f>'HVAC Appliances Austin'!AE53</f>
        <v>55.244513888888847</v>
      </c>
      <c r="AF53" s="110">
        <v>0.5</v>
      </c>
      <c r="AG53" s="211">
        <f>'HVAC Appliances Austin'!AG53</f>
        <v>56.519638888888664</v>
      </c>
      <c r="AH53" s="21"/>
      <c r="AI53" s="110">
        <v>0.5</v>
      </c>
      <c r="AJ53" s="211">
        <f>'HVAC Appliances Austin'!AJ53</f>
        <v>0</v>
      </c>
      <c r="AK53" s="110">
        <v>0.5</v>
      </c>
      <c r="AL53" s="211">
        <f>'HVAC Appliances Austin'!AL53</f>
        <v>0</v>
      </c>
      <c r="AM53" s="110">
        <v>0.5</v>
      </c>
      <c r="AN53" s="211">
        <f>'HVAC Appliances Austin'!AN53</f>
        <v>0</v>
      </c>
      <c r="AO53" s="21"/>
      <c r="AP53" s="110">
        <v>0.5</v>
      </c>
      <c r="AQ53" s="211">
        <f>'HVAC Appliances Austin'!AQ53</f>
        <v>1085.1828124999997</v>
      </c>
      <c r="AR53" s="110">
        <v>0.5</v>
      </c>
      <c r="AS53" s="211">
        <f>'HVAC Appliances Austin'!AS53</f>
        <v>1768.9406249999995</v>
      </c>
      <c r="AT53" s="110">
        <v>0.5</v>
      </c>
      <c r="AU53" s="211">
        <f>'HVAC Appliances Austin'!AU53</f>
        <v>2281.5187499999997</v>
      </c>
      <c r="AV53" s="21"/>
      <c r="AW53" s="110">
        <v>0.5</v>
      </c>
      <c r="AX53" s="211"/>
      <c r="AY53" s="21"/>
      <c r="AZ53" s="110">
        <v>0.5</v>
      </c>
      <c r="BA53" s="264"/>
      <c r="BC53" s="260">
        <v>0.5</v>
      </c>
      <c r="BD53" s="211">
        <f>'HVAC Appliances Austin'!BD53</f>
        <v>0</v>
      </c>
      <c r="BE53" s="110">
        <v>0.5</v>
      </c>
      <c r="BF53" s="211">
        <f>'HVAC Appliances Austin'!BF53</f>
        <v>0</v>
      </c>
      <c r="BG53" s="110">
        <v>0.5</v>
      </c>
      <c r="BH53" s="211">
        <f>'HVAC Appliances Austin'!BH53</f>
        <v>0</v>
      </c>
      <c r="BI53" s="21"/>
      <c r="BJ53" s="110">
        <v>0.5</v>
      </c>
      <c r="BK53" s="211">
        <f>'HVAC Appliances Austin'!BK53</f>
        <v>0</v>
      </c>
      <c r="BL53" s="110">
        <v>0.5</v>
      </c>
      <c r="BM53" s="211">
        <f>'HVAC Appliances Austin'!BM53</f>
        <v>0</v>
      </c>
      <c r="BN53" s="110">
        <v>0.5</v>
      </c>
      <c r="BO53" s="211">
        <f>'HVAC Appliances Austin'!BO53</f>
        <v>0</v>
      </c>
      <c r="BP53" s="21"/>
      <c r="BQ53" s="110">
        <v>0.5</v>
      </c>
      <c r="BR53" s="211">
        <f>'HVAC Appliances Austin'!BR53</f>
        <v>0</v>
      </c>
      <c r="BS53" s="110">
        <v>0.5</v>
      </c>
      <c r="BT53" s="211">
        <f>'HVAC Appliances Austin'!BT53</f>
        <v>0</v>
      </c>
      <c r="BU53" s="110">
        <v>0.5</v>
      </c>
      <c r="BV53" s="211">
        <f>'HVAC Appliances Austin'!BV53</f>
        <v>0</v>
      </c>
      <c r="BW53" s="21"/>
      <c r="BX53" s="110">
        <v>0.5</v>
      </c>
      <c r="BY53" s="211">
        <f>'HVAC Appliances Austin'!BY53</f>
        <v>0</v>
      </c>
      <c r="BZ53" s="110">
        <v>0.5</v>
      </c>
      <c r="CA53" s="211">
        <f>'HVAC Appliances Austin'!CA53</f>
        <v>0</v>
      </c>
      <c r="CB53" s="110">
        <v>0.5</v>
      </c>
      <c r="CC53" s="211">
        <f>'HVAC Appliances Austin'!CC53</f>
        <v>0</v>
      </c>
      <c r="CD53" s="21"/>
      <c r="CE53" s="110">
        <v>0.5</v>
      </c>
      <c r="CF53" s="211">
        <f>'HVAC Appliances Austin'!CF53</f>
        <v>89.370833333333337</v>
      </c>
      <c r="CG53" s="110">
        <v>0.5</v>
      </c>
      <c r="CH53" s="211">
        <f>'HVAC Appliances Austin'!CH53</f>
        <v>171.68333333333337</v>
      </c>
      <c r="CI53" s="110">
        <v>0.5</v>
      </c>
      <c r="CJ53" s="211">
        <f>'HVAC Appliances Austin'!CJ53</f>
        <v>229.08333333333337</v>
      </c>
      <c r="CK53" s="21"/>
      <c r="CL53" s="110">
        <v>0.5</v>
      </c>
      <c r="CM53" s="211">
        <f>'HVAC Appliances Austin'!CM53</f>
        <v>0</v>
      </c>
      <c r="CN53" s="110">
        <v>0.5</v>
      </c>
      <c r="CO53" s="211">
        <f>'HVAC Appliances Austin'!CO53</f>
        <v>0</v>
      </c>
      <c r="CP53" s="110">
        <v>0.5</v>
      </c>
      <c r="CQ53" s="211">
        <f>'HVAC Appliances Austin'!CQ53</f>
        <v>0</v>
      </c>
      <c r="CR53" s="21"/>
      <c r="CS53" s="110">
        <v>0.5</v>
      </c>
      <c r="CT53" s="211"/>
      <c r="CU53" s="21"/>
      <c r="CV53" s="110">
        <v>0.5</v>
      </c>
      <c r="CW53" s="264"/>
      <c r="CY53" s="260">
        <v>0.5</v>
      </c>
      <c r="CZ53" s="211">
        <f>'HVAC Appliances Austin'!CZ53</f>
        <v>155.00600000000003</v>
      </c>
      <c r="DA53" s="110">
        <v>0.5</v>
      </c>
      <c r="DB53" s="211">
        <f>'HVAC Appliances Austin'!DB53</f>
        <v>189.98700000000014</v>
      </c>
      <c r="DC53" s="110">
        <v>0.5</v>
      </c>
      <c r="DD53" s="211">
        <f>'HVAC Appliances Austin'!DD53</f>
        <v>212.26300000000055</v>
      </c>
      <c r="DE53" s="21"/>
      <c r="DF53" s="110">
        <v>0.5</v>
      </c>
      <c r="DG53" s="211">
        <f>'HVAC Appliances Austin'!DG53</f>
        <v>539.18399999999963</v>
      </c>
      <c r="DH53" s="110">
        <v>0.5</v>
      </c>
      <c r="DI53" s="211">
        <f>'HVAC Appliances Austin'!DI53</f>
        <v>828.02799999999934</v>
      </c>
      <c r="DJ53" s="110">
        <v>0.5</v>
      </c>
      <c r="DK53" s="211">
        <f>'HVAC Appliances Austin'!DK53</f>
        <v>1038.1719999999989</v>
      </c>
      <c r="DL53" s="21"/>
      <c r="DM53" s="110">
        <v>0.5</v>
      </c>
      <c r="DN53" s="211">
        <f>'HVAC Appliances Austin'!DN53</f>
        <v>879.7743333333334</v>
      </c>
      <c r="DO53" s="110">
        <v>0.5</v>
      </c>
      <c r="DP53" s="211">
        <f>'HVAC Appliances Austin'!DP53</f>
        <v>1407.5477986111116</v>
      </c>
      <c r="DQ53" s="110">
        <v>0.5</v>
      </c>
      <c r="DR53" s="211">
        <f>'HVAC Appliances Austin'!DR53</f>
        <v>1794.2403958333339</v>
      </c>
      <c r="DS53" s="21"/>
      <c r="DT53" s="110">
        <v>0.5</v>
      </c>
      <c r="DU53" s="211">
        <f>'HVAC Appliances Austin'!DU53</f>
        <v>0</v>
      </c>
      <c r="DV53" s="110">
        <v>0.5</v>
      </c>
      <c r="DW53" s="211">
        <f>'HVAC Appliances Austin'!DW53</f>
        <v>0</v>
      </c>
      <c r="DX53" s="110">
        <v>0.5</v>
      </c>
      <c r="DY53" s="211">
        <f>'HVAC Appliances Austin'!DY53</f>
        <v>0</v>
      </c>
      <c r="DZ53" s="21"/>
      <c r="EA53" s="110">
        <v>0.5</v>
      </c>
      <c r="EB53" s="211">
        <f>'HVAC Appliances Amarillo'!EB53</f>
        <v>1744.5374999999999</v>
      </c>
      <c r="EC53" s="110">
        <v>0.5</v>
      </c>
      <c r="ED53" s="211">
        <f>'HVAC Appliances Amarillo'!ED53</f>
        <v>3736.3125000000009</v>
      </c>
      <c r="EE53" s="110">
        <v>0.5</v>
      </c>
      <c r="EF53" s="211">
        <f>'HVAC Appliances Amarillo'!EF53</f>
        <v>5057.6833333333343</v>
      </c>
      <c r="EG53" s="21"/>
      <c r="EH53" s="110">
        <v>0.5</v>
      </c>
      <c r="EI53" s="211">
        <f>'HVAC Appliances Austin'!EI53</f>
        <v>1115.2</v>
      </c>
      <c r="EJ53" s="110">
        <v>0.5</v>
      </c>
      <c r="EK53" s="211">
        <f>'HVAC Appliances Austin'!EK53</f>
        <v>1811.4671874999995</v>
      </c>
      <c r="EL53" s="110">
        <v>0.5</v>
      </c>
      <c r="EM53" s="211">
        <f>'HVAC Appliances Austin'!EM53</f>
        <v>2322.6015624999995</v>
      </c>
      <c r="EN53" s="21"/>
      <c r="EO53" s="110">
        <v>0.5</v>
      </c>
      <c r="EP53" s="211"/>
      <c r="EQ53" s="21"/>
      <c r="ER53" s="110">
        <v>0.5</v>
      </c>
      <c r="ES53" s="264"/>
      <c r="EU53" s="260">
        <v>0.5</v>
      </c>
      <c r="EV53" s="209">
        <f>'HVAC Appliances Amarillo'!EV53</f>
        <v>1620</v>
      </c>
      <c r="EW53" s="110">
        <v>0.5</v>
      </c>
      <c r="EX53" s="209">
        <f>'HVAC Appliances Amarillo'!EX53</f>
        <v>2480</v>
      </c>
      <c r="EY53" s="110">
        <v>0.5</v>
      </c>
      <c r="EZ53" s="308">
        <f>'HVAC Appliances Amarillo'!EZ53</f>
        <v>3390</v>
      </c>
    </row>
    <row r="54" spans="1:156" x14ac:dyDescent="0.3">
      <c r="A54" s="108">
        <v>0.5</v>
      </c>
      <c r="B54" s="226">
        <f t="shared" si="0"/>
        <v>0</v>
      </c>
      <c r="C54" s="21">
        <f t="shared" si="1"/>
        <v>229.08333333333337</v>
      </c>
      <c r="D54" s="20">
        <f t="shared" si="2"/>
        <v>5057.6833333333343</v>
      </c>
      <c r="E54" s="20">
        <f t="shared" si="3"/>
        <v>3390</v>
      </c>
      <c r="G54" s="260">
        <v>0.51041666666666696</v>
      </c>
      <c r="H54" s="211">
        <f>'HVAC Appliances Austin'!H54</f>
        <v>137.01099999999988</v>
      </c>
      <c r="I54" s="110">
        <v>0.51041666666666696</v>
      </c>
      <c r="J54" s="211">
        <f>'HVAC Appliances Austin'!J54</f>
        <v>172.46000000000006</v>
      </c>
      <c r="K54" s="110">
        <v>0.51041666666666696</v>
      </c>
      <c r="L54" s="211">
        <f>'HVAC Appliances Austin'!L54</f>
        <v>197.10200000000012</v>
      </c>
      <c r="M54" s="21"/>
      <c r="N54" s="110">
        <v>0.51041666666666696</v>
      </c>
      <c r="O54" s="211">
        <f>'HVAC Appliances Austin'!O54</f>
        <v>493.38399999999973</v>
      </c>
      <c r="P54" s="110">
        <v>0.51041666666666696</v>
      </c>
      <c r="Q54" s="211">
        <f>'HVAC Appliances Austin'!Q54</f>
        <v>767.4199999999995</v>
      </c>
      <c r="R54" s="110">
        <v>0.51041666666666696</v>
      </c>
      <c r="S54" s="211">
        <f>'HVAC Appliances Austin'!S54</f>
        <v>962.10799999999927</v>
      </c>
      <c r="T54" s="21"/>
      <c r="U54" s="110">
        <v>0.51041666666666696</v>
      </c>
      <c r="V54" s="211">
        <f>'HVAC Appliances Austin'!V54</f>
        <v>839.07186805555546</v>
      </c>
      <c r="W54" s="110">
        <v>0.51041666666666696</v>
      </c>
      <c r="X54" s="211">
        <f>'HVAC Appliances Austin'!X54</f>
        <v>1351.5395138888891</v>
      </c>
      <c r="Y54" s="110">
        <v>0.51041666666666696</v>
      </c>
      <c r="Z54" s="211">
        <f>'HVAC Appliances Austin'!Z54</f>
        <v>1729.5546388888893</v>
      </c>
      <c r="AA54" s="21"/>
      <c r="AB54" s="110">
        <v>0.51041666666666696</v>
      </c>
      <c r="AC54" s="211">
        <f>'HVAC Appliances Austin'!AC54</f>
        <v>64.206868055555418</v>
      </c>
      <c r="AD54" s="110">
        <v>0.51041666666666696</v>
      </c>
      <c r="AE54" s="211">
        <f>'HVAC Appliances Austin'!AE54</f>
        <v>55.244513888888847</v>
      </c>
      <c r="AF54" s="110">
        <v>0.51041666666666696</v>
      </c>
      <c r="AG54" s="211">
        <f>'HVAC Appliances Austin'!AG54</f>
        <v>56.519638888888664</v>
      </c>
      <c r="AH54" s="21"/>
      <c r="AI54" s="110">
        <v>0.51041666666666696</v>
      </c>
      <c r="AJ54" s="211">
        <f>'HVAC Appliances Austin'!AJ54</f>
        <v>0</v>
      </c>
      <c r="AK54" s="110">
        <v>0.51041666666666696</v>
      </c>
      <c r="AL54" s="211">
        <f>'HVAC Appliances Austin'!AL54</f>
        <v>0</v>
      </c>
      <c r="AM54" s="110">
        <v>0.51041666666666696</v>
      </c>
      <c r="AN54" s="211">
        <f>'HVAC Appliances Austin'!AN54</f>
        <v>0</v>
      </c>
      <c r="AO54" s="21"/>
      <c r="AP54" s="110">
        <v>0.51041666666666696</v>
      </c>
      <c r="AQ54" s="211">
        <f>'HVAC Appliances Austin'!AQ54</f>
        <v>1085.1828124999997</v>
      </c>
      <c r="AR54" s="110">
        <v>0.51041666666666696</v>
      </c>
      <c r="AS54" s="211">
        <f>'HVAC Appliances Austin'!AS54</f>
        <v>1768.9406249999995</v>
      </c>
      <c r="AT54" s="110">
        <v>0.51041666666666696</v>
      </c>
      <c r="AU54" s="211">
        <f>'HVAC Appliances Austin'!AU54</f>
        <v>2281.5187499999997</v>
      </c>
      <c r="AV54" s="21"/>
      <c r="AW54" s="110">
        <v>0.51041666666666696</v>
      </c>
      <c r="AX54" s="211"/>
      <c r="AY54" s="21"/>
      <c r="AZ54" s="110">
        <v>0.51041666666666696</v>
      </c>
      <c r="BA54" s="264"/>
      <c r="BC54" s="260">
        <v>0.51041666666666696</v>
      </c>
      <c r="BD54" s="211">
        <f>'HVAC Appliances Austin'!BD54</f>
        <v>0</v>
      </c>
      <c r="BE54" s="110">
        <v>0.51041666666666696</v>
      </c>
      <c r="BF54" s="211">
        <f>'HVAC Appliances Austin'!BF54</f>
        <v>0</v>
      </c>
      <c r="BG54" s="110">
        <v>0.51041666666666696</v>
      </c>
      <c r="BH54" s="211">
        <f>'HVAC Appliances Austin'!BH54</f>
        <v>0</v>
      </c>
      <c r="BI54" s="21"/>
      <c r="BJ54" s="110">
        <v>0.51041666666666696</v>
      </c>
      <c r="BK54" s="211">
        <f>'HVAC Appliances Austin'!BK54</f>
        <v>0</v>
      </c>
      <c r="BL54" s="110">
        <v>0.51041666666666696</v>
      </c>
      <c r="BM54" s="211">
        <f>'HVAC Appliances Austin'!BM54</f>
        <v>0</v>
      </c>
      <c r="BN54" s="110">
        <v>0.51041666666666696</v>
      </c>
      <c r="BO54" s="211">
        <f>'HVAC Appliances Austin'!BO54</f>
        <v>0</v>
      </c>
      <c r="BP54" s="21"/>
      <c r="BQ54" s="110">
        <v>0.51041666666666696</v>
      </c>
      <c r="BR54" s="211">
        <f>'HVAC Appliances Austin'!BR54</f>
        <v>0</v>
      </c>
      <c r="BS54" s="110">
        <v>0.51041666666666696</v>
      </c>
      <c r="BT54" s="211">
        <f>'HVAC Appliances Austin'!BT54</f>
        <v>0</v>
      </c>
      <c r="BU54" s="110">
        <v>0.51041666666666696</v>
      </c>
      <c r="BV54" s="211">
        <f>'HVAC Appliances Austin'!BV54</f>
        <v>0</v>
      </c>
      <c r="BW54" s="21"/>
      <c r="BX54" s="110">
        <v>0.51041666666666696</v>
      </c>
      <c r="BY54" s="211">
        <f>'HVAC Appliances Austin'!BY54</f>
        <v>0</v>
      </c>
      <c r="BZ54" s="110">
        <v>0.51041666666666696</v>
      </c>
      <c r="CA54" s="211">
        <f>'HVAC Appliances Austin'!CA54</f>
        <v>0</v>
      </c>
      <c r="CB54" s="110">
        <v>0.51041666666666696</v>
      </c>
      <c r="CC54" s="211">
        <f>'HVAC Appliances Austin'!CC54</f>
        <v>0</v>
      </c>
      <c r="CD54" s="21"/>
      <c r="CE54" s="110">
        <v>0.51041666666666696</v>
      </c>
      <c r="CF54" s="211">
        <f>'HVAC Appliances Austin'!CF54</f>
        <v>89.370833333333337</v>
      </c>
      <c r="CG54" s="110">
        <v>0.51041666666666696</v>
      </c>
      <c r="CH54" s="211">
        <f>'HVAC Appliances Austin'!CH54</f>
        <v>171.68333333333337</v>
      </c>
      <c r="CI54" s="110">
        <v>0.51041666666666696</v>
      </c>
      <c r="CJ54" s="211">
        <f>'HVAC Appliances Austin'!CJ54</f>
        <v>229.08333333333337</v>
      </c>
      <c r="CK54" s="21"/>
      <c r="CL54" s="110">
        <v>0.51041666666666696</v>
      </c>
      <c r="CM54" s="211">
        <f>'HVAC Appliances Austin'!CM54</f>
        <v>0</v>
      </c>
      <c r="CN54" s="110">
        <v>0.51041666666666696</v>
      </c>
      <c r="CO54" s="211">
        <f>'HVAC Appliances Austin'!CO54</f>
        <v>0</v>
      </c>
      <c r="CP54" s="110">
        <v>0.51041666666666696</v>
      </c>
      <c r="CQ54" s="211">
        <f>'HVAC Appliances Austin'!CQ54</f>
        <v>0</v>
      </c>
      <c r="CR54" s="21"/>
      <c r="CS54" s="110">
        <v>0.51041666666666696</v>
      </c>
      <c r="CT54" s="211"/>
      <c r="CU54" s="21"/>
      <c r="CV54" s="110">
        <v>0.51041666666666696</v>
      </c>
      <c r="CW54" s="264"/>
      <c r="CY54" s="260">
        <v>0.51041666666666696</v>
      </c>
      <c r="CZ54" s="211">
        <f>'HVAC Appliances Austin'!CZ54</f>
        <v>155.00600000000003</v>
      </c>
      <c r="DA54" s="110">
        <v>0.51041666666666696</v>
      </c>
      <c r="DB54" s="211">
        <f>'HVAC Appliances Austin'!DB54</f>
        <v>189.98700000000014</v>
      </c>
      <c r="DC54" s="110">
        <v>0.51041666666666696</v>
      </c>
      <c r="DD54" s="211">
        <f>'HVAC Appliances Austin'!DD54</f>
        <v>212.26300000000055</v>
      </c>
      <c r="DE54" s="21"/>
      <c r="DF54" s="110">
        <v>0.51041666666666696</v>
      </c>
      <c r="DG54" s="211">
        <f>'HVAC Appliances Austin'!DG54</f>
        <v>539.18399999999963</v>
      </c>
      <c r="DH54" s="110">
        <v>0.51041666666666696</v>
      </c>
      <c r="DI54" s="211">
        <f>'HVAC Appliances Austin'!DI54</f>
        <v>828.02799999999934</v>
      </c>
      <c r="DJ54" s="110">
        <v>0.51041666666666696</v>
      </c>
      <c r="DK54" s="211">
        <f>'HVAC Appliances Austin'!DK54</f>
        <v>1038.1719999999989</v>
      </c>
      <c r="DL54" s="21"/>
      <c r="DM54" s="110">
        <v>0.51041666666666696</v>
      </c>
      <c r="DN54" s="211">
        <f>'HVAC Appliances Austin'!DN54</f>
        <v>879.7743333333334</v>
      </c>
      <c r="DO54" s="110">
        <v>0.51041666666666696</v>
      </c>
      <c r="DP54" s="211">
        <f>'HVAC Appliances Austin'!DP54</f>
        <v>1407.5477986111116</v>
      </c>
      <c r="DQ54" s="110">
        <v>0.51041666666666696</v>
      </c>
      <c r="DR54" s="211">
        <f>'HVAC Appliances Austin'!DR54</f>
        <v>1794.2403958333339</v>
      </c>
      <c r="DS54" s="21"/>
      <c r="DT54" s="110">
        <v>0.51041666666666696</v>
      </c>
      <c r="DU54" s="211">
        <f>'HVAC Appliances Austin'!DU54</f>
        <v>0</v>
      </c>
      <c r="DV54" s="110">
        <v>0.51041666666666696</v>
      </c>
      <c r="DW54" s="211">
        <f>'HVAC Appliances Austin'!DW54</f>
        <v>0</v>
      </c>
      <c r="DX54" s="110">
        <v>0.51041666666666696</v>
      </c>
      <c r="DY54" s="211">
        <f>'HVAC Appliances Austin'!DY54</f>
        <v>0</v>
      </c>
      <c r="DZ54" s="21"/>
      <c r="EA54" s="110">
        <v>0.51041666666666696</v>
      </c>
      <c r="EB54" s="211">
        <f>'HVAC Appliances Amarillo'!EB54</f>
        <v>1744.5374999999999</v>
      </c>
      <c r="EC54" s="110">
        <v>0.51041666666666696</v>
      </c>
      <c r="ED54" s="211">
        <f>'HVAC Appliances Amarillo'!ED54</f>
        <v>3736.3125000000009</v>
      </c>
      <c r="EE54" s="110">
        <v>0.51041666666666696</v>
      </c>
      <c r="EF54" s="211">
        <f>'HVAC Appliances Amarillo'!EF54</f>
        <v>5057.6833333333343</v>
      </c>
      <c r="EG54" s="21"/>
      <c r="EH54" s="110">
        <v>0.51041666666666696</v>
      </c>
      <c r="EI54" s="211">
        <f>'HVAC Appliances Austin'!EI54</f>
        <v>1115.2</v>
      </c>
      <c r="EJ54" s="110">
        <v>0.51041666666666696</v>
      </c>
      <c r="EK54" s="211">
        <f>'HVAC Appliances Austin'!EK54</f>
        <v>1811.4671874999995</v>
      </c>
      <c r="EL54" s="110">
        <v>0.51041666666666696</v>
      </c>
      <c r="EM54" s="211">
        <f>'HVAC Appliances Austin'!EM54</f>
        <v>2322.6015624999995</v>
      </c>
      <c r="EN54" s="21"/>
      <c r="EO54" s="110">
        <v>0.51041666666666696</v>
      </c>
      <c r="EP54" s="211"/>
      <c r="EQ54" s="21"/>
      <c r="ER54" s="110">
        <v>0.51041666666666696</v>
      </c>
      <c r="ES54" s="264"/>
      <c r="EU54" s="260">
        <v>0.51041666666666696</v>
      </c>
      <c r="EV54" s="209">
        <f>'HVAC Appliances Amarillo'!EV54</f>
        <v>1620</v>
      </c>
      <c r="EW54" s="110">
        <v>0.51041666666666696</v>
      </c>
      <c r="EX54" s="209">
        <f>'HVAC Appliances Amarillo'!EX54</f>
        <v>2480</v>
      </c>
      <c r="EY54" s="110">
        <v>0.51041666666666696</v>
      </c>
      <c r="EZ54" s="308">
        <f>'HVAC Appliances Amarillo'!EZ54</f>
        <v>3390</v>
      </c>
    </row>
    <row r="55" spans="1:156" x14ac:dyDescent="0.3">
      <c r="A55" s="108">
        <v>0.51041666666666696</v>
      </c>
      <c r="B55" s="226">
        <f t="shared" si="0"/>
        <v>0</v>
      </c>
      <c r="C55" s="21">
        <f t="shared" si="1"/>
        <v>229.08333333333337</v>
      </c>
      <c r="D55" s="20">
        <f t="shared" si="2"/>
        <v>5057.6833333333343</v>
      </c>
      <c r="E55" s="20">
        <f t="shared" si="3"/>
        <v>3390</v>
      </c>
      <c r="G55" s="260">
        <v>0.52083333333333304</v>
      </c>
      <c r="H55" s="211">
        <f>'HVAC Appliances Austin'!H55</f>
        <v>137.01099999999988</v>
      </c>
      <c r="I55" s="110">
        <v>0.52083333333333304</v>
      </c>
      <c r="J55" s="211">
        <f>'HVAC Appliances Austin'!J55</f>
        <v>172.46000000000006</v>
      </c>
      <c r="K55" s="110">
        <v>0.52083333333333304</v>
      </c>
      <c r="L55" s="211">
        <f>'HVAC Appliances Austin'!L55</f>
        <v>197.10200000000012</v>
      </c>
      <c r="M55" s="21"/>
      <c r="N55" s="110">
        <v>0.52083333333333304</v>
      </c>
      <c r="O55" s="211">
        <f>'HVAC Appliances Austin'!O55</f>
        <v>493.38399999999973</v>
      </c>
      <c r="P55" s="110">
        <v>0.52083333333333304</v>
      </c>
      <c r="Q55" s="211">
        <f>'HVAC Appliances Austin'!Q55</f>
        <v>767.4199999999995</v>
      </c>
      <c r="R55" s="110">
        <v>0.52083333333333304</v>
      </c>
      <c r="S55" s="211">
        <f>'HVAC Appliances Austin'!S55</f>
        <v>962.10799999999927</v>
      </c>
      <c r="T55" s="21"/>
      <c r="U55" s="110">
        <v>0.52083333333333304</v>
      </c>
      <c r="V55" s="211">
        <f>'HVAC Appliances Austin'!V55</f>
        <v>839.07186805555546</v>
      </c>
      <c r="W55" s="110">
        <v>0.52083333333333304</v>
      </c>
      <c r="X55" s="211">
        <f>'HVAC Appliances Austin'!X55</f>
        <v>1351.5395138888891</v>
      </c>
      <c r="Y55" s="110">
        <v>0.52083333333333304</v>
      </c>
      <c r="Z55" s="211">
        <f>'HVAC Appliances Austin'!Z55</f>
        <v>1729.5546388888893</v>
      </c>
      <c r="AA55" s="21"/>
      <c r="AB55" s="110">
        <v>0.52083333333333304</v>
      </c>
      <c r="AC55" s="211">
        <f>'HVAC Appliances Austin'!AC55</f>
        <v>64.206868055555418</v>
      </c>
      <c r="AD55" s="110">
        <v>0.52083333333333304</v>
      </c>
      <c r="AE55" s="211">
        <f>'HVAC Appliances Austin'!AE55</f>
        <v>55.244513888888847</v>
      </c>
      <c r="AF55" s="110">
        <v>0.52083333333333304</v>
      </c>
      <c r="AG55" s="211">
        <f>'HVAC Appliances Austin'!AG55</f>
        <v>56.519638888888664</v>
      </c>
      <c r="AH55" s="21"/>
      <c r="AI55" s="110">
        <v>0.52083333333333304</v>
      </c>
      <c r="AJ55" s="211">
        <f>'HVAC Appliances Austin'!AJ55</f>
        <v>0</v>
      </c>
      <c r="AK55" s="110">
        <v>0.52083333333333304</v>
      </c>
      <c r="AL55" s="211">
        <f>'HVAC Appliances Austin'!AL55</f>
        <v>0</v>
      </c>
      <c r="AM55" s="110">
        <v>0.52083333333333304</v>
      </c>
      <c r="AN55" s="211">
        <f>'HVAC Appliances Austin'!AN55</f>
        <v>0</v>
      </c>
      <c r="AO55" s="21"/>
      <c r="AP55" s="110">
        <v>0.52083333333333304</v>
      </c>
      <c r="AQ55" s="211">
        <f>'HVAC Appliances Austin'!AQ55</f>
        <v>1085.1828124999997</v>
      </c>
      <c r="AR55" s="110">
        <v>0.52083333333333304</v>
      </c>
      <c r="AS55" s="211">
        <f>'HVAC Appliances Austin'!AS55</f>
        <v>1768.9406249999995</v>
      </c>
      <c r="AT55" s="110">
        <v>0.52083333333333304</v>
      </c>
      <c r="AU55" s="211">
        <f>'HVAC Appliances Austin'!AU55</f>
        <v>2281.5187499999997</v>
      </c>
      <c r="AV55" s="21"/>
      <c r="AW55" s="110">
        <v>0.52083333333333304</v>
      </c>
      <c r="AX55" s="211"/>
      <c r="AY55" s="21"/>
      <c r="AZ55" s="110">
        <v>0.52083333333333304</v>
      </c>
      <c r="BA55" s="264"/>
      <c r="BC55" s="260">
        <v>0.52083333333333304</v>
      </c>
      <c r="BD55" s="211">
        <f>'HVAC Appliances Austin'!BD55</f>
        <v>0</v>
      </c>
      <c r="BE55" s="110">
        <v>0.52083333333333304</v>
      </c>
      <c r="BF55" s="211">
        <f>'HVAC Appliances Austin'!BF55</f>
        <v>0</v>
      </c>
      <c r="BG55" s="110">
        <v>0.52083333333333304</v>
      </c>
      <c r="BH55" s="211">
        <f>'HVAC Appliances Austin'!BH55</f>
        <v>0</v>
      </c>
      <c r="BI55" s="21"/>
      <c r="BJ55" s="110">
        <v>0.52083333333333304</v>
      </c>
      <c r="BK55" s="211">
        <f>'HVAC Appliances Austin'!BK55</f>
        <v>0</v>
      </c>
      <c r="BL55" s="110">
        <v>0.52083333333333304</v>
      </c>
      <c r="BM55" s="211">
        <f>'HVAC Appliances Austin'!BM55</f>
        <v>0</v>
      </c>
      <c r="BN55" s="110">
        <v>0.52083333333333304</v>
      </c>
      <c r="BO55" s="211">
        <f>'HVAC Appliances Austin'!BO55</f>
        <v>0</v>
      </c>
      <c r="BP55" s="21"/>
      <c r="BQ55" s="110">
        <v>0.52083333333333304</v>
      </c>
      <c r="BR55" s="211">
        <f>'HVAC Appliances Austin'!BR55</f>
        <v>0</v>
      </c>
      <c r="BS55" s="110">
        <v>0.52083333333333304</v>
      </c>
      <c r="BT55" s="211">
        <f>'HVAC Appliances Austin'!BT55</f>
        <v>0</v>
      </c>
      <c r="BU55" s="110">
        <v>0.52083333333333304</v>
      </c>
      <c r="BV55" s="211">
        <f>'HVAC Appliances Austin'!BV55</f>
        <v>0</v>
      </c>
      <c r="BW55" s="21"/>
      <c r="BX55" s="110">
        <v>0.52083333333333304</v>
      </c>
      <c r="BY55" s="211">
        <f>'HVAC Appliances Austin'!BY55</f>
        <v>0</v>
      </c>
      <c r="BZ55" s="110">
        <v>0.52083333333333304</v>
      </c>
      <c r="CA55" s="211">
        <f>'HVAC Appliances Austin'!CA55</f>
        <v>0</v>
      </c>
      <c r="CB55" s="110">
        <v>0.52083333333333304</v>
      </c>
      <c r="CC55" s="211">
        <f>'HVAC Appliances Austin'!CC55</f>
        <v>0</v>
      </c>
      <c r="CD55" s="21"/>
      <c r="CE55" s="110">
        <v>0.52083333333333304</v>
      </c>
      <c r="CF55" s="211">
        <f>'HVAC Appliances Austin'!CF55</f>
        <v>89.370833333333337</v>
      </c>
      <c r="CG55" s="110">
        <v>0.52083333333333304</v>
      </c>
      <c r="CH55" s="211">
        <f>'HVAC Appliances Austin'!CH55</f>
        <v>171.68333333333337</v>
      </c>
      <c r="CI55" s="110">
        <v>0.52083333333333304</v>
      </c>
      <c r="CJ55" s="211">
        <f>'HVAC Appliances Austin'!CJ55</f>
        <v>229.08333333333337</v>
      </c>
      <c r="CK55" s="21"/>
      <c r="CL55" s="110">
        <v>0.52083333333333304</v>
      </c>
      <c r="CM55" s="211">
        <f>'HVAC Appliances Austin'!CM55</f>
        <v>0</v>
      </c>
      <c r="CN55" s="110">
        <v>0.52083333333333304</v>
      </c>
      <c r="CO55" s="211">
        <f>'HVAC Appliances Austin'!CO55</f>
        <v>0</v>
      </c>
      <c r="CP55" s="110">
        <v>0.52083333333333304</v>
      </c>
      <c r="CQ55" s="211">
        <f>'HVAC Appliances Austin'!CQ55</f>
        <v>0</v>
      </c>
      <c r="CR55" s="21"/>
      <c r="CS55" s="110">
        <v>0.52083333333333304</v>
      </c>
      <c r="CT55" s="211"/>
      <c r="CU55" s="21"/>
      <c r="CV55" s="110">
        <v>0.52083333333333304</v>
      </c>
      <c r="CW55" s="264"/>
      <c r="CY55" s="260">
        <v>0.52083333333333304</v>
      </c>
      <c r="CZ55" s="211">
        <f>'HVAC Appliances Austin'!CZ55</f>
        <v>155.00600000000003</v>
      </c>
      <c r="DA55" s="110">
        <v>0.52083333333333304</v>
      </c>
      <c r="DB55" s="211">
        <f>'HVAC Appliances Austin'!DB55</f>
        <v>189.98700000000014</v>
      </c>
      <c r="DC55" s="110">
        <v>0.52083333333333304</v>
      </c>
      <c r="DD55" s="211">
        <f>'HVAC Appliances Austin'!DD55</f>
        <v>212.26300000000055</v>
      </c>
      <c r="DE55" s="21"/>
      <c r="DF55" s="110">
        <v>0.52083333333333304</v>
      </c>
      <c r="DG55" s="211">
        <f>'HVAC Appliances Austin'!DG55</f>
        <v>539.18399999999963</v>
      </c>
      <c r="DH55" s="110">
        <v>0.52083333333333304</v>
      </c>
      <c r="DI55" s="211">
        <f>'HVAC Appliances Austin'!DI55</f>
        <v>828.02799999999934</v>
      </c>
      <c r="DJ55" s="110">
        <v>0.52083333333333304</v>
      </c>
      <c r="DK55" s="211">
        <f>'HVAC Appliances Austin'!DK55</f>
        <v>1038.1719999999989</v>
      </c>
      <c r="DL55" s="21"/>
      <c r="DM55" s="110">
        <v>0.52083333333333304</v>
      </c>
      <c r="DN55" s="211">
        <f>'HVAC Appliances Austin'!DN55</f>
        <v>879.7743333333334</v>
      </c>
      <c r="DO55" s="110">
        <v>0.52083333333333304</v>
      </c>
      <c r="DP55" s="211">
        <f>'HVAC Appliances Austin'!DP55</f>
        <v>1407.5477986111116</v>
      </c>
      <c r="DQ55" s="110">
        <v>0.52083333333333304</v>
      </c>
      <c r="DR55" s="211">
        <f>'HVAC Appliances Austin'!DR55</f>
        <v>1794.2403958333339</v>
      </c>
      <c r="DS55" s="21"/>
      <c r="DT55" s="110">
        <v>0.52083333333333304</v>
      </c>
      <c r="DU55" s="211">
        <f>'HVAC Appliances Austin'!DU55</f>
        <v>0</v>
      </c>
      <c r="DV55" s="110">
        <v>0.52083333333333304</v>
      </c>
      <c r="DW55" s="211">
        <f>'HVAC Appliances Austin'!DW55</f>
        <v>0</v>
      </c>
      <c r="DX55" s="110">
        <v>0.52083333333333304</v>
      </c>
      <c r="DY55" s="211">
        <f>'HVAC Appliances Austin'!DY55</f>
        <v>0</v>
      </c>
      <c r="DZ55" s="21"/>
      <c r="EA55" s="110">
        <v>0.52083333333333304</v>
      </c>
      <c r="EB55" s="211">
        <f>'HVAC Appliances Amarillo'!EB55</f>
        <v>1744.5374999999999</v>
      </c>
      <c r="EC55" s="110">
        <v>0.52083333333333304</v>
      </c>
      <c r="ED55" s="211">
        <f>'HVAC Appliances Amarillo'!ED55</f>
        <v>3736.3125000000009</v>
      </c>
      <c r="EE55" s="110">
        <v>0.52083333333333304</v>
      </c>
      <c r="EF55" s="211">
        <f>'HVAC Appliances Amarillo'!EF55</f>
        <v>5057.6833333333343</v>
      </c>
      <c r="EG55" s="21"/>
      <c r="EH55" s="110">
        <v>0.52083333333333304</v>
      </c>
      <c r="EI55" s="211">
        <f>'HVAC Appliances Austin'!EI55</f>
        <v>1115.2</v>
      </c>
      <c r="EJ55" s="110">
        <v>0.52083333333333304</v>
      </c>
      <c r="EK55" s="211">
        <f>'HVAC Appliances Austin'!EK55</f>
        <v>1811.4671874999995</v>
      </c>
      <c r="EL55" s="110">
        <v>0.52083333333333304</v>
      </c>
      <c r="EM55" s="211">
        <f>'HVAC Appliances Austin'!EM55</f>
        <v>2322.6015624999995</v>
      </c>
      <c r="EN55" s="21"/>
      <c r="EO55" s="110">
        <v>0.52083333333333304</v>
      </c>
      <c r="EP55" s="211"/>
      <c r="EQ55" s="21"/>
      <c r="ER55" s="110">
        <v>0.52083333333333304</v>
      </c>
      <c r="ES55" s="264"/>
      <c r="EU55" s="260">
        <v>0.52083333333333304</v>
      </c>
      <c r="EV55" s="209">
        <f>'HVAC Appliances Amarillo'!EV55</f>
        <v>1620</v>
      </c>
      <c r="EW55" s="110">
        <v>0.52083333333333304</v>
      </c>
      <c r="EX55" s="209">
        <f>'HVAC Appliances Amarillo'!EX55</f>
        <v>2480</v>
      </c>
      <c r="EY55" s="110">
        <v>0.52083333333333304</v>
      </c>
      <c r="EZ55" s="308">
        <f>'HVAC Appliances Amarillo'!EZ55</f>
        <v>3390</v>
      </c>
    </row>
    <row r="56" spans="1:156" x14ac:dyDescent="0.3">
      <c r="A56" s="108">
        <v>0.52083333333333304</v>
      </c>
      <c r="B56" s="226">
        <f t="shared" si="0"/>
        <v>0</v>
      </c>
      <c r="C56" s="21">
        <f t="shared" si="1"/>
        <v>229.08333333333337</v>
      </c>
      <c r="D56" s="20">
        <f t="shared" si="2"/>
        <v>5057.6833333333343</v>
      </c>
      <c r="E56" s="20">
        <f t="shared" si="3"/>
        <v>3390</v>
      </c>
      <c r="G56" s="260">
        <v>0.53125</v>
      </c>
      <c r="H56" s="211">
        <f>'HVAC Appliances Austin'!H56</f>
        <v>137.01099999999988</v>
      </c>
      <c r="I56" s="110">
        <v>0.53125</v>
      </c>
      <c r="J56" s="211">
        <f>'HVAC Appliances Austin'!J56</f>
        <v>172.46000000000006</v>
      </c>
      <c r="K56" s="110">
        <v>0.53125</v>
      </c>
      <c r="L56" s="211">
        <f>'HVAC Appliances Austin'!L56</f>
        <v>197.10200000000012</v>
      </c>
      <c r="M56" s="21"/>
      <c r="N56" s="110">
        <v>0.53125</v>
      </c>
      <c r="O56" s="211">
        <f>'HVAC Appliances Austin'!O56</f>
        <v>493.38399999999973</v>
      </c>
      <c r="P56" s="110">
        <v>0.53125</v>
      </c>
      <c r="Q56" s="211">
        <f>'HVAC Appliances Austin'!Q56</f>
        <v>767.4199999999995</v>
      </c>
      <c r="R56" s="110">
        <v>0.53125</v>
      </c>
      <c r="S56" s="211">
        <f>'HVAC Appliances Austin'!S56</f>
        <v>962.10799999999927</v>
      </c>
      <c r="T56" s="21"/>
      <c r="U56" s="110">
        <v>0.53125</v>
      </c>
      <c r="V56" s="211">
        <f>'HVAC Appliances Austin'!V56</f>
        <v>839.07186805555546</v>
      </c>
      <c r="W56" s="110">
        <v>0.53125</v>
      </c>
      <c r="X56" s="211">
        <f>'HVAC Appliances Austin'!X56</f>
        <v>1351.5395138888891</v>
      </c>
      <c r="Y56" s="110">
        <v>0.53125</v>
      </c>
      <c r="Z56" s="211">
        <f>'HVAC Appliances Austin'!Z56</f>
        <v>1729.5546388888893</v>
      </c>
      <c r="AA56" s="21"/>
      <c r="AB56" s="110">
        <v>0.53125</v>
      </c>
      <c r="AC56" s="211">
        <f>'HVAC Appliances Austin'!AC56</f>
        <v>64.206868055555418</v>
      </c>
      <c r="AD56" s="110">
        <v>0.53125</v>
      </c>
      <c r="AE56" s="211">
        <f>'HVAC Appliances Austin'!AE56</f>
        <v>55.244513888888847</v>
      </c>
      <c r="AF56" s="110">
        <v>0.53125</v>
      </c>
      <c r="AG56" s="211">
        <f>'HVAC Appliances Austin'!AG56</f>
        <v>56.519638888888664</v>
      </c>
      <c r="AH56" s="21"/>
      <c r="AI56" s="110">
        <v>0.53125</v>
      </c>
      <c r="AJ56" s="211">
        <f>'HVAC Appliances Austin'!AJ56</f>
        <v>0</v>
      </c>
      <c r="AK56" s="110">
        <v>0.53125</v>
      </c>
      <c r="AL56" s="211">
        <f>'HVAC Appliances Austin'!AL56</f>
        <v>0</v>
      </c>
      <c r="AM56" s="110">
        <v>0.53125</v>
      </c>
      <c r="AN56" s="211">
        <f>'HVAC Appliances Austin'!AN56</f>
        <v>0</v>
      </c>
      <c r="AO56" s="21"/>
      <c r="AP56" s="110">
        <v>0.53125</v>
      </c>
      <c r="AQ56" s="211">
        <f>'HVAC Appliances Austin'!AQ56</f>
        <v>1085.1828124999997</v>
      </c>
      <c r="AR56" s="110">
        <v>0.53125</v>
      </c>
      <c r="AS56" s="211">
        <f>'HVAC Appliances Austin'!AS56</f>
        <v>1768.9406249999995</v>
      </c>
      <c r="AT56" s="110">
        <v>0.53125</v>
      </c>
      <c r="AU56" s="211">
        <f>'HVAC Appliances Austin'!AU56</f>
        <v>2281.5187499999997</v>
      </c>
      <c r="AV56" s="21"/>
      <c r="AW56" s="110">
        <v>0.53125</v>
      </c>
      <c r="AX56" s="211"/>
      <c r="AY56" s="21"/>
      <c r="AZ56" s="110">
        <v>0.53125</v>
      </c>
      <c r="BA56" s="264"/>
      <c r="BC56" s="260">
        <v>0.53125</v>
      </c>
      <c r="BD56" s="211">
        <f>'HVAC Appliances Austin'!BD56</f>
        <v>0</v>
      </c>
      <c r="BE56" s="110">
        <v>0.53125</v>
      </c>
      <c r="BF56" s="211">
        <f>'HVAC Appliances Austin'!BF56</f>
        <v>0</v>
      </c>
      <c r="BG56" s="110">
        <v>0.53125</v>
      </c>
      <c r="BH56" s="211">
        <f>'HVAC Appliances Austin'!BH56</f>
        <v>0</v>
      </c>
      <c r="BI56" s="21"/>
      <c r="BJ56" s="110">
        <v>0.53125</v>
      </c>
      <c r="BK56" s="211">
        <f>'HVAC Appliances Austin'!BK56</f>
        <v>0</v>
      </c>
      <c r="BL56" s="110">
        <v>0.53125</v>
      </c>
      <c r="BM56" s="211">
        <f>'HVAC Appliances Austin'!BM56</f>
        <v>0</v>
      </c>
      <c r="BN56" s="110">
        <v>0.53125</v>
      </c>
      <c r="BO56" s="211">
        <f>'HVAC Appliances Austin'!BO56</f>
        <v>0</v>
      </c>
      <c r="BP56" s="21"/>
      <c r="BQ56" s="110">
        <v>0.53125</v>
      </c>
      <c r="BR56" s="211">
        <f>'HVAC Appliances Austin'!BR56</f>
        <v>0</v>
      </c>
      <c r="BS56" s="110">
        <v>0.53125</v>
      </c>
      <c r="BT56" s="211">
        <f>'HVAC Appliances Austin'!BT56</f>
        <v>0</v>
      </c>
      <c r="BU56" s="110">
        <v>0.53125</v>
      </c>
      <c r="BV56" s="211">
        <f>'HVAC Appliances Austin'!BV56</f>
        <v>0</v>
      </c>
      <c r="BW56" s="21"/>
      <c r="BX56" s="110">
        <v>0.53125</v>
      </c>
      <c r="BY56" s="211">
        <f>'HVAC Appliances Austin'!BY56</f>
        <v>0</v>
      </c>
      <c r="BZ56" s="110">
        <v>0.53125</v>
      </c>
      <c r="CA56" s="211">
        <f>'HVAC Appliances Austin'!CA56</f>
        <v>0</v>
      </c>
      <c r="CB56" s="110">
        <v>0.53125</v>
      </c>
      <c r="CC56" s="211">
        <f>'HVAC Appliances Austin'!CC56</f>
        <v>0</v>
      </c>
      <c r="CD56" s="21"/>
      <c r="CE56" s="110">
        <v>0.53125</v>
      </c>
      <c r="CF56" s="211">
        <f>'HVAC Appliances Austin'!CF56</f>
        <v>89.370833333333337</v>
      </c>
      <c r="CG56" s="110">
        <v>0.53125</v>
      </c>
      <c r="CH56" s="211">
        <f>'HVAC Appliances Austin'!CH56</f>
        <v>171.68333333333337</v>
      </c>
      <c r="CI56" s="110">
        <v>0.53125</v>
      </c>
      <c r="CJ56" s="211">
        <f>'HVAC Appliances Austin'!CJ56</f>
        <v>229.08333333333337</v>
      </c>
      <c r="CK56" s="21"/>
      <c r="CL56" s="110">
        <v>0.53125</v>
      </c>
      <c r="CM56" s="211">
        <f>'HVAC Appliances Austin'!CM56</f>
        <v>0</v>
      </c>
      <c r="CN56" s="110">
        <v>0.53125</v>
      </c>
      <c r="CO56" s="211">
        <f>'HVAC Appliances Austin'!CO56</f>
        <v>0</v>
      </c>
      <c r="CP56" s="110">
        <v>0.53125</v>
      </c>
      <c r="CQ56" s="211">
        <f>'HVAC Appliances Austin'!CQ56</f>
        <v>0</v>
      </c>
      <c r="CR56" s="21"/>
      <c r="CS56" s="110">
        <v>0.53125</v>
      </c>
      <c r="CT56" s="211"/>
      <c r="CU56" s="21"/>
      <c r="CV56" s="110">
        <v>0.53125</v>
      </c>
      <c r="CW56" s="264"/>
      <c r="CY56" s="260">
        <v>0.53125</v>
      </c>
      <c r="CZ56" s="211">
        <f>'HVAC Appliances Austin'!CZ56</f>
        <v>155.00600000000003</v>
      </c>
      <c r="DA56" s="110">
        <v>0.53125</v>
      </c>
      <c r="DB56" s="211">
        <f>'HVAC Appliances Austin'!DB56</f>
        <v>189.98700000000014</v>
      </c>
      <c r="DC56" s="110">
        <v>0.53125</v>
      </c>
      <c r="DD56" s="211">
        <f>'HVAC Appliances Austin'!DD56</f>
        <v>212.26300000000055</v>
      </c>
      <c r="DE56" s="21"/>
      <c r="DF56" s="110">
        <v>0.53125</v>
      </c>
      <c r="DG56" s="211">
        <f>'HVAC Appliances Austin'!DG56</f>
        <v>539.18399999999963</v>
      </c>
      <c r="DH56" s="110">
        <v>0.53125</v>
      </c>
      <c r="DI56" s="211">
        <f>'HVAC Appliances Austin'!DI56</f>
        <v>828.02799999999934</v>
      </c>
      <c r="DJ56" s="110">
        <v>0.53125</v>
      </c>
      <c r="DK56" s="211">
        <f>'HVAC Appliances Austin'!DK56</f>
        <v>1038.1719999999989</v>
      </c>
      <c r="DL56" s="21"/>
      <c r="DM56" s="110">
        <v>0.53125</v>
      </c>
      <c r="DN56" s="211">
        <f>'HVAC Appliances Austin'!DN56</f>
        <v>879.7743333333334</v>
      </c>
      <c r="DO56" s="110">
        <v>0.53125</v>
      </c>
      <c r="DP56" s="211">
        <f>'HVAC Appliances Austin'!DP56</f>
        <v>1407.5477986111116</v>
      </c>
      <c r="DQ56" s="110">
        <v>0.53125</v>
      </c>
      <c r="DR56" s="211">
        <f>'HVAC Appliances Austin'!DR56</f>
        <v>1794.2403958333339</v>
      </c>
      <c r="DS56" s="21"/>
      <c r="DT56" s="110">
        <v>0.53125</v>
      </c>
      <c r="DU56" s="211">
        <f>'HVAC Appliances Austin'!DU56</f>
        <v>0</v>
      </c>
      <c r="DV56" s="110">
        <v>0.53125</v>
      </c>
      <c r="DW56" s="211">
        <f>'HVAC Appliances Austin'!DW56</f>
        <v>0</v>
      </c>
      <c r="DX56" s="110">
        <v>0.53125</v>
      </c>
      <c r="DY56" s="211">
        <f>'HVAC Appliances Austin'!DY56</f>
        <v>0</v>
      </c>
      <c r="DZ56" s="21"/>
      <c r="EA56" s="110">
        <v>0.53125</v>
      </c>
      <c r="EB56" s="211">
        <f>'HVAC Appliances Amarillo'!EB56</f>
        <v>1744.5374999999999</v>
      </c>
      <c r="EC56" s="110">
        <v>0.53125</v>
      </c>
      <c r="ED56" s="211">
        <f>'HVAC Appliances Amarillo'!ED56</f>
        <v>3736.3125000000009</v>
      </c>
      <c r="EE56" s="110">
        <v>0.53125</v>
      </c>
      <c r="EF56" s="211">
        <f>'HVAC Appliances Amarillo'!EF56</f>
        <v>5057.6833333333343</v>
      </c>
      <c r="EG56" s="21"/>
      <c r="EH56" s="110">
        <v>0.53125</v>
      </c>
      <c r="EI56" s="211">
        <f>'HVAC Appliances Austin'!EI56</f>
        <v>1115.2</v>
      </c>
      <c r="EJ56" s="110">
        <v>0.53125</v>
      </c>
      <c r="EK56" s="211">
        <f>'HVAC Appliances Austin'!EK56</f>
        <v>1811.4671874999995</v>
      </c>
      <c r="EL56" s="110">
        <v>0.53125</v>
      </c>
      <c r="EM56" s="211">
        <f>'HVAC Appliances Austin'!EM56</f>
        <v>2322.6015624999995</v>
      </c>
      <c r="EN56" s="21"/>
      <c r="EO56" s="110">
        <v>0.53125</v>
      </c>
      <c r="EP56" s="211"/>
      <c r="EQ56" s="21"/>
      <c r="ER56" s="110">
        <v>0.53125</v>
      </c>
      <c r="ES56" s="264"/>
      <c r="EU56" s="260">
        <v>0.53125</v>
      </c>
      <c r="EV56" s="209">
        <f>'HVAC Appliances Amarillo'!EV56</f>
        <v>1620</v>
      </c>
      <c r="EW56" s="110">
        <v>0.53125</v>
      </c>
      <c r="EX56" s="209">
        <f>'HVAC Appliances Amarillo'!EX56</f>
        <v>2480</v>
      </c>
      <c r="EY56" s="110">
        <v>0.53125</v>
      </c>
      <c r="EZ56" s="308">
        <f>'HVAC Appliances Amarillo'!EZ56</f>
        <v>3390</v>
      </c>
    </row>
    <row r="57" spans="1:156" x14ac:dyDescent="0.3">
      <c r="A57" s="108">
        <v>0.53125</v>
      </c>
      <c r="B57" s="226">
        <f t="shared" si="0"/>
        <v>0</v>
      </c>
      <c r="C57" s="21">
        <f t="shared" si="1"/>
        <v>229.08333333333337</v>
      </c>
      <c r="D57" s="20">
        <f t="shared" si="2"/>
        <v>5057.6833333333343</v>
      </c>
      <c r="E57" s="20">
        <f t="shared" si="3"/>
        <v>3390</v>
      </c>
      <c r="G57" s="260">
        <v>0.54166666666666696</v>
      </c>
      <c r="H57" s="211">
        <f>'HVAC Appliances Austin'!H57</f>
        <v>184.08420138888891</v>
      </c>
      <c r="I57" s="110">
        <v>0.54166666666666696</v>
      </c>
      <c r="J57" s="211">
        <f>'HVAC Appliances Austin'!J57</f>
        <v>249.96284722222217</v>
      </c>
      <c r="K57" s="110">
        <v>0.54166666666666696</v>
      </c>
      <c r="L57" s="211">
        <f>'HVAC Appliances Austin'!L57</f>
        <v>294.21597222222175</v>
      </c>
      <c r="M57" s="21"/>
      <c r="N57" s="110">
        <v>0.54166666666666696</v>
      </c>
      <c r="O57" s="211">
        <f>'HVAC Appliances Austin'!O57</f>
        <v>552.69236805555568</v>
      </c>
      <c r="P57" s="110">
        <v>0.54166666666666696</v>
      </c>
      <c r="Q57" s="211">
        <f>'HVAC Appliances Austin'!Q57</f>
        <v>867.37451388888906</v>
      </c>
      <c r="R57" s="110">
        <v>0.54166666666666696</v>
      </c>
      <c r="S57" s="211">
        <f>'HVAC Appliances Austin'!S57</f>
        <v>1092.8306388888891</v>
      </c>
      <c r="T57" s="21"/>
      <c r="U57" s="110">
        <v>0.54166666666666696</v>
      </c>
      <c r="V57" s="211">
        <f>'HVAC Appliances Austin'!V57</f>
        <v>952.85322222222158</v>
      </c>
      <c r="W57" s="110">
        <v>0.54166666666666696</v>
      </c>
      <c r="X57" s="211">
        <f>'HVAC Appliances Austin'!X57</f>
        <v>1544.3955555555547</v>
      </c>
      <c r="Y57" s="110">
        <v>0.54166666666666696</v>
      </c>
      <c r="Z57" s="211">
        <f>'HVAC Appliances Austin'!Z57</f>
        <v>1984.3175555555538</v>
      </c>
      <c r="AA57" s="21"/>
      <c r="AB57" s="110">
        <v>0.54166666666666696</v>
      </c>
      <c r="AC57" s="211">
        <f>'HVAC Appliances Austin'!AC57</f>
        <v>73.858201388888773</v>
      </c>
      <c r="AD57" s="110">
        <v>0.54166666666666696</v>
      </c>
      <c r="AE57" s="211">
        <f>'HVAC Appliances Austin'!AE57</f>
        <v>70.382847222222097</v>
      </c>
      <c r="AF57" s="110">
        <v>0.54166666666666696</v>
      </c>
      <c r="AG57" s="211">
        <f>'HVAC Appliances Austin'!AG57</f>
        <v>73.703972222221921</v>
      </c>
      <c r="AH57" s="21"/>
      <c r="AI57" s="110">
        <v>0.54166666666666696</v>
      </c>
      <c r="AJ57" s="211">
        <f>'HVAC Appliances Austin'!AJ57</f>
        <v>0</v>
      </c>
      <c r="AK57" s="110">
        <v>0.54166666666666696</v>
      </c>
      <c r="AL57" s="211">
        <f>'HVAC Appliances Austin'!AL57</f>
        <v>0</v>
      </c>
      <c r="AM57" s="110">
        <v>0.54166666666666696</v>
      </c>
      <c r="AN57" s="211">
        <f>'HVAC Appliances Austin'!AN57</f>
        <v>0</v>
      </c>
      <c r="AO57" s="21"/>
      <c r="AP57" s="110">
        <v>0.54166666666666696</v>
      </c>
      <c r="AQ57" s="211">
        <f>'HVAC Appliances Austin'!AQ57</f>
        <v>1152.3318125000008</v>
      </c>
      <c r="AR57" s="110">
        <v>0.54166666666666696</v>
      </c>
      <c r="AS57" s="211">
        <f>'HVAC Appliances Austin'!AS57</f>
        <v>1882.9706250000017</v>
      </c>
      <c r="AT57" s="110">
        <v>0.54166666666666696</v>
      </c>
      <c r="AU57" s="211">
        <f>'HVAC Appliances Austin'!AU57</f>
        <v>2432.6467500000012</v>
      </c>
      <c r="AV57" s="21"/>
      <c r="AW57" s="110">
        <v>0.54166666666666696</v>
      </c>
      <c r="AX57" s="211"/>
      <c r="AY57" s="21"/>
      <c r="AZ57" s="110">
        <v>0.54166666666666696</v>
      </c>
      <c r="BA57" s="264"/>
      <c r="BC57" s="260">
        <v>0.54166666666666696</v>
      </c>
      <c r="BD57" s="211">
        <f>'HVAC Appliances Austin'!BD57</f>
        <v>0</v>
      </c>
      <c r="BE57" s="110">
        <v>0.54166666666666696</v>
      </c>
      <c r="BF57" s="211">
        <f>'HVAC Appliances Austin'!BF57</f>
        <v>0</v>
      </c>
      <c r="BG57" s="110">
        <v>0.54166666666666696</v>
      </c>
      <c r="BH57" s="211">
        <f>'HVAC Appliances Austin'!BH57</f>
        <v>0</v>
      </c>
      <c r="BI57" s="21"/>
      <c r="BJ57" s="110">
        <v>0.54166666666666696</v>
      </c>
      <c r="BK57" s="211">
        <f>'HVAC Appliances Austin'!BK57</f>
        <v>0</v>
      </c>
      <c r="BL57" s="110">
        <v>0.54166666666666696</v>
      </c>
      <c r="BM57" s="211">
        <f>'HVAC Appliances Austin'!BM57</f>
        <v>0</v>
      </c>
      <c r="BN57" s="110">
        <v>0.54166666666666696</v>
      </c>
      <c r="BO57" s="211">
        <f>'HVAC Appliances Austin'!BO57</f>
        <v>0</v>
      </c>
      <c r="BP57" s="21"/>
      <c r="BQ57" s="110">
        <v>0.54166666666666696</v>
      </c>
      <c r="BR57" s="211">
        <f>'HVAC Appliances Austin'!BR57</f>
        <v>0</v>
      </c>
      <c r="BS57" s="110">
        <v>0.54166666666666696</v>
      </c>
      <c r="BT57" s="211">
        <f>'HVAC Appliances Austin'!BT57</f>
        <v>0</v>
      </c>
      <c r="BU57" s="110">
        <v>0.54166666666666696</v>
      </c>
      <c r="BV57" s="211">
        <f>'HVAC Appliances Austin'!BV57</f>
        <v>0</v>
      </c>
      <c r="BW57" s="21"/>
      <c r="BX57" s="110">
        <v>0.54166666666666696</v>
      </c>
      <c r="BY57" s="211">
        <f>'HVAC Appliances Austin'!BY57</f>
        <v>0</v>
      </c>
      <c r="BZ57" s="110">
        <v>0.54166666666666696</v>
      </c>
      <c r="CA57" s="211">
        <f>'HVAC Appliances Austin'!CA57</f>
        <v>0</v>
      </c>
      <c r="CB57" s="110">
        <v>0.54166666666666696</v>
      </c>
      <c r="CC57" s="211">
        <f>'HVAC Appliances Austin'!CC57</f>
        <v>0</v>
      </c>
      <c r="CD57" s="21"/>
      <c r="CE57" s="110">
        <v>0.54166666666666696</v>
      </c>
      <c r="CF57" s="211">
        <f>'HVAC Appliances Austin'!CF57</f>
        <v>84.160000000000011</v>
      </c>
      <c r="CG57" s="110">
        <v>0.54166666666666696</v>
      </c>
      <c r="CH57" s="211">
        <f>'HVAC Appliances Austin'!CH57</f>
        <v>160.98000000000002</v>
      </c>
      <c r="CI57" s="110">
        <v>0.54166666666666696</v>
      </c>
      <c r="CJ57" s="211">
        <f>'HVAC Appliances Austin'!CJ57</f>
        <v>215.00000000000003</v>
      </c>
      <c r="CK57" s="21"/>
      <c r="CL57" s="110">
        <v>0.54166666666666696</v>
      </c>
      <c r="CM57" s="211">
        <f>'HVAC Appliances Austin'!CM57</f>
        <v>0</v>
      </c>
      <c r="CN57" s="110">
        <v>0.54166666666666696</v>
      </c>
      <c r="CO57" s="211">
        <f>'HVAC Appliances Austin'!CO57</f>
        <v>0</v>
      </c>
      <c r="CP57" s="110">
        <v>0.54166666666666696</v>
      </c>
      <c r="CQ57" s="211">
        <f>'HVAC Appliances Austin'!CQ57</f>
        <v>0</v>
      </c>
      <c r="CR57" s="21"/>
      <c r="CS57" s="110">
        <v>0.54166666666666696</v>
      </c>
      <c r="CT57" s="211"/>
      <c r="CU57" s="21"/>
      <c r="CV57" s="110">
        <v>0.54166666666666696</v>
      </c>
      <c r="CW57" s="264"/>
      <c r="CY57" s="260">
        <v>0.54166666666666696</v>
      </c>
      <c r="CZ57" s="211">
        <f>'HVAC Appliances Austin'!CZ57</f>
        <v>210.72500000000011</v>
      </c>
      <c r="DA57" s="110">
        <v>0.54166666666666696</v>
      </c>
      <c r="DB57" s="211">
        <f>'HVAC Appliances Austin'!DB57</f>
        <v>280.3741319444448</v>
      </c>
      <c r="DC57" s="110">
        <v>0.54166666666666696</v>
      </c>
      <c r="DD57" s="211">
        <f>'HVAC Appliances Austin'!DD57</f>
        <v>328.34739583333362</v>
      </c>
      <c r="DE57" s="21"/>
      <c r="DF57" s="110">
        <v>0.54166666666666696</v>
      </c>
      <c r="DG57" s="211">
        <f>'HVAC Appliances Austin'!DG57</f>
        <v>598.8123333333333</v>
      </c>
      <c r="DH57" s="110">
        <v>0.54166666666666696</v>
      </c>
      <c r="DI57" s="211">
        <f>'HVAC Appliances Austin'!DI57</f>
        <v>928.9212986111113</v>
      </c>
      <c r="DJ57" s="110">
        <v>0.54166666666666696</v>
      </c>
      <c r="DK57" s="211">
        <f>'HVAC Appliances Austin'!DK57</f>
        <v>1169.5668958333338</v>
      </c>
      <c r="DL57" s="21"/>
      <c r="DM57" s="110">
        <v>0.54166666666666696</v>
      </c>
      <c r="DN57" s="211">
        <f>'HVAC Appliances Austin'!DN57</f>
        <v>989.14599999999939</v>
      </c>
      <c r="DO57" s="110">
        <v>0.54166666666666696</v>
      </c>
      <c r="DP57" s="211">
        <f>'HVAC Appliances Austin'!DP57</f>
        <v>1594.9381111111104</v>
      </c>
      <c r="DQ57" s="110">
        <v>0.54166666666666696</v>
      </c>
      <c r="DR57" s="211">
        <f>'HVAC Appliances Austin'!DR57</f>
        <v>2039.2563333333328</v>
      </c>
      <c r="DS57" s="21"/>
      <c r="DT57" s="110">
        <v>0.54166666666666696</v>
      </c>
      <c r="DU57" s="211">
        <f>'HVAC Appliances Austin'!DU57</f>
        <v>71.548999999999921</v>
      </c>
      <c r="DV57" s="110">
        <v>0.54166666666666696</v>
      </c>
      <c r="DW57" s="211">
        <f>'HVAC Appliances Austin'!DW57</f>
        <v>58.032131944444117</v>
      </c>
      <c r="DX57" s="110">
        <v>0.54166666666666696</v>
      </c>
      <c r="DY57" s="211">
        <f>'HVAC Appliances Austin'!DY57</f>
        <v>44.289395833333025</v>
      </c>
      <c r="DZ57" s="21"/>
      <c r="EA57" s="110">
        <v>0.54166666666666696</v>
      </c>
      <c r="EB57" s="211">
        <f>'HVAC Appliances Amarillo'!EB57</f>
        <v>1538.6039999999998</v>
      </c>
      <c r="EC57" s="110">
        <v>0.54166666666666696</v>
      </c>
      <c r="ED57" s="211">
        <f>'HVAC Appliances Amarillo'!ED57</f>
        <v>2977.0800000000008</v>
      </c>
      <c r="EE57" s="110">
        <v>0.54166666666666696</v>
      </c>
      <c r="EF57" s="211">
        <f>'HVAC Appliances Amarillo'!EF57</f>
        <v>3999.1800000000007</v>
      </c>
      <c r="EG57" s="21"/>
      <c r="EH57" s="110">
        <v>0.54166666666666696</v>
      </c>
      <c r="EI57" s="211">
        <f>'HVAC Appliances Austin'!EI57</f>
        <v>1178.7640000000006</v>
      </c>
      <c r="EJ57" s="110">
        <v>0.54166666666666696</v>
      </c>
      <c r="EK57" s="211">
        <f>'HVAC Appliances Austin'!EK57</f>
        <v>1920.850187500002</v>
      </c>
      <c r="EL57" s="110">
        <v>0.54166666666666696</v>
      </c>
      <c r="EM57" s="211">
        <f>'HVAC Appliances Austin'!EM57</f>
        <v>2465.8185625000024</v>
      </c>
      <c r="EN57" s="21"/>
      <c r="EO57" s="110">
        <v>0.54166666666666696</v>
      </c>
      <c r="EP57" s="211"/>
      <c r="EQ57" s="21"/>
      <c r="ER57" s="110">
        <v>0.54166666666666696</v>
      </c>
      <c r="ES57" s="264"/>
      <c r="EU57" s="260">
        <v>0.54166666666666696</v>
      </c>
      <c r="EV57" s="209">
        <f>'HVAC Appliances Amarillo'!EV57</f>
        <v>1538.6039999999998</v>
      </c>
      <c r="EW57" s="110">
        <v>0.54166666666666696</v>
      </c>
      <c r="EX57" s="209">
        <f>'HVAC Appliances Amarillo'!EX57</f>
        <v>2480</v>
      </c>
      <c r="EY57" s="110">
        <v>0.54166666666666696</v>
      </c>
      <c r="EZ57" s="308">
        <f>'HVAC Appliances Amarillo'!EZ57</f>
        <v>3390</v>
      </c>
    </row>
    <row r="58" spans="1:156" x14ac:dyDescent="0.3">
      <c r="A58" s="108">
        <v>0.54166666666666696</v>
      </c>
      <c r="B58" s="226">
        <f t="shared" si="0"/>
        <v>0</v>
      </c>
      <c r="C58" s="21">
        <f t="shared" si="1"/>
        <v>215.00000000000003</v>
      </c>
      <c r="D58" s="20">
        <f t="shared" si="2"/>
        <v>3999.1800000000007</v>
      </c>
      <c r="E58" s="20">
        <f t="shared" si="3"/>
        <v>3390</v>
      </c>
      <c r="G58" s="260">
        <v>0.55208333333333304</v>
      </c>
      <c r="H58" s="211">
        <f>'HVAC Appliances Austin'!H58</f>
        <v>184.08420138888891</v>
      </c>
      <c r="I58" s="110">
        <v>0.55208333333333304</v>
      </c>
      <c r="J58" s="211">
        <f>'HVAC Appliances Austin'!J58</f>
        <v>249.96284722222217</v>
      </c>
      <c r="K58" s="110">
        <v>0.55208333333333304</v>
      </c>
      <c r="L58" s="211">
        <f>'HVAC Appliances Austin'!L58</f>
        <v>294.21597222222175</v>
      </c>
      <c r="M58" s="21"/>
      <c r="N58" s="110">
        <v>0.55208333333333304</v>
      </c>
      <c r="O58" s="211">
        <f>'HVAC Appliances Austin'!O58</f>
        <v>552.69236805555568</v>
      </c>
      <c r="P58" s="110">
        <v>0.55208333333333304</v>
      </c>
      <c r="Q58" s="211">
        <f>'HVAC Appliances Austin'!Q58</f>
        <v>867.37451388888906</v>
      </c>
      <c r="R58" s="110">
        <v>0.55208333333333304</v>
      </c>
      <c r="S58" s="211">
        <f>'HVAC Appliances Austin'!S58</f>
        <v>1092.8306388888891</v>
      </c>
      <c r="T58" s="21"/>
      <c r="U58" s="110">
        <v>0.55208333333333304</v>
      </c>
      <c r="V58" s="211">
        <f>'HVAC Appliances Austin'!V58</f>
        <v>952.85322222222158</v>
      </c>
      <c r="W58" s="110">
        <v>0.55208333333333304</v>
      </c>
      <c r="X58" s="211">
        <f>'HVAC Appliances Austin'!X58</f>
        <v>1544.3955555555547</v>
      </c>
      <c r="Y58" s="110">
        <v>0.55208333333333304</v>
      </c>
      <c r="Z58" s="211">
        <f>'HVAC Appliances Austin'!Z58</f>
        <v>1984.3175555555538</v>
      </c>
      <c r="AA58" s="21"/>
      <c r="AB58" s="110">
        <v>0.55208333333333304</v>
      </c>
      <c r="AC58" s="211">
        <f>'HVAC Appliances Austin'!AC58</f>
        <v>73.858201388888773</v>
      </c>
      <c r="AD58" s="110">
        <v>0.55208333333333304</v>
      </c>
      <c r="AE58" s="211">
        <f>'HVAC Appliances Austin'!AE58</f>
        <v>70.382847222222097</v>
      </c>
      <c r="AF58" s="110">
        <v>0.55208333333333304</v>
      </c>
      <c r="AG58" s="211">
        <f>'HVAC Appliances Austin'!AG58</f>
        <v>73.703972222221921</v>
      </c>
      <c r="AH58" s="21"/>
      <c r="AI58" s="110">
        <v>0.55208333333333304</v>
      </c>
      <c r="AJ58" s="211">
        <f>'HVAC Appliances Austin'!AJ58</f>
        <v>0</v>
      </c>
      <c r="AK58" s="110">
        <v>0.55208333333333304</v>
      </c>
      <c r="AL58" s="211">
        <f>'HVAC Appliances Austin'!AL58</f>
        <v>0</v>
      </c>
      <c r="AM58" s="110">
        <v>0.55208333333333304</v>
      </c>
      <c r="AN58" s="211">
        <f>'HVAC Appliances Austin'!AN58</f>
        <v>0</v>
      </c>
      <c r="AO58" s="21"/>
      <c r="AP58" s="110">
        <v>0.55208333333333304</v>
      </c>
      <c r="AQ58" s="211">
        <f>'HVAC Appliances Austin'!AQ58</f>
        <v>1152.3318125000008</v>
      </c>
      <c r="AR58" s="110">
        <v>0.55208333333333304</v>
      </c>
      <c r="AS58" s="211">
        <f>'HVAC Appliances Austin'!AS58</f>
        <v>1882.9706250000017</v>
      </c>
      <c r="AT58" s="110">
        <v>0.55208333333333304</v>
      </c>
      <c r="AU58" s="211">
        <f>'HVAC Appliances Austin'!AU58</f>
        <v>2432.6467500000012</v>
      </c>
      <c r="AV58" s="21"/>
      <c r="AW58" s="110">
        <v>0.55208333333333304</v>
      </c>
      <c r="AX58" s="211"/>
      <c r="AY58" s="21"/>
      <c r="AZ58" s="110">
        <v>0.55208333333333304</v>
      </c>
      <c r="BA58" s="264"/>
      <c r="BC58" s="260">
        <v>0.55208333333333304</v>
      </c>
      <c r="BD58" s="211">
        <f>'HVAC Appliances Austin'!BD58</f>
        <v>0</v>
      </c>
      <c r="BE58" s="110">
        <v>0.55208333333333304</v>
      </c>
      <c r="BF58" s="211">
        <f>'HVAC Appliances Austin'!BF58</f>
        <v>0</v>
      </c>
      <c r="BG58" s="110">
        <v>0.55208333333333304</v>
      </c>
      <c r="BH58" s="211">
        <f>'HVAC Appliances Austin'!BH58</f>
        <v>0</v>
      </c>
      <c r="BI58" s="21"/>
      <c r="BJ58" s="110">
        <v>0.55208333333333304</v>
      </c>
      <c r="BK58" s="211">
        <f>'HVAC Appliances Austin'!BK58</f>
        <v>0</v>
      </c>
      <c r="BL58" s="110">
        <v>0.55208333333333304</v>
      </c>
      <c r="BM58" s="211">
        <f>'HVAC Appliances Austin'!BM58</f>
        <v>0</v>
      </c>
      <c r="BN58" s="110">
        <v>0.55208333333333304</v>
      </c>
      <c r="BO58" s="211">
        <f>'HVAC Appliances Austin'!BO58</f>
        <v>0</v>
      </c>
      <c r="BP58" s="21"/>
      <c r="BQ58" s="110">
        <v>0.55208333333333304</v>
      </c>
      <c r="BR58" s="211">
        <f>'HVAC Appliances Austin'!BR58</f>
        <v>0</v>
      </c>
      <c r="BS58" s="110">
        <v>0.55208333333333304</v>
      </c>
      <c r="BT58" s="211">
        <f>'HVAC Appliances Austin'!BT58</f>
        <v>0</v>
      </c>
      <c r="BU58" s="110">
        <v>0.55208333333333304</v>
      </c>
      <c r="BV58" s="211">
        <f>'HVAC Appliances Austin'!BV58</f>
        <v>0</v>
      </c>
      <c r="BW58" s="21"/>
      <c r="BX58" s="110">
        <v>0.55208333333333304</v>
      </c>
      <c r="BY58" s="211">
        <f>'HVAC Appliances Austin'!BY58</f>
        <v>0</v>
      </c>
      <c r="BZ58" s="110">
        <v>0.55208333333333304</v>
      </c>
      <c r="CA58" s="211">
        <f>'HVAC Appliances Austin'!CA58</f>
        <v>0</v>
      </c>
      <c r="CB58" s="110">
        <v>0.55208333333333304</v>
      </c>
      <c r="CC58" s="211">
        <f>'HVAC Appliances Austin'!CC58</f>
        <v>0</v>
      </c>
      <c r="CD58" s="21"/>
      <c r="CE58" s="110">
        <v>0.55208333333333304</v>
      </c>
      <c r="CF58" s="211">
        <f>'HVAC Appliances Austin'!CF58</f>
        <v>84.160000000000011</v>
      </c>
      <c r="CG58" s="110">
        <v>0.55208333333333304</v>
      </c>
      <c r="CH58" s="211">
        <f>'HVAC Appliances Austin'!CH58</f>
        <v>160.98000000000002</v>
      </c>
      <c r="CI58" s="110">
        <v>0.55208333333333304</v>
      </c>
      <c r="CJ58" s="211">
        <f>'HVAC Appliances Austin'!CJ58</f>
        <v>215.00000000000003</v>
      </c>
      <c r="CK58" s="21"/>
      <c r="CL58" s="110">
        <v>0.55208333333333304</v>
      </c>
      <c r="CM58" s="211">
        <f>'HVAC Appliances Austin'!CM58</f>
        <v>0</v>
      </c>
      <c r="CN58" s="110">
        <v>0.55208333333333304</v>
      </c>
      <c r="CO58" s="211">
        <f>'HVAC Appliances Austin'!CO58</f>
        <v>0</v>
      </c>
      <c r="CP58" s="110">
        <v>0.55208333333333304</v>
      </c>
      <c r="CQ58" s="211">
        <f>'HVAC Appliances Austin'!CQ58</f>
        <v>0</v>
      </c>
      <c r="CR58" s="21"/>
      <c r="CS58" s="110">
        <v>0.55208333333333304</v>
      </c>
      <c r="CT58" s="211"/>
      <c r="CU58" s="21"/>
      <c r="CV58" s="110">
        <v>0.55208333333333304</v>
      </c>
      <c r="CW58" s="264"/>
      <c r="CY58" s="260">
        <v>0.55208333333333304</v>
      </c>
      <c r="CZ58" s="211">
        <f>'HVAC Appliances Austin'!CZ58</f>
        <v>210.72500000000011</v>
      </c>
      <c r="DA58" s="110">
        <v>0.55208333333333304</v>
      </c>
      <c r="DB58" s="211">
        <f>'HVAC Appliances Austin'!DB58</f>
        <v>280.3741319444448</v>
      </c>
      <c r="DC58" s="110">
        <v>0.55208333333333304</v>
      </c>
      <c r="DD58" s="211">
        <f>'HVAC Appliances Austin'!DD58</f>
        <v>328.34739583333362</v>
      </c>
      <c r="DE58" s="21"/>
      <c r="DF58" s="110">
        <v>0.55208333333333304</v>
      </c>
      <c r="DG58" s="211">
        <f>'HVAC Appliances Austin'!DG58</f>
        <v>598.8123333333333</v>
      </c>
      <c r="DH58" s="110">
        <v>0.55208333333333304</v>
      </c>
      <c r="DI58" s="211">
        <f>'HVAC Appliances Austin'!DI58</f>
        <v>928.9212986111113</v>
      </c>
      <c r="DJ58" s="110">
        <v>0.55208333333333304</v>
      </c>
      <c r="DK58" s="211">
        <f>'HVAC Appliances Austin'!DK58</f>
        <v>1169.5668958333338</v>
      </c>
      <c r="DL58" s="21"/>
      <c r="DM58" s="110">
        <v>0.55208333333333304</v>
      </c>
      <c r="DN58" s="211">
        <f>'HVAC Appliances Austin'!DN58</f>
        <v>989.14599999999939</v>
      </c>
      <c r="DO58" s="110">
        <v>0.55208333333333304</v>
      </c>
      <c r="DP58" s="211">
        <f>'HVAC Appliances Austin'!DP58</f>
        <v>1594.9381111111104</v>
      </c>
      <c r="DQ58" s="110">
        <v>0.55208333333333304</v>
      </c>
      <c r="DR58" s="211">
        <f>'HVAC Appliances Austin'!DR58</f>
        <v>2039.2563333333328</v>
      </c>
      <c r="DS58" s="21"/>
      <c r="DT58" s="110">
        <v>0.55208333333333304</v>
      </c>
      <c r="DU58" s="211">
        <f>'HVAC Appliances Austin'!DU58</f>
        <v>71.548999999999921</v>
      </c>
      <c r="DV58" s="110">
        <v>0.55208333333333304</v>
      </c>
      <c r="DW58" s="211">
        <f>'HVAC Appliances Austin'!DW58</f>
        <v>58.032131944444117</v>
      </c>
      <c r="DX58" s="110">
        <v>0.55208333333333304</v>
      </c>
      <c r="DY58" s="211">
        <f>'HVAC Appliances Austin'!DY58</f>
        <v>44.289395833333025</v>
      </c>
      <c r="DZ58" s="21"/>
      <c r="EA58" s="110">
        <v>0.55208333333333304</v>
      </c>
      <c r="EB58" s="211">
        <f>'HVAC Appliances Amarillo'!EB58</f>
        <v>1538.6039999999998</v>
      </c>
      <c r="EC58" s="110">
        <v>0.55208333333333304</v>
      </c>
      <c r="ED58" s="211">
        <f>'HVAC Appliances Amarillo'!ED58</f>
        <v>2977.0800000000008</v>
      </c>
      <c r="EE58" s="110">
        <v>0.55208333333333304</v>
      </c>
      <c r="EF58" s="211">
        <f>'HVAC Appliances Amarillo'!EF58</f>
        <v>3999.1800000000007</v>
      </c>
      <c r="EG58" s="21"/>
      <c r="EH58" s="110">
        <v>0.55208333333333304</v>
      </c>
      <c r="EI58" s="211">
        <f>'HVAC Appliances Austin'!EI58</f>
        <v>1178.7640000000006</v>
      </c>
      <c r="EJ58" s="110">
        <v>0.55208333333333304</v>
      </c>
      <c r="EK58" s="211">
        <f>'HVAC Appliances Austin'!EK58</f>
        <v>1920.850187500002</v>
      </c>
      <c r="EL58" s="110">
        <v>0.55208333333333304</v>
      </c>
      <c r="EM58" s="211">
        <f>'HVAC Appliances Austin'!EM58</f>
        <v>2465.8185625000024</v>
      </c>
      <c r="EN58" s="21"/>
      <c r="EO58" s="110">
        <v>0.55208333333333304</v>
      </c>
      <c r="EP58" s="211"/>
      <c r="EQ58" s="21"/>
      <c r="ER58" s="110">
        <v>0.55208333333333304</v>
      </c>
      <c r="ES58" s="264"/>
      <c r="EU58" s="260">
        <v>0.55208333333333304</v>
      </c>
      <c r="EV58" s="209">
        <f>'HVAC Appliances Amarillo'!EV58</f>
        <v>1538.6039999999998</v>
      </c>
      <c r="EW58" s="110">
        <v>0.55208333333333304</v>
      </c>
      <c r="EX58" s="209">
        <f>'HVAC Appliances Amarillo'!EX58</f>
        <v>2480</v>
      </c>
      <c r="EY58" s="110">
        <v>0.55208333333333304</v>
      </c>
      <c r="EZ58" s="308">
        <f>'HVAC Appliances Amarillo'!EZ58</f>
        <v>3390</v>
      </c>
    </row>
    <row r="59" spans="1:156" x14ac:dyDescent="0.3">
      <c r="A59" s="108">
        <v>0.55208333333333304</v>
      </c>
      <c r="B59" s="226">
        <f t="shared" si="0"/>
        <v>0</v>
      </c>
      <c r="C59" s="21">
        <f t="shared" si="1"/>
        <v>215.00000000000003</v>
      </c>
      <c r="D59" s="20">
        <f t="shared" si="2"/>
        <v>3999.1800000000007</v>
      </c>
      <c r="E59" s="20">
        <f t="shared" si="3"/>
        <v>3390</v>
      </c>
      <c r="G59" s="260">
        <v>0.5625</v>
      </c>
      <c r="H59" s="211">
        <f>'HVAC Appliances Austin'!H59</f>
        <v>184.08420138888891</v>
      </c>
      <c r="I59" s="110">
        <v>0.5625</v>
      </c>
      <c r="J59" s="211">
        <f>'HVAC Appliances Austin'!J59</f>
        <v>249.96284722222217</v>
      </c>
      <c r="K59" s="110">
        <v>0.5625</v>
      </c>
      <c r="L59" s="211">
        <f>'HVAC Appliances Austin'!L59</f>
        <v>294.21597222222175</v>
      </c>
      <c r="M59" s="21"/>
      <c r="N59" s="110">
        <v>0.5625</v>
      </c>
      <c r="O59" s="211">
        <f>'HVAC Appliances Austin'!O59</f>
        <v>552.69236805555568</v>
      </c>
      <c r="P59" s="110">
        <v>0.5625</v>
      </c>
      <c r="Q59" s="211">
        <f>'HVAC Appliances Austin'!Q59</f>
        <v>867.37451388888906</v>
      </c>
      <c r="R59" s="110">
        <v>0.5625</v>
      </c>
      <c r="S59" s="211">
        <f>'HVAC Appliances Austin'!S59</f>
        <v>1092.8306388888891</v>
      </c>
      <c r="T59" s="21"/>
      <c r="U59" s="110">
        <v>0.5625</v>
      </c>
      <c r="V59" s="211">
        <f>'HVAC Appliances Austin'!V59</f>
        <v>952.85322222222158</v>
      </c>
      <c r="W59" s="110">
        <v>0.5625</v>
      </c>
      <c r="X59" s="211">
        <f>'HVAC Appliances Austin'!X59</f>
        <v>1544.3955555555547</v>
      </c>
      <c r="Y59" s="110">
        <v>0.5625</v>
      </c>
      <c r="Z59" s="211">
        <f>'HVAC Appliances Austin'!Z59</f>
        <v>1984.3175555555538</v>
      </c>
      <c r="AA59" s="21"/>
      <c r="AB59" s="110">
        <v>0.5625</v>
      </c>
      <c r="AC59" s="211">
        <f>'HVAC Appliances Austin'!AC59</f>
        <v>73.858201388888773</v>
      </c>
      <c r="AD59" s="110">
        <v>0.5625</v>
      </c>
      <c r="AE59" s="211">
        <f>'HVAC Appliances Austin'!AE59</f>
        <v>70.382847222222097</v>
      </c>
      <c r="AF59" s="110">
        <v>0.5625</v>
      </c>
      <c r="AG59" s="211">
        <f>'HVAC Appliances Austin'!AG59</f>
        <v>73.703972222221921</v>
      </c>
      <c r="AH59" s="21"/>
      <c r="AI59" s="110">
        <v>0.5625</v>
      </c>
      <c r="AJ59" s="211">
        <f>'HVAC Appliances Austin'!AJ59</f>
        <v>0</v>
      </c>
      <c r="AK59" s="110">
        <v>0.5625</v>
      </c>
      <c r="AL59" s="211">
        <f>'HVAC Appliances Austin'!AL59</f>
        <v>0</v>
      </c>
      <c r="AM59" s="110">
        <v>0.5625</v>
      </c>
      <c r="AN59" s="211">
        <f>'HVAC Appliances Austin'!AN59</f>
        <v>0</v>
      </c>
      <c r="AO59" s="21"/>
      <c r="AP59" s="110">
        <v>0.5625</v>
      </c>
      <c r="AQ59" s="211">
        <f>'HVAC Appliances Austin'!AQ59</f>
        <v>1152.3318125000008</v>
      </c>
      <c r="AR59" s="110">
        <v>0.5625</v>
      </c>
      <c r="AS59" s="211">
        <f>'HVAC Appliances Austin'!AS59</f>
        <v>1882.9706250000017</v>
      </c>
      <c r="AT59" s="110">
        <v>0.5625</v>
      </c>
      <c r="AU59" s="211">
        <f>'HVAC Appliances Austin'!AU59</f>
        <v>2432.6467500000012</v>
      </c>
      <c r="AV59" s="21"/>
      <c r="AW59" s="110">
        <v>0.5625</v>
      </c>
      <c r="AX59" s="211"/>
      <c r="AY59" s="21"/>
      <c r="AZ59" s="110">
        <v>0.5625</v>
      </c>
      <c r="BA59" s="264"/>
      <c r="BC59" s="260">
        <v>0.5625</v>
      </c>
      <c r="BD59" s="211">
        <f>'HVAC Appliances Austin'!BD59</f>
        <v>0</v>
      </c>
      <c r="BE59" s="110">
        <v>0.5625</v>
      </c>
      <c r="BF59" s="211">
        <f>'HVAC Appliances Austin'!BF59</f>
        <v>0</v>
      </c>
      <c r="BG59" s="110">
        <v>0.5625</v>
      </c>
      <c r="BH59" s="211">
        <f>'HVAC Appliances Austin'!BH59</f>
        <v>0</v>
      </c>
      <c r="BI59" s="21"/>
      <c r="BJ59" s="110">
        <v>0.5625</v>
      </c>
      <c r="BK59" s="211">
        <f>'HVAC Appliances Austin'!BK59</f>
        <v>0</v>
      </c>
      <c r="BL59" s="110">
        <v>0.5625</v>
      </c>
      <c r="BM59" s="211">
        <f>'HVAC Appliances Austin'!BM59</f>
        <v>0</v>
      </c>
      <c r="BN59" s="110">
        <v>0.5625</v>
      </c>
      <c r="BO59" s="211">
        <f>'HVAC Appliances Austin'!BO59</f>
        <v>0</v>
      </c>
      <c r="BP59" s="21"/>
      <c r="BQ59" s="110">
        <v>0.5625</v>
      </c>
      <c r="BR59" s="211">
        <f>'HVAC Appliances Austin'!BR59</f>
        <v>0</v>
      </c>
      <c r="BS59" s="110">
        <v>0.5625</v>
      </c>
      <c r="BT59" s="211">
        <f>'HVAC Appliances Austin'!BT59</f>
        <v>0</v>
      </c>
      <c r="BU59" s="110">
        <v>0.5625</v>
      </c>
      <c r="BV59" s="211">
        <f>'HVAC Appliances Austin'!BV59</f>
        <v>0</v>
      </c>
      <c r="BW59" s="21"/>
      <c r="BX59" s="110">
        <v>0.5625</v>
      </c>
      <c r="BY59" s="211">
        <f>'HVAC Appliances Austin'!BY59</f>
        <v>0</v>
      </c>
      <c r="BZ59" s="110">
        <v>0.5625</v>
      </c>
      <c r="CA59" s="211">
        <f>'HVAC Appliances Austin'!CA59</f>
        <v>0</v>
      </c>
      <c r="CB59" s="110">
        <v>0.5625</v>
      </c>
      <c r="CC59" s="211">
        <f>'HVAC Appliances Austin'!CC59</f>
        <v>0</v>
      </c>
      <c r="CD59" s="21"/>
      <c r="CE59" s="110">
        <v>0.5625</v>
      </c>
      <c r="CF59" s="211">
        <f>'HVAC Appliances Austin'!CF59</f>
        <v>84.160000000000011</v>
      </c>
      <c r="CG59" s="110">
        <v>0.5625</v>
      </c>
      <c r="CH59" s="211">
        <f>'HVAC Appliances Austin'!CH59</f>
        <v>160.98000000000002</v>
      </c>
      <c r="CI59" s="110">
        <v>0.5625</v>
      </c>
      <c r="CJ59" s="211">
        <f>'HVAC Appliances Austin'!CJ59</f>
        <v>215.00000000000003</v>
      </c>
      <c r="CK59" s="21"/>
      <c r="CL59" s="110">
        <v>0.5625</v>
      </c>
      <c r="CM59" s="211">
        <f>'HVAC Appliances Austin'!CM59</f>
        <v>0</v>
      </c>
      <c r="CN59" s="110">
        <v>0.5625</v>
      </c>
      <c r="CO59" s="211">
        <f>'HVAC Appliances Austin'!CO59</f>
        <v>0</v>
      </c>
      <c r="CP59" s="110">
        <v>0.5625</v>
      </c>
      <c r="CQ59" s="211">
        <f>'HVAC Appliances Austin'!CQ59</f>
        <v>0</v>
      </c>
      <c r="CR59" s="21"/>
      <c r="CS59" s="110">
        <v>0.5625</v>
      </c>
      <c r="CT59" s="211"/>
      <c r="CU59" s="21"/>
      <c r="CV59" s="110">
        <v>0.5625</v>
      </c>
      <c r="CW59" s="264"/>
      <c r="CY59" s="260">
        <v>0.5625</v>
      </c>
      <c r="CZ59" s="211">
        <f>'HVAC Appliances Austin'!CZ59</f>
        <v>210.72500000000011</v>
      </c>
      <c r="DA59" s="110">
        <v>0.5625</v>
      </c>
      <c r="DB59" s="211">
        <f>'HVAC Appliances Austin'!DB59</f>
        <v>280.3741319444448</v>
      </c>
      <c r="DC59" s="110">
        <v>0.5625</v>
      </c>
      <c r="DD59" s="211">
        <f>'HVAC Appliances Austin'!DD59</f>
        <v>328.34739583333362</v>
      </c>
      <c r="DE59" s="21"/>
      <c r="DF59" s="110">
        <v>0.5625</v>
      </c>
      <c r="DG59" s="211">
        <f>'HVAC Appliances Austin'!DG59</f>
        <v>598.8123333333333</v>
      </c>
      <c r="DH59" s="110">
        <v>0.5625</v>
      </c>
      <c r="DI59" s="211">
        <f>'HVAC Appliances Austin'!DI59</f>
        <v>928.9212986111113</v>
      </c>
      <c r="DJ59" s="110">
        <v>0.5625</v>
      </c>
      <c r="DK59" s="211">
        <f>'HVAC Appliances Austin'!DK59</f>
        <v>1169.5668958333338</v>
      </c>
      <c r="DL59" s="21"/>
      <c r="DM59" s="110">
        <v>0.5625</v>
      </c>
      <c r="DN59" s="211">
        <f>'HVAC Appliances Austin'!DN59</f>
        <v>989.14599999999939</v>
      </c>
      <c r="DO59" s="110">
        <v>0.5625</v>
      </c>
      <c r="DP59" s="211">
        <f>'HVAC Appliances Austin'!DP59</f>
        <v>1594.9381111111104</v>
      </c>
      <c r="DQ59" s="110">
        <v>0.5625</v>
      </c>
      <c r="DR59" s="211">
        <f>'HVAC Appliances Austin'!DR59</f>
        <v>2039.2563333333328</v>
      </c>
      <c r="DS59" s="21"/>
      <c r="DT59" s="110">
        <v>0.5625</v>
      </c>
      <c r="DU59" s="211">
        <f>'HVAC Appliances Austin'!DU59</f>
        <v>71.548999999999921</v>
      </c>
      <c r="DV59" s="110">
        <v>0.5625</v>
      </c>
      <c r="DW59" s="211">
        <f>'HVAC Appliances Austin'!DW59</f>
        <v>58.032131944444117</v>
      </c>
      <c r="DX59" s="110">
        <v>0.5625</v>
      </c>
      <c r="DY59" s="211">
        <f>'HVAC Appliances Austin'!DY59</f>
        <v>44.289395833333025</v>
      </c>
      <c r="DZ59" s="21"/>
      <c r="EA59" s="110">
        <v>0.5625</v>
      </c>
      <c r="EB59" s="211">
        <f>'HVAC Appliances Amarillo'!EB59</f>
        <v>1538.6039999999998</v>
      </c>
      <c r="EC59" s="110">
        <v>0.5625</v>
      </c>
      <c r="ED59" s="211">
        <f>'HVAC Appliances Amarillo'!ED59</f>
        <v>2977.0800000000008</v>
      </c>
      <c r="EE59" s="110">
        <v>0.5625</v>
      </c>
      <c r="EF59" s="211">
        <f>'HVAC Appliances Amarillo'!EF59</f>
        <v>3999.1800000000007</v>
      </c>
      <c r="EG59" s="21"/>
      <c r="EH59" s="110">
        <v>0.5625</v>
      </c>
      <c r="EI59" s="211">
        <f>'HVAC Appliances Austin'!EI59</f>
        <v>1178.7640000000006</v>
      </c>
      <c r="EJ59" s="110">
        <v>0.5625</v>
      </c>
      <c r="EK59" s="211">
        <f>'HVAC Appliances Austin'!EK59</f>
        <v>1920.850187500002</v>
      </c>
      <c r="EL59" s="110">
        <v>0.5625</v>
      </c>
      <c r="EM59" s="211">
        <f>'HVAC Appliances Austin'!EM59</f>
        <v>2465.8185625000024</v>
      </c>
      <c r="EN59" s="21"/>
      <c r="EO59" s="110">
        <v>0.5625</v>
      </c>
      <c r="EP59" s="211"/>
      <c r="EQ59" s="21"/>
      <c r="ER59" s="110">
        <v>0.5625</v>
      </c>
      <c r="ES59" s="264"/>
      <c r="EU59" s="260">
        <v>0.5625</v>
      </c>
      <c r="EV59" s="209">
        <f>'HVAC Appliances Amarillo'!EV59</f>
        <v>1538.6039999999998</v>
      </c>
      <c r="EW59" s="110">
        <v>0.5625</v>
      </c>
      <c r="EX59" s="209">
        <f>'HVAC Appliances Amarillo'!EX59</f>
        <v>2480</v>
      </c>
      <c r="EY59" s="110">
        <v>0.5625</v>
      </c>
      <c r="EZ59" s="308">
        <f>'HVAC Appliances Amarillo'!EZ59</f>
        <v>3390</v>
      </c>
    </row>
    <row r="60" spans="1:156" x14ac:dyDescent="0.3">
      <c r="A60" s="108">
        <v>0.5625</v>
      </c>
      <c r="B60" s="226">
        <f t="shared" si="0"/>
        <v>0</v>
      </c>
      <c r="C60" s="21">
        <f t="shared" si="1"/>
        <v>215.00000000000003</v>
      </c>
      <c r="D60" s="20">
        <f t="shared" si="2"/>
        <v>3999.1800000000007</v>
      </c>
      <c r="E60" s="20">
        <f t="shared" si="3"/>
        <v>3390</v>
      </c>
      <c r="G60" s="260">
        <v>0.57291666666666696</v>
      </c>
      <c r="H60" s="211">
        <f>'HVAC Appliances Austin'!H60</f>
        <v>184.08420138888891</v>
      </c>
      <c r="I60" s="110">
        <v>0.57291666666666696</v>
      </c>
      <c r="J60" s="211">
        <f>'HVAC Appliances Austin'!J60</f>
        <v>249.96284722222217</v>
      </c>
      <c r="K60" s="110">
        <v>0.57291666666666696</v>
      </c>
      <c r="L60" s="211">
        <f>'HVAC Appliances Austin'!L60</f>
        <v>294.21597222222175</v>
      </c>
      <c r="M60" s="21"/>
      <c r="N60" s="110">
        <v>0.57291666666666696</v>
      </c>
      <c r="O60" s="211">
        <f>'HVAC Appliances Austin'!O60</f>
        <v>552.69236805555568</v>
      </c>
      <c r="P60" s="110">
        <v>0.57291666666666696</v>
      </c>
      <c r="Q60" s="211">
        <f>'HVAC Appliances Austin'!Q60</f>
        <v>867.37451388888906</v>
      </c>
      <c r="R60" s="110">
        <v>0.57291666666666696</v>
      </c>
      <c r="S60" s="211">
        <f>'HVAC Appliances Austin'!S60</f>
        <v>1092.8306388888891</v>
      </c>
      <c r="T60" s="21"/>
      <c r="U60" s="110">
        <v>0.57291666666666696</v>
      </c>
      <c r="V60" s="211">
        <f>'HVAC Appliances Austin'!V60</f>
        <v>952.85322222222158</v>
      </c>
      <c r="W60" s="110">
        <v>0.57291666666666696</v>
      </c>
      <c r="X60" s="211">
        <f>'HVAC Appliances Austin'!X60</f>
        <v>1544.3955555555547</v>
      </c>
      <c r="Y60" s="110">
        <v>0.57291666666666696</v>
      </c>
      <c r="Z60" s="211">
        <f>'HVAC Appliances Austin'!Z60</f>
        <v>1984.3175555555538</v>
      </c>
      <c r="AA60" s="21"/>
      <c r="AB60" s="110">
        <v>0.57291666666666696</v>
      </c>
      <c r="AC60" s="211">
        <f>'HVAC Appliances Austin'!AC60</f>
        <v>73.858201388888773</v>
      </c>
      <c r="AD60" s="110">
        <v>0.57291666666666696</v>
      </c>
      <c r="AE60" s="211">
        <f>'HVAC Appliances Austin'!AE60</f>
        <v>70.382847222222097</v>
      </c>
      <c r="AF60" s="110">
        <v>0.57291666666666696</v>
      </c>
      <c r="AG60" s="211">
        <f>'HVAC Appliances Austin'!AG60</f>
        <v>73.703972222221921</v>
      </c>
      <c r="AH60" s="21"/>
      <c r="AI60" s="110">
        <v>0.57291666666666696</v>
      </c>
      <c r="AJ60" s="211">
        <f>'HVAC Appliances Austin'!AJ60</f>
        <v>0</v>
      </c>
      <c r="AK60" s="110">
        <v>0.57291666666666696</v>
      </c>
      <c r="AL60" s="211">
        <f>'HVAC Appliances Austin'!AL60</f>
        <v>0</v>
      </c>
      <c r="AM60" s="110">
        <v>0.57291666666666696</v>
      </c>
      <c r="AN60" s="211">
        <f>'HVAC Appliances Austin'!AN60</f>
        <v>0</v>
      </c>
      <c r="AO60" s="21"/>
      <c r="AP60" s="110">
        <v>0.57291666666666696</v>
      </c>
      <c r="AQ60" s="211">
        <f>'HVAC Appliances Austin'!AQ60</f>
        <v>1152.3318125000008</v>
      </c>
      <c r="AR60" s="110">
        <v>0.57291666666666696</v>
      </c>
      <c r="AS60" s="211">
        <f>'HVAC Appliances Austin'!AS60</f>
        <v>1882.9706250000017</v>
      </c>
      <c r="AT60" s="110">
        <v>0.57291666666666696</v>
      </c>
      <c r="AU60" s="211">
        <f>'HVAC Appliances Austin'!AU60</f>
        <v>2432.6467500000012</v>
      </c>
      <c r="AV60" s="21"/>
      <c r="AW60" s="110">
        <v>0.57291666666666696</v>
      </c>
      <c r="AX60" s="211"/>
      <c r="AY60" s="21"/>
      <c r="AZ60" s="110">
        <v>0.57291666666666696</v>
      </c>
      <c r="BA60" s="264"/>
      <c r="BC60" s="260">
        <v>0.57291666666666696</v>
      </c>
      <c r="BD60" s="211">
        <f>'HVAC Appliances Austin'!BD60</f>
        <v>0</v>
      </c>
      <c r="BE60" s="110">
        <v>0.57291666666666696</v>
      </c>
      <c r="BF60" s="211">
        <f>'HVAC Appliances Austin'!BF60</f>
        <v>0</v>
      </c>
      <c r="BG60" s="110">
        <v>0.57291666666666696</v>
      </c>
      <c r="BH60" s="211">
        <f>'HVAC Appliances Austin'!BH60</f>
        <v>0</v>
      </c>
      <c r="BI60" s="21"/>
      <c r="BJ60" s="110">
        <v>0.57291666666666696</v>
      </c>
      <c r="BK60" s="211">
        <f>'HVAC Appliances Austin'!BK60</f>
        <v>0</v>
      </c>
      <c r="BL60" s="110">
        <v>0.57291666666666696</v>
      </c>
      <c r="BM60" s="211">
        <f>'HVAC Appliances Austin'!BM60</f>
        <v>0</v>
      </c>
      <c r="BN60" s="110">
        <v>0.57291666666666696</v>
      </c>
      <c r="BO60" s="211">
        <f>'HVAC Appliances Austin'!BO60</f>
        <v>0</v>
      </c>
      <c r="BP60" s="21"/>
      <c r="BQ60" s="110">
        <v>0.57291666666666696</v>
      </c>
      <c r="BR60" s="211">
        <f>'HVAC Appliances Austin'!BR60</f>
        <v>0</v>
      </c>
      <c r="BS60" s="110">
        <v>0.57291666666666696</v>
      </c>
      <c r="BT60" s="211">
        <f>'HVAC Appliances Austin'!BT60</f>
        <v>0</v>
      </c>
      <c r="BU60" s="110">
        <v>0.57291666666666696</v>
      </c>
      <c r="BV60" s="211">
        <f>'HVAC Appliances Austin'!BV60</f>
        <v>0</v>
      </c>
      <c r="BW60" s="21"/>
      <c r="BX60" s="110">
        <v>0.57291666666666696</v>
      </c>
      <c r="BY60" s="211">
        <f>'HVAC Appliances Austin'!BY60</f>
        <v>0</v>
      </c>
      <c r="BZ60" s="110">
        <v>0.57291666666666696</v>
      </c>
      <c r="CA60" s="211">
        <f>'HVAC Appliances Austin'!CA60</f>
        <v>0</v>
      </c>
      <c r="CB60" s="110">
        <v>0.57291666666666696</v>
      </c>
      <c r="CC60" s="211">
        <f>'HVAC Appliances Austin'!CC60</f>
        <v>0</v>
      </c>
      <c r="CD60" s="21"/>
      <c r="CE60" s="110">
        <v>0.57291666666666696</v>
      </c>
      <c r="CF60" s="211">
        <f>'HVAC Appliances Austin'!CF60</f>
        <v>84.160000000000011</v>
      </c>
      <c r="CG60" s="110">
        <v>0.57291666666666696</v>
      </c>
      <c r="CH60" s="211">
        <f>'HVAC Appliances Austin'!CH60</f>
        <v>160.98000000000002</v>
      </c>
      <c r="CI60" s="110">
        <v>0.57291666666666696</v>
      </c>
      <c r="CJ60" s="211">
        <f>'HVAC Appliances Austin'!CJ60</f>
        <v>215.00000000000003</v>
      </c>
      <c r="CK60" s="21"/>
      <c r="CL60" s="110">
        <v>0.57291666666666696</v>
      </c>
      <c r="CM60" s="211">
        <f>'HVAC Appliances Austin'!CM60</f>
        <v>0</v>
      </c>
      <c r="CN60" s="110">
        <v>0.57291666666666696</v>
      </c>
      <c r="CO60" s="211">
        <f>'HVAC Appliances Austin'!CO60</f>
        <v>0</v>
      </c>
      <c r="CP60" s="110">
        <v>0.57291666666666696</v>
      </c>
      <c r="CQ60" s="211">
        <f>'HVAC Appliances Austin'!CQ60</f>
        <v>0</v>
      </c>
      <c r="CR60" s="21"/>
      <c r="CS60" s="110">
        <v>0.57291666666666696</v>
      </c>
      <c r="CT60" s="211"/>
      <c r="CU60" s="21"/>
      <c r="CV60" s="110">
        <v>0.57291666666666696</v>
      </c>
      <c r="CW60" s="264"/>
      <c r="CY60" s="260">
        <v>0.57291666666666696</v>
      </c>
      <c r="CZ60" s="211">
        <f>'HVAC Appliances Austin'!CZ60</f>
        <v>210.72500000000011</v>
      </c>
      <c r="DA60" s="110">
        <v>0.57291666666666696</v>
      </c>
      <c r="DB60" s="211">
        <f>'HVAC Appliances Austin'!DB60</f>
        <v>280.3741319444448</v>
      </c>
      <c r="DC60" s="110">
        <v>0.57291666666666696</v>
      </c>
      <c r="DD60" s="211">
        <f>'HVAC Appliances Austin'!DD60</f>
        <v>328.34739583333362</v>
      </c>
      <c r="DE60" s="21"/>
      <c r="DF60" s="110">
        <v>0.57291666666666696</v>
      </c>
      <c r="DG60" s="211">
        <f>'HVAC Appliances Austin'!DG60</f>
        <v>598.8123333333333</v>
      </c>
      <c r="DH60" s="110">
        <v>0.57291666666666696</v>
      </c>
      <c r="DI60" s="211">
        <f>'HVAC Appliances Austin'!DI60</f>
        <v>928.9212986111113</v>
      </c>
      <c r="DJ60" s="110">
        <v>0.57291666666666696</v>
      </c>
      <c r="DK60" s="211">
        <f>'HVAC Appliances Austin'!DK60</f>
        <v>1169.5668958333338</v>
      </c>
      <c r="DL60" s="21"/>
      <c r="DM60" s="110">
        <v>0.57291666666666696</v>
      </c>
      <c r="DN60" s="211">
        <f>'HVAC Appliances Austin'!DN60</f>
        <v>989.14599999999939</v>
      </c>
      <c r="DO60" s="110">
        <v>0.57291666666666696</v>
      </c>
      <c r="DP60" s="211">
        <f>'HVAC Appliances Austin'!DP60</f>
        <v>1594.9381111111104</v>
      </c>
      <c r="DQ60" s="110">
        <v>0.57291666666666696</v>
      </c>
      <c r="DR60" s="211">
        <f>'HVAC Appliances Austin'!DR60</f>
        <v>2039.2563333333328</v>
      </c>
      <c r="DS60" s="21"/>
      <c r="DT60" s="110">
        <v>0.57291666666666696</v>
      </c>
      <c r="DU60" s="211">
        <f>'HVAC Appliances Austin'!DU60</f>
        <v>71.548999999999921</v>
      </c>
      <c r="DV60" s="110">
        <v>0.57291666666666696</v>
      </c>
      <c r="DW60" s="211">
        <f>'HVAC Appliances Austin'!DW60</f>
        <v>58.032131944444117</v>
      </c>
      <c r="DX60" s="110">
        <v>0.57291666666666696</v>
      </c>
      <c r="DY60" s="211">
        <f>'HVAC Appliances Austin'!DY60</f>
        <v>44.289395833333025</v>
      </c>
      <c r="DZ60" s="21"/>
      <c r="EA60" s="110">
        <v>0.57291666666666696</v>
      </c>
      <c r="EB60" s="211">
        <f>'HVAC Appliances Amarillo'!EB60</f>
        <v>1538.6039999999998</v>
      </c>
      <c r="EC60" s="110">
        <v>0.57291666666666696</v>
      </c>
      <c r="ED60" s="211">
        <f>'HVAC Appliances Amarillo'!ED60</f>
        <v>2977.0800000000008</v>
      </c>
      <c r="EE60" s="110">
        <v>0.57291666666666696</v>
      </c>
      <c r="EF60" s="211">
        <f>'HVAC Appliances Amarillo'!EF60</f>
        <v>3999.1800000000007</v>
      </c>
      <c r="EG60" s="21"/>
      <c r="EH60" s="110">
        <v>0.57291666666666696</v>
      </c>
      <c r="EI60" s="211">
        <f>'HVAC Appliances Austin'!EI60</f>
        <v>1178.7640000000006</v>
      </c>
      <c r="EJ60" s="110">
        <v>0.57291666666666696</v>
      </c>
      <c r="EK60" s="211">
        <f>'HVAC Appliances Austin'!EK60</f>
        <v>1920.850187500002</v>
      </c>
      <c r="EL60" s="110">
        <v>0.57291666666666696</v>
      </c>
      <c r="EM60" s="211">
        <f>'HVAC Appliances Austin'!EM60</f>
        <v>2465.8185625000024</v>
      </c>
      <c r="EN60" s="21"/>
      <c r="EO60" s="110">
        <v>0.57291666666666696</v>
      </c>
      <c r="EP60" s="211"/>
      <c r="EQ60" s="21"/>
      <c r="ER60" s="110">
        <v>0.57291666666666696</v>
      </c>
      <c r="ES60" s="264"/>
      <c r="EU60" s="260">
        <v>0.57291666666666696</v>
      </c>
      <c r="EV60" s="209">
        <f>'HVAC Appliances Amarillo'!EV60</f>
        <v>1538.6039999999998</v>
      </c>
      <c r="EW60" s="110">
        <v>0.57291666666666696</v>
      </c>
      <c r="EX60" s="209">
        <f>'HVAC Appliances Amarillo'!EX60</f>
        <v>2480</v>
      </c>
      <c r="EY60" s="110">
        <v>0.57291666666666696</v>
      </c>
      <c r="EZ60" s="308">
        <f>'HVAC Appliances Amarillo'!EZ60</f>
        <v>3390</v>
      </c>
    </row>
    <row r="61" spans="1:156" x14ac:dyDescent="0.3">
      <c r="A61" s="108">
        <v>0.57291666666666696</v>
      </c>
      <c r="B61" s="226">
        <f t="shared" si="0"/>
        <v>0</v>
      </c>
      <c r="C61" s="21">
        <f t="shared" si="1"/>
        <v>215.00000000000003</v>
      </c>
      <c r="D61" s="20">
        <f t="shared" si="2"/>
        <v>3999.1800000000007</v>
      </c>
      <c r="E61" s="20">
        <f t="shared" si="3"/>
        <v>3390</v>
      </c>
      <c r="G61" s="260">
        <v>0.58333333333333304</v>
      </c>
      <c r="H61" s="211">
        <f>'HVAC Appliances Austin'!H61</f>
        <v>262.68888888888841</v>
      </c>
      <c r="I61" s="110">
        <v>0.58333333333333304</v>
      </c>
      <c r="J61" s="211">
        <f>'HVAC Appliances Austin'!J61</f>
        <v>380.52222222222201</v>
      </c>
      <c r="K61" s="110">
        <v>0.58333333333333304</v>
      </c>
      <c r="L61" s="211">
        <f>'HVAC Appliances Austin'!L61</f>
        <v>460.52222222222116</v>
      </c>
      <c r="M61" s="21"/>
      <c r="N61" s="110">
        <v>0.58333333333333304</v>
      </c>
      <c r="O61" s="211">
        <f>'HVAC Appliances Austin'!O61</f>
        <v>610.87381249999942</v>
      </c>
      <c r="P61" s="110">
        <v>0.58333333333333304</v>
      </c>
      <c r="Q61" s="211">
        <f>'HVAC Appliances Austin'!Q61</f>
        <v>965.55562499999996</v>
      </c>
      <c r="R61" s="110">
        <v>0.58333333333333304</v>
      </c>
      <c r="S61" s="211">
        <f>'HVAC Appliances Austin'!S61</f>
        <v>1221.5257499999991</v>
      </c>
      <c r="T61" s="21"/>
      <c r="U61" s="110">
        <v>0.58333333333333304</v>
      </c>
      <c r="V61" s="211">
        <f>'HVAC Appliances Austin'!V61</f>
        <v>1029.0332013888883</v>
      </c>
      <c r="W61" s="110">
        <v>0.58333333333333304</v>
      </c>
      <c r="X61" s="211">
        <f>'HVAC Appliances Austin'!X61</f>
        <v>1673.6328472222212</v>
      </c>
      <c r="Y61" s="110">
        <v>0.58333333333333304</v>
      </c>
      <c r="Z61" s="211">
        <f>'HVAC Appliances Austin'!Z61</f>
        <v>2155.3039722222215</v>
      </c>
      <c r="AA61" s="21"/>
      <c r="AB61" s="110">
        <v>0.58333333333333304</v>
      </c>
      <c r="AC61" s="211">
        <f>'HVAC Appliances Austin'!AC61</f>
        <v>79.62655555555564</v>
      </c>
      <c r="AD61" s="110">
        <v>0.58333333333333304</v>
      </c>
      <c r="AE61" s="211">
        <f>'HVAC Appliances Austin'!AE61</f>
        <v>79.528888888888986</v>
      </c>
      <c r="AF61" s="110">
        <v>0.58333333333333304</v>
      </c>
      <c r="AG61" s="211">
        <f>'HVAC Appliances Austin'!AG61</f>
        <v>84.330888888888737</v>
      </c>
      <c r="AH61" s="21"/>
      <c r="AI61" s="110">
        <v>0.58333333333333304</v>
      </c>
      <c r="AJ61" s="211">
        <f>'HVAC Appliances Austin'!AJ61</f>
        <v>0</v>
      </c>
      <c r="AK61" s="110">
        <v>0.58333333333333304</v>
      </c>
      <c r="AL61" s="211">
        <f>'HVAC Appliances Austin'!AL61</f>
        <v>0</v>
      </c>
      <c r="AM61" s="110">
        <v>0.58333333333333304</v>
      </c>
      <c r="AN61" s="211">
        <f>'HVAC Appliances Austin'!AN61</f>
        <v>0</v>
      </c>
      <c r="AO61" s="21"/>
      <c r="AP61" s="110">
        <v>0.58333333333333304</v>
      </c>
      <c r="AQ61" s="211">
        <f>'HVAC Appliances Austin'!AQ61</f>
        <v>1216.6932222222231</v>
      </c>
      <c r="AR61" s="110">
        <v>0.58333333333333304</v>
      </c>
      <c r="AS61" s="211">
        <f>'HVAC Appliances Austin'!AS61</f>
        <v>1992.3155555555572</v>
      </c>
      <c r="AT61" s="110">
        <v>0.58333333333333304</v>
      </c>
      <c r="AU61" s="211">
        <f>'HVAC Appliances Austin'!AU61</f>
        <v>2577.6775555555573</v>
      </c>
      <c r="AV61" s="21"/>
      <c r="AW61" s="110">
        <v>0.58333333333333304</v>
      </c>
      <c r="AX61" s="211"/>
      <c r="AY61" s="21"/>
      <c r="AZ61" s="110">
        <v>0.58333333333333304</v>
      </c>
      <c r="BA61" s="264"/>
      <c r="BC61" s="260">
        <v>0.58333333333333304</v>
      </c>
      <c r="BD61" s="211">
        <f>'HVAC Appliances Austin'!BD61</f>
        <v>0</v>
      </c>
      <c r="BE61" s="110">
        <v>0.58333333333333304</v>
      </c>
      <c r="BF61" s="211">
        <f>'HVAC Appliances Austin'!BF61</f>
        <v>0</v>
      </c>
      <c r="BG61" s="110">
        <v>0.58333333333333304</v>
      </c>
      <c r="BH61" s="211">
        <f>'HVAC Appliances Austin'!BH61</f>
        <v>0</v>
      </c>
      <c r="BI61" s="21"/>
      <c r="BJ61" s="110">
        <v>0.58333333333333304</v>
      </c>
      <c r="BK61" s="211">
        <f>'HVAC Appliances Austin'!BK61</f>
        <v>0</v>
      </c>
      <c r="BL61" s="110">
        <v>0.58333333333333304</v>
      </c>
      <c r="BM61" s="211">
        <f>'HVAC Appliances Austin'!BM61</f>
        <v>0</v>
      </c>
      <c r="BN61" s="110">
        <v>0.58333333333333304</v>
      </c>
      <c r="BO61" s="211">
        <f>'HVAC Appliances Austin'!BO61</f>
        <v>0</v>
      </c>
      <c r="BP61" s="21"/>
      <c r="BQ61" s="110">
        <v>0.58333333333333304</v>
      </c>
      <c r="BR61" s="211">
        <f>'HVAC Appliances Austin'!BR61</f>
        <v>0</v>
      </c>
      <c r="BS61" s="110">
        <v>0.58333333333333304</v>
      </c>
      <c r="BT61" s="211">
        <f>'HVAC Appliances Austin'!BT61</f>
        <v>0</v>
      </c>
      <c r="BU61" s="110">
        <v>0.58333333333333304</v>
      </c>
      <c r="BV61" s="211">
        <f>'HVAC Appliances Austin'!BV61</f>
        <v>0</v>
      </c>
      <c r="BW61" s="21"/>
      <c r="BX61" s="110">
        <v>0.58333333333333304</v>
      </c>
      <c r="BY61" s="211">
        <f>'HVAC Appliances Austin'!BY61</f>
        <v>0</v>
      </c>
      <c r="BZ61" s="110">
        <v>0.58333333333333304</v>
      </c>
      <c r="CA61" s="211">
        <f>'HVAC Appliances Austin'!CA61</f>
        <v>0</v>
      </c>
      <c r="CB61" s="110">
        <v>0.58333333333333304</v>
      </c>
      <c r="CC61" s="211">
        <f>'HVAC Appliances Austin'!CC61</f>
        <v>0</v>
      </c>
      <c r="CD61" s="21"/>
      <c r="CE61" s="110">
        <v>0.58333333333333304</v>
      </c>
      <c r="CF61" s="211">
        <f>'HVAC Appliances Austin'!CF61</f>
        <v>81.446666666666673</v>
      </c>
      <c r="CG61" s="110">
        <v>0.58333333333333304</v>
      </c>
      <c r="CH61" s="211">
        <f>'HVAC Appliances Austin'!CH61</f>
        <v>155.40666666666667</v>
      </c>
      <c r="CI61" s="110">
        <v>0.58333333333333304</v>
      </c>
      <c r="CJ61" s="211">
        <f>'HVAC Appliances Austin'!CJ61</f>
        <v>207.66666666666669</v>
      </c>
      <c r="CK61" s="21"/>
      <c r="CL61" s="110">
        <v>0.58333333333333304</v>
      </c>
      <c r="CM61" s="211">
        <f>'HVAC Appliances Austin'!CM61</f>
        <v>0</v>
      </c>
      <c r="CN61" s="110">
        <v>0.58333333333333304</v>
      </c>
      <c r="CO61" s="211">
        <f>'HVAC Appliances Austin'!CO61</f>
        <v>0</v>
      </c>
      <c r="CP61" s="110">
        <v>0.58333333333333304</v>
      </c>
      <c r="CQ61" s="211">
        <f>'HVAC Appliances Austin'!CQ61</f>
        <v>0</v>
      </c>
      <c r="CR61" s="21"/>
      <c r="CS61" s="110">
        <v>0.58333333333333304</v>
      </c>
      <c r="CT61" s="211"/>
      <c r="CU61" s="21"/>
      <c r="CV61" s="110">
        <v>0.58333333333333304</v>
      </c>
      <c r="CW61" s="264"/>
      <c r="CY61" s="260">
        <v>0.58333333333333304</v>
      </c>
      <c r="CZ61" s="211">
        <f>'HVAC Appliances Austin'!CZ61</f>
        <v>298.53333333333313</v>
      </c>
      <c r="DA61" s="110">
        <v>0.58333333333333304</v>
      </c>
      <c r="DB61" s="211">
        <f>'HVAC Appliances Austin'!DB61</f>
        <v>424.87777777777723</v>
      </c>
      <c r="DC61" s="110">
        <v>0.58333333333333304</v>
      </c>
      <c r="DD61" s="211">
        <f>'HVAC Appliances Austin'!DD61</f>
        <v>514.8333333333328</v>
      </c>
      <c r="DE61" s="21"/>
      <c r="DF61" s="110">
        <v>0.58333333333333304</v>
      </c>
      <c r="DG61" s="211">
        <f>'HVAC Appliances Austin'!DG61</f>
        <v>656.73099999999977</v>
      </c>
      <c r="DH61" s="110">
        <v>0.58333333333333304</v>
      </c>
      <c r="DI61" s="211">
        <f>'HVAC Appliances Austin'!DI61</f>
        <v>1027.1891874999994</v>
      </c>
      <c r="DJ61" s="110">
        <v>0.58333333333333304</v>
      </c>
      <c r="DK61" s="211">
        <f>'HVAC Appliances Austin'!DK61</f>
        <v>1297.6545624999997</v>
      </c>
      <c r="DL61" s="21"/>
      <c r="DM61" s="110">
        <v>0.58333333333333304</v>
      </c>
      <c r="DN61" s="211">
        <f>'HVAC Appliances Austin'!DN61</f>
        <v>1061.8489999999997</v>
      </c>
      <c r="DO61" s="110">
        <v>0.58333333333333304</v>
      </c>
      <c r="DP61" s="211">
        <f>'HVAC Appliances Austin'!DP61</f>
        <v>1719.7571319444442</v>
      </c>
      <c r="DQ61" s="110">
        <v>0.58333333333333304</v>
      </c>
      <c r="DR61" s="211">
        <f>'HVAC Appliances Austin'!DR61</f>
        <v>2202.5643958333326</v>
      </c>
      <c r="DS61" s="21"/>
      <c r="DT61" s="110">
        <v>0.58333333333333304</v>
      </c>
      <c r="DU61" s="211">
        <f>'HVAC Appliances Austin'!DU61</f>
        <v>79.985999999999947</v>
      </c>
      <c r="DV61" s="110">
        <v>0.58333333333333304</v>
      </c>
      <c r="DW61" s="211">
        <f>'HVAC Appliances Austin'!DW61</f>
        <v>71.0847777777781</v>
      </c>
      <c r="DX61" s="110">
        <v>0.58333333333333304</v>
      </c>
      <c r="DY61" s="211">
        <f>'HVAC Appliances Austin'!DY61</f>
        <v>60.77633333333354</v>
      </c>
      <c r="DZ61" s="21"/>
      <c r="EA61" s="110">
        <v>0.58333333333333304</v>
      </c>
      <c r="EB61" s="211">
        <f>'HVAC Appliances Amarillo'!EB61</f>
        <v>1457.5559999999998</v>
      </c>
      <c r="EC61" s="110">
        <v>0.58333333333333304</v>
      </c>
      <c r="ED61" s="211">
        <f>'HVAC Appliances Amarillo'!ED61</f>
        <v>2428.4853333333335</v>
      </c>
      <c r="EE61" s="110">
        <v>0.58333333333333304</v>
      </c>
      <c r="EF61" s="211">
        <f>'HVAC Appliances Amarillo'!EF61</f>
        <v>3302.7937777777779</v>
      </c>
      <c r="EG61" s="21"/>
      <c r="EH61" s="110">
        <v>0.58333333333333304</v>
      </c>
      <c r="EI61" s="211">
        <f>'HVAC Appliances Austin'!EI61</f>
        <v>1239.4660000000006</v>
      </c>
      <c r="EJ61" s="110">
        <v>0.58333333333333304</v>
      </c>
      <c r="EK61" s="211">
        <f>'HVAC Appliances Austin'!EK61</f>
        <v>2025.4181111111125</v>
      </c>
      <c r="EL61" s="110">
        <v>0.58333333333333304</v>
      </c>
      <c r="EM61" s="211">
        <f>'HVAC Appliances Austin'!EM61</f>
        <v>2602.7763333333351</v>
      </c>
      <c r="EN61" s="21"/>
      <c r="EO61" s="110">
        <v>0.58333333333333304</v>
      </c>
      <c r="EP61" s="211"/>
      <c r="EQ61" s="21"/>
      <c r="ER61" s="110">
        <v>0.58333333333333304</v>
      </c>
      <c r="ES61" s="264"/>
      <c r="EU61" s="260">
        <v>0.58333333333333304</v>
      </c>
      <c r="EV61" s="209">
        <f>'HVAC Appliances Amarillo'!EV61</f>
        <v>1457.5559999999998</v>
      </c>
      <c r="EW61" s="110">
        <v>0.58333333333333304</v>
      </c>
      <c r="EX61" s="209">
        <f>'HVAC Appliances Amarillo'!EX61</f>
        <v>2428.4853333333335</v>
      </c>
      <c r="EY61" s="110">
        <v>0.58333333333333304</v>
      </c>
      <c r="EZ61" s="308">
        <f>'HVAC Appliances Amarillo'!EZ61</f>
        <v>3302.7937777777779</v>
      </c>
    </row>
    <row r="62" spans="1:156" x14ac:dyDescent="0.3">
      <c r="A62" s="108">
        <v>0.58333333333333304</v>
      </c>
      <c r="B62" s="226">
        <f t="shared" si="0"/>
        <v>0</v>
      </c>
      <c r="C62" s="21">
        <f t="shared" si="1"/>
        <v>207.66666666666669</v>
      </c>
      <c r="D62" s="20">
        <f t="shared" si="2"/>
        <v>3302.7937777777779</v>
      </c>
      <c r="E62" s="20">
        <f t="shared" si="3"/>
        <v>3302.7937777777779</v>
      </c>
      <c r="G62" s="260">
        <v>0.59375</v>
      </c>
      <c r="H62" s="211">
        <f>'HVAC Appliances Austin'!H62</f>
        <v>262.68888888888841</v>
      </c>
      <c r="I62" s="110">
        <v>0.59375</v>
      </c>
      <c r="J62" s="211">
        <f>'HVAC Appliances Austin'!J62</f>
        <v>380.52222222222201</v>
      </c>
      <c r="K62" s="110">
        <v>0.59375</v>
      </c>
      <c r="L62" s="211">
        <f>'HVAC Appliances Austin'!L62</f>
        <v>460.52222222222116</v>
      </c>
      <c r="M62" s="21"/>
      <c r="N62" s="110">
        <v>0.59375</v>
      </c>
      <c r="O62" s="211">
        <f>'HVAC Appliances Austin'!O62</f>
        <v>610.87381249999942</v>
      </c>
      <c r="P62" s="110">
        <v>0.59375</v>
      </c>
      <c r="Q62" s="211">
        <f>'HVAC Appliances Austin'!Q62</f>
        <v>965.55562499999996</v>
      </c>
      <c r="R62" s="110">
        <v>0.59375</v>
      </c>
      <c r="S62" s="211">
        <f>'HVAC Appliances Austin'!S62</f>
        <v>1221.5257499999991</v>
      </c>
      <c r="T62" s="21"/>
      <c r="U62" s="110">
        <v>0.59375</v>
      </c>
      <c r="V62" s="211">
        <f>'HVAC Appliances Austin'!V62</f>
        <v>1029.0332013888883</v>
      </c>
      <c r="W62" s="110">
        <v>0.59375</v>
      </c>
      <c r="X62" s="211">
        <f>'HVAC Appliances Austin'!X62</f>
        <v>1673.6328472222212</v>
      </c>
      <c r="Y62" s="110">
        <v>0.59375</v>
      </c>
      <c r="Z62" s="211">
        <f>'HVAC Appliances Austin'!Z62</f>
        <v>2155.3039722222215</v>
      </c>
      <c r="AA62" s="21"/>
      <c r="AB62" s="110">
        <v>0.59375</v>
      </c>
      <c r="AC62" s="211">
        <f>'HVAC Appliances Austin'!AC62</f>
        <v>79.62655555555564</v>
      </c>
      <c r="AD62" s="110">
        <v>0.59375</v>
      </c>
      <c r="AE62" s="211">
        <f>'HVAC Appliances Austin'!AE62</f>
        <v>79.528888888888986</v>
      </c>
      <c r="AF62" s="110">
        <v>0.59375</v>
      </c>
      <c r="AG62" s="211">
        <f>'HVAC Appliances Austin'!AG62</f>
        <v>84.330888888888737</v>
      </c>
      <c r="AH62" s="21"/>
      <c r="AI62" s="110">
        <v>0.59375</v>
      </c>
      <c r="AJ62" s="211">
        <f>'HVAC Appliances Austin'!AJ62</f>
        <v>0</v>
      </c>
      <c r="AK62" s="110">
        <v>0.59375</v>
      </c>
      <c r="AL62" s="211">
        <f>'HVAC Appliances Austin'!AL62</f>
        <v>0</v>
      </c>
      <c r="AM62" s="110">
        <v>0.59375</v>
      </c>
      <c r="AN62" s="211">
        <f>'HVAC Appliances Austin'!AN62</f>
        <v>0</v>
      </c>
      <c r="AO62" s="21"/>
      <c r="AP62" s="110">
        <v>0.59375</v>
      </c>
      <c r="AQ62" s="211">
        <f>'HVAC Appliances Austin'!AQ62</f>
        <v>1216.6932222222231</v>
      </c>
      <c r="AR62" s="110">
        <v>0.59375</v>
      </c>
      <c r="AS62" s="211">
        <f>'HVAC Appliances Austin'!AS62</f>
        <v>1992.3155555555572</v>
      </c>
      <c r="AT62" s="110">
        <v>0.59375</v>
      </c>
      <c r="AU62" s="211">
        <f>'HVAC Appliances Austin'!AU62</f>
        <v>2577.6775555555573</v>
      </c>
      <c r="AV62" s="21"/>
      <c r="AW62" s="110">
        <v>0.59375</v>
      </c>
      <c r="AX62" s="211"/>
      <c r="AY62" s="21"/>
      <c r="AZ62" s="110">
        <v>0.59375</v>
      </c>
      <c r="BA62" s="264"/>
      <c r="BC62" s="260">
        <v>0.59375</v>
      </c>
      <c r="BD62" s="211">
        <f>'HVAC Appliances Austin'!BD62</f>
        <v>0</v>
      </c>
      <c r="BE62" s="110">
        <v>0.59375</v>
      </c>
      <c r="BF62" s="211">
        <f>'HVAC Appliances Austin'!BF62</f>
        <v>0</v>
      </c>
      <c r="BG62" s="110">
        <v>0.59375</v>
      </c>
      <c r="BH62" s="211">
        <f>'HVAC Appliances Austin'!BH62</f>
        <v>0</v>
      </c>
      <c r="BI62" s="21"/>
      <c r="BJ62" s="110">
        <v>0.59375</v>
      </c>
      <c r="BK62" s="211">
        <f>'HVAC Appliances Austin'!BK62</f>
        <v>0</v>
      </c>
      <c r="BL62" s="110">
        <v>0.59375</v>
      </c>
      <c r="BM62" s="211">
        <f>'HVAC Appliances Austin'!BM62</f>
        <v>0</v>
      </c>
      <c r="BN62" s="110">
        <v>0.59375</v>
      </c>
      <c r="BO62" s="211">
        <f>'HVAC Appliances Austin'!BO62</f>
        <v>0</v>
      </c>
      <c r="BP62" s="21"/>
      <c r="BQ62" s="110">
        <v>0.59375</v>
      </c>
      <c r="BR62" s="211">
        <f>'HVAC Appliances Austin'!BR62</f>
        <v>0</v>
      </c>
      <c r="BS62" s="110">
        <v>0.59375</v>
      </c>
      <c r="BT62" s="211">
        <f>'HVAC Appliances Austin'!BT62</f>
        <v>0</v>
      </c>
      <c r="BU62" s="110">
        <v>0.59375</v>
      </c>
      <c r="BV62" s="211">
        <f>'HVAC Appliances Austin'!BV62</f>
        <v>0</v>
      </c>
      <c r="BW62" s="21"/>
      <c r="BX62" s="110">
        <v>0.59375</v>
      </c>
      <c r="BY62" s="211">
        <f>'HVAC Appliances Austin'!BY62</f>
        <v>0</v>
      </c>
      <c r="BZ62" s="110">
        <v>0.59375</v>
      </c>
      <c r="CA62" s="211">
        <f>'HVAC Appliances Austin'!CA62</f>
        <v>0</v>
      </c>
      <c r="CB62" s="110">
        <v>0.59375</v>
      </c>
      <c r="CC62" s="211">
        <f>'HVAC Appliances Austin'!CC62</f>
        <v>0</v>
      </c>
      <c r="CD62" s="21"/>
      <c r="CE62" s="110">
        <v>0.59375</v>
      </c>
      <c r="CF62" s="211">
        <f>'HVAC Appliances Austin'!CF62</f>
        <v>81.446666666666673</v>
      </c>
      <c r="CG62" s="110">
        <v>0.59375</v>
      </c>
      <c r="CH62" s="211">
        <f>'HVAC Appliances Austin'!CH62</f>
        <v>155.40666666666667</v>
      </c>
      <c r="CI62" s="110">
        <v>0.59375</v>
      </c>
      <c r="CJ62" s="211">
        <f>'HVAC Appliances Austin'!CJ62</f>
        <v>207.66666666666669</v>
      </c>
      <c r="CK62" s="21"/>
      <c r="CL62" s="110">
        <v>0.59375</v>
      </c>
      <c r="CM62" s="211">
        <f>'HVAC Appliances Austin'!CM62</f>
        <v>0</v>
      </c>
      <c r="CN62" s="110">
        <v>0.59375</v>
      </c>
      <c r="CO62" s="211">
        <f>'HVAC Appliances Austin'!CO62</f>
        <v>0</v>
      </c>
      <c r="CP62" s="110">
        <v>0.59375</v>
      </c>
      <c r="CQ62" s="211">
        <f>'HVAC Appliances Austin'!CQ62</f>
        <v>0</v>
      </c>
      <c r="CR62" s="21"/>
      <c r="CS62" s="110">
        <v>0.59375</v>
      </c>
      <c r="CT62" s="211"/>
      <c r="CU62" s="21"/>
      <c r="CV62" s="110">
        <v>0.59375</v>
      </c>
      <c r="CW62" s="264"/>
      <c r="CY62" s="260">
        <v>0.59375</v>
      </c>
      <c r="CZ62" s="211">
        <f>'HVAC Appliances Austin'!CZ62</f>
        <v>298.53333333333313</v>
      </c>
      <c r="DA62" s="110">
        <v>0.59375</v>
      </c>
      <c r="DB62" s="211">
        <f>'HVAC Appliances Austin'!DB62</f>
        <v>424.87777777777723</v>
      </c>
      <c r="DC62" s="110">
        <v>0.59375</v>
      </c>
      <c r="DD62" s="211">
        <f>'HVAC Appliances Austin'!DD62</f>
        <v>514.8333333333328</v>
      </c>
      <c r="DE62" s="21"/>
      <c r="DF62" s="110">
        <v>0.59375</v>
      </c>
      <c r="DG62" s="211">
        <f>'HVAC Appliances Austin'!DG62</f>
        <v>656.73099999999977</v>
      </c>
      <c r="DH62" s="110">
        <v>0.59375</v>
      </c>
      <c r="DI62" s="211">
        <f>'HVAC Appliances Austin'!DI62</f>
        <v>1027.1891874999994</v>
      </c>
      <c r="DJ62" s="110">
        <v>0.59375</v>
      </c>
      <c r="DK62" s="211">
        <f>'HVAC Appliances Austin'!DK62</f>
        <v>1297.6545624999997</v>
      </c>
      <c r="DL62" s="21"/>
      <c r="DM62" s="110">
        <v>0.59375</v>
      </c>
      <c r="DN62" s="211">
        <f>'HVAC Appliances Austin'!DN62</f>
        <v>1061.8489999999997</v>
      </c>
      <c r="DO62" s="110">
        <v>0.59375</v>
      </c>
      <c r="DP62" s="211">
        <f>'HVAC Appliances Austin'!DP62</f>
        <v>1719.7571319444442</v>
      </c>
      <c r="DQ62" s="110">
        <v>0.59375</v>
      </c>
      <c r="DR62" s="211">
        <f>'HVAC Appliances Austin'!DR62</f>
        <v>2202.5643958333326</v>
      </c>
      <c r="DS62" s="21"/>
      <c r="DT62" s="110">
        <v>0.59375</v>
      </c>
      <c r="DU62" s="211">
        <f>'HVAC Appliances Austin'!DU62</f>
        <v>79.985999999999947</v>
      </c>
      <c r="DV62" s="110">
        <v>0.59375</v>
      </c>
      <c r="DW62" s="211">
        <f>'HVAC Appliances Austin'!DW62</f>
        <v>71.0847777777781</v>
      </c>
      <c r="DX62" s="110">
        <v>0.59375</v>
      </c>
      <c r="DY62" s="211">
        <f>'HVAC Appliances Austin'!DY62</f>
        <v>60.77633333333354</v>
      </c>
      <c r="DZ62" s="21"/>
      <c r="EA62" s="110">
        <v>0.59375</v>
      </c>
      <c r="EB62" s="211">
        <f>'HVAC Appliances Amarillo'!EB62</f>
        <v>1457.5559999999998</v>
      </c>
      <c r="EC62" s="110">
        <v>0.59375</v>
      </c>
      <c r="ED62" s="211">
        <f>'HVAC Appliances Amarillo'!ED62</f>
        <v>2428.4853333333335</v>
      </c>
      <c r="EE62" s="110">
        <v>0.59375</v>
      </c>
      <c r="EF62" s="211">
        <f>'HVAC Appliances Amarillo'!EF62</f>
        <v>3302.7937777777779</v>
      </c>
      <c r="EG62" s="21"/>
      <c r="EH62" s="110">
        <v>0.59375</v>
      </c>
      <c r="EI62" s="211">
        <f>'HVAC Appliances Austin'!EI62</f>
        <v>1239.4660000000006</v>
      </c>
      <c r="EJ62" s="110">
        <v>0.59375</v>
      </c>
      <c r="EK62" s="211">
        <f>'HVAC Appliances Austin'!EK62</f>
        <v>2025.4181111111125</v>
      </c>
      <c r="EL62" s="110">
        <v>0.59375</v>
      </c>
      <c r="EM62" s="211">
        <f>'HVAC Appliances Austin'!EM62</f>
        <v>2602.7763333333351</v>
      </c>
      <c r="EN62" s="21"/>
      <c r="EO62" s="110">
        <v>0.59375</v>
      </c>
      <c r="EP62" s="211"/>
      <c r="EQ62" s="21"/>
      <c r="ER62" s="110">
        <v>0.59375</v>
      </c>
      <c r="ES62" s="264"/>
      <c r="EU62" s="260">
        <v>0.59375</v>
      </c>
      <c r="EV62" s="209">
        <f>'HVAC Appliances Amarillo'!EV62</f>
        <v>1457.5559999999998</v>
      </c>
      <c r="EW62" s="110">
        <v>0.59375</v>
      </c>
      <c r="EX62" s="209">
        <f>'HVAC Appliances Amarillo'!EX62</f>
        <v>2428.4853333333335</v>
      </c>
      <c r="EY62" s="110">
        <v>0.59375</v>
      </c>
      <c r="EZ62" s="308">
        <f>'HVAC Appliances Amarillo'!EZ62</f>
        <v>3302.7937777777779</v>
      </c>
    </row>
    <row r="63" spans="1:156" x14ac:dyDescent="0.3">
      <c r="A63" s="108">
        <v>0.59375</v>
      </c>
      <c r="B63" s="226">
        <f t="shared" si="0"/>
        <v>0</v>
      </c>
      <c r="C63" s="21">
        <f t="shared" si="1"/>
        <v>207.66666666666669</v>
      </c>
      <c r="D63" s="20">
        <f t="shared" si="2"/>
        <v>3302.7937777777779</v>
      </c>
      <c r="E63" s="20">
        <f t="shared" si="3"/>
        <v>3302.7937777777779</v>
      </c>
      <c r="G63" s="260">
        <v>0.60416666666666696</v>
      </c>
      <c r="H63" s="211">
        <f>'HVAC Appliances Austin'!H63</f>
        <v>262.68888888888841</v>
      </c>
      <c r="I63" s="110">
        <v>0.60416666666666696</v>
      </c>
      <c r="J63" s="211">
        <f>'HVAC Appliances Austin'!J63</f>
        <v>380.52222222222201</v>
      </c>
      <c r="K63" s="110">
        <v>0.60416666666666696</v>
      </c>
      <c r="L63" s="211">
        <f>'HVAC Appliances Austin'!L63</f>
        <v>460.52222222222116</v>
      </c>
      <c r="M63" s="21"/>
      <c r="N63" s="110">
        <v>0.60416666666666696</v>
      </c>
      <c r="O63" s="211">
        <f>'HVAC Appliances Austin'!O63</f>
        <v>610.87381249999942</v>
      </c>
      <c r="P63" s="110">
        <v>0.60416666666666696</v>
      </c>
      <c r="Q63" s="211">
        <f>'HVAC Appliances Austin'!Q63</f>
        <v>965.55562499999996</v>
      </c>
      <c r="R63" s="110">
        <v>0.60416666666666696</v>
      </c>
      <c r="S63" s="211">
        <f>'HVAC Appliances Austin'!S63</f>
        <v>1221.5257499999991</v>
      </c>
      <c r="T63" s="21"/>
      <c r="U63" s="110">
        <v>0.60416666666666696</v>
      </c>
      <c r="V63" s="211">
        <f>'HVAC Appliances Austin'!V63</f>
        <v>1029.0332013888883</v>
      </c>
      <c r="W63" s="110">
        <v>0.60416666666666696</v>
      </c>
      <c r="X63" s="211">
        <f>'HVAC Appliances Austin'!X63</f>
        <v>1673.6328472222212</v>
      </c>
      <c r="Y63" s="110">
        <v>0.60416666666666696</v>
      </c>
      <c r="Z63" s="211">
        <f>'HVAC Appliances Austin'!Z63</f>
        <v>2155.3039722222215</v>
      </c>
      <c r="AA63" s="21"/>
      <c r="AB63" s="110">
        <v>0.60416666666666696</v>
      </c>
      <c r="AC63" s="211">
        <f>'HVAC Appliances Austin'!AC63</f>
        <v>79.62655555555564</v>
      </c>
      <c r="AD63" s="110">
        <v>0.60416666666666696</v>
      </c>
      <c r="AE63" s="211">
        <f>'HVAC Appliances Austin'!AE63</f>
        <v>79.528888888888986</v>
      </c>
      <c r="AF63" s="110">
        <v>0.60416666666666696</v>
      </c>
      <c r="AG63" s="211">
        <f>'HVAC Appliances Austin'!AG63</f>
        <v>84.330888888888737</v>
      </c>
      <c r="AH63" s="21"/>
      <c r="AI63" s="110">
        <v>0.60416666666666696</v>
      </c>
      <c r="AJ63" s="211">
        <f>'HVAC Appliances Austin'!AJ63</f>
        <v>0</v>
      </c>
      <c r="AK63" s="110">
        <v>0.60416666666666696</v>
      </c>
      <c r="AL63" s="211">
        <f>'HVAC Appliances Austin'!AL63</f>
        <v>0</v>
      </c>
      <c r="AM63" s="110">
        <v>0.60416666666666696</v>
      </c>
      <c r="AN63" s="211">
        <f>'HVAC Appliances Austin'!AN63</f>
        <v>0</v>
      </c>
      <c r="AO63" s="21"/>
      <c r="AP63" s="110">
        <v>0.60416666666666696</v>
      </c>
      <c r="AQ63" s="211">
        <f>'HVAC Appliances Austin'!AQ63</f>
        <v>1216.6932222222231</v>
      </c>
      <c r="AR63" s="110">
        <v>0.60416666666666696</v>
      </c>
      <c r="AS63" s="211">
        <f>'HVAC Appliances Austin'!AS63</f>
        <v>1992.3155555555572</v>
      </c>
      <c r="AT63" s="110">
        <v>0.60416666666666696</v>
      </c>
      <c r="AU63" s="211">
        <f>'HVAC Appliances Austin'!AU63</f>
        <v>2577.6775555555573</v>
      </c>
      <c r="AV63" s="21"/>
      <c r="AW63" s="110">
        <v>0.60416666666666696</v>
      </c>
      <c r="AX63" s="211"/>
      <c r="AY63" s="21"/>
      <c r="AZ63" s="110">
        <v>0.60416666666666696</v>
      </c>
      <c r="BA63" s="264"/>
      <c r="BC63" s="260">
        <v>0.60416666666666696</v>
      </c>
      <c r="BD63" s="211">
        <f>'HVAC Appliances Austin'!BD63</f>
        <v>0</v>
      </c>
      <c r="BE63" s="110">
        <v>0.60416666666666696</v>
      </c>
      <c r="BF63" s="211">
        <f>'HVAC Appliances Austin'!BF63</f>
        <v>0</v>
      </c>
      <c r="BG63" s="110">
        <v>0.60416666666666696</v>
      </c>
      <c r="BH63" s="211">
        <f>'HVAC Appliances Austin'!BH63</f>
        <v>0</v>
      </c>
      <c r="BI63" s="21"/>
      <c r="BJ63" s="110">
        <v>0.60416666666666696</v>
      </c>
      <c r="BK63" s="211">
        <f>'HVAC Appliances Austin'!BK63</f>
        <v>0</v>
      </c>
      <c r="BL63" s="110">
        <v>0.60416666666666696</v>
      </c>
      <c r="BM63" s="211">
        <f>'HVAC Appliances Austin'!BM63</f>
        <v>0</v>
      </c>
      <c r="BN63" s="110">
        <v>0.60416666666666696</v>
      </c>
      <c r="BO63" s="211">
        <f>'HVAC Appliances Austin'!BO63</f>
        <v>0</v>
      </c>
      <c r="BP63" s="21"/>
      <c r="BQ63" s="110">
        <v>0.60416666666666696</v>
      </c>
      <c r="BR63" s="211">
        <f>'HVAC Appliances Austin'!BR63</f>
        <v>0</v>
      </c>
      <c r="BS63" s="110">
        <v>0.60416666666666696</v>
      </c>
      <c r="BT63" s="211">
        <f>'HVAC Appliances Austin'!BT63</f>
        <v>0</v>
      </c>
      <c r="BU63" s="110">
        <v>0.60416666666666696</v>
      </c>
      <c r="BV63" s="211">
        <f>'HVAC Appliances Austin'!BV63</f>
        <v>0</v>
      </c>
      <c r="BW63" s="21"/>
      <c r="BX63" s="110">
        <v>0.60416666666666696</v>
      </c>
      <c r="BY63" s="211">
        <f>'HVAC Appliances Austin'!BY63</f>
        <v>0</v>
      </c>
      <c r="BZ63" s="110">
        <v>0.60416666666666696</v>
      </c>
      <c r="CA63" s="211">
        <f>'HVAC Appliances Austin'!CA63</f>
        <v>0</v>
      </c>
      <c r="CB63" s="110">
        <v>0.60416666666666696</v>
      </c>
      <c r="CC63" s="211">
        <f>'HVAC Appliances Austin'!CC63</f>
        <v>0</v>
      </c>
      <c r="CD63" s="21"/>
      <c r="CE63" s="110">
        <v>0.60416666666666696</v>
      </c>
      <c r="CF63" s="211">
        <f>'HVAC Appliances Austin'!CF63</f>
        <v>81.446666666666673</v>
      </c>
      <c r="CG63" s="110">
        <v>0.60416666666666696</v>
      </c>
      <c r="CH63" s="211">
        <f>'HVAC Appliances Austin'!CH63</f>
        <v>155.40666666666667</v>
      </c>
      <c r="CI63" s="110">
        <v>0.60416666666666696</v>
      </c>
      <c r="CJ63" s="211">
        <f>'HVAC Appliances Austin'!CJ63</f>
        <v>207.66666666666669</v>
      </c>
      <c r="CK63" s="21"/>
      <c r="CL63" s="110">
        <v>0.60416666666666696</v>
      </c>
      <c r="CM63" s="211">
        <f>'HVAC Appliances Austin'!CM63</f>
        <v>0</v>
      </c>
      <c r="CN63" s="110">
        <v>0.60416666666666696</v>
      </c>
      <c r="CO63" s="211">
        <f>'HVAC Appliances Austin'!CO63</f>
        <v>0</v>
      </c>
      <c r="CP63" s="110">
        <v>0.60416666666666696</v>
      </c>
      <c r="CQ63" s="211">
        <f>'HVAC Appliances Austin'!CQ63</f>
        <v>0</v>
      </c>
      <c r="CR63" s="21"/>
      <c r="CS63" s="110">
        <v>0.60416666666666696</v>
      </c>
      <c r="CT63" s="211"/>
      <c r="CU63" s="21"/>
      <c r="CV63" s="110">
        <v>0.60416666666666696</v>
      </c>
      <c r="CW63" s="264"/>
      <c r="CY63" s="260">
        <v>0.60416666666666696</v>
      </c>
      <c r="CZ63" s="211">
        <f>'HVAC Appliances Austin'!CZ63</f>
        <v>298.53333333333313</v>
      </c>
      <c r="DA63" s="110">
        <v>0.60416666666666696</v>
      </c>
      <c r="DB63" s="211">
        <f>'HVAC Appliances Austin'!DB63</f>
        <v>424.87777777777723</v>
      </c>
      <c r="DC63" s="110">
        <v>0.60416666666666696</v>
      </c>
      <c r="DD63" s="211">
        <f>'HVAC Appliances Austin'!DD63</f>
        <v>514.8333333333328</v>
      </c>
      <c r="DE63" s="21"/>
      <c r="DF63" s="110">
        <v>0.60416666666666696</v>
      </c>
      <c r="DG63" s="211">
        <f>'HVAC Appliances Austin'!DG63</f>
        <v>656.73099999999977</v>
      </c>
      <c r="DH63" s="110">
        <v>0.60416666666666696</v>
      </c>
      <c r="DI63" s="211">
        <f>'HVAC Appliances Austin'!DI63</f>
        <v>1027.1891874999994</v>
      </c>
      <c r="DJ63" s="110">
        <v>0.60416666666666696</v>
      </c>
      <c r="DK63" s="211">
        <f>'HVAC Appliances Austin'!DK63</f>
        <v>1297.6545624999997</v>
      </c>
      <c r="DL63" s="21"/>
      <c r="DM63" s="110">
        <v>0.60416666666666696</v>
      </c>
      <c r="DN63" s="211">
        <f>'HVAC Appliances Austin'!DN63</f>
        <v>1061.8489999999997</v>
      </c>
      <c r="DO63" s="110">
        <v>0.60416666666666696</v>
      </c>
      <c r="DP63" s="211">
        <f>'HVAC Appliances Austin'!DP63</f>
        <v>1719.7571319444442</v>
      </c>
      <c r="DQ63" s="110">
        <v>0.60416666666666696</v>
      </c>
      <c r="DR63" s="211">
        <f>'HVAC Appliances Austin'!DR63</f>
        <v>2202.5643958333326</v>
      </c>
      <c r="DS63" s="21"/>
      <c r="DT63" s="110">
        <v>0.60416666666666696</v>
      </c>
      <c r="DU63" s="211">
        <f>'HVAC Appliances Austin'!DU63</f>
        <v>79.985999999999947</v>
      </c>
      <c r="DV63" s="110">
        <v>0.60416666666666696</v>
      </c>
      <c r="DW63" s="211">
        <f>'HVAC Appliances Austin'!DW63</f>
        <v>71.0847777777781</v>
      </c>
      <c r="DX63" s="110">
        <v>0.60416666666666696</v>
      </c>
      <c r="DY63" s="211">
        <f>'HVAC Appliances Austin'!DY63</f>
        <v>60.77633333333354</v>
      </c>
      <c r="DZ63" s="21"/>
      <c r="EA63" s="110">
        <v>0.60416666666666696</v>
      </c>
      <c r="EB63" s="211">
        <f>'HVAC Appliances Amarillo'!EB63</f>
        <v>1457.5559999999998</v>
      </c>
      <c r="EC63" s="110">
        <v>0.60416666666666696</v>
      </c>
      <c r="ED63" s="211">
        <f>'HVAC Appliances Amarillo'!ED63</f>
        <v>2428.4853333333335</v>
      </c>
      <c r="EE63" s="110">
        <v>0.60416666666666696</v>
      </c>
      <c r="EF63" s="211">
        <f>'HVAC Appliances Amarillo'!EF63</f>
        <v>3302.7937777777779</v>
      </c>
      <c r="EG63" s="21"/>
      <c r="EH63" s="110">
        <v>0.60416666666666696</v>
      </c>
      <c r="EI63" s="211">
        <f>'HVAC Appliances Austin'!EI63</f>
        <v>1239.4660000000006</v>
      </c>
      <c r="EJ63" s="110">
        <v>0.60416666666666696</v>
      </c>
      <c r="EK63" s="211">
        <f>'HVAC Appliances Austin'!EK63</f>
        <v>2025.4181111111125</v>
      </c>
      <c r="EL63" s="110">
        <v>0.60416666666666696</v>
      </c>
      <c r="EM63" s="211">
        <f>'HVAC Appliances Austin'!EM63</f>
        <v>2602.7763333333351</v>
      </c>
      <c r="EN63" s="21"/>
      <c r="EO63" s="110">
        <v>0.60416666666666696</v>
      </c>
      <c r="EP63" s="211"/>
      <c r="EQ63" s="21"/>
      <c r="ER63" s="110">
        <v>0.60416666666666696</v>
      </c>
      <c r="ES63" s="264"/>
      <c r="EU63" s="260">
        <v>0.60416666666666696</v>
      </c>
      <c r="EV63" s="209">
        <f>'HVAC Appliances Amarillo'!EV63</f>
        <v>1457.5559999999998</v>
      </c>
      <c r="EW63" s="110">
        <v>0.60416666666666696</v>
      </c>
      <c r="EX63" s="209">
        <f>'HVAC Appliances Amarillo'!EX63</f>
        <v>2428.4853333333335</v>
      </c>
      <c r="EY63" s="110">
        <v>0.60416666666666696</v>
      </c>
      <c r="EZ63" s="308">
        <f>'HVAC Appliances Amarillo'!EZ63</f>
        <v>3302.7937777777779</v>
      </c>
    </row>
    <row r="64" spans="1:156" x14ac:dyDescent="0.3">
      <c r="A64" s="108">
        <v>0.60416666666666696</v>
      </c>
      <c r="B64" s="226">
        <f t="shared" si="0"/>
        <v>0</v>
      </c>
      <c r="C64" s="21">
        <f t="shared" si="1"/>
        <v>207.66666666666669</v>
      </c>
      <c r="D64" s="20">
        <f t="shared" si="2"/>
        <v>3302.7937777777779</v>
      </c>
      <c r="E64" s="20">
        <f t="shared" si="3"/>
        <v>3302.7937777777779</v>
      </c>
      <c r="G64" s="260">
        <v>0.61458333333333304</v>
      </c>
      <c r="H64" s="211">
        <f>'HVAC Appliances Austin'!H64</f>
        <v>262.68888888888841</v>
      </c>
      <c r="I64" s="110">
        <v>0.61458333333333304</v>
      </c>
      <c r="J64" s="211">
        <f>'HVAC Appliances Austin'!J64</f>
        <v>380.52222222222201</v>
      </c>
      <c r="K64" s="110">
        <v>0.61458333333333304</v>
      </c>
      <c r="L64" s="211">
        <f>'HVAC Appliances Austin'!L64</f>
        <v>460.52222222222116</v>
      </c>
      <c r="M64" s="21"/>
      <c r="N64" s="110">
        <v>0.61458333333333304</v>
      </c>
      <c r="O64" s="211">
        <f>'HVAC Appliances Austin'!O64</f>
        <v>610.87381249999942</v>
      </c>
      <c r="P64" s="110">
        <v>0.61458333333333304</v>
      </c>
      <c r="Q64" s="211">
        <f>'HVAC Appliances Austin'!Q64</f>
        <v>965.55562499999996</v>
      </c>
      <c r="R64" s="110">
        <v>0.61458333333333304</v>
      </c>
      <c r="S64" s="211">
        <f>'HVAC Appliances Austin'!S64</f>
        <v>1221.5257499999991</v>
      </c>
      <c r="T64" s="21"/>
      <c r="U64" s="110">
        <v>0.61458333333333304</v>
      </c>
      <c r="V64" s="211">
        <f>'HVAC Appliances Austin'!V64</f>
        <v>1029.0332013888883</v>
      </c>
      <c r="W64" s="110">
        <v>0.61458333333333304</v>
      </c>
      <c r="X64" s="211">
        <f>'HVAC Appliances Austin'!X64</f>
        <v>1673.6328472222212</v>
      </c>
      <c r="Y64" s="110">
        <v>0.61458333333333304</v>
      </c>
      <c r="Z64" s="211">
        <f>'HVAC Appliances Austin'!Z64</f>
        <v>2155.3039722222215</v>
      </c>
      <c r="AA64" s="21"/>
      <c r="AB64" s="110">
        <v>0.61458333333333304</v>
      </c>
      <c r="AC64" s="211">
        <f>'HVAC Appliances Austin'!AC64</f>
        <v>79.62655555555564</v>
      </c>
      <c r="AD64" s="110">
        <v>0.61458333333333304</v>
      </c>
      <c r="AE64" s="211">
        <f>'HVAC Appliances Austin'!AE64</f>
        <v>79.528888888888986</v>
      </c>
      <c r="AF64" s="110">
        <v>0.61458333333333304</v>
      </c>
      <c r="AG64" s="211">
        <f>'HVAC Appliances Austin'!AG64</f>
        <v>84.330888888888737</v>
      </c>
      <c r="AH64" s="21"/>
      <c r="AI64" s="110">
        <v>0.61458333333333304</v>
      </c>
      <c r="AJ64" s="211">
        <f>'HVAC Appliances Austin'!AJ64</f>
        <v>0</v>
      </c>
      <c r="AK64" s="110">
        <v>0.61458333333333304</v>
      </c>
      <c r="AL64" s="211">
        <f>'HVAC Appliances Austin'!AL64</f>
        <v>0</v>
      </c>
      <c r="AM64" s="110">
        <v>0.61458333333333304</v>
      </c>
      <c r="AN64" s="211">
        <f>'HVAC Appliances Austin'!AN64</f>
        <v>0</v>
      </c>
      <c r="AO64" s="21"/>
      <c r="AP64" s="110">
        <v>0.61458333333333304</v>
      </c>
      <c r="AQ64" s="211">
        <f>'HVAC Appliances Austin'!AQ64</f>
        <v>1216.6932222222231</v>
      </c>
      <c r="AR64" s="110">
        <v>0.61458333333333304</v>
      </c>
      <c r="AS64" s="211">
        <f>'HVAC Appliances Austin'!AS64</f>
        <v>1992.3155555555572</v>
      </c>
      <c r="AT64" s="110">
        <v>0.61458333333333304</v>
      </c>
      <c r="AU64" s="211">
        <f>'HVAC Appliances Austin'!AU64</f>
        <v>2577.6775555555573</v>
      </c>
      <c r="AV64" s="21"/>
      <c r="AW64" s="110">
        <v>0.61458333333333304</v>
      </c>
      <c r="AX64" s="211"/>
      <c r="AY64" s="21"/>
      <c r="AZ64" s="110">
        <v>0.61458333333333304</v>
      </c>
      <c r="BA64" s="264"/>
      <c r="BC64" s="260">
        <v>0.61458333333333304</v>
      </c>
      <c r="BD64" s="211">
        <f>'HVAC Appliances Austin'!BD64</f>
        <v>0</v>
      </c>
      <c r="BE64" s="110">
        <v>0.61458333333333304</v>
      </c>
      <c r="BF64" s="211">
        <f>'HVAC Appliances Austin'!BF64</f>
        <v>0</v>
      </c>
      <c r="BG64" s="110">
        <v>0.61458333333333304</v>
      </c>
      <c r="BH64" s="211">
        <f>'HVAC Appliances Austin'!BH64</f>
        <v>0</v>
      </c>
      <c r="BI64" s="21"/>
      <c r="BJ64" s="110">
        <v>0.61458333333333304</v>
      </c>
      <c r="BK64" s="211">
        <f>'HVAC Appliances Austin'!BK64</f>
        <v>0</v>
      </c>
      <c r="BL64" s="110">
        <v>0.61458333333333304</v>
      </c>
      <c r="BM64" s="211">
        <f>'HVAC Appliances Austin'!BM64</f>
        <v>0</v>
      </c>
      <c r="BN64" s="110">
        <v>0.61458333333333304</v>
      </c>
      <c r="BO64" s="211">
        <f>'HVAC Appliances Austin'!BO64</f>
        <v>0</v>
      </c>
      <c r="BP64" s="21"/>
      <c r="BQ64" s="110">
        <v>0.61458333333333304</v>
      </c>
      <c r="BR64" s="211">
        <f>'HVAC Appliances Austin'!BR64</f>
        <v>0</v>
      </c>
      <c r="BS64" s="110">
        <v>0.61458333333333304</v>
      </c>
      <c r="BT64" s="211">
        <f>'HVAC Appliances Austin'!BT64</f>
        <v>0</v>
      </c>
      <c r="BU64" s="110">
        <v>0.61458333333333304</v>
      </c>
      <c r="BV64" s="211">
        <f>'HVAC Appliances Austin'!BV64</f>
        <v>0</v>
      </c>
      <c r="BW64" s="21"/>
      <c r="BX64" s="110">
        <v>0.61458333333333304</v>
      </c>
      <c r="BY64" s="211">
        <f>'HVAC Appliances Austin'!BY64</f>
        <v>0</v>
      </c>
      <c r="BZ64" s="110">
        <v>0.61458333333333304</v>
      </c>
      <c r="CA64" s="211">
        <f>'HVAC Appliances Austin'!CA64</f>
        <v>0</v>
      </c>
      <c r="CB64" s="110">
        <v>0.61458333333333304</v>
      </c>
      <c r="CC64" s="211">
        <f>'HVAC Appliances Austin'!CC64</f>
        <v>0</v>
      </c>
      <c r="CD64" s="21"/>
      <c r="CE64" s="110">
        <v>0.61458333333333304</v>
      </c>
      <c r="CF64" s="211">
        <f>'HVAC Appliances Austin'!CF64</f>
        <v>81.446666666666673</v>
      </c>
      <c r="CG64" s="110">
        <v>0.61458333333333304</v>
      </c>
      <c r="CH64" s="211">
        <f>'HVAC Appliances Austin'!CH64</f>
        <v>155.40666666666667</v>
      </c>
      <c r="CI64" s="110">
        <v>0.61458333333333304</v>
      </c>
      <c r="CJ64" s="211">
        <f>'HVAC Appliances Austin'!CJ64</f>
        <v>207.66666666666669</v>
      </c>
      <c r="CK64" s="21"/>
      <c r="CL64" s="110">
        <v>0.61458333333333304</v>
      </c>
      <c r="CM64" s="211">
        <f>'HVAC Appliances Austin'!CM64</f>
        <v>0</v>
      </c>
      <c r="CN64" s="110">
        <v>0.61458333333333304</v>
      </c>
      <c r="CO64" s="211">
        <f>'HVAC Appliances Austin'!CO64</f>
        <v>0</v>
      </c>
      <c r="CP64" s="110">
        <v>0.61458333333333304</v>
      </c>
      <c r="CQ64" s="211">
        <f>'HVAC Appliances Austin'!CQ64</f>
        <v>0</v>
      </c>
      <c r="CR64" s="21"/>
      <c r="CS64" s="110">
        <v>0.61458333333333304</v>
      </c>
      <c r="CT64" s="211"/>
      <c r="CU64" s="21"/>
      <c r="CV64" s="110">
        <v>0.61458333333333304</v>
      </c>
      <c r="CW64" s="264"/>
      <c r="CY64" s="260">
        <v>0.61458333333333304</v>
      </c>
      <c r="CZ64" s="211">
        <f>'HVAC Appliances Austin'!CZ64</f>
        <v>298.53333333333313</v>
      </c>
      <c r="DA64" s="110">
        <v>0.61458333333333304</v>
      </c>
      <c r="DB64" s="211">
        <f>'HVAC Appliances Austin'!DB64</f>
        <v>424.87777777777723</v>
      </c>
      <c r="DC64" s="110">
        <v>0.61458333333333304</v>
      </c>
      <c r="DD64" s="211">
        <f>'HVAC Appliances Austin'!DD64</f>
        <v>514.8333333333328</v>
      </c>
      <c r="DE64" s="21"/>
      <c r="DF64" s="110">
        <v>0.61458333333333304</v>
      </c>
      <c r="DG64" s="211">
        <f>'HVAC Appliances Austin'!DG64</f>
        <v>656.73099999999977</v>
      </c>
      <c r="DH64" s="110">
        <v>0.61458333333333304</v>
      </c>
      <c r="DI64" s="211">
        <f>'HVAC Appliances Austin'!DI64</f>
        <v>1027.1891874999994</v>
      </c>
      <c r="DJ64" s="110">
        <v>0.61458333333333304</v>
      </c>
      <c r="DK64" s="211">
        <f>'HVAC Appliances Austin'!DK64</f>
        <v>1297.6545624999997</v>
      </c>
      <c r="DL64" s="21"/>
      <c r="DM64" s="110">
        <v>0.61458333333333304</v>
      </c>
      <c r="DN64" s="211">
        <f>'HVAC Appliances Austin'!DN64</f>
        <v>1061.8489999999997</v>
      </c>
      <c r="DO64" s="110">
        <v>0.61458333333333304</v>
      </c>
      <c r="DP64" s="211">
        <f>'HVAC Appliances Austin'!DP64</f>
        <v>1719.7571319444442</v>
      </c>
      <c r="DQ64" s="110">
        <v>0.61458333333333304</v>
      </c>
      <c r="DR64" s="211">
        <f>'HVAC Appliances Austin'!DR64</f>
        <v>2202.5643958333326</v>
      </c>
      <c r="DS64" s="21"/>
      <c r="DT64" s="110">
        <v>0.61458333333333304</v>
      </c>
      <c r="DU64" s="211">
        <f>'HVAC Appliances Austin'!DU64</f>
        <v>79.985999999999947</v>
      </c>
      <c r="DV64" s="110">
        <v>0.61458333333333304</v>
      </c>
      <c r="DW64" s="211">
        <f>'HVAC Appliances Austin'!DW64</f>
        <v>71.0847777777781</v>
      </c>
      <c r="DX64" s="110">
        <v>0.61458333333333304</v>
      </c>
      <c r="DY64" s="211">
        <f>'HVAC Appliances Austin'!DY64</f>
        <v>60.77633333333354</v>
      </c>
      <c r="DZ64" s="21"/>
      <c r="EA64" s="110">
        <v>0.61458333333333304</v>
      </c>
      <c r="EB64" s="211">
        <f>'HVAC Appliances Amarillo'!EB64</f>
        <v>1457.5559999999998</v>
      </c>
      <c r="EC64" s="110">
        <v>0.61458333333333304</v>
      </c>
      <c r="ED64" s="211">
        <f>'HVAC Appliances Amarillo'!ED64</f>
        <v>2428.4853333333335</v>
      </c>
      <c r="EE64" s="110">
        <v>0.61458333333333304</v>
      </c>
      <c r="EF64" s="211">
        <f>'HVAC Appliances Amarillo'!EF64</f>
        <v>3302.7937777777779</v>
      </c>
      <c r="EG64" s="21"/>
      <c r="EH64" s="110">
        <v>0.61458333333333304</v>
      </c>
      <c r="EI64" s="211">
        <f>'HVAC Appliances Austin'!EI64</f>
        <v>1239.4660000000006</v>
      </c>
      <c r="EJ64" s="110">
        <v>0.61458333333333304</v>
      </c>
      <c r="EK64" s="211">
        <f>'HVAC Appliances Austin'!EK64</f>
        <v>2025.4181111111125</v>
      </c>
      <c r="EL64" s="110">
        <v>0.61458333333333304</v>
      </c>
      <c r="EM64" s="211">
        <f>'HVAC Appliances Austin'!EM64</f>
        <v>2602.7763333333351</v>
      </c>
      <c r="EN64" s="21"/>
      <c r="EO64" s="110">
        <v>0.61458333333333304</v>
      </c>
      <c r="EP64" s="211"/>
      <c r="EQ64" s="21"/>
      <c r="ER64" s="110">
        <v>0.61458333333333304</v>
      </c>
      <c r="ES64" s="264"/>
      <c r="EU64" s="260">
        <v>0.61458333333333304</v>
      </c>
      <c r="EV64" s="209">
        <f>'HVAC Appliances Amarillo'!EV64</f>
        <v>1457.5559999999998</v>
      </c>
      <c r="EW64" s="110">
        <v>0.61458333333333304</v>
      </c>
      <c r="EX64" s="209">
        <f>'HVAC Appliances Amarillo'!EX64</f>
        <v>2428.4853333333335</v>
      </c>
      <c r="EY64" s="110">
        <v>0.61458333333333304</v>
      </c>
      <c r="EZ64" s="308">
        <f>'HVAC Appliances Amarillo'!EZ64</f>
        <v>3302.7937777777779</v>
      </c>
    </row>
    <row r="65" spans="1:156" x14ac:dyDescent="0.3">
      <c r="A65" s="108">
        <v>0.61458333333333304</v>
      </c>
      <c r="B65" s="226">
        <f t="shared" si="0"/>
        <v>0</v>
      </c>
      <c r="C65" s="21">
        <f t="shared" si="1"/>
        <v>207.66666666666669</v>
      </c>
      <c r="D65" s="20">
        <f t="shared" si="2"/>
        <v>3302.7937777777779</v>
      </c>
      <c r="E65" s="20">
        <f t="shared" si="3"/>
        <v>3302.7937777777779</v>
      </c>
      <c r="G65" s="260">
        <v>0.625</v>
      </c>
      <c r="H65" s="211">
        <f>'HVAC Appliances Austin'!H65</f>
        <v>344.1740347222223</v>
      </c>
      <c r="I65" s="110">
        <v>0.625</v>
      </c>
      <c r="J65" s="211">
        <f>'HVAC Appliances Austin'!J65</f>
        <v>516.72618055555517</v>
      </c>
      <c r="K65" s="110">
        <v>0.625</v>
      </c>
      <c r="L65" s="211">
        <f>'HVAC Appliances Austin'!L65</f>
        <v>636.04230555555534</v>
      </c>
      <c r="M65" s="21"/>
      <c r="N65" s="110">
        <v>0.625</v>
      </c>
      <c r="O65" s="211">
        <f>'HVAC Appliances Austin'!O65</f>
        <v>617.68270138888897</v>
      </c>
      <c r="P65" s="110">
        <v>0.625</v>
      </c>
      <c r="Q65" s="211">
        <f>'HVAC Appliances Austin'!Q65</f>
        <v>977.05284722222302</v>
      </c>
      <c r="R65" s="110">
        <v>0.625</v>
      </c>
      <c r="S65" s="211">
        <f>'HVAC Appliances Austin'!S65</f>
        <v>1236.6129722222224</v>
      </c>
      <c r="T65" s="21"/>
      <c r="U65" s="110">
        <v>0.625</v>
      </c>
      <c r="V65" s="211">
        <f>'HVAC Appliances Austin'!V65</f>
        <v>1097.1524722222216</v>
      </c>
      <c r="W65" s="110">
        <v>0.625</v>
      </c>
      <c r="X65" s="211">
        <f>'HVAC Appliances Austin'!X65</f>
        <v>1789.2630555555554</v>
      </c>
      <c r="Y65" s="110">
        <v>0.625</v>
      </c>
      <c r="Z65" s="211">
        <f>'HVAC Appliances Austin'!Z65</f>
        <v>2308.4435555555547</v>
      </c>
      <c r="AA65" s="21"/>
      <c r="AB65" s="110">
        <v>0.625</v>
      </c>
      <c r="AC65" s="211">
        <f>'HVAC Appliances Austin'!AC65</f>
        <v>75.732249999999837</v>
      </c>
      <c r="AD65" s="110">
        <v>0.625</v>
      </c>
      <c r="AE65" s="211">
        <f>'HVAC Appliances Austin'!AE65</f>
        <v>73.347499999999897</v>
      </c>
      <c r="AF65" s="110">
        <v>0.625</v>
      </c>
      <c r="AG65" s="211">
        <f>'HVAC Appliances Austin'!AG65</f>
        <v>77.131999999999309</v>
      </c>
      <c r="AH65" s="21"/>
      <c r="AI65" s="110">
        <v>0.625</v>
      </c>
      <c r="AJ65" s="211">
        <f>'HVAC Appliances Austin'!AJ65</f>
        <v>0</v>
      </c>
      <c r="AK65" s="110">
        <v>0.625</v>
      </c>
      <c r="AL65" s="211">
        <f>'HVAC Appliances Austin'!AL65</f>
        <v>0</v>
      </c>
      <c r="AM65" s="110">
        <v>0.625</v>
      </c>
      <c r="AN65" s="211">
        <f>'HVAC Appliances Austin'!AN65</f>
        <v>0</v>
      </c>
      <c r="AO65" s="21"/>
      <c r="AP65" s="110">
        <v>0.625</v>
      </c>
      <c r="AQ65" s="211">
        <f>'HVAC Appliances Austin'!AQ65</f>
        <v>1331.379368055555</v>
      </c>
      <c r="AR65" s="110">
        <v>0.625</v>
      </c>
      <c r="AS65" s="211">
        <f>'HVAC Appliances Austin'!AS65</f>
        <v>2187.2645138888884</v>
      </c>
      <c r="AT65" s="110">
        <v>0.625</v>
      </c>
      <c r="AU65" s="211">
        <f>'HVAC Appliances Austin'!AU65</f>
        <v>2836.4946388888879</v>
      </c>
      <c r="AV65" s="21"/>
      <c r="AW65" s="110">
        <v>0.625</v>
      </c>
      <c r="AX65" s="211"/>
      <c r="AY65" s="21"/>
      <c r="AZ65" s="110">
        <v>0.625</v>
      </c>
      <c r="BA65" s="264"/>
      <c r="BC65" s="260">
        <v>0.625</v>
      </c>
      <c r="BD65" s="211">
        <f>'HVAC Appliances Austin'!BD65</f>
        <v>0</v>
      </c>
      <c r="BE65" s="110">
        <v>0.625</v>
      </c>
      <c r="BF65" s="211">
        <f>'HVAC Appliances Austin'!BF65</f>
        <v>0</v>
      </c>
      <c r="BG65" s="110">
        <v>0.625</v>
      </c>
      <c r="BH65" s="211">
        <f>'HVAC Appliances Austin'!BH65</f>
        <v>0</v>
      </c>
      <c r="BI65" s="21"/>
      <c r="BJ65" s="110">
        <v>0.625</v>
      </c>
      <c r="BK65" s="211">
        <f>'HVAC Appliances Austin'!BK65</f>
        <v>0</v>
      </c>
      <c r="BL65" s="110">
        <v>0.625</v>
      </c>
      <c r="BM65" s="211">
        <f>'HVAC Appliances Austin'!BM65</f>
        <v>0</v>
      </c>
      <c r="BN65" s="110">
        <v>0.625</v>
      </c>
      <c r="BO65" s="211">
        <f>'HVAC Appliances Austin'!BO65</f>
        <v>0</v>
      </c>
      <c r="BP65" s="21"/>
      <c r="BQ65" s="110">
        <v>0.625</v>
      </c>
      <c r="BR65" s="211">
        <f>'HVAC Appliances Austin'!BR65</f>
        <v>0</v>
      </c>
      <c r="BS65" s="110">
        <v>0.625</v>
      </c>
      <c r="BT65" s="211">
        <f>'HVAC Appliances Austin'!BT65</f>
        <v>0</v>
      </c>
      <c r="BU65" s="110">
        <v>0.625</v>
      </c>
      <c r="BV65" s="211">
        <f>'HVAC Appliances Austin'!BV65</f>
        <v>0</v>
      </c>
      <c r="BW65" s="21"/>
      <c r="BX65" s="110">
        <v>0.625</v>
      </c>
      <c r="BY65" s="211">
        <f>'HVAC Appliances Austin'!BY65</f>
        <v>0</v>
      </c>
      <c r="BZ65" s="110">
        <v>0.625</v>
      </c>
      <c r="CA65" s="211">
        <f>'HVAC Appliances Austin'!CA65</f>
        <v>0</v>
      </c>
      <c r="CB65" s="110">
        <v>0.625</v>
      </c>
      <c r="CC65" s="211">
        <f>'HVAC Appliances Austin'!CC65</f>
        <v>0</v>
      </c>
      <c r="CD65" s="21"/>
      <c r="CE65" s="110">
        <v>0.625</v>
      </c>
      <c r="CF65" s="211">
        <f>'HVAC Appliances Austin'!CF65</f>
        <v>79.750833333333347</v>
      </c>
      <c r="CG65" s="110">
        <v>0.625</v>
      </c>
      <c r="CH65" s="211">
        <f>'HVAC Appliances Austin'!CH65</f>
        <v>151.92333333333332</v>
      </c>
      <c r="CI65" s="110">
        <v>0.625</v>
      </c>
      <c r="CJ65" s="211">
        <f>'HVAC Appliances Austin'!CJ65</f>
        <v>203.08333333333334</v>
      </c>
      <c r="CK65" s="21"/>
      <c r="CL65" s="110">
        <v>0.625</v>
      </c>
      <c r="CM65" s="211">
        <f>'HVAC Appliances Austin'!CM65</f>
        <v>0</v>
      </c>
      <c r="CN65" s="110">
        <v>0.625</v>
      </c>
      <c r="CO65" s="211">
        <f>'HVAC Appliances Austin'!CO65</f>
        <v>0</v>
      </c>
      <c r="CP65" s="110">
        <v>0.625</v>
      </c>
      <c r="CQ65" s="211">
        <f>'HVAC Appliances Austin'!CQ65</f>
        <v>0</v>
      </c>
      <c r="CR65" s="21"/>
      <c r="CS65" s="110">
        <v>0.625</v>
      </c>
      <c r="CT65" s="211"/>
      <c r="CU65" s="21"/>
      <c r="CV65" s="110">
        <v>0.625</v>
      </c>
      <c r="CW65" s="264"/>
      <c r="CY65" s="260">
        <v>0.625</v>
      </c>
      <c r="CZ65" s="211">
        <f>'HVAC Appliances Austin'!CZ65</f>
        <v>385.61733333333308</v>
      </c>
      <c r="DA65" s="110">
        <v>0.625</v>
      </c>
      <c r="DB65" s="211">
        <f>'HVAC Appliances Austin'!DB65</f>
        <v>569.83463194444403</v>
      </c>
      <c r="DC65" s="110">
        <v>0.625</v>
      </c>
      <c r="DD65" s="211">
        <f>'HVAC Appliances Austin'!DD65</f>
        <v>702.61189583333294</v>
      </c>
      <c r="DE65" s="21"/>
      <c r="DF65" s="110">
        <v>0.625</v>
      </c>
      <c r="DG65" s="211">
        <f>'HVAC Appliances Austin'!DG65</f>
        <v>663.476</v>
      </c>
      <c r="DH65" s="110">
        <v>0.625</v>
      </c>
      <c r="DI65" s="211">
        <f>'HVAC Appliances Austin'!DI65</f>
        <v>1038.648631944445</v>
      </c>
      <c r="DJ65" s="110">
        <v>0.625</v>
      </c>
      <c r="DK65" s="211">
        <f>'HVAC Appliances Austin'!DK65</f>
        <v>1312.5978958333344</v>
      </c>
      <c r="DL65" s="21"/>
      <c r="DM65" s="110">
        <v>0.625</v>
      </c>
      <c r="DN65" s="211">
        <f>'HVAC Appliances Austin'!DN65</f>
        <v>1126.549</v>
      </c>
      <c r="DO65" s="110">
        <v>0.625</v>
      </c>
      <c r="DP65" s="211">
        <f>'HVAC Appliances Austin'!DP65</f>
        <v>1830.9878611111108</v>
      </c>
      <c r="DQ65" s="110">
        <v>0.625</v>
      </c>
      <c r="DR65" s="211">
        <f>'HVAC Appliances Austin'!DR65</f>
        <v>2348.1565833333334</v>
      </c>
      <c r="DS65" s="21"/>
      <c r="DT65" s="110">
        <v>0.625</v>
      </c>
      <c r="DU65" s="211">
        <f>'HVAC Appliances Austin'!DU65</f>
        <v>74.320999999999913</v>
      </c>
      <c r="DV65" s="110">
        <v>0.625</v>
      </c>
      <c r="DW65" s="211">
        <f>'HVAC Appliances Austin'!DW65</f>
        <v>62.31074999999997</v>
      </c>
      <c r="DX65" s="110">
        <v>0.625</v>
      </c>
      <c r="DY65" s="211">
        <f>'HVAC Appliances Austin'!DY65</f>
        <v>49.689249999999909</v>
      </c>
      <c r="DZ65" s="21"/>
      <c r="EA65" s="110">
        <v>0.625</v>
      </c>
      <c r="EB65" s="211">
        <f>'HVAC Appliances Amarillo'!EB65</f>
        <v>1408.0479791666667</v>
      </c>
      <c r="EC65" s="110">
        <v>0.625</v>
      </c>
      <c r="ED65" s="211">
        <f>'HVAC Appliances Amarillo'!ED65</f>
        <v>2350.6958541666668</v>
      </c>
      <c r="EE65" s="110">
        <v>0.625</v>
      </c>
      <c r="EF65" s="211">
        <f>'HVAC Appliances Amarillo'!EF65</f>
        <v>3198.8930486111117</v>
      </c>
      <c r="EG65" s="21"/>
      <c r="EH65" s="110">
        <v>0.625</v>
      </c>
      <c r="EI65" s="211">
        <f>'HVAC Appliances Austin'!EI65</f>
        <v>1347.144333333333</v>
      </c>
      <c r="EJ65" s="110">
        <v>0.625</v>
      </c>
      <c r="EK65" s="211">
        <f>'HVAC Appliances Austin'!EK65</f>
        <v>2211.1502986111104</v>
      </c>
      <c r="EL65" s="110">
        <v>0.625</v>
      </c>
      <c r="EM65" s="211">
        <f>'HVAC Appliances Austin'!EM65</f>
        <v>2846.137895833333</v>
      </c>
      <c r="EN65" s="21"/>
      <c r="EO65" s="110">
        <v>0.625</v>
      </c>
      <c r="EP65" s="211"/>
      <c r="EQ65" s="21"/>
      <c r="ER65" s="110">
        <v>0.625</v>
      </c>
      <c r="ES65" s="264"/>
      <c r="EU65" s="260">
        <v>0.625</v>
      </c>
      <c r="EV65" s="209">
        <f>'HVAC Appliances Amarillo'!EV65</f>
        <v>1408.0479791666667</v>
      </c>
      <c r="EW65" s="110">
        <v>0.625</v>
      </c>
      <c r="EX65" s="209">
        <f>'HVAC Appliances Amarillo'!EX65</f>
        <v>2350.6958541666668</v>
      </c>
      <c r="EY65" s="110">
        <v>0.625</v>
      </c>
      <c r="EZ65" s="308">
        <f>'HVAC Appliances Amarillo'!EZ65</f>
        <v>3198.8930486111117</v>
      </c>
    </row>
    <row r="66" spans="1:156" x14ac:dyDescent="0.3">
      <c r="A66" s="108">
        <v>0.625</v>
      </c>
      <c r="B66" s="226">
        <f t="shared" si="0"/>
        <v>0</v>
      </c>
      <c r="C66" s="21">
        <f t="shared" si="1"/>
        <v>203.08333333333334</v>
      </c>
      <c r="D66" s="20">
        <f t="shared" si="2"/>
        <v>3198.8930486111117</v>
      </c>
      <c r="E66" s="20">
        <f t="shared" si="3"/>
        <v>3198.8930486111117</v>
      </c>
      <c r="G66" s="260">
        <v>0.63541666666666696</v>
      </c>
      <c r="H66" s="211">
        <f>'HVAC Appliances Austin'!H66</f>
        <v>344.1740347222223</v>
      </c>
      <c r="I66" s="110">
        <v>0.63541666666666696</v>
      </c>
      <c r="J66" s="211">
        <f>'HVAC Appliances Austin'!J66</f>
        <v>516.72618055555517</v>
      </c>
      <c r="K66" s="110">
        <v>0.63541666666666696</v>
      </c>
      <c r="L66" s="211">
        <f>'HVAC Appliances Austin'!L66</f>
        <v>636.04230555555534</v>
      </c>
      <c r="M66" s="21"/>
      <c r="N66" s="110">
        <v>0.63541666666666696</v>
      </c>
      <c r="O66" s="211">
        <f>'HVAC Appliances Austin'!O66</f>
        <v>617.68270138888897</v>
      </c>
      <c r="P66" s="110">
        <v>0.63541666666666696</v>
      </c>
      <c r="Q66" s="211">
        <f>'HVAC Appliances Austin'!Q66</f>
        <v>977.05284722222302</v>
      </c>
      <c r="R66" s="110">
        <v>0.63541666666666696</v>
      </c>
      <c r="S66" s="211">
        <f>'HVAC Appliances Austin'!S66</f>
        <v>1236.6129722222224</v>
      </c>
      <c r="T66" s="21"/>
      <c r="U66" s="110">
        <v>0.63541666666666696</v>
      </c>
      <c r="V66" s="211">
        <f>'HVAC Appliances Austin'!V66</f>
        <v>1097.1524722222216</v>
      </c>
      <c r="W66" s="110">
        <v>0.63541666666666696</v>
      </c>
      <c r="X66" s="211">
        <f>'HVAC Appliances Austin'!X66</f>
        <v>1789.2630555555554</v>
      </c>
      <c r="Y66" s="110">
        <v>0.63541666666666696</v>
      </c>
      <c r="Z66" s="211">
        <f>'HVAC Appliances Austin'!Z66</f>
        <v>2308.4435555555547</v>
      </c>
      <c r="AA66" s="21"/>
      <c r="AB66" s="110">
        <v>0.63541666666666696</v>
      </c>
      <c r="AC66" s="211">
        <f>'HVAC Appliances Austin'!AC66</f>
        <v>75.732249999999837</v>
      </c>
      <c r="AD66" s="110">
        <v>0.63541666666666696</v>
      </c>
      <c r="AE66" s="211">
        <f>'HVAC Appliances Austin'!AE66</f>
        <v>73.347499999999897</v>
      </c>
      <c r="AF66" s="110">
        <v>0.63541666666666696</v>
      </c>
      <c r="AG66" s="211">
        <f>'HVAC Appliances Austin'!AG66</f>
        <v>77.131999999999309</v>
      </c>
      <c r="AH66" s="21"/>
      <c r="AI66" s="110">
        <v>0.63541666666666696</v>
      </c>
      <c r="AJ66" s="211">
        <f>'HVAC Appliances Austin'!AJ66</f>
        <v>0</v>
      </c>
      <c r="AK66" s="110">
        <v>0.63541666666666696</v>
      </c>
      <c r="AL66" s="211">
        <f>'HVAC Appliances Austin'!AL66</f>
        <v>0</v>
      </c>
      <c r="AM66" s="110">
        <v>0.63541666666666696</v>
      </c>
      <c r="AN66" s="211">
        <f>'HVAC Appliances Austin'!AN66</f>
        <v>0</v>
      </c>
      <c r="AO66" s="21"/>
      <c r="AP66" s="110">
        <v>0.63541666666666696</v>
      </c>
      <c r="AQ66" s="211">
        <f>'HVAC Appliances Austin'!AQ66</f>
        <v>1331.379368055555</v>
      </c>
      <c r="AR66" s="110">
        <v>0.63541666666666696</v>
      </c>
      <c r="AS66" s="211">
        <f>'HVAC Appliances Austin'!AS66</f>
        <v>2187.2645138888884</v>
      </c>
      <c r="AT66" s="110">
        <v>0.63541666666666696</v>
      </c>
      <c r="AU66" s="211">
        <f>'HVAC Appliances Austin'!AU66</f>
        <v>2836.4946388888879</v>
      </c>
      <c r="AV66" s="21"/>
      <c r="AW66" s="110">
        <v>0.63541666666666696</v>
      </c>
      <c r="AX66" s="211"/>
      <c r="AY66" s="21"/>
      <c r="AZ66" s="110">
        <v>0.63541666666666696</v>
      </c>
      <c r="BA66" s="264"/>
      <c r="BC66" s="260">
        <v>0.63541666666666696</v>
      </c>
      <c r="BD66" s="211">
        <f>'HVAC Appliances Austin'!BD66</f>
        <v>0</v>
      </c>
      <c r="BE66" s="110">
        <v>0.63541666666666696</v>
      </c>
      <c r="BF66" s="211">
        <f>'HVAC Appliances Austin'!BF66</f>
        <v>0</v>
      </c>
      <c r="BG66" s="110">
        <v>0.63541666666666696</v>
      </c>
      <c r="BH66" s="211">
        <f>'HVAC Appliances Austin'!BH66</f>
        <v>0</v>
      </c>
      <c r="BI66" s="21"/>
      <c r="BJ66" s="110">
        <v>0.63541666666666696</v>
      </c>
      <c r="BK66" s="211">
        <f>'HVAC Appliances Austin'!BK66</f>
        <v>0</v>
      </c>
      <c r="BL66" s="110">
        <v>0.63541666666666696</v>
      </c>
      <c r="BM66" s="211">
        <f>'HVAC Appliances Austin'!BM66</f>
        <v>0</v>
      </c>
      <c r="BN66" s="110">
        <v>0.63541666666666696</v>
      </c>
      <c r="BO66" s="211">
        <f>'HVAC Appliances Austin'!BO66</f>
        <v>0</v>
      </c>
      <c r="BP66" s="21"/>
      <c r="BQ66" s="110">
        <v>0.63541666666666696</v>
      </c>
      <c r="BR66" s="211">
        <f>'HVAC Appliances Austin'!BR66</f>
        <v>0</v>
      </c>
      <c r="BS66" s="110">
        <v>0.63541666666666696</v>
      </c>
      <c r="BT66" s="211">
        <f>'HVAC Appliances Austin'!BT66</f>
        <v>0</v>
      </c>
      <c r="BU66" s="110">
        <v>0.63541666666666696</v>
      </c>
      <c r="BV66" s="211">
        <f>'HVAC Appliances Austin'!BV66</f>
        <v>0</v>
      </c>
      <c r="BW66" s="21"/>
      <c r="BX66" s="110">
        <v>0.63541666666666696</v>
      </c>
      <c r="BY66" s="211">
        <f>'HVAC Appliances Austin'!BY66</f>
        <v>0</v>
      </c>
      <c r="BZ66" s="110">
        <v>0.63541666666666696</v>
      </c>
      <c r="CA66" s="211">
        <f>'HVAC Appliances Austin'!CA66</f>
        <v>0</v>
      </c>
      <c r="CB66" s="110">
        <v>0.63541666666666696</v>
      </c>
      <c r="CC66" s="211">
        <f>'HVAC Appliances Austin'!CC66</f>
        <v>0</v>
      </c>
      <c r="CD66" s="21"/>
      <c r="CE66" s="110">
        <v>0.63541666666666696</v>
      </c>
      <c r="CF66" s="211">
        <f>'HVAC Appliances Austin'!CF66</f>
        <v>79.750833333333347</v>
      </c>
      <c r="CG66" s="110">
        <v>0.63541666666666696</v>
      </c>
      <c r="CH66" s="211">
        <f>'HVAC Appliances Austin'!CH66</f>
        <v>151.92333333333332</v>
      </c>
      <c r="CI66" s="110">
        <v>0.63541666666666696</v>
      </c>
      <c r="CJ66" s="211">
        <f>'HVAC Appliances Austin'!CJ66</f>
        <v>203.08333333333334</v>
      </c>
      <c r="CK66" s="21"/>
      <c r="CL66" s="110">
        <v>0.63541666666666696</v>
      </c>
      <c r="CM66" s="211">
        <f>'HVAC Appliances Austin'!CM66</f>
        <v>0</v>
      </c>
      <c r="CN66" s="110">
        <v>0.63541666666666696</v>
      </c>
      <c r="CO66" s="211">
        <f>'HVAC Appliances Austin'!CO66</f>
        <v>0</v>
      </c>
      <c r="CP66" s="110">
        <v>0.63541666666666696</v>
      </c>
      <c r="CQ66" s="211">
        <f>'HVAC Appliances Austin'!CQ66</f>
        <v>0</v>
      </c>
      <c r="CR66" s="21"/>
      <c r="CS66" s="110">
        <v>0.63541666666666696</v>
      </c>
      <c r="CT66" s="211"/>
      <c r="CU66" s="21"/>
      <c r="CV66" s="110">
        <v>0.63541666666666696</v>
      </c>
      <c r="CW66" s="264"/>
      <c r="CY66" s="260">
        <v>0.63541666666666696</v>
      </c>
      <c r="CZ66" s="211">
        <f>'HVAC Appliances Austin'!CZ66</f>
        <v>385.61733333333308</v>
      </c>
      <c r="DA66" s="110">
        <v>0.63541666666666696</v>
      </c>
      <c r="DB66" s="211">
        <f>'HVAC Appliances Austin'!DB66</f>
        <v>569.83463194444403</v>
      </c>
      <c r="DC66" s="110">
        <v>0.63541666666666696</v>
      </c>
      <c r="DD66" s="211">
        <f>'HVAC Appliances Austin'!DD66</f>
        <v>702.61189583333294</v>
      </c>
      <c r="DE66" s="21"/>
      <c r="DF66" s="110">
        <v>0.63541666666666696</v>
      </c>
      <c r="DG66" s="211">
        <f>'HVAC Appliances Austin'!DG66</f>
        <v>663.476</v>
      </c>
      <c r="DH66" s="110">
        <v>0.63541666666666696</v>
      </c>
      <c r="DI66" s="211">
        <f>'HVAC Appliances Austin'!DI66</f>
        <v>1038.648631944445</v>
      </c>
      <c r="DJ66" s="110">
        <v>0.63541666666666696</v>
      </c>
      <c r="DK66" s="211">
        <f>'HVAC Appliances Austin'!DK66</f>
        <v>1312.5978958333344</v>
      </c>
      <c r="DL66" s="21"/>
      <c r="DM66" s="110">
        <v>0.63541666666666696</v>
      </c>
      <c r="DN66" s="211">
        <f>'HVAC Appliances Austin'!DN66</f>
        <v>1126.549</v>
      </c>
      <c r="DO66" s="110">
        <v>0.63541666666666696</v>
      </c>
      <c r="DP66" s="211">
        <f>'HVAC Appliances Austin'!DP66</f>
        <v>1830.9878611111108</v>
      </c>
      <c r="DQ66" s="110">
        <v>0.63541666666666696</v>
      </c>
      <c r="DR66" s="211">
        <f>'HVAC Appliances Austin'!DR66</f>
        <v>2348.1565833333334</v>
      </c>
      <c r="DS66" s="21"/>
      <c r="DT66" s="110">
        <v>0.63541666666666696</v>
      </c>
      <c r="DU66" s="211">
        <f>'HVAC Appliances Austin'!DU66</f>
        <v>74.320999999999913</v>
      </c>
      <c r="DV66" s="110">
        <v>0.63541666666666696</v>
      </c>
      <c r="DW66" s="211">
        <f>'HVAC Appliances Austin'!DW66</f>
        <v>62.31074999999997</v>
      </c>
      <c r="DX66" s="110">
        <v>0.63541666666666696</v>
      </c>
      <c r="DY66" s="211">
        <f>'HVAC Appliances Austin'!DY66</f>
        <v>49.689249999999909</v>
      </c>
      <c r="DZ66" s="21"/>
      <c r="EA66" s="110">
        <v>0.63541666666666696</v>
      </c>
      <c r="EB66" s="211">
        <f>'HVAC Appliances Amarillo'!EB66</f>
        <v>1408.0479791666667</v>
      </c>
      <c r="EC66" s="110">
        <v>0.63541666666666696</v>
      </c>
      <c r="ED66" s="211">
        <f>'HVAC Appliances Amarillo'!ED66</f>
        <v>2350.6958541666668</v>
      </c>
      <c r="EE66" s="110">
        <v>0.63541666666666696</v>
      </c>
      <c r="EF66" s="211">
        <f>'HVAC Appliances Amarillo'!EF66</f>
        <v>3198.8930486111117</v>
      </c>
      <c r="EG66" s="21"/>
      <c r="EH66" s="110">
        <v>0.63541666666666696</v>
      </c>
      <c r="EI66" s="211">
        <f>'HVAC Appliances Austin'!EI66</f>
        <v>1347.144333333333</v>
      </c>
      <c r="EJ66" s="110">
        <v>0.63541666666666696</v>
      </c>
      <c r="EK66" s="211">
        <f>'HVAC Appliances Austin'!EK66</f>
        <v>2211.1502986111104</v>
      </c>
      <c r="EL66" s="110">
        <v>0.63541666666666696</v>
      </c>
      <c r="EM66" s="211">
        <f>'HVAC Appliances Austin'!EM66</f>
        <v>2846.137895833333</v>
      </c>
      <c r="EN66" s="21"/>
      <c r="EO66" s="110">
        <v>0.63541666666666696</v>
      </c>
      <c r="EP66" s="211"/>
      <c r="EQ66" s="21"/>
      <c r="ER66" s="110">
        <v>0.63541666666666696</v>
      </c>
      <c r="ES66" s="264"/>
      <c r="EU66" s="260">
        <v>0.63541666666666696</v>
      </c>
      <c r="EV66" s="209">
        <f>'HVAC Appliances Amarillo'!EV66</f>
        <v>1408.0479791666667</v>
      </c>
      <c r="EW66" s="110">
        <v>0.63541666666666696</v>
      </c>
      <c r="EX66" s="209">
        <f>'HVAC Appliances Amarillo'!EX66</f>
        <v>2350.6958541666668</v>
      </c>
      <c r="EY66" s="110">
        <v>0.63541666666666696</v>
      </c>
      <c r="EZ66" s="308">
        <f>'HVAC Appliances Amarillo'!EZ66</f>
        <v>3198.8930486111117</v>
      </c>
    </row>
    <row r="67" spans="1:156" x14ac:dyDescent="0.3">
      <c r="A67" s="108">
        <v>0.63541666666666696</v>
      </c>
      <c r="B67" s="226">
        <f t="shared" si="0"/>
        <v>0</v>
      </c>
      <c r="C67" s="21">
        <f t="shared" si="1"/>
        <v>203.08333333333334</v>
      </c>
      <c r="D67" s="20">
        <f t="shared" si="2"/>
        <v>3198.8930486111117</v>
      </c>
      <c r="E67" s="20">
        <f t="shared" si="3"/>
        <v>3198.8930486111117</v>
      </c>
      <c r="G67" s="260">
        <v>0.64583333333333304</v>
      </c>
      <c r="H67" s="211">
        <f>'HVAC Appliances Austin'!H67</f>
        <v>344.1740347222223</v>
      </c>
      <c r="I67" s="110">
        <v>0.64583333333333304</v>
      </c>
      <c r="J67" s="211">
        <f>'HVAC Appliances Austin'!J67</f>
        <v>516.72618055555517</v>
      </c>
      <c r="K67" s="110">
        <v>0.64583333333333304</v>
      </c>
      <c r="L67" s="211">
        <f>'HVAC Appliances Austin'!L67</f>
        <v>636.04230555555534</v>
      </c>
      <c r="M67" s="21"/>
      <c r="N67" s="110">
        <v>0.64583333333333304</v>
      </c>
      <c r="O67" s="211">
        <f>'HVAC Appliances Austin'!O67</f>
        <v>617.68270138888897</v>
      </c>
      <c r="P67" s="110">
        <v>0.64583333333333304</v>
      </c>
      <c r="Q67" s="211">
        <f>'HVAC Appliances Austin'!Q67</f>
        <v>977.05284722222302</v>
      </c>
      <c r="R67" s="110">
        <v>0.64583333333333304</v>
      </c>
      <c r="S67" s="211">
        <f>'HVAC Appliances Austin'!S67</f>
        <v>1236.6129722222224</v>
      </c>
      <c r="T67" s="21"/>
      <c r="U67" s="110">
        <v>0.64583333333333304</v>
      </c>
      <c r="V67" s="211">
        <f>'HVAC Appliances Austin'!V67</f>
        <v>1097.1524722222216</v>
      </c>
      <c r="W67" s="110">
        <v>0.64583333333333304</v>
      </c>
      <c r="X67" s="211">
        <f>'HVAC Appliances Austin'!X67</f>
        <v>1789.2630555555554</v>
      </c>
      <c r="Y67" s="110">
        <v>0.64583333333333304</v>
      </c>
      <c r="Z67" s="211">
        <f>'HVAC Appliances Austin'!Z67</f>
        <v>2308.4435555555547</v>
      </c>
      <c r="AA67" s="21"/>
      <c r="AB67" s="110">
        <v>0.64583333333333304</v>
      </c>
      <c r="AC67" s="211">
        <f>'HVAC Appliances Austin'!AC67</f>
        <v>75.732249999999837</v>
      </c>
      <c r="AD67" s="110">
        <v>0.64583333333333304</v>
      </c>
      <c r="AE67" s="211">
        <f>'HVAC Appliances Austin'!AE67</f>
        <v>73.347499999999897</v>
      </c>
      <c r="AF67" s="110">
        <v>0.64583333333333304</v>
      </c>
      <c r="AG67" s="211">
        <f>'HVAC Appliances Austin'!AG67</f>
        <v>77.131999999999309</v>
      </c>
      <c r="AH67" s="21"/>
      <c r="AI67" s="110">
        <v>0.64583333333333304</v>
      </c>
      <c r="AJ67" s="211">
        <f>'HVAC Appliances Austin'!AJ67</f>
        <v>0</v>
      </c>
      <c r="AK67" s="110">
        <v>0.64583333333333304</v>
      </c>
      <c r="AL67" s="211">
        <f>'HVAC Appliances Austin'!AL67</f>
        <v>0</v>
      </c>
      <c r="AM67" s="110">
        <v>0.64583333333333304</v>
      </c>
      <c r="AN67" s="211">
        <f>'HVAC Appliances Austin'!AN67</f>
        <v>0</v>
      </c>
      <c r="AO67" s="21"/>
      <c r="AP67" s="110">
        <v>0.64583333333333304</v>
      </c>
      <c r="AQ67" s="211">
        <f>'HVAC Appliances Austin'!AQ67</f>
        <v>1331.379368055555</v>
      </c>
      <c r="AR67" s="110">
        <v>0.64583333333333304</v>
      </c>
      <c r="AS67" s="211">
        <f>'HVAC Appliances Austin'!AS67</f>
        <v>2187.2645138888884</v>
      </c>
      <c r="AT67" s="110">
        <v>0.64583333333333304</v>
      </c>
      <c r="AU67" s="211">
        <f>'HVAC Appliances Austin'!AU67</f>
        <v>2836.4946388888879</v>
      </c>
      <c r="AV67" s="21"/>
      <c r="AW67" s="110">
        <v>0.64583333333333304</v>
      </c>
      <c r="AX67" s="211"/>
      <c r="AY67" s="21"/>
      <c r="AZ67" s="110">
        <v>0.64583333333333304</v>
      </c>
      <c r="BA67" s="264"/>
      <c r="BC67" s="260">
        <v>0.64583333333333304</v>
      </c>
      <c r="BD67" s="211">
        <f>'HVAC Appliances Austin'!BD67</f>
        <v>0</v>
      </c>
      <c r="BE67" s="110">
        <v>0.64583333333333304</v>
      </c>
      <c r="BF67" s="211">
        <f>'HVAC Appliances Austin'!BF67</f>
        <v>0</v>
      </c>
      <c r="BG67" s="110">
        <v>0.64583333333333304</v>
      </c>
      <c r="BH67" s="211">
        <f>'HVAC Appliances Austin'!BH67</f>
        <v>0</v>
      </c>
      <c r="BI67" s="21"/>
      <c r="BJ67" s="110">
        <v>0.64583333333333304</v>
      </c>
      <c r="BK67" s="211">
        <f>'HVAC Appliances Austin'!BK67</f>
        <v>0</v>
      </c>
      <c r="BL67" s="110">
        <v>0.64583333333333304</v>
      </c>
      <c r="BM67" s="211">
        <f>'HVAC Appliances Austin'!BM67</f>
        <v>0</v>
      </c>
      <c r="BN67" s="110">
        <v>0.64583333333333304</v>
      </c>
      <c r="BO67" s="211">
        <f>'HVAC Appliances Austin'!BO67</f>
        <v>0</v>
      </c>
      <c r="BP67" s="21"/>
      <c r="BQ67" s="110">
        <v>0.64583333333333304</v>
      </c>
      <c r="BR67" s="211">
        <f>'HVAC Appliances Austin'!BR67</f>
        <v>0</v>
      </c>
      <c r="BS67" s="110">
        <v>0.64583333333333304</v>
      </c>
      <c r="BT67" s="211">
        <f>'HVAC Appliances Austin'!BT67</f>
        <v>0</v>
      </c>
      <c r="BU67" s="110">
        <v>0.64583333333333304</v>
      </c>
      <c r="BV67" s="211">
        <f>'HVAC Appliances Austin'!BV67</f>
        <v>0</v>
      </c>
      <c r="BW67" s="21"/>
      <c r="BX67" s="110">
        <v>0.64583333333333304</v>
      </c>
      <c r="BY67" s="211">
        <f>'HVAC Appliances Austin'!BY67</f>
        <v>0</v>
      </c>
      <c r="BZ67" s="110">
        <v>0.64583333333333304</v>
      </c>
      <c r="CA67" s="211">
        <f>'HVAC Appliances Austin'!CA67</f>
        <v>0</v>
      </c>
      <c r="CB67" s="110">
        <v>0.64583333333333304</v>
      </c>
      <c r="CC67" s="211">
        <f>'HVAC Appliances Austin'!CC67</f>
        <v>0</v>
      </c>
      <c r="CD67" s="21"/>
      <c r="CE67" s="110">
        <v>0.64583333333333304</v>
      </c>
      <c r="CF67" s="211">
        <f>'HVAC Appliances Austin'!CF67</f>
        <v>79.750833333333347</v>
      </c>
      <c r="CG67" s="110">
        <v>0.64583333333333304</v>
      </c>
      <c r="CH67" s="211">
        <f>'HVAC Appliances Austin'!CH67</f>
        <v>151.92333333333332</v>
      </c>
      <c r="CI67" s="110">
        <v>0.64583333333333304</v>
      </c>
      <c r="CJ67" s="211">
        <f>'HVAC Appliances Austin'!CJ67</f>
        <v>203.08333333333334</v>
      </c>
      <c r="CK67" s="21"/>
      <c r="CL67" s="110">
        <v>0.64583333333333304</v>
      </c>
      <c r="CM67" s="211">
        <f>'HVAC Appliances Austin'!CM67</f>
        <v>0</v>
      </c>
      <c r="CN67" s="110">
        <v>0.64583333333333304</v>
      </c>
      <c r="CO67" s="211">
        <f>'HVAC Appliances Austin'!CO67</f>
        <v>0</v>
      </c>
      <c r="CP67" s="110">
        <v>0.64583333333333304</v>
      </c>
      <c r="CQ67" s="211">
        <f>'HVAC Appliances Austin'!CQ67</f>
        <v>0</v>
      </c>
      <c r="CR67" s="21"/>
      <c r="CS67" s="110">
        <v>0.64583333333333304</v>
      </c>
      <c r="CT67" s="211"/>
      <c r="CU67" s="21"/>
      <c r="CV67" s="110">
        <v>0.64583333333333304</v>
      </c>
      <c r="CW67" s="264"/>
      <c r="CY67" s="260">
        <v>0.64583333333333304</v>
      </c>
      <c r="CZ67" s="211">
        <f>'HVAC Appliances Austin'!CZ67</f>
        <v>385.61733333333308</v>
      </c>
      <c r="DA67" s="110">
        <v>0.64583333333333304</v>
      </c>
      <c r="DB67" s="211">
        <f>'HVAC Appliances Austin'!DB67</f>
        <v>569.83463194444403</v>
      </c>
      <c r="DC67" s="110">
        <v>0.64583333333333304</v>
      </c>
      <c r="DD67" s="211">
        <f>'HVAC Appliances Austin'!DD67</f>
        <v>702.61189583333294</v>
      </c>
      <c r="DE67" s="21"/>
      <c r="DF67" s="110">
        <v>0.64583333333333304</v>
      </c>
      <c r="DG67" s="211">
        <f>'HVAC Appliances Austin'!DG67</f>
        <v>663.476</v>
      </c>
      <c r="DH67" s="110">
        <v>0.64583333333333304</v>
      </c>
      <c r="DI67" s="211">
        <f>'HVAC Appliances Austin'!DI67</f>
        <v>1038.648631944445</v>
      </c>
      <c r="DJ67" s="110">
        <v>0.64583333333333304</v>
      </c>
      <c r="DK67" s="211">
        <f>'HVAC Appliances Austin'!DK67</f>
        <v>1312.5978958333344</v>
      </c>
      <c r="DL67" s="21"/>
      <c r="DM67" s="110">
        <v>0.64583333333333304</v>
      </c>
      <c r="DN67" s="211">
        <f>'HVAC Appliances Austin'!DN67</f>
        <v>1126.549</v>
      </c>
      <c r="DO67" s="110">
        <v>0.64583333333333304</v>
      </c>
      <c r="DP67" s="211">
        <f>'HVAC Appliances Austin'!DP67</f>
        <v>1830.9878611111108</v>
      </c>
      <c r="DQ67" s="110">
        <v>0.64583333333333304</v>
      </c>
      <c r="DR67" s="211">
        <f>'HVAC Appliances Austin'!DR67</f>
        <v>2348.1565833333334</v>
      </c>
      <c r="DS67" s="21"/>
      <c r="DT67" s="110">
        <v>0.64583333333333304</v>
      </c>
      <c r="DU67" s="211">
        <f>'HVAC Appliances Austin'!DU67</f>
        <v>74.320999999999913</v>
      </c>
      <c r="DV67" s="110">
        <v>0.64583333333333304</v>
      </c>
      <c r="DW67" s="211">
        <f>'HVAC Appliances Austin'!DW67</f>
        <v>62.31074999999997</v>
      </c>
      <c r="DX67" s="110">
        <v>0.64583333333333304</v>
      </c>
      <c r="DY67" s="211">
        <f>'HVAC Appliances Austin'!DY67</f>
        <v>49.689249999999909</v>
      </c>
      <c r="DZ67" s="21"/>
      <c r="EA67" s="110">
        <v>0.64583333333333304</v>
      </c>
      <c r="EB67" s="211">
        <f>'HVAC Appliances Amarillo'!EB67</f>
        <v>1408.0479791666667</v>
      </c>
      <c r="EC67" s="110">
        <v>0.64583333333333304</v>
      </c>
      <c r="ED67" s="211">
        <f>'HVAC Appliances Amarillo'!ED67</f>
        <v>2350.6958541666668</v>
      </c>
      <c r="EE67" s="110">
        <v>0.64583333333333304</v>
      </c>
      <c r="EF67" s="211">
        <f>'HVAC Appliances Amarillo'!EF67</f>
        <v>3198.8930486111117</v>
      </c>
      <c r="EG67" s="21"/>
      <c r="EH67" s="110">
        <v>0.64583333333333304</v>
      </c>
      <c r="EI67" s="211">
        <f>'HVAC Appliances Austin'!EI67</f>
        <v>1347.144333333333</v>
      </c>
      <c r="EJ67" s="110">
        <v>0.64583333333333304</v>
      </c>
      <c r="EK67" s="211">
        <f>'HVAC Appliances Austin'!EK67</f>
        <v>2211.1502986111104</v>
      </c>
      <c r="EL67" s="110">
        <v>0.64583333333333304</v>
      </c>
      <c r="EM67" s="211">
        <f>'HVAC Appliances Austin'!EM67</f>
        <v>2846.137895833333</v>
      </c>
      <c r="EN67" s="21"/>
      <c r="EO67" s="110">
        <v>0.64583333333333304</v>
      </c>
      <c r="EP67" s="211"/>
      <c r="EQ67" s="21"/>
      <c r="ER67" s="110">
        <v>0.64583333333333304</v>
      </c>
      <c r="ES67" s="264"/>
      <c r="EU67" s="260">
        <v>0.64583333333333304</v>
      </c>
      <c r="EV67" s="209">
        <f>'HVAC Appliances Amarillo'!EV67</f>
        <v>1408.0479791666667</v>
      </c>
      <c r="EW67" s="110">
        <v>0.64583333333333304</v>
      </c>
      <c r="EX67" s="209">
        <f>'HVAC Appliances Amarillo'!EX67</f>
        <v>2350.6958541666668</v>
      </c>
      <c r="EY67" s="110">
        <v>0.64583333333333304</v>
      </c>
      <c r="EZ67" s="308">
        <f>'HVAC Appliances Amarillo'!EZ67</f>
        <v>3198.8930486111117</v>
      </c>
    </row>
    <row r="68" spans="1:156" x14ac:dyDescent="0.3">
      <c r="A68" s="108">
        <v>0.64583333333333304</v>
      </c>
      <c r="B68" s="226">
        <f t="shared" si="0"/>
        <v>0</v>
      </c>
      <c r="C68" s="21">
        <f t="shared" si="1"/>
        <v>203.08333333333334</v>
      </c>
      <c r="D68" s="20">
        <f t="shared" si="2"/>
        <v>3198.8930486111117</v>
      </c>
      <c r="E68" s="20">
        <f t="shared" si="3"/>
        <v>3198.8930486111117</v>
      </c>
      <c r="G68" s="260">
        <v>0.65625</v>
      </c>
      <c r="H68" s="211">
        <f>'HVAC Appliances Austin'!H68</f>
        <v>344.1740347222223</v>
      </c>
      <c r="I68" s="110">
        <v>0.65625</v>
      </c>
      <c r="J68" s="211">
        <f>'HVAC Appliances Austin'!J68</f>
        <v>516.72618055555517</v>
      </c>
      <c r="K68" s="110">
        <v>0.65625</v>
      </c>
      <c r="L68" s="211">
        <f>'HVAC Appliances Austin'!L68</f>
        <v>636.04230555555534</v>
      </c>
      <c r="M68" s="21"/>
      <c r="N68" s="110">
        <v>0.65625</v>
      </c>
      <c r="O68" s="211">
        <f>'HVAC Appliances Austin'!O68</f>
        <v>617.68270138888897</v>
      </c>
      <c r="P68" s="110">
        <v>0.65625</v>
      </c>
      <c r="Q68" s="211">
        <f>'HVAC Appliances Austin'!Q68</f>
        <v>977.05284722222302</v>
      </c>
      <c r="R68" s="110">
        <v>0.65625</v>
      </c>
      <c r="S68" s="211">
        <f>'HVAC Appliances Austin'!S68</f>
        <v>1236.6129722222224</v>
      </c>
      <c r="T68" s="21"/>
      <c r="U68" s="110">
        <v>0.65625</v>
      </c>
      <c r="V68" s="211">
        <f>'HVAC Appliances Austin'!V68</f>
        <v>1097.1524722222216</v>
      </c>
      <c r="W68" s="110">
        <v>0.65625</v>
      </c>
      <c r="X68" s="211">
        <f>'HVAC Appliances Austin'!X68</f>
        <v>1789.2630555555554</v>
      </c>
      <c r="Y68" s="110">
        <v>0.65625</v>
      </c>
      <c r="Z68" s="211">
        <f>'HVAC Appliances Austin'!Z68</f>
        <v>2308.4435555555547</v>
      </c>
      <c r="AA68" s="21"/>
      <c r="AB68" s="110">
        <v>0.65625</v>
      </c>
      <c r="AC68" s="211">
        <f>'HVAC Appliances Austin'!AC68</f>
        <v>75.732249999999837</v>
      </c>
      <c r="AD68" s="110">
        <v>0.65625</v>
      </c>
      <c r="AE68" s="211">
        <f>'HVAC Appliances Austin'!AE68</f>
        <v>73.347499999999897</v>
      </c>
      <c r="AF68" s="110">
        <v>0.65625</v>
      </c>
      <c r="AG68" s="211">
        <f>'HVAC Appliances Austin'!AG68</f>
        <v>77.131999999999309</v>
      </c>
      <c r="AH68" s="21"/>
      <c r="AI68" s="110">
        <v>0.65625</v>
      </c>
      <c r="AJ68" s="211">
        <f>'HVAC Appliances Austin'!AJ68</f>
        <v>0</v>
      </c>
      <c r="AK68" s="110">
        <v>0.65625</v>
      </c>
      <c r="AL68" s="211">
        <f>'HVAC Appliances Austin'!AL68</f>
        <v>0</v>
      </c>
      <c r="AM68" s="110">
        <v>0.65625</v>
      </c>
      <c r="AN68" s="211">
        <f>'HVAC Appliances Austin'!AN68</f>
        <v>0</v>
      </c>
      <c r="AO68" s="21"/>
      <c r="AP68" s="110">
        <v>0.65625</v>
      </c>
      <c r="AQ68" s="211">
        <f>'HVAC Appliances Austin'!AQ68</f>
        <v>1331.379368055555</v>
      </c>
      <c r="AR68" s="110">
        <v>0.65625</v>
      </c>
      <c r="AS68" s="211">
        <f>'HVAC Appliances Austin'!AS68</f>
        <v>2187.2645138888884</v>
      </c>
      <c r="AT68" s="110">
        <v>0.65625</v>
      </c>
      <c r="AU68" s="211">
        <f>'HVAC Appliances Austin'!AU68</f>
        <v>2836.4946388888879</v>
      </c>
      <c r="AV68" s="21"/>
      <c r="AW68" s="110">
        <v>0.65625</v>
      </c>
      <c r="AX68" s="211"/>
      <c r="AY68" s="21"/>
      <c r="AZ68" s="110">
        <v>0.65625</v>
      </c>
      <c r="BA68" s="264"/>
      <c r="BC68" s="260">
        <v>0.65625</v>
      </c>
      <c r="BD68" s="211">
        <f>'HVAC Appliances Austin'!BD68</f>
        <v>0</v>
      </c>
      <c r="BE68" s="110">
        <v>0.65625</v>
      </c>
      <c r="BF68" s="211">
        <f>'HVAC Appliances Austin'!BF68</f>
        <v>0</v>
      </c>
      <c r="BG68" s="110">
        <v>0.65625</v>
      </c>
      <c r="BH68" s="211">
        <f>'HVAC Appliances Austin'!BH68</f>
        <v>0</v>
      </c>
      <c r="BI68" s="21"/>
      <c r="BJ68" s="110">
        <v>0.65625</v>
      </c>
      <c r="BK68" s="211">
        <f>'HVAC Appliances Austin'!BK68</f>
        <v>0</v>
      </c>
      <c r="BL68" s="110">
        <v>0.65625</v>
      </c>
      <c r="BM68" s="211">
        <f>'HVAC Appliances Austin'!BM68</f>
        <v>0</v>
      </c>
      <c r="BN68" s="110">
        <v>0.65625</v>
      </c>
      <c r="BO68" s="211">
        <f>'HVAC Appliances Austin'!BO68</f>
        <v>0</v>
      </c>
      <c r="BP68" s="21"/>
      <c r="BQ68" s="110">
        <v>0.65625</v>
      </c>
      <c r="BR68" s="211">
        <f>'HVAC Appliances Austin'!BR68</f>
        <v>0</v>
      </c>
      <c r="BS68" s="110">
        <v>0.65625</v>
      </c>
      <c r="BT68" s="211">
        <f>'HVAC Appliances Austin'!BT68</f>
        <v>0</v>
      </c>
      <c r="BU68" s="110">
        <v>0.65625</v>
      </c>
      <c r="BV68" s="211">
        <f>'HVAC Appliances Austin'!BV68</f>
        <v>0</v>
      </c>
      <c r="BW68" s="21"/>
      <c r="BX68" s="110">
        <v>0.65625</v>
      </c>
      <c r="BY68" s="211">
        <f>'HVAC Appliances Austin'!BY68</f>
        <v>0</v>
      </c>
      <c r="BZ68" s="110">
        <v>0.65625</v>
      </c>
      <c r="CA68" s="211">
        <f>'HVAC Appliances Austin'!CA68</f>
        <v>0</v>
      </c>
      <c r="CB68" s="110">
        <v>0.65625</v>
      </c>
      <c r="CC68" s="211">
        <f>'HVAC Appliances Austin'!CC68</f>
        <v>0</v>
      </c>
      <c r="CD68" s="21"/>
      <c r="CE68" s="110">
        <v>0.65625</v>
      </c>
      <c r="CF68" s="211">
        <f>'HVAC Appliances Austin'!CF68</f>
        <v>79.750833333333347</v>
      </c>
      <c r="CG68" s="110">
        <v>0.65625</v>
      </c>
      <c r="CH68" s="211">
        <f>'HVAC Appliances Austin'!CH68</f>
        <v>151.92333333333332</v>
      </c>
      <c r="CI68" s="110">
        <v>0.65625</v>
      </c>
      <c r="CJ68" s="211">
        <f>'HVAC Appliances Austin'!CJ68</f>
        <v>203.08333333333334</v>
      </c>
      <c r="CK68" s="21"/>
      <c r="CL68" s="110">
        <v>0.65625</v>
      </c>
      <c r="CM68" s="211">
        <f>'HVAC Appliances Austin'!CM68</f>
        <v>0</v>
      </c>
      <c r="CN68" s="110">
        <v>0.65625</v>
      </c>
      <c r="CO68" s="211">
        <f>'HVAC Appliances Austin'!CO68</f>
        <v>0</v>
      </c>
      <c r="CP68" s="110">
        <v>0.65625</v>
      </c>
      <c r="CQ68" s="211">
        <f>'HVAC Appliances Austin'!CQ68</f>
        <v>0</v>
      </c>
      <c r="CR68" s="21"/>
      <c r="CS68" s="110">
        <v>0.65625</v>
      </c>
      <c r="CT68" s="211"/>
      <c r="CU68" s="21"/>
      <c r="CV68" s="110">
        <v>0.65625</v>
      </c>
      <c r="CW68" s="264"/>
      <c r="CY68" s="260">
        <v>0.65625</v>
      </c>
      <c r="CZ68" s="211">
        <f>'HVAC Appliances Austin'!CZ68</f>
        <v>385.61733333333308</v>
      </c>
      <c r="DA68" s="110">
        <v>0.65625</v>
      </c>
      <c r="DB68" s="211">
        <f>'HVAC Appliances Austin'!DB68</f>
        <v>569.83463194444403</v>
      </c>
      <c r="DC68" s="110">
        <v>0.65625</v>
      </c>
      <c r="DD68" s="211">
        <f>'HVAC Appliances Austin'!DD68</f>
        <v>702.61189583333294</v>
      </c>
      <c r="DE68" s="21"/>
      <c r="DF68" s="110">
        <v>0.65625</v>
      </c>
      <c r="DG68" s="211">
        <f>'HVAC Appliances Austin'!DG68</f>
        <v>663.476</v>
      </c>
      <c r="DH68" s="110">
        <v>0.65625</v>
      </c>
      <c r="DI68" s="211">
        <f>'HVAC Appliances Austin'!DI68</f>
        <v>1038.648631944445</v>
      </c>
      <c r="DJ68" s="110">
        <v>0.65625</v>
      </c>
      <c r="DK68" s="211">
        <f>'HVAC Appliances Austin'!DK68</f>
        <v>1312.5978958333344</v>
      </c>
      <c r="DL68" s="21"/>
      <c r="DM68" s="110">
        <v>0.65625</v>
      </c>
      <c r="DN68" s="211">
        <f>'HVAC Appliances Austin'!DN68</f>
        <v>1126.549</v>
      </c>
      <c r="DO68" s="110">
        <v>0.65625</v>
      </c>
      <c r="DP68" s="211">
        <f>'HVAC Appliances Austin'!DP68</f>
        <v>1830.9878611111108</v>
      </c>
      <c r="DQ68" s="110">
        <v>0.65625</v>
      </c>
      <c r="DR68" s="211">
        <f>'HVAC Appliances Austin'!DR68</f>
        <v>2348.1565833333334</v>
      </c>
      <c r="DS68" s="21"/>
      <c r="DT68" s="110">
        <v>0.65625</v>
      </c>
      <c r="DU68" s="211">
        <f>'HVAC Appliances Austin'!DU68</f>
        <v>74.320999999999913</v>
      </c>
      <c r="DV68" s="110">
        <v>0.65625</v>
      </c>
      <c r="DW68" s="211">
        <f>'HVAC Appliances Austin'!DW68</f>
        <v>62.31074999999997</v>
      </c>
      <c r="DX68" s="110">
        <v>0.65625</v>
      </c>
      <c r="DY68" s="211">
        <f>'HVAC Appliances Austin'!DY68</f>
        <v>49.689249999999909</v>
      </c>
      <c r="DZ68" s="21"/>
      <c r="EA68" s="110">
        <v>0.65625</v>
      </c>
      <c r="EB68" s="211">
        <f>'HVAC Appliances Amarillo'!EB68</f>
        <v>1408.0479791666667</v>
      </c>
      <c r="EC68" s="110">
        <v>0.65625</v>
      </c>
      <c r="ED68" s="211">
        <f>'HVAC Appliances Amarillo'!ED68</f>
        <v>2350.6958541666668</v>
      </c>
      <c r="EE68" s="110">
        <v>0.65625</v>
      </c>
      <c r="EF68" s="211">
        <f>'HVAC Appliances Amarillo'!EF68</f>
        <v>3198.8930486111117</v>
      </c>
      <c r="EG68" s="21"/>
      <c r="EH68" s="110">
        <v>0.65625</v>
      </c>
      <c r="EI68" s="211">
        <f>'HVAC Appliances Austin'!EI68</f>
        <v>1347.144333333333</v>
      </c>
      <c r="EJ68" s="110">
        <v>0.65625</v>
      </c>
      <c r="EK68" s="211">
        <f>'HVAC Appliances Austin'!EK68</f>
        <v>2211.1502986111104</v>
      </c>
      <c r="EL68" s="110">
        <v>0.65625</v>
      </c>
      <c r="EM68" s="211">
        <f>'HVAC Appliances Austin'!EM68</f>
        <v>2846.137895833333</v>
      </c>
      <c r="EN68" s="21"/>
      <c r="EO68" s="110">
        <v>0.65625</v>
      </c>
      <c r="EP68" s="211"/>
      <c r="EQ68" s="21"/>
      <c r="ER68" s="110">
        <v>0.65625</v>
      </c>
      <c r="ES68" s="264"/>
      <c r="EU68" s="260">
        <v>0.65625</v>
      </c>
      <c r="EV68" s="209">
        <f>'HVAC Appliances Amarillo'!EV68</f>
        <v>1408.0479791666667</v>
      </c>
      <c r="EW68" s="110">
        <v>0.65625</v>
      </c>
      <c r="EX68" s="209">
        <f>'HVAC Appliances Amarillo'!EX68</f>
        <v>2350.6958541666668</v>
      </c>
      <c r="EY68" s="110">
        <v>0.65625</v>
      </c>
      <c r="EZ68" s="308">
        <f>'HVAC Appliances Amarillo'!EZ68</f>
        <v>3198.8930486111117</v>
      </c>
    </row>
    <row r="69" spans="1:156" x14ac:dyDescent="0.3">
      <c r="A69" s="108">
        <v>0.65625</v>
      </c>
      <c r="B69" s="226">
        <f t="shared" si="0"/>
        <v>0</v>
      </c>
      <c r="C69" s="21">
        <f t="shared" si="1"/>
        <v>203.08333333333334</v>
      </c>
      <c r="D69" s="20">
        <f t="shared" si="2"/>
        <v>3198.8930486111117</v>
      </c>
      <c r="E69" s="20">
        <f t="shared" si="3"/>
        <v>3198.8930486111117</v>
      </c>
      <c r="G69" s="260">
        <v>0.66666666666666696</v>
      </c>
      <c r="H69" s="211">
        <f>'HVAC Appliances Austin'!H69</f>
        <v>361.27131250000014</v>
      </c>
      <c r="I69" s="110">
        <v>0.66666666666666696</v>
      </c>
      <c r="J69" s="211">
        <f>'HVAC Appliances Austin'!J69</f>
        <v>545.38062500000001</v>
      </c>
      <c r="K69" s="110">
        <v>0.66666666666666696</v>
      </c>
      <c r="L69" s="211">
        <f>'HVAC Appliances Austin'!L69</f>
        <v>673.14575000000025</v>
      </c>
      <c r="M69" s="21"/>
      <c r="N69" s="110">
        <v>0.66666666666666696</v>
      </c>
      <c r="O69" s="211">
        <f>'HVAC Appliances Austin'!O69</f>
        <v>568.2507013888885</v>
      </c>
      <c r="P69" s="110">
        <v>0.66666666666666696</v>
      </c>
      <c r="Q69" s="211">
        <f>'HVAC Appliances Austin'!Q69</f>
        <v>893.61784722222251</v>
      </c>
      <c r="R69" s="110">
        <v>0.66666666666666696</v>
      </c>
      <c r="S69" s="211">
        <f>'HVAC Appliances Austin'!S69</f>
        <v>1127.2039722222212</v>
      </c>
      <c r="T69" s="21"/>
      <c r="U69" s="110">
        <v>0.66666666666666696</v>
      </c>
      <c r="V69" s="211">
        <f>'HVAC Appliances Austin'!V69</f>
        <v>1143.8239999999998</v>
      </c>
      <c r="W69" s="110">
        <v>0.66666666666666696</v>
      </c>
      <c r="X69" s="211">
        <f>'HVAC Appliances Austin'!X69</f>
        <v>1868.5200000000007</v>
      </c>
      <c r="Y69" s="110">
        <v>0.66666666666666696</v>
      </c>
      <c r="Z69" s="211">
        <f>'HVAC Appliances Austin'!Z69</f>
        <v>2413.4880000000007</v>
      </c>
      <c r="AA69" s="21"/>
      <c r="AB69" s="110">
        <v>0.66666666666666696</v>
      </c>
      <c r="AC69" s="211">
        <f>'HVAC Appliances Austin'!AC69</f>
        <v>66.399888888888924</v>
      </c>
      <c r="AD69" s="110">
        <v>0.66666666666666696</v>
      </c>
      <c r="AE69" s="211">
        <f>'HVAC Appliances Austin'!AE69</f>
        <v>58.662222222222397</v>
      </c>
      <c r="AF69" s="110">
        <v>0.66666666666666696</v>
      </c>
      <c r="AG69" s="211">
        <f>'HVAC Appliances Austin'!AG69</f>
        <v>60.344222222222129</v>
      </c>
      <c r="AH69" s="21"/>
      <c r="AI69" s="110">
        <v>0.66666666666666696</v>
      </c>
      <c r="AJ69" s="211">
        <f>'HVAC Appliances Austin'!AJ69</f>
        <v>0</v>
      </c>
      <c r="AK69" s="110">
        <v>0.66666666666666696</v>
      </c>
      <c r="AL69" s="211">
        <f>'HVAC Appliances Austin'!AL69</f>
        <v>0</v>
      </c>
      <c r="AM69" s="110">
        <v>0.66666666666666696</v>
      </c>
      <c r="AN69" s="211">
        <f>'HVAC Appliances Austin'!AN69</f>
        <v>0</v>
      </c>
      <c r="AO69" s="21"/>
      <c r="AP69" s="110">
        <v>0.66666666666666696</v>
      </c>
      <c r="AQ69" s="211">
        <f>'HVAC Appliances Austin'!AQ69</f>
        <v>1393.3302013888883</v>
      </c>
      <c r="AR69" s="110">
        <v>0.66666666666666696</v>
      </c>
      <c r="AS69" s="211">
        <f>'HVAC Appliances Austin'!AS69</f>
        <v>2292.6228472222224</v>
      </c>
      <c r="AT69" s="110">
        <v>0.66666666666666696</v>
      </c>
      <c r="AU69" s="211">
        <f>'HVAC Appliances Austin'!AU69</f>
        <v>2976.4879722222208</v>
      </c>
      <c r="AV69" s="21"/>
      <c r="AW69" s="110">
        <v>0.66666666666666696</v>
      </c>
      <c r="AX69" s="211"/>
      <c r="AY69" s="21"/>
      <c r="AZ69" s="110">
        <v>0.66666666666666696</v>
      </c>
      <c r="BA69" s="264"/>
      <c r="BC69" s="260">
        <v>0.66666666666666696</v>
      </c>
      <c r="BD69" s="211">
        <f>'HVAC Appliances Austin'!BD69</f>
        <v>0</v>
      </c>
      <c r="BE69" s="110">
        <v>0.66666666666666696</v>
      </c>
      <c r="BF69" s="211">
        <f>'HVAC Appliances Austin'!BF69</f>
        <v>0</v>
      </c>
      <c r="BG69" s="110">
        <v>0.66666666666666696</v>
      </c>
      <c r="BH69" s="211">
        <f>'HVAC Appliances Austin'!BH69</f>
        <v>0</v>
      </c>
      <c r="BI69" s="21"/>
      <c r="BJ69" s="110">
        <v>0.66666666666666696</v>
      </c>
      <c r="BK69" s="211">
        <f>'HVAC Appliances Austin'!BK69</f>
        <v>0</v>
      </c>
      <c r="BL69" s="110">
        <v>0.66666666666666696</v>
      </c>
      <c r="BM69" s="211">
        <f>'HVAC Appliances Austin'!BM69</f>
        <v>0</v>
      </c>
      <c r="BN69" s="110">
        <v>0.66666666666666696</v>
      </c>
      <c r="BO69" s="211">
        <f>'HVAC Appliances Austin'!BO69</f>
        <v>0</v>
      </c>
      <c r="BP69" s="21"/>
      <c r="BQ69" s="110">
        <v>0.66666666666666696</v>
      </c>
      <c r="BR69" s="211">
        <f>'HVAC Appliances Austin'!BR69</f>
        <v>0</v>
      </c>
      <c r="BS69" s="110">
        <v>0.66666666666666696</v>
      </c>
      <c r="BT69" s="211">
        <f>'HVAC Appliances Austin'!BT69</f>
        <v>0</v>
      </c>
      <c r="BU69" s="110">
        <v>0.66666666666666696</v>
      </c>
      <c r="BV69" s="211">
        <f>'HVAC Appliances Austin'!BV69</f>
        <v>0</v>
      </c>
      <c r="BW69" s="21"/>
      <c r="BX69" s="110">
        <v>0.66666666666666696</v>
      </c>
      <c r="BY69" s="211">
        <f>'HVAC Appliances Austin'!BY69</f>
        <v>0</v>
      </c>
      <c r="BZ69" s="110">
        <v>0.66666666666666696</v>
      </c>
      <c r="CA69" s="211">
        <f>'HVAC Appliances Austin'!CA69</f>
        <v>0</v>
      </c>
      <c r="CB69" s="110">
        <v>0.66666666666666696</v>
      </c>
      <c r="CC69" s="211">
        <f>'HVAC Appliances Austin'!CC69</f>
        <v>0</v>
      </c>
      <c r="CD69" s="21"/>
      <c r="CE69" s="110">
        <v>0.66666666666666696</v>
      </c>
      <c r="CF69" s="211">
        <f>'HVAC Appliances Austin'!CF69</f>
        <v>80.706666666666678</v>
      </c>
      <c r="CG69" s="110">
        <v>0.66666666666666696</v>
      </c>
      <c r="CH69" s="211">
        <f>'HVAC Appliances Austin'!CH69</f>
        <v>153.88666666666668</v>
      </c>
      <c r="CI69" s="110">
        <v>0.66666666666666696</v>
      </c>
      <c r="CJ69" s="211">
        <f>'HVAC Appliances Austin'!CJ69</f>
        <v>205.66666666666669</v>
      </c>
      <c r="CK69" s="21"/>
      <c r="CL69" s="110">
        <v>0.66666666666666696</v>
      </c>
      <c r="CM69" s="211">
        <f>'HVAC Appliances Austin'!CM69</f>
        <v>0</v>
      </c>
      <c r="CN69" s="110">
        <v>0.66666666666666696</v>
      </c>
      <c r="CO69" s="211">
        <f>'HVAC Appliances Austin'!CO69</f>
        <v>0</v>
      </c>
      <c r="CP69" s="110">
        <v>0.66666666666666696</v>
      </c>
      <c r="CQ69" s="211">
        <f>'HVAC Appliances Austin'!CQ69</f>
        <v>0</v>
      </c>
      <c r="CR69" s="21"/>
      <c r="CS69" s="110">
        <v>0.66666666666666696</v>
      </c>
      <c r="CT69" s="211"/>
      <c r="CU69" s="21"/>
      <c r="CV69" s="110">
        <v>0.66666666666666696</v>
      </c>
      <c r="CW69" s="264"/>
      <c r="CY69" s="260">
        <v>0.66666666666666696</v>
      </c>
      <c r="CZ69" s="211">
        <f>'HVAC Appliances Austin'!CZ69</f>
        <v>403.54100000000022</v>
      </c>
      <c r="DA69" s="110">
        <v>0.66666666666666696</v>
      </c>
      <c r="DB69" s="211">
        <f>'HVAC Appliances Austin'!DB69</f>
        <v>599.82168749999994</v>
      </c>
      <c r="DC69" s="110">
        <v>0.66666666666666696</v>
      </c>
      <c r="DD69" s="211">
        <f>'HVAC Appliances Austin'!DD69</f>
        <v>741.52206250000006</v>
      </c>
      <c r="DE69" s="21"/>
      <c r="DF69" s="110">
        <v>0.66666666666666696</v>
      </c>
      <c r="DG69" s="211">
        <f>'HVAC Appliances Austin'!DG69</f>
        <v>614.35233333333315</v>
      </c>
      <c r="DH69" s="110">
        <v>0.66666666666666696</v>
      </c>
      <c r="DI69" s="211">
        <f>'HVAC Appliances Austin'!DI69</f>
        <v>955.26296527777799</v>
      </c>
      <c r="DJ69" s="110">
        <v>0.66666666666666696</v>
      </c>
      <c r="DK69" s="211">
        <f>'HVAC Appliances Austin'!DK69</f>
        <v>1203.8918958333338</v>
      </c>
      <c r="DL69" s="21"/>
      <c r="DM69" s="110">
        <v>0.66666666666666696</v>
      </c>
      <c r="DN69" s="211">
        <f>'HVAC Appliances Austin'!DN69</f>
        <v>1170.7240000000006</v>
      </c>
      <c r="DO69" s="110">
        <v>0.66666666666666696</v>
      </c>
      <c r="DP69" s="211">
        <f>'HVAC Appliances Austin'!DP69</f>
        <v>1907.0080000000007</v>
      </c>
      <c r="DQ69" s="110">
        <v>0.66666666666666696</v>
      </c>
      <c r="DR69" s="211">
        <f>'HVAC Appliances Austin'!DR69</f>
        <v>2447.6920000000014</v>
      </c>
      <c r="DS69" s="21"/>
      <c r="DT69" s="110">
        <v>0.66666666666666696</v>
      </c>
      <c r="DU69" s="211">
        <f>'HVAC Appliances Austin'!DU69</f>
        <v>0</v>
      </c>
      <c r="DV69" s="110">
        <v>0.66666666666666696</v>
      </c>
      <c r="DW69" s="211">
        <f>'HVAC Appliances Austin'!DW69</f>
        <v>0</v>
      </c>
      <c r="DX69" s="110">
        <v>0.66666666666666696</v>
      </c>
      <c r="DY69" s="211">
        <f>'HVAC Appliances Austin'!DY69</f>
        <v>0</v>
      </c>
      <c r="DZ69" s="21"/>
      <c r="EA69" s="110">
        <v>0.66666666666666696</v>
      </c>
      <c r="EB69" s="211">
        <f>'HVAC Appliances Amarillo'!EB69</f>
        <v>1435.8439999999998</v>
      </c>
      <c r="EC69" s="110">
        <v>0.66666666666666696</v>
      </c>
      <c r="ED69" s="211">
        <f>'HVAC Appliances Amarillo'!ED69</f>
        <v>2394.4013333333337</v>
      </c>
      <c r="EE69" s="110">
        <v>0.66666666666666696</v>
      </c>
      <c r="EF69" s="211">
        <f>'HVAC Appliances Amarillo'!EF69</f>
        <v>3257.2951111111115</v>
      </c>
      <c r="EG69" s="21"/>
      <c r="EH69" s="110">
        <v>0.66666666666666696</v>
      </c>
      <c r="EI69" s="211">
        <f>'HVAC Appliances Austin'!EI69</f>
        <v>1405.0743333333328</v>
      </c>
      <c r="EJ69" s="110">
        <v>0.66666666666666696</v>
      </c>
      <c r="EK69" s="211">
        <f>'HVAC Appliances Austin'!EK69</f>
        <v>2311.1894652777783</v>
      </c>
      <c r="EL69" s="110">
        <v>0.66666666666666696</v>
      </c>
      <c r="EM69" s="211">
        <f>'HVAC Appliances Austin'!EM69</f>
        <v>2977.2653958333335</v>
      </c>
      <c r="EN69" s="21"/>
      <c r="EO69" s="110">
        <v>0.66666666666666696</v>
      </c>
      <c r="EP69" s="211"/>
      <c r="EQ69" s="21"/>
      <c r="ER69" s="110">
        <v>0.66666666666666696</v>
      </c>
      <c r="ES69" s="264"/>
      <c r="EU69" s="260">
        <v>0.66666666666666696</v>
      </c>
      <c r="EV69" s="209">
        <f>'HVAC Appliances Amarillo'!EV69</f>
        <v>1435.8439999999998</v>
      </c>
      <c r="EW69" s="110">
        <v>0.66666666666666696</v>
      </c>
      <c r="EX69" s="209">
        <f>'HVAC Appliances Amarillo'!EX69</f>
        <v>2394.4013333333337</v>
      </c>
      <c r="EY69" s="110">
        <v>0.66666666666666696</v>
      </c>
      <c r="EZ69" s="308">
        <f>'HVAC Appliances Amarillo'!EZ69</f>
        <v>3257.2951111111115</v>
      </c>
    </row>
    <row r="70" spans="1:156" x14ac:dyDescent="0.3">
      <c r="A70" s="108">
        <v>0.66666666666666696</v>
      </c>
      <c r="B70" s="226">
        <f t="shared" si="0"/>
        <v>0</v>
      </c>
      <c r="C70" s="21">
        <f t="shared" si="1"/>
        <v>205.66666666666669</v>
      </c>
      <c r="D70" s="20">
        <f t="shared" si="2"/>
        <v>3257.2951111111115</v>
      </c>
      <c r="E70" s="20">
        <f t="shared" si="3"/>
        <v>3257.2951111111115</v>
      </c>
      <c r="G70" s="260">
        <v>0.67708333333333304</v>
      </c>
      <c r="H70" s="211">
        <f>'HVAC Appliances Austin'!H70</f>
        <v>361.27131250000014</v>
      </c>
      <c r="I70" s="110">
        <v>0.67708333333333304</v>
      </c>
      <c r="J70" s="211">
        <f>'HVAC Appliances Austin'!J70</f>
        <v>545.38062500000001</v>
      </c>
      <c r="K70" s="110">
        <v>0.67708333333333304</v>
      </c>
      <c r="L70" s="211">
        <f>'HVAC Appliances Austin'!L70</f>
        <v>673.14575000000025</v>
      </c>
      <c r="M70" s="21"/>
      <c r="N70" s="110">
        <v>0.67708333333333304</v>
      </c>
      <c r="O70" s="211">
        <f>'HVAC Appliances Austin'!O70</f>
        <v>568.2507013888885</v>
      </c>
      <c r="P70" s="110">
        <v>0.67708333333333304</v>
      </c>
      <c r="Q70" s="211">
        <f>'HVAC Appliances Austin'!Q70</f>
        <v>893.61784722222251</v>
      </c>
      <c r="R70" s="110">
        <v>0.67708333333333304</v>
      </c>
      <c r="S70" s="211">
        <f>'HVAC Appliances Austin'!S70</f>
        <v>1127.2039722222212</v>
      </c>
      <c r="T70" s="21"/>
      <c r="U70" s="110">
        <v>0.67708333333333304</v>
      </c>
      <c r="V70" s="211">
        <f>'HVAC Appliances Austin'!V70</f>
        <v>1143.8239999999998</v>
      </c>
      <c r="W70" s="110">
        <v>0.67708333333333304</v>
      </c>
      <c r="X70" s="211">
        <f>'HVAC Appliances Austin'!X70</f>
        <v>1868.5200000000007</v>
      </c>
      <c r="Y70" s="110">
        <v>0.67708333333333304</v>
      </c>
      <c r="Z70" s="211">
        <f>'HVAC Appliances Austin'!Z70</f>
        <v>2413.4880000000007</v>
      </c>
      <c r="AA70" s="21"/>
      <c r="AB70" s="110">
        <v>0.67708333333333304</v>
      </c>
      <c r="AC70" s="211">
        <f>'HVAC Appliances Austin'!AC70</f>
        <v>66.399888888888924</v>
      </c>
      <c r="AD70" s="110">
        <v>0.67708333333333304</v>
      </c>
      <c r="AE70" s="211">
        <f>'HVAC Appliances Austin'!AE70</f>
        <v>58.662222222222397</v>
      </c>
      <c r="AF70" s="110">
        <v>0.67708333333333304</v>
      </c>
      <c r="AG70" s="211">
        <f>'HVAC Appliances Austin'!AG70</f>
        <v>60.344222222222129</v>
      </c>
      <c r="AH70" s="21"/>
      <c r="AI70" s="110">
        <v>0.67708333333333304</v>
      </c>
      <c r="AJ70" s="211">
        <f>'HVAC Appliances Austin'!AJ70</f>
        <v>0</v>
      </c>
      <c r="AK70" s="110">
        <v>0.67708333333333304</v>
      </c>
      <c r="AL70" s="211">
        <f>'HVAC Appliances Austin'!AL70</f>
        <v>0</v>
      </c>
      <c r="AM70" s="110">
        <v>0.67708333333333304</v>
      </c>
      <c r="AN70" s="211">
        <f>'HVAC Appliances Austin'!AN70</f>
        <v>0</v>
      </c>
      <c r="AO70" s="21"/>
      <c r="AP70" s="110">
        <v>0.67708333333333304</v>
      </c>
      <c r="AQ70" s="211">
        <f>'HVAC Appliances Austin'!AQ70</f>
        <v>1393.3302013888883</v>
      </c>
      <c r="AR70" s="110">
        <v>0.67708333333333304</v>
      </c>
      <c r="AS70" s="211">
        <f>'HVAC Appliances Austin'!AS70</f>
        <v>2292.6228472222224</v>
      </c>
      <c r="AT70" s="110">
        <v>0.67708333333333304</v>
      </c>
      <c r="AU70" s="211">
        <f>'HVAC Appliances Austin'!AU70</f>
        <v>2976.4879722222208</v>
      </c>
      <c r="AV70" s="21"/>
      <c r="AW70" s="110">
        <v>0.67708333333333304</v>
      </c>
      <c r="AX70" s="211"/>
      <c r="AY70" s="21"/>
      <c r="AZ70" s="110">
        <v>0.67708333333333304</v>
      </c>
      <c r="BA70" s="264"/>
      <c r="BC70" s="260">
        <v>0.67708333333333304</v>
      </c>
      <c r="BD70" s="211">
        <f>'HVAC Appliances Austin'!BD70</f>
        <v>0</v>
      </c>
      <c r="BE70" s="110">
        <v>0.67708333333333304</v>
      </c>
      <c r="BF70" s="211">
        <f>'HVAC Appliances Austin'!BF70</f>
        <v>0</v>
      </c>
      <c r="BG70" s="110">
        <v>0.67708333333333304</v>
      </c>
      <c r="BH70" s="211">
        <f>'HVAC Appliances Austin'!BH70</f>
        <v>0</v>
      </c>
      <c r="BI70" s="21"/>
      <c r="BJ70" s="110">
        <v>0.67708333333333304</v>
      </c>
      <c r="BK70" s="211">
        <f>'HVAC Appliances Austin'!BK70</f>
        <v>0</v>
      </c>
      <c r="BL70" s="110">
        <v>0.67708333333333304</v>
      </c>
      <c r="BM70" s="211">
        <f>'HVAC Appliances Austin'!BM70</f>
        <v>0</v>
      </c>
      <c r="BN70" s="110">
        <v>0.67708333333333304</v>
      </c>
      <c r="BO70" s="211">
        <f>'HVAC Appliances Austin'!BO70</f>
        <v>0</v>
      </c>
      <c r="BP70" s="21"/>
      <c r="BQ70" s="110">
        <v>0.67708333333333304</v>
      </c>
      <c r="BR70" s="211">
        <f>'HVAC Appliances Austin'!BR70</f>
        <v>0</v>
      </c>
      <c r="BS70" s="110">
        <v>0.67708333333333304</v>
      </c>
      <c r="BT70" s="211">
        <f>'HVAC Appliances Austin'!BT70</f>
        <v>0</v>
      </c>
      <c r="BU70" s="110">
        <v>0.67708333333333304</v>
      </c>
      <c r="BV70" s="211">
        <f>'HVAC Appliances Austin'!BV70</f>
        <v>0</v>
      </c>
      <c r="BW70" s="21"/>
      <c r="BX70" s="110">
        <v>0.67708333333333304</v>
      </c>
      <c r="BY70" s="211">
        <f>'HVAC Appliances Austin'!BY70</f>
        <v>0</v>
      </c>
      <c r="BZ70" s="110">
        <v>0.67708333333333304</v>
      </c>
      <c r="CA70" s="211">
        <f>'HVAC Appliances Austin'!CA70</f>
        <v>0</v>
      </c>
      <c r="CB70" s="110">
        <v>0.67708333333333304</v>
      </c>
      <c r="CC70" s="211">
        <f>'HVAC Appliances Austin'!CC70</f>
        <v>0</v>
      </c>
      <c r="CD70" s="21"/>
      <c r="CE70" s="110">
        <v>0.67708333333333304</v>
      </c>
      <c r="CF70" s="211">
        <f>'HVAC Appliances Austin'!CF70</f>
        <v>80.706666666666678</v>
      </c>
      <c r="CG70" s="110">
        <v>0.67708333333333304</v>
      </c>
      <c r="CH70" s="211">
        <f>'HVAC Appliances Austin'!CH70</f>
        <v>153.88666666666668</v>
      </c>
      <c r="CI70" s="110">
        <v>0.67708333333333304</v>
      </c>
      <c r="CJ70" s="211">
        <f>'HVAC Appliances Austin'!CJ70</f>
        <v>205.66666666666669</v>
      </c>
      <c r="CK70" s="21"/>
      <c r="CL70" s="110">
        <v>0.67708333333333304</v>
      </c>
      <c r="CM70" s="211">
        <f>'HVAC Appliances Austin'!CM70</f>
        <v>0</v>
      </c>
      <c r="CN70" s="110">
        <v>0.67708333333333304</v>
      </c>
      <c r="CO70" s="211">
        <f>'HVAC Appliances Austin'!CO70</f>
        <v>0</v>
      </c>
      <c r="CP70" s="110">
        <v>0.67708333333333304</v>
      </c>
      <c r="CQ70" s="211">
        <f>'HVAC Appliances Austin'!CQ70</f>
        <v>0</v>
      </c>
      <c r="CR70" s="21"/>
      <c r="CS70" s="110">
        <v>0.67708333333333304</v>
      </c>
      <c r="CT70" s="211"/>
      <c r="CU70" s="21"/>
      <c r="CV70" s="110">
        <v>0.67708333333333304</v>
      </c>
      <c r="CW70" s="264"/>
      <c r="CY70" s="260">
        <v>0.67708333333333304</v>
      </c>
      <c r="CZ70" s="211">
        <f>'HVAC Appliances Austin'!CZ70</f>
        <v>403.54100000000022</v>
      </c>
      <c r="DA70" s="110">
        <v>0.67708333333333304</v>
      </c>
      <c r="DB70" s="211">
        <f>'HVAC Appliances Austin'!DB70</f>
        <v>599.82168749999994</v>
      </c>
      <c r="DC70" s="110">
        <v>0.67708333333333304</v>
      </c>
      <c r="DD70" s="211">
        <f>'HVAC Appliances Austin'!DD70</f>
        <v>741.52206250000006</v>
      </c>
      <c r="DE70" s="21"/>
      <c r="DF70" s="110">
        <v>0.67708333333333304</v>
      </c>
      <c r="DG70" s="211">
        <f>'HVAC Appliances Austin'!DG70</f>
        <v>614.35233333333315</v>
      </c>
      <c r="DH70" s="110">
        <v>0.67708333333333304</v>
      </c>
      <c r="DI70" s="211">
        <f>'HVAC Appliances Austin'!DI70</f>
        <v>955.26296527777799</v>
      </c>
      <c r="DJ70" s="110">
        <v>0.67708333333333304</v>
      </c>
      <c r="DK70" s="211">
        <f>'HVAC Appliances Austin'!DK70</f>
        <v>1203.8918958333338</v>
      </c>
      <c r="DL70" s="21"/>
      <c r="DM70" s="110">
        <v>0.67708333333333304</v>
      </c>
      <c r="DN70" s="211">
        <f>'HVAC Appliances Austin'!DN70</f>
        <v>1170.7240000000006</v>
      </c>
      <c r="DO70" s="110">
        <v>0.67708333333333304</v>
      </c>
      <c r="DP70" s="211">
        <f>'HVAC Appliances Austin'!DP70</f>
        <v>1907.0080000000007</v>
      </c>
      <c r="DQ70" s="110">
        <v>0.67708333333333304</v>
      </c>
      <c r="DR70" s="211">
        <f>'HVAC Appliances Austin'!DR70</f>
        <v>2447.6920000000014</v>
      </c>
      <c r="DS70" s="21"/>
      <c r="DT70" s="110">
        <v>0.67708333333333304</v>
      </c>
      <c r="DU70" s="211">
        <f>'HVAC Appliances Austin'!DU70</f>
        <v>0</v>
      </c>
      <c r="DV70" s="110">
        <v>0.67708333333333304</v>
      </c>
      <c r="DW70" s="211">
        <f>'HVAC Appliances Austin'!DW70</f>
        <v>0</v>
      </c>
      <c r="DX70" s="110">
        <v>0.67708333333333304</v>
      </c>
      <c r="DY70" s="211">
        <f>'HVAC Appliances Austin'!DY70</f>
        <v>0</v>
      </c>
      <c r="DZ70" s="21"/>
      <c r="EA70" s="110">
        <v>0.67708333333333304</v>
      </c>
      <c r="EB70" s="211">
        <f>'HVAC Appliances Amarillo'!EB70</f>
        <v>1435.8439999999998</v>
      </c>
      <c r="EC70" s="110">
        <v>0.67708333333333304</v>
      </c>
      <c r="ED70" s="211">
        <f>'HVAC Appliances Amarillo'!ED70</f>
        <v>2394.4013333333337</v>
      </c>
      <c r="EE70" s="110">
        <v>0.67708333333333304</v>
      </c>
      <c r="EF70" s="211">
        <f>'HVAC Appliances Amarillo'!EF70</f>
        <v>3257.2951111111115</v>
      </c>
      <c r="EG70" s="21"/>
      <c r="EH70" s="110">
        <v>0.67708333333333304</v>
      </c>
      <c r="EI70" s="211">
        <f>'HVAC Appliances Austin'!EI70</f>
        <v>1405.0743333333328</v>
      </c>
      <c r="EJ70" s="110">
        <v>0.67708333333333304</v>
      </c>
      <c r="EK70" s="211">
        <f>'HVAC Appliances Austin'!EK70</f>
        <v>2311.1894652777783</v>
      </c>
      <c r="EL70" s="110">
        <v>0.67708333333333304</v>
      </c>
      <c r="EM70" s="211">
        <f>'HVAC Appliances Austin'!EM70</f>
        <v>2977.2653958333335</v>
      </c>
      <c r="EN70" s="21"/>
      <c r="EO70" s="110">
        <v>0.67708333333333304</v>
      </c>
      <c r="EP70" s="211"/>
      <c r="EQ70" s="21"/>
      <c r="ER70" s="110">
        <v>0.67708333333333304</v>
      </c>
      <c r="ES70" s="264"/>
      <c r="EU70" s="260">
        <v>0.67708333333333304</v>
      </c>
      <c r="EV70" s="209">
        <f>'HVAC Appliances Amarillo'!EV70</f>
        <v>1435.8439999999998</v>
      </c>
      <c r="EW70" s="110">
        <v>0.67708333333333304</v>
      </c>
      <c r="EX70" s="209">
        <f>'HVAC Appliances Amarillo'!EX70</f>
        <v>2394.4013333333337</v>
      </c>
      <c r="EY70" s="110">
        <v>0.67708333333333304</v>
      </c>
      <c r="EZ70" s="308">
        <f>'HVAC Appliances Amarillo'!EZ70</f>
        <v>3257.2951111111115</v>
      </c>
    </row>
    <row r="71" spans="1:156" x14ac:dyDescent="0.3">
      <c r="A71" s="108">
        <v>0.67708333333333304</v>
      </c>
      <c r="B71" s="226">
        <f t="shared" ref="B71:B101" si="4">IF(AND($B$3=$G$2,$D$3=$G$3),H70,IF(AND($B$3=$G$2,$D$3=$I$3),J70,IF(AND($B$3=$G$2,$D$3=$K$3),L70,IF(AND($B$3=$N$2,$D$3=$N$3),O70,IF(AND($B$3=$N$2,$D$3=$P$3),Q70,IF(AND($B$3=$N$2,$D$3=$R$3),S70,IF(AND($B$3=$U$2,$D$3=$U$3),V70,IF(AND($B$3=$U$2,$D$3=$W$3),X70,IF(AND($B$3=$U$2,$D$3=$Y$3),Z70,IF(AND($B$3=$AB$2,$D$3=$AB$3),AC70,IF(AND($B$3=$AB$2,$D$3=$AD$3),AE70,IF(AND($B$3=$AB$2,$D$3=$AF$3),AG70,IF(AND($B$3=$AI$2,$D$3=$AI$3),AJ70,IF(AND($B$3=$AI$2,$D$3=$AK$3),AL70,IF(AND($B$3=$AI$2,$D$3=$AM$3),AN70,IF(AND($B$3=$AP$2,$D$3=$AP$3),AQ70,IF(AND($B$3=$AP$2,$D$3=$AR$3),AS70,IF(AND($B$3=$AP$2,$D$3=$AT$3),AU70,IF($B$3=$AW$3,AX70,IF($B$3=$AZ$3,BA70,0))))))))))))))))))))</f>
        <v>0</v>
      </c>
      <c r="C71" s="21">
        <f t="shared" ref="C71:C101" si="5">IF(AND($B$3=$BC$2,$D$3=$BC$3),BD70,IF(AND($B$3=$BC$2,$D$3=$BE$3),BF70,IF(AND($B$3=$BC$2,$D$3=$BG$3),BH70,IF(AND($B$3=$BJ$2,$D$3=$BJ$3),BK70,IF(AND($B$3=$BJ$2,$D$3=$BL$3),BM70,IF(AND($B$3=$BJ$2,$D$3=$BN$3),BO70,IF(AND($B$3=$BQ$2,$D$3=$BQ$3),BR70,IF(AND($B$3=$BQ$2,$D$3=$BS$3),BT70,IF(AND($B$3=$BQ$2,$D$3=$BU$3),BV70,IF(AND($B$3=$BX$2,$D$3=$BX$3),BY70,IF(AND($B$3=$BX$2,$D$3=$BZ$3),CA70,IF(AND($B$3=$BX$2,$D$3=$CB$3),CC70,IF(AND($B$3=$CE$2,$D$3=$CE$3),CF70,IF(AND($B$3=$CE$2,$D$3=$CG$3),CH70,IF(AND($B$3=$CE$2,$D$3=$CI$3),CJ70,IF(AND($B$3=$CL$2,$D$3=$CL$3),CM70,IF(AND($B$3=$CL$2,$D$3=$CN$3),CO70,IF(AND($B$3=$CL$2,$D$3=$CP$3),CQ70,IF($B$3=$CS$3,CT70,IF($B$3=$CV$3,CW70,0))))))))))))))))))))</f>
        <v>205.66666666666669</v>
      </c>
      <c r="D71" s="20">
        <f t="shared" ref="D71:D101" si="6">IF(AND($B$3=$CY$2,$D$3=$CY$3),CZ70,IF(AND($B$3=$CY$2,$D$3=$DA$3),DB70,IF(AND($B$3=$CY$2,$D$3=$DC$3),DD70,IF(AND($B$3=$DF$2,$D$3=$DF$3),DG70,IF(AND($B$3=$DF$2,$D$3=$DH$3),DI70,IF(AND($B$3=$DF$2,$D$3=$DJ$3),DK70,IF(AND($B$3=$DM$2,$D$3=$DM$3),DN70,IF(AND($B$3=$DM$2,$D$3=$DO$3),DP70,IF(AND($B$3=$DM$2,$D$3=$DQ$3),DR70,IF(AND($B$3=$DT$2,$D$3=$DT$3),DU70,IF(AND($B$3=$DT$2,$D$3=$DV$3),DW70,IF(AND($B$3=$DT$2,$D$3=$DX$3),DY70,IF(AND($B$3=$EA$2,$D$3=$EA$3),EB70,IF(AND($B$3=$EA$2,$D$3=$EC$3),ED70,IF(AND($B$3=$EA$2,$D$3=$EE$3),EF70,IF(AND($B$3=$EH$2,$D$3=$EH$3),EI70,IF(AND($B$3=$EH$2,$D$3=$EJ$3),EK70,IF(AND($B$3=$EH$2,$D$3=$EL$3),EM70,IF($B$3=$EO$3,EP70,IF($B$3=$ER$3,ES70,0))))))))))))))))))))</f>
        <v>3257.2951111111115</v>
      </c>
      <c r="E71" s="20">
        <f t="shared" ref="E71:E101" si="7">IF(AND($B$3=$EU$2,$D$3=$EU$3),EV70,IF(AND($B$3=$EU$2,$D$3=$EW$3),EX70,IF(AND($B$3=$EU$2,$D$3=$EY$3),EZ70,D71)))</f>
        <v>3257.2951111111115</v>
      </c>
      <c r="G71" s="260">
        <v>0.6875</v>
      </c>
      <c r="H71" s="211">
        <f>'HVAC Appliances Austin'!H71</f>
        <v>361.27131250000014</v>
      </c>
      <c r="I71" s="110">
        <v>0.6875</v>
      </c>
      <c r="J71" s="211">
        <f>'HVAC Appliances Austin'!J71</f>
        <v>545.38062500000001</v>
      </c>
      <c r="K71" s="110">
        <v>0.6875</v>
      </c>
      <c r="L71" s="211">
        <f>'HVAC Appliances Austin'!L71</f>
        <v>673.14575000000025</v>
      </c>
      <c r="M71" s="21"/>
      <c r="N71" s="110">
        <v>0.6875</v>
      </c>
      <c r="O71" s="211">
        <f>'HVAC Appliances Austin'!O71</f>
        <v>568.2507013888885</v>
      </c>
      <c r="P71" s="110">
        <v>0.6875</v>
      </c>
      <c r="Q71" s="211">
        <f>'HVAC Appliances Austin'!Q71</f>
        <v>893.61784722222251</v>
      </c>
      <c r="R71" s="110">
        <v>0.6875</v>
      </c>
      <c r="S71" s="211">
        <f>'HVAC Appliances Austin'!S71</f>
        <v>1127.2039722222212</v>
      </c>
      <c r="T71" s="21"/>
      <c r="U71" s="110">
        <v>0.6875</v>
      </c>
      <c r="V71" s="211">
        <f>'HVAC Appliances Austin'!V71</f>
        <v>1143.8239999999998</v>
      </c>
      <c r="W71" s="110">
        <v>0.6875</v>
      </c>
      <c r="X71" s="211">
        <f>'HVAC Appliances Austin'!X71</f>
        <v>1868.5200000000007</v>
      </c>
      <c r="Y71" s="110">
        <v>0.6875</v>
      </c>
      <c r="Z71" s="211">
        <f>'HVAC Appliances Austin'!Z71</f>
        <v>2413.4880000000007</v>
      </c>
      <c r="AA71" s="21"/>
      <c r="AB71" s="110">
        <v>0.6875</v>
      </c>
      <c r="AC71" s="211">
        <f>'HVAC Appliances Austin'!AC71</f>
        <v>66.399888888888924</v>
      </c>
      <c r="AD71" s="110">
        <v>0.6875</v>
      </c>
      <c r="AE71" s="211">
        <f>'HVAC Appliances Austin'!AE71</f>
        <v>58.662222222222397</v>
      </c>
      <c r="AF71" s="110">
        <v>0.6875</v>
      </c>
      <c r="AG71" s="211">
        <f>'HVAC Appliances Austin'!AG71</f>
        <v>60.344222222222129</v>
      </c>
      <c r="AH71" s="21"/>
      <c r="AI71" s="110">
        <v>0.6875</v>
      </c>
      <c r="AJ71" s="211">
        <f>'HVAC Appliances Austin'!AJ71</f>
        <v>0</v>
      </c>
      <c r="AK71" s="110">
        <v>0.6875</v>
      </c>
      <c r="AL71" s="211">
        <f>'HVAC Appliances Austin'!AL71</f>
        <v>0</v>
      </c>
      <c r="AM71" s="110">
        <v>0.6875</v>
      </c>
      <c r="AN71" s="211">
        <f>'HVAC Appliances Austin'!AN71</f>
        <v>0</v>
      </c>
      <c r="AO71" s="21"/>
      <c r="AP71" s="110">
        <v>0.6875</v>
      </c>
      <c r="AQ71" s="211">
        <f>'HVAC Appliances Austin'!AQ71</f>
        <v>1393.3302013888883</v>
      </c>
      <c r="AR71" s="110">
        <v>0.6875</v>
      </c>
      <c r="AS71" s="211">
        <f>'HVAC Appliances Austin'!AS71</f>
        <v>2292.6228472222224</v>
      </c>
      <c r="AT71" s="110">
        <v>0.6875</v>
      </c>
      <c r="AU71" s="211">
        <f>'HVAC Appliances Austin'!AU71</f>
        <v>2976.4879722222208</v>
      </c>
      <c r="AV71" s="21"/>
      <c r="AW71" s="110">
        <v>0.6875</v>
      </c>
      <c r="AX71" s="211"/>
      <c r="AY71" s="21"/>
      <c r="AZ71" s="110">
        <v>0.6875</v>
      </c>
      <c r="BA71" s="264"/>
      <c r="BC71" s="260">
        <v>0.6875</v>
      </c>
      <c r="BD71" s="211">
        <f>'HVAC Appliances Austin'!BD71</f>
        <v>0</v>
      </c>
      <c r="BE71" s="110">
        <v>0.6875</v>
      </c>
      <c r="BF71" s="211">
        <f>'HVAC Appliances Austin'!BF71</f>
        <v>0</v>
      </c>
      <c r="BG71" s="110">
        <v>0.6875</v>
      </c>
      <c r="BH71" s="211">
        <f>'HVAC Appliances Austin'!BH71</f>
        <v>0</v>
      </c>
      <c r="BI71" s="21"/>
      <c r="BJ71" s="110">
        <v>0.6875</v>
      </c>
      <c r="BK71" s="211">
        <f>'HVAC Appliances Austin'!BK71</f>
        <v>0</v>
      </c>
      <c r="BL71" s="110">
        <v>0.6875</v>
      </c>
      <c r="BM71" s="211">
        <f>'HVAC Appliances Austin'!BM71</f>
        <v>0</v>
      </c>
      <c r="BN71" s="110">
        <v>0.6875</v>
      </c>
      <c r="BO71" s="211">
        <f>'HVAC Appliances Austin'!BO71</f>
        <v>0</v>
      </c>
      <c r="BP71" s="21"/>
      <c r="BQ71" s="110">
        <v>0.6875</v>
      </c>
      <c r="BR71" s="211">
        <f>'HVAC Appliances Austin'!BR71</f>
        <v>0</v>
      </c>
      <c r="BS71" s="110">
        <v>0.6875</v>
      </c>
      <c r="BT71" s="211">
        <f>'HVAC Appliances Austin'!BT71</f>
        <v>0</v>
      </c>
      <c r="BU71" s="110">
        <v>0.6875</v>
      </c>
      <c r="BV71" s="211">
        <f>'HVAC Appliances Austin'!BV71</f>
        <v>0</v>
      </c>
      <c r="BW71" s="21"/>
      <c r="BX71" s="110">
        <v>0.6875</v>
      </c>
      <c r="BY71" s="211">
        <f>'HVAC Appliances Austin'!BY71</f>
        <v>0</v>
      </c>
      <c r="BZ71" s="110">
        <v>0.6875</v>
      </c>
      <c r="CA71" s="211">
        <f>'HVAC Appliances Austin'!CA71</f>
        <v>0</v>
      </c>
      <c r="CB71" s="110">
        <v>0.6875</v>
      </c>
      <c r="CC71" s="211">
        <f>'HVAC Appliances Austin'!CC71</f>
        <v>0</v>
      </c>
      <c r="CD71" s="21"/>
      <c r="CE71" s="110">
        <v>0.6875</v>
      </c>
      <c r="CF71" s="211">
        <f>'HVAC Appliances Austin'!CF71</f>
        <v>80.706666666666678</v>
      </c>
      <c r="CG71" s="110">
        <v>0.6875</v>
      </c>
      <c r="CH71" s="211">
        <f>'HVAC Appliances Austin'!CH71</f>
        <v>153.88666666666668</v>
      </c>
      <c r="CI71" s="110">
        <v>0.6875</v>
      </c>
      <c r="CJ71" s="211">
        <f>'HVAC Appliances Austin'!CJ71</f>
        <v>205.66666666666669</v>
      </c>
      <c r="CK71" s="21"/>
      <c r="CL71" s="110">
        <v>0.6875</v>
      </c>
      <c r="CM71" s="211">
        <f>'HVAC Appliances Austin'!CM71</f>
        <v>0</v>
      </c>
      <c r="CN71" s="110">
        <v>0.6875</v>
      </c>
      <c r="CO71" s="211">
        <f>'HVAC Appliances Austin'!CO71</f>
        <v>0</v>
      </c>
      <c r="CP71" s="110">
        <v>0.6875</v>
      </c>
      <c r="CQ71" s="211">
        <f>'HVAC Appliances Austin'!CQ71</f>
        <v>0</v>
      </c>
      <c r="CR71" s="21"/>
      <c r="CS71" s="110">
        <v>0.6875</v>
      </c>
      <c r="CT71" s="211"/>
      <c r="CU71" s="21"/>
      <c r="CV71" s="110">
        <v>0.6875</v>
      </c>
      <c r="CW71" s="264"/>
      <c r="CY71" s="260">
        <v>0.6875</v>
      </c>
      <c r="CZ71" s="211">
        <f>'HVAC Appliances Austin'!CZ71</f>
        <v>403.54100000000022</v>
      </c>
      <c r="DA71" s="110">
        <v>0.6875</v>
      </c>
      <c r="DB71" s="211">
        <f>'HVAC Appliances Austin'!DB71</f>
        <v>599.82168749999994</v>
      </c>
      <c r="DC71" s="110">
        <v>0.6875</v>
      </c>
      <c r="DD71" s="211">
        <f>'HVAC Appliances Austin'!DD71</f>
        <v>741.52206250000006</v>
      </c>
      <c r="DE71" s="21"/>
      <c r="DF71" s="110">
        <v>0.6875</v>
      </c>
      <c r="DG71" s="211">
        <f>'HVAC Appliances Austin'!DG71</f>
        <v>614.35233333333315</v>
      </c>
      <c r="DH71" s="110">
        <v>0.6875</v>
      </c>
      <c r="DI71" s="211">
        <f>'HVAC Appliances Austin'!DI71</f>
        <v>955.26296527777799</v>
      </c>
      <c r="DJ71" s="110">
        <v>0.6875</v>
      </c>
      <c r="DK71" s="211">
        <f>'HVAC Appliances Austin'!DK71</f>
        <v>1203.8918958333338</v>
      </c>
      <c r="DL71" s="21"/>
      <c r="DM71" s="110">
        <v>0.6875</v>
      </c>
      <c r="DN71" s="211">
        <f>'HVAC Appliances Austin'!DN71</f>
        <v>1170.7240000000006</v>
      </c>
      <c r="DO71" s="110">
        <v>0.6875</v>
      </c>
      <c r="DP71" s="211">
        <f>'HVAC Appliances Austin'!DP71</f>
        <v>1907.0080000000007</v>
      </c>
      <c r="DQ71" s="110">
        <v>0.6875</v>
      </c>
      <c r="DR71" s="211">
        <f>'HVAC Appliances Austin'!DR71</f>
        <v>2447.6920000000014</v>
      </c>
      <c r="DS71" s="21"/>
      <c r="DT71" s="110">
        <v>0.6875</v>
      </c>
      <c r="DU71" s="211">
        <f>'HVAC Appliances Austin'!DU71</f>
        <v>0</v>
      </c>
      <c r="DV71" s="110">
        <v>0.6875</v>
      </c>
      <c r="DW71" s="211">
        <f>'HVAC Appliances Austin'!DW71</f>
        <v>0</v>
      </c>
      <c r="DX71" s="110">
        <v>0.6875</v>
      </c>
      <c r="DY71" s="211">
        <f>'HVAC Appliances Austin'!DY71</f>
        <v>0</v>
      </c>
      <c r="DZ71" s="21"/>
      <c r="EA71" s="110">
        <v>0.6875</v>
      </c>
      <c r="EB71" s="211">
        <f>'HVAC Appliances Amarillo'!EB71</f>
        <v>1435.8439999999998</v>
      </c>
      <c r="EC71" s="110">
        <v>0.6875</v>
      </c>
      <c r="ED71" s="211">
        <f>'HVAC Appliances Amarillo'!ED71</f>
        <v>2394.4013333333337</v>
      </c>
      <c r="EE71" s="110">
        <v>0.6875</v>
      </c>
      <c r="EF71" s="211">
        <f>'HVAC Appliances Amarillo'!EF71</f>
        <v>3257.2951111111115</v>
      </c>
      <c r="EG71" s="21"/>
      <c r="EH71" s="110">
        <v>0.6875</v>
      </c>
      <c r="EI71" s="211">
        <f>'HVAC Appliances Austin'!EI71</f>
        <v>1405.0743333333328</v>
      </c>
      <c r="EJ71" s="110">
        <v>0.6875</v>
      </c>
      <c r="EK71" s="211">
        <f>'HVAC Appliances Austin'!EK71</f>
        <v>2311.1894652777783</v>
      </c>
      <c r="EL71" s="110">
        <v>0.6875</v>
      </c>
      <c r="EM71" s="211">
        <f>'HVAC Appliances Austin'!EM71</f>
        <v>2977.2653958333335</v>
      </c>
      <c r="EN71" s="21"/>
      <c r="EO71" s="110">
        <v>0.6875</v>
      </c>
      <c r="EP71" s="211"/>
      <c r="EQ71" s="21"/>
      <c r="ER71" s="110">
        <v>0.6875</v>
      </c>
      <c r="ES71" s="264"/>
      <c r="EU71" s="260">
        <v>0.6875</v>
      </c>
      <c r="EV71" s="209">
        <f>'HVAC Appliances Amarillo'!EV71</f>
        <v>1435.8439999999998</v>
      </c>
      <c r="EW71" s="110">
        <v>0.6875</v>
      </c>
      <c r="EX71" s="209">
        <f>'HVAC Appliances Amarillo'!EX71</f>
        <v>2394.4013333333337</v>
      </c>
      <c r="EY71" s="110">
        <v>0.6875</v>
      </c>
      <c r="EZ71" s="308">
        <f>'HVAC Appliances Amarillo'!EZ71</f>
        <v>3257.2951111111115</v>
      </c>
    </row>
    <row r="72" spans="1:156" x14ac:dyDescent="0.3">
      <c r="A72" s="108">
        <v>0.6875</v>
      </c>
      <c r="B72" s="226">
        <f t="shared" si="4"/>
        <v>0</v>
      </c>
      <c r="C72" s="21">
        <f t="shared" si="5"/>
        <v>205.66666666666669</v>
      </c>
      <c r="D72" s="20">
        <f t="shared" si="6"/>
        <v>3257.2951111111115</v>
      </c>
      <c r="E72" s="20">
        <f t="shared" si="7"/>
        <v>3257.2951111111115</v>
      </c>
      <c r="G72" s="260">
        <v>0.69791666666666696</v>
      </c>
      <c r="H72" s="211">
        <f>'HVAC Appliances Austin'!H72</f>
        <v>361.27131250000014</v>
      </c>
      <c r="I72" s="110">
        <v>0.69791666666666696</v>
      </c>
      <c r="J72" s="211">
        <f>'HVAC Appliances Austin'!J72</f>
        <v>545.38062500000001</v>
      </c>
      <c r="K72" s="110">
        <v>0.69791666666666696</v>
      </c>
      <c r="L72" s="211">
        <f>'HVAC Appliances Austin'!L72</f>
        <v>673.14575000000025</v>
      </c>
      <c r="M72" s="21"/>
      <c r="N72" s="110">
        <v>0.69791666666666696</v>
      </c>
      <c r="O72" s="211">
        <f>'HVAC Appliances Austin'!O72</f>
        <v>568.2507013888885</v>
      </c>
      <c r="P72" s="110">
        <v>0.69791666666666696</v>
      </c>
      <c r="Q72" s="211">
        <f>'HVAC Appliances Austin'!Q72</f>
        <v>893.61784722222251</v>
      </c>
      <c r="R72" s="110">
        <v>0.69791666666666696</v>
      </c>
      <c r="S72" s="211">
        <f>'HVAC Appliances Austin'!S72</f>
        <v>1127.2039722222212</v>
      </c>
      <c r="T72" s="21"/>
      <c r="U72" s="110">
        <v>0.69791666666666696</v>
      </c>
      <c r="V72" s="211">
        <f>'HVAC Appliances Austin'!V72</f>
        <v>1143.8239999999998</v>
      </c>
      <c r="W72" s="110">
        <v>0.69791666666666696</v>
      </c>
      <c r="X72" s="211">
        <f>'HVAC Appliances Austin'!X72</f>
        <v>1868.5200000000007</v>
      </c>
      <c r="Y72" s="110">
        <v>0.69791666666666696</v>
      </c>
      <c r="Z72" s="211">
        <f>'HVAC Appliances Austin'!Z72</f>
        <v>2413.4880000000007</v>
      </c>
      <c r="AA72" s="21"/>
      <c r="AB72" s="110">
        <v>0.69791666666666696</v>
      </c>
      <c r="AC72" s="211">
        <f>'HVAC Appliances Austin'!AC72</f>
        <v>66.399888888888924</v>
      </c>
      <c r="AD72" s="110">
        <v>0.69791666666666696</v>
      </c>
      <c r="AE72" s="211">
        <f>'HVAC Appliances Austin'!AE72</f>
        <v>58.662222222222397</v>
      </c>
      <c r="AF72" s="110">
        <v>0.69791666666666696</v>
      </c>
      <c r="AG72" s="211">
        <f>'HVAC Appliances Austin'!AG72</f>
        <v>60.344222222222129</v>
      </c>
      <c r="AH72" s="21"/>
      <c r="AI72" s="110">
        <v>0.69791666666666696</v>
      </c>
      <c r="AJ72" s="211">
        <f>'HVAC Appliances Austin'!AJ72</f>
        <v>0</v>
      </c>
      <c r="AK72" s="110">
        <v>0.69791666666666696</v>
      </c>
      <c r="AL72" s="211">
        <f>'HVAC Appliances Austin'!AL72</f>
        <v>0</v>
      </c>
      <c r="AM72" s="110">
        <v>0.69791666666666696</v>
      </c>
      <c r="AN72" s="211">
        <f>'HVAC Appliances Austin'!AN72</f>
        <v>0</v>
      </c>
      <c r="AO72" s="21"/>
      <c r="AP72" s="110">
        <v>0.69791666666666696</v>
      </c>
      <c r="AQ72" s="211">
        <f>'HVAC Appliances Austin'!AQ72</f>
        <v>1393.3302013888883</v>
      </c>
      <c r="AR72" s="110">
        <v>0.69791666666666696</v>
      </c>
      <c r="AS72" s="211">
        <f>'HVAC Appliances Austin'!AS72</f>
        <v>2292.6228472222224</v>
      </c>
      <c r="AT72" s="110">
        <v>0.69791666666666696</v>
      </c>
      <c r="AU72" s="211">
        <f>'HVAC Appliances Austin'!AU72</f>
        <v>2976.4879722222208</v>
      </c>
      <c r="AV72" s="21"/>
      <c r="AW72" s="110">
        <v>0.69791666666666696</v>
      </c>
      <c r="AX72" s="211"/>
      <c r="AY72" s="21"/>
      <c r="AZ72" s="110">
        <v>0.69791666666666696</v>
      </c>
      <c r="BA72" s="264"/>
      <c r="BC72" s="260">
        <v>0.69791666666666696</v>
      </c>
      <c r="BD72" s="211">
        <f>'HVAC Appliances Austin'!BD72</f>
        <v>0</v>
      </c>
      <c r="BE72" s="110">
        <v>0.69791666666666696</v>
      </c>
      <c r="BF72" s="211">
        <f>'HVAC Appliances Austin'!BF72</f>
        <v>0</v>
      </c>
      <c r="BG72" s="110">
        <v>0.69791666666666696</v>
      </c>
      <c r="BH72" s="211">
        <f>'HVAC Appliances Austin'!BH72</f>
        <v>0</v>
      </c>
      <c r="BI72" s="21"/>
      <c r="BJ72" s="110">
        <v>0.69791666666666696</v>
      </c>
      <c r="BK72" s="211">
        <f>'HVAC Appliances Austin'!BK72</f>
        <v>0</v>
      </c>
      <c r="BL72" s="110">
        <v>0.69791666666666696</v>
      </c>
      <c r="BM72" s="211">
        <f>'HVAC Appliances Austin'!BM72</f>
        <v>0</v>
      </c>
      <c r="BN72" s="110">
        <v>0.69791666666666696</v>
      </c>
      <c r="BO72" s="211">
        <f>'HVAC Appliances Austin'!BO72</f>
        <v>0</v>
      </c>
      <c r="BP72" s="21"/>
      <c r="BQ72" s="110">
        <v>0.69791666666666696</v>
      </c>
      <c r="BR72" s="211">
        <f>'HVAC Appliances Austin'!BR72</f>
        <v>0</v>
      </c>
      <c r="BS72" s="110">
        <v>0.69791666666666696</v>
      </c>
      <c r="BT72" s="211">
        <f>'HVAC Appliances Austin'!BT72</f>
        <v>0</v>
      </c>
      <c r="BU72" s="110">
        <v>0.69791666666666696</v>
      </c>
      <c r="BV72" s="211">
        <f>'HVAC Appliances Austin'!BV72</f>
        <v>0</v>
      </c>
      <c r="BW72" s="21"/>
      <c r="BX72" s="110">
        <v>0.69791666666666696</v>
      </c>
      <c r="BY72" s="211">
        <f>'HVAC Appliances Austin'!BY72</f>
        <v>0</v>
      </c>
      <c r="BZ72" s="110">
        <v>0.69791666666666696</v>
      </c>
      <c r="CA72" s="211">
        <f>'HVAC Appliances Austin'!CA72</f>
        <v>0</v>
      </c>
      <c r="CB72" s="110">
        <v>0.69791666666666696</v>
      </c>
      <c r="CC72" s="211">
        <f>'HVAC Appliances Austin'!CC72</f>
        <v>0</v>
      </c>
      <c r="CD72" s="21"/>
      <c r="CE72" s="110">
        <v>0.69791666666666696</v>
      </c>
      <c r="CF72" s="211">
        <f>'HVAC Appliances Austin'!CF72</f>
        <v>80.706666666666678</v>
      </c>
      <c r="CG72" s="110">
        <v>0.69791666666666696</v>
      </c>
      <c r="CH72" s="211">
        <f>'HVAC Appliances Austin'!CH72</f>
        <v>153.88666666666668</v>
      </c>
      <c r="CI72" s="110">
        <v>0.69791666666666696</v>
      </c>
      <c r="CJ72" s="211">
        <f>'HVAC Appliances Austin'!CJ72</f>
        <v>205.66666666666669</v>
      </c>
      <c r="CK72" s="21"/>
      <c r="CL72" s="110">
        <v>0.69791666666666696</v>
      </c>
      <c r="CM72" s="211">
        <f>'HVAC Appliances Austin'!CM72</f>
        <v>0</v>
      </c>
      <c r="CN72" s="110">
        <v>0.69791666666666696</v>
      </c>
      <c r="CO72" s="211">
        <f>'HVAC Appliances Austin'!CO72</f>
        <v>0</v>
      </c>
      <c r="CP72" s="110">
        <v>0.69791666666666696</v>
      </c>
      <c r="CQ72" s="211">
        <f>'HVAC Appliances Austin'!CQ72</f>
        <v>0</v>
      </c>
      <c r="CR72" s="21"/>
      <c r="CS72" s="110">
        <v>0.69791666666666696</v>
      </c>
      <c r="CT72" s="211"/>
      <c r="CU72" s="21"/>
      <c r="CV72" s="110">
        <v>0.69791666666666696</v>
      </c>
      <c r="CW72" s="264"/>
      <c r="CY72" s="260">
        <v>0.69791666666666696</v>
      </c>
      <c r="CZ72" s="211">
        <f>'HVAC Appliances Austin'!CZ72</f>
        <v>403.54100000000022</v>
      </c>
      <c r="DA72" s="110">
        <v>0.69791666666666696</v>
      </c>
      <c r="DB72" s="211">
        <f>'HVAC Appliances Austin'!DB72</f>
        <v>599.82168749999994</v>
      </c>
      <c r="DC72" s="110">
        <v>0.69791666666666696</v>
      </c>
      <c r="DD72" s="211">
        <f>'HVAC Appliances Austin'!DD72</f>
        <v>741.52206250000006</v>
      </c>
      <c r="DE72" s="21"/>
      <c r="DF72" s="110">
        <v>0.69791666666666696</v>
      </c>
      <c r="DG72" s="211">
        <f>'HVAC Appliances Austin'!DG72</f>
        <v>614.35233333333315</v>
      </c>
      <c r="DH72" s="110">
        <v>0.69791666666666696</v>
      </c>
      <c r="DI72" s="211">
        <f>'HVAC Appliances Austin'!DI72</f>
        <v>955.26296527777799</v>
      </c>
      <c r="DJ72" s="110">
        <v>0.69791666666666696</v>
      </c>
      <c r="DK72" s="211">
        <f>'HVAC Appliances Austin'!DK72</f>
        <v>1203.8918958333338</v>
      </c>
      <c r="DL72" s="21"/>
      <c r="DM72" s="110">
        <v>0.69791666666666696</v>
      </c>
      <c r="DN72" s="211">
        <f>'HVAC Appliances Austin'!DN72</f>
        <v>1170.7240000000006</v>
      </c>
      <c r="DO72" s="110">
        <v>0.69791666666666696</v>
      </c>
      <c r="DP72" s="211">
        <f>'HVAC Appliances Austin'!DP72</f>
        <v>1907.0080000000007</v>
      </c>
      <c r="DQ72" s="110">
        <v>0.69791666666666696</v>
      </c>
      <c r="DR72" s="211">
        <f>'HVAC Appliances Austin'!DR72</f>
        <v>2447.6920000000014</v>
      </c>
      <c r="DS72" s="21"/>
      <c r="DT72" s="110">
        <v>0.69791666666666696</v>
      </c>
      <c r="DU72" s="211">
        <f>'HVAC Appliances Austin'!DU72</f>
        <v>0</v>
      </c>
      <c r="DV72" s="110">
        <v>0.69791666666666696</v>
      </c>
      <c r="DW72" s="211">
        <f>'HVAC Appliances Austin'!DW72</f>
        <v>0</v>
      </c>
      <c r="DX72" s="110">
        <v>0.69791666666666696</v>
      </c>
      <c r="DY72" s="211">
        <f>'HVAC Appliances Austin'!DY72</f>
        <v>0</v>
      </c>
      <c r="DZ72" s="21"/>
      <c r="EA72" s="110">
        <v>0.69791666666666696</v>
      </c>
      <c r="EB72" s="211">
        <f>'HVAC Appliances Amarillo'!EB72</f>
        <v>1435.8439999999998</v>
      </c>
      <c r="EC72" s="110">
        <v>0.69791666666666696</v>
      </c>
      <c r="ED72" s="211">
        <f>'HVAC Appliances Amarillo'!ED72</f>
        <v>2394.4013333333337</v>
      </c>
      <c r="EE72" s="110">
        <v>0.69791666666666696</v>
      </c>
      <c r="EF72" s="211">
        <f>'HVAC Appliances Amarillo'!EF72</f>
        <v>3257.2951111111115</v>
      </c>
      <c r="EG72" s="21"/>
      <c r="EH72" s="110">
        <v>0.69791666666666696</v>
      </c>
      <c r="EI72" s="211">
        <f>'HVAC Appliances Austin'!EI72</f>
        <v>1405.0743333333328</v>
      </c>
      <c r="EJ72" s="110">
        <v>0.69791666666666696</v>
      </c>
      <c r="EK72" s="211">
        <f>'HVAC Appliances Austin'!EK72</f>
        <v>2311.1894652777783</v>
      </c>
      <c r="EL72" s="110">
        <v>0.69791666666666696</v>
      </c>
      <c r="EM72" s="211">
        <f>'HVAC Appliances Austin'!EM72</f>
        <v>2977.2653958333335</v>
      </c>
      <c r="EN72" s="21"/>
      <c r="EO72" s="110">
        <v>0.69791666666666696</v>
      </c>
      <c r="EP72" s="211"/>
      <c r="EQ72" s="21"/>
      <c r="ER72" s="110">
        <v>0.69791666666666696</v>
      </c>
      <c r="ES72" s="264"/>
      <c r="EU72" s="260">
        <v>0.69791666666666696</v>
      </c>
      <c r="EV72" s="209">
        <f>'HVAC Appliances Amarillo'!EV72</f>
        <v>1435.8439999999998</v>
      </c>
      <c r="EW72" s="110">
        <v>0.69791666666666696</v>
      </c>
      <c r="EX72" s="209">
        <f>'HVAC Appliances Amarillo'!EX72</f>
        <v>2394.4013333333337</v>
      </c>
      <c r="EY72" s="110">
        <v>0.69791666666666696</v>
      </c>
      <c r="EZ72" s="308">
        <f>'HVAC Appliances Amarillo'!EZ72</f>
        <v>3257.2951111111115</v>
      </c>
    </row>
    <row r="73" spans="1:156" x14ac:dyDescent="0.3">
      <c r="A73" s="108">
        <v>0.69791666666666696</v>
      </c>
      <c r="B73" s="226">
        <f t="shared" si="4"/>
        <v>0</v>
      </c>
      <c r="C73" s="21">
        <f t="shared" si="5"/>
        <v>205.66666666666669</v>
      </c>
      <c r="D73" s="20">
        <f t="shared" si="6"/>
        <v>3257.2951111111115</v>
      </c>
      <c r="E73" s="20">
        <f t="shared" si="7"/>
        <v>3257.2951111111115</v>
      </c>
      <c r="G73" s="260">
        <v>0.70833333333333304</v>
      </c>
      <c r="H73" s="211">
        <f>'HVAC Appliances Austin'!H73</f>
        <v>306.24580555555536</v>
      </c>
      <c r="I73" s="110">
        <v>0.70833333333333304</v>
      </c>
      <c r="J73" s="211">
        <f>'HVAC Appliances Austin'!J73</f>
        <v>453.2463888888887</v>
      </c>
      <c r="K73" s="110">
        <v>0.70833333333333304</v>
      </c>
      <c r="L73" s="211">
        <f>'HVAC Appliances Austin'!L73</f>
        <v>554.04688888888791</v>
      </c>
      <c r="M73" s="21"/>
      <c r="N73" s="110">
        <v>0.70833333333333304</v>
      </c>
      <c r="O73" s="211">
        <f>'HVAC Appliances Austin'!O73</f>
        <v>484.95113888888886</v>
      </c>
      <c r="P73" s="110">
        <v>0.70833333333333304</v>
      </c>
      <c r="Q73" s="211">
        <f>'HVAC Appliances Austin'!Q73</f>
        <v>753.21972222222212</v>
      </c>
      <c r="R73" s="110">
        <v>0.70833333333333304</v>
      </c>
      <c r="S73" s="211">
        <f>'HVAC Appliances Austin'!S73</f>
        <v>943.56422222222182</v>
      </c>
      <c r="T73" s="21"/>
      <c r="U73" s="110">
        <v>0.70833333333333304</v>
      </c>
      <c r="V73" s="211">
        <f>'HVAC Appliances Austin'!V73</f>
        <v>1143.8239999999998</v>
      </c>
      <c r="W73" s="110">
        <v>0.70833333333333304</v>
      </c>
      <c r="X73" s="211">
        <f>'HVAC Appliances Austin'!X73</f>
        <v>1868.5200000000007</v>
      </c>
      <c r="Y73" s="110">
        <v>0.70833333333333304</v>
      </c>
      <c r="Z73" s="211">
        <f>'HVAC Appliances Austin'!Z73</f>
        <v>2413.4880000000007</v>
      </c>
      <c r="AA73" s="21"/>
      <c r="AB73" s="110">
        <v>0.70833333333333304</v>
      </c>
      <c r="AC73" s="211">
        <f>'HVAC Appliances Austin'!AC73</f>
        <v>63.495999999999775</v>
      </c>
      <c r="AD73" s="110">
        <v>0.70833333333333304</v>
      </c>
      <c r="AE73" s="211">
        <f>'HVAC Appliances Austin'!AE73</f>
        <v>54.140000000000079</v>
      </c>
      <c r="AF73" s="110">
        <v>0.70833333333333304</v>
      </c>
      <c r="AG73" s="211">
        <f>'HVAC Appliances Austin'!AG73</f>
        <v>55.291999999999675</v>
      </c>
      <c r="AH73" s="21"/>
      <c r="AI73" s="110">
        <v>0.70833333333333304</v>
      </c>
      <c r="AJ73" s="211">
        <f>'HVAC Appliances Austin'!AJ73</f>
        <v>0</v>
      </c>
      <c r="AK73" s="110">
        <v>0.70833333333333304</v>
      </c>
      <c r="AL73" s="211">
        <f>'HVAC Appliances Austin'!AL73</f>
        <v>0</v>
      </c>
      <c r="AM73" s="110">
        <v>0.70833333333333304</v>
      </c>
      <c r="AN73" s="211">
        <f>'HVAC Appliances Austin'!AN73</f>
        <v>0</v>
      </c>
      <c r="AO73" s="21"/>
      <c r="AP73" s="110">
        <v>0.70833333333333304</v>
      </c>
      <c r="AQ73" s="211">
        <f>'HVAC Appliances Austin'!AQ73</f>
        <v>1412.1982013888883</v>
      </c>
      <c r="AR73" s="110">
        <v>0.70833333333333304</v>
      </c>
      <c r="AS73" s="211">
        <f>'HVAC Appliances Austin'!AS73</f>
        <v>2324.7178472222222</v>
      </c>
      <c r="AT73" s="110">
        <v>0.70833333333333304</v>
      </c>
      <c r="AU73" s="211">
        <f>'HVAC Appliances Austin'!AU73</f>
        <v>3019.1489722222209</v>
      </c>
      <c r="AV73" s="21"/>
      <c r="AW73" s="110">
        <v>0.70833333333333304</v>
      </c>
      <c r="AX73" s="211"/>
      <c r="AY73" s="21"/>
      <c r="AZ73" s="110">
        <v>0.70833333333333304</v>
      </c>
      <c r="BA73" s="264"/>
      <c r="BC73" s="260">
        <v>0.70833333333333304</v>
      </c>
      <c r="BD73" s="211">
        <f>'HVAC Appliances Austin'!BD73</f>
        <v>0</v>
      </c>
      <c r="BE73" s="110">
        <v>0.70833333333333304</v>
      </c>
      <c r="BF73" s="211">
        <f>'HVAC Appliances Austin'!BF73</f>
        <v>0</v>
      </c>
      <c r="BG73" s="110">
        <v>0.70833333333333304</v>
      </c>
      <c r="BH73" s="211">
        <f>'HVAC Appliances Austin'!BH73</f>
        <v>0</v>
      </c>
      <c r="BI73" s="21"/>
      <c r="BJ73" s="110">
        <v>0.70833333333333304</v>
      </c>
      <c r="BK73" s="211">
        <f>'HVAC Appliances Austin'!BK73</f>
        <v>0</v>
      </c>
      <c r="BL73" s="110">
        <v>0.70833333333333304</v>
      </c>
      <c r="BM73" s="211">
        <f>'HVAC Appliances Austin'!BM73</f>
        <v>0</v>
      </c>
      <c r="BN73" s="110">
        <v>0.70833333333333304</v>
      </c>
      <c r="BO73" s="211">
        <f>'HVAC Appliances Austin'!BO73</f>
        <v>0</v>
      </c>
      <c r="BP73" s="21"/>
      <c r="BQ73" s="110">
        <v>0.70833333333333304</v>
      </c>
      <c r="BR73" s="211">
        <f>'HVAC Appliances Austin'!BR73</f>
        <v>0</v>
      </c>
      <c r="BS73" s="110">
        <v>0.70833333333333304</v>
      </c>
      <c r="BT73" s="211">
        <f>'HVAC Appliances Austin'!BT73</f>
        <v>0</v>
      </c>
      <c r="BU73" s="110">
        <v>0.70833333333333304</v>
      </c>
      <c r="BV73" s="211">
        <f>'HVAC Appliances Austin'!BV73</f>
        <v>0</v>
      </c>
      <c r="BW73" s="21"/>
      <c r="BX73" s="110">
        <v>0.70833333333333304</v>
      </c>
      <c r="BY73" s="211">
        <f>'HVAC Appliances Austin'!BY73</f>
        <v>0</v>
      </c>
      <c r="BZ73" s="110">
        <v>0.70833333333333304</v>
      </c>
      <c r="CA73" s="211">
        <f>'HVAC Appliances Austin'!CA73</f>
        <v>0</v>
      </c>
      <c r="CB73" s="110">
        <v>0.70833333333333304</v>
      </c>
      <c r="CC73" s="211">
        <f>'HVAC Appliances Austin'!CC73</f>
        <v>0</v>
      </c>
      <c r="CD73" s="21"/>
      <c r="CE73" s="110">
        <v>0.70833333333333304</v>
      </c>
      <c r="CF73" s="211">
        <f>'HVAC Appliances Austin'!CF73</f>
        <v>86.040833333333339</v>
      </c>
      <c r="CG73" s="110">
        <v>0.70833333333333304</v>
      </c>
      <c r="CH73" s="211">
        <f>'HVAC Appliances Austin'!CH73</f>
        <v>164.84333333333333</v>
      </c>
      <c r="CI73" s="110">
        <v>0.70833333333333304</v>
      </c>
      <c r="CJ73" s="211">
        <f>'HVAC Appliances Austin'!CJ73</f>
        <v>220.08333333333334</v>
      </c>
      <c r="CK73" s="21"/>
      <c r="CL73" s="110">
        <v>0.70833333333333304</v>
      </c>
      <c r="CM73" s="211">
        <f>'HVAC Appliances Austin'!CM73</f>
        <v>0</v>
      </c>
      <c r="CN73" s="110">
        <v>0.70833333333333304</v>
      </c>
      <c r="CO73" s="211">
        <f>'HVAC Appliances Austin'!CO73</f>
        <v>0</v>
      </c>
      <c r="CP73" s="110">
        <v>0.70833333333333304</v>
      </c>
      <c r="CQ73" s="211">
        <f>'HVAC Appliances Austin'!CQ73</f>
        <v>0</v>
      </c>
      <c r="CR73" s="21"/>
      <c r="CS73" s="110">
        <v>0.70833333333333304</v>
      </c>
      <c r="CT73" s="211"/>
      <c r="CU73" s="21"/>
      <c r="CV73" s="110">
        <v>0.70833333333333304</v>
      </c>
      <c r="CW73" s="264"/>
      <c r="CY73" s="260">
        <v>0.70833333333333304</v>
      </c>
      <c r="CZ73" s="211">
        <f>'HVAC Appliances Austin'!CZ73</f>
        <v>345.45899999999978</v>
      </c>
      <c r="DA73" s="110">
        <v>0.70833333333333304</v>
      </c>
      <c r="DB73" s="211">
        <f>'HVAC Appliances Austin'!DB73</f>
        <v>502.8245277777774</v>
      </c>
      <c r="DC73" s="110">
        <v>0.70833333333333304</v>
      </c>
      <c r="DD73" s="211">
        <f>'HVAC Appliances Austin'!DD73</f>
        <v>615.73658333333276</v>
      </c>
      <c r="DE73" s="21"/>
      <c r="DF73" s="110">
        <v>0.70833333333333304</v>
      </c>
      <c r="DG73" s="211">
        <f>'HVAC Appliances Austin'!DG73</f>
        <v>530.65099999999995</v>
      </c>
      <c r="DH73" s="110">
        <v>0.70833333333333304</v>
      </c>
      <c r="DI73" s="211">
        <f>'HVAC Appliances Austin'!DI73</f>
        <v>813.61519444444457</v>
      </c>
      <c r="DJ73" s="110">
        <v>0.70833333333333304</v>
      </c>
      <c r="DK73" s="211">
        <f>'HVAC Appliances Austin'!DK73</f>
        <v>1019.4125833333331</v>
      </c>
      <c r="DL73" s="21"/>
      <c r="DM73" s="110">
        <v>0.70833333333333304</v>
      </c>
      <c r="DN73" s="211">
        <f>'HVAC Appliances Austin'!DN73</f>
        <v>1170.7240000000006</v>
      </c>
      <c r="DO73" s="110">
        <v>0.70833333333333304</v>
      </c>
      <c r="DP73" s="211">
        <f>'HVAC Appliances Austin'!DP73</f>
        <v>1907.0080000000007</v>
      </c>
      <c r="DQ73" s="110">
        <v>0.70833333333333304</v>
      </c>
      <c r="DR73" s="211">
        <f>'HVAC Appliances Austin'!DR73</f>
        <v>2447.6920000000014</v>
      </c>
      <c r="DS73" s="21"/>
      <c r="DT73" s="110">
        <v>0.70833333333333304</v>
      </c>
      <c r="DU73" s="211">
        <f>'HVAC Appliances Austin'!DU73</f>
        <v>0</v>
      </c>
      <c r="DV73" s="110">
        <v>0.70833333333333304</v>
      </c>
      <c r="DW73" s="211">
        <f>'HVAC Appliances Austin'!DW73</f>
        <v>0</v>
      </c>
      <c r="DX73" s="110">
        <v>0.70833333333333304</v>
      </c>
      <c r="DY73" s="211">
        <f>'HVAC Appliances Austin'!DY73</f>
        <v>0</v>
      </c>
      <c r="DZ73" s="21"/>
      <c r="EA73" s="110">
        <v>0.70833333333333304</v>
      </c>
      <c r="EB73" s="211">
        <f>'HVAC Appliances Amarillo'!EB73</f>
        <v>1596.1104791666667</v>
      </c>
      <c r="EC73" s="110">
        <v>0.70833333333333304</v>
      </c>
      <c r="ED73" s="211">
        <f>'HVAC Appliances Amarillo'!ED73</f>
        <v>3251.1225000000004</v>
      </c>
      <c r="EE73" s="110">
        <v>0.70833333333333304</v>
      </c>
      <c r="EF73" s="211">
        <f>'HVAC Appliances Amarillo'!EF73</f>
        <v>4381.2433333333338</v>
      </c>
      <c r="EG73" s="21"/>
      <c r="EH73" s="110">
        <v>0.70833333333333304</v>
      </c>
      <c r="EI73" s="211">
        <f>'HVAC Appliances Austin'!EI73</f>
        <v>1422.6873333333328</v>
      </c>
      <c r="EJ73" s="110">
        <v>0.70833333333333304</v>
      </c>
      <c r="EK73" s="211">
        <f>'HVAC Appliances Austin'!EK73</f>
        <v>2341.6204652777765</v>
      </c>
      <c r="EL73" s="110">
        <v>0.70833333333333304</v>
      </c>
      <c r="EM73" s="211">
        <f>'HVAC Appliances Austin'!EM73</f>
        <v>3017.1593958333324</v>
      </c>
      <c r="EN73" s="21"/>
      <c r="EO73" s="110">
        <v>0.70833333333333304</v>
      </c>
      <c r="EP73" s="211"/>
      <c r="EQ73" s="21"/>
      <c r="ER73" s="110">
        <v>0.70833333333333304</v>
      </c>
      <c r="ES73" s="264"/>
      <c r="EU73" s="260">
        <v>0.70833333333333304</v>
      </c>
      <c r="EV73" s="209">
        <f>'HVAC Appliances Amarillo'!EV73</f>
        <v>1596.1104791666667</v>
      </c>
      <c r="EW73" s="110">
        <v>0.70833333333333304</v>
      </c>
      <c r="EX73" s="209">
        <f>'HVAC Appliances Amarillo'!EX73</f>
        <v>2480</v>
      </c>
      <c r="EY73" s="110">
        <v>0.70833333333333304</v>
      </c>
      <c r="EZ73" s="308">
        <f>'HVAC Appliances Amarillo'!EZ73</f>
        <v>3390</v>
      </c>
    </row>
    <row r="74" spans="1:156" x14ac:dyDescent="0.3">
      <c r="A74" s="108">
        <v>0.70833333333333304</v>
      </c>
      <c r="B74" s="226">
        <f t="shared" si="4"/>
        <v>0</v>
      </c>
      <c r="C74" s="21">
        <f t="shared" si="5"/>
        <v>220.08333333333334</v>
      </c>
      <c r="D74" s="20">
        <f t="shared" si="6"/>
        <v>4381.2433333333338</v>
      </c>
      <c r="E74" s="20">
        <f t="shared" si="7"/>
        <v>3390</v>
      </c>
      <c r="G74" s="260">
        <v>0.71875</v>
      </c>
      <c r="H74" s="211">
        <f>'HVAC Appliances Austin'!H74</f>
        <v>306.24580555555536</v>
      </c>
      <c r="I74" s="110">
        <v>0.71875</v>
      </c>
      <c r="J74" s="211">
        <f>'HVAC Appliances Austin'!J74</f>
        <v>453.2463888888887</v>
      </c>
      <c r="K74" s="110">
        <v>0.71875</v>
      </c>
      <c r="L74" s="211">
        <f>'HVAC Appliances Austin'!L74</f>
        <v>554.04688888888791</v>
      </c>
      <c r="M74" s="21"/>
      <c r="N74" s="110">
        <v>0.71875</v>
      </c>
      <c r="O74" s="211">
        <f>'HVAC Appliances Austin'!O74</f>
        <v>484.95113888888886</v>
      </c>
      <c r="P74" s="110">
        <v>0.71875</v>
      </c>
      <c r="Q74" s="211">
        <f>'HVAC Appliances Austin'!Q74</f>
        <v>753.21972222222212</v>
      </c>
      <c r="R74" s="110">
        <v>0.71875</v>
      </c>
      <c r="S74" s="211">
        <f>'HVAC Appliances Austin'!S74</f>
        <v>943.56422222222182</v>
      </c>
      <c r="T74" s="21"/>
      <c r="U74" s="110">
        <v>0.71875</v>
      </c>
      <c r="V74" s="211">
        <f>'HVAC Appliances Austin'!V74</f>
        <v>1143.8239999999998</v>
      </c>
      <c r="W74" s="110">
        <v>0.71875</v>
      </c>
      <c r="X74" s="211">
        <f>'HVAC Appliances Austin'!X74</f>
        <v>1868.5200000000007</v>
      </c>
      <c r="Y74" s="110">
        <v>0.71875</v>
      </c>
      <c r="Z74" s="211">
        <f>'HVAC Appliances Austin'!Z74</f>
        <v>2413.4880000000007</v>
      </c>
      <c r="AA74" s="21"/>
      <c r="AB74" s="110">
        <v>0.71875</v>
      </c>
      <c r="AC74" s="211">
        <f>'HVAC Appliances Austin'!AC74</f>
        <v>63.495999999999775</v>
      </c>
      <c r="AD74" s="110">
        <v>0.71875</v>
      </c>
      <c r="AE74" s="211">
        <f>'HVAC Appliances Austin'!AE74</f>
        <v>54.140000000000079</v>
      </c>
      <c r="AF74" s="110">
        <v>0.71875</v>
      </c>
      <c r="AG74" s="211">
        <f>'HVAC Appliances Austin'!AG74</f>
        <v>55.291999999999675</v>
      </c>
      <c r="AH74" s="21"/>
      <c r="AI74" s="110">
        <v>0.71875</v>
      </c>
      <c r="AJ74" s="211">
        <f>'HVAC Appliances Austin'!AJ74</f>
        <v>0</v>
      </c>
      <c r="AK74" s="110">
        <v>0.71875</v>
      </c>
      <c r="AL74" s="211">
        <f>'HVAC Appliances Austin'!AL74</f>
        <v>0</v>
      </c>
      <c r="AM74" s="110">
        <v>0.71875</v>
      </c>
      <c r="AN74" s="211">
        <f>'HVAC Appliances Austin'!AN74</f>
        <v>0</v>
      </c>
      <c r="AO74" s="21"/>
      <c r="AP74" s="110">
        <v>0.71875</v>
      </c>
      <c r="AQ74" s="211">
        <f>'HVAC Appliances Austin'!AQ74</f>
        <v>1412.1982013888883</v>
      </c>
      <c r="AR74" s="110">
        <v>0.71875</v>
      </c>
      <c r="AS74" s="211">
        <f>'HVAC Appliances Austin'!AS74</f>
        <v>2324.7178472222222</v>
      </c>
      <c r="AT74" s="110">
        <v>0.71875</v>
      </c>
      <c r="AU74" s="211">
        <f>'HVAC Appliances Austin'!AU74</f>
        <v>3019.1489722222209</v>
      </c>
      <c r="AV74" s="21"/>
      <c r="AW74" s="110">
        <v>0.71875</v>
      </c>
      <c r="AX74" s="211"/>
      <c r="AY74" s="21"/>
      <c r="AZ74" s="110">
        <v>0.71875</v>
      </c>
      <c r="BA74" s="264"/>
      <c r="BC74" s="260">
        <v>0.71875</v>
      </c>
      <c r="BD74" s="211">
        <f>'HVAC Appliances Austin'!BD74</f>
        <v>0</v>
      </c>
      <c r="BE74" s="110">
        <v>0.71875</v>
      </c>
      <c r="BF74" s="211">
        <f>'HVAC Appliances Austin'!BF74</f>
        <v>0</v>
      </c>
      <c r="BG74" s="110">
        <v>0.71875</v>
      </c>
      <c r="BH74" s="211">
        <f>'HVAC Appliances Austin'!BH74</f>
        <v>0</v>
      </c>
      <c r="BI74" s="21"/>
      <c r="BJ74" s="110">
        <v>0.71875</v>
      </c>
      <c r="BK74" s="211">
        <f>'HVAC Appliances Austin'!BK74</f>
        <v>0</v>
      </c>
      <c r="BL74" s="110">
        <v>0.71875</v>
      </c>
      <c r="BM74" s="211">
        <f>'HVAC Appliances Austin'!BM74</f>
        <v>0</v>
      </c>
      <c r="BN74" s="110">
        <v>0.71875</v>
      </c>
      <c r="BO74" s="211">
        <f>'HVAC Appliances Austin'!BO74</f>
        <v>0</v>
      </c>
      <c r="BP74" s="21"/>
      <c r="BQ74" s="110">
        <v>0.71875</v>
      </c>
      <c r="BR74" s="211">
        <f>'HVAC Appliances Austin'!BR74</f>
        <v>0</v>
      </c>
      <c r="BS74" s="110">
        <v>0.71875</v>
      </c>
      <c r="BT74" s="211">
        <f>'HVAC Appliances Austin'!BT74</f>
        <v>0</v>
      </c>
      <c r="BU74" s="110">
        <v>0.71875</v>
      </c>
      <c r="BV74" s="211">
        <f>'HVAC Appliances Austin'!BV74</f>
        <v>0</v>
      </c>
      <c r="BW74" s="21"/>
      <c r="BX74" s="110">
        <v>0.71875</v>
      </c>
      <c r="BY74" s="211">
        <f>'HVAC Appliances Austin'!BY74</f>
        <v>0</v>
      </c>
      <c r="BZ74" s="110">
        <v>0.71875</v>
      </c>
      <c r="CA74" s="211">
        <f>'HVAC Appliances Austin'!CA74</f>
        <v>0</v>
      </c>
      <c r="CB74" s="110">
        <v>0.71875</v>
      </c>
      <c r="CC74" s="211">
        <f>'HVAC Appliances Austin'!CC74</f>
        <v>0</v>
      </c>
      <c r="CD74" s="21"/>
      <c r="CE74" s="110">
        <v>0.71875</v>
      </c>
      <c r="CF74" s="211">
        <f>'HVAC Appliances Austin'!CF74</f>
        <v>86.040833333333339</v>
      </c>
      <c r="CG74" s="110">
        <v>0.71875</v>
      </c>
      <c r="CH74" s="211">
        <f>'HVAC Appliances Austin'!CH74</f>
        <v>164.84333333333333</v>
      </c>
      <c r="CI74" s="110">
        <v>0.71875</v>
      </c>
      <c r="CJ74" s="211">
        <f>'HVAC Appliances Austin'!CJ74</f>
        <v>220.08333333333334</v>
      </c>
      <c r="CK74" s="21"/>
      <c r="CL74" s="110">
        <v>0.71875</v>
      </c>
      <c r="CM74" s="211">
        <f>'HVAC Appliances Austin'!CM74</f>
        <v>0</v>
      </c>
      <c r="CN74" s="110">
        <v>0.71875</v>
      </c>
      <c r="CO74" s="211">
        <f>'HVAC Appliances Austin'!CO74</f>
        <v>0</v>
      </c>
      <c r="CP74" s="110">
        <v>0.71875</v>
      </c>
      <c r="CQ74" s="211">
        <f>'HVAC Appliances Austin'!CQ74</f>
        <v>0</v>
      </c>
      <c r="CR74" s="21"/>
      <c r="CS74" s="110">
        <v>0.71875</v>
      </c>
      <c r="CT74" s="211"/>
      <c r="CU74" s="21"/>
      <c r="CV74" s="110">
        <v>0.71875</v>
      </c>
      <c r="CW74" s="264"/>
      <c r="CY74" s="260">
        <v>0.71875</v>
      </c>
      <c r="CZ74" s="211">
        <f>'HVAC Appliances Austin'!CZ74</f>
        <v>345.45899999999978</v>
      </c>
      <c r="DA74" s="110">
        <v>0.71875</v>
      </c>
      <c r="DB74" s="211">
        <f>'HVAC Appliances Austin'!DB74</f>
        <v>502.8245277777774</v>
      </c>
      <c r="DC74" s="110">
        <v>0.71875</v>
      </c>
      <c r="DD74" s="211">
        <f>'HVAC Appliances Austin'!DD74</f>
        <v>615.73658333333276</v>
      </c>
      <c r="DE74" s="21"/>
      <c r="DF74" s="110">
        <v>0.71875</v>
      </c>
      <c r="DG74" s="211">
        <f>'HVAC Appliances Austin'!DG74</f>
        <v>530.65099999999995</v>
      </c>
      <c r="DH74" s="110">
        <v>0.71875</v>
      </c>
      <c r="DI74" s="211">
        <f>'HVAC Appliances Austin'!DI74</f>
        <v>813.61519444444457</v>
      </c>
      <c r="DJ74" s="110">
        <v>0.71875</v>
      </c>
      <c r="DK74" s="211">
        <f>'HVAC Appliances Austin'!DK74</f>
        <v>1019.4125833333331</v>
      </c>
      <c r="DL74" s="21"/>
      <c r="DM74" s="110">
        <v>0.71875</v>
      </c>
      <c r="DN74" s="211">
        <f>'HVAC Appliances Austin'!DN74</f>
        <v>1170.7240000000006</v>
      </c>
      <c r="DO74" s="110">
        <v>0.71875</v>
      </c>
      <c r="DP74" s="211">
        <f>'HVAC Appliances Austin'!DP74</f>
        <v>1907.0080000000007</v>
      </c>
      <c r="DQ74" s="110">
        <v>0.71875</v>
      </c>
      <c r="DR74" s="211">
        <f>'HVAC Appliances Austin'!DR74</f>
        <v>2447.6920000000014</v>
      </c>
      <c r="DS74" s="21"/>
      <c r="DT74" s="110">
        <v>0.71875</v>
      </c>
      <c r="DU74" s="211">
        <f>'HVAC Appliances Austin'!DU74</f>
        <v>0</v>
      </c>
      <c r="DV74" s="110">
        <v>0.71875</v>
      </c>
      <c r="DW74" s="211">
        <f>'HVAC Appliances Austin'!DW74</f>
        <v>0</v>
      </c>
      <c r="DX74" s="110">
        <v>0.71875</v>
      </c>
      <c r="DY74" s="211">
        <f>'HVAC Appliances Austin'!DY74</f>
        <v>0</v>
      </c>
      <c r="DZ74" s="21"/>
      <c r="EA74" s="110">
        <v>0.71875</v>
      </c>
      <c r="EB74" s="211">
        <f>'HVAC Appliances Amarillo'!EB74</f>
        <v>1596.1104791666667</v>
      </c>
      <c r="EC74" s="110">
        <v>0.71875</v>
      </c>
      <c r="ED74" s="211">
        <f>'HVAC Appliances Amarillo'!ED74</f>
        <v>3251.1225000000004</v>
      </c>
      <c r="EE74" s="110">
        <v>0.71875</v>
      </c>
      <c r="EF74" s="211">
        <f>'HVAC Appliances Amarillo'!EF74</f>
        <v>4381.2433333333338</v>
      </c>
      <c r="EG74" s="21"/>
      <c r="EH74" s="110">
        <v>0.71875</v>
      </c>
      <c r="EI74" s="211">
        <f>'HVAC Appliances Austin'!EI74</f>
        <v>1422.6873333333328</v>
      </c>
      <c r="EJ74" s="110">
        <v>0.71875</v>
      </c>
      <c r="EK74" s="211">
        <f>'HVAC Appliances Austin'!EK74</f>
        <v>2341.6204652777765</v>
      </c>
      <c r="EL74" s="110">
        <v>0.71875</v>
      </c>
      <c r="EM74" s="211">
        <f>'HVAC Appliances Austin'!EM74</f>
        <v>3017.1593958333324</v>
      </c>
      <c r="EN74" s="21"/>
      <c r="EO74" s="110">
        <v>0.71875</v>
      </c>
      <c r="EP74" s="211"/>
      <c r="EQ74" s="21"/>
      <c r="ER74" s="110">
        <v>0.71875</v>
      </c>
      <c r="ES74" s="264"/>
      <c r="EU74" s="260">
        <v>0.71875</v>
      </c>
      <c r="EV74" s="209">
        <f>'HVAC Appliances Amarillo'!EV74</f>
        <v>1596.1104791666667</v>
      </c>
      <c r="EW74" s="110">
        <v>0.71875</v>
      </c>
      <c r="EX74" s="209">
        <f>'HVAC Appliances Amarillo'!EX74</f>
        <v>2480</v>
      </c>
      <c r="EY74" s="110">
        <v>0.71875</v>
      </c>
      <c r="EZ74" s="308">
        <f>'HVAC Appliances Amarillo'!EZ74</f>
        <v>3390</v>
      </c>
    </row>
    <row r="75" spans="1:156" x14ac:dyDescent="0.3">
      <c r="A75" s="108">
        <v>0.71875</v>
      </c>
      <c r="B75" s="226">
        <f t="shared" si="4"/>
        <v>0</v>
      </c>
      <c r="C75" s="21">
        <f t="shared" si="5"/>
        <v>220.08333333333334</v>
      </c>
      <c r="D75" s="20">
        <f t="shared" si="6"/>
        <v>4381.2433333333338</v>
      </c>
      <c r="E75" s="20">
        <f t="shared" si="7"/>
        <v>3390</v>
      </c>
      <c r="G75" s="260">
        <v>0.72916666666666696</v>
      </c>
      <c r="H75" s="211">
        <f>'HVAC Appliances Austin'!H75</f>
        <v>306.24580555555536</v>
      </c>
      <c r="I75" s="110">
        <v>0.72916666666666696</v>
      </c>
      <c r="J75" s="211">
        <f>'HVAC Appliances Austin'!J75</f>
        <v>453.2463888888887</v>
      </c>
      <c r="K75" s="110">
        <v>0.72916666666666696</v>
      </c>
      <c r="L75" s="211">
        <f>'HVAC Appliances Austin'!L75</f>
        <v>554.04688888888791</v>
      </c>
      <c r="M75" s="21"/>
      <c r="N75" s="110">
        <v>0.72916666666666696</v>
      </c>
      <c r="O75" s="211">
        <f>'HVAC Appliances Austin'!O75</f>
        <v>484.95113888888886</v>
      </c>
      <c r="P75" s="110">
        <v>0.72916666666666696</v>
      </c>
      <c r="Q75" s="211">
        <f>'HVAC Appliances Austin'!Q75</f>
        <v>753.21972222222212</v>
      </c>
      <c r="R75" s="110">
        <v>0.72916666666666696</v>
      </c>
      <c r="S75" s="211">
        <f>'HVAC Appliances Austin'!S75</f>
        <v>943.56422222222182</v>
      </c>
      <c r="T75" s="21"/>
      <c r="U75" s="110">
        <v>0.72916666666666696</v>
      </c>
      <c r="V75" s="211">
        <f>'HVAC Appliances Austin'!V75</f>
        <v>1143.8239999999998</v>
      </c>
      <c r="W75" s="110">
        <v>0.72916666666666696</v>
      </c>
      <c r="X75" s="211">
        <f>'HVAC Appliances Austin'!X75</f>
        <v>1868.5200000000007</v>
      </c>
      <c r="Y75" s="110">
        <v>0.72916666666666696</v>
      </c>
      <c r="Z75" s="211">
        <f>'HVAC Appliances Austin'!Z75</f>
        <v>2413.4880000000007</v>
      </c>
      <c r="AA75" s="21"/>
      <c r="AB75" s="110">
        <v>0.72916666666666696</v>
      </c>
      <c r="AC75" s="211">
        <f>'HVAC Appliances Austin'!AC75</f>
        <v>63.495999999999775</v>
      </c>
      <c r="AD75" s="110">
        <v>0.72916666666666696</v>
      </c>
      <c r="AE75" s="211">
        <f>'HVAC Appliances Austin'!AE75</f>
        <v>54.140000000000079</v>
      </c>
      <c r="AF75" s="110">
        <v>0.72916666666666696</v>
      </c>
      <c r="AG75" s="211">
        <f>'HVAC Appliances Austin'!AG75</f>
        <v>55.291999999999675</v>
      </c>
      <c r="AH75" s="21"/>
      <c r="AI75" s="110">
        <v>0.72916666666666696</v>
      </c>
      <c r="AJ75" s="211">
        <f>'HVAC Appliances Austin'!AJ75</f>
        <v>0</v>
      </c>
      <c r="AK75" s="110">
        <v>0.72916666666666696</v>
      </c>
      <c r="AL75" s="211">
        <f>'HVAC Appliances Austin'!AL75</f>
        <v>0</v>
      </c>
      <c r="AM75" s="110">
        <v>0.72916666666666696</v>
      </c>
      <c r="AN75" s="211">
        <f>'HVAC Appliances Austin'!AN75</f>
        <v>0</v>
      </c>
      <c r="AO75" s="21"/>
      <c r="AP75" s="110">
        <v>0.72916666666666696</v>
      </c>
      <c r="AQ75" s="211">
        <f>'HVAC Appliances Austin'!AQ75</f>
        <v>1412.1982013888883</v>
      </c>
      <c r="AR75" s="110">
        <v>0.72916666666666696</v>
      </c>
      <c r="AS75" s="211">
        <f>'HVAC Appliances Austin'!AS75</f>
        <v>2324.7178472222222</v>
      </c>
      <c r="AT75" s="110">
        <v>0.72916666666666696</v>
      </c>
      <c r="AU75" s="211">
        <f>'HVAC Appliances Austin'!AU75</f>
        <v>3019.1489722222209</v>
      </c>
      <c r="AV75" s="21"/>
      <c r="AW75" s="110">
        <v>0.72916666666666696</v>
      </c>
      <c r="AX75" s="211"/>
      <c r="AY75" s="21"/>
      <c r="AZ75" s="110">
        <v>0.72916666666666696</v>
      </c>
      <c r="BA75" s="264"/>
      <c r="BC75" s="260">
        <v>0.72916666666666696</v>
      </c>
      <c r="BD75" s="211">
        <f>'HVAC Appliances Austin'!BD75</f>
        <v>0</v>
      </c>
      <c r="BE75" s="110">
        <v>0.72916666666666696</v>
      </c>
      <c r="BF75" s="211">
        <f>'HVAC Appliances Austin'!BF75</f>
        <v>0</v>
      </c>
      <c r="BG75" s="110">
        <v>0.72916666666666696</v>
      </c>
      <c r="BH75" s="211">
        <f>'HVAC Appliances Austin'!BH75</f>
        <v>0</v>
      </c>
      <c r="BI75" s="21"/>
      <c r="BJ75" s="110">
        <v>0.72916666666666696</v>
      </c>
      <c r="BK75" s="211">
        <f>'HVAC Appliances Austin'!BK75</f>
        <v>0</v>
      </c>
      <c r="BL75" s="110">
        <v>0.72916666666666696</v>
      </c>
      <c r="BM75" s="211">
        <f>'HVAC Appliances Austin'!BM75</f>
        <v>0</v>
      </c>
      <c r="BN75" s="110">
        <v>0.72916666666666696</v>
      </c>
      <c r="BO75" s="211">
        <f>'HVAC Appliances Austin'!BO75</f>
        <v>0</v>
      </c>
      <c r="BP75" s="21"/>
      <c r="BQ75" s="110">
        <v>0.72916666666666696</v>
      </c>
      <c r="BR75" s="211">
        <f>'HVAC Appliances Austin'!BR75</f>
        <v>0</v>
      </c>
      <c r="BS75" s="110">
        <v>0.72916666666666696</v>
      </c>
      <c r="BT75" s="211">
        <f>'HVAC Appliances Austin'!BT75</f>
        <v>0</v>
      </c>
      <c r="BU75" s="110">
        <v>0.72916666666666696</v>
      </c>
      <c r="BV75" s="211">
        <f>'HVAC Appliances Austin'!BV75</f>
        <v>0</v>
      </c>
      <c r="BW75" s="21"/>
      <c r="BX75" s="110">
        <v>0.72916666666666696</v>
      </c>
      <c r="BY75" s="211">
        <f>'HVAC Appliances Austin'!BY75</f>
        <v>0</v>
      </c>
      <c r="BZ75" s="110">
        <v>0.72916666666666696</v>
      </c>
      <c r="CA75" s="211">
        <f>'HVAC Appliances Austin'!CA75</f>
        <v>0</v>
      </c>
      <c r="CB75" s="110">
        <v>0.72916666666666696</v>
      </c>
      <c r="CC75" s="211">
        <f>'HVAC Appliances Austin'!CC75</f>
        <v>0</v>
      </c>
      <c r="CD75" s="21"/>
      <c r="CE75" s="110">
        <v>0.72916666666666696</v>
      </c>
      <c r="CF75" s="211">
        <f>'HVAC Appliances Austin'!CF75</f>
        <v>86.040833333333339</v>
      </c>
      <c r="CG75" s="110">
        <v>0.72916666666666696</v>
      </c>
      <c r="CH75" s="211">
        <f>'HVAC Appliances Austin'!CH75</f>
        <v>164.84333333333333</v>
      </c>
      <c r="CI75" s="110">
        <v>0.72916666666666696</v>
      </c>
      <c r="CJ75" s="211">
        <f>'HVAC Appliances Austin'!CJ75</f>
        <v>220.08333333333334</v>
      </c>
      <c r="CK75" s="21"/>
      <c r="CL75" s="110">
        <v>0.72916666666666696</v>
      </c>
      <c r="CM75" s="211">
        <f>'HVAC Appliances Austin'!CM75</f>
        <v>0</v>
      </c>
      <c r="CN75" s="110">
        <v>0.72916666666666696</v>
      </c>
      <c r="CO75" s="211">
        <f>'HVAC Appliances Austin'!CO75</f>
        <v>0</v>
      </c>
      <c r="CP75" s="110">
        <v>0.72916666666666696</v>
      </c>
      <c r="CQ75" s="211">
        <f>'HVAC Appliances Austin'!CQ75</f>
        <v>0</v>
      </c>
      <c r="CR75" s="21"/>
      <c r="CS75" s="110">
        <v>0.72916666666666696</v>
      </c>
      <c r="CT75" s="211"/>
      <c r="CU75" s="21"/>
      <c r="CV75" s="110">
        <v>0.72916666666666696</v>
      </c>
      <c r="CW75" s="264"/>
      <c r="CY75" s="260">
        <v>0.72916666666666696</v>
      </c>
      <c r="CZ75" s="211">
        <f>'HVAC Appliances Austin'!CZ75</f>
        <v>345.45899999999978</v>
      </c>
      <c r="DA75" s="110">
        <v>0.72916666666666696</v>
      </c>
      <c r="DB75" s="211">
        <f>'HVAC Appliances Austin'!DB75</f>
        <v>502.8245277777774</v>
      </c>
      <c r="DC75" s="110">
        <v>0.72916666666666696</v>
      </c>
      <c r="DD75" s="211">
        <f>'HVAC Appliances Austin'!DD75</f>
        <v>615.73658333333276</v>
      </c>
      <c r="DE75" s="21"/>
      <c r="DF75" s="110">
        <v>0.72916666666666696</v>
      </c>
      <c r="DG75" s="211">
        <f>'HVAC Appliances Austin'!DG75</f>
        <v>530.65099999999995</v>
      </c>
      <c r="DH75" s="110">
        <v>0.72916666666666696</v>
      </c>
      <c r="DI75" s="211">
        <f>'HVAC Appliances Austin'!DI75</f>
        <v>813.61519444444457</v>
      </c>
      <c r="DJ75" s="110">
        <v>0.72916666666666696</v>
      </c>
      <c r="DK75" s="211">
        <f>'HVAC Appliances Austin'!DK75</f>
        <v>1019.4125833333331</v>
      </c>
      <c r="DL75" s="21"/>
      <c r="DM75" s="110">
        <v>0.72916666666666696</v>
      </c>
      <c r="DN75" s="211">
        <f>'HVAC Appliances Austin'!DN75</f>
        <v>1170.7240000000006</v>
      </c>
      <c r="DO75" s="110">
        <v>0.72916666666666696</v>
      </c>
      <c r="DP75" s="211">
        <f>'HVAC Appliances Austin'!DP75</f>
        <v>1907.0080000000007</v>
      </c>
      <c r="DQ75" s="110">
        <v>0.72916666666666696</v>
      </c>
      <c r="DR75" s="211">
        <f>'HVAC Appliances Austin'!DR75</f>
        <v>2447.6920000000014</v>
      </c>
      <c r="DS75" s="21"/>
      <c r="DT75" s="110">
        <v>0.72916666666666696</v>
      </c>
      <c r="DU75" s="211">
        <f>'HVAC Appliances Austin'!DU75</f>
        <v>0</v>
      </c>
      <c r="DV75" s="110">
        <v>0.72916666666666696</v>
      </c>
      <c r="DW75" s="211">
        <f>'HVAC Appliances Austin'!DW75</f>
        <v>0</v>
      </c>
      <c r="DX75" s="110">
        <v>0.72916666666666696</v>
      </c>
      <c r="DY75" s="211">
        <f>'HVAC Appliances Austin'!DY75</f>
        <v>0</v>
      </c>
      <c r="DZ75" s="21"/>
      <c r="EA75" s="110">
        <v>0.72916666666666696</v>
      </c>
      <c r="EB75" s="211">
        <f>'HVAC Appliances Amarillo'!EB75</f>
        <v>1596.1104791666667</v>
      </c>
      <c r="EC75" s="110">
        <v>0.72916666666666696</v>
      </c>
      <c r="ED75" s="211">
        <f>'HVAC Appliances Amarillo'!ED75</f>
        <v>3251.1225000000004</v>
      </c>
      <c r="EE75" s="110">
        <v>0.72916666666666696</v>
      </c>
      <c r="EF75" s="211">
        <f>'HVAC Appliances Amarillo'!EF75</f>
        <v>4381.2433333333338</v>
      </c>
      <c r="EG75" s="21"/>
      <c r="EH75" s="110">
        <v>0.72916666666666696</v>
      </c>
      <c r="EI75" s="211">
        <f>'HVAC Appliances Austin'!EI75</f>
        <v>1422.6873333333328</v>
      </c>
      <c r="EJ75" s="110">
        <v>0.72916666666666696</v>
      </c>
      <c r="EK75" s="211">
        <f>'HVAC Appliances Austin'!EK75</f>
        <v>2341.6204652777765</v>
      </c>
      <c r="EL75" s="110">
        <v>0.72916666666666696</v>
      </c>
      <c r="EM75" s="211">
        <f>'HVAC Appliances Austin'!EM75</f>
        <v>3017.1593958333324</v>
      </c>
      <c r="EN75" s="21"/>
      <c r="EO75" s="110">
        <v>0.72916666666666696</v>
      </c>
      <c r="EP75" s="211"/>
      <c r="EQ75" s="21"/>
      <c r="ER75" s="110">
        <v>0.72916666666666696</v>
      </c>
      <c r="ES75" s="264"/>
      <c r="EU75" s="260">
        <v>0.72916666666666696</v>
      </c>
      <c r="EV75" s="209">
        <f>'HVAC Appliances Amarillo'!EV75</f>
        <v>1596.1104791666667</v>
      </c>
      <c r="EW75" s="110">
        <v>0.72916666666666696</v>
      </c>
      <c r="EX75" s="209">
        <f>'HVAC Appliances Amarillo'!EX75</f>
        <v>2480</v>
      </c>
      <c r="EY75" s="110">
        <v>0.72916666666666696</v>
      </c>
      <c r="EZ75" s="308">
        <f>'HVAC Appliances Amarillo'!EZ75</f>
        <v>3390</v>
      </c>
    </row>
    <row r="76" spans="1:156" x14ac:dyDescent="0.3">
      <c r="A76" s="108">
        <v>0.72916666666666696</v>
      </c>
      <c r="B76" s="226">
        <f t="shared" si="4"/>
        <v>0</v>
      </c>
      <c r="C76" s="21">
        <f t="shared" si="5"/>
        <v>220.08333333333334</v>
      </c>
      <c r="D76" s="20">
        <f t="shared" si="6"/>
        <v>4381.2433333333338</v>
      </c>
      <c r="E76" s="20">
        <f t="shared" si="7"/>
        <v>3390</v>
      </c>
      <c r="G76" s="260">
        <v>0.73958333333333304</v>
      </c>
      <c r="H76" s="211">
        <f>'HVAC Appliances Austin'!H76</f>
        <v>306.24580555555536</v>
      </c>
      <c r="I76" s="110">
        <v>0.73958333333333304</v>
      </c>
      <c r="J76" s="211">
        <f>'HVAC Appliances Austin'!J76</f>
        <v>453.2463888888887</v>
      </c>
      <c r="K76" s="110">
        <v>0.73958333333333304</v>
      </c>
      <c r="L76" s="211">
        <f>'HVAC Appliances Austin'!L76</f>
        <v>554.04688888888791</v>
      </c>
      <c r="M76" s="21"/>
      <c r="N76" s="110">
        <v>0.73958333333333304</v>
      </c>
      <c r="O76" s="211">
        <f>'HVAC Appliances Austin'!O76</f>
        <v>484.95113888888886</v>
      </c>
      <c r="P76" s="110">
        <v>0.73958333333333304</v>
      </c>
      <c r="Q76" s="211">
        <f>'HVAC Appliances Austin'!Q76</f>
        <v>753.21972222222212</v>
      </c>
      <c r="R76" s="110">
        <v>0.73958333333333304</v>
      </c>
      <c r="S76" s="211">
        <f>'HVAC Appliances Austin'!S76</f>
        <v>943.56422222222182</v>
      </c>
      <c r="T76" s="21"/>
      <c r="U76" s="110">
        <v>0.73958333333333304</v>
      </c>
      <c r="V76" s="211">
        <f>'HVAC Appliances Austin'!V76</f>
        <v>1143.8239999999998</v>
      </c>
      <c r="W76" s="110">
        <v>0.73958333333333304</v>
      </c>
      <c r="X76" s="211">
        <f>'HVAC Appliances Austin'!X76</f>
        <v>1868.5200000000007</v>
      </c>
      <c r="Y76" s="110">
        <v>0.73958333333333304</v>
      </c>
      <c r="Z76" s="211">
        <f>'HVAC Appliances Austin'!Z76</f>
        <v>2413.4880000000007</v>
      </c>
      <c r="AA76" s="21"/>
      <c r="AB76" s="110">
        <v>0.73958333333333304</v>
      </c>
      <c r="AC76" s="211">
        <f>'HVAC Appliances Austin'!AC76</f>
        <v>63.495999999999775</v>
      </c>
      <c r="AD76" s="110">
        <v>0.73958333333333304</v>
      </c>
      <c r="AE76" s="211">
        <f>'HVAC Appliances Austin'!AE76</f>
        <v>54.140000000000079</v>
      </c>
      <c r="AF76" s="110">
        <v>0.73958333333333304</v>
      </c>
      <c r="AG76" s="211">
        <f>'HVAC Appliances Austin'!AG76</f>
        <v>55.291999999999675</v>
      </c>
      <c r="AH76" s="21"/>
      <c r="AI76" s="110">
        <v>0.73958333333333304</v>
      </c>
      <c r="AJ76" s="211">
        <f>'HVAC Appliances Austin'!AJ76</f>
        <v>0</v>
      </c>
      <c r="AK76" s="110">
        <v>0.73958333333333304</v>
      </c>
      <c r="AL76" s="211">
        <f>'HVAC Appliances Austin'!AL76</f>
        <v>0</v>
      </c>
      <c r="AM76" s="110">
        <v>0.73958333333333304</v>
      </c>
      <c r="AN76" s="211">
        <f>'HVAC Appliances Austin'!AN76</f>
        <v>0</v>
      </c>
      <c r="AO76" s="21"/>
      <c r="AP76" s="110">
        <v>0.73958333333333304</v>
      </c>
      <c r="AQ76" s="211">
        <f>'HVAC Appliances Austin'!AQ76</f>
        <v>1412.1982013888883</v>
      </c>
      <c r="AR76" s="110">
        <v>0.73958333333333304</v>
      </c>
      <c r="AS76" s="211">
        <f>'HVAC Appliances Austin'!AS76</f>
        <v>2324.7178472222222</v>
      </c>
      <c r="AT76" s="110">
        <v>0.73958333333333304</v>
      </c>
      <c r="AU76" s="211">
        <f>'HVAC Appliances Austin'!AU76</f>
        <v>3019.1489722222209</v>
      </c>
      <c r="AV76" s="21"/>
      <c r="AW76" s="110">
        <v>0.73958333333333304</v>
      </c>
      <c r="AX76" s="211"/>
      <c r="AY76" s="21"/>
      <c r="AZ76" s="110">
        <v>0.73958333333333304</v>
      </c>
      <c r="BA76" s="264"/>
      <c r="BC76" s="260">
        <v>0.73958333333333304</v>
      </c>
      <c r="BD76" s="211">
        <f>'HVAC Appliances Austin'!BD76</f>
        <v>0</v>
      </c>
      <c r="BE76" s="110">
        <v>0.73958333333333304</v>
      </c>
      <c r="BF76" s="211">
        <f>'HVAC Appliances Austin'!BF76</f>
        <v>0</v>
      </c>
      <c r="BG76" s="110">
        <v>0.73958333333333304</v>
      </c>
      <c r="BH76" s="211">
        <f>'HVAC Appliances Austin'!BH76</f>
        <v>0</v>
      </c>
      <c r="BI76" s="21"/>
      <c r="BJ76" s="110">
        <v>0.73958333333333304</v>
      </c>
      <c r="BK76" s="211">
        <f>'HVAC Appliances Austin'!BK76</f>
        <v>0</v>
      </c>
      <c r="BL76" s="110">
        <v>0.73958333333333304</v>
      </c>
      <c r="BM76" s="211">
        <f>'HVAC Appliances Austin'!BM76</f>
        <v>0</v>
      </c>
      <c r="BN76" s="110">
        <v>0.73958333333333304</v>
      </c>
      <c r="BO76" s="211">
        <f>'HVAC Appliances Austin'!BO76</f>
        <v>0</v>
      </c>
      <c r="BP76" s="21"/>
      <c r="BQ76" s="110">
        <v>0.73958333333333304</v>
      </c>
      <c r="BR76" s="211">
        <f>'HVAC Appliances Austin'!BR76</f>
        <v>0</v>
      </c>
      <c r="BS76" s="110">
        <v>0.73958333333333304</v>
      </c>
      <c r="BT76" s="211">
        <f>'HVAC Appliances Austin'!BT76</f>
        <v>0</v>
      </c>
      <c r="BU76" s="110">
        <v>0.73958333333333304</v>
      </c>
      <c r="BV76" s="211">
        <f>'HVAC Appliances Austin'!BV76</f>
        <v>0</v>
      </c>
      <c r="BW76" s="21"/>
      <c r="BX76" s="110">
        <v>0.73958333333333304</v>
      </c>
      <c r="BY76" s="211">
        <f>'HVAC Appliances Austin'!BY76</f>
        <v>0</v>
      </c>
      <c r="BZ76" s="110">
        <v>0.73958333333333304</v>
      </c>
      <c r="CA76" s="211">
        <f>'HVAC Appliances Austin'!CA76</f>
        <v>0</v>
      </c>
      <c r="CB76" s="110">
        <v>0.73958333333333304</v>
      </c>
      <c r="CC76" s="211">
        <f>'HVAC Appliances Austin'!CC76</f>
        <v>0</v>
      </c>
      <c r="CD76" s="21"/>
      <c r="CE76" s="110">
        <v>0.73958333333333304</v>
      </c>
      <c r="CF76" s="211">
        <f>'HVAC Appliances Austin'!CF76</f>
        <v>86.040833333333339</v>
      </c>
      <c r="CG76" s="110">
        <v>0.73958333333333304</v>
      </c>
      <c r="CH76" s="211">
        <f>'HVAC Appliances Austin'!CH76</f>
        <v>164.84333333333333</v>
      </c>
      <c r="CI76" s="110">
        <v>0.73958333333333304</v>
      </c>
      <c r="CJ76" s="211">
        <f>'HVAC Appliances Austin'!CJ76</f>
        <v>220.08333333333334</v>
      </c>
      <c r="CK76" s="21"/>
      <c r="CL76" s="110">
        <v>0.73958333333333304</v>
      </c>
      <c r="CM76" s="211">
        <f>'HVAC Appliances Austin'!CM76</f>
        <v>0</v>
      </c>
      <c r="CN76" s="110">
        <v>0.73958333333333304</v>
      </c>
      <c r="CO76" s="211">
        <f>'HVAC Appliances Austin'!CO76</f>
        <v>0</v>
      </c>
      <c r="CP76" s="110">
        <v>0.73958333333333304</v>
      </c>
      <c r="CQ76" s="211">
        <f>'HVAC Appliances Austin'!CQ76</f>
        <v>0</v>
      </c>
      <c r="CR76" s="21"/>
      <c r="CS76" s="110">
        <v>0.73958333333333304</v>
      </c>
      <c r="CT76" s="211"/>
      <c r="CU76" s="21"/>
      <c r="CV76" s="110">
        <v>0.73958333333333304</v>
      </c>
      <c r="CW76" s="264"/>
      <c r="CY76" s="260">
        <v>0.73958333333333304</v>
      </c>
      <c r="CZ76" s="211">
        <f>'HVAC Appliances Austin'!CZ76</f>
        <v>345.45899999999978</v>
      </c>
      <c r="DA76" s="110">
        <v>0.73958333333333304</v>
      </c>
      <c r="DB76" s="211">
        <f>'HVAC Appliances Austin'!DB76</f>
        <v>502.8245277777774</v>
      </c>
      <c r="DC76" s="110">
        <v>0.73958333333333304</v>
      </c>
      <c r="DD76" s="211">
        <f>'HVAC Appliances Austin'!DD76</f>
        <v>615.73658333333276</v>
      </c>
      <c r="DE76" s="21"/>
      <c r="DF76" s="110">
        <v>0.73958333333333304</v>
      </c>
      <c r="DG76" s="211">
        <f>'HVAC Appliances Austin'!DG76</f>
        <v>530.65099999999995</v>
      </c>
      <c r="DH76" s="110">
        <v>0.73958333333333304</v>
      </c>
      <c r="DI76" s="211">
        <f>'HVAC Appliances Austin'!DI76</f>
        <v>813.61519444444457</v>
      </c>
      <c r="DJ76" s="110">
        <v>0.73958333333333304</v>
      </c>
      <c r="DK76" s="211">
        <f>'HVAC Appliances Austin'!DK76</f>
        <v>1019.4125833333331</v>
      </c>
      <c r="DL76" s="21"/>
      <c r="DM76" s="110">
        <v>0.73958333333333304</v>
      </c>
      <c r="DN76" s="211">
        <f>'HVAC Appliances Austin'!DN76</f>
        <v>1170.7240000000006</v>
      </c>
      <c r="DO76" s="110">
        <v>0.73958333333333304</v>
      </c>
      <c r="DP76" s="211">
        <f>'HVAC Appliances Austin'!DP76</f>
        <v>1907.0080000000007</v>
      </c>
      <c r="DQ76" s="110">
        <v>0.73958333333333304</v>
      </c>
      <c r="DR76" s="211">
        <f>'HVAC Appliances Austin'!DR76</f>
        <v>2447.6920000000014</v>
      </c>
      <c r="DS76" s="21"/>
      <c r="DT76" s="110">
        <v>0.73958333333333304</v>
      </c>
      <c r="DU76" s="211">
        <f>'HVAC Appliances Austin'!DU76</f>
        <v>0</v>
      </c>
      <c r="DV76" s="110">
        <v>0.73958333333333304</v>
      </c>
      <c r="DW76" s="211">
        <f>'HVAC Appliances Austin'!DW76</f>
        <v>0</v>
      </c>
      <c r="DX76" s="110">
        <v>0.73958333333333304</v>
      </c>
      <c r="DY76" s="211">
        <f>'HVAC Appliances Austin'!DY76</f>
        <v>0</v>
      </c>
      <c r="DZ76" s="21"/>
      <c r="EA76" s="110">
        <v>0.73958333333333304</v>
      </c>
      <c r="EB76" s="211">
        <f>'HVAC Appliances Amarillo'!EB76</f>
        <v>1596.1104791666667</v>
      </c>
      <c r="EC76" s="110">
        <v>0.73958333333333304</v>
      </c>
      <c r="ED76" s="211">
        <f>'HVAC Appliances Amarillo'!ED76</f>
        <v>3251.1225000000004</v>
      </c>
      <c r="EE76" s="110">
        <v>0.73958333333333304</v>
      </c>
      <c r="EF76" s="211">
        <f>'HVAC Appliances Amarillo'!EF76</f>
        <v>4381.2433333333338</v>
      </c>
      <c r="EG76" s="21"/>
      <c r="EH76" s="110">
        <v>0.73958333333333304</v>
      </c>
      <c r="EI76" s="211">
        <f>'HVAC Appliances Austin'!EI76</f>
        <v>1422.6873333333328</v>
      </c>
      <c r="EJ76" s="110">
        <v>0.73958333333333304</v>
      </c>
      <c r="EK76" s="211">
        <f>'HVAC Appliances Austin'!EK76</f>
        <v>2341.6204652777765</v>
      </c>
      <c r="EL76" s="110">
        <v>0.73958333333333304</v>
      </c>
      <c r="EM76" s="211">
        <f>'HVAC Appliances Austin'!EM76</f>
        <v>3017.1593958333324</v>
      </c>
      <c r="EN76" s="21"/>
      <c r="EO76" s="110">
        <v>0.73958333333333304</v>
      </c>
      <c r="EP76" s="211"/>
      <c r="EQ76" s="21"/>
      <c r="ER76" s="110">
        <v>0.73958333333333304</v>
      </c>
      <c r="ES76" s="264"/>
      <c r="EU76" s="260">
        <v>0.73958333333333304</v>
      </c>
      <c r="EV76" s="209">
        <f>'HVAC Appliances Amarillo'!EV76</f>
        <v>1596.1104791666667</v>
      </c>
      <c r="EW76" s="110">
        <v>0.73958333333333304</v>
      </c>
      <c r="EX76" s="209">
        <f>'HVAC Appliances Amarillo'!EX76</f>
        <v>2480</v>
      </c>
      <c r="EY76" s="110">
        <v>0.73958333333333304</v>
      </c>
      <c r="EZ76" s="308">
        <f>'HVAC Appliances Amarillo'!EZ76</f>
        <v>3390</v>
      </c>
    </row>
    <row r="77" spans="1:156" x14ac:dyDescent="0.3">
      <c r="A77" s="108">
        <v>0.73958333333333304</v>
      </c>
      <c r="B77" s="226">
        <f t="shared" si="4"/>
        <v>0</v>
      </c>
      <c r="C77" s="21">
        <f t="shared" si="5"/>
        <v>220.08333333333334</v>
      </c>
      <c r="D77" s="20">
        <f t="shared" si="6"/>
        <v>4381.2433333333338</v>
      </c>
      <c r="E77" s="20">
        <f t="shared" si="7"/>
        <v>3390</v>
      </c>
      <c r="G77" s="260">
        <v>0.75</v>
      </c>
      <c r="H77" s="211">
        <f>'HVAC Appliances Austin'!H77</f>
        <v>223.0002499999998</v>
      </c>
      <c r="I77" s="110">
        <v>0.75</v>
      </c>
      <c r="J77" s="211">
        <f>'HVAC Appliances Austin'!J77</f>
        <v>314.46750000000014</v>
      </c>
      <c r="K77" s="110">
        <v>0.75</v>
      </c>
      <c r="L77" s="211">
        <f>'HVAC Appliances Austin'!L77</f>
        <v>376.0680000000001</v>
      </c>
      <c r="M77" s="21"/>
      <c r="N77" s="110">
        <v>0.75</v>
      </c>
      <c r="O77" s="211">
        <f>'HVAC Appliances Austin'!O77</f>
        <v>375.18025</v>
      </c>
      <c r="P77" s="110">
        <v>0.75</v>
      </c>
      <c r="Q77" s="211">
        <f>'HVAC Appliances Austin'!Q77</f>
        <v>568.70749999999987</v>
      </c>
      <c r="R77" s="110">
        <v>0.75</v>
      </c>
      <c r="S77" s="211">
        <f>'HVAC Appliances Austin'!S77</f>
        <v>703.38799999999992</v>
      </c>
      <c r="T77" s="21"/>
      <c r="U77" s="110">
        <v>0.75</v>
      </c>
      <c r="V77" s="211">
        <f>'HVAC Appliances Austin'!V77</f>
        <v>1111.0482013888889</v>
      </c>
      <c r="W77" s="110">
        <v>0.75</v>
      </c>
      <c r="X77" s="211">
        <f>'HVAC Appliances Austin'!X77</f>
        <v>1812.8578472222227</v>
      </c>
      <c r="Y77" s="110">
        <v>0.75</v>
      </c>
      <c r="Z77" s="211">
        <f>'HVAC Appliances Austin'!Z77</f>
        <v>2339.7089722222222</v>
      </c>
      <c r="AA77" s="21"/>
      <c r="AB77" s="110">
        <v>0.75</v>
      </c>
      <c r="AC77" s="211">
        <f>'HVAC Appliances Austin'!AC77</f>
        <v>63.495999999999775</v>
      </c>
      <c r="AD77" s="110">
        <v>0.75</v>
      </c>
      <c r="AE77" s="211">
        <f>'HVAC Appliances Austin'!AE77</f>
        <v>54.140000000000079</v>
      </c>
      <c r="AF77" s="110">
        <v>0.75</v>
      </c>
      <c r="AG77" s="211">
        <f>'HVAC Appliances Austin'!AG77</f>
        <v>55.291999999999675</v>
      </c>
      <c r="AH77" s="21"/>
      <c r="AI77" s="110">
        <v>0.75</v>
      </c>
      <c r="AJ77" s="211">
        <f>'HVAC Appliances Austin'!AJ77</f>
        <v>0</v>
      </c>
      <c r="AK77" s="110">
        <v>0.75</v>
      </c>
      <c r="AL77" s="211">
        <f>'HVAC Appliances Austin'!AL77</f>
        <v>0</v>
      </c>
      <c r="AM77" s="110">
        <v>0.75</v>
      </c>
      <c r="AN77" s="211">
        <f>'HVAC Appliances Austin'!AN77</f>
        <v>0</v>
      </c>
      <c r="AO77" s="21"/>
      <c r="AP77" s="110">
        <v>0.75</v>
      </c>
      <c r="AQ77" s="211">
        <f>'HVAC Appliances Austin'!AQ77</f>
        <v>1370.4465347222224</v>
      </c>
      <c r="AR77" s="110">
        <v>0.75</v>
      </c>
      <c r="AS77" s="211">
        <f>'HVAC Appliances Austin'!AS77</f>
        <v>2253.7011805555562</v>
      </c>
      <c r="AT77" s="110">
        <v>0.75</v>
      </c>
      <c r="AU77" s="211">
        <f>'HVAC Appliances Austin'!AU77</f>
        <v>2924.762305555555</v>
      </c>
      <c r="AV77" s="21"/>
      <c r="AW77" s="110">
        <v>0.75</v>
      </c>
      <c r="AX77" s="211"/>
      <c r="AY77" s="21"/>
      <c r="AZ77" s="110">
        <v>0.75</v>
      </c>
      <c r="BA77" s="264"/>
      <c r="BC77" s="260">
        <v>0.75</v>
      </c>
      <c r="BD77" s="211">
        <f>'HVAC Appliances Austin'!BD77</f>
        <v>0</v>
      </c>
      <c r="BE77" s="110">
        <v>0.75</v>
      </c>
      <c r="BF77" s="211">
        <f>'HVAC Appliances Austin'!BF77</f>
        <v>0</v>
      </c>
      <c r="BG77" s="110">
        <v>0.75</v>
      </c>
      <c r="BH77" s="211">
        <f>'HVAC Appliances Austin'!BH77</f>
        <v>0</v>
      </c>
      <c r="BI77" s="21"/>
      <c r="BJ77" s="110">
        <v>0.75</v>
      </c>
      <c r="BK77" s="211">
        <f>'HVAC Appliances Austin'!BK77</f>
        <v>0</v>
      </c>
      <c r="BL77" s="110">
        <v>0.75</v>
      </c>
      <c r="BM77" s="211">
        <f>'HVAC Appliances Austin'!BM77</f>
        <v>0</v>
      </c>
      <c r="BN77" s="110">
        <v>0.75</v>
      </c>
      <c r="BO77" s="211">
        <f>'HVAC Appliances Austin'!BO77</f>
        <v>0</v>
      </c>
      <c r="BP77" s="21"/>
      <c r="BQ77" s="110">
        <v>0.75</v>
      </c>
      <c r="BR77" s="211">
        <f>'HVAC Appliances Austin'!BR77</f>
        <v>0</v>
      </c>
      <c r="BS77" s="110">
        <v>0.75</v>
      </c>
      <c r="BT77" s="211">
        <f>'HVAC Appliances Austin'!BT77</f>
        <v>0</v>
      </c>
      <c r="BU77" s="110">
        <v>0.75</v>
      </c>
      <c r="BV77" s="211">
        <f>'HVAC Appliances Austin'!BV77</f>
        <v>0</v>
      </c>
      <c r="BW77" s="21"/>
      <c r="BX77" s="110">
        <v>0.75</v>
      </c>
      <c r="BY77" s="211">
        <f>'HVAC Appliances Austin'!BY77</f>
        <v>0</v>
      </c>
      <c r="BZ77" s="110">
        <v>0.75</v>
      </c>
      <c r="CA77" s="211">
        <f>'HVAC Appliances Austin'!CA77</f>
        <v>0</v>
      </c>
      <c r="CB77" s="110">
        <v>0.75</v>
      </c>
      <c r="CC77" s="211">
        <f>'HVAC Appliances Austin'!CC77</f>
        <v>0</v>
      </c>
      <c r="CD77" s="21"/>
      <c r="CE77" s="110">
        <v>0.75</v>
      </c>
      <c r="CF77" s="211">
        <f>'HVAC Appliances Austin'!CF77</f>
        <v>92.207499999999996</v>
      </c>
      <c r="CG77" s="110">
        <v>0.75</v>
      </c>
      <c r="CH77" s="211">
        <f>'HVAC Appliances Austin'!CH77</f>
        <v>177.51</v>
      </c>
      <c r="CI77" s="110">
        <v>0.75</v>
      </c>
      <c r="CJ77" s="211">
        <f>'HVAC Appliances Austin'!CJ77</f>
        <v>236.75000000000003</v>
      </c>
      <c r="CK77" s="21"/>
      <c r="CL77" s="110">
        <v>0.75</v>
      </c>
      <c r="CM77" s="211">
        <f>'HVAC Appliances Austin'!CM77</f>
        <v>0</v>
      </c>
      <c r="CN77" s="110">
        <v>0.75</v>
      </c>
      <c r="CO77" s="211">
        <f>'HVAC Appliances Austin'!CO77</f>
        <v>0</v>
      </c>
      <c r="CP77" s="110">
        <v>0.75</v>
      </c>
      <c r="CQ77" s="211">
        <f>'HVAC Appliances Austin'!CQ77</f>
        <v>0</v>
      </c>
      <c r="CR77" s="21"/>
      <c r="CS77" s="110">
        <v>0.75</v>
      </c>
      <c r="CT77" s="211"/>
      <c r="CU77" s="21"/>
      <c r="CV77" s="110">
        <v>0.75</v>
      </c>
      <c r="CW77" s="264"/>
      <c r="CY77" s="260">
        <v>0.75</v>
      </c>
      <c r="CZ77" s="211">
        <f>'HVAC Appliances Austin'!CZ77</f>
        <v>254.80899999999988</v>
      </c>
      <c r="DA77" s="110">
        <v>0.75</v>
      </c>
      <c r="DB77" s="211">
        <f>'HVAC Appliances Austin'!DB77</f>
        <v>352.66675000000004</v>
      </c>
      <c r="DC77" s="110">
        <v>0.75</v>
      </c>
      <c r="DD77" s="211">
        <f>'HVAC Appliances Austin'!DD77</f>
        <v>421.53324999999995</v>
      </c>
      <c r="DE77" s="21"/>
      <c r="DF77" s="110">
        <v>0.75</v>
      </c>
      <c r="DG77" s="211">
        <f>'HVAC Appliances Austin'!DG77</f>
        <v>418.04899999999992</v>
      </c>
      <c r="DH77" s="110">
        <v>0.75</v>
      </c>
      <c r="DI77" s="211">
        <f>'HVAC Appliances Austin'!DI77</f>
        <v>624.12674999999979</v>
      </c>
      <c r="DJ77" s="110">
        <v>0.75</v>
      </c>
      <c r="DK77" s="211">
        <f>'HVAC Appliances Austin'!DK77</f>
        <v>773.07325000000037</v>
      </c>
      <c r="DL77" s="21"/>
      <c r="DM77" s="110">
        <v>0.75</v>
      </c>
      <c r="DN77" s="211">
        <f>'HVAC Appliances Austin'!DN77</f>
        <v>1139.7139999999997</v>
      </c>
      <c r="DO77" s="110">
        <v>0.75</v>
      </c>
      <c r="DP77" s="211">
        <f>'HVAC Appliances Austin'!DP77</f>
        <v>1853.6371319444443</v>
      </c>
      <c r="DQ77" s="110">
        <v>0.75</v>
      </c>
      <c r="DR77" s="211">
        <f>'HVAC Appliances Austin'!DR77</f>
        <v>2377.8093958333338</v>
      </c>
      <c r="DS77" s="21"/>
      <c r="DT77" s="110">
        <v>0.75</v>
      </c>
      <c r="DU77" s="211">
        <f>'HVAC Appliances Austin'!DU77</f>
        <v>0</v>
      </c>
      <c r="DV77" s="110">
        <v>0.75</v>
      </c>
      <c r="DW77" s="211">
        <f>'HVAC Appliances Austin'!DW77</f>
        <v>0</v>
      </c>
      <c r="DX77" s="110">
        <v>0.75</v>
      </c>
      <c r="DY77" s="211">
        <f>'HVAC Appliances Austin'!DY77</f>
        <v>0</v>
      </c>
      <c r="DZ77" s="21"/>
      <c r="EA77" s="110">
        <v>0.75</v>
      </c>
      <c r="EB77" s="211">
        <f>'HVAC Appliances Amarillo'!EB77</f>
        <v>1968.7874999999999</v>
      </c>
      <c r="EC77" s="110">
        <v>0.75</v>
      </c>
      <c r="ED77" s="211">
        <f>'HVAC Appliances Amarillo'!ED77</f>
        <v>4149.6225000000004</v>
      </c>
      <c r="EE77" s="110">
        <v>0.75</v>
      </c>
      <c r="EF77" s="211">
        <f>'HVAC Appliances Amarillo'!EF77</f>
        <v>5633.91</v>
      </c>
      <c r="EG77" s="21"/>
      <c r="EH77" s="110">
        <v>0.75</v>
      </c>
      <c r="EI77" s="211">
        <f>'HVAC Appliances Austin'!EI77</f>
        <v>1383.6939999999997</v>
      </c>
      <c r="EJ77" s="110">
        <v>0.75</v>
      </c>
      <c r="EK77" s="211">
        <f>'HVAC Appliances Austin'!EK77</f>
        <v>2274.2587986111107</v>
      </c>
      <c r="EL77" s="110">
        <v>0.75</v>
      </c>
      <c r="EM77" s="211">
        <f>'HVAC Appliances Austin'!EM77</f>
        <v>2928.854395833333</v>
      </c>
      <c r="EN77" s="21"/>
      <c r="EO77" s="110">
        <v>0.75</v>
      </c>
      <c r="EP77" s="211"/>
      <c r="EQ77" s="21"/>
      <c r="ER77" s="110">
        <v>0.75</v>
      </c>
      <c r="ES77" s="264"/>
      <c r="EU77" s="260">
        <v>0.75</v>
      </c>
      <c r="EV77" s="209">
        <f>'HVAC Appliances Amarillo'!EV77</f>
        <v>1620</v>
      </c>
      <c r="EW77" s="110">
        <v>0.75</v>
      </c>
      <c r="EX77" s="209">
        <f>'HVAC Appliances Amarillo'!EX77</f>
        <v>2480</v>
      </c>
      <c r="EY77" s="110">
        <v>0.75</v>
      </c>
      <c r="EZ77" s="308">
        <f>'HVAC Appliances Amarillo'!EZ77</f>
        <v>3390</v>
      </c>
    </row>
    <row r="78" spans="1:156" x14ac:dyDescent="0.3">
      <c r="A78" s="108">
        <v>0.75</v>
      </c>
      <c r="B78" s="226">
        <f t="shared" si="4"/>
        <v>0</v>
      </c>
      <c r="C78" s="21">
        <f t="shared" si="5"/>
        <v>236.75000000000003</v>
      </c>
      <c r="D78" s="20">
        <f t="shared" si="6"/>
        <v>5633.91</v>
      </c>
      <c r="E78" s="20">
        <f t="shared" si="7"/>
        <v>3390</v>
      </c>
      <c r="G78" s="260">
        <v>0.76041666666666696</v>
      </c>
      <c r="H78" s="211">
        <f>'HVAC Appliances Austin'!H78</f>
        <v>223.0002499999998</v>
      </c>
      <c r="I78" s="110">
        <v>0.76041666666666696</v>
      </c>
      <c r="J78" s="211">
        <f>'HVAC Appliances Austin'!J78</f>
        <v>314.46750000000014</v>
      </c>
      <c r="K78" s="110">
        <v>0.76041666666666696</v>
      </c>
      <c r="L78" s="211">
        <f>'HVAC Appliances Austin'!L78</f>
        <v>376.0680000000001</v>
      </c>
      <c r="M78" s="21"/>
      <c r="N78" s="110">
        <v>0.76041666666666696</v>
      </c>
      <c r="O78" s="211">
        <f>'HVAC Appliances Austin'!O78</f>
        <v>375.18025</v>
      </c>
      <c r="P78" s="110">
        <v>0.76041666666666696</v>
      </c>
      <c r="Q78" s="211">
        <f>'HVAC Appliances Austin'!Q78</f>
        <v>568.70749999999987</v>
      </c>
      <c r="R78" s="110">
        <v>0.76041666666666696</v>
      </c>
      <c r="S78" s="211">
        <f>'HVAC Appliances Austin'!S78</f>
        <v>703.38799999999992</v>
      </c>
      <c r="T78" s="21"/>
      <c r="U78" s="110">
        <v>0.76041666666666696</v>
      </c>
      <c r="V78" s="211">
        <f>'HVAC Appliances Austin'!V78</f>
        <v>1111.0482013888889</v>
      </c>
      <c r="W78" s="110">
        <v>0.76041666666666696</v>
      </c>
      <c r="X78" s="211">
        <f>'HVAC Appliances Austin'!X78</f>
        <v>1812.8578472222227</v>
      </c>
      <c r="Y78" s="110">
        <v>0.76041666666666696</v>
      </c>
      <c r="Z78" s="211">
        <f>'HVAC Appliances Austin'!Z78</f>
        <v>2339.7089722222222</v>
      </c>
      <c r="AA78" s="21"/>
      <c r="AB78" s="110">
        <v>0.76041666666666696</v>
      </c>
      <c r="AC78" s="211">
        <f>'HVAC Appliances Austin'!AC78</f>
        <v>63.495999999999775</v>
      </c>
      <c r="AD78" s="110">
        <v>0.76041666666666696</v>
      </c>
      <c r="AE78" s="211">
        <f>'HVAC Appliances Austin'!AE78</f>
        <v>54.140000000000079</v>
      </c>
      <c r="AF78" s="110">
        <v>0.76041666666666696</v>
      </c>
      <c r="AG78" s="211">
        <f>'HVAC Appliances Austin'!AG78</f>
        <v>55.291999999999675</v>
      </c>
      <c r="AH78" s="21"/>
      <c r="AI78" s="110">
        <v>0.76041666666666696</v>
      </c>
      <c r="AJ78" s="211">
        <f>'HVAC Appliances Austin'!AJ78</f>
        <v>0</v>
      </c>
      <c r="AK78" s="110">
        <v>0.76041666666666696</v>
      </c>
      <c r="AL78" s="211">
        <f>'HVAC Appliances Austin'!AL78</f>
        <v>0</v>
      </c>
      <c r="AM78" s="110">
        <v>0.76041666666666696</v>
      </c>
      <c r="AN78" s="211">
        <f>'HVAC Appliances Austin'!AN78</f>
        <v>0</v>
      </c>
      <c r="AO78" s="21"/>
      <c r="AP78" s="110">
        <v>0.76041666666666696</v>
      </c>
      <c r="AQ78" s="211">
        <f>'HVAC Appliances Austin'!AQ78</f>
        <v>1370.4465347222224</v>
      </c>
      <c r="AR78" s="110">
        <v>0.76041666666666696</v>
      </c>
      <c r="AS78" s="211">
        <f>'HVAC Appliances Austin'!AS78</f>
        <v>2253.7011805555562</v>
      </c>
      <c r="AT78" s="110">
        <v>0.76041666666666696</v>
      </c>
      <c r="AU78" s="211">
        <f>'HVAC Appliances Austin'!AU78</f>
        <v>2924.762305555555</v>
      </c>
      <c r="AV78" s="21"/>
      <c r="AW78" s="110">
        <v>0.76041666666666696</v>
      </c>
      <c r="AX78" s="211"/>
      <c r="AY78" s="21"/>
      <c r="AZ78" s="110">
        <v>0.76041666666666696</v>
      </c>
      <c r="BA78" s="264"/>
      <c r="BC78" s="260">
        <v>0.76041666666666696</v>
      </c>
      <c r="BD78" s="211">
        <f>'HVAC Appliances Austin'!BD78</f>
        <v>0</v>
      </c>
      <c r="BE78" s="110">
        <v>0.76041666666666696</v>
      </c>
      <c r="BF78" s="211">
        <f>'HVAC Appliances Austin'!BF78</f>
        <v>0</v>
      </c>
      <c r="BG78" s="110">
        <v>0.76041666666666696</v>
      </c>
      <c r="BH78" s="211">
        <f>'HVAC Appliances Austin'!BH78</f>
        <v>0</v>
      </c>
      <c r="BI78" s="21"/>
      <c r="BJ78" s="110">
        <v>0.76041666666666696</v>
      </c>
      <c r="BK78" s="211">
        <f>'HVAC Appliances Austin'!BK78</f>
        <v>0</v>
      </c>
      <c r="BL78" s="110">
        <v>0.76041666666666696</v>
      </c>
      <c r="BM78" s="211">
        <f>'HVAC Appliances Austin'!BM78</f>
        <v>0</v>
      </c>
      <c r="BN78" s="110">
        <v>0.76041666666666696</v>
      </c>
      <c r="BO78" s="211">
        <f>'HVAC Appliances Austin'!BO78</f>
        <v>0</v>
      </c>
      <c r="BP78" s="21"/>
      <c r="BQ78" s="110">
        <v>0.76041666666666696</v>
      </c>
      <c r="BR78" s="211">
        <f>'HVAC Appliances Austin'!BR78</f>
        <v>0</v>
      </c>
      <c r="BS78" s="110">
        <v>0.76041666666666696</v>
      </c>
      <c r="BT78" s="211">
        <f>'HVAC Appliances Austin'!BT78</f>
        <v>0</v>
      </c>
      <c r="BU78" s="110">
        <v>0.76041666666666696</v>
      </c>
      <c r="BV78" s="211">
        <f>'HVAC Appliances Austin'!BV78</f>
        <v>0</v>
      </c>
      <c r="BW78" s="21"/>
      <c r="BX78" s="110">
        <v>0.76041666666666696</v>
      </c>
      <c r="BY78" s="211">
        <f>'HVAC Appliances Austin'!BY78</f>
        <v>0</v>
      </c>
      <c r="BZ78" s="110">
        <v>0.76041666666666696</v>
      </c>
      <c r="CA78" s="211">
        <f>'HVAC Appliances Austin'!CA78</f>
        <v>0</v>
      </c>
      <c r="CB78" s="110">
        <v>0.76041666666666696</v>
      </c>
      <c r="CC78" s="211">
        <f>'HVAC Appliances Austin'!CC78</f>
        <v>0</v>
      </c>
      <c r="CD78" s="21"/>
      <c r="CE78" s="110">
        <v>0.76041666666666696</v>
      </c>
      <c r="CF78" s="211">
        <f>'HVAC Appliances Austin'!CF78</f>
        <v>92.207499999999996</v>
      </c>
      <c r="CG78" s="110">
        <v>0.76041666666666696</v>
      </c>
      <c r="CH78" s="211">
        <f>'HVAC Appliances Austin'!CH78</f>
        <v>177.51</v>
      </c>
      <c r="CI78" s="110">
        <v>0.76041666666666696</v>
      </c>
      <c r="CJ78" s="211">
        <f>'HVAC Appliances Austin'!CJ78</f>
        <v>236.75000000000003</v>
      </c>
      <c r="CK78" s="21"/>
      <c r="CL78" s="110">
        <v>0.76041666666666696</v>
      </c>
      <c r="CM78" s="211">
        <f>'HVAC Appliances Austin'!CM78</f>
        <v>0</v>
      </c>
      <c r="CN78" s="110">
        <v>0.76041666666666696</v>
      </c>
      <c r="CO78" s="211">
        <f>'HVAC Appliances Austin'!CO78</f>
        <v>0</v>
      </c>
      <c r="CP78" s="110">
        <v>0.76041666666666696</v>
      </c>
      <c r="CQ78" s="211">
        <f>'HVAC Appliances Austin'!CQ78</f>
        <v>0</v>
      </c>
      <c r="CR78" s="21"/>
      <c r="CS78" s="110">
        <v>0.76041666666666696</v>
      </c>
      <c r="CT78" s="211"/>
      <c r="CU78" s="21"/>
      <c r="CV78" s="110">
        <v>0.76041666666666696</v>
      </c>
      <c r="CW78" s="264"/>
      <c r="CY78" s="260">
        <v>0.76041666666666696</v>
      </c>
      <c r="CZ78" s="211">
        <f>'HVAC Appliances Austin'!CZ78</f>
        <v>254.80899999999988</v>
      </c>
      <c r="DA78" s="110">
        <v>0.76041666666666696</v>
      </c>
      <c r="DB78" s="211">
        <f>'HVAC Appliances Austin'!DB78</f>
        <v>352.66675000000004</v>
      </c>
      <c r="DC78" s="110">
        <v>0.76041666666666696</v>
      </c>
      <c r="DD78" s="211">
        <f>'HVAC Appliances Austin'!DD78</f>
        <v>421.53324999999995</v>
      </c>
      <c r="DE78" s="21"/>
      <c r="DF78" s="110">
        <v>0.76041666666666696</v>
      </c>
      <c r="DG78" s="211">
        <f>'HVAC Appliances Austin'!DG78</f>
        <v>418.04899999999992</v>
      </c>
      <c r="DH78" s="110">
        <v>0.76041666666666696</v>
      </c>
      <c r="DI78" s="211">
        <f>'HVAC Appliances Austin'!DI78</f>
        <v>624.12674999999979</v>
      </c>
      <c r="DJ78" s="110">
        <v>0.76041666666666696</v>
      </c>
      <c r="DK78" s="211">
        <f>'HVAC Appliances Austin'!DK78</f>
        <v>773.07325000000037</v>
      </c>
      <c r="DL78" s="21"/>
      <c r="DM78" s="110">
        <v>0.76041666666666696</v>
      </c>
      <c r="DN78" s="211">
        <f>'HVAC Appliances Austin'!DN78</f>
        <v>1139.7139999999997</v>
      </c>
      <c r="DO78" s="110">
        <v>0.76041666666666696</v>
      </c>
      <c r="DP78" s="211">
        <f>'HVAC Appliances Austin'!DP78</f>
        <v>1853.6371319444443</v>
      </c>
      <c r="DQ78" s="110">
        <v>0.76041666666666696</v>
      </c>
      <c r="DR78" s="211">
        <f>'HVAC Appliances Austin'!DR78</f>
        <v>2377.8093958333338</v>
      </c>
      <c r="DS78" s="21"/>
      <c r="DT78" s="110">
        <v>0.76041666666666696</v>
      </c>
      <c r="DU78" s="211">
        <f>'HVAC Appliances Austin'!DU78</f>
        <v>0</v>
      </c>
      <c r="DV78" s="110">
        <v>0.76041666666666696</v>
      </c>
      <c r="DW78" s="211">
        <f>'HVAC Appliances Austin'!DW78</f>
        <v>0</v>
      </c>
      <c r="DX78" s="110">
        <v>0.76041666666666696</v>
      </c>
      <c r="DY78" s="211">
        <f>'HVAC Appliances Austin'!DY78</f>
        <v>0</v>
      </c>
      <c r="DZ78" s="21"/>
      <c r="EA78" s="110">
        <v>0.76041666666666696</v>
      </c>
      <c r="EB78" s="211">
        <f>'HVAC Appliances Amarillo'!EB78</f>
        <v>1968.7874999999999</v>
      </c>
      <c r="EC78" s="110">
        <v>0.76041666666666696</v>
      </c>
      <c r="ED78" s="211">
        <f>'HVAC Appliances Amarillo'!ED78</f>
        <v>4149.6225000000004</v>
      </c>
      <c r="EE78" s="110">
        <v>0.76041666666666696</v>
      </c>
      <c r="EF78" s="211">
        <f>'HVAC Appliances Amarillo'!EF78</f>
        <v>5633.91</v>
      </c>
      <c r="EG78" s="21"/>
      <c r="EH78" s="110">
        <v>0.76041666666666696</v>
      </c>
      <c r="EI78" s="211">
        <f>'HVAC Appliances Austin'!EI78</f>
        <v>1383.6939999999997</v>
      </c>
      <c r="EJ78" s="110">
        <v>0.76041666666666696</v>
      </c>
      <c r="EK78" s="211">
        <f>'HVAC Appliances Austin'!EK78</f>
        <v>2274.2587986111107</v>
      </c>
      <c r="EL78" s="110">
        <v>0.76041666666666696</v>
      </c>
      <c r="EM78" s="211">
        <f>'HVAC Appliances Austin'!EM78</f>
        <v>2928.854395833333</v>
      </c>
      <c r="EN78" s="21"/>
      <c r="EO78" s="110">
        <v>0.76041666666666696</v>
      </c>
      <c r="EP78" s="211"/>
      <c r="EQ78" s="21"/>
      <c r="ER78" s="110">
        <v>0.76041666666666696</v>
      </c>
      <c r="ES78" s="264"/>
      <c r="EU78" s="260">
        <v>0.76041666666666696</v>
      </c>
      <c r="EV78" s="209">
        <f>'HVAC Appliances Amarillo'!EV78</f>
        <v>1620</v>
      </c>
      <c r="EW78" s="110">
        <v>0.76041666666666696</v>
      </c>
      <c r="EX78" s="209">
        <f>'HVAC Appliances Amarillo'!EX78</f>
        <v>2480</v>
      </c>
      <c r="EY78" s="110">
        <v>0.76041666666666696</v>
      </c>
      <c r="EZ78" s="308">
        <f>'HVAC Appliances Amarillo'!EZ78</f>
        <v>3390</v>
      </c>
    </row>
    <row r="79" spans="1:156" x14ac:dyDescent="0.3">
      <c r="A79" s="108">
        <v>0.76041666666666696</v>
      </c>
      <c r="B79" s="226">
        <f t="shared" si="4"/>
        <v>0</v>
      </c>
      <c r="C79" s="21">
        <f t="shared" si="5"/>
        <v>236.75000000000003</v>
      </c>
      <c r="D79" s="20">
        <f t="shared" si="6"/>
        <v>5633.91</v>
      </c>
      <c r="E79" s="20">
        <f t="shared" si="7"/>
        <v>3390</v>
      </c>
      <c r="G79" s="260">
        <v>0.77083333333333304</v>
      </c>
      <c r="H79" s="211">
        <f>'HVAC Appliances Austin'!H79</f>
        <v>223.0002499999998</v>
      </c>
      <c r="I79" s="110">
        <v>0.77083333333333304</v>
      </c>
      <c r="J79" s="211">
        <f>'HVAC Appliances Austin'!J79</f>
        <v>314.46750000000014</v>
      </c>
      <c r="K79" s="110">
        <v>0.77083333333333304</v>
      </c>
      <c r="L79" s="211">
        <f>'HVAC Appliances Austin'!L79</f>
        <v>376.0680000000001</v>
      </c>
      <c r="M79" s="21"/>
      <c r="N79" s="110">
        <v>0.77083333333333304</v>
      </c>
      <c r="O79" s="211">
        <f>'HVAC Appliances Austin'!O79</f>
        <v>375.18025</v>
      </c>
      <c r="P79" s="110">
        <v>0.77083333333333304</v>
      </c>
      <c r="Q79" s="211">
        <f>'HVAC Appliances Austin'!Q79</f>
        <v>568.70749999999987</v>
      </c>
      <c r="R79" s="110">
        <v>0.77083333333333304</v>
      </c>
      <c r="S79" s="211">
        <f>'HVAC Appliances Austin'!S79</f>
        <v>703.38799999999992</v>
      </c>
      <c r="T79" s="21"/>
      <c r="U79" s="110">
        <v>0.77083333333333304</v>
      </c>
      <c r="V79" s="211">
        <f>'HVAC Appliances Austin'!V79</f>
        <v>1111.0482013888889</v>
      </c>
      <c r="W79" s="110">
        <v>0.77083333333333304</v>
      </c>
      <c r="X79" s="211">
        <f>'HVAC Appliances Austin'!X79</f>
        <v>1812.8578472222227</v>
      </c>
      <c r="Y79" s="110">
        <v>0.77083333333333304</v>
      </c>
      <c r="Z79" s="211">
        <f>'HVAC Appliances Austin'!Z79</f>
        <v>2339.7089722222222</v>
      </c>
      <c r="AA79" s="21"/>
      <c r="AB79" s="110">
        <v>0.77083333333333304</v>
      </c>
      <c r="AC79" s="211">
        <f>'HVAC Appliances Austin'!AC79</f>
        <v>63.495999999999775</v>
      </c>
      <c r="AD79" s="110">
        <v>0.77083333333333304</v>
      </c>
      <c r="AE79" s="211">
        <f>'HVAC Appliances Austin'!AE79</f>
        <v>54.140000000000079</v>
      </c>
      <c r="AF79" s="110">
        <v>0.77083333333333304</v>
      </c>
      <c r="AG79" s="211">
        <f>'HVAC Appliances Austin'!AG79</f>
        <v>55.291999999999675</v>
      </c>
      <c r="AH79" s="21"/>
      <c r="AI79" s="110">
        <v>0.77083333333333304</v>
      </c>
      <c r="AJ79" s="211">
        <f>'HVAC Appliances Austin'!AJ79</f>
        <v>0</v>
      </c>
      <c r="AK79" s="110">
        <v>0.77083333333333304</v>
      </c>
      <c r="AL79" s="211">
        <f>'HVAC Appliances Austin'!AL79</f>
        <v>0</v>
      </c>
      <c r="AM79" s="110">
        <v>0.77083333333333304</v>
      </c>
      <c r="AN79" s="211">
        <f>'HVAC Appliances Austin'!AN79</f>
        <v>0</v>
      </c>
      <c r="AO79" s="21"/>
      <c r="AP79" s="110">
        <v>0.77083333333333304</v>
      </c>
      <c r="AQ79" s="211">
        <f>'HVAC Appliances Austin'!AQ79</f>
        <v>1370.4465347222224</v>
      </c>
      <c r="AR79" s="110">
        <v>0.77083333333333304</v>
      </c>
      <c r="AS79" s="211">
        <f>'HVAC Appliances Austin'!AS79</f>
        <v>2253.7011805555562</v>
      </c>
      <c r="AT79" s="110">
        <v>0.77083333333333304</v>
      </c>
      <c r="AU79" s="211">
        <f>'HVAC Appliances Austin'!AU79</f>
        <v>2924.762305555555</v>
      </c>
      <c r="AV79" s="21"/>
      <c r="AW79" s="110">
        <v>0.77083333333333304</v>
      </c>
      <c r="AX79" s="211"/>
      <c r="AY79" s="21"/>
      <c r="AZ79" s="110">
        <v>0.77083333333333304</v>
      </c>
      <c r="BA79" s="264"/>
      <c r="BC79" s="260">
        <v>0.77083333333333304</v>
      </c>
      <c r="BD79" s="211">
        <f>'HVAC Appliances Austin'!BD79</f>
        <v>0</v>
      </c>
      <c r="BE79" s="110">
        <v>0.77083333333333304</v>
      </c>
      <c r="BF79" s="211">
        <f>'HVAC Appliances Austin'!BF79</f>
        <v>0</v>
      </c>
      <c r="BG79" s="110">
        <v>0.77083333333333304</v>
      </c>
      <c r="BH79" s="211">
        <f>'HVAC Appliances Austin'!BH79</f>
        <v>0</v>
      </c>
      <c r="BI79" s="21"/>
      <c r="BJ79" s="110">
        <v>0.77083333333333304</v>
      </c>
      <c r="BK79" s="211">
        <f>'HVAC Appliances Austin'!BK79</f>
        <v>0</v>
      </c>
      <c r="BL79" s="110">
        <v>0.77083333333333304</v>
      </c>
      <c r="BM79" s="211">
        <f>'HVAC Appliances Austin'!BM79</f>
        <v>0</v>
      </c>
      <c r="BN79" s="110">
        <v>0.77083333333333304</v>
      </c>
      <c r="BO79" s="211">
        <f>'HVAC Appliances Austin'!BO79</f>
        <v>0</v>
      </c>
      <c r="BP79" s="21"/>
      <c r="BQ79" s="110">
        <v>0.77083333333333304</v>
      </c>
      <c r="BR79" s="211">
        <f>'HVAC Appliances Austin'!BR79</f>
        <v>0</v>
      </c>
      <c r="BS79" s="110">
        <v>0.77083333333333304</v>
      </c>
      <c r="BT79" s="211">
        <f>'HVAC Appliances Austin'!BT79</f>
        <v>0</v>
      </c>
      <c r="BU79" s="110">
        <v>0.77083333333333304</v>
      </c>
      <c r="BV79" s="211">
        <f>'HVAC Appliances Austin'!BV79</f>
        <v>0</v>
      </c>
      <c r="BW79" s="21"/>
      <c r="BX79" s="110">
        <v>0.77083333333333304</v>
      </c>
      <c r="BY79" s="211">
        <f>'HVAC Appliances Austin'!BY79</f>
        <v>0</v>
      </c>
      <c r="BZ79" s="110">
        <v>0.77083333333333304</v>
      </c>
      <c r="CA79" s="211">
        <f>'HVAC Appliances Austin'!CA79</f>
        <v>0</v>
      </c>
      <c r="CB79" s="110">
        <v>0.77083333333333304</v>
      </c>
      <c r="CC79" s="211">
        <f>'HVAC Appliances Austin'!CC79</f>
        <v>0</v>
      </c>
      <c r="CD79" s="21"/>
      <c r="CE79" s="110">
        <v>0.77083333333333304</v>
      </c>
      <c r="CF79" s="211">
        <f>'HVAC Appliances Austin'!CF79</f>
        <v>92.207499999999996</v>
      </c>
      <c r="CG79" s="110">
        <v>0.77083333333333304</v>
      </c>
      <c r="CH79" s="211">
        <f>'HVAC Appliances Austin'!CH79</f>
        <v>177.51</v>
      </c>
      <c r="CI79" s="110">
        <v>0.77083333333333304</v>
      </c>
      <c r="CJ79" s="211">
        <f>'HVAC Appliances Austin'!CJ79</f>
        <v>236.75000000000003</v>
      </c>
      <c r="CK79" s="21"/>
      <c r="CL79" s="110">
        <v>0.77083333333333304</v>
      </c>
      <c r="CM79" s="211">
        <f>'HVAC Appliances Austin'!CM79</f>
        <v>0</v>
      </c>
      <c r="CN79" s="110">
        <v>0.77083333333333304</v>
      </c>
      <c r="CO79" s="211">
        <f>'HVAC Appliances Austin'!CO79</f>
        <v>0</v>
      </c>
      <c r="CP79" s="110">
        <v>0.77083333333333304</v>
      </c>
      <c r="CQ79" s="211">
        <f>'HVAC Appliances Austin'!CQ79</f>
        <v>0</v>
      </c>
      <c r="CR79" s="21"/>
      <c r="CS79" s="110">
        <v>0.77083333333333304</v>
      </c>
      <c r="CT79" s="211"/>
      <c r="CU79" s="21"/>
      <c r="CV79" s="110">
        <v>0.77083333333333304</v>
      </c>
      <c r="CW79" s="264"/>
      <c r="CY79" s="260">
        <v>0.77083333333333304</v>
      </c>
      <c r="CZ79" s="211">
        <f>'HVAC Appliances Austin'!CZ79</f>
        <v>254.80899999999988</v>
      </c>
      <c r="DA79" s="110">
        <v>0.77083333333333304</v>
      </c>
      <c r="DB79" s="211">
        <f>'HVAC Appliances Austin'!DB79</f>
        <v>352.66675000000004</v>
      </c>
      <c r="DC79" s="110">
        <v>0.77083333333333304</v>
      </c>
      <c r="DD79" s="211">
        <f>'HVAC Appliances Austin'!DD79</f>
        <v>421.53324999999995</v>
      </c>
      <c r="DE79" s="21"/>
      <c r="DF79" s="110">
        <v>0.77083333333333304</v>
      </c>
      <c r="DG79" s="211">
        <f>'HVAC Appliances Austin'!DG79</f>
        <v>418.04899999999992</v>
      </c>
      <c r="DH79" s="110">
        <v>0.77083333333333304</v>
      </c>
      <c r="DI79" s="211">
        <f>'HVAC Appliances Austin'!DI79</f>
        <v>624.12674999999979</v>
      </c>
      <c r="DJ79" s="110">
        <v>0.77083333333333304</v>
      </c>
      <c r="DK79" s="211">
        <f>'HVAC Appliances Austin'!DK79</f>
        <v>773.07325000000037</v>
      </c>
      <c r="DL79" s="21"/>
      <c r="DM79" s="110">
        <v>0.77083333333333304</v>
      </c>
      <c r="DN79" s="211">
        <f>'HVAC Appliances Austin'!DN79</f>
        <v>1139.7139999999997</v>
      </c>
      <c r="DO79" s="110">
        <v>0.77083333333333304</v>
      </c>
      <c r="DP79" s="211">
        <f>'HVAC Appliances Austin'!DP79</f>
        <v>1853.6371319444443</v>
      </c>
      <c r="DQ79" s="110">
        <v>0.77083333333333304</v>
      </c>
      <c r="DR79" s="211">
        <f>'HVAC Appliances Austin'!DR79</f>
        <v>2377.8093958333338</v>
      </c>
      <c r="DS79" s="21"/>
      <c r="DT79" s="110">
        <v>0.77083333333333304</v>
      </c>
      <c r="DU79" s="211">
        <f>'HVAC Appliances Austin'!DU79</f>
        <v>0</v>
      </c>
      <c r="DV79" s="110">
        <v>0.77083333333333304</v>
      </c>
      <c r="DW79" s="211">
        <f>'HVAC Appliances Austin'!DW79</f>
        <v>0</v>
      </c>
      <c r="DX79" s="110">
        <v>0.77083333333333304</v>
      </c>
      <c r="DY79" s="211">
        <f>'HVAC Appliances Austin'!DY79</f>
        <v>0</v>
      </c>
      <c r="DZ79" s="21"/>
      <c r="EA79" s="110">
        <v>0.77083333333333304</v>
      </c>
      <c r="EB79" s="211">
        <f>'HVAC Appliances Amarillo'!EB79</f>
        <v>1968.7874999999999</v>
      </c>
      <c r="EC79" s="110">
        <v>0.77083333333333304</v>
      </c>
      <c r="ED79" s="211">
        <f>'HVAC Appliances Amarillo'!ED79</f>
        <v>4149.6225000000004</v>
      </c>
      <c r="EE79" s="110">
        <v>0.77083333333333304</v>
      </c>
      <c r="EF79" s="211">
        <f>'HVAC Appliances Amarillo'!EF79</f>
        <v>5633.91</v>
      </c>
      <c r="EG79" s="21"/>
      <c r="EH79" s="110">
        <v>0.77083333333333304</v>
      </c>
      <c r="EI79" s="211">
        <f>'HVAC Appliances Austin'!EI79</f>
        <v>1383.6939999999997</v>
      </c>
      <c r="EJ79" s="110">
        <v>0.77083333333333304</v>
      </c>
      <c r="EK79" s="211">
        <f>'HVAC Appliances Austin'!EK79</f>
        <v>2274.2587986111107</v>
      </c>
      <c r="EL79" s="110">
        <v>0.77083333333333304</v>
      </c>
      <c r="EM79" s="211">
        <f>'HVAC Appliances Austin'!EM79</f>
        <v>2928.854395833333</v>
      </c>
      <c r="EN79" s="21"/>
      <c r="EO79" s="110">
        <v>0.77083333333333304</v>
      </c>
      <c r="EP79" s="211"/>
      <c r="EQ79" s="21"/>
      <c r="ER79" s="110">
        <v>0.77083333333333304</v>
      </c>
      <c r="ES79" s="264"/>
      <c r="EU79" s="260">
        <v>0.77083333333333304</v>
      </c>
      <c r="EV79" s="209">
        <f>'HVAC Appliances Amarillo'!EV79</f>
        <v>1620</v>
      </c>
      <c r="EW79" s="110">
        <v>0.77083333333333304</v>
      </c>
      <c r="EX79" s="209">
        <f>'HVAC Appliances Amarillo'!EX79</f>
        <v>2480</v>
      </c>
      <c r="EY79" s="110">
        <v>0.77083333333333304</v>
      </c>
      <c r="EZ79" s="308">
        <f>'HVAC Appliances Amarillo'!EZ79</f>
        <v>3390</v>
      </c>
    </row>
    <row r="80" spans="1:156" x14ac:dyDescent="0.3">
      <c r="A80" s="108">
        <v>0.77083333333333304</v>
      </c>
      <c r="B80" s="226">
        <f t="shared" si="4"/>
        <v>0</v>
      </c>
      <c r="C80" s="21">
        <f t="shared" si="5"/>
        <v>236.75000000000003</v>
      </c>
      <c r="D80" s="20">
        <f t="shared" si="6"/>
        <v>5633.91</v>
      </c>
      <c r="E80" s="20">
        <f t="shared" si="7"/>
        <v>3390</v>
      </c>
      <c r="G80" s="260">
        <v>0.78125</v>
      </c>
      <c r="H80" s="211">
        <f>'HVAC Appliances Austin'!H80</f>
        <v>223.0002499999998</v>
      </c>
      <c r="I80" s="110">
        <v>0.78125</v>
      </c>
      <c r="J80" s="211">
        <f>'HVAC Appliances Austin'!J80</f>
        <v>314.46750000000014</v>
      </c>
      <c r="K80" s="110">
        <v>0.78125</v>
      </c>
      <c r="L80" s="211">
        <f>'HVAC Appliances Austin'!L80</f>
        <v>376.0680000000001</v>
      </c>
      <c r="M80" s="21"/>
      <c r="N80" s="110">
        <v>0.78125</v>
      </c>
      <c r="O80" s="211">
        <f>'HVAC Appliances Austin'!O80</f>
        <v>375.18025</v>
      </c>
      <c r="P80" s="110">
        <v>0.78125</v>
      </c>
      <c r="Q80" s="211">
        <f>'HVAC Appliances Austin'!Q80</f>
        <v>568.70749999999987</v>
      </c>
      <c r="R80" s="110">
        <v>0.78125</v>
      </c>
      <c r="S80" s="211">
        <f>'HVAC Appliances Austin'!S80</f>
        <v>703.38799999999992</v>
      </c>
      <c r="T80" s="21"/>
      <c r="U80" s="110">
        <v>0.78125</v>
      </c>
      <c r="V80" s="211">
        <f>'HVAC Appliances Austin'!V80</f>
        <v>1111.0482013888889</v>
      </c>
      <c r="W80" s="110">
        <v>0.78125</v>
      </c>
      <c r="X80" s="211">
        <f>'HVAC Appliances Austin'!X80</f>
        <v>1812.8578472222227</v>
      </c>
      <c r="Y80" s="110">
        <v>0.78125</v>
      </c>
      <c r="Z80" s="211">
        <f>'HVAC Appliances Austin'!Z80</f>
        <v>2339.7089722222222</v>
      </c>
      <c r="AA80" s="21"/>
      <c r="AB80" s="110">
        <v>0.78125</v>
      </c>
      <c r="AC80" s="211">
        <f>'HVAC Appliances Austin'!AC80</f>
        <v>63.495999999999775</v>
      </c>
      <c r="AD80" s="110">
        <v>0.78125</v>
      </c>
      <c r="AE80" s="211">
        <f>'HVAC Appliances Austin'!AE80</f>
        <v>54.140000000000079</v>
      </c>
      <c r="AF80" s="110">
        <v>0.78125</v>
      </c>
      <c r="AG80" s="211">
        <f>'HVAC Appliances Austin'!AG80</f>
        <v>55.291999999999675</v>
      </c>
      <c r="AH80" s="21"/>
      <c r="AI80" s="110">
        <v>0.78125</v>
      </c>
      <c r="AJ80" s="211">
        <f>'HVAC Appliances Austin'!AJ80</f>
        <v>0</v>
      </c>
      <c r="AK80" s="110">
        <v>0.78125</v>
      </c>
      <c r="AL80" s="211">
        <f>'HVAC Appliances Austin'!AL80</f>
        <v>0</v>
      </c>
      <c r="AM80" s="110">
        <v>0.78125</v>
      </c>
      <c r="AN80" s="211">
        <f>'HVAC Appliances Austin'!AN80</f>
        <v>0</v>
      </c>
      <c r="AO80" s="21"/>
      <c r="AP80" s="110">
        <v>0.78125</v>
      </c>
      <c r="AQ80" s="211">
        <f>'HVAC Appliances Austin'!AQ80</f>
        <v>1370.4465347222224</v>
      </c>
      <c r="AR80" s="110">
        <v>0.78125</v>
      </c>
      <c r="AS80" s="211">
        <f>'HVAC Appliances Austin'!AS80</f>
        <v>2253.7011805555562</v>
      </c>
      <c r="AT80" s="110">
        <v>0.78125</v>
      </c>
      <c r="AU80" s="211">
        <f>'HVAC Appliances Austin'!AU80</f>
        <v>2924.762305555555</v>
      </c>
      <c r="AV80" s="21"/>
      <c r="AW80" s="110">
        <v>0.78125</v>
      </c>
      <c r="AX80" s="211"/>
      <c r="AY80" s="21"/>
      <c r="AZ80" s="110">
        <v>0.78125</v>
      </c>
      <c r="BA80" s="264"/>
      <c r="BC80" s="260">
        <v>0.78125</v>
      </c>
      <c r="BD80" s="211">
        <f>'HVAC Appliances Austin'!BD80</f>
        <v>0</v>
      </c>
      <c r="BE80" s="110">
        <v>0.78125</v>
      </c>
      <c r="BF80" s="211">
        <f>'HVAC Appliances Austin'!BF80</f>
        <v>0</v>
      </c>
      <c r="BG80" s="110">
        <v>0.78125</v>
      </c>
      <c r="BH80" s="211">
        <f>'HVAC Appliances Austin'!BH80</f>
        <v>0</v>
      </c>
      <c r="BI80" s="21"/>
      <c r="BJ80" s="110">
        <v>0.78125</v>
      </c>
      <c r="BK80" s="211">
        <f>'HVAC Appliances Austin'!BK80</f>
        <v>0</v>
      </c>
      <c r="BL80" s="110">
        <v>0.78125</v>
      </c>
      <c r="BM80" s="211">
        <f>'HVAC Appliances Austin'!BM80</f>
        <v>0</v>
      </c>
      <c r="BN80" s="110">
        <v>0.78125</v>
      </c>
      <c r="BO80" s="211">
        <f>'HVAC Appliances Austin'!BO80</f>
        <v>0</v>
      </c>
      <c r="BP80" s="21"/>
      <c r="BQ80" s="110">
        <v>0.78125</v>
      </c>
      <c r="BR80" s="211">
        <f>'HVAC Appliances Austin'!BR80</f>
        <v>0</v>
      </c>
      <c r="BS80" s="110">
        <v>0.78125</v>
      </c>
      <c r="BT80" s="211">
        <f>'HVAC Appliances Austin'!BT80</f>
        <v>0</v>
      </c>
      <c r="BU80" s="110">
        <v>0.78125</v>
      </c>
      <c r="BV80" s="211">
        <f>'HVAC Appliances Austin'!BV80</f>
        <v>0</v>
      </c>
      <c r="BW80" s="21"/>
      <c r="BX80" s="110">
        <v>0.78125</v>
      </c>
      <c r="BY80" s="211">
        <f>'HVAC Appliances Austin'!BY80</f>
        <v>0</v>
      </c>
      <c r="BZ80" s="110">
        <v>0.78125</v>
      </c>
      <c r="CA80" s="211">
        <f>'HVAC Appliances Austin'!CA80</f>
        <v>0</v>
      </c>
      <c r="CB80" s="110">
        <v>0.78125</v>
      </c>
      <c r="CC80" s="211">
        <f>'HVAC Appliances Austin'!CC80</f>
        <v>0</v>
      </c>
      <c r="CD80" s="21"/>
      <c r="CE80" s="110">
        <v>0.78125</v>
      </c>
      <c r="CF80" s="211">
        <f>'HVAC Appliances Austin'!CF80</f>
        <v>92.207499999999996</v>
      </c>
      <c r="CG80" s="110">
        <v>0.78125</v>
      </c>
      <c r="CH80" s="211">
        <f>'HVAC Appliances Austin'!CH80</f>
        <v>177.51</v>
      </c>
      <c r="CI80" s="110">
        <v>0.78125</v>
      </c>
      <c r="CJ80" s="211">
        <f>'HVAC Appliances Austin'!CJ80</f>
        <v>236.75000000000003</v>
      </c>
      <c r="CK80" s="21"/>
      <c r="CL80" s="110">
        <v>0.78125</v>
      </c>
      <c r="CM80" s="211">
        <f>'HVAC Appliances Austin'!CM80</f>
        <v>0</v>
      </c>
      <c r="CN80" s="110">
        <v>0.78125</v>
      </c>
      <c r="CO80" s="211">
        <f>'HVAC Appliances Austin'!CO80</f>
        <v>0</v>
      </c>
      <c r="CP80" s="110">
        <v>0.78125</v>
      </c>
      <c r="CQ80" s="211">
        <f>'HVAC Appliances Austin'!CQ80</f>
        <v>0</v>
      </c>
      <c r="CR80" s="21"/>
      <c r="CS80" s="110">
        <v>0.78125</v>
      </c>
      <c r="CT80" s="211"/>
      <c r="CU80" s="21"/>
      <c r="CV80" s="110">
        <v>0.78125</v>
      </c>
      <c r="CW80" s="264"/>
      <c r="CY80" s="260">
        <v>0.78125</v>
      </c>
      <c r="CZ80" s="211">
        <f>'HVAC Appliances Austin'!CZ80</f>
        <v>254.80899999999988</v>
      </c>
      <c r="DA80" s="110">
        <v>0.78125</v>
      </c>
      <c r="DB80" s="211">
        <f>'HVAC Appliances Austin'!DB80</f>
        <v>352.66675000000004</v>
      </c>
      <c r="DC80" s="110">
        <v>0.78125</v>
      </c>
      <c r="DD80" s="211">
        <f>'HVAC Appliances Austin'!DD80</f>
        <v>421.53324999999995</v>
      </c>
      <c r="DE80" s="21"/>
      <c r="DF80" s="110">
        <v>0.78125</v>
      </c>
      <c r="DG80" s="211">
        <f>'HVAC Appliances Austin'!DG80</f>
        <v>418.04899999999992</v>
      </c>
      <c r="DH80" s="110">
        <v>0.78125</v>
      </c>
      <c r="DI80" s="211">
        <f>'HVAC Appliances Austin'!DI80</f>
        <v>624.12674999999979</v>
      </c>
      <c r="DJ80" s="110">
        <v>0.78125</v>
      </c>
      <c r="DK80" s="211">
        <f>'HVAC Appliances Austin'!DK80</f>
        <v>773.07325000000037</v>
      </c>
      <c r="DL80" s="21"/>
      <c r="DM80" s="110">
        <v>0.78125</v>
      </c>
      <c r="DN80" s="211">
        <f>'HVAC Appliances Austin'!DN80</f>
        <v>1139.7139999999997</v>
      </c>
      <c r="DO80" s="110">
        <v>0.78125</v>
      </c>
      <c r="DP80" s="211">
        <f>'HVAC Appliances Austin'!DP80</f>
        <v>1853.6371319444443</v>
      </c>
      <c r="DQ80" s="110">
        <v>0.78125</v>
      </c>
      <c r="DR80" s="211">
        <f>'HVAC Appliances Austin'!DR80</f>
        <v>2377.8093958333338</v>
      </c>
      <c r="DS80" s="21"/>
      <c r="DT80" s="110">
        <v>0.78125</v>
      </c>
      <c r="DU80" s="211">
        <f>'HVAC Appliances Austin'!DU80</f>
        <v>0</v>
      </c>
      <c r="DV80" s="110">
        <v>0.78125</v>
      </c>
      <c r="DW80" s="211">
        <f>'HVAC Appliances Austin'!DW80</f>
        <v>0</v>
      </c>
      <c r="DX80" s="110">
        <v>0.78125</v>
      </c>
      <c r="DY80" s="211">
        <f>'HVAC Appliances Austin'!DY80</f>
        <v>0</v>
      </c>
      <c r="DZ80" s="21"/>
      <c r="EA80" s="110">
        <v>0.78125</v>
      </c>
      <c r="EB80" s="211">
        <f>'HVAC Appliances Amarillo'!EB80</f>
        <v>1968.7874999999999</v>
      </c>
      <c r="EC80" s="110">
        <v>0.78125</v>
      </c>
      <c r="ED80" s="211">
        <f>'HVAC Appliances Amarillo'!ED80</f>
        <v>4149.6225000000004</v>
      </c>
      <c r="EE80" s="110">
        <v>0.78125</v>
      </c>
      <c r="EF80" s="211">
        <f>'HVAC Appliances Amarillo'!EF80</f>
        <v>5633.91</v>
      </c>
      <c r="EG80" s="21"/>
      <c r="EH80" s="110">
        <v>0.78125</v>
      </c>
      <c r="EI80" s="211">
        <f>'HVAC Appliances Austin'!EI80</f>
        <v>1383.6939999999997</v>
      </c>
      <c r="EJ80" s="110">
        <v>0.78125</v>
      </c>
      <c r="EK80" s="211">
        <f>'HVAC Appliances Austin'!EK80</f>
        <v>2274.2587986111107</v>
      </c>
      <c r="EL80" s="110">
        <v>0.78125</v>
      </c>
      <c r="EM80" s="211">
        <f>'HVAC Appliances Austin'!EM80</f>
        <v>2928.854395833333</v>
      </c>
      <c r="EN80" s="21"/>
      <c r="EO80" s="110">
        <v>0.78125</v>
      </c>
      <c r="EP80" s="211"/>
      <c r="EQ80" s="21"/>
      <c r="ER80" s="110">
        <v>0.78125</v>
      </c>
      <c r="ES80" s="264"/>
      <c r="EU80" s="260">
        <v>0.78125</v>
      </c>
      <c r="EV80" s="209">
        <f>'HVAC Appliances Amarillo'!EV80</f>
        <v>1620</v>
      </c>
      <c r="EW80" s="110">
        <v>0.78125</v>
      </c>
      <c r="EX80" s="209">
        <f>'HVAC Appliances Amarillo'!EX80</f>
        <v>2480</v>
      </c>
      <c r="EY80" s="110">
        <v>0.78125</v>
      </c>
      <c r="EZ80" s="308">
        <f>'HVAC Appliances Amarillo'!EZ80</f>
        <v>3390</v>
      </c>
    </row>
    <row r="81" spans="1:156" x14ac:dyDescent="0.3">
      <c r="A81" s="108">
        <v>0.78125</v>
      </c>
      <c r="B81" s="226">
        <f t="shared" si="4"/>
        <v>0</v>
      </c>
      <c r="C81" s="21">
        <f t="shared" si="5"/>
        <v>236.75000000000003</v>
      </c>
      <c r="D81" s="20">
        <f t="shared" si="6"/>
        <v>5633.91</v>
      </c>
      <c r="E81" s="20">
        <f t="shared" si="7"/>
        <v>3390</v>
      </c>
      <c r="G81" s="260">
        <v>0.79166666666666696</v>
      </c>
      <c r="H81" s="211">
        <f>'HVAC Appliances Austin'!H81</f>
        <v>162.06399999999965</v>
      </c>
      <c r="I81" s="110">
        <v>0.79166666666666696</v>
      </c>
      <c r="J81" s="211">
        <f>'HVAC Appliances Austin'!J81</f>
        <v>213.61999999999969</v>
      </c>
      <c r="K81" s="110">
        <v>0.79166666666666696</v>
      </c>
      <c r="L81" s="211">
        <f>'HVAC Appliances Austin'!L81</f>
        <v>248.46799999999948</v>
      </c>
      <c r="M81" s="21"/>
      <c r="N81" s="110">
        <v>0.79166666666666696</v>
      </c>
      <c r="O81" s="211">
        <f>'HVAC Appliances Austin'!O81</f>
        <v>269.105034722222</v>
      </c>
      <c r="P81" s="110">
        <v>0.79166666666666696</v>
      </c>
      <c r="Q81" s="211">
        <f>'HVAC Appliances Austin'!Q81</f>
        <v>391.22118055555563</v>
      </c>
      <c r="R81" s="110">
        <v>0.79166666666666696</v>
      </c>
      <c r="S81" s="211">
        <f>'HVAC Appliances Austin'!S81</f>
        <v>474.249305555555</v>
      </c>
      <c r="T81" s="21"/>
      <c r="U81" s="110">
        <v>0.79166666666666696</v>
      </c>
      <c r="V81" s="211">
        <f>'HVAC Appliances Austin'!V81</f>
        <v>1049.6822500000001</v>
      </c>
      <c r="W81" s="110">
        <v>0.79166666666666696</v>
      </c>
      <c r="X81" s="211">
        <f>'HVAC Appliances Austin'!X81</f>
        <v>1708.6775000000007</v>
      </c>
      <c r="Y81" s="110">
        <v>0.79166666666666696</v>
      </c>
      <c r="Z81" s="211">
        <f>'HVAC Appliances Austin'!Z81</f>
        <v>2201.7019999999998</v>
      </c>
      <c r="AA81" s="21"/>
      <c r="AB81" s="110">
        <v>0.79166666666666696</v>
      </c>
      <c r="AC81" s="211">
        <f>'HVAC Appliances Austin'!AC81</f>
        <v>63.495999999999775</v>
      </c>
      <c r="AD81" s="110">
        <v>0.79166666666666696</v>
      </c>
      <c r="AE81" s="211">
        <f>'HVAC Appliances Austin'!AE81</f>
        <v>54.140000000000079</v>
      </c>
      <c r="AF81" s="110">
        <v>0.79166666666666696</v>
      </c>
      <c r="AG81" s="211">
        <f>'HVAC Appliances Austin'!AG81</f>
        <v>55.291999999999675</v>
      </c>
      <c r="AH81" s="21"/>
      <c r="AI81" s="110">
        <v>0.79166666666666696</v>
      </c>
      <c r="AJ81" s="211">
        <f>'HVAC Appliances Austin'!AJ81</f>
        <v>0</v>
      </c>
      <c r="AK81" s="110">
        <v>0.79166666666666696</v>
      </c>
      <c r="AL81" s="211">
        <f>'HVAC Appliances Austin'!AL81</f>
        <v>0</v>
      </c>
      <c r="AM81" s="110">
        <v>0.79166666666666696</v>
      </c>
      <c r="AN81" s="211">
        <f>'HVAC Appliances Austin'!AN81</f>
        <v>0</v>
      </c>
      <c r="AO81" s="21"/>
      <c r="AP81" s="110">
        <v>0.79166666666666696</v>
      </c>
      <c r="AQ81" s="211">
        <f>'HVAC Appliances Austin'!AQ81</f>
        <v>1259.9439999999995</v>
      </c>
      <c r="AR81" s="110">
        <v>0.79166666666666696</v>
      </c>
      <c r="AS81" s="211">
        <f>'HVAC Appliances Austin'!AS81</f>
        <v>2065.8200000000002</v>
      </c>
      <c r="AT81" s="110">
        <v>0.79166666666666696</v>
      </c>
      <c r="AU81" s="211">
        <f>'HVAC Appliances Austin'!AU81</f>
        <v>2675.2279999999982</v>
      </c>
      <c r="AV81" s="21"/>
      <c r="AW81" s="110">
        <v>0.79166666666666696</v>
      </c>
      <c r="AX81" s="211"/>
      <c r="AY81" s="21"/>
      <c r="AZ81" s="110">
        <v>0.79166666666666696</v>
      </c>
      <c r="BA81" s="264"/>
      <c r="BC81" s="260">
        <v>0.79166666666666696</v>
      </c>
      <c r="BD81" s="211">
        <f>'HVAC Appliances Austin'!BD81</f>
        <v>0</v>
      </c>
      <c r="BE81" s="110">
        <v>0.79166666666666696</v>
      </c>
      <c r="BF81" s="211">
        <f>'HVAC Appliances Austin'!BF81</f>
        <v>0</v>
      </c>
      <c r="BG81" s="110">
        <v>0.79166666666666696</v>
      </c>
      <c r="BH81" s="211">
        <f>'HVAC Appliances Austin'!BH81</f>
        <v>0</v>
      </c>
      <c r="BI81" s="21"/>
      <c r="BJ81" s="110">
        <v>0.79166666666666696</v>
      </c>
      <c r="BK81" s="211">
        <f>'HVAC Appliances Austin'!BK81</f>
        <v>0</v>
      </c>
      <c r="BL81" s="110">
        <v>0.79166666666666696</v>
      </c>
      <c r="BM81" s="211">
        <f>'HVAC Appliances Austin'!BM81</f>
        <v>0</v>
      </c>
      <c r="BN81" s="110">
        <v>0.79166666666666696</v>
      </c>
      <c r="BO81" s="211">
        <f>'HVAC Appliances Austin'!BO81</f>
        <v>0</v>
      </c>
      <c r="BP81" s="21"/>
      <c r="BQ81" s="110">
        <v>0.79166666666666696</v>
      </c>
      <c r="BR81" s="211">
        <f>'HVAC Appliances Austin'!BR81</f>
        <v>0</v>
      </c>
      <c r="BS81" s="110">
        <v>0.79166666666666696</v>
      </c>
      <c r="BT81" s="211">
        <f>'HVAC Appliances Austin'!BT81</f>
        <v>0</v>
      </c>
      <c r="BU81" s="110">
        <v>0.79166666666666696</v>
      </c>
      <c r="BV81" s="211">
        <f>'HVAC Appliances Austin'!BV81</f>
        <v>0</v>
      </c>
      <c r="BW81" s="21"/>
      <c r="BX81" s="110">
        <v>0.79166666666666696</v>
      </c>
      <c r="BY81" s="211">
        <f>'HVAC Appliances Austin'!BY81</f>
        <v>0</v>
      </c>
      <c r="BZ81" s="110">
        <v>0.79166666666666696</v>
      </c>
      <c r="CA81" s="211">
        <f>'HVAC Appliances Austin'!CA81</f>
        <v>0</v>
      </c>
      <c r="CB81" s="110">
        <v>0.79166666666666696</v>
      </c>
      <c r="CC81" s="211">
        <f>'HVAC Appliances Austin'!CC81</f>
        <v>0</v>
      </c>
      <c r="CD81" s="21"/>
      <c r="CE81" s="110">
        <v>0.79166666666666696</v>
      </c>
      <c r="CF81" s="211">
        <f>'HVAC Appliances Austin'!CF81</f>
        <v>97.757499999999993</v>
      </c>
      <c r="CG81" s="110">
        <v>0.79166666666666696</v>
      </c>
      <c r="CH81" s="211">
        <f>'HVAC Appliances Austin'!CH81</f>
        <v>188.91</v>
      </c>
      <c r="CI81" s="110">
        <v>0.79166666666666696</v>
      </c>
      <c r="CJ81" s="211">
        <f>'HVAC Appliances Austin'!CJ81</f>
        <v>251.75000000000003</v>
      </c>
      <c r="CK81" s="21"/>
      <c r="CL81" s="110">
        <v>0.79166666666666696</v>
      </c>
      <c r="CM81" s="211">
        <f>'HVAC Appliances Austin'!CM81</f>
        <v>0</v>
      </c>
      <c r="CN81" s="110">
        <v>0.79166666666666696</v>
      </c>
      <c r="CO81" s="211">
        <f>'HVAC Appliances Austin'!CO81</f>
        <v>0</v>
      </c>
      <c r="CP81" s="110">
        <v>0.79166666666666696</v>
      </c>
      <c r="CQ81" s="211">
        <f>'HVAC Appliances Austin'!CQ81</f>
        <v>0</v>
      </c>
      <c r="CR81" s="21"/>
      <c r="CS81" s="110">
        <v>0.79166666666666696</v>
      </c>
      <c r="CT81" s="211"/>
      <c r="CU81" s="21"/>
      <c r="CV81" s="110">
        <v>0.79166666666666696</v>
      </c>
      <c r="CW81" s="264"/>
      <c r="CY81" s="260">
        <v>0.79166666666666696</v>
      </c>
      <c r="CZ81" s="211">
        <f>'HVAC Appliances Austin'!CZ81</f>
        <v>185.06399999999974</v>
      </c>
      <c r="DA81" s="110">
        <v>0.79166666666666696</v>
      </c>
      <c r="DB81" s="211">
        <f>'HVAC Appliances Austin'!DB81</f>
        <v>238.58799999999957</v>
      </c>
      <c r="DC81" s="110">
        <v>0.79166666666666696</v>
      </c>
      <c r="DD81" s="211">
        <f>'HVAC Appliances Austin'!DD81</f>
        <v>274.6119999999994</v>
      </c>
      <c r="DE81" s="21"/>
      <c r="DF81" s="110">
        <v>0.79166666666666696</v>
      </c>
      <c r="DG81" s="211">
        <f>'HVAC Appliances Austin'!DG81</f>
        <v>305.50833333333333</v>
      </c>
      <c r="DH81" s="110">
        <v>0.79166666666666696</v>
      </c>
      <c r="DI81" s="211">
        <f>'HVAC Appliances Austin'!DI81</f>
        <v>436.4366319444444</v>
      </c>
      <c r="DJ81" s="110">
        <v>0.79166666666666696</v>
      </c>
      <c r="DK81" s="211">
        <f>'HVAC Appliances Austin'!DK81</f>
        <v>529.78489583333351</v>
      </c>
      <c r="DL81" s="21"/>
      <c r="DM81" s="110">
        <v>0.79166666666666696</v>
      </c>
      <c r="DN81" s="211">
        <f>'HVAC Appliances Austin'!DN81</f>
        <v>1081.491</v>
      </c>
      <c r="DO81" s="110">
        <v>0.79166666666666696</v>
      </c>
      <c r="DP81" s="211">
        <f>'HVAC Appliances Austin'!DP81</f>
        <v>1753.5107500000001</v>
      </c>
      <c r="DQ81" s="110">
        <v>0.79166666666666696</v>
      </c>
      <c r="DR81" s="211">
        <f>'HVAC Appliances Austin'!DR81</f>
        <v>2246.7392500000005</v>
      </c>
      <c r="DS81" s="21"/>
      <c r="DT81" s="110">
        <v>0.79166666666666696</v>
      </c>
      <c r="DU81" s="211">
        <f>'HVAC Appliances Austin'!DU81</f>
        <v>0</v>
      </c>
      <c r="DV81" s="110">
        <v>0.79166666666666696</v>
      </c>
      <c r="DW81" s="211">
        <f>'HVAC Appliances Austin'!DW81</f>
        <v>0</v>
      </c>
      <c r="DX81" s="110">
        <v>0.79166666666666696</v>
      </c>
      <c r="DY81" s="211">
        <f>'HVAC Appliances Austin'!DY81</f>
        <v>0</v>
      </c>
      <c r="DZ81" s="21"/>
      <c r="EA81" s="110">
        <v>0.79166666666666696</v>
      </c>
      <c r="EB81" s="211">
        <f>'HVAC Appliances Amarillo'!EB81</f>
        <v>2407.5374999999999</v>
      </c>
      <c r="EC81" s="110">
        <v>0.79166666666666696</v>
      </c>
      <c r="ED81" s="211">
        <f>'HVAC Appliances Amarillo'!ED81</f>
        <v>4958.2725000000009</v>
      </c>
      <c r="EE81" s="110">
        <v>0.79166666666666696</v>
      </c>
      <c r="EF81" s="211">
        <f>'HVAC Appliances Amarillo'!EF81</f>
        <v>6761.31</v>
      </c>
      <c r="EG81" s="21"/>
      <c r="EH81" s="110">
        <v>0.79166666666666696</v>
      </c>
      <c r="EI81" s="211">
        <f>'HVAC Appliances Austin'!EI81</f>
        <v>1280.1439999999996</v>
      </c>
      <c r="EJ81" s="110">
        <v>0.79166666666666696</v>
      </c>
      <c r="EK81" s="211">
        <f>'HVAC Appliances Austin'!EK81</f>
        <v>2095.5479999999993</v>
      </c>
      <c r="EL81" s="110">
        <v>0.79166666666666696</v>
      </c>
      <c r="EM81" s="211">
        <f>'HVAC Appliances Austin'!EM81</f>
        <v>2694.652</v>
      </c>
      <c r="EN81" s="21"/>
      <c r="EO81" s="110">
        <v>0.79166666666666696</v>
      </c>
      <c r="EP81" s="211"/>
      <c r="EQ81" s="21"/>
      <c r="ER81" s="110">
        <v>0.79166666666666696</v>
      </c>
      <c r="ES81" s="264"/>
      <c r="EU81" s="260">
        <v>0.79166666666666696</v>
      </c>
      <c r="EV81" s="209">
        <f>'HVAC Appliances Amarillo'!EV81</f>
        <v>1620</v>
      </c>
      <c r="EW81" s="110">
        <v>0.79166666666666696</v>
      </c>
      <c r="EX81" s="209">
        <f>'HVAC Appliances Amarillo'!EX81</f>
        <v>2480</v>
      </c>
      <c r="EY81" s="110">
        <v>0.79166666666666696</v>
      </c>
      <c r="EZ81" s="308">
        <f>'HVAC Appliances Amarillo'!EZ81</f>
        <v>3390</v>
      </c>
    </row>
    <row r="82" spans="1:156" x14ac:dyDescent="0.3">
      <c r="A82" s="108">
        <v>0.79166666666666696</v>
      </c>
      <c r="B82" s="226">
        <f t="shared" si="4"/>
        <v>0</v>
      </c>
      <c r="C82" s="21">
        <f t="shared" si="5"/>
        <v>251.75000000000003</v>
      </c>
      <c r="D82" s="20">
        <f t="shared" si="6"/>
        <v>6761.31</v>
      </c>
      <c r="E82" s="20">
        <f t="shared" si="7"/>
        <v>3390</v>
      </c>
      <c r="G82" s="260">
        <v>0.80208333333333304</v>
      </c>
      <c r="H82" s="211">
        <f>'HVAC Appliances Austin'!H82</f>
        <v>162.06399999999965</v>
      </c>
      <c r="I82" s="110">
        <v>0.80208333333333304</v>
      </c>
      <c r="J82" s="211">
        <f>'HVAC Appliances Austin'!J82</f>
        <v>213.61999999999969</v>
      </c>
      <c r="K82" s="110">
        <v>0.80208333333333304</v>
      </c>
      <c r="L82" s="211">
        <f>'HVAC Appliances Austin'!L82</f>
        <v>248.46799999999948</v>
      </c>
      <c r="M82" s="21"/>
      <c r="N82" s="110">
        <v>0.80208333333333304</v>
      </c>
      <c r="O82" s="211">
        <f>'HVAC Appliances Austin'!O82</f>
        <v>269.105034722222</v>
      </c>
      <c r="P82" s="110">
        <v>0.80208333333333304</v>
      </c>
      <c r="Q82" s="211">
        <f>'HVAC Appliances Austin'!Q82</f>
        <v>391.22118055555563</v>
      </c>
      <c r="R82" s="110">
        <v>0.80208333333333304</v>
      </c>
      <c r="S82" s="211">
        <f>'HVAC Appliances Austin'!S82</f>
        <v>474.249305555555</v>
      </c>
      <c r="T82" s="21"/>
      <c r="U82" s="110">
        <v>0.80208333333333304</v>
      </c>
      <c r="V82" s="211">
        <f>'HVAC Appliances Austin'!V82</f>
        <v>1049.6822500000001</v>
      </c>
      <c r="W82" s="110">
        <v>0.80208333333333304</v>
      </c>
      <c r="X82" s="211">
        <f>'HVAC Appliances Austin'!X82</f>
        <v>1708.6775000000007</v>
      </c>
      <c r="Y82" s="110">
        <v>0.80208333333333304</v>
      </c>
      <c r="Z82" s="211">
        <f>'HVAC Appliances Austin'!Z82</f>
        <v>2201.7019999999998</v>
      </c>
      <c r="AA82" s="21"/>
      <c r="AB82" s="110">
        <v>0.80208333333333304</v>
      </c>
      <c r="AC82" s="211">
        <f>'HVAC Appliances Austin'!AC82</f>
        <v>63.495999999999775</v>
      </c>
      <c r="AD82" s="110">
        <v>0.80208333333333304</v>
      </c>
      <c r="AE82" s="211">
        <f>'HVAC Appliances Austin'!AE82</f>
        <v>54.140000000000079</v>
      </c>
      <c r="AF82" s="110">
        <v>0.80208333333333304</v>
      </c>
      <c r="AG82" s="211">
        <f>'HVAC Appliances Austin'!AG82</f>
        <v>55.291999999999675</v>
      </c>
      <c r="AH82" s="21"/>
      <c r="AI82" s="110">
        <v>0.80208333333333304</v>
      </c>
      <c r="AJ82" s="211">
        <f>'HVAC Appliances Austin'!AJ82</f>
        <v>0</v>
      </c>
      <c r="AK82" s="110">
        <v>0.80208333333333304</v>
      </c>
      <c r="AL82" s="211">
        <f>'HVAC Appliances Austin'!AL82</f>
        <v>0</v>
      </c>
      <c r="AM82" s="110">
        <v>0.80208333333333304</v>
      </c>
      <c r="AN82" s="211">
        <f>'HVAC Appliances Austin'!AN82</f>
        <v>0</v>
      </c>
      <c r="AO82" s="21"/>
      <c r="AP82" s="110">
        <v>0.80208333333333304</v>
      </c>
      <c r="AQ82" s="211">
        <f>'HVAC Appliances Austin'!AQ82</f>
        <v>1259.9439999999995</v>
      </c>
      <c r="AR82" s="110">
        <v>0.80208333333333304</v>
      </c>
      <c r="AS82" s="211">
        <f>'HVAC Appliances Austin'!AS82</f>
        <v>2065.8200000000002</v>
      </c>
      <c r="AT82" s="110">
        <v>0.80208333333333304</v>
      </c>
      <c r="AU82" s="211">
        <f>'HVAC Appliances Austin'!AU82</f>
        <v>2675.2279999999982</v>
      </c>
      <c r="AV82" s="21"/>
      <c r="AW82" s="110">
        <v>0.80208333333333304</v>
      </c>
      <c r="AX82" s="211"/>
      <c r="AY82" s="21"/>
      <c r="AZ82" s="110">
        <v>0.80208333333333304</v>
      </c>
      <c r="BA82" s="264"/>
      <c r="BC82" s="260">
        <v>0.80208333333333304</v>
      </c>
      <c r="BD82" s="211">
        <f>'HVAC Appliances Austin'!BD82</f>
        <v>0</v>
      </c>
      <c r="BE82" s="110">
        <v>0.80208333333333304</v>
      </c>
      <c r="BF82" s="211">
        <f>'HVAC Appliances Austin'!BF82</f>
        <v>0</v>
      </c>
      <c r="BG82" s="110">
        <v>0.80208333333333304</v>
      </c>
      <c r="BH82" s="211">
        <f>'HVAC Appliances Austin'!BH82</f>
        <v>0</v>
      </c>
      <c r="BI82" s="21"/>
      <c r="BJ82" s="110">
        <v>0.80208333333333304</v>
      </c>
      <c r="BK82" s="211">
        <f>'HVAC Appliances Austin'!BK82</f>
        <v>0</v>
      </c>
      <c r="BL82" s="110">
        <v>0.80208333333333304</v>
      </c>
      <c r="BM82" s="211">
        <f>'HVAC Appliances Austin'!BM82</f>
        <v>0</v>
      </c>
      <c r="BN82" s="110">
        <v>0.80208333333333304</v>
      </c>
      <c r="BO82" s="211">
        <f>'HVAC Appliances Austin'!BO82</f>
        <v>0</v>
      </c>
      <c r="BP82" s="21"/>
      <c r="BQ82" s="110">
        <v>0.80208333333333304</v>
      </c>
      <c r="BR82" s="211">
        <f>'HVAC Appliances Austin'!BR82</f>
        <v>0</v>
      </c>
      <c r="BS82" s="110">
        <v>0.80208333333333304</v>
      </c>
      <c r="BT82" s="211">
        <f>'HVAC Appliances Austin'!BT82</f>
        <v>0</v>
      </c>
      <c r="BU82" s="110">
        <v>0.80208333333333304</v>
      </c>
      <c r="BV82" s="211">
        <f>'HVAC Appliances Austin'!BV82</f>
        <v>0</v>
      </c>
      <c r="BW82" s="21"/>
      <c r="BX82" s="110">
        <v>0.80208333333333304</v>
      </c>
      <c r="BY82" s="211">
        <f>'HVAC Appliances Austin'!BY82</f>
        <v>0</v>
      </c>
      <c r="BZ82" s="110">
        <v>0.80208333333333304</v>
      </c>
      <c r="CA82" s="211">
        <f>'HVAC Appliances Austin'!CA82</f>
        <v>0</v>
      </c>
      <c r="CB82" s="110">
        <v>0.80208333333333304</v>
      </c>
      <c r="CC82" s="211">
        <f>'HVAC Appliances Austin'!CC82</f>
        <v>0</v>
      </c>
      <c r="CD82" s="21"/>
      <c r="CE82" s="110">
        <v>0.80208333333333304</v>
      </c>
      <c r="CF82" s="211">
        <f>'HVAC Appliances Austin'!CF82</f>
        <v>97.757499999999993</v>
      </c>
      <c r="CG82" s="110">
        <v>0.80208333333333304</v>
      </c>
      <c r="CH82" s="211">
        <f>'HVAC Appliances Austin'!CH82</f>
        <v>188.91</v>
      </c>
      <c r="CI82" s="110">
        <v>0.80208333333333304</v>
      </c>
      <c r="CJ82" s="211">
        <f>'HVAC Appliances Austin'!CJ82</f>
        <v>251.75000000000003</v>
      </c>
      <c r="CK82" s="21"/>
      <c r="CL82" s="110">
        <v>0.80208333333333304</v>
      </c>
      <c r="CM82" s="211">
        <f>'HVAC Appliances Austin'!CM82</f>
        <v>0</v>
      </c>
      <c r="CN82" s="110">
        <v>0.80208333333333304</v>
      </c>
      <c r="CO82" s="211">
        <f>'HVAC Appliances Austin'!CO82</f>
        <v>0</v>
      </c>
      <c r="CP82" s="110">
        <v>0.80208333333333304</v>
      </c>
      <c r="CQ82" s="211">
        <f>'HVAC Appliances Austin'!CQ82</f>
        <v>0</v>
      </c>
      <c r="CR82" s="21"/>
      <c r="CS82" s="110">
        <v>0.80208333333333304</v>
      </c>
      <c r="CT82" s="211"/>
      <c r="CU82" s="21"/>
      <c r="CV82" s="110">
        <v>0.80208333333333304</v>
      </c>
      <c r="CW82" s="264"/>
      <c r="CY82" s="260">
        <v>0.80208333333333304</v>
      </c>
      <c r="CZ82" s="211">
        <f>'HVAC Appliances Austin'!CZ82</f>
        <v>185.06399999999974</v>
      </c>
      <c r="DA82" s="110">
        <v>0.80208333333333304</v>
      </c>
      <c r="DB82" s="211">
        <f>'HVAC Appliances Austin'!DB82</f>
        <v>238.58799999999957</v>
      </c>
      <c r="DC82" s="110">
        <v>0.80208333333333304</v>
      </c>
      <c r="DD82" s="211">
        <f>'HVAC Appliances Austin'!DD82</f>
        <v>274.6119999999994</v>
      </c>
      <c r="DE82" s="21"/>
      <c r="DF82" s="110">
        <v>0.80208333333333304</v>
      </c>
      <c r="DG82" s="211">
        <f>'HVAC Appliances Austin'!DG82</f>
        <v>305.50833333333333</v>
      </c>
      <c r="DH82" s="110">
        <v>0.80208333333333304</v>
      </c>
      <c r="DI82" s="211">
        <f>'HVAC Appliances Austin'!DI82</f>
        <v>436.4366319444444</v>
      </c>
      <c r="DJ82" s="110">
        <v>0.80208333333333304</v>
      </c>
      <c r="DK82" s="211">
        <f>'HVAC Appliances Austin'!DK82</f>
        <v>529.78489583333351</v>
      </c>
      <c r="DL82" s="21"/>
      <c r="DM82" s="110">
        <v>0.80208333333333304</v>
      </c>
      <c r="DN82" s="211">
        <f>'HVAC Appliances Austin'!DN82</f>
        <v>1081.491</v>
      </c>
      <c r="DO82" s="110">
        <v>0.80208333333333304</v>
      </c>
      <c r="DP82" s="211">
        <f>'HVAC Appliances Austin'!DP82</f>
        <v>1753.5107500000001</v>
      </c>
      <c r="DQ82" s="110">
        <v>0.80208333333333304</v>
      </c>
      <c r="DR82" s="211">
        <f>'HVAC Appliances Austin'!DR82</f>
        <v>2246.7392500000005</v>
      </c>
      <c r="DS82" s="21"/>
      <c r="DT82" s="110">
        <v>0.80208333333333304</v>
      </c>
      <c r="DU82" s="211">
        <f>'HVAC Appliances Austin'!DU82</f>
        <v>0</v>
      </c>
      <c r="DV82" s="110">
        <v>0.80208333333333304</v>
      </c>
      <c r="DW82" s="211">
        <f>'HVAC Appliances Austin'!DW82</f>
        <v>0</v>
      </c>
      <c r="DX82" s="110">
        <v>0.80208333333333304</v>
      </c>
      <c r="DY82" s="211">
        <f>'HVAC Appliances Austin'!DY82</f>
        <v>0</v>
      </c>
      <c r="DZ82" s="21"/>
      <c r="EA82" s="110">
        <v>0.80208333333333304</v>
      </c>
      <c r="EB82" s="211">
        <f>'HVAC Appliances Amarillo'!EB82</f>
        <v>2407.5374999999999</v>
      </c>
      <c r="EC82" s="110">
        <v>0.80208333333333304</v>
      </c>
      <c r="ED82" s="211">
        <f>'HVAC Appliances Amarillo'!ED82</f>
        <v>4958.2725000000009</v>
      </c>
      <c r="EE82" s="110">
        <v>0.80208333333333304</v>
      </c>
      <c r="EF82" s="211">
        <f>'HVAC Appliances Amarillo'!EF82</f>
        <v>6761.31</v>
      </c>
      <c r="EG82" s="21"/>
      <c r="EH82" s="110">
        <v>0.80208333333333304</v>
      </c>
      <c r="EI82" s="211">
        <f>'HVAC Appliances Austin'!EI82</f>
        <v>1280.1439999999996</v>
      </c>
      <c r="EJ82" s="110">
        <v>0.80208333333333304</v>
      </c>
      <c r="EK82" s="211">
        <f>'HVAC Appliances Austin'!EK82</f>
        <v>2095.5479999999993</v>
      </c>
      <c r="EL82" s="110">
        <v>0.80208333333333304</v>
      </c>
      <c r="EM82" s="211">
        <f>'HVAC Appliances Austin'!EM82</f>
        <v>2694.652</v>
      </c>
      <c r="EN82" s="21"/>
      <c r="EO82" s="110">
        <v>0.80208333333333304</v>
      </c>
      <c r="EP82" s="211"/>
      <c r="EQ82" s="21"/>
      <c r="ER82" s="110">
        <v>0.80208333333333304</v>
      </c>
      <c r="ES82" s="264"/>
      <c r="EU82" s="260">
        <v>0.80208333333333304</v>
      </c>
      <c r="EV82" s="209">
        <f>'HVAC Appliances Amarillo'!EV82</f>
        <v>1620</v>
      </c>
      <c r="EW82" s="110">
        <v>0.80208333333333304</v>
      </c>
      <c r="EX82" s="209">
        <f>'HVAC Appliances Amarillo'!EX82</f>
        <v>2480</v>
      </c>
      <c r="EY82" s="110">
        <v>0.80208333333333304</v>
      </c>
      <c r="EZ82" s="308">
        <f>'HVAC Appliances Amarillo'!EZ82</f>
        <v>3390</v>
      </c>
    </row>
    <row r="83" spans="1:156" x14ac:dyDescent="0.3">
      <c r="A83" s="108">
        <v>0.80208333333333304</v>
      </c>
      <c r="B83" s="226">
        <f t="shared" si="4"/>
        <v>0</v>
      </c>
      <c r="C83" s="21">
        <f t="shared" si="5"/>
        <v>251.75000000000003</v>
      </c>
      <c r="D83" s="20">
        <f t="shared" si="6"/>
        <v>6761.31</v>
      </c>
      <c r="E83" s="20">
        <f t="shared" si="7"/>
        <v>3390</v>
      </c>
      <c r="G83" s="260">
        <v>0.8125</v>
      </c>
      <c r="H83" s="211">
        <f>'HVAC Appliances Austin'!H83</f>
        <v>162.06399999999965</v>
      </c>
      <c r="I83" s="110">
        <v>0.8125</v>
      </c>
      <c r="J83" s="211">
        <f>'HVAC Appliances Austin'!J83</f>
        <v>213.61999999999969</v>
      </c>
      <c r="K83" s="110">
        <v>0.8125</v>
      </c>
      <c r="L83" s="211">
        <f>'HVAC Appliances Austin'!L83</f>
        <v>248.46799999999948</v>
      </c>
      <c r="M83" s="21"/>
      <c r="N83" s="110">
        <v>0.8125</v>
      </c>
      <c r="O83" s="211">
        <f>'HVAC Appliances Austin'!O83</f>
        <v>269.105034722222</v>
      </c>
      <c r="P83" s="110">
        <v>0.8125</v>
      </c>
      <c r="Q83" s="211">
        <f>'HVAC Appliances Austin'!Q83</f>
        <v>391.22118055555563</v>
      </c>
      <c r="R83" s="110">
        <v>0.8125</v>
      </c>
      <c r="S83" s="211">
        <f>'HVAC Appliances Austin'!S83</f>
        <v>474.249305555555</v>
      </c>
      <c r="T83" s="21"/>
      <c r="U83" s="110">
        <v>0.8125</v>
      </c>
      <c r="V83" s="211">
        <f>'HVAC Appliances Austin'!V83</f>
        <v>1049.6822500000001</v>
      </c>
      <c r="W83" s="110">
        <v>0.8125</v>
      </c>
      <c r="X83" s="211">
        <f>'HVAC Appliances Austin'!X83</f>
        <v>1708.6775000000007</v>
      </c>
      <c r="Y83" s="110">
        <v>0.8125</v>
      </c>
      <c r="Z83" s="211">
        <f>'HVAC Appliances Austin'!Z83</f>
        <v>2201.7019999999998</v>
      </c>
      <c r="AA83" s="21"/>
      <c r="AB83" s="110">
        <v>0.8125</v>
      </c>
      <c r="AC83" s="211">
        <f>'HVAC Appliances Austin'!AC83</f>
        <v>63.495999999999775</v>
      </c>
      <c r="AD83" s="110">
        <v>0.8125</v>
      </c>
      <c r="AE83" s="211">
        <f>'HVAC Appliances Austin'!AE83</f>
        <v>54.140000000000079</v>
      </c>
      <c r="AF83" s="110">
        <v>0.8125</v>
      </c>
      <c r="AG83" s="211">
        <f>'HVAC Appliances Austin'!AG83</f>
        <v>55.291999999999675</v>
      </c>
      <c r="AH83" s="21"/>
      <c r="AI83" s="110">
        <v>0.8125</v>
      </c>
      <c r="AJ83" s="211">
        <f>'HVAC Appliances Austin'!AJ83</f>
        <v>0</v>
      </c>
      <c r="AK83" s="110">
        <v>0.8125</v>
      </c>
      <c r="AL83" s="211">
        <f>'HVAC Appliances Austin'!AL83</f>
        <v>0</v>
      </c>
      <c r="AM83" s="110">
        <v>0.8125</v>
      </c>
      <c r="AN83" s="211">
        <f>'HVAC Appliances Austin'!AN83</f>
        <v>0</v>
      </c>
      <c r="AO83" s="21"/>
      <c r="AP83" s="110">
        <v>0.8125</v>
      </c>
      <c r="AQ83" s="211">
        <f>'HVAC Appliances Austin'!AQ83</f>
        <v>1259.9439999999995</v>
      </c>
      <c r="AR83" s="110">
        <v>0.8125</v>
      </c>
      <c r="AS83" s="211">
        <f>'HVAC Appliances Austin'!AS83</f>
        <v>2065.8200000000002</v>
      </c>
      <c r="AT83" s="110">
        <v>0.8125</v>
      </c>
      <c r="AU83" s="211">
        <f>'HVAC Appliances Austin'!AU83</f>
        <v>2675.2279999999982</v>
      </c>
      <c r="AV83" s="21"/>
      <c r="AW83" s="110">
        <v>0.8125</v>
      </c>
      <c r="AX83" s="211"/>
      <c r="AY83" s="21"/>
      <c r="AZ83" s="110">
        <v>0.8125</v>
      </c>
      <c r="BA83" s="264"/>
      <c r="BC83" s="260">
        <v>0.8125</v>
      </c>
      <c r="BD83" s="211">
        <f>'HVAC Appliances Austin'!BD83</f>
        <v>0</v>
      </c>
      <c r="BE83" s="110">
        <v>0.8125</v>
      </c>
      <c r="BF83" s="211">
        <f>'HVAC Appliances Austin'!BF83</f>
        <v>0</v>
      </c>
      <c r="BG83" s="110">
        <v>0.8125</v>
      </c>
      <c r="BH83" s="211">
        <f>'HVAC Appliances Austin'!BH83</f>
        <v>0</v>
      </c>
      <c r="BI83" s="21"/>
      <c r="BJ83" s="110">
        <v>0.8125</v>
      </c>
      <c r="BK83" s="211">
        <f>'HVAC Appliances Austin'!BK83</f>
        <v>0</v>
      </c>
      <c r="BL83" s="110">
        <v>0.8125</v>
      </c>
      <c r="BM83" s="211">
        <f>'HVAC Appliances Austin'!BM83</f>
        <v>0</v>
      </c>
      <c r="BN83" s="110">
        <v>0.8125</v>
      </c>
      <c r="BO83" s="211">
        <f>'HVAC Appliances Austin'!BO83</f>
        <v>0</v>
      </c>
      <c r="BP83" s="21"/>
      <c r="BQ83" s="110">
        <v>0.8125</v>
      </c>
      <c r="BR83" s="211">
        <f>'HVAC Appliances Austin'!BR83</f>
        <v>0</v>
      </c>
      <c r="BS83" s="110">
        <v>0.8125</v>
      </c>
      <c r="BT83" s="211">
        <f>'HVAC Appliances Austin'!BT83</f>
        <v>0</v>
      </c>
      <c r="BU83" s="110">
        <v>0.8125</v>
      </c>
      <c r="BV83" s="211">
        <f>'HVAC Appliances Austin'!BV83</f>
        <v>0</v>
      </c>
      <c r="BW83" s="21"/>
      <c r="BX83" s="110">
        <v>0.8125</v>
      </c>
      <c r="BY83" s="211">
        <f>'HVAC Appliances Austin'!BY83</f>
        <v>0</v>
      </c>
      <c r="BZ83" s="110">
        <v>0.8125</v>
      </c>
      <c r="CA83" s="211">
        <f>'HVAC Appliances Austin'!CA83</f>
        <v>0</v>
      </c>
      <c r="CB83" s="110">
        <v>0.8125</v>
      </c>
      <c r="CC83" s="211">
        <f>'HVAC Appliances Austin'!CC83</f>
        <v>0</v>
      </c>
      <c r="CD83" s="21"/>
      <c r="CE83" s="110">
        <v>0.8125</v>
      </c>
      <c r="CF83" s="211">
        <f>'HVAC Appliances Austin'!CF83</f>
        <v>97.757499999999993</v>
      </c>
      <c r="CG83" s="110">
        <v>0.8125</v>
      </c>
      <c r="CH83" s="211">
        <f>'HVAC Appliances Austin'!CH83</f>
        <v>188.91</v>
      </c>
      <c r="CI83" s="110">
        <v>0.8125</v>
      </c>
      <c r="CJ83" s="211">
        <f>'HVAC Appliances Austin'!CJ83</f>
        <v>251.75000000000003</v>
      </c>
      <c r="CK83" s="21"/>
      <c r="CL83" s="110">
        <v>0.8125</v>
      </c>
      <c r="CM83" s="211">
        <f>'HVAC Appliances Austin'!CM83</f>
        <v>0</v>
      </c>
      <c r="CN83" s="110">
        <v>0.8125</v>
      </c>
      <c r="CO83" s="211">
        <f>'HVAC Appliances Austin'!CO83</f>
        <v>0</v>
      </c>
      <c r="CP83" s="110">
        <v>0.8125</v>
      </c>
      <c r="CQ83" s="211">
        <f>'HVAC Appliances Austin'!CQ83</f>
        <v>0</v>
      </c>
      <c r="CR83" s="21"/>
      <c r="CS83" s="110">
        <v>0.8125</v>
      </c>
      <c r="CT83" s="211"/>
      <c r="CU83" s="21"/>
      <c r="CV83" s="110">
        <v>0.8125</v>
      </c>
      <c r="CW83" s="264"/>
      <c r="CY83" s="260">
        <v>0.8125</v>
      </c>
      <c r="CZ83" s="211">
        <f>'HVAC Appliances Austin'!CZ83</f>
        <v>185.06399999999974</v>
      </c>
      <c r="DA83" s="110">
        <v>0.8125</v>
      </c>
      <c r="DB83" s="211">
        <f>'HVAC Appliances Austin'!DB83</f>
        <v>238.58799999999957</v>
      </c>
      <c r="DC83" s="110">
        <v>0.8125</v>
      </c>
      <c r="DD83" s="211">
        <f>'HVAC Appliances Austin'!DD83</f>
        <v>274.6119999999994</v>
      </c>
      <c r="DE83" s="21"/>
      <c r="DF83" s="110">
        <v>0.8125</v>
      </c>
      <c r="DG83" s="211">
        <f>'HVAC Appliances Austin'!DG83</f>
        <v>305.50833333333333</v>
      </c>
      <c r="DH83" s="110">
        <v>0.8125</v>
      </c>
      <c r="DI83" s="211">
        <f>'HVAC Appliances Austin'!DI83</f>
        <v>436.4366319444444</v>
      </c>
      <c r="DJ83" s="110">
        <v>0.8125</v>
      </c>
      <c r="DK83" s="211">
        <f>'HVAC Appliances Austin'!DK83</f>
        <v>529.78489583333351</v>
      </c>
      <c r="DL83" s="21"/>
      <c r="DM83" s="110">
        <v>0.8125</v>
      </c>
      <c r="DN83" s="211">
        <f>'HVAC Appliances Austin'!DN83</f>
        <v>1081.491</v>
      </c>
      <c r="DO83" s="110">
        <v>0.8125</v>
      </c>
      <c r="DP83" s="211">
        <f>'HVAC Appliances Austin'!DP83</f>
        <v>1753.5107500000001</v>
      </c>
      <c r="DQ83" s="110">
        <v>0.8125</v>
      </c>
      <c r="DR83" s="211">
        <f>'HVAC Appliances Austin'!DR83</f>
        <v>2246.7392500000005</v>
      </c>
      <c r="DS83" s="21"/>
      <c r="DT83" s="110">
        <v>0.8125</v>
      </c>
      <c r="DU83" s="211">
        <f>'HVAC Appliances Austin'!DU83</f>
        <v>0</v>
      </c>
      <c r="DV83" s="110">
        <v>0.8125</v>
      </c>
      <c r="DW83" s="211">
        <f>'HVAC Appliances Austin'!DW83</f>
        <v>0</v>
      </c>
      <c r="DX83" s="110">
        <v>0.8125</v>
      </c>
      <c r="DY83" s="211">
        <f>'HVAC Appliances Austin'!DY83</f>
        <v>0</v>
      </c>
      <c r="DZ83" s="21"/>
      <c r="EA83" s="110">
        <v>0.8125</v>
      </c>
      <c r="EB83" s="211">
        <f>'HVAC Appliances Amarillo'!EB83</f>
        <v>2407.5374999999999</v>
      </c>
      <c r="EC83" s="110">
        <v>0.8125</v>
      </c>
      <c r="ED83" s="211">
        <f>'HVAC Appliances Amarillo'!ED83</f>
        <v>4958.2725000000009</v>
      </c>
      <c r="EE83" s="110">
        <v>0.8125</v>
      </c>
      <c r="EF83" s="211">
        <f>'HVAC Appliances Amarillo'!EF83</f>
        <v>6761.31</v>
      </c>
      <c r="EG83" s="21"/>
      <c r="EH83" s="110">
        <v>0.8125</v>
      </c>
      <c r="EI83" s="211">
        <f>'HVAC Appliances Austin'!EI83</f>
        <v>1280.1439999999996</v>
      </c>
      <c r="EJ83" s="110">
        <v>0.8125</v>
      </c>
      <c r="EK83" s="211">
        <f>'HVAC Appliances Austin'!EK83</f>
        <v>2095.5479999999993</v>
      </c>
      <c r="EL83" s="110">
        <v>0.8125</v>
      </c>
      <c r="EM83" s="211">
        <f>'HVAC Appliances Austin'!EM83</f>
        <v>2694.652</v>
      </c>
      <c r="EN83" s="21"/>
      <c r="EO83" s="110">
        <v>0.8125</v>
      </c>
      <c r="EP83" s="211"/>
      <c r="EQ83" s="21"/>
      <c r="ER83" s="110">
        <v>0.8125</v>
      </c>
      <c r="ES83" s="264"/>
      <c r="EU83" s="260">
        <v>0.8125</v>
      </c>
      <c r="EV83" s="209">
        <f>'HVAC Appliances Amarillo'!EV83</f>
        <v>1620</v>
      </c>
      <c r="EW83" s="110">
        <v>0.8125</v>
      </c>
      <c r="EX83" s="209">
        <f>'HVAC Appliances Amarillo'!EX83</f>
        <v>2480</v>
      </c>
      <c r="EY83" s="110">
        <v>0.8125</v>
      </c>
      <c r="EZ83" s="308">
        <f>'HVAC Appliances Amarillo'!EZ83</f>
        <v>3390</v>
      </c>
    </row>
    <row r="84" spans="1:156" x14ac:dyDescent="0.3">
      <c r="A84" s="108">
        <v>0.8125</v>
      </c>
      <c r="B84" s="226">
        <f t="shared" si="4"/>
        <v>0</v>
      </c>
      <c r="C84" s="21">
        <f t="shared" si="5"/>
        <v>251.75000000000003</v>
      </c>
      <c r="D84" s="20">
        <f t="shared" si="6"/>
        <v>6761.31</v>
      </c>
      <c r="E84" s="20">
        <f t="shared" si="7"/>
        <v>3390</v>
      </c>
      <c r="G84" s="260">
        <v>0.82291666666666696</v>
      </c>
      <c r="H84" s="211">
        <f>'HVAC Appliances Austin'!H84</f>
        <v>162.06399999999965</v>
      </c>
      <c r="I84" s="110">
        <v>0.82291666666666696</v>
      </c>
      <c r="J84" s="211">
        <f>'HVAC Appliances Austin'!J84</f>
        <v>213.61999999999969</v>
      </c>
      <c r="K84" s="110">
        <v>0.82291666666666696</v>
      </c>
      <c r="L84" s="211">
        <f>'HVAC Appliances Austin'!L84</f>
        <v>248.46799999999948</v>
      </c>
      <c r="M84" s="21"/>
      <c r="N84" s="110">
        <v>0.82291666666666696</v>
      </c>
      <c r="O84" s="211">
        <f>'HVAC Appliances Austin'!O84</f>
        <v>269.105034722222</v>
      </c>
      <c r="P84" s="110">
        <v>0.82291666666666696</v>
      </c>
      <c r="Q84" s="211">
        <f>'HVAC Appliances Austin'!Q84</f>
        <v>391.22118055555563</v>
      </c>
      <c r="R84" s="110">
        <v>0.82291666666666696</v>
      </c>
      <c r="S84" s="211">
        <f>'HVAC Appliances Austin'!S84</f>
        <v>474.249305555555</v>
      </c>
      <c r="T84" s="21"/>
      <c r="U84" s="110">
        <v>0.82291666666666696</v>
      </c>
      <c r="V84" s="211">
        <f>'HVAC Appliances Austin'!V84</f>
        <v>1049.6822500000001</v>
      </c>
      <c r="W84" s="110">
        <v>0.82291666666666696</v>
      </c>
      <c r="X84" s="211">
        <f>'HVAC Appliances Austin'!X84</f>
        <v>1708.6775000000007</v>
      </c>
      <c r="Y84" s="110">
        <v>0.82291666666666696</v>
      </c>
      <c r="Z84" s="211">
        <f>'HVAC Appliances Austin'!Z84</f>
        <v>2201.7019999999998</v>
      </c>
      <c r="AA84" s="21"/>
      <c r="AB84" s="110">
        <v>0.82291666666666696</v>
      </c>
      <c r="AC84" s="211">
        <f>'HVAC Appliances Austin'!AC84</f>
        <v>63.495999999999775</v>
      </c>
      <c r="AD84" s="110">
        <v>0.82291666666666696</v>
      </c>
      <c r="AE84" s="211">
        <f>'HVAC Appliances Austin'!AE84</f>
        <v>54.140000000000079</v>
      </c>
      <c r="AF84" s="110">
        <v>0.82291666666666696</v>
      </c>
      <c r="AG84" s="211">
        <f>'HVAC Appliances Austin'!AG84</f>
        <v>55.291999999999675</v>
      </c>
      <c r="AH84" s="21"/>
      <c r="AI84" s="110">
        <v>0.82291666666666696</v>
      </c>
      <c r="AJ84" s="211">
        <f>'HVAC Appliances Austin'!AJ84</f>
        <v>0</v>
      </c>
      <c r="AK84" s="110">
        <v>0.82291666666666696</v>
      </c>
      <c r="AL84" s="211">
        <f>'HVAC Appliances Austin'!AL84</f>
        <v>0</v>
      </c>
      <c r="AM84" s="110">
        <v>0.82291666666666696</v>
      </c>
      <c r="AN84" s="211">
        <f>'HVAC Appliances Austin'!AN84</f>
        <v>0</v>
      </c>
      <c r="AO84" s="21"/>
      <c r="AP84" s="110">
        <v>0.82291666666666696</v>
      </c>
      <c r="AQ84" s="211">
        <f>'HVAC Appliances Austin'!AQ84</f>
        <v>1259.9439999999995</v>
      </c>
      <c r="AR84" s="110">
        <v>0.82291666666666696</v>
      </c>
      <c r="AS84" s="211">
        <f>'HVAC Appliances Austin'!AS84</f>
        <v>2065.8200000000002</v>
      </c>
      <c r="AT84" s="110">
        <v>0.82291666666666696</v>
      </c>
      <c r="AU84" s="211">
        <f>'HVAC Appliances Austin'!AU84</f>
        <v>2675.2279999999982</v>
      </c>
      <c r="AV84" s="21"/>
      <c r="AW84" s="110">
        <v>0.82291666666666696</v>
      </c>
      <c r="AX84" s="211"/>
      <c r="AY84" s="21"/>
      <c r="AZ84" s="110">
        <v>0.82291666666666696</v>
      </c>
      <c r="BA84" s="264"/>
      <c r="BC84" s="260">
        <v>0.82291666666666696</v>
      </c>
      <c r="BD84" s="211">
        <f>'HVAC Appliances Austin'!BD84</f>
        <v>0</v>
      </c>
      <c r="BE84" s="110">
        <v>0.82291666666666696</v>
      </c>
      <c r="BF84" s="211">
        <f>'HVAC Appliances Austin'!BF84</f>
        <v>0</v>
      </c>
      <c r="BG84" s="110">
        <v>0.82291666666666696</v>
      </c>
      <c r="BH84" s="211">
        <f>'HVAC Appliances Austin'!BH84</f>
        <v>0</v>
      </c>
      <c r="BI84" s="21"/>
      <c r="BJ84" s="110">
        <v>0.82291666666666696</v>
      </c>
      <c r="BK84" s="211">
        <f>'HVAC Appliances Austin'!BK84</f>
        <v>0</v>
      </c>
      <c r="BL84" s="110">
        <v>0.82291666666666696</v>
      </c>
      <c r="BM84" s="211">
        <f>'HVAC Appliances Austin'!BM84</f>
        <v>0</v>
      </c>
      <c r="BN84" s="110">
        <v>0.82291666666666696</v>
      </c>
      <c r="BO84" s="211">
        <f>'HVAC Appliances Austin'!BO84</f>
        <v>0</v>
      </c>
      <c r="BP84" s="21"/>
      <c r="BQ84" s="110">
        <v>0.82291666666666696</v>
      </c>
      <c r="BR84" s="211">
        <f>'HVAC Appliances Austin'!BR84</f>
        <v>0</v>
      </c>
      <c r="BS84" s="110">
        <v>0.82291666666666696</v>
      </c>
      <c r="BT84" s="211">
        <f>'HVAC Appliances Austin'!BT84</f>
        <v>0</v>
      </c>
      <c r="BU84" s="110">
        <v>0.82291666666666696</v>
      </c>
      <c r="BV84" s="211">
        <f>'HVAC Appliances Austin'!BV84</f>
        <v>0</v>
      </c>
      <c r="BW84" s="21"/>
      <c r="BX84" s="110">
        <v>0.82291666666666696</v>
      </c>
      <c r="BY84" s="211">
        <f>'HVAC Appliances Austin'!BY84</f>
        <v>0</v>
      </c>
      <c r="BZ84" s="110">
        <v>0.82291666666666696</v>
      </c>
      <c r="CA84" s="211">
        <f>'HVAC Appliances Austin'!CA84</f>
        <v>0</v>
      </c>
      <c r="CB84" s="110">
        <v>0.82291666666666696</v>
      </c>
      <c r="CC84" s="211">
        <f>'HVAC Appliances Austin'!CC84</f>
        <v>0</v>
      </c>
      <c r="CD84" s="21"/>
      <c r="CE84" s="110">
        <v>0.82291666666666696</v>
      </c>
      <c r="CF84" s="211">
        <f>'HVAC Appliances Austin'!CF84</f>
        <v>97.757499999999993</v>
      </c>
      <c r="CG84" s="110">
        <v>0.82291666666666696</v>
      </c>
      <c r="CH84" s="211">
        <f>'HVAC Appliances Austin'!CH84</f>
        <v>188.91</v>
      </c>
      <c r="CI84" s="110">
        <v>0.82291666666666696</v>
      </c>
      <c r="CJ84" s="211">
        <f>'HVAC Appliances Austin'!CJ84</f>
        <v>251.75000000000003</v>
      </c>
      <c r="CK84" s="21"/>
      <c r="CL84" s="110">
        <v>0.82291666666666696</v>
      </c>
      <c r="CM84" s="211">
        <f>'HVAC Appliances Austin'!CM84</f>
        <v>0</v>
      </c>
      <c r="CN84" s="110">
        <v>0.82291666666666696</v>
      </c>
      <c r="CO84" s="211">
        <f>'HVAC Appliances Austin'!CO84</f>
        <v>0</v>
      </c>
      <c r="CP84" s="110">
        <v>0.82291666666666696</v>
      </c>
      <c r="CQ84" s="211">
        <f>'HVAC Appliances Austin'!CQ84</f>
        <v>0</v>
      </c>
      <c r="CR84" s="21"/>
      <c r="CS84" s="110">
        <v>0.82291666666666696</v>
      </c>
      <c r="CT84" s="211"/>
      <c r="CU84" s="21"/>
      <c r="CV84" s="110">
        <v>0.82291666666666696</v>
      </c>
      <c r="CW84" s="264"/>
      <c r="CY84" s="260">
        <v>0.82291666666666696</v>
      </c>
      <c r="CZ84" s="211">
        <f>'HVAC Appliances Austin'!CZ84</f>
        <v>185.06399999999974</v>
      </c>
      <c r="DA84" s="110">
        <v>0.82291666666666696</v>
      </c>
      <c r="DB84" s="211">
        <f>'HVAC Appliances Austin'!DB84</f>
        <v>238.58799999999957</v>
      </c>
      <c r="DC84" s="110">
        <v>0.82291666666666696</v>
      </c>
      <c r="DD84" s="211">
        <f>'HVAC Appliances Austin'!DD84</f>
        <v>274.6119999999994</v>
      </c>
      <c r="DE84" s="21"/>
      <c r="DF84" s="110">
        <v>0.82291666666666696</v>
      </c>
      <c r="DG84" s="211">
        <f>'HVAC Appliances Austin'!DG84</f>
        <v>305.50833333333333</v>
      </c>
      <c r="DH84" s="110">
        <v>0.82291666666666696</v>
      </c>
      <c r="DI84" s="211">
        <f>'HVAC Appliances Austin'!DI84</f>
        <v>436.4366319444444</v>
      </c>
      <c r="DJ84" s="110">
        <v>0.82291666666666696</v>
      </c>
      <c r="DK84" s="211">
        <f>'HVAC Appliances Austin'!DK84</f>
        <v>529.78489583333351</v>
      </c>
      <c r="DL84" s="21"/>
      <c r="DM84" s="110">
        <v>0.82291666666666696</v>
      </c>
      <c r="DN84" s="211">
        <f>'HVAC Appliances Austin'!DN84</f>
        <v>1081.491</v>
      </c>
      <c r="DO84" s="110">
        <v>0.82291666666666696</v>
      </c>
      <c r="DP84" s="211">
        <f>'HVAC Appliances Austin'!DP84</f>
        <v>1753.5107500000001</v>
      </c>
      <c r="DQ84" s="110">
        <v>0.82291666666666696</v>
      </c>
      <c r="DR84" s="211">
        <f>'HVAC Appliances Austin'!DR84</f>
        <v>2246.7392500000005</v>
      </c>
      <c r="DS84" s="21"/>
      <c r="DT84" s="110">
        <v>0.82291666666666696</v>
      </c>
      <c r="DU84" s="211">
        <f>'HVAC Appliances Austin'!DU84</f>
        <v>0</v>
      </c>
      <c r="DV84" s="110">
        <v>0.82291666666666696</v>
      </c>
      <c r="DW84" s="211">
        <f>'HVAC Appliances Austin'!DW84</f>
        <v>0</v>
      </c>
      <c r="DX84" s="110">
        <v>0.82291666666666696</v>
      </c>
      <c r="DY84" s="211">
        <f>'HVAC Appliances Austin'!DY84</f>
        <v>0</v>
      </c>
      <c r="DZ84" s="21"/>
      <c r="EA84" s="110">
        <v>0.82291666666666696</v>
      </c>
      <c r="EB84" s="211">
        <f>'HVAC Appliances Amarillo'!EB84</f>
        <v>2407.5374999999999</v>
      </c>
      <c r="EC84" s="110">
        <v>0.82291666666666696</v>
      </c>
      <c r="ED84" s="211">
        <f>'HVAC Appliances Amarillo'!ED84</f>
        <v>4958.2725000000009</v>
      </c>
      <c r="EE84" s="110">
        <v>0.82291666666666696</v>
      </c>
      <c r="EF84" s="211">
        <f>'HVAC Appliances Amarillo'!EF84</f>
        <v>6761.31</v>
      </c>
      <c r="EG84" s="21"/>
      <c r="EH84" s="110">
        <v>0.82291666666666696</v>
      </c>
      <c r="EI84" s="211">
        <f>'HVAC Appliances Austin'!EI84</f>
        <v>1280.1439999999996</v>
      </c>
      <c r="EJ84" s="110">
        <v>0.82291666666666696</v>
      </c>
      <c r="EK84" s="211">
        <f>'HVAC Appliances Austin'!EK84</f>
        <v>2095.5479999999993</v>
      </c>
      <c r="EL84" s="110">
        <v>0.82291666666666696</v>
      </c>
      <c r="EM84" s="211">
        <f>'HVAC Appliances Austin'!EM84</f>
        <v>2694.652</v>
      </c>
      <c r="EN84" s="21"/>
      <c r="EO84" s="110">
        <v>0.82291666666666696</v>
      </c>
      <c r="EP84" s="211"/>
      <c r="EQ84" s="21"/>
      <c r="ER84" s="110">
        <v>0.82291666666666696</v>
      </c>
      <c r="ES84" s="264"/>
      <c r="EU84" s="260">
        <v>0.82291666666666696</v>
      </c>
      <c r="EV84" s="209">
        <f>'HVAC Appliances Amarillo'!EV84</f>
        <v>1620</v>
      </c>
      <c r="EW84" s="110">
        <v>0.82291666666666696</v>
      </c>
      <c r="EX84" s="209">
        <f>'HVAC Appliances Amarillo'!EX84</f>
        <v>2480</v>
      </c>
      <c r="EY84" s="110">
        <v>0.82291666666666696</v>
      </c>
      <c r="EZ84" s="308">
        <f>'HVAC Appliances Amarillo'!EZ84</f>
        <v>3390</v>
      </c>
    </row>
    <row r="85" spans="1:156" x14ac:dyDescent="0.3">
      <c r="A85" s="108">
        <v>0.82291666666666696</v>
      </c>
      <c r="B85" s="226">
        <f t="shared" si="4"/>
        <v>0</v>
      </c>
      <c r="C85" s="21">
        <f t="shared" si="5"/>
        <v>251.75000000000003</v>
      </c>
      <c r="D85" s="20">
        <f t="shared" si="6"/>
        <v>6761.31</v>
      </c>
      <c r="E85" s="20">
        <f t="shared" si="7"/>
        <v>3390</v>
      </c>
      <c r="G85" s="260">
        <v>0.83333333333333304</v>
      </c>
      <c r="H85" s="211">
        <f>'HVAC Appliances Austin'!H85</f>
        <v>115.54431249999986</v>
      </c>
      <c r="I85" s="110">
        <v>0.83333333333333304</v>
      </c>
      <c r="J85" s="211">
        <f>'HVAC Appliances Austin'!J85</f>
        <v>137.41062499999978</v>
      </c>
      <c r="K85" s="110">
        <v>0.83333333333333304</v>
      </c>
      <c r="L85" s="211">
        <f>'HVAC Appliances Austin'!L85</f>
        <v>153.88174999999916</v>
      </c>
      <c r="M85" s="21"/>
      <c r="N85" s="110">
        <v>0.83333333333333304</v>
      </c>
      <c r="O85" s="211">
        <f>'HVAC Appliances Austin'!O85</f>
        <v>172.0277013888888</v>
      </c>
      <c r="P85" s="110">
        <v>0.83333333333333304</v>
      </c>
      <c r="Q85" s="211">
        <f>'HVAC Appliances Austin'!Q85</f>
        <v>230.04784722222249</v>
      </c>
      <c r="R85" s="110">
        <v>0.83333333333333304</v>
      </c>
      <c r="S85" s="211">
        <f>'HVAC Appliances Austin'!S85</f>
        <v>269.1079722222218</v>
      </c>
      <c r="T85" s="21"/>
      <c r="U85" s="110">
        <v>0.83333333333333304</v>
      </c>
      <c r="V85" s="211">
        <f>'HVAC Appliances Austin'!V85</f>
        <v>973.56388888888762</v>
      </c>
      <c r="W85" s="110">
        <v>0.83333333333333304</v>
      </c>
      <c r="X85" s="211">
        <f>'HVAC Appliances Austin'!X85</f>
        <v>1579.5222222222214</v>
      </c>
      <c r="Y85" s="110">
        <v>0.83333333333333304</v>
      </c>
      <c r="Z85" s="211">
        <f>'HVAC Appliances Austin'!Z85</f>
        <v>2030.7722222222196</v>
      </c>
      <c r="AA85" s="21"/>
      <c r="AB85" s="110">
        <v>0.83333333333333304</v>
      </c>
      <c r="AC85" s="211">
        <f>'HVAC Appliances Austin'!AC85</f>
        <v>63.495999999999775</v>
      </c>
      <c r="AD85" s="110">
        <v>0.83333333333333304</v>
      </c>
      <c r="AE85" s="211">
        <f>'HVAC Appliances Austin'!AE85</f>
        <v>54.140000000000079</v>
      </c>
      <c r="AF85" s="110">
        <v>0.83333333333333304</v>
      </c>
      <c r="AG85" s="211">
        <f>'HVAC Appliances Austin'!AG85</f>
        <v>55.291999999999675</v>
      </c>
      <c r="AH85" s="21"/>
      <c r="AI85" s="110">
        <v>0.83333333333333304</v>
      </c>
      <c r="AJ85" s="211">
        <f>'HVAC Appliances Austin'!AJ85</f>
        <v>0</v>
      </c>
      <c r="AK85" s="110">
        <v>0.83333333333333304</v>
      </c>
      <c r="AL85" s="211">
        <f>'HVAC Appliances Austin'!AL85</f>
        <v>0</v>
      </c>
      <c r="AM85" s="110">
        <v>0.83333333333333304</v>
      </c>
      <c r="AN85" s="211">
        <f>'HVAC Appliances Austin'!AN85</f>
        <v>0</v>
      </c>
      <c r="AO85" s="21"/>
      <c r="AP85" s="110">
        <v>0.83333333333333304</v>
      </c>
      <c r="AQ85" s="211">
        <f>'HVAC Appliances Austin'!AQ85</f>
        <v>1121.2959999999996</v>
      </c>
      <c r="AR85" s="110">
        <v>0.83333333333333304</v>
      </c>
      <c r="AS85" s="211">
        <f>'HVAC Appliances Austin'!AS85</f>
        <v>1830.2599999999995</v>
      </c>
      <c r="AT85" s="110">
        <v>0.83333333333333304</v>
      </c>
      <c r="AU85" s="211">
        <f>'HVAC Appliances Austin'!AU85</f>
        <v>2362.771999999999</v>
      </c>
      <c r="AV85" s="21"/>
      <c r="AW85" s="110">
        <v>0.83333333333333304</v>
      </c>
      <c r="AX85" s="211"/>
      <c r="AY85" s="21"/>
      <c r="AZ85" s="110">
        <v>0.83333333333333304</v>
      </c>
      <c r="BA85" s="264"/>
      <c r="BC85" s="260">
        <v>0.83333333333333304</v>
      </c>
      <c r="BD85" s="211">
        <f>'HVAC Appliances Austin'!BD85</f>
        <v>0</v>
      </c>
      <c r="BE85" s="110">
        <v>0.83333333333333304</v>
      </c>
      <c r="BF85" s="211">
        <f>'HVAC Appliances Austin'!BF85</f>
        <v>0</v>
      </c>
      <c r="BG85" s="110">
        <v>0.83333333333333304</v>
      </c>
      <c r="BH85" s="211">
        <f>'HVAC Appliances Austin'!BH85</f>
        <v>0</v>
      </c>
      <c r="BI85" s="21"/>
      <c r="BJ85" s="110">
        <v>0.83333333333333304</v>
      </c>
      <c r="BK85" s="211">
        <f>'HVAC Appliances Austin'!BK85</f>
        <v>0</v>
      </c>
      <c r="BL85" s="110">
        <v>0.83333333333333304</v>
      </c>
      <c r="BM85" s="211">
        <f>'HVAC Appliances Austin'!BM85</f>
        <v>0</v>
      </c>
      <c r="BN85" s="110">
        <v>0.83333333333333304</v>
      </c>
      <c r="BO85" s="211">
        <f>'HVAC Appliances Austin'!BO85</f>
        <v>0</v>
      </c>
      <c r="BP85" s="21"/>
      <c r="BQ85" s="110">
        <v>0.83333333333333304</v>
      </c>
      <c r="BR85" s="211">
        <f>'HVAC Appliances Austin'!BR85</f>
        <v>0</v>
      </c>
      <c r="BS85" s="110">
        <v>0.83333333333333304</v>
      </c>
      <c r="BT85" s="211">
        <f>'HVAC Appliances Austin'!BT85</f>
        <v>0</v>
      </c>
      <c r="BU85" s="110">
        <v>0.83333333333333304</v>
      </c>
      <c r="BV85" s="211">
        <f>'HVAC Appliances Austin'!BV85</f>
        <v>0</v>
      </c>
      <c r="BW85" s="21"/>
      <c r="BX85" s="110">
        <v>0.83333333333333304</v>
      </c>
      <c r="BY85" s="211">
        <f>'HVAC Appliances Austin'!BY85</f>
        <v>0</v>
      </c>
      <c r="BZ85" s="110">
        <v>0.83333333333333304</v>
      </c>
      <c r="CA85" s="211">
        <f>'HVAC Appliances Austin'!CA85</f>
        <v>0</v>
      </c>
      <c r="CB85" s="110">
        <v>0.83333333333333304</v>
      </c>
      <c r="CC85" s="211">
        <f>'HVAC Appliances Austin'!CC85</f>
        <v>0</v>
      </c>
      <c r="CD85" s="21"/>
      <c r="CE85" s="110">
        <v>0.83333333333333304</v>
      </c>
      <c r="CF85" s="211">
        <f>'HVAC Appliances Austin'!CF85</f>
        <v>103.52333333333334</v>
      </c>
      <c r="CG85" s="110">
        <v>0.83333333333333304</v>
      </c>
      <c r="CH85" s="211">
        <f>'HVAC Appliances Austin'!CH85</f>
        <v>200.75333333333333</v>
      </c>
      <c r="CI85" s="110">
        <v>0.83333333333333304</v>
      </c>
      <c r="CJ85" s="211">
        <f>'HVAC Appliances Austin'!CJ85</f>
        <v>267.33333333333337</v>
      </c>
      <c r="CK85" s="21"/>
      <c r="CL85" s="110">
        <v>0.83333333333333304</v>
      </c>
      <c r="CM85" s="211">
        <f>'HVAC Appliances Austin'!CM85</f>
        <v>0</v>
      </c>
      <c r="CN85" s="110">
        <v>0.83333333333333304</v>
      </c>
      <c r="CO85" s="211">
        <f>'HVAC Appliances Austin'!CO85</f>
        <v>0</v>
      </c>
      <c r="CP85" s="110">
        <v>0.83333333333333304</v>
      </c>
      <c r="CQ85" s="211">
        <f>'HVAC Appliances Austin'!CQ85</f>
        <v>0</v>
      </c>
      <c r="CR85" s="21"/>
      <c r="CS85" s="110">
        <v>0.83333333333333304</v>
      </c>
      <c r="CT85" s="211"/>
      <c r="CU85" s="21"/>
      <c r="CV85" s="110">
        <v>0.83333333333333304</v>
      </c>
      <c r="CW85" s="264"/>
      <c r="CY85" s="260">
        <v>0.83333333333333304</v>
      </c>
      <c r="CZ85" s="211">
        <f>'HVAC Appliances Austin'!CZ85</f>
        <v>128.24900000000011</v>
      </c>
      <c r="DA85" s="110">
        <v>0.83333333333333304</v>
      </c>
      <c r="DB85" s="211">
        <f>'HVAC Appliances Austin'!DB85</f>
        <v>147.11268749999994</v>
      </c>
      <c r="DC85" s="110">
        <v>0.83333333333333304</v>
      </c>
      <c r="DD85" s="211">
        <f>'HVAC Appliances Austin'!DD85</f>
        <v>157.43106250000017</v>
      </c>
      <c r="DE85" s="21"/>
      <c r="DF85" s="110">
        <v>0.83333333333333304</v>
      </c>
      <c r="DG85" s="211">
        <f>'HVAC Appliances Austin'!DG85</f>
        <v>196.75100000000018</v>
      </c>
      <c r="DH85" s="110">
        <v>0.83333333333333304</v>
      </c>
      <c r="DI85" s="211">
        <f>'HVAC Appliances Austin'!DI85</f>
        <v>257.5886319444445</v>
      </c>
      <c r="DJ85" s="110">
        <v>0.83333333333333304</v>
      </c>
      <c r="DK85" s="211">
        <f>'HVAC Appliances Austin'!DK85</f>
        <v>299.03289583333327</v>
      </c>
      <c r="DL85" s="21"/>
      <c r="DM85" s="110">
        <v>0.83333333333333304</v>
      </c>
      <c r="DN85" s="211">
        <f>'HVAC Appliances Austin'!DN85</f>
        <v>1008.9499999999991</v>
      </c>
      <c r="DO85" s="110">
        <v>0.83333333333333304</v>
      </c>
      <c r="DP85" s="211">
        <f>'HVAC Appliances Austin'!DP85</f>
        <v>1628.9194444444429</v>
      </c>
      <c r="DQ85" s="110">
        <v>0.83333333333333304</v>
      </c>
      <c r="DR85" s="211">
        <f>'HVAC Appliances Austin'!DR85</f>
        <v>2083.7083333333317</v>
      </c>
      <c r="DS85" s="21"/>
      <c r="DT85" s="110">
        <v>0.83333333333333304</v>
      </c>
      <c r="DU85" s="211">
        <f>'HVAC Appliances Austin'!DU85</f>
        <v>0</v>
      </c>
      <c r="DV85" s="110">
        <v>0.83333333333333304</v>
      </c>
      <c r="DW85" s="211">
        <f>'HVAC Appliances Austin'!DW85</f>
        <v>0</v>
      </c>
      <c r="DX85" s="110">
        <v>0.83333333333333304</v>
      </c>
      <c r="DY85" s="211">
        <f>'HVAC Appliances Austin'!DY85</f>
        <v>0</v>
      </c>
      <c r="DZ85" s="21"/>
      <c r="EA85" s="110">
        <v>0.83333333333333304</v>
      </c>
      <c r="EB85" s="211">
        <f>'HVAC Appliances Amarillo'!EB85</f>
        <v>2863.3500000000004</v>
      </c>
      <c r="EC85" s="110">
        <v>0.83333333333333304</v>
      </c>
      <c r="ED85" s="211">
        <f>'HVAC Appliances Amarillo'!ED85</f>
        <v>12300</v>
      </c>
      <c r="EE85" s="110">
        <v>0.83333333333333304</v>
      </c>
      <c r="EF85" s="211">
        <f>'HVAC Appliances Amarillo'!EF85</f>
        <v>16000</v>
      </c>
      <c r="EG85" s="21"/>
      <c r="EH85" s="110">
        <v>0.83333333333333304</v>
      </c>
      <c r="EI85" s="211">
        <f>'HVAC Appliances Austin'!EI85</f>
        <v>1149.4159999999995</v>
      </c>
      <c r="EJ85" s="110">
        <v>0.83333333333333304</v>
      </c>
      <c r="EK85" s="211">
        <f>'HVAC Appliances Austin'!EK85</f>
        <v>1870.3319999999994</v>
      </c>
      <c r="EL85" s="110">
        <v>0.83333333333333304</v>
      </c>
      <c r="EM85" s="211">
        <f>'HVAC Appliances Austin'!EM85</f>
        <v>2399.6679999999997</v>
      </c>
      <c r="EN85" s="21"/>
      <c r="EO85" s="110">
        <v>0.83333333333333304</v>
      </c>
      <c r="EP85" s="211"/>
      <c r="EQ85" s="21"/>
      <c r="ER85" s="110">
        <v>0.83333333333333304</v>
      </c>
      <c r="ES85" s="264"/>
      <c r="EU85" s="260">
        <v>0.83333333333333304</v>
      </c>
      <c r="EV85" s="209">
        <f>'HVAC Appliances Amarillo'!EV85</f>
        <v>1620</v>
      </c>
      <c r="EW85" s="110">
        <v>0.83333333333333304</v>
      </c>
      <c r="EX85" s="209">
        <f>'HVAC Appliances Amarillo'!EX85</f>
        <v>5400</v>
      </c>
      <c r="EY85" s="110">
        <v>0.83333333333333304</v>
      </c>
      <c r="EZ85" s="308">
        <f>'HVAC Appliances Amarillo'!EZ85</f>
        <v>5400</v>
      </c>
    </row>
    <row r="86" spans="1:156" x14ac:dyDescent="0.3">
      <c r="A86" s="108">
        <v>0.83333333333333304</v>
      </c>
      <c r="B86" s="226">
        <f t="shared" si="4"/>
        <v>0</v>
      </c>
      <c r="C86" s="21">
        <f t="shared" si="5"/>
        <v>267.33333333333337</v>
      </c>
      <c r="D86" s="20">
        <f t="shared" si="6"/>
        <v>16000</v>
      </c>
      <c r="E86" s="20">
        <f t="shared" si="7"/>
        <v>5400</v>
      </c>
      <c r="G86" s="260">
        <v>0.84375</v>
      </c>
      <c r="H86" s="211">
        <f>'HVAC Appliances Austin'!H86</f>
        <v>115.54431249999986</v>
      </c>
      <c r="I86" s="110">
        <v>0.84375</v>
      </c>
      <c r="J86" s="211">
        <f>'HVAC Appliances Austin'!J86</f>
        <v>137.41062499999978</v>
      </c>
      <c r="K86" s="110">
        <v>0.84375</v>
      </c>
      <c r="L86" s="211">
        <f>'HVAC Appliances Austin'!L86</f>
        <v>153.88174999999916</v>
      </c>
      <c r="M86" s="21"/>
      <c r="N86" s="110">
        <v>0.84375</v>
      </c>
      <c r="O86" s="211">
        <f>'HVAC Appliances Austin'!O86</f>
        <v>172.0277013888888</v>
      </c>
      <c r="P86" s="110">
        <v>0.84375</v>
      </c>
      <c r="Q86" s="211">
        <f>'HVAC Appliances Austin'!Q86</f>
        <v>230.04784722222249</v>
      </c>
      <c r="R86" s="110">
        <v>0.84375</v>
      </c>
      <c r="S86" s="211">
        <f>'HVAC Appliances Austin'!S86</f>
        <v>269.1079722222218</v>
      </c>
      <c r="T86" s="21"/>
      <c r="U86" s="110">
        <v>0.84375</v>
      </c>
      <c r="V86" s="211">
        <f>'HVAC Appliances Austin'!V86</f>
        <v>973.56388888888762</v>
      </c>
      <c r="W86" s="110">
        <v>0.84375</v>
      </c>
      <c r="X86" s="211">
        <f>'HVAC Appliances Austin'!X86</f>
        <v>1579.5222222222214</v>
      </c>
      <c r="Y86" s="110">
        <v>0.84375</v>
      </c>
      <c r="Z86" s="211">
        <f>'HVAC Appliances Austin'!Z86</f>
        <v>2030.7722222222196</v>
      </c>
      <c r="AA86" s="21"/>
      <c r="AB86" s="110">
        <v>0.84375</v>
      </c>
      <c r="AC86" s="211">
        <f>'HVAC Appliances Austin'!AC86</f>
        <v>63.495999999999775</v>
      </c>
      <c r="AD86" s="110">
        <v>0.84375</v>
      </c>
      <c r="AE86" s="211">
        <f>'HVAC Appliances Austin'!AE86</f>
        <v>54.140000000000079</v>
      </c>
      <c r="AF86" s="110">
        <v>0.84375</v>
      </c>
      <c r="AG86" s="211">
        <f>'HVAC Appliances Austin'!AG86</f>
        <v>55.291999999999675</v>
      </c>
      <c r="AH86" s="21"/>
      <c r="AI86" s="110">
        <v>0.84375</v>
      </c>
      <c r="AJ86" s="211">
        <f>'HVAC Appliances Austin'!AJ86</f>
        <v>0</v>
      </c>
      <c r="AK86" s="110">
        <v>0.84375</v>
      </c>
      <c r="AL86" s="211">
        <f>'HVAC Appliances Austin'!AL86</f>
        <v>0</v>
      </c>
      <c r="AM86" s="110">
        <v>0.84375</v>
      </c>
      <c r="AN86" s="211">
        <f>'HVAC Appliances Austin'!AN86</f>
        <v>0</v>
      </c>
      <c r="AO86" s="21"/>
      <c r="AP86" s="110">
        <v>0.84375</v>
      </c>
      <c r="AQ86" s="211">
        <f>'HVAC Appliances Austin'!AQ86</f>
        <v>1121.2959999999996</v>
      </c>
      <c r="AR86" s="110">
        <v>0.84375</v>
      </c>
      <c r="AS86" s="211">
        <f>'HVAC Appliances Austin'!AS86</f>
        <v>1830.2599999999995</v>
      </c>
      <c r="AT86" s="110">
        <v>0.84375</v>
      </c>
      <c r="AU86" s="211">
        <f>'HVAC Appliances Austin'!AU86</f>
        <v>2362.771999999999</v>
      </c>
      <c r="AV86" s="21"/>
      <c r="AW86" s="110">
        <v>0.84375</v>
      </c>
      <c r="AX86" s="211"/>
      <c r="AY86" s="21"/>
      <c r="AZ86" s="110">
        <v>0.84375</v>
      </c>
      <c r="BA86" s="264"/>
      <c r="BC86" s="260">
        <v>0.84375</v>
      </c>
      <c r="BD86" s="211">
        <f>'HVAC Appliances Austin'!BD86</f>
        <v>0</v>
      </c>
      <c r="BE86" s="110">
        <v>0.84375</v>
      </c>
      <c r="BF86" s="211">
        <f>'HVAC Appliances Austin'!BF86</f>
        <v>0</v>
      </c>
      <c r="BG86" s="110">
        <v>0.84375</v>
      </c>
      <c r="BH86" s="211">
        <f>'HVAC Appliances Austin'!BH86</f>
        <v>0</v>
      </c>
      <c r="BI86" s="21"/>
      <c r="BJ86" s="110">
        <v>0.84375</v>
      </c>
      <c r="BK86" s="211">
        <f>'HVAC Appliances Austin'!BK86</f>
        <v>0</v>
      </c>
      <c r="BL86" s="110">
        <v>0.84375</v>
      </c>
      <c r="BM86" s="211">
        <f>'HVAC Appliances Austin'!BM86</f>
        <v>0</v>
      </c>
      <c r="BN86" s="110">
        <v>0.84375</v>
      </c>
      <c r="BO86" s="211">
        <f>'HVAC Appliances Austin'!BO86</f>
        <v>0</v>
      </c>
      <c r="BP86" s="21"/>
      <c r="BQ86" s="110">
        <v>0.84375</v>
      </c>
      <c r="BR86" s="211">
        <f>'HVAC Appliances Austin'!BR86</f>
        <v>0</v>
      </c>
      <c r="BS86" s="110">
        <v>0.84375</v>
      </c>
      <c r="BT86" s="211">
        <f>'HVAC Appliances Austin'!BT86</f>
        <v>0</v>
      </c>
      <c r="BU86" s="110">
        <v>0.84375</v>
      </c>
      <c r="BV86" s="211">
        <f>'HVAC Appliances Austin'!BV86</f>
        <v>0</v>
      </c>
      <c r="BW86" s="21"/>
      <c r="BX86" s="110">
        <v>0.84375</v>
      </c>
      <c r="BY86" s="211">
        <f>'HVAC Appliances Austin'!BY86</f>
        <v>0</v>
      </c>
      <c r="BZ86" s="110">
        <v>0.84375</v>
      </c>
      <c r="CA86" s="211">
        <f>'HVAC Appliances Austin'!CA86</f>
        <v>0</v>
      </c>
      <c r="CB86" s="110">
        <v>0.84375</v>
      </c>
      <c r="CC86" s="211">
        <f>'HVAC Appliances Austin'!CC86</f>
        <v>0</v>
      </c>
      <c r="CD86" s="21"/>
      <c r="CE86" s="110">
        <v>0.84375</v>
      </c>
      <c r="CF86" s="211">
        <f>'HVAC Appliances Austin'!CF86</f>
        <v>103.52333333333334</v>
      </c>
      <c r="CG86" s="110">
        <v>0.84375</v>
      </c>
      <c r="CH86" s="211">
        <f>'HVAC Appliances Austin'!CH86</f>
        <v>200.75333333333333</v>
      </c>
      <c r="CI86" s="110">
        <v>0.84375</v>
      </c>
      <c r="CJ86" s="211">
        <f>'HVAC Appliances Austin'!CJ86</f>
        <v>267.33333333333337</v>
      </c>
      <c r="CK86" s="21"/>
      <c r="CL86" s="110">
        <v>0.84375</v>
      </c>
      <c r="CM86" s="211">
        <f>'HVAC Appliances Austin'!CM86</f>
        <v>0</v>
      </c>
      <c r="CN86" s="110">
        <v>0.84375</v>
      </c>
      <c r="CO86" s="211">
        <f>'HVAC Appliances Austin'!CO86</f>
        <v>0</v>
      </c>
      <c r="CP86" s="110">
        <v>0.84375</v>
      </c>
      <c r="CQ86" s="211">
        <f>'HVAC Appliances Austin'!CQ86</f>
        <v>0</v>
      </c>
      <c r="CR86" s="21"/>
      <c r="CS86" s="110">
        <v>0.84375</v>
      </c>
      <c r="CT86" s="211"/>
      <c r="CU86" s="21"/>
      <c r="CV86" s="110">
        <v>0.84375</v>
      </c>
      <c r="CW86" s="264"/>
      <c r="CY86" s="260">
        <v>0.84375</v>
      </c>
      <c r="CZ86" s="211">
        <f>'HVAC Appliances Austin'!CZ86</f>
        <v>128.24900000000011</v>
      </c>
      <c r="DA86" s="110">
        <v>0.84375</v>
      </c>
      <c r="DB86" s="211">
        <f>'HVAC Appliances Austin'!DB86</f>
        <v>147.11268749999994</v>
      </c>
      <c r="DC86" s="110">
        <v>0.84375</v>
      </c>
      <c r="DD86" s="211">
        <f>'HVAC Appliances Austin'!DD86</f>
        <v>157.43106250000017</v>
      </c>
      <c r="DE86" s="21"/>
      <c r="DF86" s="110">
        <v>0.84375</v>
      </c>
      <c r="DG86" s="211">
        <f>'HVAC Appliances Austin'!DG86</f>
        <v>196.75100000000018</v>
      </c>
      <c r="DH86" s="110">
        <v>0.84375</v>
      </c>
      <c r="DI86" s="211">
        <f>'HVAC Appliances Austin'!DI86</f>
        <v>257.5886319444445</v>
      </c>
      <c r="DJ86" s="110">
        <v>0.84375</v>
      </c>
      <c r="DK86" s="211">
        <f>'HVAC Appliances Austin'!DK86</f>
        <v>299.03289583333327</v>
      </c>
      <c r="DL86" s="21"/>
      <c r="DM86" s="110">
        <v>0.84375</v>
      </c>
      <c r="DN86" s="211">
        <f>'HVAC Appliances Austin'!DN86</f>
        <v>1008.9499999999991</v>
      </c>
      <c r="DO86" s="110">
        <v>0.84375</v>
      </c>
      <c r="DP86" s="211">
        <f>'HVAC Appliances Austin'!DP86</f>
        <v>1628.9194444444429</v>
      </c>
      <c r="DQ86" s="110">
        <v>0.84375</v>
      </c>
      <c r="DR86" s="211">
        <f>'HVAC Appliances Austin'!DR86</f>
        <v>2083.7083333333317</v>
      </c>
      <c r="DS86" s="21"/>
      <c r="DT86" s="110">
        <v>0.84375</v>
      </c>
      <c r="DU86" s="211">
        <f>'HVAC Appliances Austin'!DU86</f>
        <v>0</v>
      </c>
      <c r="DV86" s="110">
        <v>0.84375</v>
      </c>
      <c r="DW86" s="211">
        <f>'HVAC Appliances Austin'!DW86</f>
        <v>0</v>
      </c>
      <c r="DX86" s="110">
        <v>0.84375</v>
      </c>
      <c r="DY86" s="211">
        <f>'HVAC Appliances Austin'!DY86</f>
        <v>0</v>
      </c>
      <c r="DZ86" s="21"/>
      <c r="EA86" s="110">
        <v>0.84375</v>
      </c>
      <c r="EB86" s="211">
        <f>'HVAC Appliances Amarillo'!EB86</f>
        <v>2863.3500000000004</v>
      </c>
      <c r="EC86" s="110">
        <v>0.84375</v>
      </c>
      <c r="ED86" s="211">
        <f>'HVAC Appliances Amarillo'!ED86</f>
        <v>0</v>
      </c>
      <c r="EE86" s="110">
        <v>0.84375</v>
      </c>
      <c r="EF86" s="211">
        <f>'HVAC Appliances Amarillo'!EF86</f>
        <v>0</v>
      </c>
      <c r="EG86" s="21"/>
      <c r="EH86" s="110">
        <v>0.84375</v>
      </c>
      <c r="EI86" s="211">
        <f>'HVAC Appliances Austin'!EI86</f>
        <v>1149.4159999999995</v>
      </c>
      <c r="EJ86" s="110">
        <v>0.84375</v>
      </c>
      <c r="EK86" s="211">
        <f>'HVAC Appliances Austin'!EK86</f>
        <v>1870.3319999999994</v>
      </c>
      <c r="EL86" s="110">
        <v>0.84375</v>
      </c>
      <c r="EM86" s="211">
        <f>'HVAC Appliances Austin'!EM86</f>
        <v>2399.6679999999997</v>
      </c>
      <c r="EN86" s="21"/>
      <c r="EO86" s="110">
        <v>0.84375</v>
      </c>
      <c r="EP86" s="211"/>
      <c r="EQ86" s="21"/>
      <c r="ER86" s="110">
        <v>0.84375</v>
      </c>
      <c r="ES86" s="264"/>
      <c r="EU86" s="260">
        <v>0.84375</v>
      </c>
      <c r="EV86" s="209">
        <f>'HVAC Appliances Amarillo'!EV86</f>
        <v>1620</v>
      </c>
      <c r="EW86" s="110">
        <v>0.84375</v>
      </c>
      <c r="EX86" s="209">
        <f>'HVAC Appliances Amarillo'!EX86</f>
        <v>0</v>
      </c>
      <c r="EY86" s="110">
        <v>0.84375</v>
      </c>
      <c r="EZ86" s="308">
        <f>'HVAC Appliances Amarillo'!EZ86</f>
        <v>0</v>
      </c>
    </row>
    <row r="87" spans="1:156" x14ac:dyDescent="0.3">
      <c r="A87" s="108">
        <v>0.84375</v>
      </c>
      <c r="B87" s="226">
        <f t="shared" si="4"/>
        <v>0</v>
      </c>
      <c r="C87" s="21">
        <f t="shared" si="5"/>
        <v>267.33333333333337</v>
      </c>
      <c r="D87" s="20">
        <f t="shared" si="6"/>
        <v>0</v>
      </c>
      <c r="E87" s="20">
        <f t="shared" si="7"/>
        <v>0</v>
      </c>
      <c r="G87" s="260">
        <v>0.85416666666666696</v>
      </c>
      <c r="H87" s="211">
        <f>'HVAC Appliances Austin'!H87</f>
        <v>115.54431249999986</v>
      </c>
      <c r="I87" s="110">
        <v>0.85416666666666696</v>
      </c>
      <c r="J87" s="211">
        <f>'HVAC Appliances Austin'!J87</f>
        <v>137.41062499999978</v>
      </c>
      <c r="K87" s="110">
        <v>0.85416666666666696</v>
      </c>
      <c r="L87" s="211">
        <f>'HVAC Appliances Austin'!L87</f>
        <v>153.88174999999916</v>
      </c>
      <c r="M87" s="21"/>
      <c r="N87" s="110">
        <v>0.85416666666666696</v>
      </c>
      <c r="O87" s="211">
        <f>'HVAC Appliances Austin'!O87</f>
        <v>172.0277013888888</v>
      </c>
      <c r="P87" s="110">
        <v>0.85416666666666696</v>
      </c>
      <c r="Q87" s="211">
        <f>'HVAC Appliances Austin'!Q87</f>
        <v>230.04784722222249</v>
      </c>
      <c r="R87" s="110">
        <v>0.85416666666666696</v>
      </c>
      <c r="S87" s="211">
        <f>'HVAC Appliances Austin'!S87</f>
        <v>269.1079722222218</v>
      </c>
      <c r="T87" s="21"/>
      <c r="U87" s="110">
        <v>0.85416666666666696</v>
      </c>
      <c r="V87" s="211">
        <f>'HVAC Appliances Austin'!V87</f>
        <v>973.56388888888762</v>
      </c>
      <c r="W87" s="110">
        <v>0.85416666666666696</v>
      </c>
      <c r="X87" s="211">
        <f>'HVAC Appliances Austin'!X87</f>
        <v>1579.5222222222214</v>
      </c>
      <c r="Y87" s="110">
        <v>0.85416666666666696</v>
      </c>
      <c r="Z87" s="211">
        <f>'HVAC Appliances Austin'!Z87</f>
        <v>2030.7722222222196</v>
      </c>
      <c r="AA87" s="21"/>
      <c r="AB87" s="110">
        <v>0.85416666666666696</v>
      </c>
      <c r="AC87" s="211">
        <f>'HVAC Appliances Austin'!AC87</f>
        <v>63.495999999999775</v>
      </c>
      <c r="AD87" s="110">
        <v>0.85416666666666696</v>
      </c>
      <c r="AE87" s="211">
        <f>'HVAC Appliances Austin'!AE87</f>
        <v>54.140000000000079</v>
      </c>
      <c r="AF87" s="110">
        <v>0.85416666666666696</v>
      </c>
      <c r="AG87" s="211">
        <f>'HVAC Appliances Austin'!AG87</f>
        <v>55.291999999999675</v>
      </c>
      <c r="AH87" s="21"/>
      <c r="AI87" s="110">
        <v>0.85416666666666696</v>
      </c>
      <c r="AJ87" s="211">
        <f>'HVAC Appliances Austin'!AJ87</f>
        <v>0</v>
      </c>
      <c r="AK87" s="110">
        <v>0.85416666666666696</v>
      </c>
      <c r="AL87" s="211">
        <f>'HVAC Appliances Austin'!AL87</f>
        <v>0</v>
      </c>
      <c r="AM87" s="110">
        <v>0.85416666666666696</v>
      </c>
      <c r="AN87" s="211">
        <f>'HVAC Appliances Austin'!AN87</f>
        <v>0</v>
      </c>
      <c r="AO87" s="21"/>
      <c r="AP87" s="110">
        <v>0.85416666666666696</v>
      </c>
      <c r="AQ87" s="211">
        <f>'HVAC Appliances Austin'!AQ87</f>
        <v>1121.2959999999996</v>
      </c>
      <c r="AR87" s="110">
        <v>0.85416666666666696</v>
      </c>
      <c r="AS87" s="211">
        <f>'HVAC Appliances Austin'!AS87</f>
        <v>1830.2599999999995</v>
      </c>
      <c r="AT87" s="110">
        <v>0.85416666666666696</v>
      </c>
      <c r="AU87" s="211">
        <f>'HVAC Appliances Austin'!AU87</f>
        <v>2362.771999999999</v>
      </c>
      <c r="AV87" s="21"/>
      <c r="AW87" s="110">
        <v>0.85416666666666696</v>
      </c>
      <c r="AX87" s="211"/>
      <c r="AY87" s="21"/>
      <c r="AZ87" s="110">
        <v>0.85416666666666696</v>
      </c>
      <c r="BA87" s="264"/>
      <c r="BC87" s="260">
        <v>0.85416666666666696</v>
      </c>
      <c r="BD87" s="211">
        <f>'HVAC Appliances Austin'!BD87</f>
        <v>0</v>
      </c>
      <c r="BE87" s="110">
        <v>0.85416666666666696</v>
      </c>
      <c r="BF87" s="211">
        <f>'HVAC Appliances Austin'!BF87</f>
        <v>0</v>
      </c>
      <c r="BG87" s="110">
        <v>0.85416666666666696</v>
      </c>
      <c r="BH87" s="211">
        <f>'HVAC Appliances Austin'!BH87</f>
        <v>0</v>
      </c>
      <c r="BI87" s="21"/>
      <c r="BJ87" s="110">
        <v>0.85416666666666696</v>
      </c>
      <c r="BK87" s="211">
        <f>'HVAC Appliances Austin'!BK87</f>
        <v>0</v>
      </c>
      <c r="BL87" s="110">
        <v>0.85416666666666696</v>
      </c>
      <c r="BM87" s="211">
        <f>'HVAC Appliances Austin'!BM87</f>
        <v>0</v>
      </c>
      <c r="BN87" s="110">
        <v>0.85416666666666696</v>
      </c>
      <c r="BO87" s="211">
        <f>'HVAC Appliances Austin'!BO87</f>
        <v>0</v>
      </c>
      <c r="BP87" s="21"/>
      <c r="BQ87" s="110">
        <v>0.85416666666666696</v>
      </c>
      <c r="BR87" s="211">
        <f>'HVAC Appliances Austin'!BR87</f>
        <v>0</v>
      </c>
      <c r="BS87" s="110">
        <v>0.85416666666666696</v>
      </c>
      <c r="BT87" s="211">
        <f>'HVAC Appliances Austin'!BT87</f>
        <v>0</v>
      </c>
      <c r="BU87" s="110">
        <v>0.85416666666666696</v>
      </c>
      <c r="BV87" s="211">
        <f>'HVAC Appliances Austin'!BV87</f>
        <v>0</v>
      </c>
      <c r="BW87" s="21"/>
      <c r="BX87" s="110">
        <v>0.85416666666666696</v>
      </c>
      <c r="BY87" s="211">
        <f>'HVAC Appliances Austin'!BY87</f>
        <v>0</v>
      </c>
      <c r="BZ87" s="110">
        <v>0.85416666666666696</v>
      </c>
      <c r="CA87" s="211">
        <f>'HVAC Appliances Austin'!CA87</f>
        <v>0</v>
      </c>
      <c r="CB87" s="110">
        <v>0.85416666666666696</v>
      </c>
      <c r="CC87" s="211">
        <f>'HVAC Appliances Austin'!CC87</f>
        <v>0</v>
      </c>
      <c r="CD87" s="21"/>
      <c r="CE87" s="110">
        <v>0.85416666666666696</v>
      </c>
      <c r="CF87" s="211">
        <f>'HVAC Appliances Austin'!CF87</f>
        <v>103.52333333333334</v>
      </c>
      <c r="CG87" s="110">
        <v>0.85416666666666696</v>
      </c>
      <c r="CH87" s="211">
        <f>'HVAC Appliances Austin'!CH87</f>
        <v>200.75333333333333</v>
      </c>
      <c r="CI87" s="110">
        <v>0.85416666666666696</v>
      </c>
      <c r="CJ87" s="211">
        <f>'HVAC Appliances Austin'!CJ87</f>
        <v>267.33333333333337</v>
      </c>
      <c r="CK87" s="21"/>
      <c r="CL87" s="110">
        <v>0.85416666666666696</v>
      </c>
      <c r="CM87" s="211">
        <f>'HVAC Appliances Austin'!CM87</f>
        <v>0</v>
      </c>
      <c r="CN87" s="110">
        <v>0.85416666666666696</v>
      </c>
      <c r="CO87" s="211">
        <f>'HVAC Appliances Austin'!CO87</f>
        <v>0</v>
      </c>
      <c r="CP87" s="110">
        <v>0.85416666666666696</v>
      </c>
      <c r="CQ87" s="211">
        <f>'HVAC Appliances Austin'!CQ87</f>
        <v>0</v>
      </c>
      <c r="CR87" s="21"/>
      <c r="CS87" s="110">
        <v>0.85416666666666696</v>
      </c>
      <c r="CT87" s="211"/>
      <c r="CU87" s="21"/>
      <c r="CV87" s="110">
        <v>0.85416666666666696</v>
      </c>
      <c r="CW87" s="264"/>
      <c r="CY87" s="260">
        <v>0.85416666666666696</v>
      </c>
      <c r="CZ87" s="211">
        <f>'HVAC Appliances Austin'!CZ87</f>
        <v>128.24900000000011</v>
      </c>
      <c r="DA87" s="110">
        <v>0.85416666666666696</v>
      </c>
      <c r="DB87" s="211">
        <f>'HVAC Appliances Austin'!DB87</f>
        <v>147.11268749999994</v>
      </c>
      <c r="DC87" s="110">
        <v>0.85416666666666696</v>
      </c>
      <c r="DD87" s="211">
        <f>'HVAC Appliances Austin'!DD87</f>
        <v>157.43106250000017</v>
      </c>
      <c r="DE87" s="21"/>
      <c r="DF87" s="110">
        <v>0.85416666666666696</v>
      </c>
      <c r="DG87" s="211">
        <f>'HVAC Appliances Austin'!DG87</f>
        <v>196.75100000000018</v>
      </c>
      <c r="DH87" s="110">
        <v>0.85416666666666696</v>
      </c>
      <c r="DI87" s="211">
        <f>'HVAC Appliances Austin'!DI87</f>
        <v>257.5886319444445</v>
      </c>
      <c r="DJ87" s="110">
        <v>0.85416666666666696</v>
      </c>
      <c r="DK87" s="211">
        <f>'HVAC Appliances Austin'!DK87</f>
        <v>299.03289583333327</v>
      </c>
      <c r="DL87" s="21"/>
      <c r="DM87" s="110">
        <v>0.85416666666666696</v>
      </c>
      <c r="DN87" s="211">
        <f>'HVAC Appliances Austin'!DN87</f>
        <v>1008.9499999999991</v>
      </c>
      <c r="DO87" s="110">
        <v>0.85416666666666696</v>
      </c>
      <c r="DP87" s="211">
        <f>'HVAC Appliances Austin'!DP87</f>
        <v>1628.9194444444429</v>
      </c>
      <c r="DQ87" s="110">
        <v>0.85416666666666696</v>
      </c>
      <c r="DR87" s="211">
        <f>'HVAC Appliances Austin'!DR87</f>
        <v>2083.7083333333317</v>
      </c>
      <c r="DS87" s="21"/>
      <c r="DT87" s="110">
        <v>0.85416666666666696</v>
      </c>
      <c r="DU87" s="211">
        <f>'HVAC Appliances Austin'!DU87</f>
        <v>0</v>
      </c>
      <c r="DV87" s="110">
        <v>0.85416666666666696</v>
      </c>
      <c r="DW87" s="211">
        <f>'HVAC Appliances Austin'!DW87</f>
        <v>0</v>
      </c>
      <c r="DX87" s="110">
        <v>0.85416666666666696</v>
      </c>
      <c r="DY87" s="211">
        <f>'HVAC Appliances Austin'!DY87</f>
        <v>0</v>
      </c>
      <c r="DZ87" s="21"/>
      <c r="EA87" s="110">
        <v>0.85416666666666696</v>
      </c>
      <c r="EB87" s="211">
        <f>'HVAC Appliances Amarillo'!EB87</f>
        <v>2863.3500000000004</v>
      </c>
      <c r="EC87" s="110">
        <v>0.85416666666666696</v>
      </c>
      <c r="ED87" s="211">
        <f>'HVAC Appliances Amarillo'!ED87</f>
        <v>0</v>
      </c>
      <c r="EE87" s="110">
        <v>0.85416666666666696</v>
      </c>
      <c r="EF87" s="211">
        <f>'HVAC Appliances Amarillo'!EF87</f>
        <v>0</v>
      </c>
      <c r="EG87" s="21"/>
      <c r="EH87" s="110">
        <v>0.85416666666666696</v>
      </c>
      <c r="EI87" s="211">
        <f>'HVAC Appliances Austin'!EI87</f>
        <v>1149.4159999999995</v>
      </c>
      <c r="EJ87" s="110">
        <v>0.85416666666666696</v>
      </c>
      <c r="EK87" s="211">
        <f>'HVAC Appliances Austin'!EK87</f>
        <v>1870.3319999999994</v>
      </c>
      <c r="EL87" s="110">
        <v>0.85416666666666696</v>
      </c>
      <c r="EM87" s="211">
        <f>'HVAC Appliances Austin'!EM87</f>
        <v>2399.6679999999997</v>
      </c>
      <c r="EN87" s="21"/>
      <c r="EO87" s="110">
        <v>0.85416666666666696</v>
      </c>
      <c r="EP87" s="211"/>
      <c r="EQ87" s="21"/>
      <c r="ER87" s="110">
        <v>0.85416666666666696</v>
      </c>
      <c r="ES87" s="264"/>
      <c r="EU87" s="260">
        <v>0.85416666666666696</v>
      </c>
      <c r="EV87" s="209">
        <f>'HVAC Appliances Amarillo'!EV87</f>
        <v>1620</v>
      </c>
      <c r="EW87" s="110">
        <v>0.85416666666666696</v>
      </c>
      <c r="EX87" s="209">
        <f>'HVAC Appliances Amarillo'!EX87</f>
        <v>0</v>
      </c>
      <c r="EY87" s="110">
        <v>0.85416666666666696</v>
      </c>
      <c r="EZ87" s="308">
        <f>'HVAC Appliances Amarillo'!EZ87</f>
        <v>0</v>
      </c>
    </row>
    <row r="88" spans="1:156" x14ac:dyDescent="0.3">
      <c r="A88" s="108">
        <v>0.85416666666666696</v>
      </c>
      <c r="B88" s="226">
        <f t="shared" si="4"/>
        <v>0</v>
      </c>
      <c r="C88" s="21">
        <f t="shared" si="5"/>
        <v>267.33333333333337</v>
      </c>
      <c r="D88" s="20">
        <f t="shared" si="6"/>
        <v>0</v>
      </c>
      <c r="E88" s="20">
        <f t="shared" si="7"/>
        <v>0</v>
      </c>
      <c r="G88" s="260">
        <v>0.86458333333333304</v>
      </c>
      <c r="H88" s="211">
        <f>'HVAC Appliances Austin'!H88</f>
        <v>115.54431249999986</v>
      </c>
      <c r="I88" s="110">
        <v>0.86458333333333304</v>
      </c>
      <c r="J88" s="211">
        <f>'HVAC Appliances Austin'!J88</f>
        <v>137.41062499999978</v>
      </c>
      <c r="K88" s="110">
        <v>0.86458333333333304</v>
      </c>
      <c r="L88" s="211">
        <f>'HVAC Appliances Austin'!L88</f>
        <v>153.88174999999916</v>
      </c>
      <c r="M88" s="21"/>
      <c r="N88" s="110">
        <v>0.86458333333333304</v>
      </c>
      <c r="O88" s="211">
        <f>'HVAC Appliances Austin'!O88</f>
        <v>172.0277013888888</v>
      </c>
      <c r="P88" s="110">
        <v>0.86458333333333304</v>
      </c>
      <c r="Q88" s="211">
        <f>'HVAC Appliances Austin'!Q88</f>
        <v>230.04784722222249</v>
      </c>
      <c r="R88" s="110">
        <v>0.86458333333333304</v>
      </c>
      <c r="S88" s="211">
        <f>'HVAC Appliances Austin'!S88</f>
        <v>269.1079722222218</v>
      </c>
      <c r="T88" s="21"/>
      <c r="U88" s="110">
        <v>0.86458333333333304</v>
      </c>
      <c r="V88" s="211">
        <f>'HVAC Appliances Austin'!V88</f>
        <v>973.56388888888762</v>
      </c>
      <c r="W88" s="110">
        <v>0.86458333333333304</v>
      </c>
      <c r="X88" s="211">
        <f>'HVAC Appliances Austin'!X88</f>
        <v>1579.5222222222214</v>
      </c>
      <c r="Y88" s="110">
        <v>0.86458333333333304</v>
      </c>
      <c r="Z88" s="211">
        <f>'HVAC Appliances Austin'!Z88</f>
        <v>2030.7722222222196</v>
      </c>
      <c r="AA88" s="21"/>
      <c r="AB88" s="110">
        <v>0.86458333333333304</v>
      </c>
      <c r="AC88" s="211">
        <f>'HVAC Appliances Austin'!AC88</f>
        <v>63.495999999999775</v>
      </c>
      <c r="AD88" s="110">
        <v>0.86458333333333304</v>
      </c>
      <c r="AE88" s="211">
        <f>'HVAC Appliances Austin'!AE88</f>
        <v>54.140000000000079</v>
      </c>
      <c r="AF88" s="110">
        <v>0.86458333333333304</v>
      </c>
      <c r="AG88" s="211">
        <f>'HVAC Appliances Austin'!AG88</f>
        <v>55.291999999999675</v>
      </c>
      <c r="AH88" s="21"/>
      <c r="AI88" s="110">
        <v>0.86458333333333304</v>
      </c>
      <c r="AJ88" s="211">
        <f>'HVAC Appliances Austin'!AJ88</f>
        <v>0</v>
      </c>
      <c r="AK88" s="110">
        <v>0.86458333333333304</v>
      </c>
      <c r="AL88" s="211">
        <f>'HVAC Appliances Austin'!AL88</f>
        <v>0</v>
      </c>
      <c r="AM88" s="110">
        <v>0.86458333333333304</v>
      </c>
      <c r="AN88" s="211">
        <f>'HVAC Appliances Austin'!AN88</f>
        <v>0</v>
      </c>
      <c r="AO88" s="21"/>
      <c r="AP88" s="110">
        <v>0.86458333333333304</v>
      </c>
      <c r="AQ88" s="211">
        <f>'HVAC Appliances Austin'!AQ88</f>
        <v>1121.2959999999996</v>
      </c>
      <c r="AR88" s="110">
        <v>0.86458333333333304</v>
      </c>
      <c r="AS88" s="211">
        <f>'HVAC Appliances Austin'!AS88</f>
        <v>1830.2599999999995</v>
      </c>
      <c r="AT88" s="110">
        <v>0.86458333333333304</v>
      </c>
      <c r="AU88" s="211">
        <f>'HVAC Appliances Austin'!AU88</f>
        <v>2362.771999999999</v>
      </c>
      <c r="AV88" s="21"/>
      <c r="AW88" s="110">
        <v>0.86458333333333304</v>
      </c>
      <c r="AX88" s="211"/>
      <c r="AY88" s="21"/>
      <c r="AZ88" s="110">
        <v>0.86458333333333304</v>
      </c>
      <c r="BA88" s="264"/>
      <c r="BC88" s="260">
        <v>0.86458333333333304</v>
      </c>
      <c r="BD88" s="211">
        <f>'HVAC Appliances Austin'!BD88</f>
        <v>0</v>
      </c>
      <c r="BE88" s="110">
        <v>0.86458333333333304</v>
      </c>
      <c r="BF88" s="211">
        <f>'HVAC Appliances Austin'!BF88</f>
        <v>0</v>
      </c>
      <c r="BG88" s="110">
        <v>0.86458333333333304</v>
      </c>
      <c r="BH88" s="211">
        <f>'HVAC Appliances Austin'!BH88</f>
        <v>0</v>
      </c>
      <c r="BI88" s="21"/>
      <c r="BJ88" s="110">
        <v>0.86458333333333304</v>
      </c>
      <c r="BK88" s="211">
        <f>'HVAC Appliances Austin'!BK88</f>
        <v>0</v>
      </c>
      <c r="BL88" s="110">
        <v>0.86458333333333304</v>
      </c>
      <c r="BM88" s="211">
        <f>'HVAC Appliances Austin'!BM88</f>
        <v>0</v>
      </c>
      <c r="BN88" s="110">
        <v>0.86458333333333304</v>
      </c>
      <c r="BO88" s="211">
        <f>'HVAC Appliances Austin'!BO88</f>
        <v>0</v>
      </c>
      <c r="BP88" s="21"/>
      <c r="BQ88" s="110">
        <v>0.86458333333333304</v>
      </c>
      <c r="BR88" s="211">
        <f>'HVAC Appliances Austin'!BR88</f>
        <v>0</v>
      </c>
      <c r="BS88" s="110">
        <v>0.86458333333333304</v>
      </c>
      <c r="BT88" s="211">
        <f>'HVAC Appliances Austin'!BT88</f>
        <v>0</v>
      </c>
      <c r="BU88" s="110">
        <v>0.86458333333333304</v>
      </c>
      <c r="BV88" s="211">
        <f>'HVAC Appliances Austin'!BV88</f>
        <v>0</v>
      </c>
      <c r="BW88" s="21"/>
      <c r="BX88" s="110">
        <v>0.86458333333333304</v>
      </c>
      <c r="BY88" s="211">
        <f>'HVAC Appliances Austin'!BY88</f>
        <v>0</v>
      </c>
      <c r="BZ88" s="110">
        <v>0.86458333333333304</v>
      </c>
      <c r="CA88" s="211">
        <f>'HVAC Appliances Austin'!CA88</f>
        <v>0</v>
      </c>
      <c r="CB88" s="110">
        <v>0.86458333333333304</v>
      </c>
      <c r="CC88" s="211">
        <f>'HVAC Appliances Austin'!CC88</f>
        <v>0</v>
      </c>
      <c r="CD88" s="21"/>
      <c r="CE88" s="110">
        <v>0.86458333333333304</v>
      </c>
      <c r="CF88" s="211">
        <f>'HVAC Appliances Austin'!CF88</f>
        <v>103.52333333333334</v>
      </c>
      <c r="CG88" s="110">
        <v>0.86458333333333304</v>
      </c>
      <c r="CH88" s="211">
        <f>'HVAC Appliances Austin'!CH88</f>
        <v>200.75333333333333</v>
      </c>
      <c r="CI88" s="110">
        <v>0.86458333333333304</v>
      </c>
      <c r="CJ88" s="211">
        <f>'HVAC Appliances Austin'!CJ88</f>
        <v>267.33333333333337</v>
      </c>
      <c r="CK88" s="21"/>
      <c r="CL88" s="110">
        <v>0.86458333333333304</v>
      </c>
      <c r="CM88" s="211">
        <f>'HVAC Appliances Austin'!CM88</f>
        <v>0</v>
      </c>
      <c r="CN88" s="110">
        <v>0.86458333333333304</v>
      </c>
      <c r="CO88" s="211">
        <f>'HVAC Appliances Austin'!CO88</f>
        <v>0</v>
      </c>
      <c r="CP88" s="110">
        <v>0.86458333333333304</v>
      </c>
      <c r="CQ88" s="211">
        <f>'HVAC Appliances Austin'!CQ88</f>
        <v>0</v>
      </c>
      <c r="CR88" s="21"/>
      <c r="CS88" s="110">
        <v>0.86458333333333304</v>
      </c>
      <c r="CT88" s="211"/>
      <c r="CU88" s="21"/>
      <c r="CV88" s="110">
        <v>0.86458333333333304</v>
      </c>
      <c r="CW88" s="264"/>
      <c r="CY88" s="260">
        <v>0.86458333333333304</v>
      </c>
      <c r="CZ88" s="211">
        <f>'HVAC Appliances Austin'!CZ88</f>
        <v>128.24900000000011</v>
      </c>
      <c r="DA88" s="110">
        <v>0.86458333333333304</v>
      </c>
      <c r="DB88" s="211">
        <f>'HVAC Appliances Austin'!DB88</f>
        <v>147.11268749999994</v>
      </c>
      <c r="DC88" s="110">
        <v>0.86458333333333304</v>
      </c>
      <c r="DD88" s="211">
        <f>'HVAC Appliances Austin'!DD88</f>
        <v>157.43106250000017</v>
      </c>
      <c r="DE88" s="21"/>
      <c r="DF88" s="110">
        <v>0.86458333333333304</v>
      </c>
      <c r="DG88" s="211">
        <f>'HVAC Appliances Austin'!DG88</f>
        <v>196.75100000000018</v>
      </c>
      <c r="DH88" s="110">
        <v>0.86458333333333304</v>
      </c>
      <c r="DI88" s="211">
        <f>'HVAC Appliances Austin'!DI88</f>
        <v>257.5886319444445</v>
      </c>
      <c r="DJ88" s="110">
        <v>0.86458333333333304</v>
      </c>
      <c r="DK88" s="211">
        <f>'HVAC Appliances Austin'!DK88</f>
        <v>299.03289583333327</v>
      </c>
      <c r="DL88" s="21"/>
      <c r="DM88" s="110">
        <v>0.86458333333333304</v>
      </c>
      <c r="DN88" s="211">
        <f>'HVAC Appliances Austin'!DN88</f>
        <v>1008.9499999999991</v>
      </c>
      <c r="DO88" s="110">
        <v>0.86458333333333304</v>
      </c>
      <c r="DP88" s="211">
        <f>'HVAC Appliances Austin'!DP88</f>
        <v>1628.9194444444429</v>
      </c>
      <c r="DQ88" s="110">
        <v>0.86458333333333304</v>
      </c>
      <c r="DR88" s="211">
        <f>'HVAC Appliances Austin'!DR88</f>
        <v>2083.7083333333317</v>
      </c>
      <c r="DS88" s="21"/>
      <c r="DT88" s="110">
        <v>0.86458333333333304</v>
      </c>
      <c r="DU88" s="211">
        <f>'HVAC Appliances Austin'!DU88</f>
        <v>0</v>
      </c>
      <c r="DV88" s="110">
        <v>0.86458333333333304</v>
      </c>
      <c r="DW88" s="211">
        <f>'HVAC Appliances Austin'!DW88</f>
        <v>0</v>
      </c>
      <c r="DX88" s="110">
        <v>0.86458333333333304</v>
      </c>
      <c r="DY88" s="211">
        <f>'HVAC Appliances Austin'!DY88</f>
        <v>0</v>
      </c>
      <c r="DZ88" s="21"/>
      <c r="EA88" s="110">
        <v>0.86458333333333304</v>
      </c>
      <c r="EB88" s="211">
        <f>'HVAC Appliances Amarillo'!EB88</f>
        <v>2863.3500000000004</v>
      </c>
      <c r="EC88" s="110">
        <v>0.86458333333333304</v>
      </c>
      <c r="ED88" s="211">
        <f>'HVAC Appliances Amarillo'!ED88</f>
        <v>0</v>
      </c>
      <c r="EE88" s="110">
        <v>0.86458333333333304</v>
      </c>
      <c r="EF88" s="211">
        <f>'HVAC Appliances Amarillo'!EF88</f>
        <v>0</v>
      </c>
      <c r="EG88" s="21"/>
      <c r="EH88" s="110">
        <v>0.86458333333333304</v>
      </c>
      <c r="EI88" s="211">
        <f>'HVAC Appliances Austin'!EI88</f>
        <v>1149.4159999999995</v>
      </c>
      <c r="EJ88" s="110">
        <v>0.86458333333333304</v>
      </c>
      <c r="EK88" s="211">
        <f>'HVAC Appliances Austin'!EK88</f>
        <v>1870.3319999999994</v>
      </c>
      <c r="EL88" s="110">
        <v>0.86458333333333304</v>
      </c>
      <c r="EM88" s="211">
        <f>'HVAC Appliances Austin'!EM88</f>
        <v>2399.6679999999997</v>
      </c>
      <c r="EN88" s="21"/>
      <c r="EO88" s="110">
        <v>0.86458333333333304</v>
      </c>
      <c r="EP88" s="211"/>
      <c r="EQ88" s="21"/>
      <c r="ER88" s="110">
        <v>0.86458333333333304</v>
      </c>
      <c r="ES88" s="264"/>
      <c r="EU88" s="260">
        <v>0.86458333333333304</v>
      </c>
      <c r="EV88" s="209">
        <f>'HVAC Appliances Amarillo'!EV88</f>
        <v>1620</v>
      </c>
      <c r="EW88" s="110">
        <v>0.86458333333333304</v>
      </c>
      <c r="EX88" s="209">
        <f>'HVAC Appliances Amarillo'!EX88</f>
        <v>0</v>
      </c>
      <c r="EY88" s="110">
        <v>0.86458333333333304</v>
      </c>
      <c r="EZ88" s="308">
        <f>'HVAC Appliances Amarillo'!EZ88</f>
        <v>0</v>
      </c>
    </row>
    <row r="89" spans="1:156" x14ac:dyDescent="0.3">
      <c r="A89" s="108">
        <v>0.86458333333333304</v>
      </c>
      <c r="B89" s="226">
        <f t="shared" si="4"/>
        <v>0</v>
      </c>
      <c r="C89" s="21">
        <f t="shared" si="5"/>
        <v>267.33333333333337</v>
      </c>
      <c r="D89" s="20">
        <f t="shared" si="6"/>
        <v>0</v>
      </c>
      <c r="E89" s="20">
        <f t="shared" si="7"/>
        <v>0</v>
      </c>
      <c r="G89" s="260">
        <v>0.875</v>
      </c>
      <c r="H89" s="211">
        <f>'HVAC Appliances Austin'!H89</f>
        <v>89.202249999999921</v>
      </c>
      <c r="I89" s="110">
        <v>0.875</v>
      </c>
      <c r="J89" s="211">
        <f>'HVAC Appliances Austin'!J89</f>
        <v>94.827500000000285</v>
      </c>
      <c r="K89" s="110">
        <v>0.875</v>
      </c>
      <c r="L89" s="211">
        <f>'HVAC Appliances Austin'!L89</f>
        <v>102.39200000000004</v>
      </c>
      <c r="M89" s="21"/>
      <c r="N89" s="110">
        <v>0.875</v>
      </c>
      <c r="O89" s="211">
        <f>'HVAC Appliances Austin'!O89</f>
        <v>138.99020138888872</v>
      </c>
      <c r="P89" s="110">
        <v>0.875</v>
      </c>
      <c r="Q89" s="211">
        <f>'HVAC Appliances Austin'!Q89</f>
        <v>175.70284722222195</v>
      </c>
      <c r="R89" s="110">
        <v>0.875</v>
      </c>
      <c r="S89" s="211">
        <f>'HVAC Appliances Austin'!S89</f>
        <v>201.12797222222235</v>
      </c>
      <c r="T89" s="21"/>
      <c r="U89" s="110">
        <v>0.875</v>
      </c>
      <c r="V89" s="211">
        <f>'HVAC Appliances Austin'!V89</f>
        <v>812.79447222222234</v>
      </c>
      <c r="W89" s="110">
        <v>0.875</v>
      </c>
      <c r="X89" s="211">
        <f>'HVAC Appliances Austin'!X89</f>
        <v>1307.0330555555558</v>
      </c>
      <c r="Y89" s="110">
        <v>0.875</v>
      </c>
      <c r="Z89" s="211">
        <f>'HVAC Appliances Austin'!Z89</f>
        <v>1670.8375555555554</v>
      </c>
      <c r="AA89" s="21"/>
      <c r="AB89" s="110">
        <v>0.875</v>
      </c>
      <c r="AC89" s="211">
        <f>'HVAC Appliances Austin'!AC89</f>
        <v>62.517701388888788</v>
      </c>
      <c r="AD89" s="110">
        <v>0.875</v>
      </c>
      <c r="AE89" s="211">
        <f>'HVAC Appliances Austin'!AE89</f>
        <v>52.622847222222326</v>
      </c>
      <c r="AF89" s="110">
        <v>0.875</v>
      </c>
      <c r="AG89" s="211">
        <f>'HVAC Appliances Austin'!AG89</f>
        <v>53.612972222222055</v>
      </c>
      <c r="AH89" s="21"/>
      <c r="AI89" s="110">
        <v>0.875</v>
      </c>
      <c r="AJ89" s="211">
        <f>'HVAC Appliances Austin'!AJ89</f>
        <v>0</v>
      </c>
      <c r="AK89" s="110">
        <v>0.875</v>
      </c>
      <c r="AL89" s="211">
        <f>'HVAC Appliances Austin'!AL89</f>
        <v>0</v>
      </c>
      <c r="AM89" s="110">
        <v>0.875</v>
      </c>
      <c r="AN89" s="211">
        <f>'HVAC Appliances Austin'!AN89</f>
        <v>0</v>
      </c>
      <c r="AO89" s="21"/>
      <c r="AP89" s="110">
        <v>0.875</v>
      </c>
      <c r="AQ89" s="211">
        <f>'HVAC Appliances Austin'!AQ89</f>
        <v>966.63455555555606</v>
      </c>
      <c r="AR89" s="110">
        <v>0.875</v>
      </c>
      <c r="AS89" s="211">
        <f>'HVAC Appliances Austin'!AS89</f>
        <v>1567.7688888888893</v>
      </c>
      <c r="AT89" s="110">
        <v>0.875</v>
      </c>
      <c r="AU89" s="211">
        <f>'HVAC Appliances Austin'!AU89</f>
        <v>2015.2268888888893</v>
      </c>
      <c r="AV89" s="21"/>
      <c r="AW89" s="110">
        <v>0.875</v>
      </c>
      <c r="AX89" s="211"/>
      <c r="AY89" s="21"/>
      <c r="AZ89" s="110">
        <v>0.875</v>
      </c>
      <c r="BA89" s="264"/>
      <c r="BC89" s="260">
        <v>0.875</v>
      </c>
      <c r="BD89" s="211">
        <f>'HVAC Appliances Austin'!BD89</f>
        <v>0</v>
      </c>
      <c r="BE89" s="110">
        <v>0.875</v>
      </c>
      <c r="BF89" s="211">
        <f>'HVAC Appliances Austin'!BF89</f>
        <v>0</v>
      </c>
      <c r="BG89" s="110">
        <v>0.875</v>
      </c>
      <c r="BH89" s="211">
        <f>'HVAC Appliances Austin'!BH89</f>
        <v>0</v>
      </c>
      <c r="BI89" s="21"/>
      <c r="BJ89" s="110">
        <v>0.875</v>
      </c>
      <c r="BK89" s="211">
        <f>'HVAC Appliances Austin'!BK89</f>
        <v>0</v>
      </c>
      <c r="BL89" s="110">
        <v>0.875</v>
      </c>
      <c r="BM89" s="211">
        <f>'HVAC Appliances Austin'!BM89</f>
        <v>0</v>
      </c>
      <c r="BN89" s="110">
        <v>0.875</v>
      </c>
      <c r="BO89" s="211">
        <f>'HVAC Appliances Austin'!BO89</f>
        <v>0</v>
      </c>
      <c r="BP89" s="21"/>
      <c r="BQ89" s="110">
        <v>0.875</v>
      </c>
      <c r="BR89" s="211">
        <f>'HVAC Appliances Austin'!BR89</f>
        <v>0</v>
      </c>
      <c r="BS89" s="110">
        <v>0.875</v>
      </c>
      <c r="BT89" s="211">
        <f>'HVAC Appliances Austin'!BT89</f>
        <v>0</v>
      </c>
      <c r="BU89" s="110">
        <v>0.875</v>
      </c>
      <c r="BV89" s="211">
        <f>'HVAC Appliances Austin'!BV89</f>
        <v>0</v>
      </c>
      <c r="BW89" s="21"/>
      <c r="BX89" s="110">
        <v>0.875</v>
      </c>
      <c r="BY89" s="211">
        <f>'HVAC Appliances Austin'!BY89</f>
        <v>0</v>
      </c>
      <c r="BZ89" s="110">
        <v>0.875</v>
      </c>
      <c r="CA89" s="211">
        <f>'HVAC Appliances Austin'!CA89</f>
        <v>0</v>
      </c>
      <c r="CB89" s="110">
        <v>0.875</v>
      </c>
      <c r="CC89" s="211">
        <f>'HVAC Appliances Austin'!CC89</f>
        <v>0</v>
      </c>
      <c r="CD89" s="21"/>
      <c r="CE89" s="110">
        <v>0.875</v>
      </c>
      <c r="CF89" s="211">
        <f>'HVAC Appliances Austin'!CF89</f>
        <v>106.85333333333332</v>
      </c>
      <c r="CG89" s="110">
        <v>0.875</v>
      </c>
      <c r="CH89" s="211">
        <f>'HVAC Appliances Austin'!CH89</f>
        <v>207.59333333333336</v>
      </c>
      <c r="CI89" s="110">
        <v>0.875</v>
      </c>
      <c r="CJ89" s="211">
        <f>'HVAC Appliances Austin'!CJ89</f>
        <v>276.33333333333331</v>
      </c>
      <c r="CK89" s="21"/>
      <c r="CL89" s="110">
        <v>0.875</v>
      </c>
      <c r="CM89" s="211">
        <f>'HVAC Appliances Austin'!CM89</f>
        <v>0</v>
      </c>
      <c r="CN89" s="110">
        <v>0.875</v>
      </c>
      <c r="CO89" s="211">
        <f>'HVAC Appliances Austin'!CO89</f>
        <v>0</v>
      </c>
      <c r="CP89" s="110">
        <v>0.875</v>
      </c>
      <c r="CQ89" s="211">
        <f>'HVAC Appliances Austin'!CQ89</f>
        <v>0</v>
      </c>
      <c r="CR89" s="21"/>
      <c r="CS89" s="110">
        <v>0.875</v>
      </c>
      <c r="CT89" s="211"/>
      <c r="CU89" s="21"/>
      <c r="CV89" s="110">
        <v>0.875</v>
      </c>
      <c r="CW89" s="264"/>
      <c r="CY89" s="260">
        <v>0.875</v>
      </c>
      <c r="CZ89" s="211">
        <f>'HVAC Appliances Austin'!CZ89</f>
        <v>93.460999999999956</v>
      </c>
      <c r="DA89" s="110">
        <v>0.875</v>
      </c>
      <c r="DB89" s="211">
        <f>'HVAC Appliances Austin'!DB89</f>
        <v>92.100749999999948</v>
      </c>
      <c r="DC89" s="110">
        <v>0.875</v>
      </c>
      <c r="DD89" s="211">
        <f>'HVAC Appliances Austin'!DD89</f>
        <v>87.399250000000265</v>
      </c>
      <c r="DE89" s="21"/>
      <c r="DF89" s="110">
        <v>0.875</v>
      </c>
      <c r="DG89" s="211">
        <f>'HVAC Appliances Austin'!DG89</f>
        <v>157.42099999999988</v>
      </c>
      <c r="DH89" s="110">
        <v>0.875</v>
      </c>
      <c r="DI89" s="211">
        <f>'HVAC Appliances Austin'!DI89</f>
        <v>193.87613194444441</v>
      </c>
      <c r="DJ89" s="110">
        <v>0.875</v>
      </c>
      <c r="DK89" s="211">
        <f>'HVAC Appliances Austin'!DK89</f>
        <v>217.24539583333336</v>
      </c>
      <c r="DL89" s="21"/>
      <c r="DM89" s="110">
        <v>0.875</v>
      </c>
      <c r="DN89" s="211">
        <f>'HVAC Appliances Austin'!DN89</f>
        <v>854.36433333333332</v>
      </c>
      <c r="DO89" s="110">
        <v>0.875</v>
      </c>
      <c r="DP89" s="211">
        <f>'HVAC Appliances Austin'!DP89</f>
        <v>1364.0851944444444</v>
      </c>
      <c r="DQ89" s="110">
        <v>0.875</v>
      </c>
      <c r="DR89" s="211">
        <f>'HVAC Appliances Austin'!DR89</f>
        <v>1737.4425833333337</v>
      </c>
      <c r="DS89" s="21"/>
      <c r="DT89" s="110">
        <v>0.875</v>
      </c>
      <c r="DU89" s="211">
        <f>'HVAC Appliances Austin'!DU89</f>
        <v>0</v>
      </c>
      <c r="DV89" s="110">
        <v>0.875</v>
      </c>
      <c r="DW89" s="211">
        <f>'HVAC Appliances Austin'!DW89</f>
        <v>0</v>
      </c>
      <c r="DX89" s="110">
        <v>0.875</v>
      </c>
      <c r="DY89" s="211">
        <f>'HVAC Appliances Austin'!DY89</f>
        <v>0</v>
      </c>
      <c r="DZ89" s="21"/>
      <c r="EA89" s="110">
        <v>0.875</v>
      </c>
      <c r="EB89" s="211">
        <f>'HVAC Appliances Amarillo'!EB89</f>
        <v>3126.6</v>
      </c>
      <c r="EC89" s="110">
        <v>0.875</v>
      </c>
      <c r="ED89" s="211">
        <f>'HVAC Appliances Amarillo'!ED89</f>
        <v>12300</v>
      </c>
      <c r="EE89" s="110">
        <v>0.875</v>
      </c>
      <c r="EF89" s="211">
        <f>'HVAC Appliances Amarillo'!EF89</f>
        <v>16000</v>
      </c>
      <c r="EG89" s="21"/>
      <c r="EH89" s="110">
        <v>0.875</v>
      </c>
      <c r="EI89" s="211">
        <f>'HVAC Appliances Austin'!EI89</f>
        <v>1002.3273333333337</v>
      </c>
      <c r="EJ89" s="110">
        <v>0.875</v>
      </c>
      <c r="EK89" s="211">
        <f>'HVAC Appliances Austin'!EK89</f>
        <v>1617.5541111111124</v>
      </c>
      <c r="EL89" s="110">
        <v>0.875</v>
      </c>
      <c r="EM89" s="211">
        <f>'HVAC Appliances Austin'!EM89</f>
        <v>2068.8403333333345</v>
      </c>
      <c r="EN89" s="21"/>
      <c r="EO89" s="110">
        <v>0.875</v>
      </c>
      <c r="EP89" s="211"/>
      <c r="EQ89" s="21"/>
      <c r="ER89" s="110">
        <v>0.875</v>
      </c>
      <c r="ES89" s="264"/>
      <c r="EU89" s="260">
        <v>0.875</v>
      </c>
      <c r="EV89" s="209">
        <f>'HVAC Appliances Amarillo'!EV89</f>
        <v>1620</v>
      </c>
      <c r="EW89" s="110">
        <v>0.875</v>
      </c>
      <c r="EX89" s="209">
        <f>'HVAC Appliances Amarillo'!EX89</f>
        <v>5400</v>
      </c>
      <c r="EY89" s="110">
        <v>0.875</v>
      </c>
      <c r="EZ89" s="308">
        <f>'HVAC Appliances Amarillo'!EZ89</f>
        <v>5400</v>
      </c>
    </row>
    <row r="90" spans="1:156" x14ac:dyDescent="0.3">
      <c r="A90" s="108">
        <v>0.875</v>
      </c>
      <c r="B90" s="226">
        <f t="shared" si="4"/>
        <v>0</v>
      </c>
      <c r="C90" s="21">
        <f t="shared" si="5"/>
        <v>276.33333333333331</v>
      </c>
      <c r="D90" s="20">
        <f t="shared" si="6"/>
        <v>16000</v>
      </c>
      <c r="E90" s="20">
        <f t="shared" si="7"/>
        <v>5400</v>
      </c>
      <c r="G90" s="260">
        <v>0.88541666666666696</v>
      </c>
      <c r="H90" s="211">
        <f>'HVAC Appliances Austin'!H90</f>
        <v>89.202249999999921</v>
      </c>
      <c r="I90" s="110">
        <v>0.88541666666666696</v>
      </c>
      <c r="J90" s="211">
        <f>'HVAC Appliances Austin'!J90</f>
        <v>94.827500000000285</v>
      </c>
      <c r="K90" s="110">
        <v>0.88541666666666696</v>
      </c>
      <c r="L90" s="211">
        <f>'HVAC Appliances Austin'!L90</f>
        <v>102.39200000000004</v>
      </c>
      <c r="M90" s="21"/>
      <c r="N90" s="110">
        <v>0.88541666666666696</v>
      </c>
      <c r="O90" s="211">
        <f>'HVAC Appliances Austin'!O90</f>
        <v>138.99020138888872</v>
      </c>
      <c r="P90" s="110">
        <v>0.88541666666666696</v>
      </c>
      <c r="Q90" s="211">
        <f>'HVAC Appliances Austin'!Q90</f>
        <v>175.70284722222195</v>
      </c>
      <c r="R90" s="110">
        <v>0.88541666666666696</v>
      </c>
      <c r="S90" s="211">
        <f>'HVAC Appliances Austin'!S90</f>
        <v>201.12797222222235</v>
      </c>
      <c r="T90" s="21"/>
      <c r="U90" s="110">
        <v>0.88541666666666696</v>
      </c>
      <c r="V90" s="211">
        <f>'HVAC Appliances Austin'!V90</f>
        <v>812.79447222222234</v>
      </c>
      <c r="W90" s="110">
        <v>0.88541666666666696</v>
      </c>
      <c r="X90" s="211">
        <f>'HVAC Appliances Austin'!X90</f>
        <v>1307.0330555555558</v>
      </c>
      <c r="Y90" s="110">
        <v>0.88541666666666696</v>
      </c>
      <c r="Z90" s="211">
        <f>'HVAC Appliances Austin'!Z90</f>
        <v>1670.8375555555554</v>
      </c>
      <c r="AA90" s="21"/>
      <c r="AB90" s="110">
        <v>0.88541666666666696</v>
      </c>
      <c r="AC90" s="211">
        <f>'HVAC Appliances Austin'!AC90</f>
        <v>62.517701388888788</v>
      </c>
      <c r="AD90" s="110">
        <v>0.88541666666666696</v>
      </c>
      <c r="AE90" s="211">
        <f>'HVAC Appliances Austin'!AE90</f>
        <v>52.622847222222326</v>
      </c>
      <c r="AF90" s="110">
        <v>0.88541666666666696</v>
      </c>
      <c r="AG90" s="211">
        <f>'HVAC Appliances Austin'!AG90</f>
        <v>53.612972222222055</v>
      </c>
      <c r="AH90" s="21"/>
      <c r="AI90" s="110">
        <v>0.88541666666666696</v>
      </c>
      <c r="AJ90" s="211">
        <f>'HVAC Appliances Austin'!AJ90</f>
        <v>0</v>
      </c>
      <c r="AK90" s="110">
        <v>0.88541666666666696</v>
      </c>
      <c r="AL90" s="211">
        <f>'HVAC Appliances Austin'!AL90</f>
        <v>0</v>
      </c>
      <c r="AM90" s="110">
        <v>0.88541666666666696</v>
      </c>
      <c r="AN90" s="211">
        <f>'HVAC Appliances Austin'!AN90</f>
        <v>0</v>
      </c>
      <c r="AO90" s="21"/>
      <c r="AP90" s="110">
        <v>0.88541666666666696</v>
      </c>
      <c r="AQ90" s="211">
        <f>'HVAC Appliances Austin'!AQ90</f>
        <v>966.63455555555606</v>
      </c>
      <c r="AR90" s="110">
        <v>0.88541666666666696</v>
      </c>
      <c r="AS90" s="211">
        <f>'HVAC Appliances Austin'!AS90</f>
        <v>1567.7688888888893</v>
      </c>
      <c r="AT90" s="110">
        <v>0.88541666666666696</v>
      </c>
      <c r="AU90" s="211">
        <f>'HVAC Appliances Austin'!AU90</f>
        <v>2015.2268888888893</v>
      </c>
      <c r="AV90" s="21"/>
      <c r="AW90" s="110">
        <v>0.88541666666666696</v>
      </c>
      <c r="AX90" s="211"/>
      <c r="AY90" s="21"/>
      <c r="AZ90" s="110">
        <v>0.88541666666666696</v>
      </c>
      <c r="BA90" s="264"/>
      <c r="BC90" s="260">
        <v>0.88541666666666696</v>
      </c>
      <c r="BD90" s="211">
        <f>'HVAC Appliances Austin'!BD90</f>
        <v>0</v>
      </c>
      <c r="BE90" s="110">
        <v>0.88541666666666696</v>
      </c>
      <c r="BF90" s="211">
        <f>'HVAC Appliances Austin'!BF90</f>
        <v>0</v>
      </c>
      <c r="BG90" s="110">
        <v>0.88541666666666696</v>
      </c>
      <c r="BH90" s="211">
        <f>'HVAC Appliances Austin'!BH90</f>
        <v>0</v>
      </c>
      <c r="BI90" s="21"/>
      <c r="BJ90" s="110">
        <v>0.88541666666666696</v>
      </c>
      <c r="BK90" s="211">
        <f>'HVAC Appliances Austin'!BK90</f>
        <v>0</v>
      </c>
      <c r="BL90" s="110">
        <v>0.88541666666666696</v>
      </c>
      <c r="BM90" s="211">
        <f>'HVAC Appliances Austin'!BM90</f>
        <v>0</v>
      </c>
      <c r="BN90" s="110">
        <v>0.88541666666666696</v>
      </c>
      <c r="BO90" s="211">
        <f>'HVAC Appliances Austin'!BO90</f>
        <v>0</v>
      </c>
      <c r="BP90" s="21"/>
      <c r="BQ90" s="110">
        <v>0.88541666666666696</v>
      </c>
      <c r="BR90" s="211">
        <f>'HVAC Appliances Austin'!BR90</f>
        <v>0</v>
      </c>
      <c r="BS90" s="110">
        <v>0.88541666666666696</v>
      </c>
      <c r="BT90" s="211">
        <f>'HVAC Appliances Austin'!BT90</f>
        <v>0</v>
      </c>
      <c r="BU90" s="110">
        <v>0.88541666666666696</v>
      </c>
      <c r="BV90" s="211">
        <f>'HVAC Appliances Austin'!BV90</f>
        <v>0</v>
      </c>
      <c r="BW90" s="21"/>
      <c r="BX90" s="110">
        <v>0.88541666666666696</v>
      </c>
      <c r="BY90" s="211">
        <f>'HVAC Appliances Austin'!BY90</f>
        <v>0</v>
      </c>
      <c r="BZ90" s="110">
        <v>0.88541666666666696</v>
      </c>
      <c r="CA90" s="211">
        <f>'HVAC Appliances Austin'!CA90</f>
        <v>0</v>
      </c>
      <c r="CB90" s="110">
        <v>0.88541666666666696</v>
      </c>
      <c r="CC90" s="211">
        <f>'HVAC Appliances Austin'!CC90</f>
        <v>0</v>
      </c>
      <c r="CD90" s="21"/>
      <c r="CE90" s="110">
        <v>0.88541666666666696</v>
      </c>
      <c r="CF90" s="211">
        <f>'HVAC Appliances Austin'!CF90</f>
        <v>106.85333333333332</v>
      </c>
      <c r="CG90" s="110">
        <v>0.88541666666666696</v>
      </c>
      <c r="CH90" s="211">
        <f>'HVAC Appliances Austin'!CH90</f>
        <v>207.59333333333336</v>
      </c>
      <c r="CI90" s="110">
        <v>0.88541666666666696</v>
      </c>
      <c r="CJ90" s="211">
        <f>'HVAC Appliances Austin'!CJ90</f>
        <v>276.33333333333331</v>
      </c>
      <c r="CK90" s="21"/>
      <c r="CL90" s="110">
        <v>0.88541666666666696</v>
      </c>
      <c r="CM90" s="211">
        <f>'HVAC Appliances Austin'!CM90</f>
        <v>0</v>
      </c>
      <c r="CN90" s="110">
        <v>0.88541666666666696</v>
      </c>
      <c r="CO90" s="211">
        <f>'HVAC Appliances Austin'!CO90</f>
        <v>0</v>
      </c>
      <c r="CP90" s="110">
        <v>0.88541666666666696</v>
      </c>
      <c r="CQ90" s="211">
        <f>'HVAC Appliances Austin'!CQ90</f>
        <v>0</v>
      </c>
      <c r="CR90" s="21"/>
      <c r="CS90" s="110">
        <v>0.88541666666666696</v>
      </c>
      <c r="CT90" s="211"/>
      <c r="CU90" s="21"/>
      <c r="CV90" s="110">
        <v>0.88541666666666696</v>
      </c>
      <c r="CW90" s="264"/>
      <c r="CY90" s="260">
        <v>0.88541666666666696</v>
      </c>
      <c r="CZ90" s="211">
        <f>'HVAC Appliances Austin'!CZ90</f>
        <v>93.460999999999956</v>
      </c>
      <c r="DA90" s="110">
        <v>0.88541666666666696</v>
      </c>
      <c r="DB90" s="211">
        <f>'HVAC Appliances Austin'!DB90</f>
        <v>92.100749999999948</v>
      </c>
      <c r="DC90" s="110">
        <v>0.88541666666666696</v>
      </c>
      <c r="DD90" s="211">
        <f>'HVAC Appliances Austin'!DD90</f>
        <v>87.399250000000265</v>
      </c>
      <c r="DE90" s="21"/>
      <c r="DF90" s="110">
        <v>0.88541666666666696</v>
      </c>
      <c r="DG90" s="211">
        <f>'HVAC Appliances Austin'!DG90</f>
        <v>157.42099999999988</v>
      </c>
      <c r="DH90" s="110">
        <v>0.88541666666666696</v>
      </c>
      <c r="DI90" s="211">
        <f>'HVAC Appliances Austin'!DI90</f>
        <v>193.87613194444441</v>
      </c>
      <c r="DJ90" s="110">
        <v>0.88541666666666696</v>
      </c>
      <c r="DK90" s="211">
        <f>'HVAC Appliances Austin'!DK90</f>
        <v>217.24539583333336</v>
      </c>
      <c r="DL90" s="21"/>
      <c r="DM90" s="110">
        <v>0.88541666666666696</v>
      </c>
      <c r="DN90" s="211">
        <f>'HVAC Appliances Austin'!DN90</f>
        <v>854.36433333333332</v>
      </c>
      <c r="DO90" s="110">
        <v>0.88541666666666696</v>
      </c>
      <c r="DP90" s="211">
        <f>'HVAC Appliances Austin'!DP90</f>
        <v>1364.0851944444444</v>
      </c>
      <c r="DQ90" s="110">
        <v>0.88541666666666696</v>
      </c>
      <c r="DR90" s="211">
        <f>'HVAC Appliances Austin'!DR90</f>
        <v>1737.4425833333337</v>
      </c>
      <c r="DS90" s="21"/>
      <c r="DT90" s="110">
        <v>0.88541666666666696</v>
      </c>
      <c r="DU90" s="211">
        <f>'HVAC Appliances Austin'!DU90</f>
        <v>0</v>
      </c>
      <c r="DV90" s="110">
        <v>0.88541666666666696</v>
      </c>
      <c r="DW90" s="211">
        <f>'HVAC Appliances Austin'!DW90</f>
        <v>0</v>
      </c>
      <c r="DX90" s="110">
        <v>0.88541666666666696</v>
      </c>
      <c r="DY90" s="211">
        <f>'HVAC Appliances Austin'!DY90</f>
        <v>0</v>
      </c>
      <c r="DZ90" s="21"/>
      <c r="EA90" s="110">
        <v>0.88541666666666696</v>
      </c>
      <c r="EB90" s="211">
        <f>'HVAC Appliances Amarillo'!EB90</f>
        <v>3126.6</v>
      </c>
      <c r="EC90" s="110">
        <v>0.88541666666666696</v>
      </c>
      <c r="ED90" s="211">
        <f>'HVAC Appliances Amarillo'!ED90</f>
        <v>0</v>
      </c>
      <c r="EE90" s="110">
        <v>0.88541666666666696</v>
      </c>
      <c r="EF90" s="211">
        <f>'HVAC Appliances Amarillo'!EF90</f>
        <v>0</v>
      </c>
      <c r="EG90" s="21"/>
      <c r="EH90" s="110">
        <v>0.88541666666666696</v>
      </c>
      <c r="EI90" s="211">
        <f>'HVAC Appliances Austin'!EI90</f>
        <v>1002.3273333333337</v>
      </c>
      <c r="EJ90" s="110">
        <v>0.88541666666666696</v>
      </c>
      <c r="EK90" s="211">
        <f>'HVAC Appliances Austin'!EK90</f>
        <v>1617.5541111111124</v>
      </c>
      <c r="EL90" s="110">
        <v>0.88541666666666696</v>
      </c>
      <c r="EM90" s="211">
        <f>'HVAC Appliances Austin'!EM90</f>
        <v>2068.8403333333345</v>
      </c>
      <c r="EN90" s="21"/>
      <c r="EO90" s="110">
        <v>0.88541666666666696</v>
      </c>
      <c r="EP90" s="211"/>
      <c r="EQ90" s="21"/>
      <c r="ER90" s="110">
        <v>0.88541666666666696</v>
      </c>
      <c r="ES90" s="264"/>
      <c r="EU90" s="260">
        <v>0.88541666666666696</v>
      </c>
      <c r="EV90" s="209">
        <f>'HVAC Appliances Amarillo'!EV90</f>
        <v>1620</v>
      </c>
      <c r="EW90" s="110">
        <v>0.88541666666666696</v>
      </c>
      <c r="EX90" s="209">
        <f>'HVAC Appliances Amarillo'!EX90</f>
        <v>0</v>
      </c>
      <c r="EY90" s="110">
        <v>0.88541666666666696</v>
      </c>
      <c r="EZ90" s="308">
        <f>'HVAC Appliances Amarillo'!EZ90</f>
        <v>0</v>
      </c>
    </row>
    <row r="91" spans="1:156" x14ac:dyDescent="0.3">
      <c r="A91" s="108">
        <v>0.88541666666666696</v>
      </c>
      <c r="B91" s="226">
        <f t="shared" si="4"/>
        <v>0</v>
      </c>
      <c r="C91" s="21">
        <f t="shared" si="5"/>
        <v>276.33333333333331</v>
      </c>
      <c r="D91" s="20">
        <f t="shared" si="6"/>
        <v>0</v>
      </c>
      <c r="E91" s="20">
        <f t="shared" si="7"/>
        <v>0</v>
      </c>
      <c r="G91" s="260">
        <v>0.89583333333333304</v>
      </c>
      <c r="H91" s="211">
        <f>'HVAC Appliances Austin'!H91</f>
        <v>89.202249999999921</v>
      </c>
      <c r="I91" s="110">
        <v>0.89583333333333304</v>
      </c>
      <c r="J91" s="211">
        <f>'HVAC Appliances Austin'!J91</f>
        <v>94.827500000000285</v>
      </c>
      <c r="K91" s="110">
        <v>0.89583333333333304</v>
      </c>
      <c r="L91" s="211">
        <f>'HVAC Appliances Austin'!L91</f>
        <v>102.39200000000004</v>
      </c>
      <c r="M91" s="21"/>
      <c r="N91" s="110">
        <v>0.89583333333333304</v>
      </c>
      <c r="O91" s="211">
        <f>'HVAC Appliances Austin'!O91</f>
        <v>138.99020138888872</v>
      </c>
      <c r="P91" s="110">
        <v>0.89583333333333304</v>
      </c>
      <c r="Q91" s="211">
        <f>'HVAC Appliances Austin'!Q91</f>
        <v>175.70284722222195</v>
      </c>
      <c r="R91" s="110">
        <v>0.89583333333333304</v>
      </c>
      <c r="S91" s="211">
        <f>'HVAC Appliances Austin'!S91</f>
        <v>201.12797222222235</v>
      </c>
      <c r="T91" s="21"/>
      <c r="U91" s="110">
        <v>0.89583333333333304</v>
      </c>
      <c r="V91" s="211">
        <f>'HVAC Appliances Austin'!V91</f>
        <v>812.79447222222234</v>
      </c>
      <c r="W91" s="110">
        <v>0.89583333333333304</v>
      </c>
      <c r="X91" s="211">
        <f>'HVAC Appliances Austin'!X91</f>
        <v>1307.0330555555558</v>
      </c>
      <c r="Y91" s="110">
        <v>0.89583333333333304</v>
      </c>
      <c r="Z91" s="211">
        <f>'HVAC Appliances Austin'!Z91</f>
        <v>1670.8375555555554</v>
      </c>
      <c r="AA91" s="21"/>
      <c r="AB91" s="110">
        <v>0.89583333333333304</v>
      </c>
      <c r="AC91" s="211">
        <f>'HVAC Appliances Austin'!AC91</f>
        <v>62.517701388888788</v>
      </c>
      <c r="AD91" s="110">
        <v>0.89583333333333304</v>
      </c>
      <c r="AE91" s="211">
        <f>'HVAC Appliances Austin'!AE91</f>
        <v>52.622847222222326</v>
      </c>
      <c r="AF91" s="110">
        <v>0.89583333333333304</v>
      </c>
      <c r="AG91" s="211">
        <f>'HVAC Appliances Austin'!AG91</f>
        <v>53.612972222222055</v>
      </c>
      <c r="AH91" s="21"/>
      <c r="AI91" s="110">
        <v>0.89583333333333304</v>
      </c>
      <c r="AJ91" s="211">
        <f>'HVAC Appliances Austin'!AJ91</f>
        <v>0</v>
      </c>
      <c r="AK91" s="110">
        <v>0.89583333333333304</v>
      </c>
      <c r="AL91" s="211">
        <f>'HVAC Appliances Austin'!AL91</f>
        <v>0</v>
      </c>
      <c r="AM91" s="110">
        <v>0.89583333333333304</v>
      </c>
      <c r="AN91" s="211">
        <f>'HVAC Appliances Austin'!AN91</f>
        <v>0</v>
      </c>
      <c r="AO91" s="21"/>
      <c r="AP91" s="110">
        <v>0.89583333333333304</v>
      </c>
      <c r="AQ91" s="211">
        <f>'HVAC Appliances Austin'!AQ91</f>
        <v>966.63455555555606</v>
      </c>
      <c r="AR91" s="110">
        <v>0.89583333333333304</v>
      </c>
      <c r="AS91" s="211">
        <f>'HVAC Appliances Austin'!AS91</f>
        <v>1567.7688888888893</v>
      </c>
      <c r="AT91" s="110">
        <v>0.89583333333333304</v>
      </c>
      <c r="AU91" s="211">
        <f>'HVAC Appliances Austin'!AU91</f>
        <v>2015.2268888888893</v>
      </c>
      <c r="AV91" s="21"/>
      <c r="AW91" s="110">
        <v>0.89583333333333304</v>
      </c>
      <c r="AX91" s="211"/>
      <c r="AY91" s="21"/>
      <c r="AZ91" s="110">
        <v>0.89583333333333304</v>
      </c>
      <c r="BA91" s="264"/>
      <c r="BC91" s="260">
        <v>0.89583333333333304</v>
      </c>
      <c r="BD91" s="211">
        <f>'HVAC Appliances Austin'!BD91</f>
        <v>0</v>
      </c>
      <c r="BE91" s="110">
        <v>0.89583333333333304</v>
      </c>
      <c r="BF91" s="211">
        <f>'HVAC Appliances Austin'!BF91</f>
        <v>0</v>
      </c>
      <c r="BG91" s="110">
        <v>0.89583333333333304</v>
      </c>
      <c r="BH91" s="211">
        <f>'HVAC Appliances Austin'!BH91</f>
        <v>0</v>
      </c>
      <c r="BI91" s="21"/>
      <c r="BJ91" s="110">
        <v>0.89583333333333304</v>
      </c>
      <c r="BK91" s="211">
        <f>'HVAC Appliances Austin'!BK91</f>
        <v>0</v>
      </c>
      <c r="BL91" s="110">
        <v>0.89583333333333304</v>
      </c>
      <c r="BM91" s="211">
        <f>'HVAC Appliances Austin'!BM91</f>
        <v>0</v>
      </c>
      <c r="BN91" s="110">
        <v>0.89583333333333304</v>
      </c>
      <c r="BO91" s="211">
        <f>'HVAC Appliances Austin'!BO91</f>
        <v>0</v>
      </c>
      <c r="BP91" s="21"/>
      <c r="BQ91" s="110">
        <v>0.89583333333333304</v>
      </c>
      <c r="BR91" s="211">
        <f>'HVAC Appliances Austin'!BR91</f>
        <v>0</v>
      </c>
      <c r="BS91" s="110">
        <v>0.89583333333333304</v>
      </c>
      <c r="BT91" s="211">
        <f>'HVAC Appliances Austin'!BT91</f>
        <v>0</v>
      </c>
      <c r="BU91" s="110">
        <v>0.89583333333333304</v>
      </c>
      <c r="BV91" s="211">
        <f>'HVAC Appliances Austin'!BV91</f>
        <v>0</v>
      </c>
      <c r="BW91" s="21"/>
      <c r="BX91" s="110">
        <v>0.89583333333333304</v>
      </c>
      <c r="BY91" s="211">
        <f>'HVAC Appliances Austin'!BY91</f>
        <v>0</v>
      </c>
      <c r="BZ91" s="110">
        <v>0.89583333333333304</v>
      </c>
      <c r="CA91" s="211">
        <f>'HVAC Appliances Austin'!CA91</f>
        <v>0</v>
      </c>
      <c r="CB91" s="110">
        <v>0.89583333333333304</v>
      </c>
      <c r="CC91" s="211">
        <f>'HVAC Appliances Austin'!CC91</f>
        <v>0</v>
      </c>
      <c r="CD91" s="21"/>
      <c r="CE91" s="110">
        <v>0.89583333333333304</v>
      </c>
      <c r="CF91" s="211">
        <f>'HVAC Appliances Austin'!CF91</f>
        <v>106.85333333333332</v>
      </c>
      <c r="CG91" s="110">
        <v>0.89583333333333304</v>
      </c>
      <c r="CH91" s="211">
        <f>'HVAC Appliances Austin'!CH91</f>
        <v>207.59333333333336</v>
      </c>
      <c r="CI91" s="110">
        <v>0.89583333333333304</v>
      </c>
      <c r="CJ91" s="211">
        <f>'HVAC Appliances Austin'!CJ91</f>
        <v>276.33333333333331</v>
      </c>
      <c r="CK91" s="21"/>
      <c r="CL91" s="110">
        <v>0.89583333333333304</v>
      </c>
      <c r="CM91" s="211">
        <f>'HVAC Appliances Austin'!CM91</f>
        <v>0</v>
      </c>
      <c r="CN91" s="110">
        <v>0.89583333333333304</v>
      </c>
      <c r="CO91" s="211">
        <f>'HVAC Appliances Austin'!CO91</f>
        <v>0</v>
      </c>
      <c r="CP91" s="110">
        <v>0.89583333333333304</v>
      </c>
      <c r="CQ91" s="211">
        <f>'HVAC Appliances Austin'!CQ91</f>
        <v>0</v>
      </c>
      <c r="CR91" s="21"/>
      <c r="CS91" s="110">
        <v>0.89583333333333304</v>
      </c>
      <c r="CT91" s="211"/>
      <c r="CU91" s="21"/>
      <c r="CV91" s="110">
        <v>0.89583333333333304</v>
      </c>
      <c r="CW91" s="264"/>
      <c r="CY91" s="260">
        <v>0.89583333333333304</v>
      </c>
      <c r="CZ91" s="211">
        <f>'HVAC Appliances Austin'!CZ91</f>
        <v>93.460999999999956</v>
      </c>
      <c r="DA91" s="110">
        <v>0.89583333333333304</v>
      </c>
      <c r="DB91" s="211">
        <f>'HVAC Appliances Austin'!DB91</f>
        <v>92.100749999999948</v>
      </c>
      <c r="DC91" s="110">
        <v>0.89583333333333304</v>
      </c>
      <c r="DD91" s="211">
        <f>'HVAC Appliances Austin'!DD91</f>
        <v>87.399250000000265</v>
      </c>
      <c r="DE91" s="21"/>
      <c r="DF91" s="110">
        <v>0.89583333333333304</v>
      </c>
      <c r="DG91" s="211">
        <f>'HVAC Appliances Austin'!DG91</f>
        <v>157.42099999999988</v>
      </c>
      <c r="DH91" s="110">
        <v>0.89583333333333304</v>
      </c>
      <c r="DI91" s="211">
        <f>'HVAC Appliances Austin'!DI91</f>
        <v>193.87613194444441</v>
      </c>
      <c r="DJ91" s="110">
        <v>0.89583333333333304</v>
      </c>
      <c r="DK91" s="211">
        <f>'HVAC Appliances Austin'!DK91</f>
        <v>217.24539583333336</v>
      </c>
      <c r="DL91" s="21"/>
      <c r="DM91" s="110">
        <v>0.89583333333333304</v>
      </c>
      <c r="DN91" s="211">
        <f>'HVAC Appliances Austin'!DN91</f>
        <v>854.36433333333332</v>
      </c>
      <c r="DO91" s="110">
        <v>0.89583333333333304</v>
      </c>
      <c r="DP91" s="211">
        <f>'HVAC Appliances Austin'!DP91</f>
        <v>1364.0851944444444</v>
      </c>
      <c r="DQ91" s="110">
        <v>0.89583333333333304</v>
      </c>
      <c r="DR91" s="211">
        <f>'HVAC Appliances Austin'!DR91</f>
        <v>1737.4425833333337</v>
      </c>
      <c r="DS91" s="21"/>
      <c r="DT91" s="110">
        <v>0.89583333333333304</v>
      </c>
      <c r="DU91" s="211">
        <f>'HVAC Appliances Austin'!DU91</f>
        <v>0</v>
      </c>
      <c r="DV91" s="110">
        <v>0.89583333333333304</v>
      </c>
      <c r="DW91" s="211">
        <f>'HVAC Appliances Austin'!DW91</f>
        <v>0</v>
      </c>
      <c r="DX91" s="110">
        <v>0.89583333333333304</v>
      </c>
      <c r="DY91" s="211">
        <f>'HVAC Appliances Austin'!DY91</f>
        <v>0</v>
      </c>
      <c r="DZ91" s="21"/>
      <c r="EA91" s="110">
        <v>0.89583333333333304</v>
      </c>
      <c r="EB91" s="211">
        <f>'HVAC Appliances Amarillo'!EB91</f>
        <v>3126.6</v>
      </c>
      <c r="EC91" s="110">
        <v>0.89583333333333304</v>
      </c>
      <c r="ED91" s="211">
        <f>'HVAC Appliances Amarillo'!ED91</f>
        <v>0</v>
      </c>
      <c r="EE91" s="110">
        <v>0.89583333333333304</v>
      </c>
      <c r="EF91" s="211">
        <f>'HVAC Appliances Amarillo'!EF91</f>
        <v>0</v>
      </c>
      <c r="EG91" s="21"/>
      <c r="EH91" s="110">
        <v>0.89583333333333304</v>
      </c>
      <c r="EI91" s="211">
        <f>'HVAC Appliances Austin'!EI91</f>
        <v>1002.3273333333337</v>
      </c>
      <c r="EJ91" s="110">
        <v>0.89583333333333304</v>
      </c>
      <c r="EK91" s="211">
        <f>'HVAC Appliances Austin'!EK91</f>
        <v>1617.5541111111124</v>
      </c>
      <c r="EL91" s="110">
        <v>0.89583333333333304</v>
      </c>
      <c r="EM91" s="211">
        <f>'HVAC Appliances Austin'!EM91</f>
        <v>2068.8403333333345</v>
      </c>
      <c r="EN91" s="21"/>
      <c r="EO91" s="110">
        <v>0.89583333333333304</v>
      </c>
      <c r="EP91" s="211"/>
      <c r="EQ91" s="21"/>
      <c r="ER91" s="110">
        <v>0.89583333333333304</v>
      </c>
      <c r="ES91" s="264"/>
      <c r="EU91" s="260">
        <v>0.89583333333333304</v>
      </c>
      <c r="EV91" s="209">
        <f>'HVAC Appliances Amarillo'!EV91</f>
        <v>1620</v>
      </c>
      <c r="EW91" s="110">
        <v>0.89583333333333304</v>
      </c>
      <c r="EX91" s="209">
        <f>'HVAC Appliances Amarillo'!EX91</f>
        <v>0</v>
      </c>
      <c r="EY91" s="110">
        <v>0.89583333333333304</v>
      </c>
      <c r="EZ91" s="308">
        <f>'HVAC Appliances Amarillo'!EZ91</f>
        <v>0</v>
      </c>
    </row>
    <row r="92" spans="1:156" x14ac:dyDescent="0.3">
      <c r="A92" s="108">
        <v>0.89583333333333304</v>
      </c>
      <c r="B92" s="226">
        <f t="shared" si="4"/>
        <v>0</v>
      </c>
      <c r="C92" s="21">
        <f t="shared" si="5"/>
        <v>276.33333333333331</v>
      </c>
      <c r="D92" s="20">
        <f t="shared" si="6"/>
        <v>0</v>
      </c>
      <c r="E92" s="20">
        <f t="shared" si="7"/>
        <v>0</v>
      </c>
      <c r="G92" s="260">
        <v>0.90625</v>
      </c>
      <c r="H92" s="211">
        <f>'HVAC Appliances Austin'!H92</f>
        <v>89.202249999999921</v>
      </c>
      <c r="I92" s="110">
        <v>0.90625</v>
      </c>
      <c r="J92" s="211">
        <f>'HVAC Appliances Austin'!J92</f>
        <v>94.827500000000285</v>
      </c>
      <c r="K92" s="110">
        <v>0.90625</v>
      </c>
      <c r="L92" s="211">
        <f>'HVAC Appliances Austin'!L92</f>
        <v>102.39200000000004</v>
      </c>
      <c r="M92" s="21"/>
      <c r="N92" s="110">
        <v>0.90625</v>
      </c>
      <c r="O92" s="211">
        <f>'HVAC Appliances Austin'!O92</f>
        <v>138.99020138888872</v>
      </c>
      <c r="P92" s="110">
        <v>0.90625</v>
      </c>
      <c r="Q92" s="211">
        <f>'HVAC Appliances Austin'!Q92</f>
        <v>175.70284722222195</v>
      </c>
      <c r="R92" s="110">
        <v>0.90625</v>
      </c>
      <c r="S92" s="211">
        <f>'HVAC Appliances Austin'!S92</f>
        <v>201.12797222222235</v>
      </c>
      <c r="T92" s="21"/>
      <c r="U92" s="110">
        <v>0.90625</v>
      </c>
      <c r="V92" s="211">
        <f>'HVAC Appliances Austin'!V92</f>
        <v>812.79447222222234</v>
      </c>
      <c r="W92" s="110">
        <v>0.90625</v>
      </c>
      <c r="X92" s="211">
        <f>'HVAC Appliances Austin'!X92</f>
        <v>1307.0330555555558</v>
      </c>
      <c r="Y92" s="110">
        <v>0.90625</v>
      </c>
      <c r="Z92" s="211">
        <f>'HVAC Appliances Austin'!Z92</f>
        <v>1670.8375555555554</v>
      </c>
      <c r="AA92" s="21"/>
      <c r="AB92" s="110">
        <v>0.90625</v>
      </c>
      <c r="AC92" s="211">
        <f>'HVAC Appliances Austin'!AC92</f>
        <v>62.517701388888788</v>
      </c>
      <c r="AD92" s="110">
        <v>0.90625</v>
      </c>
      <c r="AE92" s="211">
        <f>'HVAC Appliances Austin'!AE92</f>
        <v>52.622847222222326</v>
      </c>
      <c r="AF92" s="110">
        <v>0.90625</v>
      </c>
      <c r="AG92" s="211">
        <f>'HVAC Appliances Austin'!AG92</f>
        <v>53.612972222222055</v>
      </c>
      <c r="AH92" s="21"/>
      <c r="AI92" s="110">
        <v>0.90625</v>
      </c>
      <c r="AJ92" s="211">
        <f>'HVAC Appliances Austin'!AJ92</f>
        <v>0</v>
      </c>
      <c r="AK92" s="110">
        <v>0.90625</v>
      </c>
      <c r="AL92" s="211">
        <f>'HVAC Appliances Austin'!AL92</f>
        <v>0</v>
      </c>
      <c r="AM92" s="110">
        <v>0.90625</v>
      </c>
      <c r="AN92" s="211">
        <f>'HVAC Appliances Austin'!AN92</f>
        <v>0</v>
      </c>
      <c r="AO92" s="21"/>
      <c r="AP92" s="110">
        <v>0.90625</v>
      </c>
      <c r="AQ92" s="211">
        <f>'HVAC Appliances Austin'!AQ92</f>
        <v>966.63455555555606</v>
      </c>
      <c r="AR92" s="110">
        <v>0.90625</v>
      </c>
      <c r="AS92" s="211">
        <f>'HVAC Appliances Austin'!AS92</f>
        <v>1567.7688888888893</v>
      </c>
      <c r="AT92" s="110">
        <v>0.90625</v>
      </c>
      <c r="AU92" s="211">
        <f>'HVAC Appliances Austin'!AU92</f>
        <v>2015.2268888888893</v>
      </c>
      <c r="AV92" s="21"/>
      <c r="AW92" s="110">
        <v>0.90625</v>
      </c>
      <c r="AX92" s="211"/>
      <c r="AY92" s="21"/>
      <c r="AZ92" s="110">
        <v>0.90625</v>
      </c>
      <c r="BA92" s="264"/>
      <c r="BC92" s="260">
        <v>0.90625</v>
      </c>
      <c r="BD92" s="211">
        <f>'HVAC Appliances Austin'!BD92</f>
        <v>0</v>
      </c>
      <c r="BE92" s="110">
        <v>0.90625</v>
      </c>
      <c r="BF92" s="211">
        <f>'HVAC Appliances Austin'!BF92</f>
        <v>0</v>
      </c>
      <c r="BG92" s="110">
        <v>0.90625</v>
      </c>
      <c r="BH92" s="211">
        <f>'HVAC Appliances Austin'!BH92</f>
        <v>0</v>
      </c>
      <c r="BI92" s="21"/>
      <c r="BJ92" s="110">
        <v>0.90625</v>
      </c>
      <c r="BK92" s="211">
        <f>'HVAC Appliances Austin'!BK92</f>
        <v>0</v>
      </c>
      <c r="BL92" s="110">
        <v>0.90625</v>
      </c>
      <c r="BM92" s="211">
        <f>'HVAC Appliances Austin'!BM92</f>
        <v>0</v>
      </c>
      <c r="BN92" s="110">
        <v>0.90625</v>
      </c>
      <c r="BO92" s="211">
        <f>'HVAC Appliances Austin'!BO92</f>
        <v>0</v>
      </c>
      <c r="BP92" s="21"/>
      <c r="BQ92" s="110">
        <v>0.90625</v>
      </c>
      <c r="BR92" s="211">
        <f>'HVAC Appliances Austin'!BR92</f>
        <v>0</v>
      </c>
      <c r="BS92" s="110">
        <v>0.90625</v>
      </c>
      <c r="BT92" s="211">
        <f>'HVAC Appliances Austin'!BT92</f>
        <v>0</v>
      </c>
      <c r="BU92" s="110">
        <v>0.90625</v>
      </c>
      <c r="BV92" s="211">
        <f>'HVAC Appliances Austin'!BV92</f>
        <v>0</v>
      </c>
      <c r="BW92" s="21"/>
      <c r="BX92" s="110">
        <v>0.90625</v>
      </c>
      <c r="BY92" s="211">
        <f>'HVAC Appliances Austin'!BY92</f>
        <v>0</v>
      </c>
      <c r="BZ92" s="110">
        <v>0.90625</v>
      </c>
      <c r="CA92" s="211">
        <f>'HVAC Appliances Austin'!CA92</f>
        <v>0</v>
      </c>
      <c r="CB92" s="110">
        <v>0.90625</v>
      </c>
      <c r="CC92" s="211">
        <f>'HVAC Appliances Austin'!CC92</f>
        <v>0</v>
      </c>
      <c r="CD92" s="21"/>
      <c r="CE92" s="110">
        <v>0.90625</v>
      </c>
      <c r="CF92" s="211">
        <f>'HVAC Appliances Austin'!CF92</f>
        <v>106.85333333333332</v>
      </c>
      <c r="CG92" s="110">
        <v>0.90625</v>
      </c>
      <c r="CH92" s="211">
        <f>'HVAC Appliances Austin'!CH92</f>
        <v>207.59333333333336</v>
      </c>
      <c r="CI92" s="110">
        <v>0.90625</v>
      </c>
      <c r="CJ92" s="211">
        <f>'HVAC Appliances Austin'!CJ92</f>
        <v>276.33333333333331</v>
      </c>
      <c r="CK92" s="21"/>
      <c r="CL92" s="110">
        <v>0.90625</v>
      </c>
      <c r="CM92" s="211">
        <f>'HVAC Appliances Austin'!CM92</f>
        <v>0</v>
      </c>
      <c r="CN92" s="110">
        <v>0.90625</v>
      </c>
      <c r="CO92" s="211">
        <f>'HVAC Appliances Austin'!CO92</f>
        <v>0</v>
      </c>
      <c r="CP92" s="110">
        <v>0.90625</v>
      </c>
      <c r="CQ92" s="211">
        <f>'HVAC Appliances Austin'!CQ92</f>
        <v>0</v>
      </c>
      <c r="CR92" s="21"/>
      <c r="CS92" s="110">
        <v>0.90625</v>
      </c>
      <c r="CT92" s="211"/>
      <c r="CU92" s="21"/>
      <c r="CV92" s="110">
        <v>0.90625</v>
      </c>
      <c r="CW92" s="264"/>
      <c r="CY92" s="260">
        <v>0.90625</v>
      </c>
      <c r="CZ92" s="211">
        <f>'HVAC Appliances Austin'!CZ92</f>
        <v>93.460999999999956</v>
      </c>
      <c r="DA92" s="110">
        <v>0.90625</v>
      </c>
      <c r="DB92" s="211">
        <f>'HVAC Appliances Austin'!DB92</f>
        <v>92.100749999999948</v>
      </c>
      <c r="DC92" s="110">
        <v>0.90625</v>
      </c>
      <c r="DD92" s="211">
        <f>'HVAC Appliances Austin'!DD92</f>
        <v>87.399250000000265</v>
      </c>
      <c r="DE92" s="21"/>
      <c r="DF92" s="110">
        <v>0.90625</v>
      </c>
      <c r="DG92" s="211">
        <f>'HVAC Appliances Austin'!DG92</f>
        <v>157.42099999999988</v>
      </c>
      <c r="DH92" s="110">
        <v>0.90625</v>
      </c>
      <c r="DI92" s="211">
        <f>'HVAC Appliances Austin'!DI92</f>
        <v>193.87613194444441</v>
      </c>
      <c r="DJ92" s="110">
        <v>0.90625</v>
      </c>
      <c r="DK92" s="211">
        <f>'HVAC Appliances Austin'!DK92</f>
        <v>217.24539583333336</v>
      </c>
      <c r="DL92" s="21"/>
      <c r="DM92" s="110">
        <v>0.90625</v>
      </c>
      <c r="DN92" s="211">
        <f>'HVAC Appliances Austin'!DN92</f>
        <v>854.36433333333332</v>
      </c>
      <c r="DO92" s="110">
        <v>0.90625</v>
      </c>
      <c r="DP92" s="211">
        <f>'HVAC Appliances Austin'!DP92</f>
        <v>1364.0851944444444</v>
      </c>
      <c r="DQ92" s="110">
        <v>0.90625</v>
      </c>
      <c r="DR92" s="211">
        <f>'HVAC Appliances Austin'!DR92</f>
        <v>1737.4425833333337</v>
      </c>
      <c r="DS92" s="21"/>
      <c r="DT92" s="110">
        <v>0.90625</v>
      </c>
      <c r="DU92" s="211">
        <f>'HVAC Appliances Austin'!DU92</f>
        <v>0</v>
      </c>
      <c r="DV92" s="110">
        <v>0.90625</v>
      </c>
      <c r="DW92" s="211">
        <f>'HVAC Appliances Austin'!DW92</f>
        <v>0</v>
      </c>
      <c r="DX92" s="110">
        <v>0.90625</v>
      </c>
      <c r="DY92" s="211">
        <f>'HVAC Appliances Austin'!DY92</f>
        <v>0</v>
      </c>
      <c r="DZ92" s="21"/>
      <c r="EA92" s="110">
        <v>0.90625</v>
      </c>
      <c r="EB92" s="211">
        <f>'HVAC Appliances Amarillo'!EB92</f>
        <v>3126.6</v>
      </c>
      <c r="EC92" s="110">
        <v>0.90625</v>
      </c>
      <c r="ED92" s="211">
        <f>'HVAC Appliances Amarillo'!ED92</f>
        <v>0</v>
      </c>
      <c r="EE92" s="110">
        <v>0.90625</v>
      </c>
      <c r="EF92" s="211">
        <f>'HVAC Appliances Amarillo'!EF92</f>
        <v>0</v>
      </c>
      <c r="EG92" s="21"/>
      <c r="EH92" s="110">
        <v>0.90625</v>
      </c>
      <c r="EI92" s="211">
        <f>'HVAC Appliances Austin'!EI92</f>
        <v>1002.3273333333337</v>
      </c>
      <c r="EJ92" s="110">
        <v>0.90625</v>
      </c>
      <c r="EK92" s="211">
        <f>'HVAC Appliances Austin'!EK92</f>
        <v>1617.5541111111124</v>
      </c>
      <c r="EL92" s="110">
        <v>0.90625</v>
      </c>
      <c r="EM92" s="211">
        <f>'HVAC Appliances Austin'!EM92</f>
        <v>2068.8403333333345</v>
      </c>
      <c r="EN92" s="21"/>
      <c r="EO92" s="110">
        <v>0.90625</v>
      </c>
      <c r="EP92" s="211"/>
      <c r="EQ92" s="21"/>
      <c r="ER92" s="110">
        <v>0.90625</v>
      </c>
      <c r="ES92" s="264"/>
      <c r="EU92" s="260">
        <v>0.90625</v>
      </c>
      <c r="EV92" s="209">
        <f>'HVAC Appliances Amarillo'!EV92</f>
        <v>1620</v>
      </c>
      <c r="EW92" s="110">
        <v>0.90625</v>
      </c>
      <c r="EX92" s="209">
        <f>'HVAC Appliances Amarillo'!EX92</f>
        <v>0</v>
      </c>
      <c r="EY92" s="110">
        <v>0.90625</v>
      </c>
      <c r="EZ92" s="308">
        <f>'HVAC Appliances Amarillo'!EZ92</f>
        <v>0</v>
      </c>
    </row>
    <row r="93" spans="1:156" x14ac:dyDescent="0.3">
      <c r="A93" s="108">
        <v>0.90625</v>
      </c>
      <c r="B93" s="226">
        <f t="shared" si="4"/>
        <v>0</v>
      </c>
      <c r="C93" s="21">
        <f t="shared" si="5"/>
        <v>276.33333333333331</v>
      </c>
      <c r="D93" s="20">
        <f t="shared" si="6"/>
        <v>0</v>
      </c>
      <c r="E93" s="20">
        <f t="shared" si="7"/>
        <v>0</v>
      </c>
      <c r="G93" s="260">
        <v>0.91666666666666696</v>
      </c>
      <c r="H93" s="211">
        <f>'HVAC Appliances Austin'!H93</f>
        <v>78.187888888888722</v>
      </c>
      <c r="I93" s="110">
        <v>0.91666666666666696</v>
      </c>
      <c r="J93" s="211">
        <f>'HVAC Appliances Austin'!J93</f>
        <v>77.24222222222221</v>
      </c>
      <c r="K93" s="110">
        <v>0.91666666666666696</v>
      </c>
      <c r="L93" s="211">
        <f>'HVAC Appliances Austin'!L93</f>
        <v>81.660222222222245</v>
      </c>
      <c r="M93" s="21"/>
      <c r="N93" s="110">
        <v>0.91666666666666696</v>
      </c>
      <c r="O93" s="211">
        <f>'HVAC Appliances Austin'!O93</f>
        <v>101.12247222222182</v>
      </c>
      <c r="P93" s="110">
        <v>0.91666666666666696</v>
      </c>
      <c r="Q93" s="211">
        <f>'HVAC Appliances Austin'!Q93</f>
        <v>114.02305555555547</v>
      </c>
      <c r="R93" s="110">
        <v>0.91666666666666696</v>
      </c>
      <c r="S93" s="211">
        <f>'HVAC Appliances Austin'!S93</f>
        <v>125.42355555555496</v>
      </c>
      <c r="T93" s="21"/>
      <c r="U93" s="110">
        <v>0.91666666666666696</v>
      </c>
      <c r="V93" s="211">
        <f>'HVAC Appliances Austin'!V93</f>
        <v>599.39113888888892</v>
      </c>
      <c r="W93" s="110">
        <v>0.91666666666666696</v>
      </c>
      <c r="X93" s="211">
        <f>'HVAC Appliances Austin'!X93</f>
        <v>946.16972222222228</v>
      </c>
      <c r="Y93" s="110">
        <v>0.91666666666666696</v>
      </c>
      <c r="Z93" s="211">
        <f>'HVAC Appliances Austin'!Z93</f>
        <v>1196.094222222222</v>
      </c>
      <c r="AA93" s="21"/>
      <c r="AB93" s="110">
        <v>0.91666666666666696</v>
      </c>
      <c r="AC93" s="211">
        <f>'HVAC Appliances Austin'!AC93</f>
        <v>56.460249999999768</v>
      </c>
      <c r="AD93" s="110">
        <v>0.91666666666666696</v>
      </c>
      <c r="AE93" s="211">
        <f>'HVAC Appliances Austin'!AE93</f>
        <v>43.317499999999676</v>
      </c>
      <c r="AF93" s="110">
        <v>0.91666666666666696</v>
      </c>
      <c r="AG93" s="211">
        <f>'HVAC Appliances Austin'!AG93</f>
        <v>43.537999999999414</v>
      </c>
      <c r="AH93" s="21"/>
      <c r="AI93" s="110">
        <v>0.91666666666666696</v>
      </c>
      <c r="AJ93" s="211">
        <f>'HVAC Appliances Austin'!AJ93</f>
        <v>0</v>
      </c>
      <c r="AK93" s="110">
        <v>0.91666666666666696</v>
      </c>
      <c r="AL93" s="211">
        <f>'HVAC Appliances Austin'!AL93</f>
        <v>0</v>
      </c>
      <c r="AM93" s="110">
        <v>0.91666666666666696</v>
      </c>
      <c r="AN93" s="211">
        <f>'HVAC Appliances Austin'!AN93</f>
        <v>0</v>
      </c>
      <c r="AO93" s="21"/>
      <c r="AP93" s="110">
        <v>0.91666666666666696</v>
      </c>
      <c r="AQ93" s="211">
        <f>'HVAC Appliances Austin'!AQ93</f>
        <v>835.8633680555555</v>
      </c>
      <c r="AR93" s="110">
        <v>0.91666666666666696</v>
      </c>
      <c r="AS93" s="211">
        <f>'HVAC Appliances Austin'!AS93</f>
        <v>1346.1045138888887</v>
      </c>
      <c r="AT93" s="110">
        <v>0.91666666666666696</v>
      </c>
      <c r="AU93" s="211">
        <f>'HVAC Appliances Austin'!AU93</f>
        <v>1722.3826388888886</v>
      </c>
      <c r="AV93" s="21"/>
      <c r="AW93" s="110">
        <v>0.91666666666666696</v>
      </c>
      <c r="AX93" s="211"/>
      <c r="AY93" s="21"/>
      <c r="AZ93" s="110">
        <v>0.91666666666666696</v>
      </c>
      <c r="BA93" s="264"/>
      <c r="BC93" s="260">
        <v>0.91666666666666696</v>
      </c>
      <c r="BD93" s="211">
        <f>'HVAC Appliances Austin'!BD93</f>
        <v>0</v>
      </c>
      <c r="BE93" s="110">
        <v>0.91666666666666696</v>
      </c>
      <c r="BF93" s="211">
        <f>'HVAC Appliances Austin'!BF93</f>
        <v>0</v>
      </c>
      <c r="BG93" s="110">
        <v>0.91666666666666696</v>
      </c>
      <c r="BH93" s="211">
        <f>'HVAC Appliances Austin'!BH93</f>
        <v>0</v>
      </c>
      <c r="BI93" s="21"/>
      <c r="BJ93" s="110">
        <v>0.91666666666666696</v>
      </c>
      <c r="BK93" s="211">
        <f>'HVAC Appliances Austin'!BK93</f>
        <v>0</v>
      </c>
      <c r="BL93" s="110">
        <v>0.91666666666666696</v>
      </c>
      <c r="BM93" s="211">
        <f>'HVAC Appliances Austin'!BM93</f>
        <v>0</v>
      </c>
      <c r="BN93" s="110">
        <v>0.91666666666666696</v>
      </c>
      <c r="BO93" s="211">
        <f>'HVAC Appliances Austin'!BO93</f>
        <v>0</v>
      </c>
      <c r="BP93" s="21"/>
      <c r="BQ93" s="110">
        <v>0.91666666666666696</v>
      </c>
      <c r="BR93" s="211">
        <f>'HVAC Appliances Austin'!BR93</f>
        <v>0</v>
      </c>
      <c r="BS93" s="110">
        <v>0.91666666666666696</v>
      </c>
      <c r="BT93" s="211">
        <f>'HVAC Appliances Austin'!BT93</f>
        <v>0</v>
      </c>
      <c r="BU93" s="110">
        <v>0.91666666666666696</v>
      </c>
      <c r="BV93" s="211">
        <f>'HVAC Appliances Austin'!BV93</f>
        <v>0</v>
      </c>
      <c r="BW93" s="21"/>
      <c r="BX93" s="110">
        <v>0.91666666666666696</v>
      </c>
      <c r="BY93" s="211">
        <f>'HVAC Appliances Austin'!BY93</f>
        <v>0</v>
      </c>
      <c r="BZ93" s="110">
        <v>0.91666666666666696</v>
      </c>
      <c r="CA93" s="211">
        <f>'HVAC Appliances Austin'!CA93</f>
        <v>0</v>
      </c>
      <c r="CB93" s="110">
        <v>0.91666666666666696</v>
      </c>
      <c r="CC93" s="211">
        <f>'HVAC Appliances Austin'!CC93</f>
        <v>0</v>
      </c>
      <c r="CD93" s="21"/>
      <c r="CE93" s="110">
        <v>0.91666666666666696</v>
      </c>
      <c r="CF93" s="211">
        <f>'HVAC Appliances Austin'!CF93</f>
        <v>107.68583333333333</v>
      </c>
      <c r="CG93" s="110">
        <v>0.91666666666666696</v>
      </c>
      <c r="CH93" s="211">
        <f>'HVAC Appliances Austin'!CH93</f>
        <v>209.30333333333334</v>
      </c>
      <c r="CI93" s="110">
        <v>0.91666666666666696</v>
      </c>
      <c r="CJ93" s="211">
        <f>'HVAC Appliances Austin'!CJ93</f>
        <v>278.58333333333337</v>
      </c>
      <c r="CK93" s="21"/>
      <c r="CL93" s="110">
        <v>0.91666666666666696</v>
      </c>
      <c r="CM93" s="211">
        <f>'HVAC Appliances Austin'!CM93</f>
        <v>0</v>
      </c>
      <c r="CN93" s="110">
        <v>0.91666666666666696</v>
      </c>
      <c r="CO93" s="211">
        <f>'HVAC Appliances Austin'!CO93</f>
        <v>0</v>
      </c>
      <c r="CP93" s="110">
        <v>0.91666666666666696</v>
      </c>
      <c r="CQ93" s="211">
        <f>'HVAC Appliances Austin'!CQ93</f>
        <v>0</v>
      </c>
      <c r="CR93" s="21"/>
      <c r="CS93" s="110">
        <v>0.91666666666666696</v>
      </c>
      <c r="CT93" s="211"/>
      <c r="CU93" s="21"/>
      <c r="CV93" s="110">
        <v>0.91666666666666696</v>
      </c>
      <c r="CW93" s="264"/>
      <c r="CY93" s="260">
        <v>0.91666666666666696</v>
      </c>
      <c r="CZ93" s="211">
        <f>'HVAC Appliances Austin'!CZ93</f>
        <v>77.907333333333384</v>
      </c>
      <c r="DA93" s="110">
        <v>0.91666666666666696</v>
      </c>
      <c r="DB93" s="211">
        <f>'HVAC Appliances Austin'!DB93</f>
        <v>67.86077777777777</v>
      </c>
      <c r="DC93" s="110">
        <v>0.91666666666666696</v>
      </c>
      <c r="DD93" s="211">
        <f>'HVAC Appliances Austin'!DD93</f>
        <v>56.700333333333134</v>
      </c>
      <c r="DE93" s="21"/>
      <c r="DF93" s="110">
        <v>0.91666666666666696</v>
      </c>
      <c r="DG93" s="211">
        <f>'HVAC Appliances Austin'!DG93</f>
        <v>109.54233333333302</v>
      </c>
      <c r="DH93" s="110">
        <v>0.91666666666666696</v>
      </c>
      <c r="DI93" s="211">
        <f>'HVAC Appliances Austin'!DI93</f>
        <v>117.41119444444425</v>
      </c>
      <c r="DJ93" s="110">
        <v>0.91666666666666696</v>
      </c>
      <c r="DK93" s="211">
        <f>'HVAC Appliances Austin'!DK93</f>
        <v>119.56658333333303</v>
      </c>
      <c r="DL93" s="21"/>
      <c r="DM93" s="110">
        <v>0.91666666666666696</v>
      </c>
      <c r="DN93" s="211">
        <f>'HVAC Appliances Austin'!DN93</f>
        <v>645.34100000000012</v>
      </c>
      <c r="DO93" s="110">
        <v>0.91666666666666696</v>
      </c>
      <c r="DP93" s="211">
        <f>'HVAC Appliances Austin'!DP93</f>
        <v>1007.8451944444447</v>
      </c>
      <c r="DQ93" s="110">
        <v>0.91666666666666696</v>
      </c>
      <c r="DR93" s="211">
        <f>'HVAC Appliances Austin'!DR93</f>
        <v>1272.4325833333335</v>
      </c>
      <c r="DS93" s="21"/>
      <c r="DT93" s="110">
        <v>0.91666666666666696</v>
      </c>
      <c r="DU93" s="211">
        <f>'HVAC Appliances Austin'!DU93</f>
        <v>0</v>
      </c>
      <c r="DV93" s="110">
        <v>0.91666666666666696</v>
      </c>
      <c r="DW93" s="211">
        <f>'HVAC Appliances Austin'!DW93</f>
        <v>0</v>
      </c>
      <c r="DX93" s="110">
        <v>0.91666666666666696</v>
      </c>
      <c r="DY93" s="211">
        <f>'HVAC Appliances Austin'!DY93</f>
        <v>0</v>
      </c>
      <c r="DZ93" s="21"/>
      <c r="EA93" s="110">
        <v>0.91666666666666696</v>
      </c>
      <c r="EB93" s="211">
        <f>'HVAC Appliances Amarillo'!EB93</f>
        <v>3192.4125000000004</v>
      </c>
      <c r="EC93" s="110">
        <v>0.91666666666666696</v>
      </c>
      <c r="ED93" s="211">
        <f>'HVAC Appliances Amarillo'!ED93</f>
        <v>12300</v>
      </c>
      <c r="EE93" s="110">
        <v>0.91666666666666696</v>
      </c>
      <c r="EF93" s="211">
        <f>'HVAC Appliances Amarillo'!EF93</f>
        <v>16000</v>
      </c>
      <c r="EG93" s="21"/>
      <c r="EH93" s="110">
        <v>0.91666666666666696</v>
      </c>
      <c r="EI93" s="211">
        <f>'HVAC Appliances Austin'!EI93</f>
        <v>876.67500000000007</v>
      </c>
      <c r="EJ93" s="110">
        <v>0.91666666666666696</v>
      </c>
      <c r="EK93" s="211">
        <f>'HVAC Appliances Austin'!EK93</f>
        <v>1402.2449652777782</v>
      </c>
      <c r="EL93" s="110">
        <v>0.91666666666666696</v>
      </c>
      <c r="EM93" s="211">
        <f>'HVAC Appliances Austin'!EM93</f>
        <v>1787.3098958333346</v>
      </c>
      <c r="EN93" s="21"/>
      <c r="EO93" s="110">
        <v>0.91666666666666696</v>
      </c>
      <c r="EP93" s="211"/>
      <c r="EQ93" s="21"/>
      <c r="ER93" s="110">
        <v>0.91666666666666696</v>
      </c>
      <c r="ES93" s="264"/>
      <c r="EU93" s="260">
        <v>0.91666666666666696</v>
      </c>
      <c r="EV93" s="209">
        <f>'HVAC Appliances Amarillo'!EV93</f>
        <v>1620</v>
      </c>
      <c r="EW93" s="110">
        <v>0.91666666666666696</v>
      </c>
      <c r="EX93" s="209">
        <f>'HVAC Appliances Amarillo'!EX93</f>
        <v>5400</v>
      </c>
      <c r="EY93" s="110">
        <v>0.91666666666666696</v>
      </c>
      <c r="EZ93" s="308">
        <f>'HVAC Appliances Amarillo'!EZ93</f>
        <v>5400</v>
      </c>
    </row>
    <row r="94" spans="1:156" x14ac:dyDescent="0.3">
      <c r="A94" s="108">
        <v>0.91666666666666696</v>
      </c>
      <c r="B94" s="226">
        <f t="shared" si="4"/>
        <v>0</v>
      </c>
      <c r="C94" s="21">
        <f t="shared" si="5"/>
        <v>278.58333333333337</v>
      </c>
      <c r="D94" s="20">
        <f t="shared" si="6"/>
        <v>16000</v>
      </c>
      <c r="E94" s="20">
        <f t="shared" si="7"/>
        <v>5400</v>
      </c>
      <c r="G94" s="260">
        <v>0.92708333333333304</v>
      </c>
      <c r="H94" s="211">
        <f>'HVAC Appliances Austin'!H94</f>
        <v>78.187888888888722</v>
      </c>
      <c r="I94" s="110">
        <v>0.92708333333333304</v>
      </c>
      <c r="J94" s="211">
        <f>'HVAC Appliances Austin'!J94</f>
        <v>77.24222222222221</v>
      </c>
      <c r="K94" s="110">
        <v>0.92708333333333304</v>
      </c>
      <c r="L94" s="211">
        <f>'HVAC Appliances Austin'!L94</f>
        <v>81.660222222222245</v>
      </c>
      <c r="M94" s="21"/>
      <c r="N94" s="110">
        <v>0.92708333333333304</v>
      </c>
      <c r="O94" s="211">
        <f>'HVAC Appliances Austin'!O94</f>
        <v>101.12247222222182</v>
      </c>
      <c r="P94" s="110">
        <v>0.92708333333333304</v>
      </c>
      <c r="Q94" s="211">
        <f>'HVAC Appliances Austin'!Q94</f>
        <v>114.02305555555547</v>
      </c>
      <c r="R94" s="110">
        <v>0.92708333333333304</v>
      </c>
      <c r="S94" s="211">
        <f>'HVAC Appliances Austin'!S94</f>
        <v>125.42355555555496</v>
      </c>
      <c r="T94" s="21"/>
      <c r="U94" s="110">
        <v>0.92708333333333304</v>
      </c>
      <c r="V94" s="211">
        <f>'HVAC Appliances Austin'!V94</f>
        <v>599.39113888888892</v>
      </c>
      <c r="W94" s="110">
        <v>0.92708333333333304</v>
      </c>
      <c r="X94" s="211">
        <f>'HVAC Appliances Austin'!X94</f>
        <v>946.16972222222228</v>
      </c>
      <c r="Y94" s="110">
        <v>0.92708333333333304</v>
      </c>
      <c r="Z94" s="211">
        <f>'HVAC Appliances Austin'!Z94</f>
        <v>1196.094222222222</v>
      </c>
      <c r="AA94" s="21"/>
      <c r="AB94" s="110">
        <v>0.92708333333333304</v>
      </c>
      <c r="AC94" s="211">
        <f>'HVAC Appliances Austin'!AC94</f>
        <v>56.460249999999768</v>
      </c>
      <c r="AD94" s="110">
        <v>0.92708333333333304</v>
      </c>
      <c r="AE94" s="211">
        <f>'HVAC Appliances Austin'!AE94</f>
        <v>43.317499999999676</v>
      </c>
      <c r="AF94" s="110">
        <v>0.92708333333333304</v>
      </c>
      <c r="AG94" s="211">
        <f>'HVAC Appliances Austin'!AG94</f>
        <v>43.537999999999414</v>
      </c>
      <c r="AH94" s="21"/>
      <c r="AI94" s="110">
        <v>0.92708333333333304</v>
      </c>
      <c r="AJ94" s="211">
        <f>'HVAC Appliances Austin'!AJ94</f>
        <v>0</v>
      </c>
      <c r="AK94" s="110">
        <v>0.92708333333333304</v>
      </c>
      <c r="AL94" s="211">
        <f>'HVAC Appliances Austin'!AL94</f>
        <v>0</v>
      </c>
      <c r="AM94" s="110">
        <v>0.92708333333333304</v>
      </c>
      <c r="AN94" s="211">
        <f>'HVAC Appliances Austin'!AN94</f>
        <v>0</v>
      </c>
      <c r="AO94" s="21"/>
      <c r="AP94" s="110">
        <v>0.92708333333333304</v>
      </c>
      <c r="AQ94" s="211">
        <f>'HVAC Appliances Austin'!AQ94</f>
        <v>835.8633680555555</v>
      </c>
      <c r="AR94" s="110">
        <v>0.92708333333333304</v>
      </c>
      <c r="AS94" s="211">
        <f>'HVAC Appliances Austin'!AS94</f>
        <v>1346.1045138888887</v>
      </c>
      <c r="AT94" s="110">
        <v>0.92708333333333304</v>
      </c>
      <c r="AU94" s="211">
        <f>'HVAC Appliances Austin'!AU94</f>
        <v>1722.3826388888886</v>
      </c>
      <c r="AV94" s="21"/>
      <c r="AW94" s="110">
        <v>0.92708333333333304</v>
      </c>
      <c r="AX94" s="211"/>
      <c r="AY94" s="21"/>
      <c r="AZ94" s="110">
        <v>0.92708333333333304</v>
      </c>
      <c r="BA94" s="264"/>
      <c r="BC94" s="260">
        <v>0.92708333333333304</v>
      </c>
      <c r="BD94" s="211">
        <f>'HVAC Appliances Austin'!BD94</f>
        <v>0</v>
      </c>
      <c r="BE94" s="110">
        <v>0.92708333333333304</v>
      </c>
      <c r="BF94" s="211">
        <f>'HVAC Appliances Austin'!BF94</f>
        <v>0</v>
      </c>
      <c r="BG94" s="110">
        <v>0.92708333333333304</v>
      </c>
      <c r="BH94" s="211">
        <f>'HVAC Appliances Austin'!BH94</f>
        <v>0</v>
      </c>
      <c r="BI94" s="21"/>
      <c r="BJ94" s="110">
        <v>0.92708333333333304</v>
      </c>
      <c r="BK94" s="211">
        <f>'HVAC Appliances Austin'!BK94</f>
        <v>0</v>
      </c>
      <c r="BL94" s="110">
        <v>0.92708333333333304</v>
      </c>
      <c r="BM94" s="211">
        <f>'HVAC Appliances Austin'!BM94</f>
        <v>0</v>
      </c>
      <c r="BN94" s="110">
        <v>0.92708333333333304</v>
      </c>
      <c r="BO94" s="211">
        <f>'HVAC Appliances Austin'!BO94</f>
        <v>0</v>
      </c>
      <c r="BP94" s="21"/>
      <c r="BQ94" s="110">
        <v>0.92708333333333304</v>
      </c>
      <c r="BR94" s="211">
        <f>'HVAC Appliances Austin'!BR94</f>
        <v>0</v>
      </c>
      <c r="BS94" s="110">
        <v>0.92708333333333304</v>
      </c>
      <c r="BT94" s="211">
        <f>'HVAC Appliances Austin'!BT94</f>
        <v>0</v>
      </c>
      <c r="BU94" s="110">
        <v>0.92708333333333304</v>
      </c>
      <c r="BV94" s="211">
        <f>'HVAC Appliances Austin'!BV94</f>
        <v>0</v>
      </c>
      <c r="BW94" s="21"/>
      <c r="BX94" s="110">
        <v>0.92708333333333304</v>
      </c>
      <c r="BY94" s="211">
        <f>'HVAC Appliances Austin'!BY94</f>
        <v>0</v>
      </c>
      <c r="BZ94" s="110">
        <v>0.92708333333333304</v>
      </c>
      <c r="CA94" s="211">
        <f>'HVAC Appliances Austin'!CA94</f>
        <v>0</v>
      </c>
      <c r="CB94" s="110">
        <v>0.92708333333333304</v>
      </c>
      <c r="CC94" s="211">
        <f>'HVAC Appliances Austin'!CC94</f>
        <v>0</v>
      </c>
      <c r="CD94" s="21"/>
      <c r="CE94" s="110">
        <v>0.92708333333333304</v>
      </c>
      <c r="CF94" s="211">
        <f>'HVAC Appliances Austin'!CF94</f>
        <v>107.68583333333333</v>
      </c>
      <c r="CG94" s="110">
        <v>0.92708333333333304</v>
      </c>
      <c r="CH94" s="211">
        <f>'HVAC Appliances Austin'!CH94</f>
        <v>209.30333333333334</v>
      </c>
      <c r="CI94" s="110">
        <v>0.92708333333333304</v>
      </c>
      <c r="CJ94" s="211">
        <f>'HVAC Appliances Austin'!CJ94</f>
        <v>278.58333333333337</v>
      </c>
      <c r="CK94" s="21"/>
      <c r="CL94" s="110">
        <v>0.92708333333333304</v>
      </c>
      <c r="CM94" s="211">
        <f>'HVAC Appliances Austin'!CM94</f>
        <v>0</v>
      </c>
      <c r="CN94" s="110">
        <v>0.92708333333333304</v>
      </c>
      <c r="CO94" s="211">
        <f>'HVAC Appliances Austin'!CO94</f>
        <v>0</v>
      </c>
      <c r="CP94" s="110">
        <v>0.92708333333333304</v>
      </c>
      <c r="CQ94" s="211">
        <f>'HVAC Appliances Austin'!CQ94</f>
        <v>0</v>
      </c>
      <c r="CR94" s="21"/>
      <c r="CS94" s="110">
        <v>0.92708333333333304</v>
      </c>
      <c r="CT94" s="211"/>
      <c r="CU94" s="21"/>
      <c r="CV94" s="110">
        <v>0.92708333333333304</v>
      </c>
      <c r="CW94" s="264"/>
      <c r="CY94" s="260">
        <v>0.92708333333333304</v>
      </c>
      <c r="CZ94" s="211">
        <f>'HVAC Appliances Austin'!CZ94</f>
        <v>77.907333333333384</v>
      </c>
      <c r="DA94" s="110">
        <v>0.92708333333333304</v>
      </c>
      <c r="DB94" s="211">
        <f>'HVAC Appliances Austin'!DB94</f>
        <v>67.86077777777777</v>
      </c>
      <c r="DC94" s="110">
        <v>0.92708333333333304</v>
      </c>
      <c r="DD94" s="211">
        <f>'HVAC Appliances Austin'!DD94</f>
        <v>56.700333333333134</v>
      </c>
      <c r="DE94" s="21"/>
      <c r="DF94" s="110">
        <v>0.92708333333333304</v>
      </c>
      <c r="DG94" s="211">
        <f>'HVAC Appliances Austin'!DG94</f>
        <v>109.54233333333302</v>
      </c>
      <c r="DH94" s="110">
        <v>0.92708333333333304</v>
      </c>
      <c r="DI94" s="211">
        <f>'HVAC Appliances Austin'!DI94</f>
        <v>117.41119444444425</v>
      </c>
      <c r="DJ94" s="110">
        <v>0.92708333333333304</v>
      </c>
      <c r="DK94" s="211">
        <f>'HVAC Appliances Austin'!DK94</f>
        <v>119.56658333333303</v>
      </c>
      <c r="DL94" s="21"/>
      <c r="DM94" s="110">
        <v>0.92708333333333304</v>
      </c>
      <c r="DN94" s="211">
        <f>'HVAC Appliances Austin'!DN94</f>
        <v>645.34100000000012</v>
      </c>
      <c r="DO94" s="110">
        <v>0.92708333333333304</v>
      </c>
      <c r="DP94" s="211">
        <f>'HVAC Appliances Austin'!DP94</f>
        <v>1007.8451944444447</v>
      </c>
      <c r="DQ94" s="110">
        <v>0.92708333333333304</v>
      </c>
      <c r="DR94" s="211">
        <f>'HVAC Appliances Austin'!DR94</f>
        <v>1272.4325833333335</v>
      </c>
      <c r="DS94" s="21"/>
      <c r="DT94" s="110">
        <v>0.92708333333333304</v>
      </c>
      <c r="DU94" s="211">
        <f>'HVAC Appliances Austin'!DU94</f>
        <v>0</v>
      </c>
      <c r="DV94" s="110">
        <v>0.92708333333333304</v>
      </c>
      <c r="DW94" s="211">
        <f>'HVAC Appliances Austin'!DW94</f>
        <v>0</v>
      </c>
      <c r="DX94" s="110">
        <v>0.92708333333333304</v>
      </c>
      <c r="DY94" s="211">
        <f>'HVAC Appliances Austin'!DY94</f>
        <v>0</v>
      </c>
      <c r="DZ94" s="21"/>
      <c r="EA94" s="110">
        <v>0.92708333333333304</v>
      </c>
      <c r="EB94" s="211">
        <f>'HVAC Appliances Amarillo'!EB94</f>
        <v>3192.4125000000004</v>
      </c>
      <c r="EC94" s="110">
        <v>0.92708333333333304</v>
      </c>
      <c r="ED94" s="211">
        <f>'HVAC Appliances Amarillo'!ED94</f>
        <v>0</v>
      </c>
      <c r="EE94" s="110">
        <v>0.92708333333333304</v>
      </c>
      <c r="EF94" s="211">
        <f>'HVAC Appliances Amarillo'!EF94</f>
        <v>0</v>
      </c>
      <c r="EG94" s="21"/>
      <c r="EH94" s="110">
        <v>0.92708333333333304</v>
      </c>
      <c r="EI94" s="211">
        <f>'HVAC Appliances Austin'!EI94</f>
        <v>876.67500000000007</v>
      </c>
      <c r="EJ94" s="110">
        <v>0.92708333333333304</v>
      </c>
      <c r="EK94" s="211">
        <f>'HVAC Appliances Austin'!EK94</f>
        <v>1402.2449652777782</v>
      </c>
      <c r="EL94" s="110">
        <v>0.92708333333333304</v>
      </c>
      <c r="EM94" s="211">
        <f>'HVAC Appliances Austin'!EM94</f>
        <v>1787.3098958333346</v>
      </c>
      <c r="EN94" s="21"/>
      <c r="EO94" s="110">
        <v>0.92708333333333304</v>
      </c>
      <c r="EP94" s="211"/>
      <c r="EQ94" s="21"/>
      <c r="ER94" s="110">
        <v>0.92708333333333304</v>
      </c>
      <c r="ES94" s="264"/>
      <c r="EU94" s="260">
        <v>0.92708333333333304</v>
      </c>
      <c r="EV94" s="209">
        <f>'HVAC Appliances Amarillo'!EV94</f>
        <v>1620</v>
      </c>
      <c r="EW94" s="110">
        <v>0.92708333333333304</v>
      </c>
      <c r="EX94" s="209">
        <f>'HVAC Appliances Amarillo'!EX94</f>
        <v>0</v>
      </c>
      <c r="EY94" s="110">
        <v>0.92708333333333304</v>
      </c>
      <c r="EZ94" s="308">
        <f>'HVAC Appliances Amarillo'!EZ94</f>
        <v>0</v>
      </c>
    </row>
    <row r="95" spans="1:156" x14ac:dyDescent="0.3">
      <c r="A95" s="108">
        <v>0.92708333333333304</v>
      </c>
      <c r="B95" s="226">
        <f t="shared" si="4"/>
        <v>0</v>
      </c>
      <c r="C95" s="21">
        <f t="shared" si="5"/>
        <v>278.58333333333337</v>
      </c>
      <c r="D95" s="20">
        <f t="shared" si="6"/>
        <v>0</v>
      </c>
      <c r="E95" s="20">
        <f t="shared" si="7"/>
        <v>0</v>
      </c>
      <c r="G95" s="260">
        <v>0.9375</v>
      </c>
      <c r="H95" s="211">
        <f>'HVAC Appliances Austin'!H95</f>
        <v>78.187888888888722</v>
      </c>
      <c r="I95" s="110">
        <v>0.9375</v>
      </c>
      <c r="J95" s="211">
        <f>'HVAC Appliances Austin'!J95</f>
        <v>77.24222222222221</v>
      </c>
      <c r="K95" s="110">
        <v>0.9375</v>
      </c>
      <c r="L95" s="211">
        <f>'HVAC Appliances Austin'!L95</f>
        <v>81.660222222222245</v>
      </c>
      <c r="M95" s="21"/>
      <c r="N95" s="110">
        <v>0.9375</v>
      </c>
      <c r="O95" s="211">
        <f>'HVAC Appliances Austin'!O95</f>
        <v>101.12247222222182</v>
      </c>
      <c r="P95" s="110">
        <v>0.9375</v>
      </c>
      <c r="Q95" s="211">
        <f>'HVAC Appliances Austin'!Q95</f>
        <v>114.02305555555547</v>
      </c>
      <c r="R95" s="110">
        <v>0.9375</v>
      </c>
      <c r="S95" s="211">
        <f>'HVAC Appliances Austin'!S95</f>
        <v>125.42355555555496</v>
      </c>
      <c r="T95" s="21"/>
      <c r="U95" s="110">
        <v>0.9375</v>
      </c>
      <c r="V95" s="211">
        <f>'HVAC Appliances Austin'!V95</f>
        <v>599.39113888888892</v>
      </c>
      <c r="W95" s="110">
        <v>0.9375</v>
      </c>
      <c r="X95" s="211">
        <f>'HVAC Appliances Austin'!X95</f>
        <v>946.16972222222228</v>
      </c>
      <c r="Y95" s="110">
        <v>0.9375</v>
      </c>
      <c r="Z95" s="211">
        <f>'HVAC Appliances Austin'!Z95</f>
        <v>1196.094222222222</v>
      </c>
      <c r="AA95" s="21"/>
      <c r="AB95" s="110">
        <v>0.9375</v>
      </c>
      <c r="AC95" s="211">
        <f>'HVAC Appliances Austin'!AC95</f>
        <v>56.460249999999768</v>
      </c>
      <c r="AD95" s="110">
        <v>0.9375</v>
      </c>
      <c r="AE95" s="211">
        <f>'HVAC Appliances Austin'!AE95</f>
        <v>43.317499999999676</v>
      </c>
      <c r="AF95" s="110">
        <v>0.9375</v>
      </c>
      <c r="AG95" s="211">
        <f>'HVAC Appliances Austin'!AG95</f>
        <v>43.537999999999414</v>
      </c>
      <c r="AH95" s="21"/>
      <c r="AI95" s="110">
        <v>0.9375</v>
      </c>
      <c r="AJ95" s="211">
        <f>'HVAC Appliances Austin'!AJ95</f>
        <v>0</v>
      </c>
      <c r="AK95" s="110">
        <v>0.9375</v>
      </c>
      <c r="AL95" s="211">
        <f>'HVAC Appliances Austin'!AL95</f>
        <v>0</v>
      </c>
      <c r="AM95" s="110">
        <v>0.9375</v>
      </c>
      <c r="AN95" s="211">
        <f>'HVAC Appliances Austin'!AN95</f>
        <v>0</v>
      </c>
      <c r="AO95" s="21"/>
      <c r="AP95" s="110">
        <v>0.9375</v>
      </c>
      <c r="AQ95" s="211">
        <f>'HVAC Appliances Austin'!AQ95</f>
        <v>835.8633680555555</v>
      </c>
      <c r="AR95" s="110">
        <v>0.9375</v>
      </c>
      <c r="AS95" s="211">
        <f>'HVAC Appliances Austin'!AS95</f>
        <v>1346.1045138888887</v>
      </c>
      <c r="AT95" s="110">
        <v>0.9375</v>
      </c>
      <c r="AU95" s="211">
        <f>'HVAC Appliances Austin'!AU95</f>
        <v>1722.3826388888886</v>
      </c>
      <c r="AV95" s="21"/>
      <c r="AW95" s="110">
        <v>0.9375</v>
      </c>
      <c r="AX95" s="211"/>
      <c r="AY95" s="21"/>
      <c r="AZ95" s="110">
        <v>0.9375</v>
      </c>
      <c r="BA95" s="264"/>
      <c r="BC95" s="260">
        <v>0.9375</v>
      </c>
      <c r="BD95" s="211">
        <f>'HVAC Appliances Austin'!BD95</f>
        <v>0</v>
      </c>
      <c r="BE95" s="110">
        <v>0.9375</v>
      </c>
      <c r="BF95" s="211">
        <f>'HVAC Appliances Austin'!BF95</f>
        <v>0</v>
      </c>
      <c r="BG95" s="110">
        <v>0.9375</v>
      </c>
      <c r="BH95" s="211">
        <f>'HVAC Appliances Austin'!BH95</f>
        <v>0</v>
      </c>
      <c r="BI95" s="21"/>
      <c r="BJ95" s="110">
        <v>0.9375</v>
      </c>
      <c r="BK95" s="211">
        <f>'HVAC Appliances Austin'!BK95</f>
        <v>0</v>
      </c>
      <c r="BL95" s="110">
        <v>0.9375</v>
      </c>
      <c r="BM95" s="211">
        <f>'HVAC Appliances Austin'!BM95</f>
        <v>0</v>
      </c>
      <c r="BN95" s="110">
        <v>0.9375</v>
      </c>
      <c r="BO95" s="211">
        <f>'HVAC Appliances Austin'!BO95</f>
        <v>0</v>
      </c>
      <c r="BP95" s="21"/>
      <c r="BQ95" s="110">
        <v>0.9375</v>
      </c>
      <c r="BR95" s="211">
        <f>'HVAC Appliances Austin'!BR95</f>
        <v>0</v>
      </c>
      <c r="BS95" s="110">
        <v>0.9375</v>
      </c>
      <c r="BT95" s="211">
        <f>'HVAC Appliances Austin'!BT95</f>
        <v>0</v>
      </c>
      <c r="BU95" s="110">
        <v>0.9375</v>
      </c>
      <c r="BV95" s="211">
        <f>'HVAC Appliances Austin'!BV95</f>
        <v>0</v>
      </c>
      <c r="BW95" s="21"/>
      <c r="BX95" s="110">
        <v>0.9375</v>
      </c>
      <c r="BY95" s="211">
        <f>'HVAC Appliances Austin'!BY95</f>
        <v>0</v>
      </c>
      <c r="BZ95" s="110">
        <v>0.9375</v>
      </c>
      <c r="CA95" s="211">
        <f>'HVAC Appliances Austin'!CA95</f>
        <v>0</v>
      </c>
      <c r="CB95" s="110">
        <v>0.9375</v>
      </c>
      <c r="CC95" s="211">
        <f>'HVAC Appliances Austin'!CC95</f>
        <v>0</v>
      </c>
      <c r="CD95" s="21"/>
      <c r="CE95" s="110">
        <v>0.9375</v>
      </c>
      <c r="CF95" s="211">
        <f>'HVAC Appliances Austin'!CF95</f>
        <v>107.68583333333333</v>
      </c>
      <c r="CG95" s="110">
        <v>0.9375</v>
      </c>
      <c r="CH95" s="211">
        <f>'HVAC Appliances Austin'!CH95</f>
        <v>209.30333333333334</v>
      </c>
      <c r="CI95" s="110">
        <v>0.9375</v>
      </c>
      <c r="CJ95" s="211">
        <f>'HVAC Appliances Austin'!CJ95</f>
        <v>278.58333333333337</v>
      </c>
      <c r="CK95" s="21"/>
      <c r="CL95" s="110">
        <v>0.9375</v>
      </c>
      <c r="CM95" s="211">
        <f>'HVAC Appliances Austin'!CM95</f>
        <v>0</v>
      </c>
      <c r="CN95" s="110">
        <v>0.9375</v>
      </c>
      <c r="CO95" s="211">
        <f>'HVAC Appliances Austin'!CO95</f>
        <v>0</v>
      </c>
      <c r="CP95" s="110">
        <v>0.9375</v>
      </c>
      <c r="CQ95" s="211">
        <f>'HVAC Appliances Austin'!CQ95</f>
        <v>0</v>
      </c>
      <c r="CR95" s="21"/>
      <c r="CS95" s="110">
        <v>0.9375</v>
      </c>
      <c r="CT95" s="211"/>
      <c r="CU95" s="21"/>
      <c r="CV95" s="110">
        <v>0.9375</v>
      </c>
      <c r="CW95" s="264"/>
      <c r="CY95" s="260">
        <v>0.9375</v>
      </c>
      <c r="CZ95" s="211">
        <f>'HVAC Appliances Austin'!CZ95</f>
        <v>77.907333333333384</v>
      </c>
      <c r="DA95" s="110">
        <v>0.9375</v>
      </c>
      <c r="DB95" s="211">
        <f>'HVAC Appliances Austin'!DB95</f>
        <v>67.86077777777777</v>
      </c>
      <c r="DC95" s="110">
        <v>0.9375</v>
      </c>
      <c r="DD95" s="211">
        <f>'HVAC Appliances Austin'!DD95</f>
        <v>56.700333333333134</v>
      </c>
      <c r="DE95" s="21"/>
      <c r="DF95" s="110">
        <v>0.9375</v>
      </c>
      <c r="DG95" s="211">
        <f>'HVAC Appliances Austin'!DG95</f>
        <v>109.54233333333302</v>
      </c>
      <c r="DH95" s="110">
        <v>0.9375</v>
      </c>
      <c r="DI95" s="211">
        <f>'HVAC Appliances Austin'!DI95</f>
        <v>117.41119444444425</v>
      </c>
      <c r="DJ95" s="110">
        <v>0.9375</v>
      </c>
      <c r="DK95" s="211">
        <f>'HVAC Appliances Austin'!DK95</f>
        <v>119.56658333333303</v>
      </c>
      <c r="DL95" s="21"/>
      <c r="DM95" s="110">
        <v>0.9375</v>
      </c>
      <c r="DN95" s="211">
        <f>'HVAC Appliances Austin'!DN95</f>
        <v>645.34100000000012</v>
      </c>
      <c r="DO95" s="110">
        <v>0.9375</v>
      </c>
      <c r="DP95" s="211">
        <f>'HVAC Appliances Austin'!DP95</f>
        <v>1007.8451944444447</v>
      </c>
      <c r="DQ95" s="110">
        <v>0.9375</v>
      </c>
      <c r="DR95" s="211">
        <f>'HVAC Appliances Austin'!DR95</f>
        <v>1272.4325833333335</v>
      </c>
      <c r="DS95" s="21"/>
      <c r="DT95" s="110">
        <v>0.9375</v>
      </c>
      <c r="DU95" s="211">
        <f>'HVAC Appliances Austin'!DU95</f>
        <v>0</v>
      </c>
      <c r="DV95" s="110">
        <v>0.9375</v>
      </c>
      <c r="DW95" s="211">
        <f>'HVAC Appliances Austin'!DW95</f>
        <v>0</v>
      </c>
      <c r="DX95" s="110">
        <v>0.9375</v>
      </c>
      <c r="DY95" s="211">
        <f>'HVAC Appliances Austin'!DY95</f>
        <v>0</v>
      </c>
      <c r="DZ95" s="21"/>
      <c r="EA95" s="110">
        <v>0.9375</v>
      </c>
      <c r="EB95" s="211">
        <f>'HVAC Appliances Amarillo'!EB95</f>
        <v>3192.4125000000004</v>
      </c>
      <c r="EC95" s="110">
        <v>0.9375</v>
      </c>
      <c r="ED95" s="211">
        <f>'HVAC Appliances Amarillo'!ED95</f>
        <v>0</v>
      </c>
      <c r="EE95" s="110">
        <v>0.9375</v>
      </c>
      <c r="EF95" s="211">
        <f>'HVAC Appliances Amarillo'!EF95</f>
        <v>0</v>
      </c>
      <c r="EG95" s="21"/>
      <c r="EH95" s="110">
        <v>0.9375</v>
      </c>
      <c r="EI95" s="211">
        <f>'HVAC Appliances Austin'!EI95</f>
        <v>876.67500000000007</v>
      </c>
      <c r="EJ95" s="110">
        <v>0.9375</v>
      </c>
      <c r="EK95" s="211">
        <f>'HVAC Appliances Austin'!EK95</f>
        <v>1402.2449652777782</v>
      </c>
      <c r="EL95" s="110">
        <v>0.9375</v>
      </c>
      <c r="EM95" s="211">
        <f>'HVAC Appliances Austin'!EM95</f>
        <v>1787.3098958333346</v>
      </c>
      <c r="EN95" s="21"/>
      <c r="EO95" s="110">
        <v>0.9375</v>
      </c>
      <c r="EP95" s="211"/>
      <c r="EQ95" s="21"/>
      <c r="ER95" s="110">
        <v>0.9375</v>
      </c>
      <c r="ES95" s="264"/>
      <c r="EU95" s="260">
        <v>0.9375</v>
      </c>
      <c r="EV95" s="209">
        <f>'HVAC Appliances Amarillo'!EV95</f>
        <v>1620</v>
      </c>
      <c r="EW95" s="110">
        <v>0.9375</v>
      </c>
      <c r="EX95" s="209">
        <f>'HVAC Appliances Amarillo'!EX95</f>
        <v>0</v>
      </c>
      <c r="EY95" s="110">
        <v>0.9375</v>
      </c>
      <c r="EZ95" s="308">
        <f>'HVAC Appliances Amarillo'!EZ95</f>
        <v>0</v>
      </c>
    </row>
    <row r="96" spans="1:156" x14ac:dyDescent="0.3">
      <c r="A96" s="108">
        <v>0.9375</v>
      </c>
      <c r="B96" s="226">
        <f t="shared" si="4"/>
        <v>0</v>
      </c>
      <c r="C96" s="21">
        <f t="shared" si="5"/>
        <v>278.58333333333337</v>
      </c>
      <c r="D96" s="20">
        <f t="shared" si="6"/>
        <v>0</v>
      </c>
      <c r="E96" s="20">
        <f t="shared" si="7"/>
        <v>0</v>
      </c>
      <c r="G96" s="260">
        <v>0.94791666666666696</v>
      </c>
      <c r="H96" s="211">
        <f>'HVAC Appliances Austin'!H96</f>
        <v>78.187888888888722</v>
      </c>
      <c r="I96" s="110">
        <v>0.94791666666666696</v>
      </c>
      <c r="J96" s="211">
        <f>'HVAC Appliances Austin'!J96</f>
        <v>77.24222222222221</v>
      </c>
      <c r="K96" s="110">
        <v>0.94791666666666696</v>
      </c>
      <c r="L96" s="211">
        <f>'HVAC Appliances Austin'!L96</f>
        <v>81.660222222222245</v>
      </c>
      <c r="M96" s="21"/>
      <c r="N96" s="110">
        <v>0.94791666666666696</v>
      </c>
      <c r="O96" s="211">
        <f>'HVAC Appliances Austin'!O96</f>
        <v>101.12247222222182</v>
      </c>
      <c r="P96" s="110">
        <v>0.94791666666666696</v>
      </c>
      <c r="Q96" s="211">
        <f>'HVAC Appliances Austin'!Q96</f>
        <v>114.02305555555547</v>
      </c>
      <c r="R96" s="110">
        <v>0.94791666666666696</v>
      </c>
      <c r="S96" s="211">
        <f>'HVAC Appliances Austin'!S96</f>
        <v>125.42355555555496</v>
      </c>
      <c r="T96" s="21"/>
      <c r="U96" s="110">
        <v>0.94791666666666696</v>
      </c>
      <c r="V96" s="211">
        <f>'HVAC Appliances Austin'!V96</f>
        <v>599.39113888888892</v>
      </c>
      <c r="W96" s="110">
        <v>0.94791666666666696</v>
      </c>
      <c r="X96" s="211">
        <f>'HVAC Appliances Austin'!X96</f>
        <v>946.16972222222228</v>
      </c>
      <c r="Y96" s="110">
        <v>0.94791666666666696</v>
      </c>
      <c r="Z96" s="211">
        <f>'HVAC Appliances Austin'!Z96</f>
        <v>1196.094222222222</v>
      </c>
      <c r="AA96" s="21"/>
      <c r="AB96" s="110">
        <v>0.94791666666666696</v>
      </c>
      <c r="AC96" s="211">
        <f>'HVAC Appliances Austin'!AC96</f>
        <v>56.460249999999768</v>
      </c>
      <c r="AD96" s="110">
        <v>0.94791666666666696</v>
      </c>
      <c r="AE96" s="211">
        <f>'HVAC Appliances Austin'!AE96</f>
        <v>43.317499999999676</v>
      </c>
      <c r="AF96" s="110">
        <v>0.94791666666666696</v>
      </c>
      <c r="AG96" s="211">
        <f>'HVAC Appliances Austin'!AG96</f>
        <v>43.537999999999414</v>
      </c>
      <c r="AH96" s="21"/>
      <c r="AI96" s="110">
        <v>0.94791666666666696</v>
      </c>
      <c r="AJ96" s="211">
        <f>'HVAC Appliances Austin'!AJ96</f>
        <v>0</v>
      </c>
      <c r="AK96" s="110">
        <v>0.94791666666666696</v>
      </c>
      <c r="AL96" s="211">
        <f>'HVAC Appliances Austin'!AL96</f>
        <v>0</v>
      </c>
      <c r="AM96" s="110">
        <v>0.94791666666666696</v>
      </c>
      <c r="AN96" s="211">
        <f>'HVAC Appliances Austin'!AN96</f>
        <v>0</v>
      </c>
      <c r="AO96" s="21"/>
      <c r="AP96" s="110">
        <v>0.94791666666666696</v>
      </c>
      <c r="AQ96" s="211">
        <f>'HVAC Appliances Austin'!AQ96</f>
        <v>835.8633680555555</v>
      </c>
      <c r="AR96" s="110">
        <v>0.94791666666666696</v>
      </c>
      <c r="AS96" s="211">
        <f>'HVAC Appliances Austin'!AS96</f>
        <v>1346.1045138888887</v>
      </c>
      <c r="AT96" s="110">
        <v>0.94791666666666696</v>
      </c>
      <c r="AU96" s="211">
        <f>'HVAC Appliances Austin'!AU96</f>
        <v>1722.3826388888886</v>
      </c>
      <c r="AV96" s="21"/>
      <c r="AW96" s="110">
        <v>0.94791666666666696</v>
      </c>
      <c r="AX96" s="211"/>
      <c r="AY96" s="21"/>
      <c r="AZ96" s="110">
        <v>0.94791666666666696</v>
      </c>
      <c r="BA96" s="264"/>
      <c r="BC96" s="260">
        <v>0.94791666666666696</v>
      </c>
      <c r="BD96" s="211">
        <f>'HVAC Appliances Austin'!BD96</f>
        <v>0</v>
      </c>
      <c r="BE96" s="110">
        <v>0.94791666666666696</v>
      </c>
      <c r="BF96" s="211">
        <f>'HVAC Appliances Austin'!BF96</f>
        <v>0</v>
      </c>
      <c r="BG96" s="110">
        <v>0.94791666666666696</v>
      </c>
      <c r="BH96" s="211">
        <f>'HVAC Appliances Austin'!BH96</f>
        <v>0</v>
      </c>
      <c r="BI96" s="21"/>
      <c r="BJ96" s="110">
        <v>0.94791666666666696</v>
      </c>
      <c r="BK96" s="211">
        <f>'HVAC Appliances Austin'!BK96</f>
        <v>0</v>
      </c>
      <c r="BL96" s="110">
        <v>0.94791666666666696</v>
      </c>
      <c r="BM96" s="211">
        <f>'HVAC Appliances Austin'!BM96</f>
        <v>0</v>
      </c>
      <c r="BN96" s="110">
        <v>0.94791666666666696</v>
      </c>
      <c r="BO96" s="211">
        <f>'HVAC Appliances Austin'!BO96</f>
        <v>0</v>
      </c>
      <c r="BP96" s="21"/>
      <c r="BQ96" s="110">
        <v>0.94791666666666696</v>
      </c>
      <c r="BR96" s="211">
        <f>'HVAC Appliances Austin'!BR96</f>
        <v>0</v>
      </c>
      <c r="BS96" s="110">
        <v>0.94791666666666696</v>
      </c>
      <c r="BT96" s="211">
        <f>'HVAC Appliances Austin'!BT96</f>
        <v>0</v>
      </c>
      <c r="BU96" s="110">
        <v>0.94791666666666696</v>
      </c>
      <c r="BV96" s="211">
        <f>'HVAC Appliances Austin'!BV96</f>
        <v>0</v>
      </c>
      <c r="BW96" s="21"/>
      <c r="BX96" s="110">
        <v>0.94791666666666696</v>
      </c>
      <c r="BY96" s="211">
        <f>'HVAC Appliances Austin'!BY96</f>
        <v>0</v>
      </c>
      <c r="BZ96" s="110">
        <v>0.94791666666666696</v>
      </c>
      <c r="CA96" s="211">
        <f>'HVAC Appliances Austin'!CA96</f>
        <v>0</v>
      </c>
      <c r="CB96" s="110">
        <v>0.94791666666666696</v>
      </c>
      <c r="CC96" s="211">
        <f>'HVAC Appliances Austin'!CC96</f>
        <v>0</v>
      </c>
      <c r="CD96" s="21"/>
      <c r="CE96" s="110">
        <v>0.94791666666666696</v>
      </c>
      <c r="CF96" s="211">
        <f>'HVAC Appliances Austin'!CF96</f>
        <v>107.68583333333333</v>
      </c>
      <c r="CG96" s="110">
        <v>0.94791666666666696</v>
      </c>
      <c r="CH96" s="211">
        <f>'HVAC Appliances Austin'!CH96</f>
        <v>209.30333333333334</v>
      </c>
      <c r="CI96" s="110">
        <v>0.94791666666666696</v>
      </c>
      <c r="CJ96" s="211">
        <f>'HVAC Appliances Austin'!CJ96</f>
        <v>278.58333333333337</v>
      </c>
      <c r="CK96" s="21"/>
      <c r="CL96" s="110">
        <v>0.94791666666666696</v>
      </c>
      <c r="CM96" s="211">
        <f>'HVAC Appliances Austin'!CM96</f>
        <v>0</v>
      </c>
      <c r="CN96" s="110">
        <v>0.94791666666666696</v>
      </c>
      <c r="CO96" s="211">
        <f>'HVAC Appliances Austin'!CO96</f>
        <v>0</v>
      </c>
      <c r="CP96" s="110">
        <v>0.94791666666666696</v>
      </c>
      <c r="CQ96" s="211">
        <f>'HVAC Appliances Austin'!CQ96</f>
        <v>0</v>
      </c>
      <c r="CR96" s="21"/>
      <c r="CS96" s="110">
        <v>0.94791666666666696</v>
      </c>
      <c r="CT96" s="211"/>
      <c r="CU96" s="21"/>
      <c r="CV96" s="110">
        <v>0.94791666666666696</v>
      </c>
      <c r="CW96" s="264"/>
      <c r="CY96" s="260">
        <v>0.94791666666666696</v>
      </c>
      <c r="CZ96" s="211">
        <f>'HVAC Appliances Austin'!CZ96</f>
        <v>77.907333333333384</v>
      </c>
      <c r="DA96" s="110">
        <v>0.94791666666666696</v>
      </c>
      <c r="DB96" s="211">
        <f>'HVAC Appliances Austin'!DB96</f>
        <v>67.86077777777777</v>
      </c>
      <c r="DC96" s="110">
        <v>0.94791666666666696</v>
      </c>
      <c r="DD96" s="211">
        <f>'HVAC Appliances Austin'!DD96</f>
        <v>56.700333333333134</v>
      </c>
      <c r="DE96" s="21"/>
      <c r="DF96" s="110">
        <v>0.94791666666666696</v>
      </c>
      <c r="DG96" s="211">
        <f>'HVAC Appliances Austin'!DG96</f>
        <v>109.54233333333302</v>
      </c>
      <c r="DH96" s="110">
        <v>0.94791666666666696</v>
      </c>
      <c r="DI96" s="211">
        <f>'HVAC Appliances Austin'!DI96</f>
        <v>117.41119444444425</v>
      </c>
      <c r="DJ96" s="110">
        <v>0.94791666666666696</v>
      </c>
      <c r="DK96" s="211">
        <f>'HVAC Appliances Austin'!DK96</f>
        <v>119.56658333333303</v>
      </c>
      <c r="DL96" s="21"/>
      <c r="DM96" s="110">
        <v>0.94791666666666696</v>
      </c>
      <c r="DN96" s="211">
        <f>'HVAC Appliances Austin'!DN96</f>
        <v>645.34100000000012</v>
      </c>
      <c r="DO96" s="110">
        <v>0.94791666666666696</v>
      </c>
      <c r="DP96" s="211">
        <f>'HVAC Appliances Austin'!DP96</f>
        <v>1007.8451944444447</v>
      </c>
      <c r="DQ96" s="110">
        <v>0.94791666666666696</v>
      </c>
      <c r="DR96" s="211">
        <f>'HVAC Appliances Austin'!DR96</f>
        <v>1272.4325833333335</v>
      </c>
      <c r="DS96" s="21"/>
      <c r="DT96" s="110">
        <v>0.94791666666666696</v>
      </c>
      <c r="DU96" s="211">
        <f>'HVAC Appliances Austin'!DU96</f>
        <v>0</v>
      </c>
      <c r="DV96" s="110">
        <v>0.94791666666666696</v>
      </c>
      <c r="DW96" s="211">
        <f>'HVAC Appliances Austin'!DW96</f>
        <v>0</v>
      </c>
      <c r="DX96" s="110">
        <v>0.94791666666666696</v>
      </c>
      <c r="DY96" s="211">
        <f>'HVAC Appliances Austin'!DY96</f>
        <v>0</v>
      </c>
      <c r="DZ96" s="21"/>
      <c r="EA96" s="110">
        <v>0.94791666666666696</v>
      </c>
      <c r="EB96" s="211">
        <f>'HVAC Appliances Amarillo'!EB96</f>
        <v>3192.4125000000004</v>
      </c>
      <c r="EC96" s="110">
        <v>0.94791666666666696</v>
      </c>
      <c r="ED96" s="211">
        <f>'HVAC Appliances Amarillo'!ED96</f>
        <v>0</v>
      </c>
      <c r="EE96" s="110">
        <v>0.94791666666666696</v>
      </c>
      <c r="EF96" s="211">
        <f>'HVAC Appliances Amarillo'!EF96</f>
        <v>0</v>
      </c>
      <c r="EG96" s="21"/>
      <c r="EH96" s="110">
        <v>0.94791666666666696</v>
      </c>
      <c r="EI96" s="211">
        <f>'HVAC Appliances Austin'!EI96</f>
        <v>876.67500000000007</v>
      </c>
      <c r="EJ96" s="110">
        <v>0.94791666666666696</v>
      </c>
      <c r="EK96" s="211">
        <f>'HVAC Appliances Austin'!EK96</f>
        <v>1402.2449652777782</v>
      </c>
      <c r="EL96" s="110">
        <v>0.94791666666666696</v>
      </c>
      <c r="EM96" s="211">
        <f>'HVAC Appliances Austin'!EM96</f>
        <v>1787.3098958333346</v>
      </c>
      <c r="EN96" s="21"/>
      <c r="EO96" s="110">
        <v>0.94791666666666696</v>
      </c>
      <c r="EP96" s="211"/>
      <c r="EQ96" s="21"/>
      <c r="ER96" s="110">
        <v>0.94791666666666696</v>
      </c>
      <c r="ES96" s="264"/>
      <c r="EU96" s="260">
        <v>0.94791666666666696</v>
      </c>
      <c r="EV96" s="209">
        <f>'HVAC Appliances Amarillo'!EV96</f>
        <v>1620</v>
      </c>
      <c r="EW96" s="110">
        <v>0.94791666666666696</v>
      </c>
      <c r="EX96" s="209">
        <f>'HVAC Appliances Amarillo'!EX96</f>
        <v>0</v>
      </c>
      <c r="EY96" s="110">
        <v>0.94791666666666696</v>
      </c>
      <c r="EZ96" s="308">
        <f>'HVAC Appliances Amarillo'!EZ96</f>
        <v>0</v>
      </c>
    </row>
    <row r="97" spans="1:157" x14ac:dyDescent="0.3">
      <c r="A97" s="108">
        <v>0.94791666666666696</v>
      </c>
      <c r="B97" s="226">
        <f t="shared" si="4"/>
        <v>0</v>
      </c>
      <c r="C97" s="21">
        <f t="shared" si="5"/>
        <v>278.58333333333337</v>
      </c>
      <c r="D97" s="20">
        <f t="shared" si="6"/>
        <v>0</v>
      </c>
      <c r="E97" s="20">
        <f t="shared" si="7"/>
        <v>0</v>
      </c>
      <c r="G97" s="260">
        <v>0.95833333333333304</v>
      </c>
      <c r="H97" s="211">
        <f>'HVAC Appliances Austin'!H97</f>
        <v>82.206249999999926</v>
      </c>
      <c r="I97" s="110">
        <v>0.95833333333333304</v>
      </c>
      <c r="J97" s="211">
        <f>'HVAC Appliances Austin'!J97</f>
        <v>83.637500000000031</v>
      </c>
      <c r="K97" s="110">
        <v>0.95833333333333304</v>
      </c>
      <c r="L97" s="211">
        <f>'HVAC Appliances Austin'!L97</f>
        <v>89.149999999999622</v>
      </c>
      <c r="M97" s="21"/>
      <c r="N97" s="110">
        <v>0.95833333333333304</v>
      </c>
      <c r="O97" s="211">
        <f>'HVAC Appliances Austin'!O97</f>
        <v>57.674555555555564</v>
      </c>
      <c r="P97" s="110">
        <v>0.95833333333333304</v>
      </c>
      <c r="Q97" s="211">
        <f>'HVAC Appliances Austin'!Q97</f>
        <v>45.168888888888816</v>
      </c>
      <c r="R97" s="110">
        <v>0.95833333333333304</v>
      </c>
      <c r="S97" s="211">
        <f>'HVAC Appliances Austin'!S97</f>
        <v>45.506888888888767</v>
      </c>
      <c r="T97" s="21"/>
      <c r="U97" s="110">
        <v>0.95833333333333304</v>
      </c>
      <c r="V97" s="211">
        <f>'HVAC Appliances Austin'!V97</f>
        <v>489.7602500000001</v>
      </c>
      <c r="W97" s="110">
        <v>0.95833333333333304</v>
      </c>
      <c r="X97" s="211">
        <f>'HVAC Appliances Austin'!X97</f>
        <v>761.31750000000011</v>
      </c>
      <c r="Y97" s="110">
        <v>0.95833333333333304</v>
      </c>
      <c r="Z97" s="211">
        <f>'HVAC Appliances Austin'!Z97</f>
        <v>954.13799999999992</v>
      </c>
      <c r="AA97" s="21"/>
      <c r="AB97" s="110">
        <v>0.95833333333333304</v>
      </c>
      <c r="AC97" s="211">
        <f>'HVAC Appliances Austin'!AC97</f>
        <v>0</v>
      </c>
      <c r="AD97" s="110">
        <v>0.95833333333333304</v>
      </c>
      <c r="AE97" s="211">
        <f>'HVAC Appliances Austin'!AE97</f>
        <v>0</v>
      </c>
      <c r="AF97" s="110">
        <v>0.95833333333333304</v>
      </c>
      <c r="AG97" s="211">
        <f>'HVAC Appliances Austin'!AG97</f>
        <v>0</v>
      </c>
      <c r="AH97" s="21"/>
      <c r="AI97" s="110">
        <v>0.95833333333333304</v>
      </c>
      <c r="AJ97" s="211">
        <f>'HVAC Appliances Austin'!AJ97</f>
        <v>0</v>
      </c>
      <c r="AK97" s="110">
        <v>0.95833333333333304</v>
      </c>
      <c r="AL97" s="211">
        <f>'HVAC Appliances Austin'!AL97</f>
        <v>0</v>
      </c>
      <c r="AM97" s="110">
        <v>0.95833333333333304</v>
      </c>
      <c r="AN97" s="211">
        <f>'HVAC Appliances Austin'!AN97</f>
        <v>0</v>
      </c>
      <c r="AO97" s="21"/>
      <c r="AP97" s="110">
        <v>0.95833333333333304</v>
      </c>
      <c r="AQ97" s="211">
        <f>'HVAC Appliances Austin'!AQ97</f>
        <v>733.59820138888836</v>
      </c>
      <c r="AR97" s="110">
        <v>0.95833333333333304</v>
      </c>
      <c r="AS97" s="211">
        <f>'HVAC Appliances Austin'!AS97</f>
        <v>1172.9828472222218</v>
      </c>
      <c r="AT97" s="110">
        <v>0.95833333333333304</v>
      </c>
      <c r="AU97" s="211">
        <f>'HVAC Appliances Austin'!AU97</f>
        <v>1494.1839722222219</v>
      </c>
      <c r="AV97" s="21"/>
      <c r="AW97" s="110">
        <v>0.95833333333333304</v>
      </c>
      <c r="AX97" s="211"/>
      <c r="AY97" s="21"/>
      <c r="AZ97" s="110">
        <v>0.95833333333333304</v>
      </c>
      <c r="BA97" s="264"/>
      <c r="BC97" s="260">
        <v>0.95833333333333304</v>
      </c>
      <c r="BD97" s="211">
        <f>'HVAC Appliances Austin'!BD97</f>
        <v>0</v>
      </c>
      <c r="BE97" s="110">
        <v>0.95833333333333304</v>
      </c>
      <c r="BF97" s="211">
        <f>'HVAC Appliances Austin'!BF97</f>
        <v>0</v>
      </c>
      <c r="BG97" s="110">
        <v>0.95833333333333304</v>
      </c>
      <c r="BH97" s="211">
        <f>'HVAC Appliances Austin'!BH97</f>
        <v>0</v>
      </c>
      <c r="BI97" s="21"/>
      <c r="BJ97" s="110">
        <v>0.95833333333333304</v>
      </c>
      <c r="BK97" s="211">
        <f>'HVAC Appliances Austin'!BK97</f>
        <v>0</v>
      </c>
      <c r="BL97" s="110">
        <v>0.95833333333333304</v>
      </c>
      <c r="BM97" s="211">
        <f>'HVAC Appliances Austin'!BM97</f>
        <v>0</v>
      </c>
      <c r="BN97" s="110">
        <v>0.95833333333333304</v>
      </c>
      <c r="BO97" s="211">
        <f>'HVAC Appliances Austin'!BO97</f>
        <v>0</v>
      </c>
      <c r="BP97" s="21"/>
      <c r="BQ97" s="110">
        <v>0.95833333333333304</v>
      </c>
      <c r="BR97" s="211">
        <f>'HVAC Appliances Austin'!BR97</f>
        <v>0</v>
      </c>
      <c r="BS97" s="110">
        <v>0.95833333333333304</v>
      </c>
      <c r="BT97" s="211">
        <f>'HVAC Appliances Austin'!BT97</f>
        <v>0</v>
      </c>
      <c r="BU97" s="110">
        <v>0.95833333333333304</v>
      </c>
      <c r="BV97" s="211">
        <f>'HVAC Appliances Austin'!BV97</f>
        <v>0</v>
      </c>
      <c r="BW97" s="21"/>
      <c r="BX97" s="110">
        <v>0.95833333333333304</v>
      </c>
      <c r="BY97" s="211">
        <f>'HVAC Appliances Austin'!BY97</f>
        <v>0</v>
      </c>
      <c r="BZ97" s="110">
        <v>0.95833333333333304</v>
      </c>
      <c r="CA97" s="211">
        <f>'HVAC Appliances Austin'!CA97</f>
        <v>0</v>
      </c>
      <c r="CB97" s="110">
        <v>0.95833333333333304</v>
      </c>
      <c r="CC97" s="211">
        <f>'HVAC Appliances Austin'!CC97</f>
        <v>0</v>
      </c>
      <c r="CD97" s="21"/>
      <c r="CE97" s="110">
        <v>0.95833333333333304</v>
      </c>
      <c r="CF97" s="211">
        <f>'HVAC Appliances Austin'!CF97</f>
        <v>108.70333333333335</v>
      </c>
      <c r="CG97" s="110">
        <v>0.95833333333333304</v>
      </c>
      <c r="CH97" s="211">
        <f>'HVAC Appliances Austin'!CH97</f>
        <v>211.39333333333332</v>
      </c>
      <c r="CI97" s="110">
        <v>0.95833333333333304</v>
      </c>
      <c r="CJ97" s="211">
        <f>'HVAC Appliances Austin'!CJ97</f>
        <v>281.33333333333331</v>
      </c>
      <c r="CK97" s="21"/>
      <c r="CL97" s="110">
        <v>0.95833333333333304</v>
      </c>
      <c r="CM97" s="211">
        <f>'HVAC Appliances Austin'!CM97</f>
        <v>0</v>
      </c>
      <c r="CN97" s="110">
        <v>0.95833333333333304</v>
      </c>
      <c r="CO97" s="211">
        <f>'HVAC Appliances Austin'!CO97</f>
        <v>0</v>
      </c>
      <c r="CP97" s="110">
        <v>0.95833333333333304</v>
      </c>
      <c r="CQ97" s="211">
        <f>'HVAC Appliances Austin'!CQ97</f>
        <v>0</v>
      </c>
      <c r="CR97" s="21"/>
      <c r="CS97" s="110">
        <v>0.95833333333333304</v>
      </c>
      <c r="CT97" s="211"/>
      <c r="CU97" s="21"/>
      <c r="CV97" s="110">
        <v>0.95833333333333304</v>
      </c>
      <c r="CW97" s="264"/>
      <c r="CY97" s="260">
        <v>0.95833333333333304</v>
      </c>
      <c r="CZ97" s="211">
        <f>'HVAC Appliances Austin'!CZ97</f>
        <v>83.674999999999883</v>
      </c>
      <c r="DA97" s="110">
        <v>0.95833333333333304</v>
      </c>
      <c r="DB97" s="211">
        <f>'HVAC Appliances Austin'!DB97</f>
        <v>76.81874999999971</v>
      </c>
      <c r="DC97" s="110">
        <v>0.95833333333333304</v>
      </c>
      <c r="DD97" s="211">
        <f>'HVAC Appliances Austin'!DD97</f>
        <v>68.031249999999773</v>
      </c>
      <c r="DE97" s="21"/>
      <c r="DF97" s="110">
        <v>0.95833333333333304</v>
      </c>
      <c r="DG97" s="211">
        <f>'HVAC Appliances Austin'!DG97</f>
        <v>0</v>
      </c>
      <c r="DH97" s="110">
        <v>0.95833333333333304</v>
      </c>
      <c r="DI97" s="211">
        <f>'HVAC Appliances Austin'!DI97</f>
        <v>0</v>
      </c>
      <c r="DJ97" s="110">
        <v>0.95833333333333304</v>
      </c>
      <c r="DK97" s="211">
        <f>'HVAC Appliances Austin'!DK97</f>
        <v>0</v>
      </c>
      <c r="DL97" s="21"/>
      <c r="DM97" s="110">
        <v>0.95833333333333304</v>
      </c>
      <c r="DN97" s="211">
        <f>'HVAC Appliances Austin'!DN97</f>
        <v>535.51900000000035</v>
      </c>
      <c r="DO97" s="110">
        <v>0.95833333333333304</v>
      </c>
      <c r="DP97" s="211">
        <f>'HVAC Appliances Austin'!DP97</f>
        <v>821.83675000000017</v>
      </c>
      <c r="DQ97" s="110">
        <v>0.95833333333333304</v>
      </c>
      <c r="DR97" s="211">
        <f>'HVAC Appliances Austin'!DR97</f>
        <v>1030.1132500000008</v>
      </c>
      <c r="DS97" s="21"/>
      <c r="DT97" s="110">
        <v>0.95833333333333304</v>
      </c>
      <c r="DU97" s="211">
        <f>'HVAC Appliances Austin'!DU97</f>
        <v>87.570486111111066</v>
      </c>
      <c r="DV97" s="110">
        <v>0.95833333333333304</v>
      </c>
      <c r="DW97" s="211">
        <f>'HVAC Appliances Austin'!DW97</f>
        <v>112.96336805555552</v>
      </c>
      <c r="DX97" s="110">
        <v>0.95833333333333304</v>
      </c>
      <c r="DY97" s="211">
        <f>'HVAC Appliances Austin'!DY97</f>
        <v>165.09583333333387</v>
      </c>
      <c r="DZ97" s="21"/>
      <c r="EA97" s="110">
        <v>0.95833333333333304</v>
      </c>
      <c r="EB97" s="211">
        <f>'HVAC Appliances Amarillo'!EB97</f>
        <v>6900</v>
      </c>
      <c r="EC97" s="110">
        <v>0.95833333333333304</v>
      </c>
      <c r="ED97" s="211">
        <f>'HVAC Appliances Amarillo'!ED97</f>
        <v>12300</v>
      </c>
      <c r="EE97" s="110">
        <v>0.95833333333333304</v>
      </c>
      <c r="EF97" s="211">
        <f>'HVAC Appliances Amarillo'!EF97</f>
        <v>16000</v>
      </c>
      <c r="EG97" s="21"/>
      <c r="EH97" s="110">
        <v>0.95833333333333304</v>
      </c>
      <c r="EI97" s="211">
        <f>'HVAC Appliances Austin'!EI97</f>
        <v>777.38899999999944</v>
      </c>
      <c r="EJ97" s="110">
        <v>0.95833333333333304</v>
      </c>
      <c r="EK97" s="211">
        <f>'HVAC Appliances Austin'!EK97</f>
        <v>1232.6121319444439</v>
      </c>
      <c r="EL97" s="110">
        <v>0.95833333333333304</v>
      </c>
      <c r="EM97" s="211">
        <f>'HVAC Appliances Austin'!EM97</f>
        <v>1565.7093958333337</v>
      </c>
      <c r="EN97" s="21"/>
      <c r="EO97" s="110">
        <v>0.95833333333333304</v>
      </c>
      <c r="EP97" s="211"/>
      <c r="EQ97" s="21"/>
      <c r="ER97" s="110">
        <v>0.95833333333333304</v>
      </c>
      <c r="ES97" s="264"/>
      <c r="EU97" s="260">
        <v>0.95833333333333304</v>
      </c>
      <c r="EV97" s="209">
        <f>'HVAC Appliances Amarillo'!EV97</f>
        <v>5400</v>
      </c>
      <c r="EW97" s="110">
        <v>0.95833333333333304</v>
      </c>
      <c r="EX97" s="209">
        <f>'HVAC Appliances Amarillo'!EX97</f>
        <v>5400</v>
      </c>
      <c r="EY97" s="110">
        <v>0.95833333333333304</v>
      </c>
      <c r="EZ97" s="308">
        <f>'HVAC Appliances Amarillo'!EZ97</f>
        <v>5400</v>
      </c>
    </row>
    <row r="98" spans="1:157" x14ac:dyDescent="0.3">
      <c r="A98" s="108">
        <v>0.95833333333333304</v>
      </c>
      <c r="B98" s="226">
        <f t="shared" si="4"/>
        <v>0</v>
      </c>
      <c r="C98" s="21">
        <f t="shared" si="5"/>
        <v>281.33333333333331</v>
      </c>
      <c r="D98" s="20">
        <f t="shared" si="6"/>
        <v>16000</v>
      </c>
      <c r="E98" s="20">
        <f t="shared" si="7"/>
        <v>5400</v>
      </c>
      <c r="G98" s="260">
        <v>0.96875</v>
      </c>
      <c r="H98" s="211">
        <f>'HVAC Appliances Austin'!H98</f>
        <v>82.206249999999926</v>
      </c>
      <c r="I98" s="110">
        <v>0.96875</v>
      </c>
      <c r="J98" s="211">
        <f>'HVAC Appliances Austin'!J98</f>
        <v>83.637500000000031</v>
      </c>
      <c r="K98" s="110">
        <v>0.96875</v>
      </c>
      <c r="L98" s="211">
        <f>'HVAC Appliances Austin'!L98</f>
        <v>89.149999999999622</v>
      </c>
      <c r="M98" s="21"/>
      <c r="N98" s="110">
        <v>0.96875</v>
      </c>
      <c r="O98" s="211">
        <f>'HVAC Appliances Austin'!O98</f>
        <v>57.674555555555564</v>
      </c>
      <c r="P98" s="110">
        <v>0.96875</v>
      </c>
      <c r="Q98" s="211">
        <f>'HVAC Appliances Austin'!Q98</f>
        <v>45.168888888888816</v>
      </c>
      <c r="R98" s="110">
        <v>0.96875</v>
      </c>
      <c r="S98" s="211">
        <f>'HVAC Appliances Austin'!S98</f>
        <v>45.506888888888767</v>
      </c>
      <c r="T98" s="21"/>
      <c r="U98" s="110">
        <v>0.96875</v>
      </c>
      <c r="V98" s="211">
        <f>'HVAC Appliances Austin'!V98</f>
        <v>489.7602500000001</v>
      </c>
      <c r="W98" s="110">
        <v>0.96875</v>
      </c>
      <c r="X98" s="211">
        <f>'HVAC Appliances Austin'!X98</f>
        <v>761.31750000000011</v>
      </c>
      <c r="Y98" s="110">
        <v>0.96875</v>
      </c>
      <c r="Z98" s="211">
        <f>'HVAC Appliances Austin'!Z98</f>
        <v>954.13799999999992</v>
      </c>
      <c r="AA98" s="21"/>
      <c r="AB98" s="110">
        <v>0.96875</v>
      </c>
      <c r="AC98" s="211">
        <f>'HVAC Appliances Austin'!AC98</f>
        <v>0</v>
      </c>
      <c r="AD98" s="110">
        <v>0.96875</v>
      </c>
      <c r="AE98" s="211">
        <f>'HVAC Appliances Austin'!AE98</f>
        <v>0</v>
      </c>
      <c r="AF98" s="110">
        <v>0.96875</v>
      </c>
      <c r="AG98" s="211">
        <f>'HVAC Appliances Austin'!AG98</f>
        <v>0</v>
      </c>
      <c r="AH98" s="21"/>
      <c r="AI98" s="110">
        <v>0.96875</v>
      </c>
      <c r="AJ98" s="211">
        <f>'HVAC Appliances Austin'!AJ98</f>
        <v>0</v>
      </c>
      <c r="AK98" s="110">
        <v>0.96875</v>
      </c>
      <c r="AL98" s="211">
        <f>'HVAC Appliances Austin'!AL98</f>
        <v>0</v>
      </c>
      <c r="AM98" s="110">
        <v>0.96875</v>
      </c>
      <c r="AN98" s="211">
        <f>'HVAC Appliances Austin'!AN98</f>
        <v>0</v>
      </c>
      <c r="AO98" s="21"/>
      <c r="AP98" s="110">
        <v>0.96875</v>
      </c>
      <c r="AQ98" s="211">
        <f>'HVAC Appliances Austin'!AQ98</f>
        <v>733.59820138888836</v>
      </c>
      <c r="AR98" s="110">
        <v>0.96875</v>
      </c>
      <c r="AS98" s="211">
        <f>'HVAC Appliances Austin'!AS98</f>
        <v>1172.9828472222218</v>
      </c>
      <c r="AT98" s="110">
        <v>0.96875</v>
      </c>
      <c r="AU98" s="211">
        <f>'HVAC Appliances Austin'!AU98</f>
        <v>1494.1839722222219</v>
      </c>
      <c r="AV98" s="21"/>
      <c r="AW98" s="110">
        <v>0.96875</v>
      </c>
      <c r="AX98" s="211"/>
      <c r="AY98" s="21"/>
      <c r="AZ98" s="110">
        <v>0.96875</v>
      </c>
      <c r="BA98" s="264"/>
      <c r="BC98" s="260">
        <v>0.96875</v>
      </c>
      <c r="BD98" s="211">
        <f>'HVAC Appliances Austin'!BD98</f>
        <v>0</v>
      </c>
      <c r="BE98" s="110">
        <v>0.96875</v>
      </c>
      <c r="BF98" s="211">
        <f>'HVAC Appliances Austin'!BF98</f>
        <v>0</v>
      </c>
      <c r="BG98" s="110">
        <v>0.96875</v>
      </c>
      <c r="BH98" s="211">
        <f>'HVAC Appliances Austin'!BH98</f>
        <v>0</v>
      </c>
      <c r="BI98" s="21"/>
      <c r="BJ98" s="110">
        <v>0.96875</v>
      </c>
      <c r="BK98" s="211">
        <f>'HVAC Appliances Austin'!BK98</f>
        <v>0</v>
      </c>
      <c r="BL98" s="110">
        <v>0.96875</v>
      </c>
      <c r="BM98" s="211">
        <f>'HVAC Appliances Austin'!BM98</f>
        <v>0</v>
      </c>
      <c r="BN98" s="110">
        <v>0.96875</v>
      </c>
      <c r="BO98" s="211">
        <f>'HVAC Appliances Austin'!BO98</f>
        <v>0</v>
      </c>
      <c r="BP98" s="21"/>
      <c r="BQ98" s="110">
        <v>0.96875</v>
      </c>
      <c r="BR98" s="211">
        <f>'HVAC Appliances Austin'!BR98</f>
        <v>0</v>
      </c>
      <c r="BS98" s="110">
        <v>0.96875</v>
      </c>
      <c r="BT98" s="211">
        <f>'HVAC Appliances Austin'!BT98</f>
        <v>0</v>
      </c>
      <c r="BU98" s="110">
        <v>0.96875</v>
      </c>
      <c r="BV98" s="211">
        <f>'HVAC Appliances Austin'!BV98</f>
        <v>0</v>
      </c>
      <c r="BW98" s="21"/>
      <c r="BX98" s="110">
        <v>0.96875</v>
      </c>
      <c r="BY98" s="211">
        <f>'HVAC Appliances Austin'!BY98</f>
        <v>0</v>
      </c>
      <c r="BZ98" s="110">
        <v>0.96875</v>
      </c>
      <c r="CA98" s="211">
        <f>'HVAC Appliances Austin'!CA98</f>
        <v>0</v>
      </c>
      <c r="CB98" s="110">
        <v>0.96875</v>
      </c>
      <c r="CC98" s="211">
        <f>'HVAC Appliances Austin'!CC98</f>
        <v>0</v>
      </c>
      <c r="CD98" s="21"/>
      <c r="CE98" s="110">
        <v>0.96875</v>
      </c>
      <c r="CF98" s="211">
        <f>'HVAC Appliances Austin'!CF98</f>
        <v>108.70333333333335</v>
      </c>
      <c r="CG98" s="110">
        <v>0.96875</v>
      </c>
      <c r="CH98" s="211">
        <f>'HVAC Appliances Austin'!CH98</f>
        <v>211.39333333333332</v>
      </c>
      <c r="CI98" s="110">
        <v>0.96875</v>
      </c>
      <c r="CJ98" s="211">
        <f>'HVAC Appliances Austin'!CJ98</f>
        <v>281.33333333333331</v>
      </c>
      <c r="CK98" s="21"/>
      <c r="CL98" s="110">
        <v>0.96875</v>
      </c>
      <c r="CM98" s="211">
        <f>'HVAC Appliances Austin'!CM98</f>
        <v>0</v>
      </c>
      <c r="CN98" s="110">
        <v>0.96875</v>
      </c>
      <c r="CO98" s="211">
        <f>'HVAC Appliances Austin'!CO98</f>
        <v>0</v>
      </c>
      <c r="CP98" s="110">
        <v>0.96875</v>
      </c>
      <c r="CQ98" s="211">
        <f>'HVAC Appliances Austin'!CQ98</f>
        <v>0</v>
      </c>
      <c r="CR98" s="21"/>
      <c r="CS98" s="110">
        <v>0.96875</v>
      </c>
      <c r="CT98" s="211"/>
      <c r="CU98" s="21"/>
      <c r="CV98" s="110">
        <v>0.96875</v>
      </c>
      <c r="CW98" s="264"/>
      <c r="CY98" s="260">
        <v>0.96875</v>
      </c>
      <c r="CZ98" s="211">
        <f>'HVAC Appliances Austin'!CZ98</f>
        <v>83.674999999999883</v>
      </c>
      <c r="DA98" s="110">
        <v>0.96875</v>
      </c>
      <c r="DB98" s="211">
        <f>'HVAC Appliances Austin'!DB98</f>
        <v>76.81874999999971</v>
      </c>
      <c r="DC98" s="110">
        <v>0.96875</v>
      </c>
      <c r="DD98" s="211">
        <f>'HVAC Appliances Austin'!DD98</f>
        <v>68.031249999999773</v>
      </c>
      <c r="DE98" s="21"/>
      <c r="DF98" s="110">
        <v>0.96875</v>
      </c>
      <c r="DG98" s="211">
        <f>'HVAC Appliances Austin'!DG98</f>
        <v>0</v>
      </c>
      <c r="DH98" s="110">
        <v>0.96875</v>
      </c>
      <c r="DI98" s="211">
        <f>'HVAC Appliances Austin'!DI98</f>
        <v>0</v>
      </c>
      <c r="DJ98" s="110">
        <v>0.96875</v>
      </c>
      <c r="DK98" s="211">
        <f>'HVAC Appliances Austin'!DK98</f>
        <v>0</v>
      </c>
      <c r="DL98" s="21"/>
      <c r="DM98" s="110">
        <v>0.96875</v>
      </c>
      <c r="DN98" s="211">
        <f>'HVAC Appliances Austin'!DN98</f>
        <v>535.51900000000035</v>
      </c>
      <c r="DO98" s="110">
        <v>0.96875</v>
      </c>
      <c r="DP98" s="211">
        <f>'HVAC Appliances Austin'!DP98</f>
        <v>821.83675000000017</v>
      </c>
      <c r="DQ98" s="110">
        <v>0.96875</v>
      </c>
      <c r="DR98" s="211">
        <f>'HVAC Appliances Austin'!DR98</f>
        <v>1030.1132500000008</v>
      </c>
      <c r="DS98" s="21"/>
      <c r="DT98" s="110">
        <v>0.96875</v>
      </c>
      <c r="DU98" s="211">
        <f>'HVAC Appliances Austin'!DU98</f>
        <v>87.570486111111066</v>
      </c>
      <c r="DV98" s="110">
        <v>0.96875</v>
      </c>
      <c r="DW98" s="211">
        <f>'HVAC Appliances Austin'!DW98</f>
        <v>112.96336805555552</v>
      </c>
      <c r="DX98" s="110">
        <v>0.96875</v>
      </c>
      <c r="DY98" s="211">
        <f>'HVAC Appliances Austin'!DY98</f>
        <v>165.09583333333387</v>
      </c>
      <c r="DZ98" s="21"/>
      <c r="EA98" s="110">
        <v>0.96875</v>
      </c>
      <c r="EB98" s="211">
        <f>'HVAC Appliances Amarillo'!EB98</f>
        <v>0</v>
      </c>
      <c r="EC98" s="110">
        <v>0.96875</v>
      </c>
      <c r="ED98" s="211">
        <f>'HVAC Appliances Amarillo'!ED98</f>
        <v>0</v>
      </c>
      <c r="EE98" s="110">
        <v>0.96875</v>
      </c>
      <c r="EF98" s="211">
        <f>'HVAC Appliances Amarillo'!EF98</f>
        <v>0</v>
      </c>
      <c r="EG98" s="21"/>
      <c r="EH98" s="110">
        <v>0.96875</v>
      </c>
      <c r="EI98" s="211">
        <f>'HVAC Appliances Austin'!EI98</f>
        <v>777.38899999999944</v>
      </c>
      <c r="EJ98" s="110">
        <v>0.96875</v>
      </c>
      <c r="EK98" s="211">
        <f>'HVAC Appliances Austin'!EK98</f>
        <v>1232.6121319444439</v>
      </c>
      <c r="EL98" s="110">
        <v>0.96875</v>
      </c>
      <c r="EM98" s="211">
        <f>'HVAC Appliances Austin'!EM98</f>
        <v>1565.7093958333337</v>
      </c>
      <c r="EN98" s="21"/>
      <c r="EO98" s="110">
        <v>0.96875</v>
      </c>
      <c r="EP98" s="211"/>
      <c r="EQ98" s="21"/>
      <c r="ER98" s="110">
        <v>0.96875</v>
      </c>
      <c r="ES98" s="264"/>
      <c r="EU98" s="260">
        <v>0.96875</v>
      </c>
      <c r="EV98" s="209">
        <f>'HVAC Appliances Amarillo'!EV98</f>
        <v>0</v>
      </c>
      <c r="EW98" s="110">
        <v>0.96875</v>
      </c>
      <c r="EX98" s="209">
        <f>'HVAC Appliances Amarillo'!EX98</f>
        <v>0</v>
      </c>
      <c r="EY98" s="110">
        <v>0.96875</v>
      </c>
      <c r="EZ98" s="308">
        <f>'HVAC Appliances Amarillo'!EZ98</f>
        <v>0</v>
      </c>
    </row>
    <row r="99" spans="1:157" x14ac:dyDescent="0.3">
      <c r="A99" s="108">
        <v>0.96875</v>
      </c>
      <c r="B99" s="226">
        <f t="shared" si="4"/>
        <v>0</v>
      </c>
      <c r="C99" s="21">
        <f t="shared" si="5"/>
        <v>281.33333333333331</v>
      </c>
      <c r="D99" s="20">
        <f t="shared" si="6"/>
        <v>0</v>
      </c>
      <c r="E99" s="20">
        <f t="shared" si="7"/>
        <v>0</v>
      </c>
      <c r="G99" s="260">
        <v>0.97916666666666696</v>
      </c>
      <c r="H99" s="211">
        <f>'HVAC Appliances Austin'!H99</f>
        <v>82.206249999999926</v>
      </c>
      <c r="I99" s="110">
        <v>0.97916666666666696</v>
      </c>
      <c r="J99" s="211">
        <f>'HVAC Appliances Austin'!J99</f>
        <v>83.637500000000031</v>
      </c>
      <c r="K99" s="110">
        <v>0.97916666666666696</v>
      </c>
      <c r="L99" s="211">
        <f>'HVAC Appliances Austin'!L99</f>
        <v>89.149999999999622</v>
      </c>
      <c r="M99" s="21"/>
      <c r="N99" s="110">
        <v>0.97916666666666696</v>
      </c>
      <c r="O99" s="211">
        <f>'HVAC Appliances Austin'!O99</f>
        <v>57.674555555555564</v>
      </c>
      <c r="P99" s="110">
        <v>0.97916666666666696</v>
      </c>
      <c r="Q99" s="211">
        <f>'HVAC Appliances Austin'!Q99</f>
        <v>45.168888888888816</v>
      </c>
      <c r="R99" s="110">
        <v>0.97916666666666696</v>
      </c>
      <c r="S99" s="211">
        <f>'HVAC Appliances Austin'!S99</f>
        <v>45.506888888888767</v>
      </c>
      <c r="T99" s="21"/>
      <c r="U99" s="110">
        <v>0.97916666666666696</v>
      </c>
      <c r="V99" s="211">
        <f>'HVAC Appliances Austin'!V99</f>
        <v>489.7602500000001</v>
      </c>
      <c r="W99" s="110">
        <v>0.97916666666666696</v>
      </c>
      <c r="X99" s="211">
        <f>'HVAC Appliances Austin'!X99</f>
        <v>761.31750000000011</v>
      </c>
      <c r="Y99" s="110">
        <v>0.97916666666666696</v>
      </c>
      <c r="Z99" s="211">
        <f>'HVAC Appliances Austin'!Z99</f>
        <v>954.13799999999992</v>
      </c>
      <c r="AA99" s="21"/>
      <c r="AB99" s="110">
        <v>0.97916666666666696</v>
      </c>
      <c r="AC99" s="211">
        <f>'HVAC Appliances Austin'!AC99</f>
        <v>0</v>
      </c>
      <c r="AD99" s="110">
        <v>0.97916666666666696</v>
      </c>
      <c r="AE99" s="211">
        <f>'HVAC Appliances Austin'!AE99</f>
        <v>0</v>
      </c>
      <c r="AF99" s="110">
        <v>0.97916666666666696</v>
      </c>
      <c r="AG99" s="211">
        <f>'HVAC Appliances Austin'!AG99</f>
        <v>0</v>
      </c>
      <c r="AH99" s="21"/>
      <c r="AI99" s="110">
        <v>0.97916666666666696</v>
      </c>
      <c r="AJ99" s="211">
        <f>'HVAC Appliances Austin'!AJ99</f>
        <v>0</v>
      </c>
      <c r="AK99" s="110">
        <v>0.97916666666666696</v>
      </c>
      <c r="AL99" s="211">
        <f>'HVAC Appliances Austin'!AL99</f>
        <v>0</v>
      </c>
      <c r="AM99" s="110">
        <v>0.97916666666666696</v>
      </c>
      <c r="AN99" s="211">
        <f>'HVAC Appliances Austin'!AN99</f>
        <v>0</v>
      </c>
      <c r="AO99" s="21"/>
      <c r="AP99" s="110">
        <v>0.97916666666666696</v>
      </c>
      <c r="AQ99" s="211">
        <f>'HVAC Appliances Austin'!AQ99</f>
        <v>733.59820138888836</v>
      </c>
      <c r="AR99" s="110">
        <v>0.97916666666666696</v>
      </c>
      <c r="AS99" s="211">
        <f>'HVAC Appliances Austin'!AS99</f>
        <v>1172.9828472222218</v>
      </c>
      <c r="AT99" s="110">
        <v>0.97916666666666696</v>
      </c>
      <c r="AU99" s="211">
        <f>'HVAC Appliances Austin'!AU99</f>
        <v>1494.1839722222219</v>
      </c>
      <c r="AV99" s="21"/>
      <c r="AW99" s="110">
        <v>0.97916666666666696</v>
      </c>
      <c r="AX99" s="211"/>
      <c r="AY99" s="21"/>
      <c r="AZ99" s="110">
        <v>0.97916666666666696</v>
      </c>
      <c r="BA99" s="264"/>
      <c r="BC99" s="260">
        <v>0.97916666666666696</v>
      </c>
      <c r="BD99" s="211">
        <f>'HVAC Appliances Austin'!BD99</f>
        <v>0</v>
      </c>
      <c r="BE99" s="110">
        <v>0.97916666666666696</v>
      </c>
      <c r="BF99" s="211">
        <f>'HVAC Appliances Austin'!BF99</f>
        <v>0</v>
      </c>
      <c r="BG99" s="110">
        <v>0.97916666666666696</v>
      </c>
      <c r="BH99" s="211">
        <f>'HVAC Appliances Austin'!BH99</f>
        <v>0</v>
      </c>
      <c r="BI99" s="21"/>
      <c r="BJ99" s="110">
        <v>0.97916666666666696</v>
      </c>
      <c r="BK99" s="211">
        <f>'HVAC Appliances Austin'!BK99</f>
        <v>0</v>
      </c>
      <c r="BL99" s="110">
        <v>0.97916666666666696</v>
      </c>
      <c r="BM99" s="211">
        <f>'HVAC Appliances Austin'!BM99</f>
        <v>0</v>
      </c>
      <c r="BN99" s="110">
        <v>0.97916666666666696</v>
      </c>
      <c r="BO99" s="211">
        <f>'HVAC Appliances Austin'!BO99</f>
        <v>0</v>
      </c>
      <c r="BP99" s="21"/>
      <c r="BQ99" s="110">
        <v>0.97916666666666696</v>
      </c>
      <c r="BR99" s="211">
        <f>'HVAC Appliances Austin'!BR99</f>
        <v>0</v>
      </c>
      <c r="BS99" s="110">
        <v>0.97916666666666696</v>
      </c>
      <c r="BT99" s="211">
        <f>'HVAC Appliances Austin'!BT99</f>
        <v>0</v>
      </c>
      <c r="BU99" s="110">
        <v>0.97916666666666696</v>
      </c>
      <c r="BV99" s="211">
        <f>'HVAC Appliances Austin'!BV99</f>
        <v>0</v>
      </c>
      <c r="BW99" s="21"/>
      <c r="BX99" s="110">
        <v>0.97916666666666696</v>
      </c>
      <c r="BY99" s="211">
        <f>'HVAC Appliances Austin'!BY99</f>
        <v>0</v>
      </c>
      <c r="BZ99" s="110">
        <v>0.97916666666666696</v>
      </c>
      <c r="CA99" s="211">
        <f>'HVAC Appliances Austin'!CA99</f>
        <v>0</v>
      </c>
      <c r="CB99" s="110">
        <v>0.97916666666666696</v>
      </c>
      <c r="CC99" s="211">
        <f>'HVAC Appliances Austin'!CC99</f>
        <v>0</v>
      </c>
      <c r="CD99" s="21"/>
      <c r="CE99" s="110">
        <v>0.97916666666666696</v>
      </c>
      <c r="CF99" s="211">
        <f>'HVAC Appliances Austin'!CF99</f>
        <v>108.70333333333335</v>
      </c>
      <c r="CG99" s="110">
        <v>0.97916666666666696</v>
      </c>
      <c r="CH99" s="211">
        <f>'HVAC Appliances Austin'!CH99</f>
        <v>211.39333333333332</v>
      </c>
      <c r="CI99" s="110">
        <v>0.97916666666666696</v>
      </c>
      <c r="CJ99" s="211">
        <f>'HVAC Appliances Austin'!CJ99</f>
        <v>281.33333333333331</v>
      </c>
      <c r="CK99" s="21"/>
      <c r="CL99" s="110">
        <v>0.97916666666666696</v>
      </c>
      <c r="CM99" s="211">
        <f>'HVAC Appliances Austin'!CM99</f>
        <v>0</v>
      </c>
      <c r="CN99" s="110">
        <v>0.97916666666666696</v>
      </c>
      <c r="CO99" s="211">
        <f>'HVAC Appliances Austin'!CO99</f>
        <v>0</v>
      </c>
      <c r="CP99" s="110">
        <v>0.97916666666666696</v>
      </c>
      <c r="CQ99" s="211">
        <f>'HVAC Appliances Austin'!CQ99</f>
        <v>0</v>
      </c>
      <c r="CR99" s="21"/>
      <c r="CS99" s="110">
        <v>0.97916666666666696</v>
      </c>
      <c r="CT99" s="211"/>
      <c r="CU99" s="21"/>
      <c r="CV99" s="110">
        <v>0.97916666666666696</v>
      </c>
      <c r="CW99" s="264"/>
      <c r="CY99" s="260">
        <v>0.97916666666666696</v>
      </c>
      <c r="CZ99" s="211">
        <f>'HVAC Appliances Austin'!CZ99</f>
        <v>83.674999999999883</v>
      </c>
      <c r="DA99" s="110">
        <v>0.97916666666666696</v>
      </c>
      <c r="DB99" s="211">
        <f>'HVAC Appliances Austin'!DB99</f>
        <v>76.81874999999971</v>
      </c>
      <c r="DC99" s="110">
        <v>0.97916666666666696</v>
      </c>
      <c r="DD99" s="211">
        <f>'HVAC Appliances Austin'!DD99</f>
        <v>68.031249999999773</v>
      </c>
      <c r="DE99" s="21"/>
      <c r="DF99" s="110">
        <v>0.97916666666666696</v>
      </c>
      <c r="DG99" s="211">
        <f>'HVAC Appliances Austin'!DG99</f>
        <v>0</v>
      </c>
      <c r="DH99" s="110">
        <v>0.97916666666666696</v>
      </c>
      <c r="DI99" s="211">
        <f>'HVAC Appliances Austin'!DI99</f>
        <v>0</v>
      </c>
      <c r="DJ99" s="110">
        <v>0.97916666666666696</v>
      </c>
      <c r="DK99" s="211">
        <f>'HVAC Appliances Austin'!DK99</f>
        <v>0</v>
      </c>
      <c r="DL99" s="21"/>
      <c r="DM99" s="110">
        <v>0.97916666666666696</v>
      </c>
      <c r="DN99" s="211">
        <f>'HVAC Appliances Austin'!DN99</f>
        <v>535.51900000000035</v>
      </c>
      <c r="DO99" s="110">
        <v>0.97916666666666696</v>
      </c>
      <c r="DP99" s="211">
        <f>'HVAC Appliances Austin'!DP99</f>
        <v>821.83675000000017</v>
      </c>
      <c r="DQ99" s="110">
        <v>0.97916666666666696</v>
      </c>
      <c r="DR99" s="211">
        <f>'HVAC Appliances Austin'!DR99</f>
        <v>1030.1132500000008</v>
      </c>
      <c r="DS99" s="21"/>
      <c r="DT99" s="110">
        <v>0.97916666666666696</v>
      </c>
      <c r="DU99" s="211">
        <f>'HVAC Appliances Austin'!DU99</f>
        <v>87.570486111111066</v>
      </c>
      <c r="DV99" s="110">
        <v>0.97916666666666696</v>
      </c>
      <c r="DW99" s="211">
        <f>'HVAC Appliances Austin'!DW99</f>
        <v>112.96336805555552</v>
      </c>
      <c r="DX99" s="110">
        <v>0.97916666666666696</v>
      </c>
      <c r="DY99" s="211">
        <f>'HVAC Appliances Austin'!DY99</f>
        <v>165.09583333333387</v>
      </c>
      <c r="DZ99" s="21"/>
      <c r="EA99" s="110">
        <v>0.97916666666666696</v>
      </c>
      <c r="EB99" s="211">
        <f>'HVAC Appliances Amarillo'!EB99</f>
        <v>0</v>
      </c>
      <c r="EC99" s="110">
        <v>0.97916666666666696</v>
      </c>
      <c r="ED99" s="211">
        <f>'HVAC Appliances Amarillo'!ED99</f>
        <v>0</v>
      </c>
      <c r="EE99" s="110">
        <v>0.97916666666666696</v>
      </c>
      <c r="EF99" s="211">
        <f>'HVAC Appliances Amarillo'!EF99</f>
        <v>0</v>
      </c>
      <c r="EG99" s="21"/>
      <c r="EH99" s="110">
        <v>0.97916666666666696</v>
      </c>
      <c r="EI99" s="211">
        <f>'HVAC Appliances Austin'!EI99</f>
        <v>777.38899999999944</v>
      </c>
      <c r="EJ99" s="110">
        <v>0.97916666666666696</v>
      </c>
      <c r="EK99" s="211">
        <f>'HVAC Appliances Austin'!EK99</f>
        <v>1232.6121319444439</v>
      </c>
      <c r="EL99" s="110">
        <v>0.97916666666666696</v>
      </c>
      <c r="EM99" s="211">
        <f>'HVAC Appliances Austin'!EM99</f>
        <v>1565.7093958333337</v>
      </c>
      <c r="EN99" s="21"/>
      <c r="EO99" s="110">
        <v>0.97916666666666696</v>
      </c>
      <c r="EP99" s="211"/>
      <c r="EQ99" s="21"/>
      <c r="ER99" s="110">
        <v>0.97916666666666696</v>
      </c>
      <c r="ES99" s="264"/>
      <c r="EU99" s="260">
        <v>0.97916666666666696</v>
      </c>
      <c r="EV99" s="209">
        <f>'HVAC Appliances Amarillo'!EV99</f>
        <v>0</v>
      </c>
      <c r="EW99" s="110">
        <v>0.97916666666666696</v>
      </c>
      <c r="EX99" s="209">
        <f>'HVAC Appliances Amarillo'!EX99</f>
        <v>0</v>
      </c>
      <c r="EY99" s="110">
        <v>0.97916666666666696</v>
      </c>
      <c r="EZ99" s="308">
        <f>'HVAC Appliances Amarillo'!EZ99</f>
        <v>0</v>
      </c>
    </row>
    <row r="100" spans="1:157" x14ac:dyDescent="0.3">
      <c r="A100" s="108">
        <v>0.97916666666666696</v>
      </c>
      <c r="B100" s="226">
        <f t="shared" si="4"/>
        <v>0</v>
      </c>
      <c r="C100" s="21">
        <f t="shared" si="5"/>
        <v>281.33333333333331</v>
      </c>
      <c r="D100" s="20">
        <f t="shared" si="6"/>
        <v>0</v>
      </c>
      <c r="E100" s="20">
        <f t="shared" si="7"/>
        <v>0</v>
      </c>
      <c r="G100" s="261">
        <v>0.98958333333333304</v>
      </c>
      <c r="H100" s="212">
        <f>'HVAC Appliances Austin'!H100</f>
        <v>82.206249999999926</v>
      </c>
      <c r="I100" s="317">
        <v>0.98958333333333304</v>
      </c>
      <c r="J100" s="212">
        <f>'HVAC Appliances Austin'!J100</f>
        <v>83.637500000000031</v>
      </c>
      <c r="K100" s="317">
        <v>0.98958333333333304</v>
      </c>
      <c r="L100" s="212">
        <f>'HVAC Appliances Austin'!L100</f>
        <v>89.149999999999622</v>
      </c>
      <c r="M100" s="21"/>
      <c r="N100" s="317">
        <v>0.98958333333333304</v>
      </c>
      <c r="O100" s="212">
        <f>'HVAC Appliances Austin'!O100</f>
        <v>57.674555555555564</v>
      </c>
      <c r="P100" s="317">
        <v>0.98958333333333304</v>
      </c>
      <c r="Q100" s="212">
        <f>'HVAC Appliances Austin'!Q100</f>
        <v>45.168888888888816</v>
      </c>
      <c r="R100" s="317">
        <v>0.98958333333333304</v>
      </c>
      <c r="S100" s="212">
        <f>'HVAC Appliances Austin'!S100</f>
        <v>45.506888888888767</v>
      </c>
      <c r="T100" s="21"/>
      <c r="U100" s="317">
        <v>0.98958333333333304</v>
      </c>
      <c r="V100" s="212">
        <f>'HVAC Appliances Austin'!V100</f>
        <v>489.7602500000001</v>
      </c>
      <c r="W100" s="317">
        <v>0.98958333333333304</v>
      </c>
      <c r="X100" s="212">
        <f>'HVAC Appliances Austin'!X100</f>
        <v>761.31750000000011</v>
      </c>
      <c r="Y100" s="317">
        <v>0.98958333333333304</v>
      </c>
      <c r="Z100" s="212">
        <f>'HVAC Appliances Austin'!Z100</f>
        <v>954.13799999999992</v>
      </c>
      <c r="AA100" s="21"/>
      <c r="AB100" s="317">
        <v>0.98958333333333304</v>
      </c>
      <c r="AC100" s="212">
        <f>'HVAC Appliances Austin'!AC100</f>
        <v>0</v>
      </c>
      <c r="AD100" s="317">
        <v>0.98958333333333304</v>
      </c>
      <c r="AE100" s="212">
        <f>'HVAC Appliances Austin'!AE100</f>
        <v>0</v>
      </c>
      <c r="AF100" s="317">
        <v>0.98958333333333304</v>
      </c>
      <c r="AG100" s="212">
        <f>'HVAC Appliances Austin'!AG100</f>
        <v>0</v>
      </c>
      <c r="AH100" s="21"/>
      <c r="AI100" s="317">
        <v>0.98958333333333304</v>
      </c>
      <c r="AJ100" s="212">
        <f>'HVAC Appliances Austin'!AJ100</f>
        <v>0</v>
      </c>
      <c r="AK100" s="317">
        <v>0.98958333333333304</v>
      </c>
      <c r="AL100" s="212">
        <f>'HVAC Appliances Austin'!AL100</f>
        <v>0</v>
      </c>
      <c r="AM100" s="317">
        <v>0.98958333333333304</v>
      </c>
      <c r="AN100" s="212">
        <f>'HVAC Appliances Austin'!AN100</f>
        <v>0</v>
      </c>
      <c r="AO100" s="21"/>
      <c r="AP100" s="317">
        <v>0.98958333333333304</v>
      </c>
      <c r="AQ100" s="212">
        <f>'HVAC Appliances Austin'!AQ100</f>
        <v>733.59820138888836</v>
      </c>
      <c r="AR100" s="317">
        <v>0.98958333333333304</v>
      </c>
      <c r="AS100" s="212">
        <f>'HVAC Appliances Austin'!AS100</f>
        <v>1172.9828472222218</v>
      </c>
      <c r="AT100" s="317">
        <v>0.98958333333333304</v>
      </c>
      <c r="AU100" s="212">
        <f>'HVAC Appliances Austin'!AU100</f>
        <v>1494.1839722222219</v>
      </c>
      <c r="AV100" s="21"/>
      <c r="AW100" s="317">
        <v>0.98958333333333304</v>
      </c>
      <c r="AX100" s="212"/>
      <c r="AY100" s="21"/>
      <c r="AZ100" s="317">
        <v>0.98958333333333304</v>
      </c>
      <c r="BA100" s="265"/>
      <c r="BC100" s="261">
        <v>0.98958333333333304</v>
      </c>
      <c r="BD100" s="212">
        <f>'HVAC Appliances Austin'!BD100</f>
        <v>0</v>
      </c>
      <c r="BE100" s="317">
        <v>0.98958333333333304</v>
      </c>
      <c r="BF100" s="212">
        <f>'HVAC Appliances Austin'!BF100</f>
        <v>0</v>
      </c>
      <c r="BG100" s="317">
        <v>0.98958333333333304</v>
      </c>
      <c r="BH100" s="212">
        <f>'HVAC Appliances Austin'!BH100</f>
        <v>0</v>
      </c>
      <c r="BI100" s="21"/>
      <c r="BJ100" s="317">
        <v>0.98958333333333304</v>
      </c>
      <c r="BK100" s="212">
        <f>'HVAC Appliances Austin'!BK100</f>
        <v>0</v>
      </c>
      <c r="BL100" s="317">
        <v>0.98958333333333304</v>
      </c>
      <c r="BM100" s="212">
        <f>'HVAC Appliances Austin'!BM100</f>
        <v>0</v>
      </c>
      <c r="BN100" s="317">
        <v>0.98958333333333304</v>
      </c>
      <c r="BO100" s="212">
        <f>'HVAC Appliances Austin'!BO100</f>
        <v>0</v>
      </c>
      <c r="BP100" s="21"/>
      <c r="BQ100" s="317">
        <v>0.98958333333333304</v>
      </c>
      <c r="BR100" s="212">
        <f>'HVAC Appliances Austin'!BR100</f>
        <v>0</v>
      </c>
      <c r="BS100" s="317">
        <v>0.98958333333333304</v>
      </c>
      <c r="BT100" s="212">
        <f>'HVAC Appliances Austin'!BT100</f>
        <v>0</v>
      </c>
      <c r="BU100" s="317">
        <v>0.98958333333333304</v>
      </c>
      <c r="BV100" s="212">
        <f>'HVAC Appliances Austin'!BV100</f>
        <v>0</v>
      </c>
      <c r="BW100" s="21"/>
      <c r="BX100" s="317">
        <v>0.98958333333333304</v>
      </c>
      <c r="BY100" s="212">
        <f>'HVAC Appliances Austin'!BY100</f>
        <v>0</v>
      </c>
      <c r="BZ100" s="317">
        <v>0.98958333333333304</v>
      </c>
      <c r="CA100" s="212">
        <f>'HVAC Appliances Austin'!CA100</f>
        <v>0</v>
      </c>
      <c r="CB100" s="317">
        <v>0.98958333333333304</v>
      </c>
      <c r="CC100" s="212">
        <f>'HVAC Appliances Austin'!CC100</f>
        <v>0</v>
      </c>
      <c r="CD100" s="21"/>
      <c r="CE100" s="317">
        <v>0.98958333333333304</v>
      </c>
      <c r="CF100" s="212">
        <f>'HVAC Appliances Austin'!CF100</f>
        <v>108.70333333333335</v>
      </c>
      <c r="CG100" s="317">
        <v>0.98958333333333304</v>
      </c>
      <c r="CH100" s="212">
        <f>'HVAC Appliances Austin'!CH100</f>
        <v>211.39333333333332</v>
      </c>
      <c r="CI100" s="317">
        <v>0.98958333333333304</v>
      </c>
      <c r="CJ100" s="212">
        <f>'HVAC Appliances Austin'!CJ100</f>
        <v>281.33333333333331</v>
      </c>
      <c r="CK100" s="21"/>
      <c r="CL100" s="317">
        <v>0.98958333333333304</v>
      </c>
      <c r="CM100" s="212">
        <f>'HVAC Appliances Austin'!CM100</f>
        <v>0</v>
      </c>
      <c r="CN100" s="317">
        <v>0.98958333333333304</v>
      </c>
      <c r="CO100" s="212">
        <f>'HVAC Appliances Austin'!CO100</f>
        <v>0</v>
      </c>
      <c r="CP100" s="317">
        <v>0.98958333333333304</v>
      </c>
      <c r="CQ100" s="212">
        <f>'HVAC Appliances Austin'!CQ100</f>
        <v>0</v>
      </c>
      <c r="CR100" s="21"/>
      <c r="CS100" s="317">
        <v>0.98958333333333304</v>
      </c>
      <c r="CT100" s="212"/>
      <c r="CU100" s="21"/>
      <c r="CV100" s="317">
        <v>0.98958333333333304</v>
      </c>
      <c r="CW100" s="265"/>
      <c r="CY100" s="261">
        <v>0.98958333333333304</v>
      </c>
      <c r="CZ100" s="212">
        <f>'HVAC Appliances Austin'!CZ100</f>
        <v>83.674999999999883</v>
      </c>
      <c r="DA100" s="317">
        <v>0.98958333333333304</v>
      </c>
      <c r="DB100" s="212">
        <f>'HVAC Appliances Austin'!DB100</f>
        <v>76.81874999999971</v>
      </c>
      <c r="DC100" s="317">
        <v>0.98958333333333304</v>
      </c>
      <c r="DD100" s="212">
        <f>'HVAC Appliances Austin'!DD100</f>
        <v>68.031249999999773</v>
      </c>
      <c r="DE100" s="21"/>
      <c r="DF100" s="317">
        <v>0.98958333333333304</v>
      </c>
      <c r="DG100" s="212">
        <f>'HVAC Appliances Austin'!DG100</f>
        <v>0</v>
      </c>
      <c r="DH100" s="317">
        <v>0.98958333333333304</v>
      </c>
      <c r="DI100" s="212">
        <f>'HVAC Appliances Austin'!DI100</f>
        <v>0</v>
      </c>
      <c r="DJ100" s="317">
        <v>0.98958333333333304</v>
      </c>
      <c r="DK100" s="212">
        <f>'HVAC Appliances Austin'!DK100</f>
        <v>0</v>
      </c>
      <c r="DL100" s="21"/>
      <c r="DM100" s="317">
        <v>0.98958333333333304</v>
      </c>
      <c r="DN100" s="212">
        <f>'HVAC Appliances Austin'!DN100</f>
        <v>535.51900000000035</v>
      </c>
      <c r="DO100" s="317">
        <v>0.98958333333333304</v>
      </c>
      <c r="DP100" s="212">
        <f>'HVAC Appliances Austin'!DP100</f>
        <v>821.83675000000017</v>
      </c>
      <c r="DQ100" s="317">
        <v>0.98958333333333304</v>
      </c>
      <c r="DR100" s="212">
        <f>'HVAC Appliances Austin'!DR100</f>
        <v>1030.1132500000008</v>
      </c>
      <c r="DS100" s="21"/>
      <c r="DT100" s="317">
        <v>0.98958333333333304</v>
      </c>
      <c r="DU100" s="212">
        <f>'HVAC Appliances Austin'!DU100</f>
        <v>87.570486111111066</v>
      </c>
      <c r="DV100" s="317">
        <v>0.98958333333333304</v>
      </c>
      <c r="DW100" s="212">
        <f>'HVAC Appliances Austin'!DW100</f>
        <v>112.96336805555552</v>
      </c>
      <c r="DX100" s="317">
        <v>0.98958333333333304</v>
      </c>
      <c r="DY100" s="212">
        <f>'HVAC Appliances Austin'!DY100</f>
        <v>165.09583333333387</v>
      </c>
      <c r="DZ100" s="21"/>
      <c r="EA100" s="317">
        <v>0.98958333333333304</v>
      </c>
      <c r="EB100" s="212">
        <f>'HVAC Appliances Amarillo'!EB100</f>
        <v>0</v>
      </c>
      <c r="EC100" s="317">
        <v>0.98958333333333304</v>
      </c>
      <c r="ED100" s="212">
        <f>'HVAC Appliances Amarillo'!ED100</f>
        <v>0</v>
      </c>
      <c r="EE100" s="317">
        <v>0.98958333333333304</v>
      </c>
      <c r="EF100" s="212">
        <f>'HVAC Appliances Amarillo'!EF100</f>
        <v>0</v>
      </c>
      <c r="EG100" s="21"/>
      <c r="EH100" s="317">
        <v>0.98958333333333304</v>
      </c>
      <c r="EI100" s="212">
        <f>'HVAC Appliances Austin'!EI100</f>
        <v>777.38899999999944</v>
      </c>
      <c r="EJ100" s="317">
        <v>0.98958333333333304</v>
      </c>
      <c r="EK100" s="212">
        <f>'HVAC Appliances Austin'!EK100</f>
        <v>1232.6121319444439</v>
      </c>
      <c r="EL100" s="317">
        <v>0.98958333333333304</v>
      </c>
      <c r="EM100" s="212">
        <f>'HVAC Appliances Austin'!EM100</f>
        <v>1565.7093958333337</v>
      </c>
      <c r="EN100" s="21"/>
      <c r="EO100" s="317">
        <v>0.98958333333333304</v>
      </c>
      <c r="EP100" s="212"/>
      <c r="EQ100" s="21"/>
      <c r="ER100" s="317">
        <v>0.98958333333333304</v>
      </c>
      <c r="ES100" s="265"/>
      <c r="EU100" s="261">
        <v>0.98958333333333304</v>
      </c>
      <c r="EV100" s="210">
        <f>'HVAC Appliances Amarillo'!EV100</f>
        <v>0</v>
      </c>
      <c r="EW100" s="317">
        <v>0.98958333333333304</v>
      </c>
      <c r="EX100" s="210">
        <f>'HVAC Appliances Amarillo'!EX100</f>
        <v>0</v>
      </c>
      <c r="EY100" s="317">
        <v>0.98958333333333304</v>
      </c>
      <c r="EZ100" s="309">
        <f>'HVAC Appliances Amarillo'!EZ100</f>
        <v>0</v>
      </c>
    </row>
    <row r="101" spans="1:157" x14ac:dyDescent="0.3">
      <c r="A101" s="108">
        <v>0.98958333333333304</v>
      </c>
      <c r="B101" s="227">
        <f t="shared" si="4"/>
        <v>0</v>
      </c>
      <c r="C101" s="228">
        <f t="shared" si="5"/>
        <v>281.33333333333331</v>
      </c>
      <c r="D101" s="26">
        <f t="shared" si="6"/>
        <v>0</v>
      </c>
      <c r="E101" s="26">
        <f t="shared" si="7"/>
        <v>0</v>
      </c>
      <c r="G101" s="190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181"/>
      <c r="BC101" s="190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181"/>
      <c r="CY101" s="190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181"/>
      <c r="EU101" s="190"/>
      <c r="EV101" s="21"/>
      <c r="EW101" s="21"/>
      <c r="EX101" s="21"/>
      <c r="EY101" s="21"/>
      <c r="EZ101" s="181"/>
    </row>
    <row r="102" spans="1:157" ht="15" thickBot="1" x14ac:dyDescent="0.35">
      <c r="G102" s="185"/>
      <c r="H102" s="191">
        <f>SUM(H5:H100)/4000</f>
        <v>2.5219642222222216</v>
      </c>
      <c r="I102" s="205" t="s">
        <v>236</v>
      </c>
      <c r="J102" s="191">
        <f>SUM(J5:J100)/4000</f>
        <v>3.4260355555555555</v>
      </c>
      <c r="K102" s="205" t="s">
        <v>236</v>
      </c>
      <c r="L102" s="191">
        <f>SUM(L5:L100)/4000</f>
        <v>4.0684395555555497</v>
      </c>
      <c r="M102" s="205" t="s">
        <v>236</v>
      </c>
      <c r="N102" s="188"/>
      <c r="O102" s="191">
        <f>SUM(O5:O100)/4000</f>
        <v>7.0176710555555601</v>
      </c>
      <c r="P102" s="205" t="s">
        <v>236</v>
      </c>
      <c r="Q102" s="191">
        <f>SUM(Q5:Q100)/4000</f>
        <v>10.366053888888887</v>
      </c>
      <c r="R102" s="205" t="s">
        <v>236</v>
      </c>
      <c r="S102" s="191">
        <f>SUM(S5:S100)/4000</f>
        <v>12.739124888888878</v>
      </c>
      <c r="T102" s="205" t="s">
        <v>236</v>
      </c>
      <c r="U102" s="188"/>
      <c r="V102" s="191">
        <f>SUM(V5:V100)/4000</f>
        <v>15.847827506944434</v>
      </c>
      <c r="W102" s="205" t="s">
        <v>236</v>
      </c>
      <c r="X102" s="191">
        <f>SUM(X5:X100)/4000</f>
        <v>25.221019236111136</v>
      </c>
      <c r="Y102" s="205" t="s">
        <v>236</v>
      </c>
      <c r="Z102" s="191">
        <f>SUM(Z5:Z100)/4000</f>
        <v>32.104597861111102</v>
      </c>
      <c r="AA102" s="205" t="s">
        <v>236</v>
      </c>
      <c r="AB102" s="188"/>
      <c r="AC102" s="191">
        <f>SUM(AC5:AC100)/4000</f>
        <v>1.4340360624999979</v>
      </c>
      <c r="AD102" s="205" t="s">
        <v>236</v>
      </c>
      <c r="AE102" s="191">
        <f>SUM(AE5:AE100)/4000</f>
        <v>1.2065581249999981</v>
      </c>
      <c r="AF102" s="205" t="s">
        <v>236</v>
      </c>
      <c r="AG102" s="191">
        <f>SUM(AG5:AG100)/4000</f>
        <v>1.2345627499999914</v>
      </c>
      <c r="AH102" s="205" t="s">
        <v>236</v>
      </c>
      <c r="AI102" s="188"/>
      <c r="AJ102" s="191">
        <f>SUM(AJ5:AJ100)/4000</f>
        <v>0</v>
      </c>
      <c r="AK102" s="205" t="s">
        <v>236</v>
      </c>
      <c r="AL102" s="191">
        <f>SUM(AL5:AL100)/4000</f>
        <v>0</v>
      </c>
      <c r="AM102" s="205" t="s">
        <v>236</v>
      </c>
      <c r="AN102" s="191">
        <f>SUM(AN5:AN100)/4000</f>
        <v>0</v>
      </c>
      <c r="AO102" s="205" t="s">
        <v>236</v>
      </c>
      <c r="AP102" s="188"/>
      <c r="AQ102" s="191">
        <f>SUM(AQ5:AQ100)/4000</f>
        <v>20.051298347222222</v>
      </c>
      <c r="AR102" s="205" t="s">
        <v>236</v>
      </c>
      <c r="AS102" s="191">
        <f>SUM(AS5:AS100)/4000</f>
        <v>32.325726805555583</v>
      </c>
      <c r="AT102" s="205" t="s">
        <v>236</v>
      </c>
      <c r="AU102" s="191">
        <f>SUM(AU5:AU100)/4000</f>
        <v>41.443694055555575</v>
      </c>
      <c r="AV102" s="205" t="s">
        <v>236</v>
      </c>
      <c r="AW102" s="188"/>
      <c r="AX102" s="188"/>
      <c r="AY102" s="188"/>
      <c r="AZ102" s="188"/>
      <c r="BA102" s="182"/>
      <c r="BC102" s="185"/>
      <c r="BD102" s="191">
        <f>SUM(BD5:BD100)/4000</f>
        <v>0.1974141666666665</v>
      </c>
      <c r="BE102" s="205" t="s">
        <v>236</v>
      </c>
      <c r="BF102" s="191">
        <f>SUM(BF5:BF100)/4000</f>
        <v>0.29849666666666674</v>
      </c>
      <c r="BG102" s="205" t="s">
        <v>236</v>
      </c>
      <c r="BH102" s="191">
        <f>SUM(BH5:BH100)/4000</f>
        <v>0.42141666666666666</v>
      </c>
      <c r="BI102" s="205" t="s">
        <v>236</v>
      </c>
      <c r="BJ102" s="188"/>
      <c r="BK102" s="191">
        <f>SUM(BK5:BK100)/4000</f>
        <v>0</v>
      </c>
      <c r="BL102" s="205" t="s">
        <v>236</v>
      </c>
      <c r="BM102" s="191">
        <f>SUM(BM5:BM100)/4000</f>
        <v>0</v>
      </c>
      <c r="BN102" s="205" t="s">
        <v>236</v>
      </c>
      <c r="BO102" s="191">
        <f>SUM(BO5:BO100)/4000</f>
        <v>0</v>
      </c>
      <c r="BP102" s="205" t="s">
        <v>236</v>
      </c>
      <c r="BQ102" s="188"/>
      <c r="BR102" s="191">
        <f>SUM(BR5:BR100)/4000</f>
        <v>0</v>
      </c>
      <c r="BS102" s="205" t="s">
        <v>236</v>
      </c>
      <c r="BT102" s="191">
        <f>SUM(BT5:BT100)/4000</f>
        <v>0</v>
      </c>
      <c r="BU102" s="205" t="s">
        <v>236</v>
      </c>
      <c r="BV102" s="191">
        <f>SUM(BV5:BV100)/4000</f>
        <v>0</v>
      </c>
      <c r="BW102" s="205" t="s">
        <v>236</v>
      </c>
      <c r="BX102" s="188"/>
      <c r="BY102" s="191">
        <f>SUM(BY5:BY100)/4000</f>
        <v>0</v>
      </c>
      <c r="BZ102" s="205" t="s">
        <v>236</v>
      </c>
      <c r="CA102" s="191">
        <f>SUM(CA5:CA100)/4000</f>
        <v>0</v>
      </c>
      <c r="CB102" s="205" t="s">
        <v>236</v>
      </c>
      <c r="CC102" s="191">
        <f>SUM(CC5:CC100)/4000</f>
        <v>0</v>
      </c>
      <c r="CD102" s="205" t="s">
        <v>236</v>
      </c>
      <c r="CE102" s="188"/>
      <c r="CF102" s="191">
        <f>SUM(CF5:CF100)/4000</f>
        <v>2.6380174999999983</v>
      </c>
      <c r="CG102" s="205" t="s">
        <v>236</v>
      </c>
      <c r="CH102" s="191">
        <f>SUM(CH5:CH100)/4000</f>
        <v>5.1332900000000006</v>
      </c>
      <c r="CI102" s="205" t="s">
        <v>236</v>
      </c>
      <c r="CJ102" s="191">
        <f>SUM(CJ5:CJ100)/4000</f>
        <v>6.8307499999999939</v>
      </c>
      <c r="CK102" s="205" t="s">
        <v>236</v>
      </c>
      <c r="CL102" s="188"/>
      <c r="CM102" s="191">
        <f>SUM(CM5:CM100)/4000</f>
        <v>0</v>
      </c>
      <c r="CN102" s="205" t="s">
        <v>236</v>
      </c>
      <c r="CO102" s="191">
        <f>SUM(CO5:CO100)/4000</f>
        <v>0</v>
      </c>
      <c r="CP102" s="205" t="s">
        <v>236</v>
      </c>
      <c r="CQ102" s="191">
        <f>SUM(CQ5:CQ100)/4000</f>
        <v>0</v>
      </c>
      <c r="CR102" s="205" t="s">
        <v>236</v>
      </c>
      <c r="CS102" s="188"/>
      <c r="CT102" s="188"/>
      <c r="CU102" s="188"/>
      <c r="CV102" s="188"/>
      <c r="CW102" s="182"/>
      <c r="CY102" s="185"/>
      <c r="CZ102" s="191">
        <f>SUM(CZ5:CZ100)/4000</f>
        <v>4.7667618472222175</v>
      </c>
      <c r="DA102" s="205" t="s">
        <v>236</v>
      </c>
      <c r="DB102" s="191">
        <f>SUM(DB5:DB100)/4000</f>
        <v>6.5564139097222238</v>
      </c>
      <c r="DC102" s="205" t="s">
        <v>236</v>
      </c>
      <c r="DD102" s="191">
        <f>SUM(DD5:DD100)/4000</f>
        <v>8.2827154999999966</v>
      </c>
      <c r="DE102" s="205" t="s">
        <v>236</v>
      </c>
      <c r="DF102" s="188"/>
      <c r="DG102" s="191">
        <f>SUM(DG5:DG100)/4000</f>
        <v>7.6909439999999982</v>
      </c>
      <c r="DH102" s="205" t="s">
        <v>236</v>
      </c>
      <c r="DI102" s="191">
        <f>SUM(DI5:DI100)/4000</f>
        <v>11.213215500000006</v>
      </c>
      <c r="DJ102" s="205" t="s">
        <v>236</v>
      </c>
      <c r="DK102" s="191">
        <f>SUM(DK5:DK100)/4000</f>
        <v>13.7369345</v>
      </c>
      <c r="DL102" s="205" t="s">
        <v>236</v>
      </c>
      <c r="DM102" s="188"/>
      <c r="DN102" s="191">
        <f>SUM(DN5:DN100)/4000</f>
        <v>16.737442333333338</v>
      </c>
      <c r="DO102" s="205" t="s">
        <v>236</v>
      </c>
      <c r="DP102" s="191">
        <f>SUM(DP5:DP100)/4000</f>
        <v>26.40458949305555</v>
      </c>
      <c r="DQ102" s="205" t="s">
        <v>236</v>
      </c>
      <c r="DR102" s="191">
        <f>SUM(DR5:DR100)/4000</f>
        <v>33.467601479166639</v>
      </c>
      <c r="DS102" s="205" t="s">
        <v>236</v>
      </c>
      <c r="DT102" s="188"/>
      <c r="DU102" s="191">
        <f>SUM(DU5:DU100)/4000</f>
        <v>0.38323248611111072</v>
      </c>
      <c r="DV102" s="205" t="s">
        <v>236</v>
      </c>
      <c r="DW102" s="191">
        <f>SUM(DW5:DW100)/4000</f>
        <v>0.35973802777777752</v>
      </c>
      <c r="DX102" s="205" t="s">
        <v>236</v>
      </c>
      <c r="DY102" s="191">
        <f>SUM(DY5:DY100)/4000</f>
        <v>0.36075381250000044</v>
      </c>
      <c r="DZ102" s="205" t="s">
        <v>236</v>
      </c>
      <c r="EA102" s="188"/>
      <c r="EB102" s="191">
        <f>SUM(EB5:EB100)/4000</f>
        <v>64.162149958333401</v>
      </c>
      <c r="EC102" s="205" t="s">
        <v>236</v>
      </c>
      <c r="ED102" s="191">
        <f>SUM(ED5:ED100)/4000</f>
        <v>123.19370002083335</v>
      </c>
      <c r="EE102" s="205" t="s">
        <v>236</v>
      </c>
      <c r="EF102" s="191">
        <f>SUM(EF5:EF100)/4000</f>
        <v>169.99034527083342</v>
      </c>
      <c r="EG102" s="205" t="s">
        <v>236</v>
      </c>
      <c r="EH102" s="188"/>
      <c r="EI102" s="191">
        <f>SUM(EI5:EI100)/4000</f>
        <v>20.869889666666662</v>
      </c>
      <c r="EJ102" s="205" t="s">
        <v>236</v>
      </c>
      <c r="EK102" s="191">
        <f>SUM(EK5:EK100)/4000</f>
        <v>33.440290652777783</v>
      </c>
      <c r="EL102" s="205" t="s">
        <v>236</v>
      </c>
      <c r="EM102" s="191">
        <f>SUM(EM5:EM100)/4000</f>
        <v>42.648482958333368</v>
      </c>
      <c r="EN102" s="205" t="s">
        <v>236</v>
      </c>
      <c r="EO102" s="188"/>
      <c r="EP102" s="188"/>
      <c r="EQ102" s="188"/>
      <c r="ER102" s="188"/>
      <c r="ES102" s="182"/>
      <c r="EU102" s="185"/>
      <c r="EV102" s="191">
        <f>SUM(EV5:EV100)/4000</f>
        <v>48.746162458333366</v>
      </c>
      <c r="EW102" s="205" t="s">
        <v>236</v>
      </c>
      <c r="EX102" s="191">
        <f>SUM(EX5:EX100)/4000</f>
        <v>62.553582520833352</v>
      </c>
      <c r="EY102" s="205" t="s">
        <v>236</v>
      </c>
      <c r="EZ102" s="306">
        <f>SUM(EZ5:EZ100)/4000</f>
        <v>73.298981937500002</v>
      </c>
      <c r="FA102" s="297" t="s">
        <v>236</v>
      </c>
    </row>
    <row r="104" spans="1:157" x14ac:dyDescent="0.3">
      <c r="B104" s="397" t="s">
        <v>237</v>
      </c>
      <c r="C104" s="397"/>
      <c r="D104" s="397"/>
      <c r="E104" s="397"/>
      <c r="G104" s="375" t="s">
        <v>220</v>
      </c>
      <c r="H104" s="375"/>
      <c r="I104" s="375"/>
      <c r="J104" s="375"/>
      <c r="K104" s="375"/>
      <c r="L104" s="375"/>
      <c r="M104" s="375"/>
      <c r="N104" s="375"/>
      <c r="O104" s="375"/>
      <c r="EJ104" s="21"/>
    </row>
    <row r="105" spans="1:157" x14ac:dyDescent="0.3">
      <c r="B105" s="229">
        <f>SUM(B6:B101)/4000</f>
        <v>0</v>
      </c>
      <c r="C105" s="229">
        <f>SUM(C6:C101)/4000</f>
        <v>6.8307499999999939</v>
      </c>
      <c r="D105" s="229">
        <f>SUM(D6:D101)/4000</f>
        <v>169.99034527083342</v>
      </c>
      <c r="E105" s="229">
        <f>SUM(E6:E101)/4000</f>
        <v>73.298981937500002</v>
      </c>
      <c r="G105" s="399" t="s">
        <v>260</v>
      </c>
      <c r="H105" s="399"/>
      <c r="I105" s="399"/>
      <c r="J105" s="399" t="s">
        <v>261</v>
      </c>
      <c r="K105" s="399"/>
      <c r="L105" s="399"/>
      <c r="M105" s="399" t="s">
        <v>262</v>
      </c>
      <c r="N105" s="399"/>
      <c r="O105" s="399"/>
      <c r="EJ105" s="263"/>
      <c r="EK105" s="234"/>
    </row>
    <row r="106" spans="1:157" ht="43.2" x14ac:dyDescent="0.3">
      <c r="G106" s="268" t="s">
        <v>264</v>
      </c>
      <c r="H106" s="269" t="s">
        <v>265</v>
      </c>
      <c r="I106" s="270" t="s">
        <v>266</v>
      </c>
      <c r="J106" s="268" t="s">
        <v>264</v>
      </c>
      <c r="K106" s="269" t="s">
        <v>265</v>
      </c>
      <c r="L106" s="270" t="s">
        <v>266</v>
      </c>
      <c r="M106" s="268" t="s">
        <v>264</v>
      </c>
      <c r="N106" s="269" t="s">
        <v>265</v>
      </c>
      <c r="O106" s="270" t="s">
        <v>266</v>
      </c>
      <c r="EJ106" s="21"/>
    </row>
    <row r="107" spans="1:157" x14ac:dyDescent="0.3">
      <c r="B107" s="398" t="s">
        <v>286</v>
      </c>
      <c r="C107" s="398"/>
      <c r="D107" s="398"/>
      <c r="E107" s="398"/>
      <c r="G107" s="271">
        <f>0.724*1932</f>
        <v>1398.768</v>
      </c>
      <c r="H107" s="271">
        <f>0.724*2861</f>
        <v>2071.364</v>
      </c>
      <c r="I107" s="271">
        <f>0.724*3636</f>
        <v>2632.4639999999999</v>
      </c>
      <c r="J107" s="271">
        <f>1.82*113.3</f>
        <v>206.20599999999999</v>
      </c>
      <c r="K107" s="271">
        <f>1.82*213.8</f>
        <v>389.11600000000004</v>
      </c>
      <c r="L107" s="271">
        <f>1.82*293.8</f>
        <v>534.71600000000001</v>
      </c>
      <c r="M107" s="271">
        <f>1.33*1972</f>
        <v>2622.76</v>
      </c>
      <c r="N107" s="271">
        <f>1.33*3018</f>
        <v>4013.94</v>
      </c>
      <c r="O107" s="271">
        <f>1.33*3928</f>
        <v>5224.2400000000007</v>
      </c>
      <c r="EJ107" s="21"/>
    </row>
    <row r="108" spans="1:157" x14ac:dyDescent="0.3">
      <c r="B108" s="229">
        <f>IF(D3=G106,G107,IF(D3=H106,H107,IF(D3=I106,I107,0)))</f>
        <v>2632.4639999999999</v>
      </c>
      <c r="C108" s="229">
        <f>IF(D3=J106,J107,IF(D3=K106,K107,IF(D3=L106,L107,0)))</f>
        <v>534.71600000000001</v>
      </c>
      <c r="D108" s="229">
        <f>IF(D3=M106,M107,IF(D3=N106,N107,IF(D3=O106,O107,0)))</f>
        <v>5224.2400000000007</v>
      </c>
      <c r="E108" s="229">
        <f>IF(D3=M106,M107,IF(D3=N106,N107,IF(D3=O106,O107,0)))</f>
        <v>5224.2400000000007</v>
      </c>
      <c r="EJ108" s="21"/>
    </row>
    <row r="109" spans="1:157" x14ac:dyDescent="0.3">
      <c r="B109" s="263"/>
      <c r="C109" s="263"/>
      <c r="D109" s="263"/>
      <c r="E109" s="263"/>
      <c r="EJ109" s="21"/>
    </row>
    <row r="110" spans="1:157" x14ac:dyDescent="0.3">
      <c r="EJ110" s="21"/>
    </row>
    <row r="111" spans="1:157" x14ac:dyDescent="0.3">
      <c r="D111" s="394" t="s">
        <v>311</v>
      </c>
      <c r="E111" s="395"/>
      <c r="EJ111" s="21"/>
    </row>
    <row r="112" spans="1:157" ht="28.8" x14ac:dyDescent="0.3">
      <c r="D112" s="310" t="s">
        <v>262</v>
      </c>
      <c r="E112" s="311" t="s">
        <v>307</v>
      </c>
      <c r="G112" s="375" t="s">
        <v>306</v>
      </c>
      <c r="H112" s="375"/>
      <c r="I112" s="375"/>
      <c r="EJ112" s="21"/>
    </row>
    <row r="113" spans="4:140" ht="43.2" x14ac:dyDescent="0.3">
      <c r="D113" s="292" t="s">
        <v>301</v>
      </c>
      <c r="E113" s="292" t="s">
        <v>301</v>
      </c>
      <c r="G113" s="268" t="s">
        <v>264</v>
      </c>
      <c r="H113" s="269" t="s">
        <v>265</v>
      </c>
      <c r="I113" s="270" t="s">
        <v>266</v>
      </c>
      <c r="EJ113" s="21"/>
    </row>
    <row r="114" spans="4:140" ht="14.4" customHeight="1" x14ac:dyDescent="0.3">
      <c r="D114" s="291">
        <f>IF(D3=G113,G115,IF(D3=H113,H115,IF(D3=I113,I115)))</f>
        <v>16000</v>
      </c>
      <c r="E114" s="291">
        <f>IF(AND(H120&gt;0,VLOOKUP(D5,'User Interface'!C91:H99,2,FALSE)=0),H120*H121,0)</f>
        <v>5400</v>
      </c>
      <c r="G114" s="376" t="s">
        <v>301</v>
      </c>
      <c r="H114" s="377"/>
      <c r="I114" s="378"/>
      <c r="EJ114" s="21"/>
    </row>
    <row r="115" spans="4:140" ht="28.8" x14ac:dyDescent="0.3">
      <c r="D115" s="292" t="s">
        <v>302</v>
      </c>
      <c r="E115" s="292" t="s">
        <v>302</v>
      </c>
      <c r="G115" s="291">
        <f>IF(EB102='HVAC Appliances Amarillo'!EB102,'HVAC Appliances Amarillo'!G115,IF(EB102='HVAC Appliances Austin'!EB102,'HVAC Appliances Austin'!G115))</f>
        <v>6900</v>
      </c>
      <c r="H115" s="291">
        <f>IF(ED102='HVAC Appliances Amarillo'!ED102,'HVAC Appliances Amarillo'!H115,IF(ED102='HVAC Appliances Austin'!ED102,'HVAC Appliances Austin'!H115))</f>
        <v>12300</v>
      </c>
      <c r="I115" s="291">
        <f>IF(EF102='HVAC Appliances Amarillo'!EF102,'HVAC Appliances Amarillo'!I115,IF(EF102='HVAC Appliances Austin'!EF102,'HVAC Appliances Austin'!I115))</f>
        <v>16000</v>
      </c>
      <c r="EJ115" s="21"/>
    </row>
    <row r="116" spans="4:140" ht="14.4" customHeight="1" x14ac:dyDescent="0.3">
      <c r="D116" s="291">
        <f>IF(D3=G113,G117,IF(D3=H113,H117,IF(D3=I113,I117)))</f>
        <v>3390</v>
      </c>
      <c r="E116" s="291">
        <f>IF(D3=G113,G117,IF(D3=H113,H117,IF(D3=I113,I117)))</f>
        <v>3390</v>
      </c>
      <c r="G116" s="376" t="s">
        <v>302</v>
      </c>
      <c r="H116" s="379"/>
      <c r="I116" s="380"/>
      <c r="EJ116" s="21"/>
    </row>
    <row r="117" spans="4:140" x14ac:dyDescent="0.3">
      <c r="G117" s="291">
        <f>IF(EB102='HVAC Appliances Amarillo'!EB102,'HVAC Appliances Amarillo'!G117,IF(EB102='HVAC Appliances Austin'!EB102,'HVAC Appliances Austin'!G117))</f>
        <v>1620</v>
      </c>
      <c r="H117" s="291">
        <f>IF(ED102='HVAC Appliances Amarillo'!ED102,'HVAC Appliances Amarillo'!H117,IF(ED102='HVAC Appliances Austin'!ED102,'HVAC Appliances Austin'!H117))</f>
        <v>2480</v>
      </c>
      <c r="I117" s="291">
        <f>IF(EF102='HVAC Appliances Amarillo'!EF102,'HVAC Appliances Amarillo'!I117,IF(EF102='HVAC Appliances Austin'!EF102,'HVAC Appliances Austin'!I117))</f>
        <v>3390</v>
      </c>
      <c r="EJ117" s="21"/>
    </row>
    <row r="118" spans="4:140" x14ac:dyDescent="0.3">
      <c r="EJ118" s="21"/>
    </row>
    <row r="119" spans="4:140" ht="28.8" customHeight="1" x14ac:dyDescent="0.3">
      <c r="G119" s="396" t="s">
        <v>312</v>
      </c>
      <c r="H119" s="396"/>
      <c r="EJ119" s="21"/>
    </row>
    <row r="120" spans="4:140" x14ac:dyDescent="0.3">
      <c r="G120" s="298" t="s">
        <v>305</v>
      </c>
      <c r="H120" s="291">
        <f>VLOOKUP("Space heater + heat pump (temperature dependent)",'User Interface'!C91:H99,2,FALSE)</f>
        <v>3</v>
      </c>
      <c r="EJ120" s="21"/>
    </row>
    <row r="121" spans="4:140" ht="43.2" x14ac:dyDescent="0.3">
      <c r="G121" s="298" t="s">
        <v>304</v>
      </c>
      <c r="H121" s="291">
        <f>VLOOKUP("Space heater + heat pump (temperature dependent)",'User Interface'!C91:H99,5,FALSE)</f>
        <v>1800</v>
      </c>
      <c r="EJ121" s="21"/>
    </row>
    <row r="122" spans="4:140" x14ac:dyDescent="0.3">
      <c r="EJ122" s="21"/>
    </row>
    <row r="123" spans="4:140" x14ac:dyDescent="0.3">
      <c r="EJ123" s="21"/>
    </row>
    <row r="124" spans="4:140" x14ac:dyDescent="0.3">
      <c r="EJ124" s="21"/>
    </row>
    <row r="125" spans="4:140" x14ac:dyDescent="0.3">
      <c r="EJ125" s="21"/>
    </row>
    <row r="126" spans="4:140" x14ac:dyDescent="0.3">
      <c r="EJ126" s="21"/>
    </row>
    <row r="127" spans="4:140" x14ac:dyDescent="0.3">
      <c r="EJ127" s="21"/>
    </row>
    <row r="128" spans="4:140" x14ac:dyDescent="0.3">
      <c r="EJ128" s="21"/>
    </row>
    <row r="129" spans="128:140" x14ac:dyDescent="0.3">
      <c r="DX129" s="284"/>
      <c r="EJ129" s="21"/>
    </row>
    <row r="130" spans="128:140" x14ac:dyDescent="0.3">
      <c r="EJ130" s="21"/>
    </row>
    <row r="131" spans="128:140" x14ac:dyDescent="0.3">
      <c r="EJ131" s="21"/>
    </row>
    <row r="132" spans="128:140" x14ac:dyDescent="0.3">
      <c r="EJ132" s="21"/>
    </row>
    <row r="133" spans="128:140" x14ac:dyDescent="0.3">
      <c r="EJ133" s="21"/>
    </row>
    <row r="134" spans="128:140" x14ac:dyDescent="0.3">
      <c r="EJ134" s="21"/>
    </row>
    <row r="135" spans="128:140" x14ac:dyDescent="0.3">
      <c r="EJ135" s="21"/>
    </row>
    <row r="136" spans="128:140" x14ac:dyDescent="0.3">
      <c r="EJ136" s="21"/>
    </row>
    <row r="137" spans="128:140" x14ac:dyDescent="0.3">
      <c r="EJ137" s="21"/>
    </row>
    <row r="138" spans="128:140" x14ac:dyDescent="0.3">
      <c r="EJ138" s="21"/>
    </row>
    <row r="139" spans="128:140" x14ac:dyDescent="0.3">
      <c r="EJ139" s="21"/>
    </row>
    <row r="140" spans="128:140" x14ac:dyDescent="0.3">
      <c r="EJ140" s="21"/>
    </row>
    <row r="141" spans="128:140" x14ac:dyDescent="0.3">
      <c r="EJ141" s="21"/>
    </row>
    <row r="142" spans="128:140" x14ac:dyDescent="0.3">
      <c r="EJ142" s="21"/>
    </row>
    <row r="143" spans="128:140" x14ac:dyDescent="0.3">
      <c r="EJ143" s="21"/>
    </row>
    <row r="144" spans="128:140" x14ac:dyDescent="0.3">
      <c r="EJ144" s="21"/>
    </row>
    <row r="145" spans="140:140" x14ac:dyDescent="0.3">
      <c r="EJ145" s="21"/>
    </row>
    <row r="146" spans="140:140" x14ac:dyDescent="0.3">
      <c r="EJ146" s="21"/>
    </row>
    <row r="147" spans="140:140" x14ac:dyDescent="0.3">
      <c r="EJ147" s="21"/>
    </row>
    <row r="148" spans="140:140" x14ac:dyDescent="0.3">
      <c r="EJ148" s="21"/>
    </row>
    <row r="149" spans="140:140" x14ac:dyDescent="0.3">
      <c r="EJ149" s="21"/>
    </row>
    <row r="150" spans="140:140" x14ac:dyDescent="0.3">
      <c r="EJ150" s="21"/>
    </row>
    <row r="151" spans="140:140" x14ac:dyDescent="0.3">
      <c r="EJ151" s="21"/>
    </row>
    <row r="152" spans="140:140" x14ac:dyDescent="0.3">
      <c r="EJ152" s="21"/>
    </row>
    <row r="153" spans="140:140" x14ac:dyDescent="0.3">
      <c r="EJ153" s="21"/>
    </row>
    <row r="154" spans="140:140" x14ac:dyDescent="0.3">
      <c r="EJ154" s="21"/>
    </row>
    <row r="155" spans="140:140" x14ac:dyDescent="0.3">
      <c r="EJ155" s="21"/>
    </row>
    <row r="156" spans="140:140" x14ac:dyDescent="0.3">
      <c r="EJ156" s="21"/>
    </row>
    <row r="157" spans="140:140" x14ac:dyDescent="0.3">
      <c r="EJ157" s="21"/>
    </row>
    <row r="158" spans="140:140" x14ac:dyDescent="0.3">
      <c r="EJ158" s="21"/>
    </row>
    <row r="159" spans="140:140" x14ac:dyDescent="0.3">
      <c r="EJ159" s="21"/>
    </row>
    <row r="160" spans="140:140" x14ac:dyDescent="0.3">
      <c r="EJ160" s="21"/>
    </row>
    <row r="161" spans="140:140" x14ac:dyDescent="0.3">
      <c r="EJ161" s="21"/>
    </row>
    <row r="162" spans="140:140" x14ac:dyDescent="0.3">
      <c r="EJ162" s="21"/>
    </row>
    <row r="163" spans="140:140" x14ac:dyDescent="0.3">
      <c r="EJ163" s="21"/>
    </row>
    <row r="164" spans="140:140" x14ac:dyDescent="0.3">
      <c r="EJ164" s="21"/>
    </row>
    <row r="165" spans="140:140" x14ac:dyDescent="0.3">
      <c r="EJ165" s="21"/>
    </row>
    <row r="166" spans="140:140" x14ac:dyDescent="0.3">
      <c r="EJ166" s="21"/>
    </row>
    <row r="167" spans="140:140" x14ac:dyDescent="0.3">
      <c r="EJ167" s="21"/>
    </row>
    <row r="168" spans="140:140" x14ac:dyDescent="0.3">
      <c r="EJ168" s="21"/>
    </row>
    <row r="169" spans="140:140" x14ac:dyDescent="0.3">
      <c r="EJ169" s="21"/>
    </row>
    <row r="170" spans="140:140" x14ac:dyDescent="0.3">
      <c r="EJ170" s="21"/>
    </row>
    <row r="171" spans="140:140" x14ac:dyDescent="0.3">
      <c r="EJ171" s="21"/>
    </row>
    <row r="172" spans="140:140" x14ac:dyDescent="0.3">
      <c r="EJ172" s="21"/>
    </row>
    <row r="173" spans="140:140" x14ac:dyDescent="0.3">
      <c r="EJ173" s="21"/>
    </row>
    <row r="174" spans="140:140" x14ac:dyDescent="0.3">
      <c r="EJ174" s="21"/>
    </row>
    <row r="175" spans="140:140" x14ac:dyDescent="0.3">
      <c r="EJ175" s="21"/>
    </row>
    <row r="176" spans="140:140" x14ac:dyDescent="0.3">
      <c r="EJ176" s="21"/>
    </row>
    <row r="177" spans="140:140" x14ac:dyDescent="0.3">
      <c r="EJ177" s="21"/>
    </row>
    <row r="178" spans="140:140" x14ac:dyDescent="0.3">
      <c r="EJ178" s="21"/>
    </row>
    <row r="179" spans="140:140" x14ac:dyDescent="0.3">
      <c r="EJ179" s="21"/>
    </row>
    <row r="180" spans="140:140" x14ac:dyDescent="0.3">
      <c r="EJ180" s="21"/>
    </row>
    <row r="181" spans="140:140" x14ac:dyDescent="0.3">
      <c r="EJ181" s="21"/>
    </row>
    <row r="182" spans="140:140" x14ac:dyDescent="0.3">
      <c r="EJ182" s="21"/>
    </row>
    <row r="183" spans="140:140" x14ac:dyDescent="0.3">
      <c r="EJ183" s="21"/>
    </row>
    <row r="184" spans="140:140" x14ac:dyDescent="0.3">
      <c r="EJ184" s="21"/>
    </row>
    <row r="185" spans="140:140" x14ac:dyDescent="0.3">
      <c r="EJ185" s="21"/>
    </row>
    <row r="186" spans="140:140" x14ac:dyDescent="0.3">
      <c r="EJ186" s="21"/>
    </row>
    <row r="187" spans="140:140" x14ac:dyDescent="0.3">
      <c r="EJ187" s="21"/>
    </row>
    <row r="188" spans="140:140" x14ac:dyDescent="0.3">
      <c r="EJ188" s="21"/>
    </row>
    <row r="189" spans="140:140" x14ac:dyDescent="0.3">
      <c r="EJ189" s="21"/>
    </row>
    <row r="190" spans="140:140" x14ac:dyDescent="0.3">
      <c r="EJ190" s="21"/>
    </row>
    <row r="191" spans="140:140" x14ac:dyDescent="0.3">
      <c r="EJ191" s="21"/>
    </row>
    <row r="192" spans="140:140" x14ac:dyDescent="0.3">
      <c r="EJ192" s="21"/>
    </row>
    <row r="193" spans="131:140" x14ac:dyDescent="0.3">
      <c r="EJ193" s="21"/>
    </row>
    <row r="194" spans="131:140" x14ac:dyDescent="0.3">
      <c r="EJ194" s="21"/>
    </row>
    <row r="195" spans="131:140" x14ac:dyDescent="0.3">
      <c r="EJ195" s="21"/>
    </row>
    <row r="196" spans="131:140" x14ac:dyDescent="0.3">
      <c r="EJ196" s="21"/>
    </row>
    <row r="197" spans="131:140" x14ac:dyDescent="0.3">
      <c r="EJ197" s="21"/>
    </row>
    <row r="198" spans="131:140" x14ac:dyDescent="0.3">
      <c r="EJ198" s="21"/>
    </row>
    <row r="199" spans="131:140" x14ac:dyDescent="0.3">
      <c r="EJ199" s="21"/>
    </row>
    <row r="200" spans="131:140" x14ac:dyDescent="0.3">
      <c r="EJ200" s="21"/>
    </row>
    <row r="201" spans="131:140" x14ac:dyDescent="0.3">
      <c r="EJ201" s="21"/>
    </row>
    <row r="202" spans="131:140" x14ac:dyDescent="0.3">
      <c r="EJ202" s="21"/>
    </row>
    <row r="203" spans="131:140" x14ac:dyDescent="0.3">
      <c r="EJ203" s="21"/>
    </row>
    <row r="204" spans="131:140" x14ac:dyDescent="0.3">
      <c r="EJ204" s="21"/>
    </row>
    <row r="205" spans="131:140" x14ac:dyDescent="0.3">
      <c r="EJ205" s="21"/>
    </row>
    <row r="206" spans="131:140" x14ac:dyDescent="0.3">
      <c r="EJ206" s="21"/>
    </row>
    <row r="207" spans="131:140" x14ac:dyDescent="0.3">
      <c r="EJ207" s="21"/>
    </row>
    <row r="208" spans="131:140" x14ac:dyDescent="0.3"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</row>
  </sheetData>
  <mergeCells count="40">
    <mergeCell ref="EU1:EZ1"/>
    <mergeCell ref="EU2:EZ2"/>
    <mergeCell ref="D111:E111"/>
    <mergeCell ref="G119:H119"/>
    <mergeCell ref="B104:E104"/>
    <mergeCell ref="B107:E107"/>
    <mergeCell ref="G105:I105"/>
    <mergeCell ref="J105:L105"/>
    <mergeCell ref="M105:O105"/>
    <mergeCell ref="G104:O104"/>
    <mergeCell ref="BC1:CW1"/>
    <mergeCell ref="G1:BA1"/>
    <mergeCell ref="DF2:DK2"/>
    <mergeCell ref="DM2:DR2"/>
    <mergeCell ref="DT2:DY2"/>
    <mergeCell ref="BX2:CC2"/>
    <mergeCell ref="CY1:ES1"/>
    <mergeCell ref="BJ2:BO2"/>
    <mergeCell ref="AI2:AN2"/>
    <mergeCell ref="AZ3:BA3"/>
    <mergeCell ref="BC2:BH2"/>
    <mergeCell ref="ER3:ES3"/>
    <mergeCell ref="EO3:EP3"/>
    <mergeCell ref="CS3:CT3"/>
    <mergeCell ref="CV3:CW3"/>
    <mergeCell ref="BQ2:BV2"/>
    <mergeCell ref="EA2:EF2"/>
    <mergeCell ref="EH2:EM2"/>
    <mergeCell ref="CE2:CJ2"/>
    <mergeCell ref="CL2:CQ2"/>
    <mergeCell ref="CY2:DD2"/>
    <mergeCell ref="G112:I112"/>
    <mergeCell ref="G114:I114"/>
    <mergeCell ref="G116:I116"/>
    <mergeCell ref="AP2:AU2"/>
    <mergeCell ref="AW3:AX3"/>
    <mergeCell ref="G2:L2"/>
    <mergeCell ref="N2:S2"/>
    <mergeCell ref="U2:Z2"/>
    <mergeCell ref="AB2:AG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DEA7D-9AFB-45DB-A872-111EB10B73D2}">
  <sheetPr codeName="Sheet9"/>
  <dimension ref="A1:FA206"/>
  <sheetViews>
    <sheetView zoomScale="80" zoomScaleNormal="80" workbookViewId="0"/>
  </sheetViews>
  <sheetFormatPr defaultRowHeight="14.4" x14ac:dyDescent="0.3"/>
  <cols>
    <col min="2" max="3" width="23.77734375" customWidth="1"/>
    <col min="4" max="4" width="27.44140625" bestFit="1" customWidth="1"/>
    <col min="5" max="5" width="27.44140625" customWidth="1"/>
    <col min="7" max="12" width="13.77734375" customWidth="1"/>
    <col min="13" max="13" width="9.77734375" customWidth="1"/>
    <col min="14" max="19" width="13.77734375" customWidth="1"/>
    <col min="21" max="26" width="13.77734375" customWidth="1"/>
    <col min="28" max="33" width="13.77734375" customWidth="1"/>
    <col min="35" max="40" width="13.77734375" customWidth="1"/>
    <col min="42" max="47" width="13.77734375" customWidth="1"/>
    <col min="50" max="50" width="13.5546875" bestFit="1" customWidth="1"/>
    <col min="53" max="53" width="13.5546875" bestFit="1" customWidth="1"/>
    <col min="55" max="60" width="13.77734375" customWidth="1"/>
    <col min="62" max="67" width="13.77734375" customWidth="1"/>
    <col min="69" max="74" width="13.77734375" customWidth="1"/>
    <col min="76" max="81" width="13.77734375" customWidth="1"/>
    <col min="83" max="88" width="13.77734375" customWidth="1"/>
    <col min="90" max="95" width="13.77734375" customWidth="1"/>
    <col min="98" max="98" width="13.5546875" bestFit="1" customWidth="1"/>
    <col min="101" max="101" width="13.5546875" bestFit="1" customWidth="1"/>
    <col min="103" max="108" width="13.77734375" customWidth="1"/>
    <col min="110" max="115" width="13.77734375" customWidth="1"/>
    <col min="117" max="122" width="13.77734375" customWidth="1"/>
    <col min="124" max="129" width="13.77734375" customWidth="1"/>
    <col min="131" max="136" width="13.77734375" customWidth="1"/>
    <col min="138" max="143" width="13.77734375" customWidth="1"/>
    <col min="146" max="146" width="13.5546875" bestFit="1" customWidth="1"/>
    <col min="149" max="149" width="13.5546875" bestFit="1" customWidth="1"/>
    <col min="151" max="151" width="14.109375" customWidth="1"/>
    <col min="152" max="152" width="13.5546875" bestFit="1" customWidth="1"/>
    <col min="153" max="153" width="15.77734375" customWidth="1"/>
    <col min="154" max="154" width="13.5546875" bestFit="1" customWidth="1"/>
    <col min="155" max="155" width="14.44140625" customWidth="1"/>
    <col min="156" max="156" width="13.5546875" bestFit="1" customWidth="1"/>
  </cols>
  <sheetData>
    <row r="1" spans="1:156" ht="15" thickBot="1" x14ac:dyDescent="0.35">
      <c r="G1" s="385" t="s">
        <v>260</v>
      </c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7"/>
      <c r="BC1" s="385" t="s">
        <v>261</v>
      </c>
      <c r="BD1" s="386"/>
      <c r="BE1" s="386"/>
      <c r="BF1" s="386"/>
      <c r="BG1" s="386"/>
      <c r="BH1" s="386"/>
      <c r="BI1" s="386"/>
      <c r="BJ1" s="386"/>
      <c r="BK1" s="386"/>
      <c r="BL1" s="386"/>
      <c r="BM1" s="386"/>
      <c r="BN1" s="386"/>
      <c r="BO1" s="386"/>
      <c r="BP1" s="386"/>
      <c r="BQ1" s="386"/>
      <c r="BR1" s="386"/>
      <c r="BS1" s="386"/>
      <c r="BT1" s="386"/>
      <c r="BU1" s="386"/>
      <c r="BV1" s="386"/>
      <c r="BW1" s="386"/>
      <c r="BX1" s="386"/>
      <c r="BY1" s="386"/>
      <c r="BZ1" s="386"/>
      <c r="CA1" s="386"/>
      <c r="CB1" s="386"/>
      <c r="CC1" s="386"/>
      <c r="CD1" s="386"/>
      <c r="CE1" s="386"/>
      <c r="CF1" s="386"/>
      <c r="CG1" s="386"/>
      <c r="CH1" s="386"/>
      <c r="CI1" s="386"/>
      <c r="CJ1" s="386"/>
      <c r="CK1" s="386"/>
      <c r="CL1" s="386"/>
      <c r="CM1" s="386"/>
      <c r="CN1" s="386"/>
      <c r="CO1" s="386"/>
      <c r="CP1" s="386"/>
      <c r="CQ1" s="386"/>
      <c r="CR1" s="386"/>
      <c r="CS1" s="386"/>
      <c r="CT1" s="386"/>
      <c r="CU1" s="386"/>
      <c r="CV1" s="386"/>
      <c r="CW1" s="387"/>
      <c r="CY1" s="385" t="s">
        <v>262</v>
      </c>
      <c r="CZ1" s="386"/>
      <c r="DA1" s="386"/>
      <c r="DB1" s="386"/>
      <c r="DC1" s="386"/>
      <c r="DD1" s="386"/>
      <c r="DE1" s="386"/>
      <c r="DF1" s="386"/>
      <c r="DG1" s="386"/>
      <c r="DH1" s="386"/>
      <c r="DI1" s="386"/>
      <c r="DJ1" s="386"/>
      <c r="DK1" s="386"/>
      <c r="DL1" s="386"/>
      <c r="DM1" s="386"/>
      <c r="DN1" s="386"/>
      <c r="DO1" s="386"/>
      <c r="DP1" s="386"/>
      <c r="DQ1" s="386"/>
      <c r="DR1" s="386"/>
      <c r="DS1" s="386"/>
      <c r="DT1" s="386"/>
      <c r="DU1" s="386"/>
      <c r="DV1" s="386"/>
      <c r="DW1" s="386"/>
      <c r="DX1" s="386"/>
      <c r="DY1" s="386"/>
      <c r="DZ1" s="386"/>
      <c r="EA1" s="386"/>
      <c r="EB1" s="386"/>
      <c r="EC1" s="386"/>
      <c r="ED1" s="386"/>
      <c r="EE1" s="386"/>
      <c r="EF1" s="386"/>
      <c r="EG1" s="386"/>
      <c r="EH1" s="386"/>
      <c r="EI1" s="386"/>
      <c r="EJ1" s="386"/>
      <c r="EK1" s="386"/>
      <c r="EL1" s="386"/>
      <c r="EM1" s="386"/>
      <c r="EN1" s="386"/>
      <c r="EO1" s="386"/>
      <c r="EP1" s="386"/>
      <c r="EQ1" s="386"/>
      <c r="ER1" s="386"/>
      <c r="ES1" s="387"/>
      <c r="EU1" s="390" t="s">
        <v>307</v>
      </c>
      <c r="EV1" s="391"/>
      <c r="EW1" s="391"/>
      <c r="EX1" s="391"/>
      <c r="EY1" s="391"/>
      <c r="EZ1" s="392"/>
    </row>
    <row r="2" spans="1:156" x14ac:dyDescent="0.3">
      <c r="B2" s="222" t="s">
        <v>269</v>
      </c>
      <c r="D2" s="222" t="s">
        <v>7</v>
      </c>
      <c r="E2" s="21"/>
      <c r="G2" s="384" t="s">
        <v>152</v>
      </c>
      <c r="H2" s="382"/>
      <c r="I2" s="382"/>
      <c r="J2" s="382"/>
      <c r="K2" s="382"/>
      <c r="L2" s="383"/>
      <c r="M2" s="21"/>
      <c r="N2" s="381" t="s">
        <v>153</v>
      </c>
      <c r="O2" s="382"/>
      <c r="P2" s="382"/>
      <c r="Q2" s="382"/>
      <c r="R2" s="382"/>
      <c r="S2" s="383"/>
      <c r="T2" s="21"/>
      <c r="U2" s="381" t="s">
        <v>154</v>
      </c>
      <c r="V2" s="382"/>
      <c r="W2" s="382"/>
      <c r="X2" s="382"/>
      <c r="Y2" s="382"/>
      <c r="Z2" s="383"/>
      <c r="AA2" s="21"/>
      <c r="AB2" s="381" t="s">
        <v>155</v>
      </c>
      <c r="AC2" s="382"/>
      <c r="AD2" s="382"/>
      <c r="AE2" s="382"/>
      <c r="AF2" s="382"/>
      <c r="AG2" s="383"/>
      <c r="AH2" s="21"/>
      <c r="AI2" s="381" t="s">
        <v>156</v>
      </c>
      <c r="AJ2" s="382"/>
      <c r="AK2" s="382"/>
      <c r="AL2" s="382"/>
      <c r="AM2" s="382"/>
      <c r="AN2" s="383"/>
      <c r="AO2" s="187"/>
      <c r="AP2" s="381" t="s">
        <v>157</v>
      </c>
      <c r="AQ2" s="382"/>
      <c r="AR2" s="382"/>
      <c r="AS2" s="382"/>
      <c r="AT2" s="382"/>
      <c r="AU2" s="383"/>
      <c r="AV2" s="21"/>
      <c r="AW2" s="21"/>
      <c r="AX2" s="21"/>
      <c r="AY2" s="21"/>
      <c r="AZ2" s="21"/>
      <c r="BA2" s="181"/>
      <c r="BC2" s="384" t="s">
        <v>152</v>
      </c>
      <c r="BD2" s="382"/>
      <c r="BE2" s="382"/>
      <c r="BF2" s="382"/>
      <c r="BG2" s="382"/>
      <c r="BH2" s="383"/>
      <c r="BI2" s="21"/>
      <c r="BJ2" s="381" t="s">
        <v>153</v>
      </c>
      <c r="BK2" s="382"/>
      <c r="BL2" s="382"/>
      <c r="BM2" s="382"/>
      <c r="BN2" s="382"/>
      <c r="BO2" s="383"/>
      <c r="BP2" s="21"/>
      <c r="BQ2" s="381" t="s">
        <v>154</v>
      </c>
      <c r="BR2" s="382"/>
      <c r="BS2" s="382"/>
      <c r="BT2" s="382"/>
      <c r="BU2" s="382"/>
      <c r="BV2" s="383"/>
      <c r="BW2" s="21"/>
      <c r="BX2" s="381" t="s">
        <v>155</v>
      </c>
      <c r="BY2" s="382"/>
      <c r="BZ2" s="382"/>
      <c r="CA2" s="382"/>
      <c r="CB2" s="382"/>
      <c r="CC2" s="383"/>
      <c r="CD2" s="21"/>
      <c r="CE2" s="381" t="s">
        <v>156</v>
      </c>
      <c r="CF2" s="382"/>
      <c r="CG2" s="382"/>
      <c r="CH2" s="382"/>
      <c r="CI2" s="382"/>
      <c r="CJ2" s="383"/>
      <c r="CK2" s="187"/>
      <c r="CL2" s="381" t="s">
        <v>157</v>
      </c>
      <c r="CM2" s="382"/>
      <c r="CN2" s="382"/>
      <c r="CO2" s="382"/>
      <c r="CP2" s="382"/>
      <c r="CQ2" s="383"/>
      <c r="CR2" s="21"/>
      <c r="CS2" s="21"/>
      <c r="CT2" s="21"/>
      <c r="CU2" s="21"/>
      <c r="CV2" s="21"/>
      <c r="CW2" s="181"/>
      <c r="CY2" s="389" t="s">
        <v>152</v>
      </c>
      <c r="CZ2" s="382"/>
      <c r="DA2" s="382"/>
      <c r="DB2" s="382"/>
      <c r="DC2" s="382"/>
      <c r="DD2" s="383"/>
      <c r="DE2" s="21"/>
      <c r="DF2" s="381" t="s">
        <v>153</v>
      </c>
      <c r="DG2" s="382"/>
      <c r="DH2" s="382"/>
      <c r="DI2" s="382"/>
      <c r="DJ2" s="382"/>
      <c r="DK2" s="383"/>
      <c r="DL2" s="21"/>
      <c r="DM2" s="381" t="s">
        <v>154</v>
      </c>
      <c r="DN2" s="382"/>
      <c r="DO2" s="382"/>
      <c r="DP2" s="382"/>
      <c r="DQ2" s="382"/>
      <c r="DR2" s="383"/>
      <c r="DS2" s="21"/>
      <c r="DT2" s="381" t="s">
        <v>155</v>
      </c>
      <c r="DU2" s="382"/>
      <c r="DV2" s="382"/>
      <c r="DW2" s="382"/>
      <c r="DX2" s="382"/>
      <c r="DY2" s="383"/>
      <c r="DZ2" s="21"/>
      <c r="EA2" s="381" t="s">
        <v>156</v>
      </c>
      <c r="EB2" s="382"/>
      <c r="EC2" s="382"/>
      <c r="ED2" s="382"/>
      <c r="EE2" s="382"/>
      <c r="EF2" s="383"/>
      <c r="EG2" s="187"/>
      <c r="EH2" s="381" t="s">
        <v>157</v>
      </c>
      <c r="EI2" s="382"/>
      <c r="EJ2" s="382"/>
      <c r="EK2" s="382"/>
      <c r="EL2" s="382"/>
      <c r="EM2" s="383"/>
      <c r="EN2" s="21"/>
      <c r="EO2" s="21"/>
      <c r="EP2" s="21"/>
      <c r="EQ2" s="21"/>
      <c r="ER2" s="21"/>
      <c r="ES2" s="181"/>
      <c r="EU2" s="384" t="s">
        <v>156</v>
      </c>
      <c r="EV2" s="382"/>
      <c r="EW2" s="382"/>
      <c r="EX2" s="382"/>
      <c r="EY2" s="382"/>
      <c r="EZ2" s="393"/>
    </row>
    <row r="3" spans="1:156" x14ac:dyDescent="0.3">
      <c r="B3" s="221" t="str">
        <f>'User Interface'!C8</f>
        <v>Extreme Winter</v>
      </c>
      <c r="D3" s="221" t="str">
        <f>'User Interface'!G8</f>
        <v>Large - 279 sq m (3000 sq ft)</v>
      </c>
      <c r="E3" s="21"/>
      <c r="G3" s="267" t="s">
        <v>264</v>
      </c>
      <c r="H3" s="136"/>
      <c r="I3" s="216" t="s">
        <v>265</v>
      </c>
      <c r="J3" s="136"/>
      <c r="K3" s="238" t="s">
        <v>266</v>
      </c>
      <c r="L3" s="136"/>
      <c r="M3" s="21"/>
      <c r="N3" s="266" t="s">
        <v>264</v>
      </c>
      <c r="O3" s="136"/>
      <c r="P3" s="216" t="s">
        <v>265</v>
      </c>
      <c r="Q3" s="136"/>
      <c r="R3" s="238" t="s">
        <v>266</v>
      </c>
      <c r="S3" s="136"/>
      <c r="T3" s="21"/>
      <c r="U3" s="266" t="s">
        <v>264</v>
      </c>
      <c r="V3" s="136"/>
      <c r="W3" s="216" t="s">
        <v>265</v>
      </c>
      <c r="X3" s="136"/>
      <c r="Y3" s="238" t="s">
        <v>266</v>
      </c>
      <c r="Z3" s="136"/>
      <c r="AA3" s="21"/>
      <c r="AB3" s="266" t="s">
        <v>264</v>
      </c>
      <c r="AC3" s="136"/>
      <c r="AD3" s="216" t="s">
        <v>265</v>
      </c>
      <c r="AE3" s="136"/>
      <c r="AF3" s="238" t="s">
        <v>266</v>
      </c>
      <c r="AG3" s="136"/>
      <c r="AH3" s="21"/>
      <c r="AI3" s="266" t="s">
        <v>264</v>
      </c>
      <c r="AJ3" s="136"/>
      <c r="AK3" s="216" t="s">
        <v>265</v>
      </c>
      <c r="AL3" s="136"/>
      <c r="AM3" s="238" t="s">
        <v>266</v>
      </c>
      <c r="AN3" s="136"/>
      <c r="AO3" s="21"/>
      <c r="AP3" s="266" t="s">
        <v>264</v>
      </c>
      <c r="AQ3" s="136"/>
      <c r="AR3" s="216" t="s">
        <v>265</v>
      </c>
      <c r="AS3" s="136"/>
      <c r="AT3" s="238" t="s">
        <v>266</v>
      </c>
      <c r="AU3" s="136"/>
      <c r="AV3" s="21"/>
      <c r="AW3" s="373" t="s">
        <v>219</v>
      </c>
      <c r="AX3" s="374"/>
      <c r="AY3" s="21"/>
      <c r="AZ3" s="373" t="s">
        <v>218</v>
      </c>
      <c r="BA3" s="388"/>
      <c r="BC3" s="267" t="s">
        <v>264</v>
      </c>
      <c r="BD3" s="136"/>
      <c r="BE3" s="216" t="s">
        <v>265</v>
      </c>
      <c r="BF3" s="136"/>
      <c r="BG3" s="238" t="s">
        <v>266</v>
      </c>
      <c r="BH3" s="136"/>
      <c r="BI3" s="21"/>
      <c r="BJ3" s="266" t="s">
        <v>264</v>
      </c>
      <c r="BK3" s="136"/>
      <c r="BL3" s="216" t="s">
        <v>265</v>
      </c>
      <c r="BM3" s="136"/>
      <c r="BN3" s="238" t="s">
        <v>266</v>
      </c>
      <c r="BO3" s="136"/>
      <c r="BP3" s="21"/>
      <c r="BQ3" s="266" t="s">
        <v>264</v>
      </c>
      <c r="BR3" s="136"/>
      <c r="BS3" s="216" t="s">
        <v>265</v>
      </c>
      <c r="BT3" s="136"/>
      <c r="BU3" s="238" t="s">
        <v>266</v>
      </c>
      <c r="BV3" s="136"/>
      <c r="BW3" s="21"/>
      <c r="BX3" s="266" t="s">
        <v>264</v>
      </c>
      <c r="BY3" s="136"/>
      <c r="BZ3" s="216" t="s">
        <v>265</v>
      </c>
      <c r="CA3" s="136"/>
      <c r="CB3" s="238" t="s">
        <v>266</v>
      </c>
      <c r="CC3" s="136"/>
      <c r="CD3" s="21"/>
      <c r="CE3" s="266" t="s">
        <v>264</v>
      </c>
      <c r="CF3" s="136"/>
      <c r="CG3" s="216" t="s">
        <v>265</v>
      </c>
      <c r="CH3" s="136"/>
      <c r="CI3" s="238" t="s">
        <v>266</v>
      </c>
      <c r="CJ3" s="136"/>
      <c r="CK3" s="21"/>
      <c r="CL3" s="266" t="s">
        <v>264</v>
      </c>
      <c r="CM3" s="136"/>
      <c r="CN3" s="216" t="s">
        <v>265</v>
      </c>
      <c r="CO3" s="136"/>
      <c r="CP3" s="238" t="s">
        <v>266</v>
      </c>
      <c r="CQ3" s="136"/>
      <c r="CR3" s="21"/>
      <c r="CS3" s="373" t="s">
        <v>219</v>
      </c>
      <c r="CT3" s="374"/>
      <c r="CU3" s="21"/>
      <c r="CV3" s="373" t="s">
        <v>218</v>
      </c>
      <c r="CW3" s="388"/>
      <c r="CY3" s="267" t="s">
        <v>264</v>
      </c>
      <c r="CZ3" s="136"/>
      <c r="DA3" s="216" t="s">
        <v>265</v>
      </c>
      <c r="DB3" s="136"/>
      <c r="DC3" s="238" t="s">
        <v>266</v>
      </c>
      <c r="DD3" s="136"/>
      <c r="DE3" s="21"/>
      <c r="DF3" s="266" t="s">
        <v>264</v>
      </c>
      <c r="DG3" s="136"/>
      <c r="DH3" s="216" t="s">
        <v>265</v>
      </c>
      <c r="DI3" s="136"/>
      <c r="DJ3" s="238" t="s">
        <v>266</v>
      </c>
      <c r="DK3" s="136"/>
      <c r="DL3" s="21"/>
      <c r="DM3" s="266" t="s">
        <v>264</v>
      </c>
      <c r="DN3" s="136"/>
      <c r="DO3" s="216" t="s">
        <v>265</v>
      </c>
      <c r="DP3" s="136"/>
      <c r="DQ3" s="238" t="s">
        <v>266</v>
      </c>
      <c r="DR3" s="136"/>
      <c r="DS3" s="21"/>
      <c r="DT3" s="266" t="s">
        <v>264</v>
      </c>
      <c r="DU3" s="136"/>
      <c r="DV3" s="216" t="s">
        <v>265</v>
      </c>
      <c r="DW3" s="136"/>
      <c r="DX3" s="238" t="s">
        <v>266</v>
      </c>
      <c r="DY3" s="136"/>
      <c r="DZ3" s="21"/>
      <c r="EA3" s="266" t="s">
        <v>264</v>
      </c>
      <c r="EB3" s="136"/>
      <c r="EC3" s="216" t="s">
        <v>265</v>
      </c>
      <c r="ED3" s="136"/>
      <c r="EE3" s="238" t="s">
        <v>266</v>
      </c>
      <c r="EF3" s="136"/>
      <c r="EG3" s="21"/>
      <c r="EH3" s="266" t="s">
        <v>264</v>
      </c>
      <c r="EI3" s="136"/>
      <c r="EJ3" s="216" t="s">
        <v>265</v>
      </c>
      <c r="EK3" s="136"/>
      <c r="EL3" s="238" t="s">
        <v>266</v>
      </c>
      <c r="EM3" s="136"/>
      <c r="EN3" s="21"/>
      <c r="EO3" s="373" t="s">
        <v>219</v>
      </c>
      <c r="EP3" s="374"/>
      <c r="EQ3" s="21"/>
      <c r="ER3" s="373" t="s">
        <v>218</v>
      </c>
      <c r="ES3" s="388"/>
      <c r="EU3" s="302" t="s">
        <v>264</v>
      </c>
      <c r="EV3" s="136"/>
      <c r="EW3" s="216" t="s">
        <v>265</v>
      </c>
      <c r="EX3" s="136"/>
      <c r="EY3" s="238" t="s">
        <v>266</v>
      </c>
      <c r="EZ3" s="303"/>
    </row>
    <row r="4" spans="1:156" x14ac:dyDescent="0.3">
      <c r="G4" s="190" t="s">
        <v>217</v>
      </c>
      <c r="H4" s="206" t="s">
        <v>9</v>
      </c>
      <c r="I4" s="203" t="s">
        <v>217</v>
      </c>
      <c r="J4" s="204" t="s">
        <v>9</v>
      </c>
      <c r="K4" s="203" t="s">
        <v>217</v>
      </c>
      <c r="L4" s="206" t="s">
        <v>9</v>
      </c>
      <c r="M4" s="21"/>
      <c r="N4" s="203" t="s">
        <v>217</v>
      </c>
      <c r="O4" s="206" t="s">
        <v>9</v>
      </c>
      <c r="P4" s="203" t="s">
        <v>217</v>
      </c>
      <c r="Q4" s="204" t="s">
        <v>9</v>
      </c>
      <c r="R4" s="203" t="s">
        <v>217</v>
      </c>
      <c r="S4" s="206" t="s">
        <v>9</v>
      </c>
      <c r="T4" s="21"/>
      <c r="U4" s="203" t="s">
        <v>217</v>
      </c>
      <c r="V4" s="206" t="s">
        <v>9</v>
      </c>
      <c r="W4" s="203" t="s">
        <v>217</v>
      </c>
      <c r="X4" s="204" t="s">
        <v>9</v>
      </c>
      <c r="Y4" s="203" t="s">
        <v>217</v>
      </c>
      <c r="Z4" s="206" t="s">
        <v>9</v>
      </c>
      <c r="AA4" s="21"/>
      <c r="AB4" s="203" t="s">
        <v>217</v>
      </c>
      <c r="AC4" s="206" t="s">
        <v>9</v>
      </c>
      <c r="AD4" s="203" t="s">
        <v>217</v>
      </c>
      <c r="AE4" s="204" t="s">
        <v>9</v>
      </c>
      <c r="AF4" s="203" t="s">
        <v>217</v>
      </c>
      <c r="AG4" s="206" t="s">
        <v>9</v>
      </c>
      <c r="AH4" s="21"/>
      <c r="AI4" s="203" t="s">
        <v>217</v>
      </c>
      <c r="AJ4" s="206" t="s">
        <v>9</v>
      </c>
      <c r="AK4" s="203" t="s">
        <v>217</v>
      </c>
      <c r="AL4" s="204" t="s">
        <v>9</v>
      </c>
      <c r="AM4" s="203" t="s">
        <v>217</v>
      </c>
      <c r="AN4" s="206" t="s">
        <v>9</v>
      </c>
      <c r="AO4" s="21"/>
      <c r="AP4" s="203" t="s">
        <v>217</v>
      </c>
      <c r="AQ4" s="206" t="s">
        <v>9</v>
      </c>
      <c r="AR4" s="203" t="s">
        <v>217</v>
      </c>
      <c r="AS4" s="206" t="s">
        <v>9</v>
      </c>
      <c r="AT4" s="203" t="s">
        <v>217</v>
      </c>
      <c r="AU4" s="206" t="s">
        <v>9</v>
      </c>
      <c r="AV4" s="21"/>
      <c r="AW4" s="203" t="s">
        <v>217</v>
      </c>
      <c r="AX4" s="20" t="s">
        <v>9</v>
      </c>
      <c r="AY4" s="21"/>
      <c r="AZ4" s="203" t="s">
        <v>217</v>
      </c>
      <c r="BA4" s="181" t="s">
        <v>9</v>
      </c>
      <c r="BC4" s="190" t="s">
        <v>217</v>
      </c>
      <c r="BD4" s="206" t="s">
        <v>9</v>
      </c>
      <c r="BE4" s="203" t="s">
        <v>217</v>
      </c>
      <c r="BF4" s="204" t="s">
        <v>9</v>
      </c>
      <c r="BG4" s="203" t="s">
        <v>217</v>
      </c>
      <c r="BH4" s="206" t="s">
        <v>9</v>
      </c>
      <c r="BI4" s="21"/>
      <c r="BJ4" s="203" t="s">
        <v>217</v>
      </c>
      <c r="BK4" s="206" t="s">
        <v>9</v>
      </c>
      <c r="BL4" s="203" t="s">
        <v>217</v>
      </c>
      <c r="BM4" s="204" t="s">
        <v>9</v>
      </c>
      <c r="BN4" s="203" t="s">
        <v>217</v>
      </c>
      <c r="BO4" s="206" t="s">
        <v>9</v>
      </c>
      <c r="BP4" s="21"/>
      <c r="BQ4" s="203" t="s">
        <v>217</v>
      </c>
      <c r="BR4" s="206" t="s">
        <v>9</v>
      </c>
      <c r="BS4" s="203" t="s">
        <v>217</v>
      </c>
      <c r="BT4" s="204" t="s">
        <v>9</v>
      </c>
      <c r="BU4" s="203" t="s">
        <v>217</v>
      </c>
      <c r="BV4" s="206" t="s">
        <v>9</v>
      </c>
      <c r="BW4" s="21"/>
      <c r="BX4" s="203" t="s">
        <v>217</v>
      </c>
      <c r="BY4" s="206" t="s">
        <v>9</v>
      </c>
      <c r="BZ4" s="203" t="s">
        <v>217</v>
      </c>
      <c r="CA4" s="204" t="s">
        <v>9</v>
      </c>
      <c r="CB4" s="203" t="s">
        <v>217</v>
      </c>
      <c r="CC4" s="206" t="s">
        <v>9</v>
      </c>
      <c r="CD4" s="21"/>
      <c r="CE4" s="203" t="s">
        <v>217</v>
      </c>
      <c r="CF4" s="206" t="s">
        <v>9</v>
      </c>
      <c r="CG4" s="203" t="s">
        <v>217</v>
      </c>
      <c r="CH4" s="204" t="s">
        <v>9</v>
      </c>
      <c r="CI4" s="203" t="s">
        <v>217</v>
      </c>
      <c r="CJ4" s="206" t="s">
        <v>9</v>
      </c>
      <c r="CK4" s="21"/>
      <c r="CL4" s="203" t="s">
        <v>217</v>
      </c>
      <c r="CM4" s="206" t="s">
        <v>9</v>
      </c>
      <c r="CN4" s="203" t="s">
        <v>217</v>
      </c>
      <c r="CO4" s="206" t="s">
        <v>9</v>
      </c>
      <c r="CP4" s="203" t="s">
        <v>217</v>
      </c>
      <c r="CQ4" s="206" t="s">
        <v>9</v>
      </c>
      <c r="CR4" s="21"/>
      <c r="CS4" s="203" t="s">
        <v>217</v>
      </c>
      <c r="CT4" s="20" t="s">
        <v>9</v>
      </c>
      <c r="CU4" s="21"/>
      <c r="CV4" s="203" t="s">
        <v>217</v>
      </c>
      <c r="CW4" s="181" t="s">
        <v>9</v>
      </c>
      <c r="CY4" s="190" t="s">
        <v>217</v>
      </c>
      <c r="CZ4" s="206" t="s">
        <v>9</v>
      </c>
      <c r="DA4" s="203" t="s">
        <v>217</v>
      </c>
      <c r="DB4" s="204" t="s">
        <v>9</v>
      </c>
      <c r="DC4" s="203" t="s">
        <v>217</v>
      </c>
      <c r="DD4" s="206" t="s">
        <v>9</v>
      </c>
      <c r="DE4" s="21"/>
      <c r="DF4" s="203" t="s">
        <v>217</v>
      </c>
      <c r="DG4" s="206" t="s">
        <v>9</v>
      </c>
      <c r="DH4" s="203" t="s">
        <v>217</v>
      </c>
      <c r="DI4" s="204" t="s">
        <v>9</v>
      </c>
      <c r="DJ4" s="203" t="s">
        <v>217</v>
      </c>
      <c r="DK4" s="206" t="s">
        <v>9</v>
      </c>
      <c r="DL4" s="21"/>
      <c r="DM4" s="203" t="s">
        <v>217</v>
      </c>
      <c r="DN4" s="206" t="s">
        <v>9</v>
      </c>
      <c r="DO4" s="203" t="s">
        <v>217</v>
      </c>
      <c r="DP4" s="204" t="s">
        <v>9</v>
      </c>
      <c r="DQ4" s="203" t="s">
        <v>217</v>
      </c>
      <c r="DR4" s="206" t="s">
        <v>9</v>
      </c>
      <c r="DS4" s="21"/>
      <c r="DT4" s="203" t="s">
        <v>217</v>
      </c>
      <c r="DU4" s="206" t="s">
        <v>9</v>
      </c>
      <c r="DV4" s="203" t="s">
        <v>217</v>
      </c>
      <c r="DW4" s="204" t="s">
        <v>9</v>
      </c>
      <c r="DX4" s="203" t="s">
        <v>217</v>
      </c>
      <c r="DY4" s="206" t="s">
        <v>9</v>
      </c>
      <c r="DZ4" s="21"/>
      <c r="EA4" s="203" t="s">
        <v>217</v>
      </c>
      <c r="EB4" s="206" t="s">
        <v>9</v>
      </c>
      <c r="EC4" s="203" t="s">
        <v>217</v>
      </c>
      <c r="ED4" s="204" t="s">
        <v>9</v>
      </c>
      <c r="EE4" s="203" t="s">
        <v>217</v>
      </c>
      <c r="EF4" s="206" t="s">
        <v>9</v>
      </c>
      <c r="EG4" s="21"/>
      <c r="EH4" s="203" t="s">
        <v>217</v>
      </c>
      <c r="EI4" s="206" t="s">
        <v>9</v>
      </c>
      <c r="EJ4" s="203" t="s">
        <v>217</v>
      </c>
      <c r="EK4" s="206" t="s">
        <v>9</v>
      </c>
      <c r="EL4" s="203" t="s">
        <v>217</v>
      </c>
      <c r="EM4" s="206" t="s">
        <v>9</v>
      </c>
      <c r="EN4" s="21"/>
      <c r="EO4" s="203" t="s">
        <v>217</v>
      </c>
      <c r="EP4" s="20" t="s">
        <v>9</v>
      </c>
      <c r="EQ4" s="21"/>
      <c r="ER4" s="203" t="s">
        <v>217</v>
      </c>
      <c r="ES4" s="181" t="s">
        <v>9</v>
      </c>
      <c r="EU4" s="304" t="s">
        <v>217</v>
      </c>
      <c r="EV4" s="206" t="s">
        <v>9</v>
      </c>
      <c r="EW4" s="203" t="s">
        <v>217</v>
      </c>
      <c r="EX4" s="204" t="s">
        <v>9</v>
      </c>
      <c r="EY4" s="203" t="s">
        <v>217</v>
      </c>
      <c r="EZ4" s="305" t="s">
        <v>9</v>
      </c>
    </row>
    <row r="5" spans="1:156" ht="28.8" x14ac:dyDescent="0.3">
      <c r="A5" s="164" t="s">
        <v>217</v>
      </c>
      <c r="B5" s="220" t="s">
        <v>260</v>
      </c>
      <c r="C5" s="220" t="s">
        <v>261</v>
      </c>
      <c r="D5" s="220" t="s">
        <v>262</v>
      </c>
      <c r="E5" s="307" t="s">
        <v>307</v>
      </c>
      <c r="G5" s="260">
        <v>0</v>
      </c>
      <c r="H5" s="211">
        <f>IF('Temperature Profiles'!G4&gt;17,(0.0029*('Temperature Profiles'!G4^2) - 0.0863*'Temperature Profiles'!G4 + 0.6808)*1000,0)</f>
        <v>0</v>
      </c>
      <c r="I5" s="110">
        <v>0</v>
      </c>
      <c r="J5" s="211">
        <f>IF('Temperature Profiles'!G4&gt;17,(0.005*('Temperature Profiles'!G4^2) - 0.1517*'Temperature Profiles'!G4 + 1.1702)*1000,0)</f>
        <v>0</v>
      </c>
      <c r="K5" s="110">
        <v>0</v>
      </c>
      <c r="L5" s="211">
        <f>IF('Temperature Profiles'!G4&gt;17,(0.0068*('Temperature Profiles'!G4^2) - 0.2129*'Temperature Profiles'!G4 + 1.6904)*1000,0)</f>
        <v>0</v>
      </c>
      <c r="M5" s="21"/>
      <c r="N5" s="110">
        <v>0</v>
      </c>
      <c r="O5" s="211">
        <f>IF('Temperature Profiles'!L4&gt;17,(0.0029*('Temperature Profiles'!L4^2) - 0.0863*'Temperature Profiles'!L4 + 0.6808)*1000,0)</f>
        <v>186.8343124999997</v>
      </c>
      <c r="P5" s="110">
        <v>0</v>
      </c>
      <c r="Q5" s="211">
        <f>IF('Temperature Profiles'!L4&gt;17,(0.005*('Temperature Profiles'!L4^2) - 0.1517*'Temperature Profiles'!L4 + 1.1702)*1000,0)</f>
        <v>254.51062499999955</v>
      </c>
      <c r="R5" s="110">
        <v>0</v>
      </c>
      <c r="S5" s="211">
        <f>IF('Temperature Profiles'!L4&gt;17,(0.0068*('Temperature Profiles'!L4^2) - 0.2129*'Temperature Profiles'!L4 + 1.6904)*1000,0)</f>
        <v>299.96174999999914</v>
      </c>
      <c r="T5" s="21"/>
      <c r="U5" s="110">
        <v>0</v>
      </c>
      <c r="V5" s="211">
        <f>IF('Temperature Profiles'!Q4&gt;17,(0.0029*('Temperature Profiles'!Q4^2) - 0.0863*'Temperature Profiles'!Q4 + 0.6808)*1000,0)</f>
        <v>254.69186805555532</v>
      </c>
      <c r="W5" s="110">
        <v>0</v>
      </c>
      <c r="X5" s="211">
        <f>IF('Temperature Profiles'!Q4&gt;17,(0.005*('Temperature Profiles'!Q4^2) - 0.1517*'Temperature Profiles'!Q4 + 1.1702)*1000,0)</f>
        <v>367.19451388888882</v>
      </c>
      <c r="Y5" s="110">
        <v>0</v>
      </c>
      <c r="Z5" s="211">
        <f>IF('Temperature Profiles'!Q4&gt;17,(0.0068*('Temperature Profiles'!Q4^2) - 0.2129*'Temperature Profiles'!Q4 + 1.6904)*1000,0)</f>
        <v>443.43963888888771</v>
      </c>
      <c r="AA5" s="21"/>
      <c r="AB5" s="110">
        <v>0</v>
      </c>
      <c r="AC5" s="211">
        <f>IF('Temperature Profiles'!V4&gt;17,(0.0029*('Temperature Profiles'!V4^2) - 0.0863*'Temperature Profiles'!V4 + 0.6808)*1000,0)</f>
        <v>64.350249999999832</v>
      </c>
      <c r="AD5" s="110">
        <v>0</v>
      </c>
      <c r="AE5" s="211">
        <f>IF('Temperature Profiles'!V4&gt;17,(0.005*('Temperature Profiles'!V4^2) - 0.1517*'Temperature Profiles'!V4 + 1.1702)*1000,0)</f>
        <v>55.467499999999781</v>
      </c>
      <c r="AF5" s="110">
        <v>0</v>
      </c>
      <c r="AG5" s="211">
        <f>IF('Temperature Profiles'!V4&gt;17,(0.0068*('Temperature Profiles'!V4^2) - 0.2129*'Temperature Profiles'!V4 + 1.6904)*1000,0)</f>
        <v>56.76799999999993</v>
      </c>
      <c r="AH5" s="21"/>
      <c r="AI5" s="110">
        <v>0</v>
      </c>
      <c r="AJ5" s="211">
        <f>IF('Temperature Profiles'!AA4&gt;17,(0.0029*('Temperature Profiles'!AA4^2) - 0.0863*'Temperature Profiles'!AA4 + 0.6808)*1000,0)</f>
        <v>0</v>
      </c>
      <c r="AK5" s="110">
        <v>0</v>
      </c>
      <c r="AL5" s="211">
        <f>IF('Temperature Profiles'!AA4&gt;17,(0.005*('Temperature Profiles'!AA4^2) - 0.1517*'Temperature Profiles'!AA4 + 1.1701)*1000,0)</f>
        <v>0</v>
      </c>
      <c r="AM5" s="110">
        <v>0</v>
      </c>
      <c r="AN5" s="211">
        <f>IF('Temperature Profiles'!AA4&gt;17,(0.0068*('Temperature Profiles'!AA4^2) - 0.2129*'Temperature Profiles'!AA4 + 1.6904)*1000,0)</f>
        <v>0</v>
      </c>
      <c r="AO5" s="21"/>
      <c r="AP5" s="110">
        <v>0</v>
      </c>
      <c r="AQ5" s="211">
        <f>IF('Temperature Profiles'!AF4&gt;17,(0.0029*('Temperature Profiles'!AF4^2) - 0.0863*'Temperature Profiles'!AF4 + 0.6808)*1000,0)</f>
        <v>638.35103472222204</v>
      </c>
      <c r="AR5" s="110">
        <v>0</v>
      </c>
      <c r="AS5" s="183">
        <f>IF('Temperature Profiles'!AF4&gt;17,(0.005*('Temperature Profiles'!AF4^2) - 0.1517*'Temperature Profiles'!AF4 + 1.1702)*1000,0)</f>
        <v>1011.9611805555562</v>
      </c>
      <c r="AT5" s="110">
        <v>0</v>
      </c>
      <c r="AU5" s="211">
        <f>IF('Temperature Profiles'!AF4&gt;17,(0.0068*('Temperature Profiles'!AF4^2) - 0.2129*'Temperature Profiles'!AF4 + 1.6904)*1000,0)</f>
        <v>1282.4413055555551</v>
      </c>
      <c r="AV5" s="21"/>
      <c r="AW5" s="110">
        <v>0</v>
      </c>
      <c r="AX5" s="211"/>
      <c r="AY5" s="21"/>
      <c r="AZ5" s="110">
        <v>0</v>
      </c>
      <c r="BA5" s="264"/>
      <c r="BC5" s="260">
        <v>0</v>
      </c>
      <c r="BD5" s="211">
        <f>IF('Temperature Profiles'!G4&lt;16,(-0.0037*'Temperature Profiles'!G4+0.0664)*1000,0)</f>
        <v>15.648333333333333</v>
      </c>
      <c r="BE5" s="110">
        <v>0</v>
      </c>
      <c r="BF5" s="211">
        <f>IF('Temperature Profiles'!G4&lt;16,(-0.0076*'Temperature Profiles'!G4+0.1245)*1000,0)</f>
        <v>20.25333333333333</v>
      </c>
      <c r="BG5" s="110">
        <v>0</v>
      </c>
      <c r="BH5" s="211">
        <f>IF('Temperature Profiles'!G4&lt;16,(-0.01*'Temperature Profiles'!G4+0.167)*1000,0)</f>
        <v>29.83333333333335</v>
      </c>
      <c r="BI5" s="21"/>
      <c r="BJ5" s="110">
        <v>0</v>
      </c>
      <c r="BK5" s="211">
        <f>IF('Temperature Profiles'!L4&lt;16,(-0.0037*'Temperature Profiles'!L4+0.0664)*1000,0)</f>
        <v>0</v>
      </c>
      <c r="BL5" s="110">
        <v>0</v>
      </c>
      <c r="BM5" s="211">
        <f>IF('Temperature Profiles'!L4&lt;16,(-0.0076*'Temperature Profiles'!L4+0.1245)*1000,0)</f>
        <v>0</v>
      </c>
      <c r="BN5" s="110">
        <v>0</v>
      </c>
      <c r="BO5" s="211">
        <f>IF('Temperature Profiles'!L4&lt;16,(-0.01*'Temperature Profiles'!L4+0.167)*1000,0)</f>
        <v>0</v>
      </c>
      <c r="BP5" s="21"/>
      <c r="BQ5" s="110">
        <v>0</v>
      </c>
      <c r="BR5" s="211">
        <f>IF('Temperature Profiles'!Q4&lt;16,(-0.0037*'Temperature Profiles'!Q4+0.0664)*1000,0)</f>
        <v>0</v>
      </c>
      <c r="BS5" s="110">
        <v>0</v>
      </c>
      <c r="BT5" s="211">
        <f>IF('Temperature Profiles'!Q4&lt;16,(-0.0076*'Temperature Profiles'!Q4+0.1245)*1000,0)</f>
        <v>0</v>
      </c>
      <c r="BU5" s="110">
        <v>0</v>
      </c>
      <c r="BV5" s="211">
        <f>IF('Temperature Profiles'!Q4&lt;16,(-0.01*'Temperature Profiles'!Q4+0.167)*1000,0)</f>
        <v>0</v>
      </c>
      <c r="BW5" s="21"/>
      <c r="BX5" s="110">
        <v>0</v>
      </c>
      <c r="BY5" s="211">
        <f>IF('Temperature Profiles'!V4&lt;16,(-0.0037*'Temperature Profiles'!V4+0.0664)*1000,0)</f>
        <v>0</v>
      </c>
      <c r="BZ5" s="110">
        <v>0</v>
      </c>
      <c r="CA5" s="211">
        <f>IF('Temperature Profiles'!V4&lt;16,(-0.0076*'Temperature Profiles'!V4+0.1245)*1000,0)</f>
        <v>0</v>
      </c>
      <c r="CB5" s="110">
        <v>0</v>
      </c>
      <c r="CC5" s="211">
        <f>IF('Temperature Profiles'!V4&lt;16,(-0.01*'Temperature Profiles'!V4+0.167)*1000,0)</f>
        <v>0</v>
      </c>
      <c r="CD5" s="21"/>
      <c r="CE5" s="110">
        <v>0</v>
      </c>
      <c r="CF5" s="211">
        <f>IF('Temperature Profiles'!AA4&lt;16,(-0.0037*'Temperature Profiles'!AA4+0.0664)*1000,0)</f>
        <v>131.70500000000001</v>
      </c>
      <c r="CG5" s="110">
        <v>0</v>
      </c>
      <c r="CH5" s="211">
        <f>IF('Temperature Profiles'!AA4&lt;16,(-0.0076*'Temperature Profiles'!AA4+0.1245)*1000,0)</f>
        <v>258.64</v>
      </c>
      <c r="CI5" s="110">
        <v>0</v>
      </c>
      <c r="CJ5" s="211">
        <f>IF('Temperature Profiles'!AA4&lt;16,(-0.01*'Temperature Profiles'!AA4+0.167)*1000,0)</f>
        <v>343.5</v>
      </c>
      <c r="CK5" s="21"/>
      <c r="CL5" s="110">
        <v>0</v>
      </c>
      <c r="CM5" s="211">
        <f>IF('Temperature Profiles'!AF4&lt;16,(-0.0037*'Temperature Profiles'!AF4+0.0664)*1000,0)</f>
        <v>0</v>
      </c>
      <c r="CN5" s="110">
        <v>0</v>
      </c>
      <c r="CO5" s="178">
        <f>IF('Temperature Profiles'!AF4&lt;16,(-0.0076*'Temperature Profiles'!AF4+0.1245)*1000,0)</f>
        <v>0</v>
      </c>
      <c r="CP5" s="110">
        <v>0</v>
      </c>
      <c r="CQ5" s="211">
        <f>IF('Temperature Profiles'!AF4&lt;16,(-0.01*'Temperature Profiles'!AF4+0.167)*1000,0)</f>
        <v>0</v>
      </c>
      <c r="CR5" s="21"/>
      <c r="CS5" s="110">
        <v>0</v>
      </c>
      <c r="CT5" s="211"/>
      <c r="CU5" s="21"/>
      <c r="CV5" s="110">
        <v>0</v>
      </c>
      <c r="CW5" s="264"/>
      <c r="CY5" s="260">
        <v>0</v>
      </c>
      <c r="CZ5" s="178">
        <f>IF('Temperature Profiles'!G4&gt;18,(0.0024*('Temperature Profiles'!G4^2)-0.0581*'Temperature Profiles'!G4+0.3293)*1000,IF('Temperature Profiles'!G4&lt;17,(0.0022*('Temperature Profiles'!G4^2)-0.0874*'Temperature Profiles'!G4+0.9301)*1000,0))</f>
        <v>145.18661111111109</v>
      </c>
      <c r="DA5" s="110">
        <v>0</v>
      </c>
      <c r="DB5" s="263">
        <f>IF('Temperature Profiles'!G4&gt;18,(0.0043*('Temperature Profiles'!G4^2)-0.1116*'Temperature Profiles'!G4+0.6576)*1000,IF('Temperature Profiles'!G4&lt;17,(0.0053*('Temperature Profiles'!G4^2)-0.1876*'Temperature Profiles'!G4+1.7649)*1000,0))</f>
        <v>188.83213888888895</v>
      </c>
      <c r="DC5" s="110">
        <v>0</v>
      </c>
      <c r="DD5" s="211">
        <f>IF('Temperature Profiles'!G4&gt;18,(0.0057*('Temperature Profiles'!G4^2)-0.1509*'Temperature Profiles'!G4+0.8935)*1000,IF('Temperature Profiles'!G4&lt;17,(0.0072*('Temperature Profiles'!G4^2)-0.254*'Temperature Profiles'!G4+2.3952)*1000,0))</f>
        <v>265.82466666666613</v>
      </c>
      <c r="DE5" s="21"/>
      <c r="DF5" s="110">
        <v>0</v>
      </c>
      <c r="DG5" s="209">
        <f>IF('Temperature Profiles'!L4&gt;18,(0.0024*('Temperature Profiles'!L4^2)-0.0581*'Temperature Profiles'!L4+0.3293)*1000,IF('Temperature Profiles'!L4&lt;17,(0.0022*('Temperature Profiles'!L4^2)-0.0874*'Temperature Profiles'!L4+0.9301)*1000,0))</f>
        <v>213.88899999999984</v>
      </c>
      <c r="DH5" s="110">
        <v>0</v>
      </c>
      <c r="DI5" s="209">
        <f>IF('Temperature Profiles'!L4&gt;18,(0.0043*('Temperature Profiles'!L4^2)-0.1116*'Temperature Profiles'!L4+0.6576)*1000,IF('Temperature Profiles'!L4&lt;17,(0.0053*('Temperature Profiles'!L4^2)-0.1876*'Temperature Profiles'!L4+1.7649)*1000,0))</f>
        <v>285.54268749999954</v>
      </c>
      <c r="DJ5" s="110">
        <v>0</v>
      </c>
      <c r="DK5" s="211">
        <f>IF('Temperature Profiles'!L4&gt;18,(0.0057*('Temperature Profiles'!L4^2)-0.1509*'Temperature Profiles'!L4+0.8935)*1000,IF('Temperature Profiles'!L4&lt;17,(0.0072*('Temperature Profiles'!L4^2)-0.254*'Temperature Profiles'!L4+2.3952)*1000,0))</f>
        <v>335.00106249999948</v>
      </c>
      <c r="DL5" s="21"/>
      <c r="DM5" s="110">
        <v>0</v>
      </c>
      <c r="DN5" s="209">
        <f>IF('Temperature Profiles'!Q4&gt;18,(0.0024*('Temperature Profiles'!Q4^2)-0.0581*'Temperature Profiles'!Q4+0.3293)*1000,IF('Temperature Profiles'!Q4&lt;17,(0.0022*('Temperature Profiles'!Q4^2)-0.0874*'Temperature Profiles'!Q4+0.9301)*1000,0))</f>
        <v>289.80599999999987</v>
      </c>
      <c r="DO5" s="110">
        <v>0</v>
      </c>
      <c r="DP5" s="209">
        <f>IF('Temperature Profiles'!Q4&gt;18,(0.0043*('Temperature Profiles'!Q4^2)-0.1116*'Temperature Profiles'!Q4+0.6576)*1000,IF('Temperature Profiles'!Q4&lt;17,(0.0053*('Temperature Profiles'!Q4^2)-0.1876*'Temperature Profiles'!Q4+1.7649)*1000,0))</f>
        <v>410.42946527777735</v>
      </c>
      <c r="DQ5" s="110">
        <v>0</v>
      </c>
      <c r="DR5" s="211">
        <f>IF('Temperature Profiles'!Q4&gt;18,(0.0057*('Temperature Profiles'!Q4^2)-0.1509*'Temperature Profiles'!Q4+0.8935)*1000,IF('Temperature Profiles'!Q4&lt;17,(0.0072*('Temperature Profiles'!Q4^2)-0.254*'Temperature Profiles'!Q4+2.3952)*1000,0))</f>
        <v>496.15039583333288</v>
      </c>
      <c r="DS5" s="21"/>
      <c r="DT5" s="110">
        <v>0</v>
      </c>
      <c r="DU5" s="209">
        <f>IF('Temperature Profiles'!V4&gt;18,(0.0024*('Temperature Profiles'!V4^2)-0.0581*'Temperature Profiles'!V4+0.3293)*1000,IF('Temperature Profiles'!V4&lt;17,(0.0022*('Temperature Profiles'!V4^2)-0.0874*'Temperature Profiles'!V4+0.9301)*1000,0))</f>
        <v>0</v>
      </c>
      <c r="DV5" s="110">
        <v>0</v>
      </c>
      <c r="DW5" s="209">
        <f>IF('Temperature Profiles'!V4&gt;18,(0.0043*('Temperature Profiles'!V4^2)-0.1116*'Temperature Profiles'!V4+0.6576)*1000,IF('Temperature Profiles'!V4&lt;17,(0.0053*('Temperature Profiles'!V4^2)-0.1876*'Temperature Profiles'!V4+1.7649)*1000,0))</f>
        <v>0</v>
      </c>
      <c r="DX5" s="110">
        <v>0</v>
      </c>
      <c r="DY5" s="211">
        <f>IF('Temperature Profiles'!V4&gt;18,(0.0057*('Temperature Profiles'!V4^2)-0.1509*'Temperature Profiles'!V4+0.8935)*1000,IF('Temperature Profiles'!V4&lt;17,(0.0072*('Temperature Profiles'!V4^2)-0.254*'Temperature Profiles'!V4+2.3952)*1000,0))</f>
        <v>0</v>
      </c>
      <c r="DZ5" s="21"/>
      <c r="EA5" s="110">
        <v>0</v>
      </c>
      <c r="EB5" s="209">
        <f>IF('Temperature Profiles'!AA103&gt;18,(0.0024*('Temperature Profiles'!AA103^2)-0.0581*'Temperature Profiles'!AA103+0.3293)*1000,IF('Temperature Profiles'!AA103&lt;17,(0.0022*('Temperature Profiles'!AA103^2)-0.0874*'Temperature Profiles'!AA103+0.9301)*1000,0))</f>
        <v>626.8068194444445</v>
      </c>
      <c r="EC5" s="110">
        <v>0</v>
      </c>
      <c r="ED5" s="209">
        <f>IF('Temperature Profiles'!AA103&gt;18,(0.0043*('Temperature Profiles'!AA103^2)-0.1116*'Temperature Profiles'!AA103+0.6576)*1000,IF('Temperature Profiles'!AA103&lt;17,(0.0053*('Temperature Profiles'!AA103^2)-0.1876*'Temperature Profiles'!AA103+1.7649)*1000,0))</f>
        <v>1122.4228680555557</v>
      </c>
      <c r="EE5" s="110">
        <v>0</v>
      </c>
      <c r="EF5" s="211">
        <f>IF('Temperature Profiles'!AA103&gt;18,(0.0057*('Temperature Profiles'!AA103^2)-0.1509*'Temperature Profiles'!AA103+0.8935)*1000,IF('Temperature Profiles'!AA103&lt;17,(0.0072*('Temperature Profiles'!AA103^2)-0.254*'Temperature Profiles'!AA103+2.3952)*1000,0))</f>
        <v>1525.6771666666666</v>
      </c>
      <c r="EG5" s="21"/>
      <c r="EH5" s="110">
        <v>0</v>
      </c>
      <c r="EI5" s="211">
        <f>IF('Temperature Profiles'!AF4&gt;18,(0.0024*('Temperature Profiles'!AF4^2)-0.0581*'Temperature Profiles'!AF4+0.3293)*1000,IF('Temperature Profiles'!AF4&lt;17,(0.0022*('Temperature Profiles'!AF4^2)-0.0874*'Temperature Profiles'!AF4+0.9301)*1000,0))</f>
        <v>683.91099999999994</v>
      </c>
      <c r="EJ5" s="110">
        <v>0</v>
      </c>
      <c r="EK5" s="211">
        <f>IF('Temperature Profiles'!AF4&gt;18,(0.0043*('Temperature Profiles'!AF4^2)-0.1116*'Temperature Profiles'!AF4+0.6576)*1000,IF('Temperature Profiles'!AF4&lt;17,(0.0053*('Temperature Profiles'!AF4^2)-0.1876*'Temperature Profiles'!AF4+1.7649)*1000,0))</f>
        <v>1073.3852986111115</v>
      </c>
      <c r="EL5" s="110">
        <v>0</v>
      </c>
      <c r="EM5" s="211">
        <f>IF('Temperature Profiles'!AF4&gt;18,(0.0057*('Temperature Profiles'!AF4^2)-0.1509*'Temperature Profiles'!AF4+0.8935)*1000,IF('Temperature Profiles'!AF4&lt;17,(0.0072*('Temperature Profiles'!AF4^2)-0.254*'Temperature Profiles'!AF4+2.3952)*1000,0))</f>
        <v>1357.9028958333342</v>
      </c>
      <c r="EN5" s="21"/>
      <c r="EO5" s="110">
        <v>0</v>
      </c>
      <c r="EP5" s="211"/>
      <c r="EQ5" s="21"/>
      <c r="ER5" s="110">
        <v>0</v>
      </c>
      <c r="ES5" s="264"/>
      <c r="EU5" s="260">
        <v>0</v>
      </c>
      <c r="EV5" s="209">
        <f>IF('Temperature Profiles'!AA103&gt;18,(0.0024*('Temperature Profiles'!AA103^2)-0.0581*'Temperature Profiles'!AA103+0.3293)*1000,IF('Temperature Profiles'!AA103&lt;17,(0.0022*('Temperature Profiles'!AA103^2)-0.0874*'Temperature Profiles'!AA103+0.9301)*1000,0))</f>
        <v>626.8068194444445</v>
      </c>
      <c r="EW5" s="110">
        <v>0</v>
      </c>
      <c r="EX5" s="209">
        <f>IF('Temperature Profiles'!AA103&gt;18,(0.0043*('Temperature Profiles'!AA103^2)-0.1116*'Temperature Profiles'!AA103+0.6576)*1000,IF('Temperature Profiles'!AA103&lt;17,(0.0053*('Temperature Profiles'!AA103^2)-0.1876*'Temperature Profiles'!AA103+1.7649)*1000,0))</f>
        <v>1122.4228680555557</v>
      </c>
      <c r="EY5" s="110">
        <v>0</v>
      </c>
      <c r="EZ5" s="264">
        <f>IF('Temperature Profiles'!AA103&gt;18,(0.0057*('Temperature Profiles'!AA103^2)-0.1509*'Temperature Profiles'!AA103+0.8935)*1000,IF('Temperature Profiles'!AA103&lt;17,(0.0072*('Temperature Profiles'!AA103^2)-0.254*'Temperature Profiles'!AA103+2.3952)*1000,0))</f>
        <v>1525.6771666666666</v>
      </c>
    </row>
    <row r="6" spans="1:156" x14ac:dyDescent="0.3">
      <c r="A6" s="108">
        <v>0</v>
      </c>
      <c r="B6" s="223">
        <f>IF(AND($B$3=$G$2,$D$3=$G$3),H5,IF(AND($B$3=$G$2,$D$3=$I$3),J5,IF(AND($B$3=$G$2,$D$3=$K$3),L5,IF(AND($B$3=$N$2,$D$3=$N$3),O5,IF(AND($B$3=$N$2,$D$3=$P$3),Q5,IF(AND($B$3=$N$2,$D$3=$R$3),S5,IF(AND($B$3=$U$2,$D$3=$U$3),V5,IF(AND($B$3=$U$2,$D$3=$W$3),X5,IF(AND($B$3=$U$2,$D$3=$Y$3),Z5,IF(AND($B$3=$AB$2,$D$3=$AB$3),AC5,IF(AND($B$3=$AB$2,$D$3=$AD$3),AE5,IF(AND($B$3=$AB$2,$D$3=$AF$3),AG5,IF(AND($B$3=$AI$2,$D$3=$AI$3),AJ5,IF(AND($B$3=$AI$2,$D$3=$AK$3),AL5,IF(AND($B$3=$AI$2,$D$3=$AM$3),AN5,IF(AND($B$3=$AP$2,$D$3=$AP$3),AQ5,IF(AND($B$3=$AP$2,$D$3=$AR$3),AS5,IF(AND($B$3=$AP$2,$D$3=$AT$3),AU5,IF($B$3=$AW$3,AX5,IF($B$3=$AZ$3,BA5,0))))))))))))))))))))</f>
        <v>0</v>
      </c>
      <c r="C6" s="224">
        <f>IF(AND($B$3=$BC$2,$D$3=$BC$3),BD5,IF(AND($B$3=$BC$2,$D$3=$BE$3),BF5,IF(AND($B$3=$BC$2,$D$3=$BG$3),BH5,IF(AND($B$3=$BJ$2,$D$3=$BJ$3),BK5,IF(AND($B$3=$BJ$2,$D$3=$BL$3),BM5,IF(AND($B$3=$BJ$2,$D$3=$BN$3),BO5,IF(AND($B$3=$BQ$2,$D$3=$BQ$3),BR5,IF(AND($B$3=$BQ$2,$D$3=$BS$3),BT5,IF(AND($B$3=$BQ$2,$D$3=$BU$3),BV5,IF(AND($B$3=$BX$2,$D$3=$BX$3),BY5,IF(AND($B$3=$BX$2,$D$3=$BZ$3),CA5,IF(AND($B$3=$BX$2,$D$3=$CB$3),CC5,IF(AND($B$3=$CE$2,$D$3=$CE$3),CF5,IF(AND($B$3=$CE$2,$D$3=$CG$3),CH5,IF(AND($B$3=$CE$2,$D$3=$CI$3),CJ5,IF(AND($B$3=$CL$2,$D$3=$CL$3),CM5,IF(AND($B$3=$CL$2,$D$3=$CN$3),CO5,IF(AND($B$3=$CL$2,$D$3=$CP$3),CQ5,IF($B$3=$CS$3,CT5,IF($B$3=$CV$3,CW5,0))))))))))))))))))))</f>
        <v>343.5</v>
      </c>
      <c r="D6" s="225">
        <f>IF(AND($B$3=$CY$2,$D$3=$CY$3),CZ5,IF(AND($B$3=$CY$2,$D$3=$DA$3),DB5,IF(AND($B$3=$CY$2,$D$3=$DC$3),DD5,IF(AND($B$3=$DF$2,$D$3=$DF$3),DG5,IF(AND($B$3=$DF$2,$D$3=$DH$3),DI5,IF(AND($B$3=$DF$2,$D$3=$DJ$3),DK5,IF(AND($B$3=$DM$2,$D$3=$DM$3),DN5,IF(AND($B$3=$DM$2,$D$3=$DO$3),DP5,IF(AND($B$3=$DM$2,$D$3=$DQ$3),DR5,IF(AND($B$3=$DT$2,$D$3=$DT$3),DU5,IF(AND($B$3=$DT$2,$D$3=$DV$3),DW5,IF(AND($B$3=$DT$2,$D$3=$DX$3),DY5,IF(AND($B$3=$EA$2,$D$3=$EA$3),EB5,IF(AND($B$3=$EA$2,$D$3=$EC$3),ED5,IF(AND($B$3=$EA$2,$D$3=$EE$3),EF5,IF(AND($B$3=$EH$2,$D$3=$EH$3),EI5,IF(AND($B$3=$EH$2,$D$3=$EJ$3),EK5,IF(AND($B$3=$EH$2,$D$3=$EL$3),EM5,IF($B$3=$EO$3,EP5,IF($B$3=$ER$3,ES5,0))))))))))))))))))))</f>
        <v>1525.6771666666666</v>
      </c>
      <c r="E6" s="225">
        <f>IF(AND($B$3=$EU$2,$D$3=$EU$3),EV5,IF(AND($B$3=$EU$2,$D$3=$EW$3),EX5,IF(AND($B$3=$EU$2,$D$3=$EY$3),EZ5,0)))</f>
        <v>1525.6771666666666</v>
      </c>
      <c r="G6" s="260">
        <v>1.0416666666666666E-2</v>
      </c>
      <c r="H6" s="211">
        <f>IF('Temperature Profiles'!G5&gt;17,(0.0029*('Temperature Profiles'!G5^2) - 0.0863*'Temperature Profiles'!G5 + 0.6808)*1000,0)</f>
        <v>0</v>
      </c>
      <c r="I6" s="110">
        <v>1.0416666666666666E-2</v>
      </c>
      <c r="J6" s="211">
        <f>IF('Temperature Profiles'!G5&gt;17,(0.005*('Temperature Profiles'!G5^2) - 0.1517*'Temperature Profiles'!G5 + 1.1702)*1000,0)</f>
        <v>0</v>
      </c>
      <c r="K6" s="110">
        <v>1.0416666666666666E-2</v>
      </c>
      <c r="L6" s="211">
        <f>IF('Temperature Profiles'!G5&gt;17,(0.0068*('Temperature Profiles'!G5^2) - 0.2129*'Temperature Profiles'!G5 + 1.6904)*1000,0)</f>
        <v>0</v>
      </c>
      <c r="M6" s="21"/>
      <c r="N6" s="110">
        <v>1.0416666666666666E-2</v>
      </c>
      <c r="O6" s="211">
        <f>IF('Temperature Profiles'!L5&gt;17,(0.0029*('Temperature Profiles'!L5^2) - 0.0863*'Temperature Profiles'!L5 + 0.6808)*1000,0)</f>
        <v>186.8343124999997</v>
      </c>
      <c r="P6" s="110">
        <v>1.0416666666666666E-2</v>
      </c>
      <c r="Q6" s="211">
        <f>IF('Temperature Profiles'!L5&gt;17,(0.005*('Temperature Profiles'!L5^2) - 0.1517*'Temperature Profiles'!L5 + 1.1702)*1000,0)</f>
        <v>254.51062499999955</v>
      </c>
      <c r="R6" s="110">
        <v>1.0416666666666666E-2</v>
      </c>
      <c r="S6" s="211">
        <f>IF('Temperature Profiles'!L5&gt;17,(0.0068*('Temperature Profiles'!L5^2) - 0.2129*'Temperature Profiles'!L5 + 1.6904)*1000,0)</f>
        <v>299.96174999999914</v>
      </c>
      <c r="T6" s="21"/>
      <c r="U6" s="110">
        <v>1.0416666666666666E-2</v>
      </c>
      <c r="V6" s="211">
        <f>IF('Temperature Profiles'!Q5&gt;17,(0.0029*('Temperature Profiles'!Q5^2) - 0.0863*'Temperature Profiles'!Q5 + 0.6808)*1000,0)</f>
        <v>254.69186805555532</v>
      </c>
      <c r="W6" s="110">
        <v>1.0416666666666666E-2</v>
      </c>
      <c r="X6" s="211">
        <f>IF('Temperature Profiles'!Q5&gt;17,(0.005*('Temperature Profiles'!Q5^2) - 0.1517*'Temperature Profiles'!Q5 + 1.1702)*1000,0)</f>
        <v>367.19451388888882</v>
      </c>
      <c r="Y6" s="110">
        <v>1.0416666666666666E-2</v>
      </c>
      <c r="Z6" s="211">
        <f>IF('Temperature Profiles'!Q5&gt;17,(0.0068*('Temperature Profiles'!Q5^2) - 0.2129*'Temperature Profiles'!Q5 + 1.6904)*1000,0)</f>
        <v>443.43963888888771</v>
      </c>
      <c r="AA6" s="21"/>
      <c r="AB6" s="110">
        <v>1.0416666666666666E-2</v>
      </c>
      <c r="AC6" s="211">
        <f>IF('Temperature Profiles'!V5&gt;17,(0.0029*('Temperature Profiles'!V5^2) - 0.0863*'Temperature Profiles'!V5 + 0.6808)*1000,0)</f>
        <v>64.350249999999832</v>
      </c>
      <c r="AD6" s="110">
        <v>1.0416666666666666E-2</v>
      </c>
      <c r="AE6" s="211">
        <f>IF('Temperature Profiles'!V5&gt;17,(0.005*('Temperature Profiles'!V5^2) - 0.1517*'Temperature Profiles'!V5 + 1.1702)*1000,0)</f>
        <v>55.467499999999781</v>
      </c>
      <c r="AF6" s="110">
        <v>1.0416666666666666E-2</v>
      </c>
      <c r="AG6" s="211">
        <f>IF('Temperature Profiles'!V5&gt;17,(0.0068*('Temperature Profiles'!V5^2) - 0.2129*'Temperature Profiles'!V5 + 1.6904)*1000,0)</f>
        <v>56.76799999999993</v>
      </c>
      <c r="AH6" s="21"/>
      <c r="AI6" s="110">
        <v>1.0416666666666666E-2</v>
      </c>
      <c r="AJ6" s="211">
        <f>IF('Temperature Profiles'!AA5&gt;17,(0.0029*('Temperature Profiles'!AA5^2) - 0.0863*'Temperature Profiles'!AA5 + 0.6808)*1000,0)</f>
        <v>0</v>
      </c>
      <c r="AK6" s="110">
        <v>1.0416666666666666E-2</v>
      </c>
      <c r="AL6" s="211">
        <f>IF('Temperature Profiles'!AA5&gt;17,(0.005*('Temperature Profiles'!AA5^2) - 0.1517*'Temperature Profiles'!AA5 + 1.1701)*1000,0)</f>
        <v>0</v>
      </c>
      <c r="AM6" s="110">
        <v>1.0416666666666666E-2</v>
      </c>
      <c r="AN6" s="211">
        <f>IF('Temperature Profiles'!AA5&gt;17,(0.0068*('Temperature Profiles'!AA5^2) - 0.2129*'Temperature Profiles'!AA5 + 1.6904)*1000,0)</f>
        <v>0</v>
      </c>
      <c r="AO6" s="21"/>
      <c r="AP6" s="110">
        <v>1.0416666666666666E-2</v>
      </c>
      <c r="AQ6" s="211">
        <f>IF('Temperature Profiles'!AF5&gt;17,(0.0029*('Temperature Profiles'!AF5^2) - 0.0863*'Temperature Profiles'!AF5 + 0.6808)*1000,0)</f>
        <v>638.35103472222204</v>
      </c>
      <c r="AR6" s="110">
        <v>1.0416666666666666E-2</v>
      </c>
      <c r="AS6" s="183">
        <f>IF('Temperature Profiles'!AF5&gt;17,(0.005*('Temperature Profiles'!AF5^2) - 0.1517*'Temperature Profiles'!AF5 + 1.1702)*1000,0)</f>
        <v>1011.9611805555562</v>
      </c>
      <c r="AT6" s="110">
        <v>1.0416666666666666E-2</v>
      </c>
      <c r="AU6" s="211">
        <f>IF('Temperature Profiles'!AF5&gt;17,(0.0068*('Temperature Profiles'!AF5^2) - 0.2129*'Temperature Profiles'!AF5 + 1.6904)*1000,0)</f>
        <v>1282.4413055555551</v>
      </c>
      <c r="AV6" s="21"/>
      <c r="AW6" s="110">
        <v>1.0416666666666666E-2</v>
      </c>
      <c r="AX6" s="211"/>
      <c r="AY6" s="21"/>
      <c r="AZ6" s="110">
        <v>1.0416666666666666E-2</v>
      </c>
      <c r="BA6" s="264"/>
      <c r="BC6" s="260">
        <v>1.0416666666666666E-2</v>
      </c>
      <c r="BD6" s="211">
        <f>IF('Temperature Profiles'!G5&lt;16,(-0.0037*'Temperature Profiles'!G5+0.0664)*1000,0)</f>
        <v>15.648333333333333</v>
      </c>
      <c r="BE6" s="110">
        <v>1.0416666666666666E-2</v>
      </c>
      <c r="BF6" s="211">
        <f>IF('Temperature Profiles'!G5&lt;16,(-0.0076*'Temperature Profiles'!G5+0.1245)*1000,0)</f>
        <v>20.25333333333333</v>
      </c>
      <c r="BG6" s="110">
        <v>1.0416666666666666E-2</v>
      </c>
      <c r="BH6" s="211">
        <f>IF('Temperature Profiles'!G5&lt;16,(-0.01*'Temperature Profiles'!G5+0.167)*1000,0)</f>
        <v>29.83333333333335</v>
      </c>
      <c r="BI6" s="21"/>
      <c r="BJ6" s="110">
        <v>1.0416666666666666E-2</v>
      </c>
      <c r="BK6" s="211">
        <f>IF('Temperature Profiles'!L5&lt;16,(-0.0037*'Temperature Profiles'!L5+0.0664)*1000,0)</f>
        <v>0</v>
      </c>
      <c r="BL6" s="110">
        <v>1.0416666666666666E-2</v>
      </c>
      <c r="BM6" s="211">
        <f>IF('Temperature Profiles'!L5&lt;16,(-0.0076*'Temperature Profiles'!L5+0.1245)*1000,0)</f>
        <v>0</v>
      </c>
      <c r="BN6" s="110">
        <v>1.0416666666666666E-2</v>
      </c>
      <c r="BO6" s="211">
        <f>IF('Temperature Profiles'!L5&lt;16,(-0.01*'Temperature Profiles'!L5+0.167)*1000,0)</f>
        <v>0</v>
      </c>
      <c r="BP6" s="21"/>
      <c r="BQ6" s="110">
        <v>1.0416666666666666E-2</v>
      </c>
      <c r="BR6" s="211">
        <f>IF('Temperature Profiles'!Q5&lt;16,(-0.0037*'Temperature Profiles'!Q5+0.0664)*1000,0)</f>
        <v>0</v>
      </c>
      <c r="BS6" s="110">
        <v>1.0416666666666666E-2</v>
      </c>
      <c r="BT6" s="211">
        <f>IF('Temperature Profiles'!Q5&lt;16,(-0.0076*'Temperature Profiles'!Q5+0.1245)*1000,0)</f>
        <v>0</v>
      </c>
      <c r="BU6" s="110">
        <v>1.0416666666666666E-2</v>
      </c>
      <c r="BV6" s="211">
        <f>IF('Temperature Profiles'!Q5&lt;16,(-0.01*'Temperature Profiles'!Q5+0.167)*1000,0)</f>
        <v>0</v>
      </c>
      <c r="BW6" s="21"/>
      <c r="BX6" s="110">
        <v>1.0416666666666666E-2</v>
      </c>
      <c r="BY6" s="211">
        <f>IF('Temperature Profiles'!V5&lt;16,(-0.0037*'Temperature Profiles'!V5+0.0664)*1000,0)</f>
        <v>0</v>
      </c>
      <c r="BZ6" s="110">
        <v>1.0416666666666666E-2</v>
      </c>
      <c r="CA6" s="211">
        <f>IF('Temperature Profiles'!V5&lt;16,(-0.0076*'Temperature Profiles'!V5+0.1245)*1000,0)</f>
        <v>0</v>
      </c>
      <c r="CB6" s="110">
        <v>1.0416666666666666E-2</v>
      </c>
      <c r="CC6" s="211">
        <f>IF('Temperature Profiles'!V5&lt;16,(-0.01*'Temperature Profiles'!V5+0.167)*1000,0)</f>
        <v>0</v>
      </c>
      <c r="CD6" s="186"/>
      <c r="CE6" s="110">
        <v>1.0416666666666666E-2</v>
      </c>
      <c r="CF6" s="211">
        <f>IF('Temperature Profiles'!AA5&lt;16,(-0.0037*'Temperature Profiles'!AA5+0.0664)*1000,0)</f>
        <v>131.70500000000001</v>
      </c>
      <c r="CG6" s="110">
        <v>1.0416666666666666E-2</v>
      </c>
      <c r="CH6" s="178">
        <f>IF('Temperature Profiles'!AA5&lt;16,(-0.0076*'Temperature Profiles'!AA5+0.1245)*1000,0)</f>
        <v>258.64</v>
      </c>
      <c r="CI6" s="110">
        <v>1.0416666666666666E-2</v>
      </c>
      <c r="CJ6" s="211">
        <f>IF('Temperature Profiles'!AA5&lt;16,(-0.01*'Temperature Profiles'!AA5+0.167)*1000,0)</f>
        <v>343.5</v>
      </c>
      <c r="CK6" s="21"/>
      <c r="CL6" s="110">
        <v>1.0416666666666666E-2</v>
      </c>
      <c r="CM6" s="211">
        <f>IF('Temperature Profiles'!AF5&lt;16,(-0.0037*'Temperature Profiles'!AF5+0.0664)*1000,0)</f>
        <v>0</v>
      </c>
      <c r="CN6" s="110">
        <v>1.0416666666666666E-2</v>
      </c>
      <c r="CO6" s="178">
        <f>IF('Temperature Profiles'!AF5&lt;16,(-0.0076*'Temperature Profiles'!AF5+0.1245)*1000,0)</f>
        <v>0</v>
      </c>
      <c r="CP6" s="110">
        <v>1.0416666666666666E-2</v>
      </c>
      <c r="CQ6" s="211">
        <f>IF('Temperature Profiles'!AF5&lt;16,(-0.01*'Temperature Profiles'!AF5+0.167)*1000,0)</f>
        <v>0</v>
      </c>
      <c r="CR6" s="21"/>
      <c r="CS6" s="110">
        <v>1.0416666666666666E-2</v>
      </c>
      <c r="CT6" s="211"/>
      <c r="CU6" s="21"/>
      <c r="CV6" s="110">
        <v>1.0416666666666666E-2</v>
      </c>
      <c r="CW6" s="264"/>
      <c r="CY6" s="260">
        <v>1.0416666666666666E-2</v>
      </c>
      <c r="CZ6" s="178">
        <f>IF('Temperature Profiles'!G5&gt;18,(0.0024*('Temperature Profiles'!G5^2)-0.0581*'Temperature Profiles'!G5+0.3293)*1000,IF('Temperature Profiles'!G5&lt;17,(0.0022*('Temperature Profiles'!G5^2)-0.0874*'Temperature Profiles'!G5+0.9301)*1000,0))</f>
        <v>145.18661111111109</v>
      </c>
      <c r="DA6" s="110">
        <v>1.0416666666666666E-2</v>
      </c>
      <c r="DB6" s="263">
        <f>IF('Temperature Profiles'!G5&gt;18,(0.0043*('Temperature Profiles'!G5^2)-0.1116*'Temperature Profiles'!G5+0.6576)*1000,IF('Temperature Profiles'!G5&lt;17,(0.0053*('Temperature Profiles'!G5^2)-0.1876*'Temperature Profiles'!G5+1.7649)*1000,0))</f>
        <v>188.83213888888895</v>
      </c>
      <c r="DC6" s="110">
        <v>1.0416666666666666E-2</v>
      </c>
      <c r="DD6" s="211">
        <f>IF('Temperature Profiles'!G5&gt;18,(0.0057*('Temperature Profiles'!G5^2)-0.1509*'Temperature Profiles'!G5+0.8935)*1000,IF('Temperature Profiles'!G5&lt;17,(0.0072*('Temperature Profiles'!G5^2)-0.254*'Temperature Profiles'!G5+2.3952)*1000,0))</f>
        <v>265.82466666666613</v>
      </c>
      <c r="DE6" s="21"/>
      <c r="DF6" s="110">
        <v>1.0416666666666666E-2</v>
      </c>
      <c r="DG6" s="209">
        <f>IF('Temperature Profiles'!L5&gt;18,(0.0024*('Temperature Profiles'!L5^2)-0.0581*'Temperature Profiles'!L5+0.3293)*1000,IF('Temperature Profiles'!L5&lt;17,(0.0022*('Temperature Profiles'!L5^2)-0.0874*'Temperature Profiles'!L5+0.9301)*1000,0))</f>
        <v>213.88899999999984</v>
      </c>
      <c r="DH6" s="110">
        <v>1.0416666666666666E-2</v>
      </c>
      <c r="DI6" s="209">
        <f>IF('Temperature Profiles'!L5&gt;18,(0.0043*('Temperature Profiles'!L5^2)-0.1116*'Temperature Profiles'!L5+0.6576)*1000,IF('Temperature Profiles'!L5&lt;17,(0.0053*('Temperature Profiles'!L5^2)-0.1876*'Temperature Profiles'!L5+1.7649)*1000,0))</f>
        <v>285.54268749999954</v>
      </c>
      <c r="DJ6" s="110">
        <v>1.0416666666666666E-2</v>
      </c>
      <c r="DK6" s="211">
        <f>IF('Temperature Profiles'!L5&gt;18,(0.0057*('Temperature Profiles'!L5^2)-0.1509*'Temperature Profiles'!L5+0.8935)*1000,IF('Temperature Profiles'!L5&lt;17,(0.0072*('Temperature Profiles'!L5^2)-0.254*'Temperature Profiles'!L5+2.3952)*1000,0))</f>
        <v>335.00106249999948</v>
      </c>
      <c r="DL6" s="21"/>
      <c r="DM6" s="110">
        <v>1.0416666666666666E-2</v>
      </c>
      <c r="DN6" s="209">
        <f>IF('Temperature Profiles'!Q5&gt;18,(0.0024*('Temperature Profiles'!Q5^2)-0.0581*'Temperature Profiles'!Q5+0.3293)*1000,IF('Temperature Profiles'!Q5&lt;17,(0.0022*('Temperature Profiles'!Q5^2)-0.0874*'Temperature Profiles'!Q5+0.9301)*1000,0))</f>
        <v>289.80599999999987</v>
      </c>
      <c r="DO6" s="110">
        <v>1.0416666666666666E-2</v>
      </c>
      <c r="DP6" s="209">
        <f>IF('Temperature Profiles'!Q5&gt;18,(0.0043*('Temperature Profiles'!Q5^2)-0.1116*'Temperature Profiles'!Q5+0.6576)*1000,IF('Temperature Profiles'!Q5&lt;17,(0.0053*('Temperature Profiles'!Q5^2)-0.1876*'Temperature Profiles'!Q5+1.7649)*1000,0))</f>
        <v>410.42946527777735</v>
      </c>
      <c r="DQ6" s="110">
        <v>1.0416666666666666E-2</v>
      </c>
      <c r="DR6" s="211">
        <f>IF('Temperature Profiles'!Q5&gt;18,(0.0057*('Temperature Profiles'!Q5^2)-0.1509*'Temperature Profiles'!Q5+0.8935)*1000,IF('Temperature Profiles'!Q5&lt;17,(0.0072*('Temperature Profiles'!Q5^2)-0.254*'Temperature Profiles'!Q5+2.3952)*1000,0))</f>
        <v>496.15039583333288</v>
      </c>
      <c r="DS6" s="21"/>
      <c r="DT6" s="110">
        <v>1.0416666666666666E-2</v>
      </c>
      <c r="DU6" s="209">
        <f>IF('Temperature Profiles'!V5&gt;18,(0.0024*('Temperature Profiles'!V5^2)-0.0581*'Temperature Profiles'!V5+0.3293)*1000,IF('Temperature Profiles'!V5&lt;17,(0.0022*('Temperature Profiles'!V5^2)-0.0874*'Temperature Profiles'!V5+0.9301)*1000,0))</f>
        <v>0</v>
      </c>
      <c r="DV6" s="110">
        <v>1.0416666666666666E-2</v>
      </c>
      <c r="DW6" s="209">
        <f>IF('Temperature Profiles'!V5&gt;18,(0.0043*('Temperature Profiles'!V5^2)-0.1116*'Temperature Profiles'!V5+0.6576)*1000,IF('Temperature Profiles'!V5&lt;17,(0.0053*('Temperature Profiles'!V5^2)-0.1876*'Temperature Profiles'!V5+1.7649)*1000,0))</f>
        <v>0</v>
      </c>
      <c r="DX6" s="110">
        <v>1.0416666666666666E-2</v>
      </c>
      <c r="DY6" s="211">
        <f>IF('Temperature Profiles'!V5&gt;18,(0.0057*('Temperature Profiles'!V5^2)-0.1509*'Temperature Profiles'!V5+0.8935)*1000,IF('Temperature Profiles'!V5&lt;17,(0.0072*('Temperature Profiles'!V5^2)-0.254*'Temperature Profiles'!V5+2.3952)*1000,0))</f>
        <v>0</v>
      </c>
      <c r="DZ6" s="21"/>
      <c r="EA6" s="110">
        <v>1.0416666666666666E-2</v>
      </c>
      <c r="EB6" s="209">
        <f>IF('Temperature Profiles'!AA104&gt;18,(0.0024*('Temperature Profiles'!AA104^2)-0.0581*'Temperature Profiles'!AA104+0.3293)*1000,IF('Temperature Profiles'!AA104&lt;17,(0.0022*('Temperature Profiles'!AA104^2)-0.0874*'Temperature Profiles'!AA104+0.9301)*1000,0))</f>
        <v>626.8068194444445</v>
      </c>
      <c r="EC6" s="110">
        <v>1.0416666666666666E-2</v>
      </c>
      <c r="ED6" s="209">
        <f>IF('Temperature Profiles'!AA104&gt;18,(0.0043*('Temperature Profiles'!AA104^2)-0.1116*'Temperature Profiles'!AA104+0.6576)*1000,IF('Temperature Profiles'!AA104&lt;17,(0.0053*('Temperature Profiles'!AA104^2)-0.1876*'Temperature Profiles'!AA104+1.7649)*1000,0))</f>
        <v>1122.4228680555557</v>
      </c>
      <c r="EE6" s="110">
        <v>1.0416666666666666E-2</v>
      </c>
      <c r="EF6" s="211">
        <f>IF('Temperature Profiles'!AA104&gt;18,(0.0057*('Temperature Profiles'!AA104^2)-0.1509*'Temperature Profiles'!AA104+0.8935)*1000,IF('Temperature Profiles'!AA104&lt;17,(0.0072*('Temperature Profiles'!AA104^2)-0.254*'Temperature Profiles'!AA104+2.3952)*1000,0))</f>
        <v>1525.6771666666666</v>
      </c>
      <c r="EG6" s="21"/>
      <c r="EH6" s="110">
        <v>1.0416666666666666E-2</v>
      </c>
      <c r="EI6" s="211">
        <f>IF('Temperature Profiles'!AF5&gt;18,(0.0024*('Temperature Profiles'!AF5^2)-0.0581*'Temperature Profiles'!AF5+0.3293)*1000,IF('Temperature Profiles'!AF5&lt;17,(0.0022*('Temperature Profiles'!AF5^2)-0.0874*'Temperature Profiles'!AF5+0.9301)*1000,0))</f>
        <v>683.91099999999994</v>
      </c>
      <c r="EJ6" s="110">
        <v>1.0416666666666666E-2</v>
      </c>
      <c r="EK6" s="211">
        <f>IF('Temperature Profiles'!AF5&gt;18,(0.0043*('Temperature Profiles'!AF5^2)-0.1116*'Temperature Profiles'!AF5+0.6576)*1000,IF('Temperature Profiles'!AF5&lt;17,(0.0053*('Temperature Profiles'!AF5^2)-0.1876*'Temperature Profiles'!AF5+1.7649)*1000,0))</f>
        <v>1073.3852986111115</v>
      </c>
      <c r="EL6" s="110">
        <v>1.0416666666666666E-2</v>
      </c>
      <c r="EM6" s="211">
        <f>IF('Temperature Profiles'!AF5&gt;18,(0.0057*('Temperature Profiles'!AF5^2)-0.1509*'Temperature Profiles'!AF5+0.8935)*1000,IF('Temperature Profiles'!AF5&lt;17,(0.0072*('Temperature Profiles'!AF5^2)-0.254*'Temperature Profiles'!AF5+2.3952)*1000,0))</f>
        <v>1357.9028958333342</v>
      </c>
      <c r="EN6" s="21"/>
      <c r="EO6" s="110">
        <v>1.0416666666666666E-2</v>
      </c>
      <c r="EP6" s="211"/>
      <c r="EQ6" s="21"/>
      <c r="ER6" s="110">
        <v>1.0416666666666666E-2</v>
      </c>
      <c r="ES6" s="264"/>
      <c r="EU6" s="260">
        <v>1.0416666666666666E-2</v>
      </c>
      <c r="EV6" s="209">
        <f>IF('Temperature Profiles'!AA104&gt;18,(0.0024*('Temperature Profiles'!AA104^2)-0.0581*'Temperature Profiles'!AA104+0.3293)*1000,IF('Temperature Profiles'!AA104&lt;17,(0.0022*('Temperature Profiles'!AA104^2)-0.0874*'Temperature Profiles'!AA104+0.9301)*1000,0))</f>
        <v>626.8068194444445</v>
      </c>
      <c r="EW6" s="110">
        <v>1.0416666666666666E-2</v>
      </c>
      <c r="EX6" s="209">
        <f>IF('Temperature Profiles'!AA104&gt;18,(0.0043*('Temperature Profiles'!AA104^2)-0.1116*'Temperature Profiles'!AA104+0.6576)*1000,IF('Temperature Profiles'!AA104&lt;17,(0.0053*('Temperature Profiles'!AA104^2)-0.1876*'Temperature Profiles'!AA104+1.7649)*1000,0))</f>
        <v>1122.4228680555557</v>
      </c>
      <c r="EY6" s="110">
        <v>1.0416666666666666E-2</v>
      </c>
      <c r="EZ6" s="264">
        <f>IF('Temperature Profiles'!AA104&gt;18,(0.0057*('Temperature Profiles'!AA104^2)-0.1509*'Temperature Profiles'!AA104+0.8935)*1000,IF('Temperature Profiles'!AA104&lt;17,(0.0072*('Temperature Profiles'!AA104^2)-0.254*'Temperature Profiles'!AA104+2.3952)*1000,0))</f>
        <v>1525.6771666666666</v>
      </c>
    </row>
    <row r="7" spans="1:156" x14ac:dyDescent="0.3">
      <c r="A7" s="108">
        <v>1.0416666666666666E-2</v>
      </c>
      <c r="B7" s="226">
        <f t="shared" ref="B7:B70" si="0">IF(AND($B$3=$G$2,$D$3=$G$3),H6,IF(AND($B$3=$G$2,$D$3=$I$3),J6,IF(AND($B$3=$G$2,$D$3=$K$3),L6,IF(AND($B$3=$N$2,$D$3=$N$3),O6,IF(AND($B$3=$N$2,$D$3=$P$3),Q6,IF(AND($B$3=$N$2,$D$3=$R$3),S6,IF(AND($B$3=$U$2,$D$3=$U$3),V6,IF(AND($B$3=$U$2,$D$3=$W$3),X6,IF(AND($B$3=$U$2,$D$3=$Y$3),Z6,IF(AND($B$3=$AB$2,$D$3=$AB$3),AC6,IF(AND($B$3=$AB$2,$D$3=$AD$3),AE6,IF(AND($B$3=$AB$2,$D$3=$AF$3),AG6,IF(AND($B$3=$AI$2,$D$3=$AI$3),AJ6,IF(AND($B$3=$AI$2,$D$3=$AK$3),AL6,IF(AND($B$3=$AI$2,$D$3=$AM$3),AN6,IF(AND($B$3=$AP$2,$D$3=$AP$3),AQ6,IF(AND($B$3=$AP$2,$D$3=$AR$3),AS6,IF(AND($B$3=$AP$2,$D$3=$AT$3),AU6,IF($B$3=$AW$3,AX6,IF($B$3=$AZ$3,BA6,0))))))))))))))))))))</f>
        <v>0</v>
      </c>
      <c r="C7" s="21">
        <f t="shared" ref="C7:C70" si="1">IF(AND($B$3=$BC$2,$D$3=$BC$3),BD6,IF(AND($B$3=$BC$2,$D$3=$BE$3),BF6,IF(AND($B$3=$BC$2,$D$3=$BG$3),BH6,IF(AND($B$3=$BJ$2,$D$3=$BJ$3),BK6,IF(AND($B$3=$BJ$2,$D$3=$BL$3),BM6,IF(AND($B$3=$BJ$2,$D$3=$BN$3),BO6,IF(AND($B$3=$BQ$2,$D$3=$BQ$3),BR6,IF(AND($B$3=$BQ$2,$D$3=$BS$3),BT6,IF(AND($B$3=$BQ$2,$D$3=$BU$3),BV6,IF(AND($B$3=$BX$2,$D$3=$BX$3),BY6,IF(AND($B$3=$BX$2,$D$3=$BZ$3),CA6,IF(AND($B$3=$BX$2,$D$3=$CB$3),CC6,IF(AND($B$3=$CE$2,$D$3=$CE$3),CF6,IF(AND($B$3=$CE$2,$D$3=$CG$3),CH6,IF(AND($B$3=$CE$2,$D$3=$CI$3),CJ6,IF(AND($B$3=$CL$2,$D$3=$CL$3),CM6,IF(AND($B$3=$CL$2,$D$3=$CN$3),CO6,IF(AND($B$3=$CL$2,$D$3=$CP$3),CQ6,IF($B$3=$CS$3,CT6,IF($B$3=$CV$3,CW6,0))))))))))))))))))))</f>
        <v>343.5</v>
      </c>
      <c r="D7" s="20">
        <f t="shared" ref="D7:D70" si="2">IF(AND($B$3=$CY$2,$D$3=$CY$3),CZ6,IF(AND($B$3=$CY$2,$D$3=$DA$3),DB6,IF(AND($B$3=$CY$2,$D$3=$DC$3),DD6,IF(AND($B$3=$DF$2,$D$3=$DF$3),DG6,IF(AND($B$3=$DF$2,$D$3=$DH$3),DI6,IF(AND($B$3=$DF$2,$D$3=$DJ$3),DK6,IF(AND($B$3=$DM$2,$D$3=$DM$3),DN6,IF(AND($B$3=$DM$2,$D$3=$DO$3),DP6,IF(AND($B$3=$DM$2,$D$3=$DQ$3),DR6,IF(AND($B$3=$DT$2,$D$3=$DT$3),DU6,IF(AND($B$3=$DT$2,$D$3=$DV$3),DW6,IF(AND($B$3=$DT$2,$D$3=$DX$3),DY6,IF(AND($B$3=$EA$2,$D$3=$EA$3),EB6,IF(AND($B$3=$EA$2,$D$3=$EC$3),ED6,IF(AND($B$3=$EA$2,$D$3=$EE$3),EF6,IF(AND($B$3=$EH$2,$D$3=$EH$3),EI6,IF(AND($B$3=$EH$2,$D$3=$EJ$3),EK6,IF(AND($B$3=$EH$2,$D$3=$EL$3),EM6,IF($B$3=$EO$3,EP6,IF($B$3=$ER$3,ES6,0))))))))))))))))))))</f>
        <v>1525.6771666666666</v>
      </c>
      <c r="E7" s="20">
        <f t="shared" ref="E7:E70" si="3">IF(AND($B$3=$EU$2,$D$3=$EU$3),EV6,IF(AND($B$3=$EU$2,$D$3=$EW$3),EX6,IF(AND($B$3=$EU$2,$D$3=$EY$3),EZ6,0)))</f>
        <v>1525.6771666666666</v>
      </c>
      <c r="G7" s="260">
        <v>2.0833333333333301E-2</v>
      </c>
      <c r="H7" s="211">
        <f>IF('Temperature Profiles'!G6&gt;17,(0.0029*('Temperature Profiles'!G6^2) - 0.0863*'Temperature Profiles'!G6 + 0.6808)*1000,0)</f>
        <v>0</v>
      </c>
      <c r="I7" s="110">
        <v>2.0833333333333301E-2</v>
      </c>
      <c r="J7" s="211">
        <f>IF('Temperature Profiles'!G6&gt;17,(0.005*('Temperature Profiles'!G6^2) - 0.1517*'Temperature Profiles'!G6 + 1.1702)*1000,0)</f>
        <v>0</v>
      </c>
      <c r="K7" s="110">
        <v>2.0833333333333301E-2</v>
      </c>
      <c r="L7" s="211">
        <f>IF('Temperature Profiles'!G6&gt;17,(0.0068*('Temperature Profiles'!G6^2) - 0.2129*'Temperature Profiles'!G6 + 1.6904)*1000,0)</f>
        <v>0</v>
      </c>
      <c r="M7" s="21"/>
      <c r="N7" s="110">
        <v>2.0833333333333301E-2</v>
      </c>
      <c r="O7" s="211">
        <f>IF('Temperature Profiles'!L6&gt;17,(0.0029*('Temperature Profiles'!L6^2) - 0.0863*'Temperature Profiles'!L6 + 0.6808)*1000,0)</f>
        <v>186.8343124999997</v>
      </c>
      <c r="P7" s="110">
        <v>2.0833333333333301E-2</v>
      </c>
      <c r="Q7" s="211">
        <f>IF('Temperature Profiles'!L6&gt;17,(0.005*('Temperature Profiles'!L6^2) - 0.1517*'Temperature Profiles'!L6 + 1.1702)*1000,0)</f>
        <v>254.51062499999955</v>
      </c>
      <c r="R7" s="110">
        <v>2.0833333333333301E-2</v>
      </c>
      <c r="S7" s="211">
        <f>IF('Temperature Profiles'!L6&gt;17,(0.0068*('Temperature Profiles'!L6^2) - 0.2129*'Temperature Profiles'!L6 + 1.6904)*1000,0)</f>
        <v>299.96174999999914</v>
      </c>
      <c r="T7" s="21"/>
      <c r="U7" s="110">
        <v>2.0833333333333301E-2</v>
      </c>
      <c r="V7" s="211">
        <f>IF('Temperature Profiles'!Q6&gt;17,(0.0029*('Temperature Profiles'!Q6^2) - 0.0863*'Temperature Profiles'!Q6 + 0.6808)*1000,0)</f>
        <v>254.69186805555532</v>
      </c>
      <c r="W7" s="110">
        <v>2.0833333333333301E-2</v>
      </c>
      <c r="X7" s="211">
        <f>IF('Temperature Profiles'!Q6&gt;17,(0.005*('Temperature Profiles'!Q6^2) - 0.1517*'Temperature Profiles'!Q6 + 1.1702)*1000,0)</f>
        <v>367.19451388888882</v>
      </c>
      <c r="Y7" s="110">
        <v>2.0833333333333301E-2</v>
      </c>
      <c r="Z7" s="211">
        <f>IF('Temperature Profiles'!Q6&gt;17,(0.0068*('Temperature Profiles'!Q6^2) - 0.2129*'Temperature Profiles'!Q6 + 1.6904)*1000,0)</f>
        <v>443.43963888888771</v>
      </c>
      <c r="AA7" s="21"/>
      <c r="AB7" s="110">
        <v>2.0833333333333301E-2</v>
      </c>
      <c r="AC7" s="211">
        <f>IF('Temperature Profiles'!V6&gt;17,(0.0029*('Temperature Profiles'!V6^2) - 0.0863*'Temperature Profiles'!V6 + 0.6808)*1000,0)</f>
        <v>64.350249999999832</v>
      </c>
      <c r="AD7" s="110">
        <v>2.0833333333333301E-2</v>
      </c>
      <c r="AE7" s="211">
        <f>IF('Temperature Profiles'!V6&gt;17,(0.005*('Temperature Profiles'!V6^2) - 0.1517*'Temperature Profiles'!V6 + 1.1702)*1000,0)</f>
        <v>55.467499999999781</v>
      </c>
      <c r="AF7" s="110">
        <v>2.0833333333333301E-2</v>
      </c>
      <c r="AG7" s="211">
        <f>IF('Temperature Profiles'!V6&gt;17,(0.0068*('Temperature Profiles'!V6^2) - 0.2129*'Temperature Profiles'!V6 + 1.6904)*1000,0)</f>
        <v>56.76799999999993</v>
      </c>
      <c r="AH7" s="21"/>
      <c r="AI7" s="110">
        <v>2.0833333333333301E-2</v>
      </c>
      <c r="AJ7" s="211">
        <f>IF('Temperature Profiles'!AA6&gt;17,(0.0029*('Temperature Profiles'!AA6^2) - 0.0863*'Temperature Profiles'!AA6 + 0.6808)*1000,0)</f>
        <v>0</v>
      </c>
      <c r="AK7" s="110">
        <v>2.0833333333333301E-2</v>
      </c>
      <c r="AL7" s="211">
        <f>IF('Temperature Profiles'!AA6&gt;17,(0.005*('Temperature Profiles'!AA6^2) - 0.1517*'Temperature Profiles'!AA6 + 1.1701)*1000,0)</f>
        <v>0</v>
      </c>
      <c r="AM7" s="110">
        <v>2.0833333333333301E-2</v>
      </c>
      <c r="AN7" s="211">
        <f>IF('Temperature Profiles'!AA6&gt;17,(0.0068*('Temperature Profiles'!AA6^2) - 0.2129*'Temperature Profiles'!AA6 + 1.6904)*1000,0)</f>
        <v>0</v>
      </c>
      <c r="AO7" s="21"/>
      <c r="AP7" s="110">
        <v>2.0833333333333301E-2</v>
      </c>
      <c r="AQ7" s="211">
        <f>IF('Temperature Profiles'!AF6&gt;17,(0.0029*('Temperature Profiles'!AF6^2) - 0.0863*'Temperature Profiles'!AF6 + 0.6808)*1000,0)</f>
        <v>638.35103472222204</v>
      </c>
      <c r="AR7" s="110">
        <v>2.0833333333333301E-2</v>
      </c>
      <c r="AS7" s="183">
        <f>IF('Temperature Profiles'!AF6&gt;17,(0.005*('Temperature Profiles'!AF6^2) - 0.1517*'Temperature Profiles'!AF6 + 1.1702)*1000,0)</f>
        <v>1011.9611805555562</v>
      </c>
      <c r="AT7" s="110">
        <v>2.0833333333333301E-2</v>
      </c>
      <c r="AU7" s="211">
        <f>IF('Temperature Profiles'!AF6&gt;17,(0.0068*('Temperature Profiles'!AF6^2) - 0.2129*'Temperature Profiles'!AF6 + 1.6904)*1000,0)</f>
        <v>1282.4413055555551</v>
      </c>
      <c r="AV7" s="21"/>
      <c r="AW7" s="110">
        <v>2.0833333333333301E-2</v>
      </c>
      <c r="AX7" s="211"/>
      <c r="AY7" s="21"/>
      <c r="AZ7" s="110">
        <v>2.0833333333333301E-2</v>
      </c>
      <c r="BA7" s="264"/>
      <c r="BC7" s="260">
        <v>2.0833333333333301E-2</v>
      </c>
      <c r="BD7" s="211">
        <f>IF('Temperature Profiles'!G6&lt;16,(-0.0037*'Temperature Profiles'!G6+0.0664)*1000,0)</f>
        <v>15.648333333333333</v>
      </c>
      <c r="BE7" s="110">
        <v>2.0833333333333301E-2</v>
      </c>
      <c r="BF7" s="211">
        <f>IF('Temperature Profiles'!G6&lt;16,(-0.0076*'Temperature Profiles'!G6+0.1245)*1000,0)</f>
        <v>20.25333333333333</v>
      </c>
      <c r="BG7" s="110">
        <v>2.0833333333333301E-2</v>
      </c>
      <c r="BH7" s="211">
        <f>IF('Temperature Profiles'!G6&lt;16,(-0.01*'Temperature Profiles'!G6+0.167)*1000,0)</f>
        <v>29.83333333333335</v>
      </c>
      <c r="BI7" s="21"/>
      <c r="BJ7" s="110">
        <v>2.0833333333333301E-2</v>
      </c>
      <c r="BK7" s="211">
        <f>IF('Temperature Profiles'!L6&lt;16,(-0.0037*'Temperature Profiles'!L6+0.0664)*1000,0)</f>
        <v>0</v>
      </c>
      <c r="BL7" s="110">
        <v>2.0833333333333301E-2</v>
      </c>
      <c r="BM7" s="211">
        <f>IF('Temperature Profiles'!L6&lt;16,(-0.0076*'Temperature Profiles'!L6+0.1245)*1000,0)</f>
        <v>0</v>
      </c>
      <c r="BN7" s="110">
        <v>2.0833333333333301E-2</v>
      </c>
      <c r="BO7" s="211">
        <f>IF('Temperature Profiles'!L6&lt;16,(-0.01*'Temperature Profiles'!L6+0.167)*1000,0)</f>
        <v>0</v>
      </c>
      <c r="BP7" s="21"/>
      <c r="BQ7" s="110">
        <v>2.0833333333333301E-2</v>
      </c>
      <c r="BR7" s="211">
        <f>IF('Temperature Profiles'!Q6&lt;16,(-0.0037*'Temperature Profiles'!Q6+0.0664)*1000,0)</f>
        <v>0</v>
      </c>
      <c r="BS7" s="110">
        <v>2.0833333333333301E-2</v>
      </c>
      <c r="BT7" s="211">
        <f>IF('Temperature Profiles'!Q6&lt;16,(-0.0076*'Temperature Profiles'!Q6+0.1245)*1000,0)</f>
        <v>0</v>
      </c>
      <c r="BU7" s="110">
        <v>2.0833333333333301E-2</v>
      </c>
      <c r="BV7" s="211">
        <f>IF('Temperature Profiles'!Q6&lt;16,(-0.01*'Temperature Profiles'!Q6+0.167)*1000,0)</f>
        <v>0</v>
      </c>
      <c r="BW7" s="21"/>
      <c r="BX7" s="110">
        <v>2.0833333333333301E-2</v>
      </c>
      <c r="BY7" s="211">
        <f>IF('Temperature Profiles'!V6&lt;16,(-0.0037*'Temperature Profiles'!V6+0.0664)*1000,0)</f>
        <v>0</v>
      </c>
      <c r="BZ7" s="110">
        <v>2.0833333333333301E-2</v>
      </c>
      <c r="CA7" s="211">
        <f>IF('Temperature Profiles'!V6&lt;16,(-0.0076*'Temperature Profiles'!V6+0.1245)*1000,0)</f>
        <v>0</v>
      </c>
      <c r="CB7" s="110">
        <v>2.0833333333333301E-2</v>
      </c>
      <c r="CC7" s="211">
        <f>IF('Temperature Profiles'!V6&lt;16,(-0.01*'Temperature Profiles'!V6+0.167)*1000,0)</f>
        <v>0</v>
      </c>
      <c r="CD7" s="189"/>
      <c r="CE7" s="110">
        <v>2.0833333333333301E-2</v>
      </c>
      <c r="CF7" s="211">
        <f>IF('Temperature Profiles'!AA6&lt;16,(-0.0037*'Temperature Profiles'!AA6+0.0664)*1000,0)</f>
        <v>131.70500000000001</v>
      </c>
      <c r="CG7" s="110">
        <v>2.0833333333333301E-2</v>
      </c>
      <c r="CH7" s="178">
        <f>IF('Temperature Profiles'!AA6&lt;16,(-0.0076*'Temperature Profiles'!AA6+0.1245)*1000,0)</f>
        <v>258.64</v>
      </c>
      <c r="CI7" s="110">
        <v>2.0833333333333301E-2</v>
      </c>
      <c r="CJ7" s="211">
        <f>IF('Temperature Profiles'!AA6&lt;16,(-0.01*'Temperature Profiles'!AA6+0.167)*1000,0)</f>
        <v>343.5</v>
      </c>
      <c r="CK7" s="21"/>
      <c r="CL7" s="110">
        <v>2.0833333333333301E-2</v>
      </c>
      <c r="CM7" s="211">
        <f>IF('Temperature Profiles'!AF6&lt;16,(-0.0037*'Temperature Profiles'!AF6+0.0664)*1000,0)</f>
        <v>0</v>
      </c>
      <c r="CN7" s="110">
        <v>2.0833333333333301E-2</v>
      </c>
      <c r="CO7" s="178">
        <f>IF('Temperature Profiles'!AF6&lt;16,(-0.0076*'Temperature Profiles'!AF6+0.1245)*1000,0)</f>
        <v>0</v>
      </c>
      <c r="CP7" s="110">
        <v>2.0833333333333301E-2</v>
      </c>
      <c r="CQ7" s="211">
        <f>IF('Temperature Profiles'!AF6&lt;16,(-0.01*'Temperature Profiles'!AF6+0.167)*1000,0)</f>
        <v>0</v>
      </c>
      <c r="CR7" s="21"/>
      <c r="CS7" s="110">
        <v>2.0833333333333301E-2</v>
      </c>
      <c r="CT7" s="211"/>
      <c r="CU7" s="21"/>
      <c r="CV7" s="110">
        <v>2.0833333333333301E-2</v>
      </c>
      <c r="CW7" s="264"/>
      <c r="CY7" s="260">
        <v>2.0833333333333301E-2</v>
      </c>
      <c r="CZ7" s="178">
        <f>IF('Temperature Profiles'!G6&gt;18,(0.0024*('Temperature Profiles'!G6^2)-0.0581*'Temperature Profiles'!G6+0.3293)*1000,IF('Temperature Profiles'!G6&lt;17,(0.0022*('Temperature Profiles'!G6^2)-0.0874*'Temperature Profiles'!G6+0.9301)*1000,0))</f>
        <v>145.18661111111109</v>
      </c>
      <c r="DA7" s="110">
        <v>2.0833333333333301E-2</v>
      </c>
      <c r="DB7" s="263">
        <f>IF('Temperature Profiles'!G6&gt;18,(0.0043*('Temperature Profiles'!G6^2)-0.1116*'Temperature Profiles'!G6+0.6576)*1000,IF('Temperature Profiles'!G6&lt;17,(0.0053*('Temperature Profiles'!G6^2)-0.1876*'Temperature Profiles'!G6+1.7649)*1000,0))</f>
        <v>188.83213888888895</v>
      </c>
      <c r="DC7" s="110">
        <v>2.0833333333333301E-2</v>
      </c>
      <c r="DD7" s="211">
        <f>IF('Temperature Profiles'!G6&gt;18,(0.0057*('Temperature Profiles'!G6^2)-0.1509*'Temperature Profiles'!G6+0.8935)*1000,IF('Temperature Profiles'!G6&lt;17,(0.0072*('Temperature Profiles'!G6^2)-0.254*'Temperature Profiles'!G6+2.3952)*1000,0))</f>
        <v>265.82466666666613</v>
      </c>
      <c r="DE7" s="21"/>
      <c r="DF7" s="110">
        <v>2.0833333333333301E-2</v>
      </c>
      <c r="DG7" s="209">
        <f>IF('Temperature Profiles'!L6&gt;18,(0.0024*('Temperature Profiles'!L6^2)-0.0581*'Temperature Profiles'!L6+0.3293)*1000,IF('Temperature Profiles'!L6&lt;17,(0.0022*('Temperature Profiles'!L6^2)-0.0874*'Temperature Profiles'!L6+0.9301)*1000,0))</f>
        <v>213.88899999999984</v>
      </c>
      <c r="DH7" s="110">
        <v>2.0833333333333301E-2</v>
      </c>
      <c r="DI7" s="209">
        <f>IF('Temperature Profiles'!L6&gt;18,(0.0043*('Temperature Profiles'!L6^2)-0.1116*'Temperature Profiles'!L6+0.6576)*1000,IF('Temperature Profiles'!L6&lt;17,(0.0053*('Temperature Profiles'!L6^2)-0.1876*'Temperature Profiles'!L6+1.7649)*1000,0))</f>
        <v>285.54268749999954</v>
      </c>
      <c r="DJ7" s="110">
        <v>2.0833333333333301E-2</v>
      </c>
      <c r="DK7" s="211">
        <f>IF('Temperature Profiles'!L6&gt;18,(0.0057*('Temperature Profiles'!L6^2)-0.1509*'Temperature Profiles'!L6+0.8935)*1000,IF('Temperature Profiles'!L6&lt;17,(0.0072*('Temperature Profiles'!L6^2)-0.254*'Temperature Profiles'!L6+2.3952)*1000,0))</f>
        <v>335.00106249999948</v>
      </c>
      <c r="DL7" s="21"/>
      <c r="DM7" s="110">
        <v>2.0833333333333301E-2</v>
      </c>
      <c r="DN7" s="209">
        <f>IF('Temperature Profiles'!Q6&gt;18,(0.0024*('Temperature Profiles'!Q6^2)-0.0581*'Temperature Profiles'!Q6+0.3293)*1000,IF('Temperature Profiles'!Q6&lt;17,(0.0022*('Temperature Profiles'!Q6^2)-0.0874*'Temperature Profiles'!Q6+0.9301)*1000,0))</f>
        <v>289.80599999999987</v>
      </c>
      <c r="DO7" s="110">
        <v>2.0833333333333301E-2</v>
      </c>
      <c r="DP7" s="209">
        <f>IF('Temperature Profiles'!Q6&gt;18,(0.0043*('Temperature Profiles'!Q6^2)-0.1116*'Temperature Profiles'!Q6+0.6576)*1000,IF('Temperature Profiles'!Q6&lt;17,(0.0053*('Temperature Profiles'!Q6^2)-0.1876*'Temperature Profiles'!Q6+1.7649)*1000,0))</f>
        <v>410.42946527777735</v>
      </c>
      <c r="DQ7" s="110">
        <v>2.0833333333333301E-2</v>
      </c>
      <c r="DR7" s="211">
        <f>IF('Temperature Profiles'!Q6&gt;18,(0.0057*('Temperature Profiles'!Q6^2)-0.1509*'Temperature Profiles'!Q6+0.8935)*1000,IF('Temperature Profiles'!Q6&lt;17,(0.0072*('Temperature Profiles'!Q6^2)-0.254*'Temperature Profiles'!Q6+2.3952)*1000,0))</f>
        <v>496.15039583333288</v>
      </c>
      <c r="DS7" s="21"/>
      <c r="DT7" s="110">
        <v>2.0833333333333301E-2</v>
      </c>
      <c r="DU7" s="209">
        <f>IF('Temperature Profiles'!V6&gt;18,(0.0024*('Temperature Profiles'!V6^2)-0.0581*'Temperature Profiles'!V6+0.3293)*1000,IF('Temperature Profiles'!V6&lt;17,(0.0022*('Temperature Profiles'!V6^2)-0.0874*'Temperature Profiles'!V6+0.9301)*1000,0))</f>
        <v>0</v>
      </c>
      <c r="DV7" s="110">
        <v>2.0833333333333301E-2</v>
      </c>
      <c r="DW7" s="209">
        <f>IF('Temperature Profiles'!V6&gt;18,(0.0043*('Temperature Profiles'!V6^2)-0.1116*'Temperature Profiles'!V6+0.6576)*1000,IF('Temperature Profiles'!V6&lt;17,(0.0053*('Temperature Profiles'!V6^2)-0.1876*'Temperature Profiles'!V6+1.7649)*1000,0))</f>
        <v>0</v>
      </c>
      <c r="DX7" s="110">
        <v>2.0833333333333301E-2</v>
      </c>
      <c r="DY7" s="211">
        <f>IF('Temperature Profiles'!V6&gt;18,(0.0057*('Temperature Profiles'!V6^2)-0.1509*'Temperature Profiles'!V6+0.8935)*1000,IF('Temperature Profiles'!V6&lt;17,(0.0072*('Temperature Profiles'!V6^2)-0.254*'Temperature Profiles'!V6+2.3952)*1000,0))</f>
        <v>0</v>
      </c>
      <c r="DZ7" s="21"/>
      <c r="EA7" s="110">
        <v>2.0833333333333301E-2</v>
      </c>
      <c r="EB7" s="209">
        <f>IF('Temperature Profiles'!AA105&gt;18,(0.0024*('Temperature Profiles'!AA105^2)-0.0581*'Temperature Profiles'!AA105+0.3293)*1000,IF('Temperature Profiles'!AA105&lt;17,(0.0022*('Temperature Profiles'!AA105^2)-0.0874*'Temperature Profiles'!AA105+0.9301)*1000,0))</f>
        <v>626.8068194444445</v>
      </c>
      <c r="EC7" s="110">
        <v>2.0833333333333301E-2</v>
      </c>
      <c r="ED7" s="209">
        <f>IF('Temperature Profiles'!AA105&gt;18,(0.0043*('Temperature Profiles'!AA105^2)-0.1116*'Temperature Profiles'!AA105+0.6576)*1000,IF('Temperature Profiles'!AA105&lt;17,(0.0053*('Temperature Profiles'!AA105^2)-0.1876*'Temperature Profiles'!AA105+1.7649)*1000,0))</f>
        <v>1122.4228680555557</v>
      </c>
      <c r="EE7" s="110">
        <v>2.0833333333333301E-2</v>
      </c>
      <c r="EF7" s="211">
        <f>IF('Temperature Profiles'!AA105&gt;18,(0.0057*('Temperature Profiles'!AA105^2)-0.1509*'Temperature Profiles'!AA105+0.8935)*1000,IF('Temperature Profiles'!AA105&lt;17,(0.0072*('Temperature Profiles'!AA105^2)-0.254*'Temperature Profiles'!AA105+2.3952)*1000,0))</f>
        <v>1525.6771666666666</v>
      </c>
      <c r="EG7" s="21"/>
      <c r="EH7" s="110">
        <v>2.0833333333333301E-2</v>
      </c>
      <c r="EI7" s="211">
        <f>IF('Temperature Profiles'!AF6&gt;18,(0.0024*('Temperature Profiles'!AF6^2)-0.0581*'Temperature Profiles'!AF6+0.3293)*1000,IF('Temperature Profiles'!AF6&lt;17,(0.0022*('Temperature Profiles'!AF6^2)-0.0874*'Temperature Profiles'!AF6+0.9301)*1000,0))</f>
        <v>683.91099999999994</v>
      </c>
      <c r="EJ7" s="110">
        <v>2.0833333333333301E-2</v>
      </c>
      <c r="EK7" s="211">
        <f>IF('Temperature Profiles'!AF6&gt;18,(0.0043*('Temperature Profiles'!AF6^2)-0.1116*'Temperature Profiles'!AF6+0.6576)*1000,IF('Temperature Profiles'!AF6&lt;17,(0.0053*('Temperature Profiles'!AF6^2)-0.1876*'Temperature Profiles'!AF6+1.7649)*1000,0))</f>
        <v>1073.3852986111115</v>
      </c>
      <c r="EL7" s="110">
        <v>2.0833333333333301E-2</v>
      </c>
      <c r="EM7" s="211">
        <f>IF('Temperature Profiles'!AF6&gt;18,(0.0057*('Temperature Profiles'!AF6^2)-0.1509*'Temperature Profiles'!AF6+0.8935)*1000,IF('Temperature Profiles'!AF6&lt;17,(0.0072*('Temperature Profiles'!AF6^2)-0.254*'Temperature Profiles'!AF6+2.3952)*1000,0))</f>
        <v>1357.9028958333342</v>
      </c>
      <c r="EN7" s="21"/>
      <c r="EO7" s="110">
        <v>2.0833333333333301E-2</v>
      </c>
      <c r="EP7" s="211"/>
      <c r="EQ7" s="21"/>
      <c r="ER7" s="110">
        <v>2.0833333333333301E-2</v>
      </c>
      <c r="ES7" s="264"/>
      <c r="EU7" s="260">
        <v>2.0833333333333301E-2</v>
      </c>
      <c r="EV7" s="209">
        <f>IF('Temperature Profiles'!AA105&gt;18,(0.0024*('Temperature Profiles'!AA105^2)-0.0581*'Temperature Profiles'!AA105+0.3293)*1000,IF('Temperature Profiles'!AA105&lt;17,(0.0022*('Temperature Profiles'!AA105^2)-0.0874*'Temperature Profiles'!AA105+0.9301)*1000,0))</f>
        <v>626.8068194444445</v>
      </c>
      <c r="EW7" s="110">
        <v>2.0833333333333301E-2</v>
      </c>
      <c r="EX7" s="209">
        <f>IF('Temperature Profiles'!AA105&gt;18,(0.0043*('Temperature Profiles'!AA105^2)-0.1116*'Temperature Profiles'!AA105+0.6576)*1000,IF('Temperature Profiles'!AA105&lt;17,(0.0053*('Temperature Profiles'!AA105^2)-0.1876*'Temperature Profiles'!AA105+1.7649)*1000,0))</f>
        <v>1122.4228680555557</v>
      </c>
      <c r="EY7" s="110">
        <v>2.0833333333333301E-2</v>
      </c>
      <c r="EZ7" s="264">
        <f>IF('Temperature Profiles'!AA105&gt;18,(0.0057*('Temperature Profiles'!AA105^2)-0.1509*'Temperature Profiles'!AA105+0.8935)*1000,IF('Temperature Profiles'!AA105&lt;17,(0.0072*('Temperature Profiles'!AA105^2)-0.254*'Temperature Profiles'!AA105+2.3952)*1000,0))</f>
        <v>1525.6771666666666</v>
      </c>
    </row>
    <row r="8" spans="1:156" x14ac:dyDescent="0.3">
      <c r="A8" s="108">
        <v>2.0833333333333301E-2</v>
      </c>
      <c r="B8" s="226">
        <f t="shared" si="0"/>
        <v>0</v>
      </c>
      <c r="C8" s="21">
        <f t="shared" si="1"/>
        <v>343.5</v>
      </c>
      <c r="D8" s="20">
        <f t="shared" si="2"/>
        <v>1525.6771666666666</v>
      </c>
      <c r="E8" s="20">
        <f t="shared" si="3"/>
        <v>1525.6771666666666</v>
      </c>
      <c r="G8" s="260">
        <v>3.125E-2</v>
      </c>
      <c r="H8" s="211">
        <f>IF('Temperature Profiles'!G7&gt;17,(0.0029*('Temperature Profiles'!G7^2) - 0.0863*'Temperature Profiles'!G7 + 0.6808)*1000,0)</f>
        <v>0</v>
      </c>
      <c r="I8" s="110">
        <v>3.125E-2</v>
      </c>
      <c r="J8" s="211">
        <f>IF('Temperature Profiles'!G7&gt;17,(0.005*('Temperature Profiles'!G7^2) - 0.1517*'Temperature Profiles'!G7 + 1.1702)*1000,0)</f>
        <v>0</v>
      </c>
      <c r="K8" s="110">
        <v>3.125E-2</v>
      </c>
      <c r="L8" s="211">
        <f>IF('Temperature Profiles'!G7&gt;17,(0.0068*('Temperature Profiles'!G7^2) - 0.2129*'Temperature Profiles'!G7 + 1.6904)*1000,0)</f>
        <v>0</v>
      </c>
      <c r="M8" s="21"/>
      <c r="N8" s="110">
        <v>3.125E-2</v>
      </c>
      <c r="O8" s="211">
        <f>IF('Temperature Profiles'!L7&gt;17,(0.0029*('Temperature Profiles'!L7^2) - 0.0863*'Temperature Profiles'!L7 + 0.6808)*1000,0)</f>
        <v>186.8343124999997</v>
      </c>
      <c r="P8" s="110">
        <v>3.125E-2</v>
      </c>
      <c r="Q8" s="211">
        <f>IF('Temperature Profiles'!L7&gt;17,(0.005*('Temperature Profiles'!L7^2) - 0.1517*'Temperature Profiles'!L7 + 1.1702)*1000,0)</f>
        <v>254.51062499999955</v>
      </c>
      <c r="R8" s="110">
        <v>3.125E-2</v>
      </c>
      <c r="S8" s="211">
        <f>IF('Temperature Profiles'!L7&gt;17,(0.0068*('Temperature Profiles'!L7^2) - 0.2129*'Temperature Profiles'!L7 + 1.6904)*1000,0)</f>
        <v>299.96174999999914</v>
      </c>
      <c r="T8" s="21"/>
      <c r="U8" s="110">
        <v>3.125E-2</v>
      </c>
      <c r="V8" s="211">
        <f>IF('Temperature Profiles'!Q7&gt;17,(0.0029*('Temperature Profiles'!Q7^2) - 0.0863*'Temperature Profiles'!Q7 + 0.6808)*1000,0)</f>
        <v>254.69186805555532</v>
      </c>
      <c r="W8" s="110">
        <v>3.125E-2</v>
      </c>
      <c r="X8" s="211">
        <f>IF('Temperature Profiles'!Q7&gt;17,(0.005*('Temperature Profiles'!Q7^2) - 0.1517*'Temperature Profiles'!Q7 + 1.1702)*1000,0)</f>
        <v>367.19451388888882</v>
      </c>
      <c r="Y8" s="110">
        <v>3.125E-2</v>
      </c>
      <c r="Z8" s="211">
        <f>IF('Temperature Profiles'!Q7&gt;17,(0.0068*('Temperature Profiles'!Q7^2) - 0.2129*'Temperature Profiles'!Q7 + 1.6904)*1000,0)</f>
        <v>443.43963888888771</v>
      </c>
      <c r="AA8" s="21"/>
      <c r="AB8" s="110">
        <v>3.125E-2</v>
      </c>
      <c r="AC8" s="211">
        <f>IF('Temperature Profiles'!V7&gt;17,(0.0029*('Temperature Profiles'!V7^2) - 0.0863*'Temperature Profiles'!V7 + 0.6808)*1000,0)</f>
        <v>64.350249999999832</v>
      </c>
      <c r="AD8" s="110">
        <v>3.125E-2</v>
      </c>
      <c r="AE8" s="211">
        <f>IF('Temperature Profiles'!V7&gt;17,(0.005*('Temperature Profiles'!V7^2) - 0.1517*'Temperature Profiles'!V7 + 1.1702)*1000,0)</f>
        <v>55.467499999999781</v>
      </c>
      <c r="AF8" s="110">
        <v>3.125E-2</v>
      </c>
      <c r="AG8" s="211">
        <f>IF('Temperature Profiles'!V7&gt;17,(0.0068*('Temperature Profiles'!V7^2) - 0.2129*'Temperature Profiles'!V7 + 1.6904)*1000,0)</f>
        <v>56.76799999999993</v>
      </c>
      <c r="AH8" s="21"/>
      <c r="AI8" s="110">
        <v>3.125E-2</v>
      </c>
      <c r="AJ8" s="211">
        <f>IF('Temperature Profiles'!AA7&gt;17,(0.0029*('Temperature Profiles'!AA7^2) - 0.0863*'Temperature Profiles'!AA7 + 0.6808)*1000,0)</f>
        <v>0</v>
      </c>
      <c r="AK8" s="110">
        <v>3.125E-2</v>
      </c>
      <c r="AL8" s="211">
        <f>IF('Temperature Profiles'!AA7&gt;17,(0.005*('Temperature Profiles'!AA7^2) - 0.1517*'Temperature Profiles'!AA7 + 1.1701)*1000,0)</f>
        <v>0</v>
      </c>
      <c r="AM8" s="110">
        <v>3.125E-2</v>
      </c>
      <c r="AN8" s="211">
        <f>IF('Temperature Profiles'!AA7&gt;17,(0.0068*('Temperature Profiles'!AA7^2) - 0.2129*'Temperature Profiles'!AA7 + 1.6904)*1000,0)</f>
        <v>0</v>
      </c>
      <c r="AO8" s="21"/>
      <c r="AP8" s="110">
        <v>3.125E-2</v>
      </c>
      <c r="AQ8" s="211">
        <f>IF('Temperature Profiles'!AF7&gt;17,(0.0029*('Temperature Profiles'!AF7^2) - 0.0863*'Temperature Profiles'!AF7 + 0.6808)*1000,0)</f>
        <v>638.35103472222204</v>
      </c>
      <c r="AR8" s="110">
        <v>3.125E-2</v>
      </c>
      <c r="AS8" s="183">
        <f>IF('Temperature Profiles'!AF7&gt;17,(0.005*('Temperature Profiles'!AF7^2) - 0.1517*'Temperature Profiles'!AF7 + 1.1702)*1000,0)</f>
        <v>1011.9611805555562</v>
      </c>
      <c r="AT8" s="110">
        <v>3.125E-2</v>
      </c>
      <c r="AU8" s="211">
        <f>IF('Temperature Profiles'!AF7&gt;17,(0.0068*('Temperature Profiles'!AF7^2) - 0.2129*'Temperature Profiles'!AF7 + 1.6904)*1000,0)</f>
        <v>1282.4413055555551</v>
      </c>
      <c r="AV8" s="21"/>
      <c r="AW8" s="110">
        <v>3.125E-2</v>
      </c>
      <c r="AX8" s="211"/>
      <c r="AY8" s="21"/>
      <c r="AZ8" s="110">
        <v>3.125E-2</v>
      </c>
      <c r="BA8" s="264"/>
      <c r="BC8" s="260">
        <v>3.125E-2</v>
      </c>
      <c r="BD8" s="211">
        <f>IF('Temperature Profiles'!G7&lt;16,(-0.0037*'Temperature Profiles'!G7+0.0664)*1000,0)</f>
        <v>15.648333333333333</v>
      </c>
      <c r="BE8" s="110">
        <v>3.125E-2</v>
      </c>
      <c r="BF8" s="211">
        <f>IF('Temperature Profiles'!G7&lt;16,(-0.0076*'Temperature Profiles'!G7+0.1245)*1000,0)</f>
        <v>20.25333333333333</v>
      </c>
      <c r="BG8" s="110">
        <v>3.125E-2</v>
      </c>
      <c r="BH8" s="211">
        <f>IF('Temperature Profiles'!G7&lt;16,(-0.01*'Temperature Profiles'!G7+0.167)*1000,0)</f>
        <v>29.83333333333335</v>
      </c>
      <c r="BI8" s="21"/>
      <c r="BJ8" s="110">
        <v>3.125E-2</v>
      </c>
      <c r="BK8" s="211">
        <f>IF('Temperature Profiles'!L7&lt;16,(-0.0037*'Temperature Profiles'!L7+0.0664)*1000,0)</f>
        <v>0</v>
      </c>
      <c r="BL8" s="110">
        <v>3.125E-2</v>
      </c>
      <c r="BM8" s="211">
        <f>IF('Temperature Profiles'!L7&lt;16,(-0.0076*'Temperature Profiles'!L7+0.1245)*1000,0)</f>
        <v>0</v>
      </c>
      <c r="BN8" s="110">
        <v>3.125E-2</v>
      </c>
      <c r="BO8" s="211">
        <f>IF('Temperature Profiles'!L7&lt;16,(-0.01*'Temperature Profiles'!L7+0.167)*1000,0)</f>
        <v>0</v>
      </c>
      <c r="BP8" s="21"/>
      <c r="BQ8" s="110">
        <v>3.125E-2</v>
      </c>
      <c r="BR8" s="211">
        <f>IF('Temperature Profiles'!Q7&lt;16,(-0.0037*'Temperature Profiles'!Q7+0.0664)*1000,0)</f>
        <v>0</v>
      </c>
      <c r="BS8" s="110">
        <v>3.125E-2</v>
      </c>
      <c r="BT8" s="211">
        <f>IF('Temperature Profiles'!Q7&lt;16,(-0.0076*'Temperature Profiles'!Q7+0.1245)*1000,0)</f>
        <v>0</v>
      </c>
      <c r="BU8" s="110">
        <v>3.125E-2</v>
      </c>
      <c r="BV8" s="211">
        <f>IF('Temperature Profiles'!Q7&lt;16,(-0.01*'Temperature Profiles'!Q7+0.167)*1000,0)</f>
        <v>0</v>
      </c>
      <c r="BW8" s="21"/>
      <c r="BX8" s="110">
        <v>3.125E-2</v>
      </c>
      <c r="BY8" s="211">
        <f>IF('Temperature Profiles'!V7&lt;16,(-0.0037*'Temperature Profiles'!V7+0.0664)*1000,0)</f>
        <v>0</v>
      </c>
      <c r="BZ8" s="110">
        <v>3.125E-2</v>
      </c>
      <c r="CA8" s="211">
        <f>IF('Temperature Profiles'!V7&lt;16,(-0.0076*'Temperature Profiles'!V7+0.1245)*1000,0)</f>
        <v>0</v>
      </c>
      <c r="CB8" s="110">
        <v>3.125E-2</v>
      </c>
      <c r="CC8" s="211">
        <f>IF('Temperature Profiles'!V7&lt;16,(-0.01*'Temperature Profiles'!V7+0.167)*1000,0)</f>
        <v>0</v>
      </c>
      <c r="CD8" s="21"/>
      <c r="CE8" s="110">
        <v>3.125E-2</v>
      </c>
      <c r="CF8" s="211">
        <f>IF('Temperature Profiles'!AA7&lt;16,(-0.0037*'Temperature Profiles'!AA7+0.0664)*1000,0)</f>
        <v>131.70500000000001</v>
      </c>
      <c r="CG8" s="110">
        <v>3.125E-2</v>
      </c>
      <c r="CH8" s="178">
        <f>IF('Temperature Profiles'!AA7&lt;16,(-0.0076*'Temperature Profiles'!AA7+0.1245)*1000,0)</f>
        <v>258.64</v>
      </c>
      <c r="CI8" s="110">
        <v>3.125E-2</v>
      </c>
      <c r="CJ8" s="211">
        <f>IF('Temperature Profiles'!AA7&lt;16,(-0.01*'Temperature Profiles'!AA7+0.167)*1000,0)</f>
        <v>343.5</v>
      </c>
      <c r="CK8" s="21"/>
      <c r="CL8" s="110">
        <v>3.125E-2</v>
      </c>
      <c r="CM8" s="211">
        <f>IF('Temperature Profiles'!AF7&lt;16,(-0.0037*'Temperature Profiles'!AF7+0.0664)*1000,0)</f>
        <v>0</v>
      </c>
      <c r="CN8" s="110">
        <v>3.125E-2</v>
      </c>
      <c r="CO8" s="178">
        <f>IF('Temperature Profiles'!AF7&lt;16,(-0.0076*'Temperature Profiles'!AF7+0.1245)*1000,0)</f>
        <v>0</v>
      </c>
      <c r="CP8" s="110">
        <v>3.125E-2</v>
      </c>
      <c r="CQ8" s="211">
        <f>IF('Temperature Profiles'!AF7&lt;16,(-0.01*'Temperature Profiles'!AF7+0.167)*1000,0)</f>
        <v>0</v>
      </c>
      <c r="CR8" s="21"/>
      <c r="CS8" s="110">
        <v>3.125E-2</v>
      </c>
      <c r="CT8" s="211"/>
      <c r="CU8" s="21"/>
      <c r="CV8" s="110">
        <v>3.125E-2</v>
      </c>
      <c r="CW8" s="264"/>
      <c r="CY8" s="260">
        <v>3.125E-2</v>
      </c>
      <c r="CZ8" s="178">
        <f>IF('Temperature Profiles'!G7&gt;18,(0.0024*('Temperature Profiles'!G7^2)-0.0581*'Temperature Profiles'!G7+0.3293)*1000,IF('Temperature Profiles'!G7&lt;17,(0.0022*('Temperature Profiles'!G7^2)-0.0874*'Temperature Profiles'!G7+0.9301)*1000,0))</f>
        <v>145.18661111111109</v>
      </c>
      <c r="DA8" s="110">
        <v>3.125E-2</v>
      </c>
      <c r="DB8" s="263">
        <f>IF('Temperature Profiles'!G7&gt;18,(0.0043*('Temperature Profiles'!G7^2)-0.1116*'Temperature Profiles'!G7+0.6576)*1000,IF('Temperature Profiles'!G7&lt;17,(0.0053*('Temperature Profiles'!G7^2)-0.1876*'Temperature Profiles'!G7+1.7649)*1000,0))</f>
        <v>188.83213888888895</v>
      </c>
      <c r="DC8" s="110">
        <v>3.125E-2</v>
      </c>
      <c r="DD8" s="211">
        <f>IF('Temperature Profiles'!G7&gt;18,(0.0057*('Temperature Profiles'!G7^2)-0.1509*'Temperature Profiles'!G7+0.8935)*1000,IF('Temperature Profiles'!G7&lt;17,(0.0072*('Temperature Profiles'!G7^2)-0.254*'Temperature Profiles'!G7+2.3952)*1000,0))</f>
        <v>265.82466666666613</v>
      </c>
      <c r="DE8" s="21"/>
      <c r="DF8" s="110">
        <v>3.125E-2</v>
      </c>
      <c r="DG8" s="209">
        <f>IF('Temperature Profiles'!L7&gt;18,(0.0024*('Temperature Profiles'!L7^2)-0.0581*'Temperature Profiles'!L7+0.3293)*1000,IF('Temperature Profiles'!L7&lt;17,(0.0022*('Temperature Profiles'!L7^2)-0.0874*'Temperature Profiles'!L7+0.9301)*1000,0))</f>
        <v>213.88899999999984</v>
      </c>
      <c r="DH8" s="110">
        <v>3.125E-2</v>
      </c>
      <c r="DI8" s="209">
        <f>IF('Temperature Profiles'!L7&gt;18,(0.0043*('Temperature Profiles'!L7^2)-0.1116*'Temperature Profiles'!L7+0.6576)*1000,IF('Temperature Profiles'!L7&lt;17,(0.0053*('Temperature Profiles'!L7^2)-0.1876*'Temperature Profiles'!L7+1.7649)*1000,0))</f>
        <v>285.54268749999954</v>
      </c>
      <c r="DJ8" s="110">
        <v>3.125E-2</v>
      </c>
      <c r="DK8" s="211">
        <f>IF('Temperature Profiles'!L7&gt;18,(0.0057*('Temperature Profiles'!L7^2)-0.1509*'Temperature Profiles'!L7+0.8935)*1000,IF('Temperature Profiles'!L7&lt;17,(0.0072*('Temperature Profiles'!L7^2)-0.254*'Temperature Profiles'!L7+2.3952)*1000,0))</f>
        <v>335.00106249999948</v>
      </c>
      <c r="DL8" s="21"/>
      <c r="DM8" s="110">
        <v>3.125E-2</v>
      </c>
      <c r="DN8" s="209">
        <f>IF('Temperature Profiles'!Q7&gt;18,(0.0024*('Temperature Profiles'!Q7^2)-0.0581*'Temperature Profiles'!Q7+0.3293)*1000,IF('Temperature Profiles'!Q7&lt;17,(0.0022*('Temperature Profiles'!Q7^2)-0.0874*'Temperature Profiles'!Q7+0.9301)*1000,0))</f>
        <v>289.80599999999987</v>
      </c>
      <c r="DO8" s="110">
        <v>3.125E-2</v>
      </c>
      <c r="DP8" s="209">
        <f>IF('Temperature Profiles'!Q7&gt;18,(0.0043*('Temperature Profiles'!Q7^2)-0.1116*'Temperature Profiles'!Q7+0.6576)*1000,IF('Temperature Profiles'!Q7&lt;17,(0.0053*('Temperature Profiles'!Q7^2)-0.1876*'Temperature Profiles'!Q7+1.7649)*1000,0))</f>
        <v>410.42946527777735</v>
      </c>
      <c r="DQ8" s="110">
        <v>3.125E-2</v>
      </c>
      <c r="DR8" s="211">
        <f>IF('Temperature Profiles'!Q7&gt;18,(0.0057*('Temperature Profiles'!Q7^2)-0.1509*'Temperature Profiles'!Q7+0.8935)*1000,IF('Temperature Profiles'!Q7&lt;17,(0.0072*('Temperature Profiles'!Q7^2)-0.254*'Temperature Profiles'!Q7+2.3952)*1000,0))</f>
        <v>496.15039583333288</v>
      </c>
      <c r="DS8" s="21"/>
      <c r="DT8" s="110">
        <v>3.125E-2</v>
      </c>
      <c r="DU8" s="209">
        <f>IF('Temperature Profiles'!V7&gt;18,(0.0024*('Temperature Profiles'!V7^2)-0.0581*'Temperature Profiles'!V7+0.3293)*1000,IF('Temperature Profiles'!V7&lt;17,(0.0022*('Temperature Profiles'!V7^2)-0.0874*'Temperature Profiles'!V7+0.9301)*1000,0))</f>
        <v>0</v>
      </c>
      <c r="DV8" s="110">
        <v>3.125E-2</v>
      </c>
      <c r="DW8" s="209">
        <f>IF('Temperature Profiles'!V7&gt;18,(0.0043*('Temperature Profiles'!V7^2)-0.1116*'Temperature Profiles'!V7+0.6576)*1000,IF('Temperature Profiles'!V7&lt;17,(0.0053*('Temperature Profiles'!V7^2)-0.1876*'Temperature Profiles'!V7+1.7649)*1000,0))</f>
        <v>0</v>
      </c>
      <c r="DX8" s="110">
        <v>3.125E-2</v>
      </c>
      <c r="DY8" s="211">
        <f>IF('Temperature Profiles'!V7&gt;18,(0.0057*('Temperature Profiles'!V7^2)-0.1509*'Temperature Profiles'!V7+0.8935)*1000,IF('Temperature Profiles'!V7&lt;17,(0.0072*('Temperature Profiles'!V7^2)-0.254*'Temperature Profiles'!V7+2.3952)*1000,0))</f>
        <v>0</v>
      </c>
      <c r="DZ8" s="21"/>
      <c r="EA8" s="110">
        <v>3.125E-2</v>
      </c>
      <c r="EB8" s="209">
        <f>IF('Temperature Profiles'!AA106&gt;18,(0.0024*('Temperature Profiles'!AA106^2)-0.0581*'Temperature Profiles'!AA106+0.3293)*1000,IF('Temperature Profiles'!AA106&lt;17,(0.0022*('Temperature Profiles'!AA106^2)-0.0874*'Temperature Profiles'!AA106+0.9301)*1000,0))</f>
        <v>626.8068194444445</v>
      </c>
      <c r="EC8" s="110">
        <v>3.125E-2</v>
      </c>
      <c r="ED8" s="209">
        <f>IF('Temperature Profiles'!AA106&gt;18,(0.0043*('Temperature Profiles'!AA106^2)-0.1116*'Temperature Profiles'!AA106+0.6576)*1000,IF('Temperature Profiles'!AA106&lt;17,(0.0053*('Temperature Profiles'!AA106^2)-0.1876*'Temperature Profiles'!AA106+1.7649)*1000,0))</f>
        <v>1122.4228680555557</v>
      </c>
      <c r="EE8" s="110">
        <v>3.125E-2</v>
      </c>
      <c r="EF8" s="211">
        <f>IF('Temperature Profiles'!AA106&gt;18,(0.0057*('Temperature Profiles'!AA106^2)-0.1509*'Temperature Profiles'!AA106+0.8935)*1000,IF('Temperature Profiles'!AA106&lt;17,(0.0072*('Temperature Profiles'!AA106^2)-0.254*'Temperature Profiles'!AA106+2.3952)*1000,0))</f>
        <v>1525.6771666666666</v>
      </c>
      <c r="EG8" s="21"/>
      <c r="EH8" s="110">
        <v>3.125E-2</v>
      </c>
      <c r="EI8" s="211">
        <f>IF('Temperature Profiles'!AF7&gt;18,(0.0024*('Temperature Profiles'!AF7^2)-0.0581*'Temperature Profiles'!AF7+0.3293)*1000,IF('Temperature Profiles'!AF7&lt;17,(0.0022*('Temperature Profiles'!AF7^2)-0.0874*'Temperature Profiles'!AF7+0.9301)*1000,0))</f>
        <v>683.91099999999994</v>
      </c>
      <c r="EJ8" s="110">
        <v>3.125E-2</v>
      </c>
      <c r="EK8" s="211">
        <f>IF('Temperature Profiles'!AF7&gt;18,(0.0043*('Temperature Profiles'!AF7^2)-0.1116*'Temperature Profiles'!AF7+0.6576)*1000,IF('Temperature Profiles'!AF7&lt;17,(0.0053*('Temperature Profiles'!AF7^2)-0.1876*'Temperature Profiles'!AF7+1.7649)*1000,0))</f>
        <v>1073.3852986111115</v>
      </c>
      <c r="EL8" s="110">
        <v>3.125E-2</v>
      </c>
      <c r="EM8" s="211">
        <f>IF('Temperature Profiles'!AF7&gt;18,(0.0057*('Temperature Profiles'!AF7^2)-0.1509*'Temperature Profiles'!AF7+0.8935)*1000,IF('Temperature Profiles'!AF7&lt;17,(0.0072*('Temperature Profiles'!AF7^2)-0.254*'Temperature Profiles'!AF7+2.3952)*1000,0))</f>
        <v>1357.9028958333342</v>
      </c>
      <c r="EN8" s="21"/>
      <c r="EO8" s="110">
        <v>3.125E-2</v>
      </c>
      <c r="EP8" s="211"/>
      <c r="EQ8" s="21"/>
      <c r="ER8" s="110">
        <v>3.125E-2</v>
      </c>
      <c r="ES8" s="264"/>
      <c r="EU8" s="260">
        <v>3.125E-2</v>
      </c>
      <c r="EV8" s="209">
        <f>IF('Temperature Profiles'!AA106&gt;18,(0.0024*('Temperature Profiles'!AA106^2)-0.0581*'Temperature Profiles'!AA106+0.3293)*1000,IF('Temperature Profiles'!AA106&lt;17,(0.0022*('Temperature Profiles'!AA106^2)-0.0874*'Temperature Profiles'!AA106+0.9301)*1000,0))</f>
        <v>626.8068194444445</v>
      </c>
      <c r="EW8" s="110">
        <v>3.125E-2</v>
      </c>
      <c r="EX8" s="209">
        <f>IF('Temperature Profiles'!AA106&gt;18,(0.0043*('Temperature Profiles'!AA106^2)-0.1116*'Temperature Profiles'!AA106+0.6576)*1000,IF('Temperature Profiles'!AA106&lt;17,(0.0053*('Temperature Profiles'!AA106^2)-0.1876*'Temperature Profiles'!AA106+1.7649)*1000,0))</f>
        <v>1122.4228680555557</v>
      </c>
      <c r="EY8" s="110">
        <v>3.125E-2</v>
      </c>
      <c r="EZ8" s="264">
        <f>IF('Temperature Profiles'!AA106&gt;18,(0.0057*('Temperature Profiles'!AA106^2)-0.1509*'Temperature Profiles'!AA106+0.8935)*1000,IF('Temperature Profiles'!AA106&lt;17,(0.0072*('Temperature Profiles'!AA106^2)-0.254*'Temperature Profiles'!AA106+2.3952)*1000,0))</f>
        <v>1525.6771666666666</v>
      </c>
    </row>
    <row r="9" spans="1:156" x14ac:dyDescent="0.3">
      <c r="A9" s="108">
        <v>3.125E-2</v>
      </c>
      <c r="B9" s="226">
        <f t="shared" si="0"/>
        <v>0</v>
      </c>
      <c r="C9" s="21">
        <f t="shared" si="1"/>
        <v>343.5</v>
      </c>
      <c r="D9" s="20">
        <f t="shared" si="2"/>
        <v>1525.6771666666666</v>
      </c>
      <c r="E9" s="20">
        <f>IF(AND($B$3=$EU$2,$D$3=$EU$3),EV8,IF(AND($B$3=$EU$2,$D$3=$EW$3),EX8,IF(AND($B$3=$EU$2,$D$3=$EY$3),EZ8,0)))</f>
        <v>1525.6771666666666</v>
      </c>
      <c r="G9" s="260">
        <v>4.1666666666666699E-2</v>
      </c>
      <c r="H9" s="211">
        <f>IF('Temperature Profiles'!G8&gt;17,(0.0029*('Temperature Profiles'!G8^2) - 0.0863*'Temperature Profiles'!G8 + 0.6808)*1000,0)</f>
        <v>0</v>
      </c>
      <c r="I9" s="110">
        <v>4.1666666666666699E-2</v>
      </c>
      <c r="J9" s="211">
        <f>IF('Temperature Profiles'!G8&gt;17,(0.005*('Temperature Profiles'!G8^2) - 0.1517*'Temperature Profiles'!G8 + 1.1702)*1000,0)</f>
        <v>0</v>
      </c>
      <c r="K9" s="110">
        <v>4.1666666666666699E-2</v>
      </c>
      <c r="L9" s="211">
        <f>IF('Temperature Profiles'!G8&gt;17,(0.0068*('Temperature Profiles'!G8^2) - 0.2129*'Temperature Profiles'!G8 + 1.6904)*1000,0)</f>
        <v>0</v>
      </c>
      <c r="M9" s="21"/>
      <c r="N9" s="110">
        <v>4.1666666666666699E-2</v>
      </c>
      <c r="O9" s="211">
        <f>IF('Temperature Profiles'!L8&gt;17,(0.0029*('Temperature Profiles'!L8^2) - 0.0863*'Temperature Profiles'!L8 + 0.6808)*1000,0)</f>
        <v>174.6618124999998</v>
      </c>
      <c r="P9" s="110">
        <v>4.1666666666666699E-2</v>
      </c>
      <c r="Q9" s="211">
        <f>IF('Temperature Profiles'!L8&gt;17,(0.005*('Temperature Profiles'!L8^2) - 0.1517*'Temperature Profiles'!L8 + 1.1702)*1000,0)</f>
        <v>234.39562499999988</v>
      </c>
      <c r="R9" s="110">
        <v>4.1666666666666699E-2</v>
      </c>
      <c r="S9" s="211">
        <f>IF('Temperature Profiles'!L8&gt;17,(0.0068*('Temperature Profiles'!L8^2) - 0.2129*'Temperature Profiles'!L8 + 1.6904)*1000,0)</f>
        <v>274.58174999999983</v>
      </c>
      <c r="T9" s="21"/>
      <c r="U9" s="110">
        <v>4.1666666666666699E-2</v>
      </c>
      <c r="V9" s="211">
        <f>IF('Temperature Profiles'!Q8&gt;17,(0.0029*('Temperature Profiles'!Q8^2) - 0.0863*'Temperature Profiles'!Q8 + 0.6808)*1000,0)</f>
        <v>244.39099999999968</v>
      </c>
      <c r="W9" s="110">
        <v>4.1666666666666699E-2</v>
      </c>
      <c r="X9" s="211">
        <f>IF('Temperature Profiles'!Q8&gt;17,(0.005*('Temperature Profiles'!Q8^2) - 0.1517*'Temperature Profiles'!Q8 + 1.1702)*1000,0)</f>
        <v>350.03999999999945</v>
      </c>
      <c r="Y9" s="110">
        <v>4.1666666666666699E-2</v>
      </c>
      <c r="Z9" s="211">
        <f>IF('Temperature Profiles'!Q8&gt;17,(0.0068*('Temperature Profiles'!Q8^2) - 0.2129*'Temperature Profiles'!Q8 + 1.6904)*1000,0)</f>
        <v>421.48199999999878</v>
      </c>
      <c r="AA9" s="21"/>
      <c r="AB9" s="110">
        <v>4.1666666666666699E-2</v>
      </c>
      <c r="AC9" s="211">
        <f>IF('Temperature Profiles'!V8&gt;17,(0.0029*('Temperature Profiles'!V8^2) - 0.0863*'Temperature Profiles'!V8 + 0.6808)*1000,0)</f>
        <v>56.699888888888886</v>
      </c>
      <c r="AD9" s="110">
        <v>4.1666666666666699E-2</v>
      </c>
      <c r="AE9" s="211">
        <f>IF('Temperature Profiles'!V8&gt;17,(0.005*('Temperature Profiles'!V8^2) - 0.1517*'Temperature Profiles'!V8 + 1.1702)*1000,0)</f>
        <v>43.68222222222218</v>
      </c>
      <c r="AF9" s="110">
        <v>4.1666666666666699E-2</v>
      </c>
      <c r="AG9" s="211">
        <f>IF('Temperature Profiles'!V8&gt;17,(0.0068*('Temperature Profiles'!V8^2) - 0.2129*'Temperature Profiles'!V8 + 1.6904)*1000,0)</f>
        <v>43.924222222222028</v>
      </c>
      <c r="AH9" s="21"/>
      <c r="AI9" s="110">
        <v>4.1666666666666699E-2</v>
      </c>
      <c r="AJ9" s="211">
        <f>IF('Temperature Profiles'!AA8&gt;17,(0.0029*('Temperature Profiles'!AA8^2) - 0.0863*'Temperature Profiles'!AA8 + 0.6808)*1000,0)</f>
        <v>0</v>
      </c>
      <c r="AK9" s="110">
        <v>4.1666666666666699E-2</v>
      </c>
      <c r="AL9" s="211">
        <f>IF('Temperature Profiles'!AA8&gt;17,(0.005*('Temperature Profiles'!AA8^2) - 0.1517*'Temperature Profiles'!AA8 + 1.1701)*1000,0)</f>
        <v>0</v>
      </c>
      <c r="AM9" s="110">
        <v>4.1666666666666699E-2</v>
      </c>
      <c r="AN9" s="211">
        <f>IF('Temperature Profiles'!AA8&gt;17,(0.0068*('Temperature Profiles'!AA8^2) - 0.2129*'Temperature Profiles'!AA8 + 1.6904)*1000,0)</f>
        <v>0</v>
      </c>
      <c r="AO9" s="21"/>
      <c r="AP9" s="110">
        <v>4.1666666666666699E-2</v>
      </c>
      <c r="AQ9" s="211">
        <f>IF('Temperature Profiles'!AF8&gt;17,(0.0029*('Temperature Profiles'!AF8^2) - 0.0863*'Temperature Profiles'!AF8 + 0.6808)*1000,0)</f>
        <v>563.68888888888898</v>
      </c>
      <c r="AR9" s="110">
        <v>4.1666666666666699E-2</v>
      </c>
      <c r="AS9" s="183">
        <f>IF('Temperature Profiles'!AF8&gt;17,(0.005*('Temperature Profiles'!AF8^2) - 0.1517*'Temperature Profiles'!AF8 + 1.1702)*1000,0)</f>
        <v>885.92222222222313</v>
      </c>
      <c r="AT9" s="110">
        <v>4.1666666666666699E-2</v>
      </c>
      <c r="AU9" s="211">
        <f>IF('Temperature Profiles'!AF8&gt;17,(0.0068*('Temperature Profiles'!AF8^2) - 0.2129*'Temperature Profiles'!AF8 + 1.6904)*1000,0)</f>
        <v>1117.1222222222225</v>
      </c>
      <c r="AV9" s="21"/>
      <c r="AW9" s="110">
        <v>4.1666666666666699E-2</v>
      </c>
      <c r="AX9" s="211"/>
      <c r="AY9" s="21"/>
      <c r="AZ9" s="110">
        <v>4.1666666666666699E-2</v>
      </c>
      <c r="BA9" s="264"/>
      <c r="BC9" s="260">
        <v>4.1666666666666699E-2</v>
      </c>
      <c r="BD9" s="211">
        <f>IF('Temperature Profiles'!G8&lt;16,(-0.0037*'Temperature Profiles'!G8+0.0664)*1000,0)</f>
        <v>29.523333333333341</v>
      </c>
      <c r="BE9" s="110">
        <v>4.1666666666666699E-2</v>
      </c>
      <c r="BF9" s="211">
        <f>IF('Temperature Profiles'!G8&lt;16,(-0.0076*'Temperature Profiles'!G8+0.1245)*1000,0)</f>
        <v>48.753333333333345</v>
      </c>
      <c r="BG9" s="110">
        <v>4.1666666666666699E-2</v>
      </c>
      <c r="BH9" s="211">
        <f>IF('Temperature Profiles'!G8&lt;16,(-0.01*'Temperature Profiles'!G8+0.167)*1000,0)</f>
        <v>67.333333333333357</v>
      </c>
      <c r="BI9" s="21"/>
      <c r="BJ9" s="110">
        <v>4.1666666666666699E-2</v>
      </c>
      <c r="BK9" s="211">
        <f>IF('Temperature Profiles'!L8&lt;16,(-0.0037*'Temperature Profiles'!L8+0.0664)*1000,0)</f>
        <v>0</v>
      </c>
      <c r="BL9" s="110">
        <v>4.1666666666666699E-2</v>
      </c>
      <c r="BM9" s="211">
        <f>IF('Temperature Profiles'!L8&lt;16,(-0.0076*'Temperature Profiles'!L8+0.1245)*1000,0)</f>
        <v>0</v>
      </c>
      <c r="BN9" s="110">
        <v>4.1666666666666699E-2</v>
      </c>
      <c r="BO9" s="211">
        <f>IF('Temperature Profiles'!L8&lt;16,(-0.01*'Temperature Profiles'!L8+0.167)*1000,0)</f>
        <v>0</v>
      </c>
      <c r="BP9" s="21"/>
      <c r="BQ9" s="110">
        <v>4.1666666666666699E-2</v>
      </c>
      <c r="BR9" s="211">
        <f>IF('Temperature Profiles'!Q8&lt;16,(-0.0037*'Temperature Profiles'!Q8+0.0664)*1000,0)</f>
        <v>0</v>
      </c>
      <c r="BS9" s="110">
        <v>4.1666666666666699E-2</v>
      </c>
      <c r="BT9" s="211">
        <f>IF('Temperature Profiles'!Q8&lt;16,(-0.0076*'Temperature Profiles'!Q8+0.1245)*1000,0)</f>
        <v>0</v>
      </c>
      <c r="BU9" s="110">
        <v>4.1666666666666699E-2</v>
      </c>
      <c r="BV9" s="211">
        <f>IF('Temperature Profiles'!Q8&lt;16,(-0.01*'Temperature Profiles'!Q8+0.167)*1000,0)</f>
        <v>0</v>
      </c>
      <c r="BW9" s="21"/>
      <c r="BX9" s="110">
        <v>4.1666666666666699E-2</v>
      </c>
      <c r="BY9" s="211">
        <f>IF('Temperature Profiles'!V8&lt;16,(-0.0037*'Temperature Profiles'!V8+0.0664)*1000,0)</f>
        <v>0</v>
      </c>
      <c r="BZ9" s="110">
        <v>4.1666666666666699E-2</v>
      </c>
      <c r="CA9" s="211">
        <f>IF('Temperature Profiles'!V8&lt;16,(-0.0076*'Temperature Profiles'!V8+0.1245)*1000,0)</f>
        <v>0</v>
      </c>
      <c r="CB9" s="110">
        <v>4.1666666666666699E-2</v>
      </c>
      <c r="CC9" s="211">
        <f>IF('Temperature Profiles'!V8&lt;16,(-0.01*'Temperature Profiles'!V8+0.167)*1000,0)</f>
        <v>0</v>
      </c>
      <c r="CD9" s="21"/>
      <c r="CE9" s="110">
        <v>4.1666666666666699E-2</v>
      </c>
      <c r="CF9" s="211">
        <f>IF('Temperature Profiles'!AA8&lt;16,(-0.0037*'Temperature Profiles'!AA8+0.0664)*1000,0)</f>
        <v>133.2775</v>
      </c>
      <c r="CG9" s="110">
        <v>4.1666666666666699E-2</v>
      </c>
      <c r="CH9" s="178">
        <f>IF('Temperature Profiles'!AA8&lt;16,(-0.0076*'Temperature Profiles'!AA8+0.1245)*1000,0)</f>
        <v>261.87</v>
      </c>
      <c r="CI9" s="110">
        <v>4.1666666666666699E-2</v>
      </c>
      <c r="CJ9" s="211">
        <f>IF('Temperature Profiles'!AA8&lt;16,(-0.01*'Temperature Profiles'!AA8+0.167)*1000,0)</f>
        <v>347.75</v>
      </c>
      <c r="CK9" s="21"/>
      <c r="CL9" s="110">
        <v>4.1666666666666699E-2</v>
      </c>
      <c r="CM9" s="211">
        <f>IF('Temperature Profiles'!AF8&lt;16,(-0.0037*'Temperature Profiles'!AF8+0.0664)*1000,0)</f>
        <v>0</v>
      </c>
      <c r="CN9" s="110">
        <v>4.1666666666666699E-2</v>
      </c>
      <c r="CO9" s="178">
        <f>IF('Temperature Profiles'!AF8&lt;16,(-0.0076*'Temperature Profiles'!AF8+0.1245)*1000,0)</f>
        <v>0</v>
      </c>
      <c r="CP9" s="110">
        <v>4.1666666666666699E-2</v>
      </c>
      <c r="CQ9" s="211">
        <f>IF('Temperature Profiles'!AF8&lt;16,(-0.01*'Temperature Profiles'!AF8+0.167)*1000,0)</f>
        <v>0</v>
      </c>
      <c r="CR9" s="21"/>
      <c r="CS9" s="110">
        <v>4.1666666666666699E-2</v>
      </c>
      <c r="CT9" s="211"/>
      <c r="CU9" s="21"/>
      <c r="CV9" s="110">
        <v>4.1666666666666699E-2</v>
      </c>
      <c r="CW9" s="264"/>
      <c r="CY9" s="260">
        <v>4.1666666666666699E-2</v>
      </c>
      <c r="CZ9" s="178">
        <f>IF('Temperature Profiles'!G8&gt;18,(0.0024*('Temperature Profiles'!G8^2)-0.0581*'Temperature Profiles'!G8+0.3293)*1000,IF('Temperature Profiles'!G8&lt;17,(0.0022*('Temperature Profiles'!G8^2)-0.0874*'Temperature Profiles'!G8+0.9301)*1000,0))</f>
        <v>277.54911111111113</v>
      </c>
      <c r="DA9" s="110">
        <v>4.1666666666666699E-2</v>
      </c>
      <c r="DB9" s="263">
        <f>IF('Temperature Profiles'!G8&gt;18,(0.0043*('Temperature Profiles'!G8^2)-0.1116*'Temperature Profiles'!G8+0.6576)*1000,IF('Temperature Profiles'!G8&lt;17,(0.0053*('Temperature Profiles'!G8^2)-0.1876*'Temperature Profiles'!G8+1.7649)*1000,0))</f>
        <v>421.62588888888905</v>
      </c>
      <c r="DC9" s="110">
        <v>4.1666666666666699E-2</v>
      </c>
      <c r="DD9" s="211">
        <f>IF('Temperature Profiles'!G8&gt;18,(0.0057*('Temperature Profiles'!G8^2)-0.1509*'Temperature Profiles'!G8+0.8935)*1000,IF('Temperature Profiles'!G8&lt;17,(0.0072*('Temperature Profiles'!G8^2)-0.254*'Temperature Profiles'!G8+2.3952)*1000,0))</f>
        <v>578.8746666666666</v>
      </c>
      <c r="DE9" s="21"/>
      <c r="DF9" s="110">
        <v>4.1666666666666699E-2</v>
      </c>
      <c r="DG9" s="209">
        <f>IF('Temperature Profiles'!L8&gt;18,(0.0024*('Temperature Profiles'!L8^2)-0.0581*'Temperature Profiles'!L8+0.3293)*1000,IF('Temperature Profiles'!L8&lt;17,(0.0022*('Temperature Profiles'!L8^2)-0.0874*'Temperature Profiles'!L8+0.9301)*1000,0))</f>
        <v>199.81900000000002</v>
      </c>
      <c r="DH9" s="110">
        <v>4.1666666666666699E-2</v>
      </c>
      <c r="DI9" s="209">
        <f>IF('Temperature Profiles'!L8&gt;18,(0.0043*('Temperature Profiles'!L8^2)-0.1116*'Temperature Profiles'!L8+0.6576)*1000,IF('Temperature Profiles'!L8&lt;17,(0.0053*('Temperature Profiles'!L8^2)-0.1876*'Temperature Profiles'!L8+1.7649)*1000,0))</f>
        <v>262.58518750000002</v>
      </c>
      <c r="DJ9" s="110">
        <v>4.1666666666666699E-2</v>
      </c>
      <c r="DK9" s="211">
        <f>IF('Temperature Profiles'!L8&gt;18,(0.0057*('Temperature Profiles'!L8^2)-0.1509*'Temperature Profiles'!L8+0.8935)*1000,IF('Temperature Profiles'!L8&lt;17,(0.0072*('Temperature Profiles'!L8^2)-0.254*'Temperature Profiles'!L8+2.3952)*1000,0))</f>
        <v>305.45856249999969</v>
      </c>
      <c r="DL9" s="21"/>
      <c r="DM9" s="110">
        <v>4.1666666666666699E-2</v>
      </c>
      <c r="DN9" s="209">
        <f>IF('Temperature Profiles'!Q8&gt;18,(0.0024*('Temperature Profiles'!Q8^2)-0.0581*'Temperature Profiles'!Q8+0.3293)*1000,IF('Temperature Profiles'!Q8&lt;17,(0.0022*('Temperature Profiles'!Q8^2)-0.0874*'Temperature Profiles'!Q8+0.9301)*1000,0))</f>
        <v>278.50599999999974</v>
      </c>
      <c r="DO9" s="110">
        <v>4.1666666666666699E-2</v>
      </c>
      <c r="DP9" s="209">
        <f>IF('Temperature Profiles'!Q8&gt;18,(0.0043*('Temperature Profiles'!Q8^2)-0.1116*'Temperature Profiles'!Q8+0.6576)*1000,IF('Temperature Profiles'!Q8&lt;17,(0.0053*('Temperature Profiles'!Q8^2)-0.1876*'Temperature Profiles'!Q8+1.7649)*1000,0))</f>
        <v>391.74699999999962</v>
      </c>
      <c r="DQ9" s="110">
        <v>4.1666666666666699E-2</v>
      </c>
      <c r="DR9" s="211">
        <f>IF('Temperature Profiles'!Q8&gt;18,(0.0057*('Temperature Profiles'!Q8^2)-0.1509*'Temperature Profiles'!Q8+0.8935)*1000,IF('Temperature Profiles'!Q8&lt;17,(0.0072*('Temperature Profiles'!Q8^2)-0.254*'Temperature Profiles'!Q8+2.3952)*1000,0))</f>
        <v>472.00299999999993</v>
      </c>
      <c r="DS9" s="21"/>
      <c r="DT9" s="110">
        <v>4.1666666666666699E-2</v>
      </c>
      <c r="DU9" s="209">
        <f>IF('Temperature Profiles'!V8&gt;18,(0.0024*('Temperature Profiles'!V8^2)-0.0581*'Temperature Profiles'!V8+0.3293)*1000,IF('Temperature Profiles'!V8&lt;17,(0.0022*('Temperature Profiles'!V8^2)-0.0874*'Temperature Profiles'!V8+0.9301)*1000,0))</f>
        <v>0</v>
      </c>
      <c r="DV9" s="110">
        <v>4.1666666666666699E-2</v>
      </c>
      <c r="DW9" s="209">
        <f>IF('Temperature Profiles'!V8&gt;18,(0.0043*('Temperature Profiles'!V8^2)-0.1116*'Temperature Profiles'!V8+0.6576)*1000,IF('Temperature Profiles'!V8&lt;17,(0.0053*('Temperature Profiles'!V8^2)-0.1876*'Temperature Profiles'!V8+1.7649)*1000,0))</f>
        <v>0</v>
      </c>
      <c r="DX9" s="110">
        <v>4.1666666666666699E-2</v>
      </c>
      <c r="DY9" s="211">
        <f>IF('Temperature Profiles'!V8&gt;18,(0.0057*('Temperature Profiles'!V8^2)-0.1509*'Temperature Profiles'!V8+0.8935)*1000,IF('Temperature Profiles'!V8&lt;17,(0.0072*('Temperature Profiles'!V8^2)-0.254*'Temperature Profiles'!V8+2.3952)*1000,0))</f>
        <v>0</v>
      </c>
      <c r="DZ9" s="21"/>
      <c r="EA9" s="110">
        <v>4.1666666666666699E-2</v>
      </c>
      <c r="EB9" s="209">
        <f>IF('Temperature Profiles'!AA107&gt;18,(0.0024*('Temperature Profiles'!AA107^2)-0.0581*'Temperature Profiles'!AA107+0.3293)*1000,IF('Temperature Profiles'!AA107&lt;17,(0.0022*('Temperature Profiles'!AA107^2)-0.0874*'Temperature Profiles'!AA107+0.9301)*1000,0))</f>
        <v>671.72661111111108</v>
      </c>
      <c r="EC9" s="110">
        <v>4.1666666666666699E-2</v>
      </c>
      <c r="ED9" s="209">
        <f>IF('Temperature Profiles'!AA107&gt;18,(0.0043*('Temperature Profiles'!AA107^2)-0.1116*'Temperature Profiles'!AA107+0.6576)*1000,IF('Temperature Profiles'!AA107&lt;17,(0.0053*('Temperature Profiles'!AA107^2)-0.1876*'Temperature Profiles'!AA107+1.7649)*1000,0))</f>
        <v>1216.292138888889</v>
      </c>
      <c r="EE9" s="110">
        <v>4.1666666666666699E-2</v>
      </c>
      <c r="EF9" s="211">
        <f>IF('Temperature Profiles'!AA107&gt;18,(0.0057*('Temperature Profiles'!AA107^2)-0.1509*'Temperature Profiles'!AA107+0.8935)*1000,IF('Temperature Profiles'!AA107&lt;17,(0.0072*('Temperature Profiles'!AA107^2)-0.254*'Temperature Profiles'!AA107+2.3952)*1000,0))</f>
        <v>1652.6646666666666</v>
      </c>
      <c r="EG9" s="21"/>
      <c r="EH9" s="110">
        <v>4.1666666666666699E-2</v>
      </c>
      <c r="EI9" s="211">
        <f>IF('Temperature Profiles'!AF8&gt;18,(0.0024*('Temperature Profiles'!AF8^2)-0.0581*'Temperature Profiles'!AF8+0.3293)*1000,IF('Temperature Profiles'!AF8&lt;17,(0.0022*('Temperature Profiles'!AF8^2)-0.0874*'Temperature Profiles'!AF8+0.9301)*1000,0))</f>
        <v>609.80000000000007</v>
      </c>
      <c r="EJ9" s="110">
        <v>4.1666666666666699E-2</v>
      </c>
      <c r="EK9" s="211">
        <f>IF('Temperature Profiles'!AF8&gt;18,(0.0043*('Temperature Profiles'!AF8^2)-0.1116*'Temperature Profiles'!AF8+0.6576)*1000,IF('Temperature Profiles'!AF8&lt;17,(0.0053*('Temperature Profiles'!AF8^2)-0.1876*'Temperature Profiles'!AF8+1.7649)*1000,0))</f>
        <v>947.54444444444493</v>
      </c>
      <c r="EL9" s="110">
        <v>4.1666666666666699E-2</v>
      </c>
      <c r="EM9" s="211">
        <f>IF('Temperature Profiles'!AF8&gt;18,(0.0057*('Temperature Profiles'!AF8^2)-0.1509*'Temperature Profiles'!AF8+0.8935)*1000,IF('Temperature Profiles'!AF8&lt;17,(0.0072*('Temperature Profiles'!AF8^2)-0.254*'Temperature Profiles'!AF8+2.3952)*1000,0))</f>
        <v>1193.8333333333335</v>
      </c>
      <c r="EN9" s="21"/>
      <c r="EO9" s="110">
        <v>4.1666666666666699E-2</v>
      </c>
      <c r="EP9" s="211"/>
      <c r="EQ9" s="21"/>
      <c r="ER9" s="110">
        <v>4.1666666666666699E-2</v>
      </c>
      <c r="ES9" s="264"/>
      <c r="EU9" s="260">
        <v>4.1666666666666699E-2</v>
      </c>
      <c r="EV9" s="209">
        <f>IF('Temperature Profiles'!AA107&gt;18,(0.0024*('Temperature Profiles'!AA107^2)-0.0581*'Temperature Profiles'!AA107+0.3293)*1000,IF('Temperature Profiles'!AA107&lt;17,(0.0022*('Temperature Profiles'!AA107^2)-0.0874*'Temperature Profiles'!AA107+0.9301)*1000,0))</f>
        <v>671.72661111111108</v>
      </c>
      <c r="EW9" s="110">
        <v>4.1666666666666699E-2</v>
      </c>
      <c r="EX9" s="209">
        <f>IF('Temperature Profiles'!AA107&gt;18,(0.0043*('Temperature Profiles'!AA107^2)-0.1116*'Temperature Profiles'!AA107+0.6576)*1000,IF('Temperature Profiles'!AA107&lt;17,(0.0053*('Temperature Profiles'!AA107^2)-0.1876*'Temperature Profiles'!AA107+1.7649)*1000,0))</f>
        <v>1216.292138888889</v>
      </c>
      <c r="EY9" s="110">
        <v>4.1666666666666699E-2</v>
      </c>
      <c r="EZ9" s="264">
        <f>IF('Temperature Profiles'!AA107&gt;18,(0.0057*('Temperature Profiles'!AA107^2)-0.1509*'Temperature Profiles'!AA107+0.8935)*1000,IF('Temperature Profiles'!AA107&lt;17,(0.0072*('Temperature Profiles'!AA107^2)-0.254*'Temperature Profiles'!AA107+2.3952)*1000,0))</f>
        <v>1652.6646666666666</v>
      </c>
    </row>
    <row r="10" spans="1:156" x14ac:dyDescent="0.3">
      <c r="A10" s="108">
        <v>4.1666666666666699E-2</v>
      </c>
      <c r="B10" s="226">
        <f t="shared" si="0"/>
        <v>0</v>
      </c>
      <c r="C10" s="21">
        <f t="shared" si="1"/>
        <v>347.75</v>
      </c>
      <c r="D10" s="20">
        <f t="shared" si="2"/>
        <v>1652.6646666666666</v>
      </c>
      <c r="E10" s="20">
        <f t="shared" si="3"/>
        <v>1652.6646666666666</v>
      </c>
      <c r="G10" s="260">
        <v>5.2083333333333301E-2</v>
      </c>
      <c r="H10" s="211">
        <f>IF('Temperature Profiles'!G9&gt;17,(0.0029*('Temperature Profiles'!G9^2) - 0.0863*'Temperature Profiles'!G9 + 0.6808)*1000,0)</f>
        <v>0</v>
      </c>
      <c r="I10" s="110">
        <v>5.2083333333333301E-2</v>
      </c>
      <c r="J10" s="211">
        <f>IF('Temperature Profiles'!G9&gt;17,(0.005*('Temperature Profiles'!G9^2) - 0.1517*'Temperature Profiles'!G9 + 1.1702)*1000,0)</f>
        <v>0</v>
      </c>
      <c r="K10" s="110">
        <v>5.2083333333333301E-2</v>
      </c>
      <c r="L10" s="211">
        <f>IF('Temperature Profiles'!G9&gt;17,(0.0068*('Temperature Profiles'!G9^2) - 0.2129*'Temperature Profiles'!G9 + 1.6904)*1000,0)</f>
        <v>0</v>
      </c>
      <c r="M10" s="21"/>
      <c r="N10" s="110">
        <v>5.2083333333333301E-2</v>
      </c>
      <c r="O10" s="211">
        <f>IF('Temperature Profiles'!L9&gt;17,(0.0029*('Temperature Profiles'!L9^2) - 0.0863*'Temperature Profiles'!L9 + 0.6808)*1000,0)</f>
        <v>174.6618124999998</v>
      </c>
      <c r="P10" s="110">
        <v>5.2083333333333301E-2</v>
      </c>
      <c r="Q10" s="211">
        <f>IF('Temperature Profiles'!L9&gt;17,(0.005*('Temperature Profiles'!L9^2) - 0.1517*'Temperature Profiles'!L9 + 1.1702)*1000,0)</f>
        <v>234.39562499999988</v>
      </c>
      <c r="R10" s="110">
        <v>5.2083333333333301E-2</v>
      </c>
      <c r="S10" s="211">
        <f>IF('Temperature Profiles'!L9&gt;17,(0.0068*('Temperature Profiles'!L9^2) - 0.2129*'Temperature Profiles'!L9 + 1.6904)*1000,0)</f>
        <v>274.58174999999983</v>
      </c>
      <c r="T10" s="21"/>
      <c r="U10" s="110">
        <v>5.2083333333333301E-2</v>
      </c>
      <c r="V10" s="211">
        <f>IF('Temperature Profiles'!Q9&gt;17,(0.0029*('Temperature Profiles'!Q9^2) - 0.0863*'Temperature Profiles'!Q9 + 0.6808)*1000,0)</f>
        <v>244.39099999999968</v>
      </c>
      <c r="W10" s="110">
        <v>5.2083333333333301E-2</v>
      </c>
      <c r="X10" s="211">
        <f>IF('Temperature Profiles'!Q9&gt;17,(0.005*('Temperature Profiles'!Q9^2) - 0.1517*'Temperature Profiles'!Q9 + 1.1702)*1000,0)</f>
        <v>350.03999999999945</v>
      </c>
      <c r="Y10" s="110">
        <v>5.2083333333333301E-2</v>
      </c>
      <c r="Z10" s="211">
        <f>IF('Temperature Profiles'!Q9&gt;17,(0.0068*('Temperature Profiles'!Q9^2) - 0.2129*'Temperature Profiles'!Q9 + 1.6904)*1000,0)</f>
        <v>421.48199999999878</v>
      </c>
      <c r="AA10" s="21"/>
      <c r="AB10" s="110">
        <v>5.2083333333333301E-2</v>
      </c>
      <c r="AC10" s="211">
        <f>IF('Temperature Profiles'!V9&gt;17,(0.0029*('Temperature Profiles'!V9^2) - 0.0863*'Temperature Profiles'!V9 + 0.6808)*1000,0)</f>
        <v>56.699888888888886</v>
      </c>
      <c r="AD10" s="110">
        <v>5.2083333333333301E-2</v>
      </c>
      <c r="AE10" s="211">
        <f>IF('Temperature Profiles'!V9&gt;17,(0.005*('Temperature Profiles'!V9^2) - 0.1517*'Temperature Profiles'!V9 + 1.1702)*1000,0)</f>
        <v>43.68222222222218</v>
      </c>
      <c r="AF10" s="110">
        <v>5.2083333333333301E-2</v>
      </c>
      <c r="AG10" s="211">
        <f>IF('Temperature Profiles'!V9&gt;17,(0.0068*('Temperature Profiles'!V9^2) - 0.2129*'Temperature Profiles'!V9 + 1.6904)*1000,0)</f>
        <v>43.924222222222028</v>
      </c>
      <c r="AH10" s="21"/>
      <c r="AI10" s="110">
        <v>5.2083333333333301E-2</v>
      </c>
      <c r="AJ10" s="211">
        <f>IF('Temperature Profiles'!AA9&gt;17,(0.0029*('Temperature Profiles'!AA9^2) - 0.0863*'Temperature Profiles'!AA9 + 0.6808)*1000,0)</f>
        <v>0</v>
      </c>
      <c r="AK10" s="110">
        <v>5.2083333333333301E-2</v>
      </c>
      <c r="AL10" s="211">
        <f>IF('Temperature Profiles'!AA9&gt;17,(0.005*('Temperature Profiles'!AA9^2) - 0.1517*'Temperature Profiles'!AA9 + 1.1701)*1000,0)</f>
        <v>0</v>
      </c>
      <c r="AM10" s="110">
        <v>5.2083333333333301E-2</v>
      </c>
      <c r="AN10" s="211">
        <f>IF('Temperature Profiles'!AA9&gt;17,(0.0068*('Temperature Profiles'!AA9^2) - 0.2129*'Temperature Profiles'!AA9 + 1.6904)*1000,0)</f>
        <v>0</v>
      </c>
      <c r="AO10" s="21"/>
      <c r="AP10" s="110">
        <v>5.2083333333333301E-2</v>
      </c>
      <c r="AQ10" s="211">
        <f>IF('Temperature Profiles'!AF9&gt;17,(0.0029*('Temperature Profiles'!AF9^2) - 0.0863*'Temperature Profiles'!AF9 + 0.6808)*1000,0)</f>
        <v>563.68888888888898</v>
      </c>
      <c r="AR10" s="110">
        <v>5.2083333333333301E-2</v>
      </c>
      <c r="AS10" s="183">
        <f>IF('Temperature Profiles'!AF9&gt;17,(0.005*('Temperature Profiles'!AF9^2) - 0.1517*'Temperature Profiles'!AF9 + 1.1702)*1000,0)</f>
        <v>885.92222222222313</v>
      </c>
      <c r="AT10" s="110">
        <v>5.2083333333333301E-2</v>
      </c>
      <c r="AU10" s="211">
        <f>IF('Temperature Profiles'!AF9&gt;17,(0.0068*('Temperature Profiles'!AF9^2) - 0.2129*'Temperature Profiles'!AF9 + 1.6904)*1000,0)</f>
        <v>1117.1222222222225</v>
      </c>
      <c r="AV10" s="21"/>
      <c r="AW10" s="110">
        <v>5.2083333333333301E-2</v>
      </c>
      <c r="AX10" s="211"/>
      <c r="AY10" s="21"/>
      <c r="AZ10" s="110">
        <v>5.2083333333333301E-2</v>
      </c>
      <c r="BA10" s="264"/>
      <c r="BC10" s="260">
        <v>5.2083333333333301E-2</v>
      </c>
      <c r="BD10" s="211">
        <f>IF('Temperature Profiles'!G9&lt;16,(-0.0037*'Temperature Profiles'!G9+0.0664)*1000,0)</f>
        <v>29.523333333333341</v>
      </c>
      <c r="BE10" s="110">
        <v>5.2083333333333301E-2</v>
      </c>
      <c r="BF10" s="211">
        <f>IF('Temperature Profiles'!G9&lt;16,(-0.0076*'Temperature Profiles'!G9+0.1245)*1000,0)</f>
        <v>48.753333333333345</v>
      </c>
      <c r="BG10" s="110">
        <v>5.2083333333333301E-2</v>
      </c>
      <c r="BH10" s="211">
        <f>IF('Temperature Profiles'!G9&lt;16,(-0.01*'Temperature Profiles'!G9+0.167)*1000,0)</f>
        <v>67.333333333333357</v>
      </c>
      <c r="BI10" s="21"/>
      <c r="BJ10" s="110">
        <v>5.2083333333333301E-2</v>
      </c>
      <c r="BK10" s="211">
        <f>IF('Temperature Profiles'!L9&lt;16,(-0.0037*'Temperature Profiles'!L9+0.0664)*1000,0)</f>
        <v>0</v>
      </c>
      <c r="BL10" s="110">
        <v>5.2083333333333301E-2</v>
      </c>
      <c r="BM10" s="211">
        <f>IF('Temperature Profiles'!L9&lt;16,(-0.0076*'Temperature Profiles'!L9+0.1245)*1000,0)</f>
        <v>0</v>
      </c>
      <c r="BN10" s="110">
        <v>5.2083333333333301E-2</v>
      </c>
      <c r="BO10" s="211">
        <f>IF('Temperature Profiles'!L9&lt;16,(-0.01*'Temperature Profiles'!L9+0.167)*1000,0)</f>
        <v>0</v>
      </c>
      <c r="BP10" s="21"/>
      <c r="BQ10" s="110">
        <v>5.2083333333333301E-2</v>
      </c>
      <c r="BR10" s="211">
        <f>IF('Temperature Profiles'!Q9&lt;16,(-0.0037*'Temperature Profiles'!Q9+0.0664)*1000,0)</f>
        <v>0</v>
      </c>
      <c r="BS10" s="110">
        <v>5.2083333333333301E-2</v>
      </c>
      <c r="BT10" s="211">
        <f>IF('Temperature Profiles'!Q9&lt;16,(-0.0076*'Temperature Profiles'!Q9+0.1245)*1000,0)</f>
        <v>0</v>
      </c>
      <c r="BU10" s="110">
        <v>5.2083333333333301E-2</v>
      </c>
      <c r="BV10" s="211">
        <f>IF('Temperature Profiles'!Q9&lt;16,(-0.01*'Temperature Profiles'!Q9+0.167)*1000,0)</f>
        <v>0</v>
      </c>
      <c r="BW10" s="21"/>
      <c r="BX10" s="110">
        <v>5.2083333333333301E-2</v>
      </c>
      <c r="BY10" s="211">
        <f>IF('Temperature Profiles'!V9&lt;16,(-0.0037*'Temperature Profiles'!V9+0.0664)*1000,0)</f>
        <v>0</v>
      </c>
      <c r="BZ10" s="110">
        <v>5.2083333333333301E-2</v>
      </c>
      <c r="CA10" s="211">
        <f>IF('Temperature Profiles'!V9&lt;16,(-0.0076*'Temperature Profiles'!V9+0.1245)*1000,0)</f>
        <v>0</v>
      </c>
      <c r="CB10" s="110">
        <v>5.2083333333333301E-2</v>
      </c>
      <c r="CC10" s="211">
        <f>IF('Temperature Profiles'!V9&lt;16,(-0.01*'Temperature Profiles'!V9+0.167)*1000,0)</f>
        <v>0</v>
      </c>
      <c r="CD10" s="21"/>
      <c r="CE10" s="110">
        <v>5.2083333333333301E-2</v>
      </c>
      <c r="CF10" s="211">
        <f>IF('Temperature Profiles'!AA9&lt;16,(-0.0037*'Temperature Profiles'!AA9+0.0664)*1000,0)</f>
        <v>133.2775</v>
      </c>
      <c r="CG10" s="110">
        <v>5.2083333333333301E-2</v>
      </c>
      <c r="CH10" s="178">
        <f>IF('Temperature Profiles'!AA9&lt;16,(-0.0076*'Temperature Profiles'!AA9+0.1245)*1000,0)</f>
        <v>261.87</v>
      </c>
      <c r="CI10" s="110">
        <v>5.2083333333333301E-2</v>
      </c>
      <c r="CJ10" s="211">
        <f>IF('Temperature Profiles'!AA9&lt;16,(-0.01*'Temperature Profiles'!AA9+0.167)*1000,0)</f>
        <v>347.75</v>
      </c>
      <c r="CK10" s="21"/>
      <c r="CL10" s="110">
        <v>5.2083333333333301E-2</v>
      </c>
      <c r="CM10" s="211">
        <f>IF('Temperature Profiles'!AF9&lt;16,(-0.0037*'Temperature Profiles'!AF9+0.0664)*1000,0)</f>
        <v>0</v>
      </c>
      <c r="CN10" s="110">
        <v>5.2083333333333301E-2</v>
      </c>
      <c r="CO10" s="178">
        <f>IF('Temperature Profiles'!AF9&lt;16,(-0.0076*'Temperature Profiles'!AF9+0.1245)*1000,0)</f>
        <v>0</v>
      </c>
      <c r="CP10" s="110">
        <v>5.2083333333333301E-2</v>
      </c>
      <c r="CQ10" s="211">
        <f>IF('Temperature Profiles'!AF9&lt;16,(-0.01*'Temperature Profiles'!AF9+0.167)*1000,0)</f>
        <v>0</v>
      </c>
      <c r="CR10" s="21"/>
      <c r="CS10" s="110">
        <v>5.2083333333333301E-2</v>
      </c>
      <c r="CT10" s="211"/>
      <c r="CU10" s="21"/>
      <c r="CV10" s="110">
        <v>5.2083333333333301E-2</v>
      </c>
      <c r="CW10" s="264"/>
      <c r="CY10" s="260">
        <v>5.2083333333333301E-2</v>
      </c>
      <c r="CZ10" s="178">
        <f>IF('Temperature Profiles'!G9&gt;18,(0.0024*('Temperature Profiles'!G9^2)-0.0581*'Temperature Profiles'!G9+0.3293)*1000,IF('Temperature Profiles'!G9&lt;17,(0.0022*('Temperature Profiles'!G9^2)-0.0874*'Temperature Profiles'!G9+0.9301)*1000,0))</f>
        <v>277.54911111111113</v>
      </c>
      <c r="DA10" s="110">
        <v>5.2083333333333301E-2</v>
      </c>
      <c r="DB10" s="263">
        <f>IF('Temperature Profiles'!G9&gt;18,(0.0043*('Temperature Profiles'!G9^2)-0.1116*'Temperature Profiles'!G9+0.6576)*1000,IF('Temperature Profiles'!G9&lt;17,(0.0053*('Temperature Profiles'!G9^2)-0.1876*'Temperature Profiles'!G9+1.7649)*1000,0))</f>
        <v>421.62588888888905</v>
      </c>
      <c r="DC10" s="110">
        <v>5.2083333333333301E-2</v>
      </c>
      <c r="DD10" s="211">
        <f>IF('Temperature Profiles'!G9&gt;18,(0.0057*('Temperature Profiles'!G9^2)-0.1509*'Temperature Profiles'!G9+0.8935)*1000,IF('Temperature Profiles'!G9&lt;17,(0.0072*('Temperature Profiles'!G9^2)-0.254*'Temperature Profiles'!G9+2.3952)*1000,0))</f>
        <v>578.8746666666666</v>
      </c>
      <c r="DE10" s="21"/>
      <c r="DF10" s="110">
        <v>5.2083333333333301E-2</v>
      </c>
      <c r="DG10" s="209">
        <f>IF('Temperature Profiles'!L9&gt;18,(0.0024*('Temperature Profiles'!L9^2)-0.0581*'Temperature Profiles'!L9+0.3293)*1000,IF('Temperature Profiles'!L9&lt;17,(0.0022*('Temperature Profiles'!L9^2)-0.0874*'Temperature Profiles'!L9+0.9301)*1000,0))</f>
        <v>199.81900000000002</v>
      </c>
      <c r="DH10" s="110">
        <v>5.2083333333333301E-2</v>
      </c>
      <c r="DI10" s="209">
        <f>IF('Temperature Profiles'!L9&gt;18,(0.0043*('Temperature Profiles'!L9^2)-0.1116*'Temperature Profiles'!L9+0.6576)*1000,IF('Temperature Profiles'!L9&lt;17,(0.0053*('Temperature Profiles'!L9^2)-0.1876*'Temperature Profiles'!L9+1.7649)*1000,0))</f>
        <v>262.58518750000002</v>
      </c>
      <c r="DJ10" s="110">
        <v>5.2083333333333301E-2</v>
      </c>
      <c r="DK10" s="211">
        <f>IF('Temperature Profiles'!L9&gt;18,(0.0057*('Temperature Profiles'!L9^2)-0.1509*'Temperature Profiles'!L9+0.8935)*1000,IF('Temperature Profiles'!L9&lt;17,(0.0072*('Temperature Profiles'!L9^2)-0.254*'Temperature Profiles'!L9+2.3952)*1000,0))</f>
        <v>305.45856249999969</v>
      </c>
      <c r="DL10" s="21"/>
      <c r="DM10" s="110">
        <v>5.2083333333333301E-2</v>
      </c>
      <c r="DN10" s="209">
        <f>IF('Temperature Profiles'!Q9&gt;18,(0.0024*('Temperature Profiles'!Q9^2)-0.0581*'Temperature Profiles'!Q9+0.3293)*1000,IF('Temperature Profiles'!Q9&lt;17,(0.0022*('Temperature Profiles'!Q9^2)-0.0874*'Temperature Profiles'!Q9+0.9301)*1000,0))</f>
        <v>278.50599999999974</v>
      </c>
      <c r="DO10" s="110">
        <v>5.2083333333333301E-2</v>
      </c>
      <c r="DP10" s="209">
        <f>IF('Temperature Profiles'!Q9&gt;18,(0.0043*('Temperature Profiles'!Q9^2)-0.1116*'Temperature Profiles'!Q9+0.6576)*1000,IF('Temperature Profiles'!Q9&lt;17,(0.0053*('Temperature Profiles'!Q9^2)-0.1876*'Temperature Profiles'!Q9+1.7649)*1000,0))</f>
        <v>391.74699999999962</v>
      </c>
      <c r="DQ10" s="110">
        <v>5.2083333333333301E-2</v>
      </c>
      <c r="DR10" s="211">
        <f>IF('Temperature Profiles'!Q9&gt;18,(0.0057*('Temperature Profiles'!Q9^2)-0.1509*'Temperature Profiles'!Q9+0.8935)*1000,IF('Temperature Profiles'!Q9&lt;17,(0.0072*('Temperature Profiles'!Q9^2)-0.254*'Temperature Profiles'!Q9+2.3952)*1000,0))</f>
        <v>472.00299999999993</v>
      </c>
      <c r="DS10" s="21"/>
      <c r="DT10" s="110">
        <v>5.2083333333333301E-2</v>
      </c>
      <c r="DU10" s="209">
        <f>IF('Temperature Profiles'!V9&gt;18,(0.0024*('Temperature Profiles'!V9^2)-0.0581*'Temperature Profiles'!V9+0.3293)*1000,IF('Temperature Profiles'!V9&lt;17,(0.0022*('Temperature Profiles'!V9^2)-0.0874*'Temperature Profiles'!V9+0.9301)*1000,0))</f>
        <v>0</v>
      </c>
      <c r="DV10" s="110">
        <v>5.2083333333333301E-2</v>
      </c>
      <c r="DW10" s="209">
        <f>IF('Temperature Profiles'!V9&gt;18,(0.0043*('Temperature Profiles'!V9^2)-0.1116*'Temperature Profiles'!V9+0.6576)*1000,IF('Temperature Profiles'!V9&lt;17,(0.0053*('Temperature Profiles'!V9^2)-0.1876*'Temperature Profiles'!V9+1.7649)*1000,0))</f>
        <v>0</v>
      </c>
      <c r="DX10" s="110">
        <v>5.2083333333333301E-2</v>
      </c>
      <c r="DY10" s="211">
        <f>IF('Temperature Profiles'!V9&gt;18,(0.0057*('Temperature Profiles'!V9^2)-0.1509*'Temperature Profiles'!V9+0.8935)*1000,IF('Temperature Profiles'!V9&lt;17,(0.0072*('Temperature Profiles'!V9^2)-0.254*'Temperature Profiles'!V9+2.3952)*1000,0))</f>
        <v>0</v>
      </c>
      <c r="DZ10" s="21"/>
      <c r="EA10" s="110">
        <v>5.2083333333333301E-2</v>
      </c>
      <c r="EB10" s="209">
        <f>IF('Temperature Profiles'!AA108&gt;18,(0.0024*('Temperature Profiles'!AA108^2)-0.0581*'Temperature Profiles'!AA108+0.3293)*1000,IF('Temperature Profiles'!AA108&lt;17,(0.0022*('Temperature Profiles'!AA108^2)-0.0874*'Temperature Profiles'!AA108+0.9301)*1000,0))</f>
        <v>671.72661111111108</v>
      </c>
      <c r="EC10" s="110">
        <v>5.2083333333333301E-2</v>
      </c>
      <c r="ED10" s="209">
        <f>IF('Temperature Profiles'!AA108&gt;18,(0.0043*('Temperature Profiles'!AA108^2)-0.1116*'Temperature Profiles'!AA108+0.6576)*1000,IF('Temperature Profiles'!AA108&lt;17,(0.0053*('Temperature Profiles'!AA108^2)-0.1876*'Temperature Profiles'!AA108+1.7649)*1000,0))</f>
        <v>1216.292138888889</v>
      </c>
      <c r="EE10" s="110">
        <v>5.2083333333333301E-2</v>
      </c>
      <c r="EF10" s="211">
        <f>IF('Temperature Profiles'!AA108&gt;18,(0.0057*('Temperature Profiles'!AA108^2)-0.1509*'Temperature Profiles'!AA108+0.8935)*1000,IF('Temperature Profiles'!AA108&lt;17,(0.0072*('Temperature Profiles'!AA108^2)-0.254*'Temperature Profiles'!AA108+2.3952)*1000,0))</f>
        <v>1652.6646666666666</v>
      </c>
      <c r="EG10" s="21"/>
      <c r="EH10" s="110">
        <v>5.2083333333333301E-2</v>
      </c>
      <c r="EI10" s="211">
        <f>IF('Temperature Profiles'!AF9&gt;18,(0.0024*('Temperature Profiles'!AF9^2)-0.0581*'Temperature Profiles'!AF9+0.3293)*1000,IF('Temperature Profiles'!AF9&lt;17,(0.0022*('Temperature Profiles'!AF9^2)-0.0874*'Temperature Profiles'!AF9+0.9301)*1000,0))</f>
        <v>609.80000000000007</v>
      </c>
      <c r="EJ10" s="110">
        <v>5.2083333333333301E-2</v>
      </c>
      <c r="EK10" s="211">
        <f>IF('Temperature Profiles'!AF9&gt;18,(0.0043*('Temperature Profiles'!AF9^2)-0.1116*'Temperature Profiles'!AF9+0.6576)*1000,IF('Temperature Profiles'!AF9&lt;17,(0.0053*('Temperature Profiles'!AF9^2)-0.1876*'Temperature Profiles'!AF9+1.7649)*1000,0))</f>
        <v>947.54444444444493</v>
      </c>
      <c r="EL10" s="110">
        <v>5.2083333333333301E-2</v>
      </c>
      <c r="EM10" s="211">
        <f>IF('Temperature Profiles'!AF9&gt;18,(0.0057*('Temperature Profiles'!AF9^2)-0.1509*'Temperature Profiles'!AF9+0.8935)*1000,IF('Temperature Profiles'!AF9&lt;17,(0.0072*('Temperature Profiles'!AF9^2)-0.254*'Temperature Profiles'!AF9+2.3952)*1000,0))</f>
        <v>1193.8333333333335</v>
      </c>
      <c r="EN10" s="21"/>
      <c r="EO10" s="110">
        <v>5.2083333333333301E-2</v>
      </c>
      <c r="EP10" s="211"/>
      <c r="EQ10" s="21"/>
      <c r="ER10" s="110">
        <v>5.2083333333333301E-2</v>
      </c>
      <c r="ES10" s="264"/>
      <c r="EU10" s="260">
        <v>5.2083333333333301E-2</v>
      </c>
      <c r="EV10" s="209">
        <f>IF('Temperature Profiles'!AA108&gt;18,(0.0024*('Temperature Profiles'!AA108^2)-0.0581*'Temperature Profiles'!AA108+0.3293)*1000,IF('Temperature Profiles'!AA108&lt;17,(0.0022*('Temperature Profiles'!AA108^2)-0.0874*'Temperature Profiles'!AA108+0.9301)*1000,0))</f>
        <v>671.72661111111108</v>
      </c>
      <c r="EW10" s="110">
        <v>5.2083333333333301E-2</v>
      </c>
      <c r="EX10" s="209">
        <f>IF('Temperature Profiles'!AA108&gt;18,(0.0043*('Temperature Profiles'!AA108^2)-0.1116*'Temperature Profiles'!AA108+0.6576)*1000,IF('Temperature Profiles'!AA108&lt;17,(0.0053*('Temperature Profiles'!AA108^2)-0.1876*'Temperature Profiles'!AA108+1.7649)*1000,0))</f>
        <v>1216.292138888889</v>
      </c>
      <c r="EY10" s="110">
        <v>5.2083333333333301E-2</v>
      </c>
      <c r="EZ10" s="264">
        <f>IF('Temperature Profiles'!AA108&gt;18,(0.0057*('Temperature Profiles'!AA108^2)-0.1509*'Temperature Profiles'!AA108+0.8935)*1000,IF('Temperature Profiles'!AA108&lt;17,(0.0072*('Temperature Profiles'!AA108^2)-0.254*'Temperature Profiles'!AA108+2.3952)*1000,0))</f>
        <v>1652.6646666666666</v>
      </c>
    </row>
    <row r="11" spans="1:156" x14ac:dyDescent="0.3">
      <c r="A11" s="108">
        <v>5.2083333333333301E-2</v>
      </c>
      <c r="B11" s="226">
        <f t="shared" si="0"/>
        <v>0</v>
      </c>
      <c r="C11" s="21">
        <f t="shared" si="1"/>
        <v>347.75</v>
      </c>
      <c r="D11" s="20">
        <f t="shared" si="2"/>
        <v>1652.6646666666666</v>
      </c>
      <c r="E11" s="20">
        <f t="shared" si="3"/>
        <v>1652.6646666666666</v>
      </c>
      <c r="G11" s="260">
        <v>6.25E-2</v>
      </c>
      <c r="H11" s="211">
        <f>IF('Temperature Profiles'!G10&gt;17,(0.0029*('Temperature Profiles'!G10^2) - 0.0863*'Temperature Profiles'!G10 + 0.6808)*1000,0)</f>
        <v>0</v>
      </c>
      <c r="I11" s="110">
        <v>6.25E-2</v>
      </c>
      <c r="J11" s="211">
        <f>IF('Temperature Profiles'!G10&gt;17,(0.005*('Temperature Profiles'!G10^2) - 0.1517*'Temperature Profiles'!G10 + 1.1702)*1000,0)</f>
        <v>0</v>
      </c>
      <c r="K11" s="110">
        <v>6.25E-2</v>
      </c>
      <c r="L11" s="211">
        <f>IF('Temperature Profiles'!G10&gt;17,(0.0068*('Temperature Profiles'!G10^2) - 0.2129*'Temperature Profiles'!G10 + 1.6904)*1000,0)</f>
        <v>0</v>
      </c>
      <c r="M11" s="21"/>
      <c r="N11" s="110">
        <v>6.25E-2</v>
      </c>
      <c r="O11" s="211">
        <f>IF('Temperature Profiles'!L10&gt;17,(0.0029*('Temperature Profiles'!L10^2) - 0.0863*'Temperature Profiles'!L10 + 0.6808)*1000,0)</f>
        <v>174.6618124999998</v>
      </c>
      <c r="P11" s="110">
        <v>6.25E-2</v>
      </c>
      <c r="Q11" s="211">
        <f>IF('Temperature Profiles'!L10&gt;17,(0.005*('Temperature Profiles'!L10^2) - 0.1517*'Temperature Profiles'!L10 + 1.1702)*1000,0)</f>
        <v>234.39562499999988</v>
      </c>
      <c r="R11" s="110">
        <v>6.25E-2</v>
      </c>
      <c r="S11" s="211">
        <f>IF('Temperature Profiles'!L10&gt;17,(0.0068*('Temperature Profiles'!L10^2) - 0.2129*'Temperature Profiles'!L10 + 1.6904)*1000,0)</f>
        <v>274.58174999999983</v>
      </c>
      <c r="T11" s="21"/>
      <c r="U11" s="110">
        <v>6.25E-2</v>
      </c>
      <c r="V11" s="211">
        <f>IF('Temperature Profiles'!Q10&gt;17,(0.0029*('Temperature Profiles'!Q10^2) - 0.0863*'Temperature Profiles'!Q10 + 0.6808)*1000,0)</f>
        <v>244.39099999999968</v>
      </c>
      <c r="W11" s="110">
        <v>6.25E-2</v>
      </c>
      <c r="X11" s="211">
        <f>IF('Temperature Profiles'!Q10&gt;17,(0.005*('Temperature Profiles'!Q10^2) - 0.1517*'Temperature Profiles'!Q10 + 1.1702)*1000,0)</f>
        <v>350.03999999999945</v>
      </c>
      <c r="Y11" s="110">
        <v>6.25E-2</v>
      </c>
      <c r="Z11" s="211">
        <f>IF('Temperature Profiles'!Q10&gt;17,(0.0068*('Temperature Profiles'!Q10^2) - 0.2129*'Temperature Profiles'!Q10 + 1.6904)*1000,0)</f>
        <v>421.48199999999878</v>
      </c>
      <c r="AA11" s="21"/>
      <c r="AB11" s="110">
        <v>6.25E-2</v>
      </c>
      <c r="AC11" s="211">
        <f>IF('Temperature Profiles'!V10&gt;17,(0.0029*('Temperature Profiles'!V10^2) - 0.0863*'Temperature Profiles'!V10 + 0.6808)*1000,0)</f>
        <v>56.699888888888886</v>
      </c>
      <c r="AD11" s="110">
        <v>6.25E-2</v>
      </c>
      <c r="AE11" s="211">
        <f>IF('Temperature Profiles'!V10&gt;17,(0.005*('Temperature Profiles'!V10^2) - 0.1517*'Temperature Profiles'!V10 + 1.1702)*1000,0)</f>
        <v>43.68222222222218</v>
      </c>
      <c r="AF11" s="110">
        <v>6.25E-2</v>
      </c>
      <c r="AG11" s="211">
        <f>IF('Temperature Profiles'!V10&gt;17,(0.0068*('Temperature Profiles'!V10^2) - 0.2129*'Temperature Profiles'!V10 + 1.6904)*1000,0)</f>
        <v>43.924222222222028</v>
      </c>
      <c r="AH11" s="21"/>
      <c r="AI11" s="110">
        <v>6.25E-2</v>
      </c>
      <c r="AJ11" s="211">
        <f>IF('Temperature Profiles'!AA10&gt;17,(0.0029*('Temperature Profiles'!AA10^2) - 0.0863*'Temperature Profiles'!AA10 + 0.6808)*1000,0)</f>
        <v>0</v>
      </c>
      <c r="AK11" s="110">
        <v>6.25E-2</v>
      </c>
      <c r="AL11" s="211">
        <f>IF('Temperature Profiles'!AA10&gt;17,(0.005*('Temperature Profiles'!AA10^2) - 0.1517*'Temperature Profiles'!AA10 + 1.1701)*1000,0)</f>
        <v>0</v>
      </c>
      <c r="AM11" s="110">
        <v>6.25E-2</v>
      </c>
      <c r="AN11" s="211">
        <f>IF('Temperature Profiles'!AA10&gt;17,(0.0068*('Temperature Profiles'!AA10^2) - 0.2129*'Temperature Profiles'!AA10 + 1.6904)*1000,0)</f>
        <v>0</v>
      </c>
      <c r="AO11" s="21"/>
      <c r="AP11" s="110">
        <v>6.25E-2</v>
      </c>
      <c r="AQ11" s="211">
        <f>IF('Temperature Profiles'!AF10&gt;17,(0.0029*('Temperature Profiles'!AF10^2) - 0.0863*'Temperature Profiles'!AF10 + 0.6808)*1000,0)</f>
        <v>563.68888888888898</v>
      </c>
      <c r="AR11" s="110">
        <v>6.25E-2</v>
      </c>
      <c r="AS11" s="183">
        <f>IF('Temperature Profiles'!AF10&gt;17,(0.005*('Temperature Profiles'!AF10^2) - 0.1517*'Temperature Profiles'!AF10 + 1.1702)*1000,0)</f>
        <v>885.92222222222313</v>
      </c>
      <c r="AT11" s="110">
        <v>6.25E-2</v>
      </c>
      <c r="AU11" s="211">
        <f>IF('Temperature Profiles'!AF10&gt;17,(0.0068*('Temperature Profiles'!AF10^2) - 0.2129*'Temperature Profiles'!AF10 + 1.6904)*1000,0)</f>
        <v>1117.1222222222225</v>
      </c>
      <c r="AV11" s="21"/>
      <c r="AW11" s="110">
        <v>6.25E-2</v>
      </c>
      <c r="AX11" s="211"/>
      <c r="AY11" s="21"/>
      <c r="AZ11" s="110">
        <v>6.25E-2</v>
      </c>
      <c r="BA11" s="264"/>
      <c r="BC11" s="260">
        <v>6.25E-2</v>
      </c>
      <c r="BD11" s="211">
        <f>IF('Temperature Profiles'!G10&lt;16,(-0.0037*'Temperature Profiles'!G10+0.0664)*1000,0)</f>
        <v>29.523333333333341</v>
      </c>
      <c r="BE11" s="110">
        <v>6.25E-2</v>
      </c>
      <c r="BF11" s="211">
        <f>IF('Temperature Profiles'!G10&lt;16,(-0.0076*'Temperature Profiles'!G10+0.1245)*1000,0)</f>
        <v>48.753333333333345</v>
      </c>
      <c r="BG11" s="110">
        <v>6.25E-2</v>
      </c>
      <c r="BH11" s="211">
        <f>IF('Temperature Profiles'!G10&lt;16,(-0.01*'Temperature Profiles'!G10+0.167)*1000,0)</f>
        <v>67.333333333333357</v>
      </c>
      <c r="BI11" s="21"/>
      <c r="BJ11" s="110">
        <v>6.25E-2</v>
      </c>
      <c r="BK11" s="211">
        <f>IF('Temperature Profiles'!L10&lt;16,(-0.0037*'Temperature Profiles'!L10+0.0664)*1000,0)</f>
        <v>0</v>
      </c>
      <c r="BL11" s="110">
        <v>6.25E-2</v>
      </c>
      <c r="BM11" s="211">
        <f>IF('Temperature Profiles'!L10&lt;16,(-0.0076*'Temperature Profiles'!L10+0.1245)*1000,0)</f>
        <v>0</v>
      </c>
      <c r="BN11" s="110">
        <v>6.25E-2</v>
      </c>
      <c r="BO11" s="211">
        <f>IF('Temperature Profiles'!L10&lt;16,(-0.01*'Temperature Profiles'!L10+0.167)*1000,0)</f>
        <v>0</v>
      </c>
      <c r="BP11" s="21"/>
      <c r="BQ11" s="110">
        <v>6.25E-2</v>
      </c>
      <c r="BR11" s="211">
        <f>IF('Temperature Profiles'!Q10&lt;16,(-0.0037*'Temperature Profiles'!Q10+0.0664)*1000,0)</f>
        <v>0</v>
      </c>
      <c r="BS11" s="110">
        <v>6.25E-2</v>
      </c>
      <c r="BT11" s="211">
        <f>IF('Temperature Profiles'!Q10&lt;16,(-0.0076*'Temperature Profiles'!Q10+0.1245)*1000,0)</f>
        <v>0</v>
      </c>
      <c r="BU11" s="110">
        <v>6.25E-2</v>
      </c>
      <c r="BV11" s="211">
        <f>IF('Temperature Profiles'!Q10&lt;16,(-0.01*'Temperature Profiles'!Q10+0.167)*1000,0)</f>
        <v>0</v>
      </c>
      <c r="BW11" s="21"/>
      <c r="BX11" s="110">
        <v>6.25E-2</v>
      </c>
      <c r="BY11" s="211">
        <f>IF('Temperature Profiles'!V10&lt;16,(-0.0037*'Temperature Profiles'!V10+0.0664)*1000,0)</f>
        <v>0</v>
      </c>
      <c r="BZ11" s="110">
        <v>6.25E-2</v>
      </c>
      <c r="CA11" s="211">
        <f>IF('Temperature Profiles'!V10&lt;16,(-0.0076*'Temperature Profiles'!V10+0.1245)*1000,0)</f>
        <v>0</v>
      </c>
      <c r="CB11" s="110">
        <v>6.25E-2</v>
      </c>
      <c r="CC11" s="211">
        <f>IF('Temperature Profiles'!V10&lt;16,(-0.01*'Temperature Profiles'!V10+0.167)*1000,0)</f>
        <v>0</v>
      </c>
      <c r="CD11" s="21"/>
      <c r="CE11" s="110">
        <v>6.25E-2</v>
      </c>
      <c r="CF11" s="211">
        <f>IF('Temperature Profiles'!AA10&lt;16,(-0.0037*'Temperature Profiles'!AA10+0.0664)*1000,0)</f>
        <v>133.2775</v>
      </c>
      <c r="CG11" s="110">
        <v>6.25E-2</v>
      </c>
      <c r="CH11" s="178">
        <f>IF('Temperature Profiles'!AA10&lt;16,(-0.0076*'Temperature Profiles'!AA10+0.1245)*1000,0)</f>
        <v>261.87</v>
      </c>
      <c r="CI11" s="110">
        <v>6.25E-2</v>
      </c>
      <c r="CJ11" s="211">
        <f>IF('Temperature Profiles'!AA10&lt;16,(-0.01*'Temperature Profiles'!AA10+0.167)*1000,0)</f>
        <v>347.75</v>
      </c>
      <c r="CK11" s="21"/>
      <c r="CL11" s="110">
        <v>6.25E-2</v>
      </c>
      <c r="CM11" s="211">
        <f>IF('Temperature Profiles'!AF10&lt;16,(-0.0037*'Temperature Profiles'!AF10+0.0664)*1000,0)</f>
        <v>0</v>
      </c>
      <c r="CN11" s="110">
        <v>6.25E-2</v>
      </c>
      <c r="CO11" s="178">
        <f>IF('Temperature Profiles'!AF10&lt;16,(-0.0076*'Temperature Profiles'!AF10+0.1245)*1000,0)</f>
        <v>0</v>
      </c>
      <c r="CP11" s="110">
        <v>6.25E-2</v>
      </c>
      <c r="CQ11" s="211">
        <f>IF('Temperature Profiles'!AF10&lt;16,(-0.01*'Temperature Profiles'!AF10+0.167)*1000,0)</f>
        <v>0</v>
      </c>
      <c r="CR11" s="21"/>
      <c r="CS11" s="110">
        <v>6.25E-2</v>
      </c>
      <c r="CT11" s="211"/>
      <c r="CU11" s="21"/>
      <c r="CV11" s="110">
        <v>6.25E-2</v>
      </c>
      <c r="CW11" s="264"/>
      <c r="CY11" s="260">
        <v>6.25E-2</v>
      </c>
      <c r="CZ11" s="178">
        <f>IF('Temperature Profiles'!G10&gt;18,(0.0024*('Temperature Profiles'!G10^2)-0.0581*'Temperature Profiles'!G10+0.3293)*1000,IF('Temperature Profiles'!G10&lt;17,(0.0022*('Temperature Profiles'!G10^2)-0.0874*'Temperature Profiles'!G10+0.9301)*1000,0))</f>
        <v>277.54911111111113</v>
      </c>
      <c r="DA11" s="110">
        <v>6.25E-2</v>
      </c>
      <c r="DB11" s="263">
        <f>IF('Temperature Profiles'!G10&gt;18,(0.0043*('Temperature Profiles'!G10^2)-0.1116*'Temperature Profiles'!G10+0.6576)*1000,IF('Temperature Profiles'!G10&lt;17,(0.0053*('Temperature Profiles'!G10^2)-0.1876*'Temperature Profiles'!G10+1.7649)*1000,0))</f>
        <v>421.62588888888905</v>
      </c>
      <c r="DC11" s="110">
        <v>6.25E-2</v>
      </c>
      <c r="DD11" s="211">
        <f>IF('Temperature Profiles'!G10&gt;18,(0.0057*('Temperature Profiles'!G10^2)-0.1509*'Temperature Profiles'!G10+0.8935)*1000,IF('Temperature Profiles'!G10&lt;17,(0.0072*('Temperature Profiles'!G10^2)-0.254*'Temperature Profiles'!G10+2.3952)*1000,0))</f>
        <v>578.8746666666666</v>
      </c>
      <c r="DE11" s="21"/>
      <c r="DF11" s="110">
        <v>6.25E-2</v>
      </c>
      <c r="DG11" s="209">
        <f>IF('Temperature Profiles'!L10&gt;18,(0.0024*('Temperature Profiles'!L10^2)-0.0581*'Temperature Profiles'!L10+0.3293)*1000,IF('Temperature Profiles'!L10&lt;17,(0.0022*('Temperature Profiles'!L10^2)-0.0874*'Temperature Profiles'!L10+0.9301)*1000,0))</f>
        <v>199.81900000000002</v>
      </c>
      <c r="DH11" s="110">
        <v>6.25E-2</v>
      </c>
      <c r="DI11" s="209">
        <f>IF('Temperature Profiles'!L10&gt;18,(0.0043*('Temperature Profiles'!L10^2)-0.1116*'Temperature Profiles'!L10+0.6576)*1000,IF('Temperature Profiles'!L10&lt;17,(0.0053*('Temperature Profiles'!L10^2)-0.1876*'Temperature Profiles'!L10+1.7649)*1000,0))</f>
        <v>262.58518750000002</v>
      </c>
      <c r="DJ11" s="110">
        <v>6.25E-2</v>
      </c>
      <c r="DK11" s="211">
        <f>IF('Temperature Profiles'!L10&gt;18,(0.0057*('Temperature Profiles'!L10^2)-0.1509*'Temperature Profiles'!L10+0.8935)*1000,IF('Temperature Profiles'!L10&lt;17,(0.0072*('Temperature Profiles'!L10^2)-0.254*'Temperature Profiles'!L10+2.3952)*1000,0))</f>
        <v>305.45856249999969</v>
      </c>
      <c r="DL11" s="21"/>
      <c r="DM11" s="110">
        <v>6.25E-2</v>
      </c>
      <c r="DN11" s="209">
        <f>IF('Temperature Profiles'!Q10&gt;18,(0.0024*('Temperature Profiles'!Q10^2)-0.0581*'Temperature Profiles'!Q10+0.3293)*1000,IF('Temperature Profiles'!Q10&lt;17,(0.0022*('Temperature Profiles'!Q10^2)-0.0874*'Temperature Profiles'!Q10+0.9301)*1000,0))</f>
        <v>278.50599999999974</v>
      </c>
      <c r="DO11" s="110">
        <v>6.25E-2</v>
      </c>
      <c r="DP11" s="209">
        <f>IF('Temperature Profiles'!Q10&gt;18,(0.0043*('Temperature Profiles'!Q10^2)-0.1116*'Temperature Profiles'!Q10+0.6576)*1000,IF('Temperature Profiles'!Q10&lt;17,(0.0053*('Temperature Profiles'!Q10^2)-0.1876*'Temperature Profiles'!Q10+1.7649)*1000,0))</f>
        <v>391.74699999999962</v>
      </c>
      <c r="DQ11" s="110">
        <v>6.25E-2</v>
      </c>
      <c r="DR11" s="211">
        <f>IF('Temperature Profiles'!Q10&gt;18,(0.0057*('Temperature Profiles'!Q10^2)-0.1509*'Temperature Profiles'!Q10+0.8935)*1000,IF('Temperature Profiles'!Q10&lt;17,(0.0072*('Temperature Profiles'!Q10^2)-0.254*'Temperature Profiles'!Q10+2.3952)*1000,0))</f>
        <v>472.00299999999993</v>
      </c>
      <c r="DS11" s="21"/>
      <c r="DT11" s="110">
        <v>6.25E-2</v>
      </c>
      <c r="DU11" s="209">
        <f>IF('Temperature Profiles'!V10&gt;18,(0.0024*('Temperature Profiles'!V10^2)-0.0581*'Temperature Profiles'!V10+0.3293)*1000,IF('Temperature Profiles'!V10&lt;17,(0.0022*('Temperature Profiles'!V10^2)-0.0874*'Temperature Profiles'!V10+0.9301)*1000,0))</f>
        <v>0</v>
      </c>
      <c r="DV11" s="110">
        <v>6.25E-2</v>
      </c>
      <c r="DW11" s="209">
        <f>IF('Temperature Profiles'!V10&gt;18,(0.0043*('Temperature Profiles'!V10^2)-0.1116*'Temperature Profiles'!V10+0.6576)*1000,IF('Temperature Profiles'!V10&lt;17,(0.0053*('Temperature Profiles'!V10^2)-0.1876*'Temperature Profiles'!V10+1.7649)*1000,0))</f>
        <v>0</v>
      </c>
      <c r="DX11" s="110">
        <v>6.25E-2</v>
      </c>
      <c r="DY11" s="211">
        <f>IF('Temperature Profiles'!V10&gt;18,(0.0057*('Temperature Profiles'!V10^2)-0.1509*'Temperature Profiles'!V10+0.8935)*1000,IF('Temperature Profiles'!V10&lt;17,(0.0072*('Temperature Profiles'!V10^2)-0.254*'Temperature Profiles'!V10+2.3952)*1000,0))</f>
        <v>0</v>
      </c>
      <c r="DZ11" s="21"/>
      <c r="EA11" s="110">
        <v>6.25E-2</v>
      </c>
      <c r="EB11" s="209">
        <f>IF('Temperature Profiles'!AA109&gt;18,(0.0024*('Temperature Profiles'!AA109^2)-0.0581*'Temperature Profiles'!AA109+0.3293)*1000,IF('Temperature Profiles'!AA109&lt;17,(0.0022*('Temperature Profiles'!AA109^2)-0.0874*'Temperature Profiles'!AA109+0.9301)*1000,0))</f>
        <v>671.72661111111108</v>
      </c>
      <c r="EC11" s="110">
        <v>6.25E-2</v>
      </c>
      <c r="ED11" s="209">
        <f>IF('Temperature Profiles'!AA109&gt;18,(0.0043*('Temperature Profiles'!AA109^2)-0.1116*'Temperature Profiles'!AA109+0.6576)*1000,IF('Temperature Profiles'!AA109&lt;17,(0.0053*('Temperature Profiles'!AA109^2)-0.1876*'Temperature Profiles'!AA109+1.7649)*1000,0))</f>
        <v>1216.292138888889</v>
      </c>
      <c r="EE11" s="110">
        <v>6.25E-2</v>
      </c>
      <c r="EF11" s="211">
        <f>IF('Temperature Profiles'!AA109&gt;18,(0.0057*('Temperature Profiles'!AA109^2)-0.1509*'Temperature Profiles'!AA109+0.8935)*1000,IF('Temperature Profiles'!AA109&lt;17,(0.0072*('Temperature Profiles'!AA109^2)-0.254*'Temperature Profiles'!AA109+2.3952)*1000,0))</f>
        <v>1652.6646666666666</v>
      </c>
      <c r="EG11" s="21"/>
      <c r="EH11" s="110">
        <v>6.25E-2</v>
      </c>
      <c r="EI11" s="211">
        <f>IF('Temperature Profiles'!AF10&gt;18,(0.0024*('Temperature Profiles'!AF10^2)-0.0581*'Temperature Profiles'!AF10+0.3293)*1000,IF('Temperature Profiles'!AF10&lt;17,(0.0022*('Temperature Profiles'!AF10^2)-0.0874*'Temperature Profiles'!AF10+0.9301)*1000,0))</f>
        <v>609.80000000000007</v>
      </c>
      <c r="EJ11" s="110">
        <v>6.25E-2</v>
      </c>
      <c r="EK11" s="211">
        <f>IF('Temperature Profiles'!AF10&gt;18,(0.0043*('Temperature Profiles'!AF10^2)-0.1116*'Temperature Profiles'!AF10+0.6576)*1000,IF('Temperature Profiles'!AF10&lt;17,(0.0053*('Temperature Profiles'!AF10^2)-0.1876*'Temperature Profiles'!AF10+1.7649)*1000,0))</f>
        <v>947.54444444444493</v>
      </c>
      <c r="EL11" s="110">
        <v>6.25E-2</v>
      </c>
      <c r="EM11" s="211">
        <f>IF('Temperature Profiles'!AF10&gt;18,(0.0057*('Temperature Profiles'!AF10^2)-0.1509*'Temperature Profiles'!AF10+0.8935)*1000,IF('Temperature Profiles'!AF10&lt;17,(0.0072*('Temperature Profiles'!AF10^2)-0.254*'Temperature Profiles'!AF10+2.3952)*1000,0))</f>
        <v>1193.8333333333335</v>
      </c>
      <c r="EN11" s="21"/>
      <c r="EO11" s="110">
        <v>6.25E-2</v>
      </c>
      <c r="EP11" s="211"/>
      <c r="EQ11" s="21"/>
      <c r="ER11" s="110">
        <v>6.25E-2</v>
      </c>
      <c r="ES11" s="264"/>
      <c r="EU11" s="260">
        <v>6.25E-2</v>
      </c>
      <c r="EV11" s="209">
        <f>IF('Temperature Profiles'!AA109&gt;18,(0.0024*('Temperature Profiles'!AA109^2)-0.0581*'Temperature Profiles'!AA109+0.3293)*1000,IF('Temperature Profiles'!AA109&lt;17,(0.0022*('Temperature Profiles'!AA109^2)-0.0874*'Temperature Profiles'!AA109+0.9301)*1000,0))</f>
        <v>671.72661111111108</v>
      </c>
      <c r="EW11" s="110">
        <v>6.25E-2</v>
      </c>
      <c r="EX11" s="209">
        <f>IF('Temperature Profiles'!AA109&gt;18,(0.0043*('Temperature Profiles'!AA109^2)-0.1116*'Temperature Profiles'!AA109+0.6576)*1000,IF('Temperature Profiles'!AA109&lt;17,(0.0053*('Temperature Profiles'!AA109^2)-0.1876*'Temperature Profiles'!AA109+1.7649)*1000,0))</f>
        <v>1216.292138888889</v>
      </c>
      <c r="EY11" s="110">
        <v>6.25E-2</v>
      </c>
      <c r="EZ11" s="264">
        <f>IF('Temperature Profiles'!AA109&gt;18,(0.0057*('Temperature Profiles'!AA109^2)-0.1509*'Temperature Profiles'!AA109+0.8935)*1000,IF('Temperature Profiles'!AA109&lt;17,(0.0072*('Temperature Profiles'!AA109^2)-0.254*'Temperature Profiles'!AA109+2.3952)*1000,0))</f>
        <v>1652.6646666666666</v>
      </c>
    </row>
    <row r="12" spans="1:156" x14ac:dyDescent="0.3">
      <c r="A12" s="108">
        <v>6.25E-2</v>
      </c>
      <c r="B12" s="226">
        <f t="shared" si="0"/>
        <v>0</v>
      </c>
      <c r="C12" s="21">
        <f t="shared" si="1"/>
        <v>347.75</v>
      </c>
      <c r="D12" s="20">
        <f t="shared" si="2"/>
        <v>1652.6646666666666</v>
      </c>
      <c r="E12" s="20">
        <f t="shared" si="3"/>
        <v>1652.6646666666666</v>
      </c>
      <c r="G12" s="260">
        <v>7.2916666666666699E-2</v>
      </c>
      <c r="H12" s="211">
        <f>IF('Temperature Profiles'!G11&gt;17,(0.0029*('Temperature Profiles'!G11^2) - 0.0863*'Temperature Profiles'!G11 + 0.6808)*1000,0)</f>
        <v>0</v>
      </c>
      <c r="I12" s="110">
        <v>7.2916666666666699E-2</v>
      </c>
      <c r="J12" s="211">
        <f>IF('Temperature Profiles'!G11&gt;17,(0.005*('Temperature Profiles'!G11^2) - 0.1517*'Temperature Profiles'!G11 + 1.1702)*1000,0)</f>
        <v>0</v>
      </c>
      <c r="K12" s="110">
        <v>7.2916666666666699E-2</v>
      </c>
      <c r="L12" s="211">
        <f>IF('Temperature Profiles'!G11&gt;17,(0.0068*('Temperature Profiles'!G11^2) - 0.2129*'Temperature Profiles'!G11 + 1.6904)*1000,0)</f>
        <v>0</v>
      </c>
      <c r="M12" s="21"/>
      <c r="N12" s="110">
        <v>7.2916666666666699E-2</v>
      </c>
      <c r="O12" s="211">
        <f>IF('Temperature Profiles'!L11&gt;17,(0.0029*('Temperature Profiles'!L11^2) - 0.0863*'Temperature Profiles'!L11 + 0.6808)*1000,0)</f>
        <v>174.6618124999998</v>
      </c>
      <c r="P12" s="110">
        <v>7.2916666666666699E-2</v>
      </c>
      <c r="Q12" s="211">
        <f>IF('Temperature Profiles'!L11&gt;17,(0.005*('Temperature Profiles'!L11^2) - 0.1517*'Temperature Profiles'!L11 + 1.1702)*1000,0)</f>
        <v>234.39562499999988</v>
      </c>
      <c r="R12" s="110">
        <v>7.2916666666666699E-2</v>
      </c>
      <c r="S12" s="211">
        <f>IF('Temperature Profiles'!L11&gt;17,(0.0068*('Temperature Profiles'!L11^2) - 0.2129*'Temperature Profiles'!L11 + 1.6904)*1000,0)</f>
        <v>274.58174999999983</v>
      </c>
      <c r="T12" s="21"/>
      <c r="U12" s="110">
        <v>7.2916666666666699E-2</v>
      </c>
      <c r="V12" s="211">
        <f>IF('Temperature Profiles'!Q11&gt;17,(0.0029*('Temperature Profiles'!Q11^2) - 0.0863*'Temperature Profiles'!Q11 + 0.6808)*1000,0)</f>
        <v>244.39099999999968</v>
      </c>
      <c r="W12" s="110">
        <v>7.2916666666666699E-2</v>
      </c>
      <c r="X12" s="211">
        <f>IF('Temperature Profiles'!Q11&gt;17,(0.005*('Temperature Profiles'!Q11^2) - 0.1517*'Temperature Profiles'!Q11 + 1.1702)*1000,0)</f>
        <v>350.03999999999945</v>
      </c>
      <c r="Y12" s="110">
        <v>7.2916666666666699E-2</v>
      </c>
      <c r="Z12" s="211">
        <f>IF('Temperature Profiles'!Q11&gt;17,(0.0068*('Temperature Profiles'!Q11^2) - 0.2129*'Temperature Profiles'!Q11 + 1.6904)*1000,0)</f>
        <v>421.48199999999878</v>
      </c>
      <c r="AA12" s="21"/>
      <c r="AB12" s="110">
        <v>7.2916666666666699E-2</v>
      </c>
      <c r="AC12" s="211">
        <f>IF('Temperature Profiles'!V11&gt;17,(0.0029*('Temperature Profiles'!V11^2) - 0.0863*'Temperature Profiles'!V11 + 0.6808)*1000,0)</f>
        <v>56.699888888888886</v>
      </c>
      <c r="AD12" s="110">
        <v>7.2916666666666699E-2</v>
      </c>
      <c r="AE12" s="211">
        <f>IF('Temperature Profiles'!V11&gt;17,(0.005*('Temperature Profiles'!V11^2) - 0.1517*'Temperature Profiles'!V11 + 1.1702)*1000,0)</f>
        <v>43.68222222222218</v>
      </c>
      <c r="AF12" s="110">
        <v>7.2916666666666699E-2</v>
      </c>
      <c r="AG12" s="211">
        <f>IF('Temperature Profiles'!V11&gt;17,(0.0068*('Temperature Profiles'!V11^2) - 0.2129*'Temperature Profiles'!V11 + 1.6904)*1000,0)</f>
        <v>43.924222222222028</v>
      </c>
      <c r="AH12" s="21"/>
      <c r="AI12" s="110">
        <v>7.2916666666666699E-2</v>
      </c>
      <c r="AJ12" s="211">
        <f>IF('Temperature Profiles'!AA11&gt;17,(0.0029*('Temperature Profiles'!AA11^2) - 0.0863*'Temperature Profiles'!AA11 + 0.6808)*1000,0)</f>
        <v>0</v>
      </c>
      <c r="AK12" s="110">
        <v>7.2916666666666699E-2</v>
      </c>
      <c r="AL12" s="211">
        <f>IF('Temperature Profiles'!AA11&gt;17,(0.005*('Temperature Profiles'!AA11^2) - 0.1517*'Temperature Profiles'!AA11 + 1.1701)*1000,0)</f>
        <v>0</v>
      </c>
      <c r="AM12" s="110">
        <v>7.2916666666666699E-2</v>
      </c>
      <c r="AN12" s="211">
        <f>IF('Temperature Profiles'!AA11&gt;17,(0.0068*('Temperature Profiles'!AA11^2) - 0.2129*'Temperature Profiles'!AA11 + 1.6904)*1000,0)</f>
        <v>0</v>
      </c>
      <c r="AO12" s="21"/>
      <c r="AP12" s="110">
        <v>7.2916666666666699E-2</v>
      </c>
      <c r="AQ12" s="211">
        <f>IF('Temperature Profiles'!AF11&gt;17,(0.0029*('Temperature Profiles'!AF11^2) - 0.0863*'Temperature Profiles'!AF11 + 0.6808)*1000,0)</f>
        <v>563.68888888888898</v>
      </c>
      <c r="AR12" s="110">
        <v>7.2916666666666699E-2</v>
      </c>
      <c r="AS12" s="183">
        <f>IF('Temperature Profiles'!AF11&gt;17,(0.005*('Temperature Profiles'!AF11^2) - 0.1517*'Temperature Profiles'!AF11 + 1.1702)*1000,0)</f>
        <v>885.92222222222313</v>
      </c>
      <c r="AT12" s="110">
        <v>7.2916666666666699E-2</v>
      </c>
      <c r="AU12" s="211">
        <f>IF('Temperature Profiles'!AF11&gt;17,(0.0068*('Temperature Profiles'!AF11^2) - 0.2129*'Temperature Profiles'!AF11 + 1.6904)*1000,0)</f>
        <v>1117.1222222222225</v>
      </c>
      <c r="AV12" s="21"/>
      <c r="AW12" s="110">
        <v>7.2916666666666699E-2</v>
      </c>
      <c r="AX12" s="211"/>
      <c r="AY12" s="21"/>
      <c r="AZ12" s="110">
        <v>7.2916666666666699E-2</v>
      </c>
      <c r="BA12" s="264"/>
      <c r="BC12" s="260">
        <v>7.2916666666666699E-2</v>
      </c>
      <c r="BD12" s="211">
        <f>IF('Temperature Profiles'!G11&lt;16,(-0.0037*'Temperature Profiles'!G11+0.0664)*1000,0)</f>
        <v>29.523333333333341</v>
      </c>
      <c r="BE12" s="110">
        <v>7.2916666666666699E-2</v>
      </c>
      <c r="BF12" s="211">
        <f>IF('Temperature Profiles'!G11&lt;16,(-0.0076*'Temperature Profiles'!G11+0.1245)*1000,0)</f>
        <v>48.753333333333345</v>
      </c>
      <c r="BG12" s="110">
        <v>7.2916666666666699E-2</v>
      </c>
      <c r="BH12" s="211">
        <f>IF('Temperature Profiles'!G11&lt;16,(-0.01*'Temperature Profiles'!G11+0.167)*1000,0)</f>
        <v>67.333333333333357</v>
      </c>
      <c r="BI12" s="21"/>
      <c r="BJ12" s="110">
        <v>7.2916666666666699E-2</v>
      </c>
      <c r="BK12" s="211">
        <f>IF('Temperature Profiles'!L11&lt;16,(-0.0037*'Temperature Profiles'!L11+0.0664)*1000,0)</f>
        <v>0</v>
      </c>
      <c r="BL12" s="110">
        <v>7.2916666666666699E-2</v>
      </c>
      <c r="BM12" s="211">
        <f>IF('Temperature Profiles'!L11&lt;16,(-0.0076*'Temperature Profiles'!L11+0.1245)*1000,0)</f>
        <v>0</v>
      </c>
      <c r="BN12" s="110">
        <v>7.2916666666666699E-2</v>
      </c>
      <c r="BO12" s="211">
        <f>IF('Temperature Profiles'!L11&lt;16,(-0.01*'Temperature Profiles'!L11+0.167)*1000,0)</f>
        <v>0</v>
      </c>
      <c r="BP12" s="21"/>
      <c r="BQ12" s="110">
        <v>7.2916666666666699E-2</v>
      </c>
      <c r="BR12" s="211">
        <f>IF('Temperature Profiles'!Q11&lt;16,(-0.0037*'Temperature Profiles'!Q11+0.0664)*1000,0)</f>
        <v>0</v>
      </c>
      <c r="BS12" s="110">
        <v>7.2916666666666699E-2</v>
      </c>
      <c r="BT12" s="211">
        <f>IF('Temperature Profiles'!Q11&lt;16,(-0.0076*'Temperature Profiles'!Q11+0.1245)*1000,0)</f>
        <v>0</v>
      </c>
      <c r="BU12" s="110">
        <v>7.2916666666666699E-2</v>
      </c>
      <c r="BV12" s="211">
        <f>IF('Temperature Profiles'!Q11&lt;16,(-0.01*'Temperature Profiles'!Q11+0.167)*1000,0)</f>
        <v>0</v>
      </c>
      <c r="BW12" s="21"/>
      <c r="BX12" s="110">
        <v>7.2916666666666699E-2</v>
      </c>
      <c r="BY12" s="211">
        <f>IF('Temperature Profiles'!V11&lt;16,(-0.0037*'Temperature Profiles'!V11+0.0664)*1000,0)</f>
        <v>0</v>
      </c>
      <c r="BZ12" s="110">
        <v>7.2916666666666699E-2</v>
      </c>
      <c r="CA12" s="211">
        <f>IF('Temperature Profiles'!V11&lt;16,(-0.0076*'Temperature Profiles'!V11+0.1245)*1000,0)</f>
        <v>0</v>
      </c>
      <c r="CB12" s="110">
        <v>7.2916666666666699E-2</v>
      </c>
      <c r="CC12" s="211">
        <f>IF('Temperature Profiles'!V11&lt;16,(-0.01*'Temperature Profiles'!V11+0.167)*1000,0)</f>
        <v>0</v>
      </c>
      <c r="CD12" s="21"/>
      <c r="CE12" s="110">
        <v>7.2916666666666699E-2</v>
      </c>
      <c r="CF12" s="211">
        <f>IF('Temperature Profiles'!AA11&lt;16,(-0.0037*'Temperature Profiles'!AA11+0.0664)*1000,0)</f>
        <v>133.2775</v>
      </c>
      <c r="CG12" s="110">
        <v>7.2916666666666699E-2</v>
      </c>
      <c r="CH12" s="178">
        <f>IF('Temperature Profiles'!AA11&lt;16,(-0.0076*'Temperature Profiles'!AA11+0.1245)*1000,0)</f>
        <v>261.87</v>
      </c>
      <c r="CI12" s="110">
        <v>7.2916666666666699E-2</v>
      </c>
      <c r="CJ12" s="211">
        <f>IF('Temperature Profiles'!AA11&lt;16,(-0.01*'Temperature Profiles'!AA11+0.167)*1000,0)</f>
        <v>347.75</v>
      </c>
      <c r="CK12" s="21"/>
      <c r="CL12" s="110">
        <v>7.2916666666666699E-2</v>
      </c>
      <c r="CM12" s="211">
        <f>IF('Temperature Profiles'!AF11&lt;16,(-0.0037*'Temperature Profiles'!AF11+0.0664)*1000,0)</f>
        <v>0</v>
      </c>
      <c r="CN12" s="110">
        <v>7.2916666666666699E-2</v>
      </c>
      <c r="CO12" s="178">
        <f>IF('Temperature Profiles'!AF11&lt;16,(-0.0076*'Temperature Profiles'!AF11+0.1245)*1000,0)</f>
        <v>0</v>
      </c>
      <c r="CP12" s="110">
        <v>7.2916666666666699E-2</v>
      </c>
      <c r="CQ12" s="211">
        <f>IF('Temperature Profiles'!AF11&lt;16,(-0.01*'Temperature Profiles'!AF11+0.167)*1000,0)</f>
        <v>0</v>
      </c>
      <c r="CR12" s="21"/>
      <c r="CS12" s="110">
        <v>7.2916666666666699E-2</v>
      </c>
      <c r="CT12" s="211"/>
      <c r="CU12" s="21"/>
      <c r="CV12" s="110">
        <v>7.2916666666666699E-2</v>
      </c>
      <c r="CW12" s="264"/>
      <c r="CY12" s="260">
        <v>7.2916666666666699E-2</v>
      </c>
      <c r="CZ12" s="178">
        <f>IF('Temperature Profiles'!G11&gt;18,(0.0024*('Temperature Profiles'!G11^2)-0.0581*'Temperature Profiles'!G11+0.3293)*1000,IF('Temperature Profiles'!G11&lt;17,(0.0022*('Temperature Profiles'!G11^2)-0.0874*'Temperature Profiles'!G11+0.9301)*1000,0))</f>
        <v>277.54911111111113</v>
      </c>
      <c r="DA12" s="110">
        <v>7.2916666666666699E-2</v>
      </c>
      <c r="DB12" s="263">
        <f>IF('Temperature Profiles'!G11&gt;18,(0.0043*('Temperature Profiles'!G11^2)-0.1116*'Temperature Profiles'!G11+0.6576)*1000,IF('Temperature Profiles'!G11&lt;17,(0.0053*('Temperature Profiles'!G11^2)-0.1876*'Temperature Profiles'!G11+1.7649)*1000,0))</f>
        <v>421.62588888888905</v>
      </c>
      <c r="DC12" s="110">
        <v>7.2916666666666699E-2</v>
      </c>
      <c r="DD12" s="211">
        <f>IF('Temperature Profiles'!G11&gt;18,(0.0057*('Temperature Profiles'!G11^2)-0.1509*'Temperature Profiles'!G11+0.8935)*1000,IF('Temperature Profiles'!G11&lt;17,(0.0072*('Temperature Profiles'!G11^2)-0.254*'Temperature Profiles'!G11+2.3952)*1000,0))</f>
        <v>578.8746666666666</v>
      </c>
      <c r="DE12" s="21"/>
      <c r="DF12" s="110">
        <v>7.2916666666666699E-2</v>
      </c>
      <c r="DG12" s="209">
        <f>IF('Temperature Profiles'!L11&gt;18,(0.0024*('Temperature Profiles'!L11^2)-0.0581*'Temperature Profiles'!L11+0.3293)*1000,IF('Temperature Profiles'!L11&lt;17,(0.0022*('Temperature Profiles'!L11^2)-0.0874*'Temperature Profiles'!L11+0.9301)*1000,0))</f>
        <v>199.81900000000002</v>
      </c>
      <c r="DH12" s="110">
        <v>7.2916666666666699E-2</v>
      </c>
      <c r="DI12" s="209">
        <f>IF('Temperature Profiles'!L11&gt;18,(0.0043*('Temperature Profiles'!L11^2)-0.1116*'Temperature Profiles'!L11+0.6576)*1000,IF('Temperature Profiles'!L11&lt;17,(0.0053*('Temperature Profiles'!L11^2)-0.1876*'Temperature Profiles'!L11+1.7649)*1000,0))</f>
        <v>262.58518750000002</v>
      </c>
      <c r="DJ12" s="110">
        <v>7.2916666666666699E-2</v>
      </c>
      <c r="DK12" s="211">
        <f>IF('Temperature Profiles'!L11&gt;18,(0.0057*('Temperature Profiles'!L11^2)-0.1509*'Temperature Profiles'!L11+0.8935)*1000,IF('Temperature Profiles'!L11&lt;17,(0.0072*('Temperature Profiles'!L11^2)-0.254*'Temperature Profiles'!L11+2.3952)*1000,0))</f>
        <v>305.45856249999969</v>
      </c>
      <c r="DL12" s="21"/>
      <c r="DM12" s="110">
        <v>7.2916666666666699E-2</v>
      </c>
      <c r="DN12" s="209">
        <f>IF('Temperature Profiles'!Q11&gt;18,(0.0024*('Temperature Profiles'!Q11^2)-0.0581*'Temperature Profiles'!Q11+0.3293)*1000,IF('Temperature Profiles'!Q11&lt;17,(0.0022*('Temperature Profiles'!Q11^2)-0.0874*'Temperature Profiles'!Q11+0.9301)*1000,0))</f>
        <v>278.50599999999974</v>
      </c>
      <c r="DO12" s="110">
        <v>7.2916666666666699E-2</v>
      </c>
      <c r="DP12" s="209">
        <f>IF('Temperature Profiles'!Q11&gt;18,(0.0043*('Temperature Profiles'!Q11^2)-0.1116*'Temperature Profiles'!Q11+0.6576)*1000,IF('Temperature Profiles'!Q11&lt;17,(0.0053*('Temperature Profiles'!Q11^2)-0.1876*'Temperature Profiles'!Q11+1.7649)*1000,0))</f>
        <v>391.74699999999962</v>
      </c>
      <c r="DQ12" s="110">
        <v>7.2916666666666699E-2</v>
      </c>
      <c r="DR12" s="211">
        <f>IF('Temperature Profiles'!Q11&gt;18,(0.0057*('Temperature Profiles'!Q11^2)-0.1509*'Temperature Profiles'!Q11+0.8935)*1000,IF('Temperature Profiles'!Q11&lt;17,(0.0072*('Temperature Profiles'!Q11^2)-0.254*'Temperature Profiles'!Q11+2.3952)*1000,0))</f>
        <v>472.00299999999993</v>
      </c>
      <c r="DS12" s="21"/>
      <c r="DT12" s="110">
        <v>7.2916666666666699E-2</v>
      </c>
      <c r="DU12" s="209">
        <f>IF('Temperature Profiles'!V11&gt;18,(0.0024*('Temperature Profiles'!V11^2)-0.0581*'Temperature Profiles'!V11+0.3293)*1000,IF('Temperature Profiles'!V11&lt;17,(0.0022*('Temperature Profiles'!V11^2)-0.0874*'Temperature Profiles'!V11+0.9301)*1000,0))</f>
        <v>0</v>
      </c>
      <c r="DV12" s="110">
        <v>7.2916666666666699E-2</v>
      </c>
      <c r="DW12" s="209">
        <f>IF('Temperature Profiles'!V11&gt;18,(0.0043*('Temperature Profiles'!V11^2)-0.1116*'Temperature Profiles'!V11+0.6576)*1000,IF('Temperature Profiles'!V11&lt;17,(0.0053*('Temperature Profiles'!V11^2)-0.1876*'Temperature Profiles'!V11+1.7649)*1000,0))</f>
        <v>0</v>
      </c>
      <c r="DX12" s="110">
        <v>7.2916666666666699E-2</v>
      </c>
      <c r="DY12" s="211">
        <f>IF('Temperature Profiles'!V11&gt;18,(0.0057*('Temperature Profiles'!V11^2)-0.1509*'Temperature Profiles'!V11+0.8935)*1000,IF('Temperature Profiles'!V11&lt;17,(0.0072*('Temperature Profiles'!V11^2)-0.254*'Temperature Profiles'!V11+2.3952)*1000,0))</f>
        <v>0</v>
      </c>
      <c r="DZ12" s="21"/>
      <c r="EA12" s="110">
        <v>7.2916666666666699E-2</v>
      </c>
      <c r="EB12" s="209">
        <f>IF('Temperature Profiles'!AA110&gt;18,(0.0024*('Temperature Profiles'!AA110^2)-0.0581*'Temperature Profiles'!AA110+0.3293)*1000,IF('Temperature Profiles'!AA110&lt;17,(0.0022*('Temperature Profiles'!AA110^2)-0.0874*'Temperature Profiles'!AA110+0.9301)*1000,0))</f>
        <v>671.72661111111108</v>
      </c>
      <c r="EC12" s="110">
        <v>7.2916666666666699E-2</v>
      </c>
      <c r="ED12" s="209">
        <f>IF('Temperature Profiles'!AA110&gt;18,(0.0043*('Temperature Profiles'!AA110^2)-0.1116*'Temperature Profiles'!AA110+0.6576)*1000,IF('Temperature Profiles'!AA110&lt;17,(0.0053*('Temperature Profiles'!AA110^2)-0.1876*'Temperature Profiles'!AA110+1.7649)*1000,0))</f>
        <v>1216.292138888889</v>
      </c>
      <c r="EE12" s="110">
        <v>7.2916666666666699E-2</v>
      </c>
      <c r="EF12" s="211">
        <f>IF('Temperature Profiles'!AA110&gt;18,(0.0057*('Temperature Profiles'!AA110^2)-0.1509*'Temperature Profiles'!AA110+0.8935)*1000,IF('Temperature Profiles'!AA110&lt;17,(0.0072*('Temperature Profiles'!AA110^2)-0.254*'Temperature Profiles'!AA110+2.3952)*1000,0))</f>
        <v>1652.6646666666666</v>
      </c>
      <c r="EG12" s="21"/>
      <c r="EH12" s="110">
        <v>7.2916666666666699E-2</v>
      </c>
      <c r="EI12" s="211">
        <f>IF('Temperature Profiles'!AF11&gt;18,(0.0024*('Temperature Profiles'!AF11^2)-0.0581*'Temperature Profiles'!AF11+0.3293)*1000,IF('Temperature Profiles'!AF11&lt;17,(0.0022*('Temperature Profiles'!AF11^2)-0.0874*'Temperature Profiles'!AF11+0.9301)*1000,0))</f>
        <v>609.80000000000007</v>
      </c>
      <c r="EJ12" s="110">
        <v>7.2916666666666699E-2</v>
      </c>
      <c r="EK12" s="211">
        <f>IF('Temperature Profiles'!AF11&gt;18,(0.0043*('Temperature Profiles'!AF11^2)-0.1116*'Temperature Profiles'!AF11+0.6576)*1000,IF('Temperature Profiles'!AF11&lt;17,(0.0053*('Temperature Profiles'!AF11^2)-0.1876*'Temperature Profiles'!AF11+1.7649)*1000,0))</f>
        <v>947.54444444444493</v>
      </c>
      <c r="EL12" s="110">
        <v>7.2916666666666699E-2</v>
      </c>
      <c r="EM12" s="211">
        <f>IF('Temperature Profiles'!AF11&gt;18,(0.0057*('Temperature Profiles'!AF11^2)-0.1509*'Temperature Profiles'!AF11+0.8935)*1000,IF('Temperature Profiles'!AF11&lt;17,(0.0072*('Temperature Profiles'!AF11^2)-0.254*'Temperature Profiles'!AF11+2.3952)*1000,0))</f>
        <v>1193.8333333333335</v>
      </c>
      <c r="EN12" s="21"/>
      <c r="EO12" s="110">
        <v>7.2916666666666699E-2</v>
      </c>
      <c r="EP12" s="211"/>
      <c r="EQ12" s="21"/>
      <c r="ER12" s="110">
        <v>7.2916666666666699E-2</v>
      </c>
      <c r="ES12" s="264"/>
      <c r="EU12" s="260">
        <v>7.2916666666666699E-2</v>
      </c>
      <c r="EV12" s="209">
        <f>IF('Temperature Profiles'!AA110&gt;18,(0.0024*('Temperature Profiles'!AA110^2)-0.0581*'Temperature Profiles'!AA110+0.3293)*1000,IF('Temperature Profiles'!AA110&lt;17,(0.0022*('Temperature Profiles'!AA110^2)-0.0874*'Temperature Profiles'!AA110+0.9301)*1000,0))</f>
        <v>671.72661111111108</v>
      </c>
      <c r="EW12" s="110">
        <v>7.2916666666666699E-2</v>
      </c>
      <c r="EX12" s="209">
        <f>IF('Temperature Profiles'!AA110&gt;18,(0.0043*('Temperature Profiles'!AA110^2)-0.1116*'Temperature Profiles'!AA110+0.6576)*1000,IF('Temperature Profiles'!AA110&lt;17,(0.0053*('Temperature Profiles'!AA110^2)-0.1876*'Temperature Profiles'!AA110+1.7649)*1000,0))</f>
        <v>1216.292138888889</v>
      </c>
      <c r="EY12" s="110">
        <v>7.2916666666666699E-2</v>
      </c>
      <c r="EZ12" s="264">
        <f>IF('Temperature Profiles'!AA110&gt;18,(0.0057*('Temperature Profiles'!AA110^2)-0.1509*'Temperature Profiles'!AA110+0.8935)*1000,IF('Temperature Profiles'!AA110&lt;17,(0.0072*('Temperature Profiles'!AA110^2)-0.254*'Temperature Profiles'!AA110+2.3952)*1000,0))</f>
        <v>1652.6646666666666</v>
      </c>
    </row>
    <row r="13" spans="1:156" x14ac:dyDescent="0.3">
      <c r="A13" s="108">
        <v>7.2916666666666699E-2</v>
      </c>
      <c r="B13" s="226">
        <f t="shared" si="0"/>
        <v>0</v>
      </c>
      <c r="C13" s="21">
        <f t="shared" si="1"/>
        <v>347.75</v>
      </c>
      <c r="D13" s="20">
        <f t="shared" si="2"/>
        <v>1652.6646666666666</v>
      </c>
      <c r="E13" s="20">
        <f t="shared" si="3"/>
        <v>1652.6646666666666</v>
      </c>
      <c r="G13" s="260">
        <v>8.3333333333333301E-2</v>
      </c>
      <c r="H13" s="211">
        <f>IF('Temperature Profiles'!G12&gt;17,(0.0029*('Temperature Profiles'!G12^2) - 0.0863*'Temperature Profiles'!G12 + 0.6808)*1000,0)</f>
        <v>0</v>
      </c>
      <c r="I13" s="110">
        <v>8.3333333333333301E-2</v>
      </c>
      <c r="J13" s="211">
        <f>IF('Temperature Profiles'!G12&gt;17,(0.005*('Temperature Profiles'!G12^2) - 0.1517*'Temperature Profiles'!G12 + 1.1702)*1000,0)</f>
        <v>0</v>
      </c>
      <c r="K13" s="110">
        <v>8.3333333333333301E-2</v>
      </c>
      <c r="L13" s="211">
        <f>IF('Temperature Profiles'!G12&gt;17,(0.0068*('Temperature Profiles'!G12^2) - 0.2129*'Temperature Profiles'!G12 + 1.6904)*1000,0)</f>
        <v>0</v>
      </c>
      <c r="M13" s="21"/>
      <c r="N13" s="110">
        <v>8.3333333333333301E-2</v>
      </c>
      <c r="O13" s="211">
        <f>IF('Temperature Profiles'!L12&gt;17,(0.0029*('Temperature Profiles'!L12^2) - 0.0863*'Temperature Profiles'!L12 + 0.6808)*1000,0)</f>
        <v>152.18488888888871</v>
      </c>
      <c r="P13" s="110">
        <v>8.3333333333333301E-2</v>
      </c>
      <c r="Q13" s="211">
        <f>IF('Temperature Profiles'!L12&gt;17,(0.005*('Temperature Profiles'!L12^2) - 0.1517*'Temperature Profiles'!L12 + 1.1702)*1000,0)</f>
        <v>197.36222222222244</v>
      </c>
      <c r="R13" s="110">
        <v>8.3333333333333301E-2</v>
      </c>
      <c r="S13" s="211">
        <f>IF('Temperature Profiles'!L12&gt;17,(0.0068*('Temperature Profiles'!L12^2) - 0.2129*'Temperature Profiles'!L12 + 1.6904)*1000,0)</f>
        <v>228.11422222222211</v>
      </c>
      <c r="T13" s="21"/>
      <c r="U13" s="110">
        <v>8.3333333333333301E-2</v>
      </c>
      <c r="V13" s="211">
        <f>IF('Temperature Profiles'!Q12&gt;17,(0.0029*('Temperature Profiles'!Q12^2) - 0.0863*'Temperature Profiles'!Q12 + 0.6808)*1000,0)</f>
        <v>244.39099999999968</v>
      </c>
      <c r="W13" s="110">
        <v>8.3333333333333301E-2</v>
      </c>
      <c r="X13" s="211">
        <f>IF('Temperature Profiles'!Q12&gt;17,(0.005*('Temperature Profiles'!Q12^2) - 0.1517*'Temperature Profiles'!Q12 + 1.1702)*1000,0)</f>
        <v>350.03999999999945</v>
      </c>
      <c r="Y13" s="110">
        <v>8.3333333333333301E-2</v>
      </c>
      <c r="Z13" s="211">
        <f>IF('Temperature Profiles'!Q12&gt;17,(0.0068*('Temperature Profiles'!Q12^2) - 0.2129*'Temperature Profiles'!Q12 + 1.6904)*1000,0)</f>
        <v>421.48199999999878</v>
      </c>
      <c r="AA13" s="21"/>
      <c r="AB13" s="110">
        <v>8.3333333333333301E-2</v>
      </c>
      <c r="AC13" s="211">
        <f>IF('Temperature Profiles'!V12&gt;17,(0.0029*('Temperature Profiles'!V12^2) - 0.0863*'Temperature Profiles'!V12 + 0.6808)*1000,0)</f>
        <v>54.375999999999756</v>
      </c>
      <c r="AD13" s="110">
        <v>8.3333333333333301E-2</v>
      </c>
      <c r="AE13" s="211">
        <f>IF('Temperature Profiles'!V12&gt;17,(0.005*('Temperature Profiles'!V12^2) - 0.1517*'Temperature Profiles'!V12 + 1.1702)*1000,0)</f>
        <v>40.159999999999755</v>
      </c>
      <c r="AF13" s="110">
        <v>8.3333333333333301E-2</v>
      </c>
      <c r="AG13" s="211">
        <f>IF('Temperature Profiles'!V12&gt;17,(0.0068*('Temperature Profiles'!V12^2) - 0.2129*'Temperature Profiles'!V12 + 1.6904)*1000,0)</f>
        <v>40.231999999999601</v>
      </c>
      <c r="AH13" s="21"/>
      <c r="AI13" s="110">
        <v>8.3333333333333301E-2</v>
      </c>
      <c r="AJ13" s="211">
        <f>IF('Temperature Profiles'!AA12&gt;17,(0.0029*('Temperature Profiles'!AA12^2) - 0.0863*'Temperature Profiles'!AA12 + 0.6808)*1000,0)</f>
        <v>0</v>
      </c>
      <c r="AK13" s="110">
        <v>8.3333333333333301E-2</v>
      </c>
      <c r="AL13" s="211">
        <f>IF('Temperature Profiles'!AA12&gt;17,(0.005*('Temperature Profiles'!AA12^2) - 0.1517*'Temperature Profiles'!AA12 + 1.1701)*1000,0)</f>
        <v>0</v>
      </c>
      <c r="AM13" s="110">
        <v>8.3333333333333301E-2</v>
      </c>
      <c r="AN13" s="211">
        <f>IF('Temperature Profiles'!AA12&gt;17,(0.0068*('Temperature Profiles'!AA12^2) - 0.2129*'Temperature Profiles'!AA12 + 1.6904)*1000,0)</f>
        <v>0</v>
      </c>
      <c r="AO13" s="21"/>
      <c r="AP13" s="110">
        <v>8.3333333333333301E-2</v>
      </c>
      <c r="AQ13" s="211">
        <f>IF('Temperature Profiles'!AF12&gt;17,(0.0029*('Temperature Profiles'!AF12^2) - 0.0863*'Temperature Profiles'!AF12 + 0.6808)*1000,0)</f>
        <v>433.1883680555556</v>
      </c>
      <c r="AR13" s="110">
        <v>8.3333333333333301E-2</v>
      </c>
      <c r="AS13" s="183">
        <f>IF('Temperature Profiles'!AF12&gt;17,(0.005*('Temperature Profiles'!AF12^2) - 0.1517*'Temperature Profiles'!AF12 + 1.1702)*1000,0)</f>
        <v>666.12951388888939</v>
      </c>
      <c r="AT13" s="110">
        <v>8.3333333333333301E-2</v>
      </c>
      <c r="AU13" s="211">
        <f>IF('Temperature Profiles'!AF12&gt;17,(0.0068*('Temperature Profiles'!AF12^2) - 0.2129*'Temperature Profiles'!AF12 + 1.6904)*1000,0)</f>
        <v>830.00763888888912</v>
      </c>
      <c r="AV13" s="21"/>
      <c r="AW13" s="110">
        <v>8.3333333333333301E-2</v>
      </c>
      <c r="AX13" s="211"/>
      <c r="AY13" s="21"/>
      <c r="AZ13" s="110">
        <v>8.3333333333333301E-2</v>
      </c>
      <c r="BA13" s="264"/>
      <c r="BC13" s="260">
        <v>8.3333333333333301E-2</v>
      </c>
      <c r="BD13" s="211">
        <f>IF('Temperature Profiles'!G12&lt;16,(-0.0037*'Temperature Profiles'!G12+0.0664)*1000,0)</f>
        <v>35.69</v>
      </c>
      <c r="BE13" s="110">
        <v>8.3333333333333301E-2</v>
      </c>
      <c r="BF13" s="211">
        <f>IF('Temperature Profiles'!G12&lt;16,(-0.0076*'Temperature Profiles'!G12+0.1245)*1000,0)</f>
        <v>61.42</v>
      </c>
      <c r="BG13" s="110">
        <v>8.3333333333333301E-2</v>
      </c>
      <c r="BH13" s="211">
        <f>IF('Temperature Profiles'!G12&lt;16,(-0.01*'Temperature Profiles'!G12+0.167)*1000,0)</f>
        <v>84.000000000000014</v>
      </c>
      <c r="BI13" s="21"/>
      <c r="BJ13" s="110">
        <v>8.3333333333333301E-2</v>
      </c>
      <c r="BK13" s="211">
        <f>IF('Temperature Profiles'!L12&lt;16,(-0.0037*'Temperature Profiles'!L12+0.0664)*1000,0)</f>
        <v>0</v>
      </c>
      <c r="BL13" s="110">
        <v>8.3333333333333301E-2</v>
      </c>
      <c r="BM13" s="211">
        <f>IF('Temperature Profiles'!L12&lt;16,(-0.0076*'Temperature Profiles'!L12+0.1245)*1000,0)</f>
        <v>0</v>
      </c>
      <c r="BN13" s="110">
        <v>8.3333333333333301E-2</v>
      </c>
      <c r="BO13" s="211">
        <f>IF('Temperature Profiles'!L12&lt;16,(-0.01*'Temperature Profiles'!L12+0.167)*1000,0)</f>
        <v>0</v>
      </c>
      <c r="BP13" s="21"/>
      <c r="BQ13" s="110">
        <v>8.3333333333333301E-2</v>
      </c>
      <c r="BR13" s="211">
        <f>IF('Temperature Profiles'!Q12&lt;16,(-0.0037*'Temperature Profiles'!Q12+0.0664)*1000,0)</f>
        <v>0</v>
      </c>
      <c r="BS13" s="110">
        <v>8.3333333333333301E-2</v>
      </c>
      <c r="BT13" s="211">
        <f>IF('Temperature Profiles'!Q12&lt;16,(-0.0076*'Temperature Profiles'!Q12+0.1245)*1000,0)</f>
        <v>0</v>
      </c>
      <c r="BU13" s="110">
        <v>8.3333333333333301E-2</v>
      </c>
      <c r="BV13" s="211">
        <f>IF('Temperature Profiles'!Q12&lt;16,(-0.01*'Temperature Profiles'!Q12+0.167)*1000,0)</f>
        <v>0</v>
      </c>
      <c r="BW13" s="21"/>
      <c r="BX13" s="110">
        <v>8.3333333333333301E-2</v>
      </c>
      <c r="BY13" s="211">
        <f>IF('Temperature Profiles'!V12&lt;16,(-0.0037*'Temperature Profiles'!V12+0.0664)*1000,0)</f>
        <v>0</v>
      </c>
      <c r="BZ13" s="110">
        <v>8.3333333333333301E-2</v>
      </c>
      <c r="CA13" s="211">
        <f>IF('Temperature Profiles'!V12&lt;16,(-0.0076*'Temperature Profiles'!V12+0.1245)*1000,0)</f>
        <v>0</v>
      </c>
      <c r="CB13" s="110">
        <v>8.3333333333333301E-2</v>
      </c>
      <c r="CC13" s="211">
        <f>IF('Temperature Profiles'!V12&lt;16,(-0.01*'Temperature Profiles'!V12+0.167)*1000,0)</f>
        <v>0</v>
      </c>
      <c r="CD13" s="21"/>
      <c r="CE13" s="110">
        <v>8.3333333333333301E-2</v>
      </c>
      <c r="CF13" s="211">
        <f>IF('Temperature Profiles'!AA12&lt;16,(-0.0037*'Temperature Profiles'!AA12+0.0664)*1000,0)</f>
        <v>132.87666666666667</v>
      </c>
      <c r="CG13" s="110">
        <v>8.3333333333333301E-2</v>
      </c>
      <c r="CH13" s="178">
        <f>IF('Temperature Profiles'!AA12&lt;16,(-0.0076*'Temperature Profiles'!AA12+0.1245)*1000,0)</f>
        <v>261.04666666666662</v>
      </c>
      <c r="CI13" s="110">
        <v>8.3333333333333301E-2</v>
      </c>
      <c r="CJ13" s="211">
        <f>IF('Temperature Profiles'!AA12&lt;16,(-0.01*'Temperature Profiles'!AA12+0.167)*1000,0)</f>
        <v>346.66666666666669</v>
      </c>
      <c r="CK13" s="21"/>
      <c r="CL13" s="110">
        <v>8.3333333333333301E-2</v>
      </c>
      <c r="CM13" s="211">
        <f>IF('Temperature Profiles'!AF12&lt;16,(-0.0037*'Temperature Profiles'!AF12+0.0664)*1000,0)</f>
        <v>0</v>
      </c>
      <c r="CN13" s="110">
        <v>8.3333333333333301E-2</v>
      </c>
      <c r="CO13" s="178">
        <f>IF('Temperature Profiles'!AF12&lt;16,(-0.0076*'Temperature Profiles'!AF12+0.1245)*1000,0)</f>
        <v>0</v>
      </c>
      <c r="CP13" s="110">
        <v>8.3333333333333301E-2</v>
      </c>
      <c r="CQ13" s="211">
        <f>IF('Temperature Profiles'!AF12&lt;16,(-0.01*'Temperature Profiles'!AF12+0.167)*1000,0)</f>
        <v>0</v>
      </c>
      <c r="CR13" s="21"/>
      <c r="CS13" s="110">
        <v>8.3333333333333301E-2</v>
      </c>
      <c r="CT13" s="211"/>
      <c r="CU13" s="21"/>
      <c r="CV13" s="110">
        <v>8.3333333333333301E-2</v>
      </c>
      <c r="CW13" s="264"/>
      <c r="CY13" s="260">
        <v>8.3333333333333301E-2</v>
      </c>
      <c r="CZ13" s="178">
        <f>IF('Temperature Profiles'!G12&gt;18,(0.0024*('Temperature Profiles'!G12^2)-0.0581*'Temperature Profiles'!G12+0.3293)*1000,IF('Temperature Profiles'!G12&lt;17,(0.0022*('Temperature Profiles'!G12^2)-0.0874*'Temperature Profiles'!G12+0.9301)*1000,0))</f>
        <v>356.23800000000006</v>
      </c>
      <c r="DA13" s="110">
        <v>8.3333333333333301E-2</v>
      </c>
      <c r="DB13" s="263">
        <f>IF('Temperature Profiles'!G12&gt;18,(0.0043*('Temperature Profiles'!G12^2)-0.1116*'Temperature Profiles'!G12+0.6576)*1000,IF('Temperature Profiles'!G12&lt;17,(0.0053*('Temperature Profiles'!G12^2)-0.1876*'Temperature Profiles'!G12+1.7649)*1000,0))</f>
        <v>572.93700000000001</v>
      </c>
      <c r="DC13" s="110">
        <v>8.3333333333333301E-2</v>
      </c>
      <c r="DD13" s="211">
        <f>IF('Temperature Profiles'!G12&gt;18,(0.0057*('Temperature Profiles'!G12^2)-0.1509*'Temperature Profiles'!G12+0.8935)*1000,IF('Temperature Profiles'!G12&lt;17,(0.0072*('Temperature Profiles'!G12^2)-0.254*'Temperature Profiles'!G12+2.3952)*1000,0))</f>
        <v>783.00800000000015</v>
      </c>
      <c r="DE13" s="21"/>
      <c r="DF13" s="110">
        <v>8.3333333333333301E-2</v>
      </c>
      <c r="DG13" s="209">
        <f>IF('Temperature Profiles'!L12&gt;18,(0.0024*('Temperature Profiles'!L12^2)-0.0581*'Temperature Profiles'!L12+0.3293)*1000,IF('Temperature Profiles'!L12&lt;17,(0.0022*('Temperature Profiles'!L12^2)-0.0874*'Temperature Profiles'!L12+0.9301)*1000,0))</f>
        <v>173.33600000000021</v>
      </c>
      <c r="DH13" s="110">
        <v>8.3333333333333301E-2</v>
      </c>
      <c r="DI13" s="209">
        <f>IF('Temperature Profiles'!L12&gt;18,(0.0043*('Temperature Profiles'!L12^2)-0.1116*'Temperature Profiles'!L12+0.6576)*1000,IF('Temperature Profiles'!L12&lt;17,(0.0053*('Temperature Profiles'!L12^2)-0.1876*'Temperature Profiles'!L12+1.7649)*1000,0))</f>
        <v>219.57644444444435</v>
      </c>
      <c r="DJ13" s="110">
        <v>8.3333333333333301E-2</v>
      </c>
      <c r="DK13" s="211">
        <f>IF('Temperature Profiles'!L12&gt;18,(0.0057*('Temperature Profiles'!L12^2)-0.1509*'Temperature Profiles'!L12+0.8935)*1000,IF('Temperature Profiles'!L12&lt;17,(0.0072*('Temperature Profiles'!L12^2)-0.254*'Temperature Profiles'!L12+2.3952)*1000,0))</f>
        <v>250.20133333333351</v>
      </c>
      <c r="DL13" s="21"/>
      <c r="DM13" s="110">
        <v>8.3333333333333301E-2</v>
      </c>
      <c r="DN13" s="209">
        <f>IF('Temperature Profiles'!Q12&gt;18,(0.0024*('Temperature Profiles'!Q12^2)-0.0581*'Temperature Profiles'!Q12+0.3293)*1000,IF('Temperature Profiles'!Q12&lt;17,(0.0022*('Temperature Profiles'!Q12^2)-0.0874*'Temperature Profiles'!Q12+0.9301)*1000,0))</f>
        <v>278.50599999999974</v>
      </c>
      <c r="DO13" s="110">
        <v>8.3333333333333301E-2</v>
      </c>
      <c r="DP13" s="209">
        <f>IF('Temperature Profiles'!Q12&gt;18,(0.0043*('Temperature Profiles'!Q12^2)-0.1116*'Temperature Profiles'!Q12+0.6576)*1000,IF('Temperature Profiles'!Q12&lt;17,(0.0053*('Temperature Profiles'!Q12^2)-0.1876*'Temperature Profiles'!Q12+1.7649)*1000,0))</f>
        <v>391.74699999999962</v>
      </c>
      <c r="DQ13" s="110">
        <v>8.3333333333333301E-2</v>
      </c>
      <c r="DR13" s="211">
        <f>IF('Temperature Profiles'!Q12&gt;18,(0.0057*('Temperature Profiles'!Q12^2)-0.1509*'Temperature Profiles'!Q12+0.8935)*1000,IF('Temperature Profiles'!Q12&lt;17,(0.0072*('Temperature Profiles'!Q12^2)-0.254*'Temperature Profiles'!Q12+2.3952)*1000,0))</f>
        <v>472.00299999999993</v>
      </c>
      <c r="DS13" s="21"/>
      <c r="DT13" s="110">
        <v>8.3333333333333301E-2</v>
      </c>
      <c r="DU13" s="209">
        <f>IF('Temperature Profiles'!V12&gt;18,(0.0024*('Temperature Profiles'!V12^2)-0.0581*'Temperature Profiles'!V12+0.3293)*1000,IF('Temperature Profiles'!V12&lt;17,(0.0022*('Temperature Profiles'!V12^2)-0.0874*'Temperature Profiles'!V12+0.9301)*1000,0))</f>
        <v>0</v>
      </c>
      <c r="DV13" s="110">
        <v>8.3333333333333301E-2</v>
      </c>
      <c r="DW13" s="209">
        <f>IF('Temperature Profiles'!V12&gt;18,(0.0043*('Temperature Profiles'!V12^2)-0.1116*'Temperature Profiles'!V12+0.6576)*1000,IF('Temperature Profiles'!V12&lt;17,(0.0053*('Temperature Profiles'!V12^2)-0.1876*'Temperature Profiles'!V12+1.7649)*1000,0))</f>
        <v>0</v>
      </c>
      <c r="DX13" s="110">
        <v>8.3333333333333301E-2</v>
      </c>
      <c r="DY13" s="211">
        <f>IF('Temperature Profiles'!V12&gt;18,(0.0057*('Temperature Profiles'!V12^2)-0.1509*'Temperature Profiles'!V12+0.8935)*1000,IF('Temperature Profiles'!V12&lt;17,(0.0072*('Temperature Profiles'!V12^2)-0.254*'Temperature Profiles'!V12+2.3952)*1000,0))</f>
        <v>0</v>
      </c>
      <c r="DZ13" s="21"/>
      <c r="EA13" s="110">
        <v>8.3333333333333301E-2</v>
      </c>
      <c r="EB13" s="209">
        <f>IF('Temperature Profiles'!AA111&gt;18,(0.0024*('Temperature Profiles'!AA111^2)-0.0581*'Temperature Profiles'!AA111+0.3293)*1000,IF('Temperature Profiles'!AA111&lt;17,(0.0022*('Temperature Profiles'!AA111^2)-0.0874*'Temperature Profiles'!AA111+0.9301)*1000,0))</f>
        <v>711.41727777777783</v>
      </c>
      <c r="EC13" s="110">
        <v>8.3333333333333301E-2</v>
      </c>
      <c r="ED13" s="209">
        <f>IF('Temperature Profiles'!AA111&gt;18,(0.0043*('Temperature Profiles'!AA111^2)-0.1116*'Temperature Profiles'!AA111+0.6576)*1000,IF('Temperature Profiles'!AA111&lt;17,(0.0053*('Temperature Profiles'!AA111^2)-0.1876*'Temperature Profiles'!AA111+1.7649)*1000,0))</f>
        <v>1299.668138888889</v>
      </c>
      <c r="EE13" s="110">
        <v>8.3333333333333301E-2</v>
      </c>
      <c r="EF13" s="211">
        <f>IF('Temperature Profiles'!AA111&gt;18,(0.0057*('Temperature Profiles'!AA111^2)-0.1509*'Temperature Profiles'!AA111+0.8935)*1000,IF('Temperature Profiles'!AA111&lt;17,(0.0072*('Temperature Profiles'!AA111^2)-0.254*'Temperature Profiles'!AA111+2.3952)*1000,0))</f>
        <v>1765.4753333333333</v>
      </c>
      <c r="EG13" s="21"/>
      <c r="EH13" s="110">
        <v>8.3333333333333301E-2</v>
      </c>
      <c r="EI13" s="211">
        <f>IF('Temperature Profiles'!AF12&gt;18,(0.0024*('Temperature Profiles'!AF12^2)-0.0581*'Temperature Profiles'!AF12+0.3293)*1000,IF('Temperature Profiles'!AF12&lt;17,(0.0022*('Temperature Profiles'!AF12^2)-0.0874*'Temperature Profiles'!AF12+0.9301)*1000,0))</f>
        <v>477.93333333333362</v>
      </c>
      <c r="EJ13" s="110">
        <v>8.3333333333333301E-2</v>
      </c>
      <c r="EK13" s="211">
        <f>IF('Temperature Profiles'!AF12&gt;18,(0.0043*('Temperature Profiles'!AF12^2)-0.1116*'Temperature Profiles'!AF12+0.6576)*1000,IF('Temperature Profiles'!AF12&lt;17,(0.0053*('Temperature Profiles'!AF12^2)-0.1876*'Temperature Profiles'!AF12+1.7649)*1000,0))</f>
        <v>724.72829861111165</v>
      </c>
      <c r="EL13" s="110">
        <v>8.3333333333333301E-2</v>
      </c>
      <c r="EM13" s="211">
        <f>IF('Temperature Profiles'!AF12&gt;18,(0.0057*('Temperature Profiles'!AF12^2)-0.1509*'Temperature Profiles'!AF12+0.8935)*1000,IF('Temperature Profiles'!AF12&lt;17,(0.0072*('Temperature Profiles'!AF12^2)-0.254*'Temperature Profiles'!AF12+2.3952)*1000,0))</f>
        <v>903.78489583333408</v>
      </c>
      <c r="EN13" s="21"/>
      <c r="EO13" s="110">
        <v>8.3333333333333301E-2</v>
      </c>
      <c r="EP13" s="211"/>
      <c r="EQ13" s="21"/>
      <c r="ER13" s="110">
        <v>8.3333333333333301E-2</v>
      </c>
      <c r="ES13" s="264"/>
      <c r="EU13" s="260">
        <v>8.3333333333333301E-2</v>
      </c>
      <c r="EV13" s="209">
        <f>IF('Temperature Profiles'!AA111&gt;18,(0.0024*('Temperature Profiles'!AA111^2)-0.0581*'Temperature Profiles'!AA111+0.3293)*1000,IF('Temperature Profiles'!AA111&lt;17,(0.0022*('Temperature Profiles'!AA111^2)-0.0874*'Temperature Profiles'!AA111+0.9301)*1000,0))</f>
        <v>711.41727777777783</v>
      </c>
      <c r="EW13" s="110">
        <v>8.3333333333333301E-2</v>
      </c>
      <c r="EX13" s="209">
        <f>IF('Temperature Profiles'!AA111&gt;18,(0.0043*('Temperature Profiles'!AA111^2)-0.1116*'Temperature Profiles'!AA111+0.6576)*1000,IF('Temperature Profiles'!AA111&lt;17,(0.0053*('Temperature Profiles'!AA111^2)-0.1876*'Temperature Profiles'!AA111+1.7649)*1000,0))</f>
        <v>1299.668138888889</v>
      </c>
      <c r="EY13" s="110">
        <v>8.3333333333333301E-2</v>
      </c>
      <c r="EZ13" s="264">
        <f>IF('Temperature Profiles'!AA111&gt;18,(0.0057*('Temperature Profiles'!AA111^2)-0.1509*'Temperature Profiles'!AA111+0.8935)*1000,IF('Temperature Profiles'!AA111&lt;17,(0.0072*('Temperature Profiles'!AA111^2)-0.254*'Temperature Profiles'!AA111+2.3952)*1000,0))</f>
        <v>1765.4753333333333</v>
      </c>
    </row>
    <row r="14" spans="1:156" x14ac:dyDescent="0.3">
      <c r="A14" s="108">
        <v>8.3333333333333301E-2</v>
      </c>
      <c r="B14" s="226">
        <f t="shared" si="0"/>
        <v>0</v>
      </c>
      <c r="C14" s="21">
        <f t="shared" si="1"/>
        <v>346.66666666666669</v>
      </c>
      <c r="D14" s="20">
        <f t="shared" si="2"/>
        <v>1765.4753333333333</v>
      </c>
      <c r="E14" s="20">
        <f t="shared" si="3"/>
        <v>1765.4753333333333</v>
      </c>
      <c r="G14" s="260">
        <v>9.375E-2</v>
      </c>
      <c r="H14" s="211">
        <f>IF('Temperature Profiles'!G13&gt;17,(0.0029*('Temperature Profiles'!G13^2) - 0.0863*'Temperature Profiles'!G13 + 0.6808)*1000,0)</f>
        <v>0</v>
      </c>
      <c r="I14" s="110">
        <v>9.375E-2</v>
      </c>
      <c r="J14" s="211">
        <f>IF('Temperature Profiles'!G13&gt;17,(0.005*('Temperature Profiles'!G13^2) - 0.1517*'Temperature Profiles'!G13 + 1.1702)*1000,0)</f>
        <v>0</v>
      </c>
      <c r="K14" s="110">
        <v>9.375E-2</v>
      </c>
      <c r="L14" s="211">
        <f>IF('Temperature Profiles'!G13&gt;17,(0.0068*('Temperature Profiles'!G13^2) - 0.2129*'Temperature Profiles'!G13 + 1.6904)*1000,0)</f>
        <v>0</v>
      </c>
      <c r="M14" s="21"/>
      <c r="N14" s="110">
        <v>9.375E-2</v>
      </c>
      <c r="O14" s="211">
        <f>IF('Temperature Profiles'!L13&gt;17,(0.0029*('Temperature Profiles'!L13^2) - 0.0863*'Temperature Profiles'!L13 + 0.6808)*1000,0)</f>
        <v>152.18488888888871</v>
      </c>
      <c r="P14" s="110">
        <v>9.375E-2</v>
      </c>
      <c r="Q14" s="211">
        <f>IF('Temperature Profiles'!L13&gt;17,(0.005*('Temperature Profiles'!L13^2) - 0.1517*'Temperature Profiles'!L13 + 1.1702)*1000,0)</f>
        <v>197.36222222222244</v>
      </c>
      <c r="R14" s="110">
        <v>9.375E-2</v>
      </c>
      <c r="S14" s="211">
        <f>IF('Temperature Profiles'!L13&gt;17,(0.0068*('Temperature Profiles'!L13^2) - 0.2129*'Temperature Profiles'!L13 + 1.6904)*1000,0)</f>
        <v>228.11422222222211</v>
      </c>
      <c r="T14" s="21"/>
      <c r="U14" s="110">
        <v>9.375E-2</v>
      </c>
      <c r="V14" s="211">
        <f>IF('Temperature Profiles'!Q13&gt;17,(0.0029*('Temperature Profiles'!Q13^2) - 0.0863*'Temperature Profiles'!Q13 + 0.6808)*1000,0)</f>
        <v>244.39099999999968</v>
      </c>
      <c r="W14" s="110">
        <v>9.375E-2</v>
      </c>
      <c r="X14" s="211">
        <f>IF('Temperature Profiles'!Q13&gt;17,(0.005*('Temperature Profiles'!Q13^2) - 0.1517*'Temperature Profiles'!Q13 + 1.1702)*1000,0)</f>
        <v>350.03999999999945</v>
      </c>
      <c r="Y14" s="110">
        <v>9.375E-2</v>
      </c>
      <c r="Z14" s="211">
        <f>IF('Temperature Profiles'!Q13&gt;17,(0.0068*('Temperature Profiles'!Q13^2) - 0.2129*'Temperature Profiles'!Q13 + 1.6904)*1000,0)</f>
        <v>421.48199999999878</v>
      </c>
      <c r="AA14" s="21"/>
      <c r="AB14" s="110">
        <v>9.375E-2</v>
      </c>
      <c r="AC14" s="211">
        <f>IF('Temperature Profiles'!V13&gt;17,(0.0029*('Temperature Profiles'!V13^2) - 0.0863*'Temperature Profiles'!V13 + 0.6808)*1000,0)</f>
        <v>54.375999999999756</v>
      </c>
      <c r="AD14" s="110">
        <v>9.375E-2</v>
      </c>
      <c r="AE14" s="211">
        <f>IF('Temperature Profiles'!V13&gt;17,(0.005*('Temperature Profiles'!V13^2) - 0.1517*'Temperature Profiles'!V13 + 1.1702)*1000,0)</f>
        <v>40.159999999999755</v>
      </c>
      <c r="AF14" s="110">
        <v>9.375E-2</v>
      </c>
      <c r="AG14" s="211">
        <f>IF('Temperature Profiles'!V13&gt;17,(0.0068*('Temperature Profiles'!V13^2) - 0.2129*'Temperature Profiles'!V13 + 1.6904)*1000,0)</f>
        <v>40.231999999999601</v>
      </c>
      <c r="AH14" s="21"/>
      <c r="AI14" s="110">
        <v>9.375E-2</v>
      </c>
      <c r="AJ14" s="211">
        <f>IF('Temperature Profiles'!AA13&gt;17,(0.0029*('Temperature Profiles'!AA13^2) - 0.0863*'Temperature Profiles'!AA13 + 0.6808)*1000,0)</f>
        <v>0</v>
      </c>
      <c r="AK14" s="110">
        <v>9.375E-2</v>
      </c>
      <c r="AL14" s="211">
        <f>IF('Temperature Profiles'!AA13&gt;17,(0.005*('Temperature Profiles'!AA13^2) - 0.1517*'Temperature Profiles'!AA13 + 1.1701)*1000,0)</f>
        <v>0</v>
      </c>
      <c r="AM14" s="110">
        <v>9.375E-2</v>
      </c>
      <c r="AN14" s="211">
        <f>IF('Temperature Profiles'!AA13&gt;17,(0.0068*('Temperature Profiles'!AA13^2) - 0.2129*'Temperature Profiles'!AA13 + 1.6904)*1000,0)</f>
        <v>0</v>
      </c>
      <c r="AO14" s="21"/>
      <c r="AP14" s="110">
        <v>9.375E-2</v>
      </c>
      <c r="AQ14" s="211">
        <f>IF('Temperature Profiles'!AF13&gt;17,(0.0029*('Temperature Profiles'!AF13^2) - 0.0863*'Temperature Profiles'!AF13 + 0.6808)*1000,0)</f>
        <v>433.1883680555556</v>
      </c>
      <c r="AR14" s="110">
        <v>9.375E-2</v>
      </c>
      <c r="AS14" s="183">
        <f>IF('Temperature Profiles'!AF13&gt;17,(0.005*('Temperature Profiles'!AF13^2) - 0.1517*'Temperature Profiles'!AF13 + 1.1702)*1000,0)</f>
        <v>666.12951388888939</v>
      </c>
      <c r="AT14" s="110">
        <v>9.375E-2</v>
      </c>
      <c r="AU14" s="211">
        <f>IF('Temperature Profiles'!AF13&gt;17,(0.0068*('Temperature Profiles'!AF13^2) - 0.2129*'Temperature Profiles'!AF13 + 1.6904)*1000,0)</f>
        <v>830.00763888888912</v>
      </c>
      <c r="AV14" s="21"/>
      <c r="AW14" s="110">
        <v>9.375E-2</v>
      </c>
      <c r="AX14" s="211"/>
      <c r="AY14" s="21"/>
      <c r="AZ14" s="110">
        <v>9.375E-2</v>
      </c>
      <c r="BA14" s="264"/>
      <c r="BC14" s="260">
        <v>9.375E-2</v>
      </c>
      <c r="BD14" s="211">
        <f>IF('Temperature Profiles'!G13&lt;16,(-0.0037*'Temperature Profiles'!G13+0.0664)*1000,0)</f>
        <v>35.69</v>
      </c>
      <c r="BE14" s="110">
        <v>9.375E-2</v>
      </c>
      <c r="BF14" s="211">
        <f>IF('Temperature Profiles'!G13&lt;16,(-0.0076*'Temperature Profiles'!G13+0.1245)*1000,0)</f>
        <v>61.42</v>
      </c>
      <c r="BG14" s="110">
        <v>9.375E-2</v>
      </c>
      <c r="BH14" s="211">
        <f>IF('Temperature Profiles'!G13&lt;16,(-0.01*'Temperature Profiles'!G13+0.167)*1000,0)</f>
        <v>84.000000000000014</v>
      </c>
      <c r="BI14" s="21"/>
      <c r="BJ14" s="110">
        <v>9.375E-2</v>
      </c>
      <c r="BK14" s="211">
        <f>IF('Temperature Profiles'!L13&lt;16,(-0.0037*'Temperature Profiles'!L13+0.0664)*1000,0)</f>
        <v>0</v>
      </c>
      <c r="BL14" s="110">
        <v>9.375E-2</v>
      </c>
      <c r="BM14" s="211">
        <f>IF('Temperature Profiles'!L13&lt;16,(-0.0076*'Temperature Profiles'!L13+0.1245)*1000,0)</f>
        <v>0</v>
      </c>
      <c r="BN14" s="110">
        <v>9.375E-2</v>
      </c>
      <c r="BO14" s="211">
        <f>IF('Temperature Profiles'!L13&lt;16,(-0.01*'Temperature Profiles'!L13+0.167)*1000,0)</f>
        <v>0</v>
      </c>
      <c r="BP14" s="21"/>
      <c r="BQ14" s="110">
        <v>9.375E-2</v>
      </c>
      <c r="BR14" s="211">
        <f>IF('Temperature Profiles'!Q13&lt;16,(-0.0037*'Temperature Profiles'!Q13+0.0664)*1000,0)</f>
        <v>0</v>
      </c>
      <c r="BS14" s="110">
        <v>9.375E-2</v>
      </c>
      <c r="BT14" s="211">
        <f>IF('Temperature Profiles'!Q13&lt;16,(-0.0076*'Temperature Profiles'!Q13+0.1245)*1000,0)</f>
        <v>0</v>
      </c>
      <c r="BU14" s="110">
        <v>9.375E-2</v>
      </c>
      <c r="BV14" s="211">
        <f>IF('Temperature Profiles'!Q13&lt;16,(-0.01*'Temperature Profiles'!Q13+0.167)*1000,0)</f>
        <v>0</v>
      </c>
      <c r="BW14" s="21"/>
      <c r="BX14" s="110">
        <v>9.375E-2</v>
      </c>
      <c r="BY14" s="211">
        <f>IF('Temperature Profiles'!V13&lt;16,(-0.0037*'Temperature Profiles'!V13+0.0664)*1000,0)</f>
        <v>0</v>
      </c>
      <c r="BZ14" s="110">
        <v>9.375E-2</v>
      </c>
      <c r="CA14" s="211">
        <f>IF('Temperature Profiles'!V13&lt;16,(-0.0076*'Temperature Profiles'!V13+0.1245)*1000,0)</f>
        <v>0</v>
      </c>
      <c r="CB14" s="110">
        <v>9.375E-2</v>
      </c>
      <c r="CC14" s="211">
        <f>IF('Temperature Profiles'!V13&lt;16,(-0.01*'Temperature Profiles'!V13+0.167)*1000,0)</f>
        <v>0</v>
      </c>
      <c r="CD14" s="21"/>
      <c r="CE14" s="110">
        <v>9.375E-2</v>
      </c>
      <c r="CF14" s="211">
        <f>IF('Temperature Profiles'!AA13&lt;16,(-0.0037*'Temperature Profiles'!AA13+0.0664)*1000,0)</f>
        <v>132.87666666666667</v>
      </c>
      <c r="CG14" s="110">
        <v>9.375E-2</v>
      </c>
      <c r="CH14" s="178">
        <f>IF('Temperature Profiles'!AA13&lt;16,(-0.0076*'Temperature Profiles'!AA13+0.1245)*1000,0)</f>
        <v>261.04666666666662</v>
      </c>
      <c r="CI14" s="110">
        <v>9.375E-2</v>
      </c>
      <c r="CJ14" s="211">
        <f>IF('Temperature Profiles'!AA13&lt;16,(-0.01*'Temperature Profiles'!AA13+0.167)*1000,0)</f>
        <v>346.66666666666669</v>
      </c>
      <c r="CK14" s="21"/>
      <c r="CL14" s="110">
        <v>9.375E-2</v>
      </c>
      <c r="CM14" s="211">
        <f>IF('Temperature Profiles'!AF13&lt;16,(-0.0037*'Temperature Profiles'!AF13+0.0664)*1000,0)</f>
        <v>0</v>
      </c>
      <c r="CN14" s="110">
        <v>9.375E-2</v>
      </c>
      <c r="CO14" s="178">
        <f>IF('Temperature Profiles'!AF13&lt;16,(-0.0076*'Temperature Profiles'!AF13+0.1245)*1000,0)</f>
        <v>0</v>
      </c>
      <c r="CP14" s="110">
        <v>9.375E-2</v>
      </c>
      <c r="CQ14" s="211">
        <f>IF('Temperature Profiles'!AF13&lt;16,(-0.01*'Temperature Profiles'!AF13+0.167)*1000,0)</f>
        <v>0</v>
      </c>
      <c r="CR14" s="21"/>
      <c r="CS14" s="110">
        <v>9.375E-2</v>
      </c>
      <c r="CT14" s="211"/>
      <c r="CU14" s="21"/>
      <c r="CV14" s="110">
        <v>9.375E-2</v>
      </c>
      <c r="CW14" s="264"/>
      <c r="CY14" s="260">
        <v>9.375E-2</v>
      </c>
      <c r="CZ14" s="178">
        <f>IF('Temperature Profiles'!G13&gt;18,(0.0024*('Temperature Profiles'!G13^2)-0.0581*'Temperature Profiles'!G13+0.3293)*1000,IF('Temperature Profiles'!G13&lt;17,(0.0022*('Temperature Profiles'!G13^2)-0.0874*'Temperature Profiles'!G13+0.9301)*1000,0))</f>
        <v>356.23800000000006</v>
      </c>
      <c r="DA14" s="110">
        <v>9.375E-2</v>
      </c>
      <c r="DB14" s="263">
        <f>IF('Temperature Profiles'!G13&gt;18,(0.0043*('Temperature Profiles'!G13^2)-0.1116*'Temperature Profiles'!G13+0.6576)*1000,IF('Temperature Profiles'!G13&lt;17,(0.0053*('Temperature Profiles'!G13^2)-0.1876*'Temperature Profiles'!G13+1.7649)*1000,0))</f>
        <v>572.93700000000001</v>
      </c>
      <c r="DC14" s="110">
        <v>9.375E-2</v>
      </c>
      <c r="DD14" s="211">
        <f>IF('Temperature Profiles'!G13&gt;18,(0.0057*('Temperature Profiles'!G13^2)-0.1509*'Temperature Profiles'!G13+0.8935)*1000,IF('Temperature Profiles'!G13&lt;17,(0.0072*('Temperature Profiles'!G13^2)-0.254*'Temperature Profiles'!G13+2.3952)*1000,0))</f>
        <v>783.00800000000015</v>
      </c>
      <c r="DE14" s="21"/>
      <c r="DF14" s="110">
        <v>9.375E-2</v>
      </c>
      <c r="DG14" s="209">
        <f>IF('Temperature Profiles'!L13&gt;18,(0.0024*('Temperature Profiles'!L13^2)-0.0581*'Temperature Profiles'!L13+0.3293)*1000,IF('Temperature Profiles'!L13&lt;17,(0.0022*('Temperature Profiles'!L13^2)-0.0874*'Temperature Profiles'!L13+0.9301)*1000,0))</f>
        <v>173.33600000000021</v>
      </c>
      <c r="DH14" s="110">
        <v>9.375E-2</v>
      </c>
      <c r="DI14" s="209">
        <f>IF('Temperature Profiles'!L13&gt;18,(0.0043*('Temperature Profiles'!L13^2)-0.1116*'Temperature Profiles'!L13+0.6576)*1000,IF('Temperature Profiles'!L13&lt;17,(0.0053*('Temperature Profiles'!L13^2)-0.1876*'Temperature Profiles'!L13+1.7649)*1000,0))</f>
        <v>219.57644444444435</v>
      </c>
      <c r="DJ14" s="110">
        <v>9.375E-2</v>
      </c>
      <c r="DK14" s="211">
        <f>IF('Temperature Profiles'!L13&gt;18,(0.0057*('Temperature Profiles'!L13^2)-0.1509*'Temperature Profiles'!L13+0.8935)*1000,IF('Temperature Profiles'!L13&lt;17,(0.0072*('Temperature Profiles'!L13^2)-0.254*'Temperature Profiles'!L13+2.3952)*1000,0))</f>
        <v>250.20133333333351</v>
      </c>
      <c r="DL14" s="21"/>
      <c r="DM14" s="110">
        <v>9.375E-2</v>
      </c>
      <c r="DN14" s="209">
        <f>IF('Temperature Profiles'!Q13&gt;18,(0.0024*('Temperature Profiles'!Q13^2)-0.0581*'Temperature Profiles'!Q13+0.3293)*1000,IF('Temperature Profiles'!Q13&lt;17,(0.0022*('Temperature Profiles'!Q13^2)-0.0874*'Temperature Profiles'!Q13+0.9301)*1000,0))</f>
        <v>278.50599999999974</v>
      </c>
      <c r="DO14" s="110">
        <v>9.375E-2</v>
      </c>
      <c r="DP14" s="209">
        <f>IF('Temperature Profiles'!Q13&gt;18,(0.0043*('Temperature Profiles'!Q13^2)-0.1116*'Temperature Profiles'!Q13+0.6576)*1000,IF('Temperature Profiles'!Q13&lt;17,(0.0053*('Temperature Profiles'!Q13^2)-0.1876*'Temperature Profiles'!Q13+1.7649)*1000,0))</f>
        <v>391.74699999999962</v>
      </c>
      <c r="DQ14" s="110">
        <v>9.375E-2</v>
      </c>
      <c r="DR14" s="211">
        <f>IF('Temperature Profiles'!Q13&gt;18,(0.0057*('Temperature Profiles'!Q13^2)-0.1509*'Temperature Profiles'!Q13+0.8935)*1000,IF('Temperature Profiles'!Q13&lt;17,(0.0072*('Temperature Profiles'!Q13^2)-0.254*'Temperature Profiles'!Q13+2.3952)*1000,0))</f>
        <v>472.00299999999993</v>
      </c>
      <c r="DS14" s="21"/>
      <c r="DT14" s="110">
        <v>9.375E-2</v>
      </c>
      <c r="DU14" s="209">
        <f>IF('Temperature Profiles'!V13&gt;18,(0.0024*('Temperature Profiles'!V13^2)-0.0581*'Temperature Profiles'!V13+0.3293)*1000,IF('Temperature Profiles'!V13&lt;17,(0.0022*('Temperature Profiles'!V13^2)-0.0874*'Temperature Profiles'!V13+0.9301)*1000,0))</f>
        <v>0</v>
      </c>
      <c r="DV14" s="110">
        <v>9.375E-2</v>
      </c>
      <c r="DW14" s="209">
        <f>IF('Temperature Profiles'!V13&gt;18,(0.0043*('Temperature Profiles'!V13^2)-0.1116*'Temperature Profiles'!V13+0.6576)*1000,IF('Temperature Profiles'!V13&lt;17,(0.0053*('Temperature Profiles'!V13^2)-0.1876*'Temperature Profiles'!V13+1.7649)*1000,0))</f>
        <v>0</v>
      </c>
      <c r="DX14" s="110">
        <v>9.375E-2</v>
      </c>
      <c r="DY14" s="211">
        <f>IF('Temperature Profiles'!V13&gt;18,(0.0057*('Temperature Profiles'!V13^2)-0.1509*'Temperature Profiles'!V13+0.8935)*1000,IF('Temperature Profiles'!V13&lt;17,(0.0072*('Temperature Profiles'!V13^2)-0.254*'Temperature Profiles'!V13+2.3952)*1000,0))</f>
        <v>0</v>
      </c>
      <c r="DZ14" s="21"/>
      <c r="EA14" s="110">
        <v>9.375E-2</v>
      </c>
      <c r="EB14" s="209">
        <f>IF('Temperature Profiles'!AA112&gt;18,(0.0024*('Temperature Profiles'!AA112^2)-0.0581*'Temperature Profiles'!AA112+0.3293)*1000,IF('Temperature Profiles'!AA112&lt;17,(0.0022*('Temperature Profiles'!AA112^2)-0.0874*'Temperature Profiles'!AA112+0.9301)*1000,0))</f>
        <v>711.41727777777783</v>
      </c>
      <c r="EC14" s="110">
        <v>9.375E-2</v>
      </c>
      <c r="ED14" s="209">
        <f>IF('Temperature Profiles'!AA112&gt;18,(0.0043*('Temperature Profiles'!AA112^2)-0.1116*'Temperature Profiles'!AA112+0.6576)*1000,IF('Temperature Profiles'!AA112&lt;17,(0.0053*('Temperature Profiles'!AA112^2)-0.1876*'Temperature Profiles'!AA112+1.7649)*1000,0))</f>
        <v>1299.668138888889</v>
      </c>
      <c r="EE14" s="110">
        <v>9.375E-2</v>
      </c>
      <c r="EF14" s="211">
        <f>IF('Temperature Profiles'!AA112&gt;18,(0.0057*('Temperature Profiles'!AA112^2)-0.1509*'Temperature Profiles'!AA112+0.8935)*1000,IF('Temperature Profiles'!AA112&lt;17,(0.0072*('Temperature Profiles'!AA112^2)-0.254*'Temperature Profiles'!AA112+2.3952)*1000,0))</f>
        <v>1765.4753333333333</v>
      </c>
      <c r="EG14" s="21"/>
      <c r="EH14" s="110">
        <v>9.375E-2</v>
      </c>
      <c r="EI14" s="211">
        <f>IF('Temperature Profiles'!AF13&gt;18,(0.0024*('Temperature Profiles'!AF13^2)-0.0581*'Temperature Profiles'!AF13+0.3293)*1000,IF('Temperature Profiles'!AF13&lt;17,(0.0022*('Temperature Profiles'!AF13^2)-0.0874*'Temperature Profiles'!AF13+0.9301)*1000,0))</f>
        <v>477.93333333333362</v>
      </c>
      <c r="EJ14" s="110">
        <v>9.375E-2</v>
      </c>
      <c r="EK14" s="211">
        <f>IF('Temperature Profiles'!AF13&gt;18,(0.0043*('Temperature Profiles'!AF13^2)-0.1116*'Temperature Profiles'!AF13+0.6576)*1000,IF('Temperature Profiles'!AF13&lt;17,(0.0053*('Temperature Profiles'!AF13^2)-0.1876*'Temperature Profiles'!AF13+1.7649)*1000,0))</f>
        <v>724.72829861111165</v>
      </c>
      <c r="EL14" s="110">
        <v>9.375E-2</v>
      </c>
      <c r="EM14" s="211">
        <f>IF('Temperature Profiles'!AF13&gt;18,(0.0057*('Temperature Profiles'!AF13^2)-0.1509*'Temperature Profiles'!AF13+0.8935)*1000,IF('Temperature Profiles'!AF13&lt;17,(0.0072*('Temperature Profiles'!AF13^2)-0.254*'Temperature Profiles'!AF13+2.3952)*1000,0))</f>
        <v>903.78489583333408</v>
      </c>
      <c r="EN14" s="21"/>
      <c r="EO14" s="110">
        <v>9.375E-2</v>
      </c>
      <c r="EP14" s="211"/>
      <c r="EQ14" s="21"/>
      <c r="ER14" s="110">
        <v>9.375E-2</v>
      </c>
      <c r="ES14" s="264"/>
      <c r="EU14" s="260">
        <v>9.375E-2</v>
      </c>
      <c r="EV14" s="209">
        <f>IF('Temperature Profiles'!AA112&gt;18,(0.0024*('Temperature Profiles'!AA112^2)-0.0581*'Temperature Profiles'!AA112+0.3293)*1000,IF('Temperature Profiles'!AA112&lt;17,(0.0022*('Temperature Profiles'!AA112^2)-0.0874*'Temperature Profiles'!AA112+0.9301)*1000,0))</f>
        <v>711.41727777777783</v>
      </c>
      <c r="EW14" s="110">
        <v>9.375E-2</v>
      </c>
      <c r="EX14" s="209">
        <f>IF('Temperature Profiles'!AA112&gt;18,(0.0043*('Temperature Profiles'!AA112^2)-0.1116*'Temperature Profiles'!AA112+0.6576)*1000,IF('Temperature Profiles'!AA112&lt;17,(0.0053*('Temperature Profiles'!AA112^2)-0.1876*'Temperature Profiles'!AA112+1.7649)*1000,0))</f>
        <v>1299.668138888889</v>
      </c>
      <c r="EY14" s="110">
        <v>9.375E-2</v>
      </c>
      <c r="EZ14" s="264">
        <f>IF('Temperature Profiles'!AA112&gt;18,(0.0057*('Temperature Profiles'!AA112^2)-0.1509*'Temperature Profiles'!AA112+0.8935)*1000,IF('Temperature Profiles'!AA112&lt;17,(0.0072*('Temperature Profiles'!AA112^2)-0.254*'Temperature Profiles'!AA112+2.3952)*1000,0))</f>
        <v>1765.4753333333333</v>
      </c>
    </row>
    <row r="15" spans="1:156" x14ac:dyDescent="0.3">
      <c r="A15" s="108">
        <v>9.375E-2</v>
      </c>
      <c r="B15" s="226">
        <f t="shared" si="0"/>
        <v>0</v>
      </c>
      <c r="C15" s="21">
        <f t="shared" si="1"/>
        <v>346.66666666666669</v>
      </c>
      <c r="D15" s="20">
        <f t="shared" si="2"/>
        <v>1765.4753333333333</v>
      </c>
      <c r="E15" s="20">
        <f t="shared" si="3"/>
        <v>1765.4753333333333</v>
      </c>
      <c r="G15" s="260">
        <v>0.104166666666667</v>
      </c>
      <c r="H15" s="211">
        <f>IF('Temperature Profiles'!G14&gt;17,(0.0029*('Temperature Profiles'!G14^2) - 0.0863*'Temperature Profiles'!G14 + 0.6808)*1000,0)</f>
        <v>0</v>
      </c>
      <c r="I15" s="110">
        <v>0.104166666666667</v>
      </c>
      <c r="J15" s="211">
        <f>IF('Temperature Profiles'!G14&gt;17,(0.005*('Temperature Profiles'!G14^2) - 0.1517*'Temperature Profiles'!G14 + 1.1702)*1000,0)</f>
        <v>0</v>
      </c>
      <c r="K15" s="110">
        <v>0.104166666666667</v>
      </c>
      <c r="L15" s="211">
        <f>IF('Temperature Profiles'!G14&gt;17,(0.0068*('Temperature Profiles'!G14^2) - 0.2129*'Temperature Profiles'!G14 + 1.6904)*1000,0)</f>
        <v>0</v>
      </c>
      <c r="M15" s="21"/>
      <c r="N15" s="110">
        <v>0.104166666666667</v>
      </c>
      <c r="O15" s="211">
        <f>IF('Temperature Profiles'!L14&gt;17,(0.0029*('Temperature Profiles'!L14^2) - 0.0863*'Temperature Profiles'!L14 + 0.6808)*1000,0)</f>
        <v>152.18488888888871</v>
      </c>
      <c r="P15" s="110">
        <v>0.104166666666667</v>
      </c>
      <c r="Q15" s="211">
        <f>IF('Temperature Profiles'!L14&gt;17,(0.005*('Temperature Profiles'!L14^2) - 0.1517*'Temperature Profiles'!L14 + 1.1702)*1000,0)</f>
        <v>197.36222222222244</v>
      </c>
      <c r="R15" s="110">
        <v>0.104166666666667</v>
      </c>
      <c r="S15" s="211">
        <f>IF('Temperature Profiles'!L14&gt;17,(0.0068*('Temperature Profiles'!L14^2) - 0.2129*'Temperature Profiles'!L14 + 1.6904)*1000,0)</f>
        <v>228.11422222222211</v>
      </c>
      <c r="T15" s="21"/>
      <c r="U15" s="110">
        <v>0.104166666666667</v>
      </c>
      <c r="V15" s="211">
        <f>IF('Temperature Profiles'!Q14&gt;17,(0.0029*('Temperature Profiles'!Q14^2) - 0.0863*'Temperature Profiles'!Q14 + 0.6808)*1000,0)</f>
        <v>244.39099999999968</v>
      </c>
      <c r="W15" s="110">
        <v>0.104166666666667</v>
      </c>
      <c r="X15" s="211">
        <f>IF('Temperature Profiles'!Q14&gt;17,(0.005*('Temperature Profiles'!Q14^2) - 0.1517*'Temperature Profiles'!Q14 + 1.1702)*1000,0)</f>
        <v>350.03999999999945</v>
      </c>
      <c r="Y15" s="110">
        <v>0.104166666666667</v>
      </c>
      <c r="Z15" s="211">
        <f>IF('Temperature Profiles'!Q14&gt;17,(0.0068*('Temperature Profiles'!Q14^2) - 0.2129*'Temperature Profiles'!Q14 + 1.6904)*1000,0)</f>
        <v>421.48199999999878</v>
      </c>
      <c r="AA15" s="21"/>
      <c r="AB15" s="110">
        <v>0.104166666666667</v>
      </c>
      <c r="AC15" s="211">
        <f>IF('Temperature Profiles'!V14&gt;17,(0.0029*('Temperature Profiles'!V14^2) - 0.0863*'Temperature Profiles'!V14 + 0.6808)*1000,0)</f>
        <v>54.375999999999756</v>
      </c>
      <c r="AD15" s="110">
        <v>0.104166666666667</v>
      </c>
      <c r="AE15" s="211">
        <f>IF('Temperature Profiles'!V14&gt;17,(0.005*('Temperature Profiles'!V14^2) - 0.1517*'Temperature Profiles'!V14 + 1.1702)*1000,0)</f>
        <v>40.159999999999755</v>
      </c>
      <c r="AF15" s="110">
        <v>0.104166666666667</v>
      </c>
      <c r="AG15" s="211">
        <f>IF('Temperature Profiles'!V14&gt;17,(0.0068*('Temperature Profiles'!V14^2) - 0.2129*'Temperature Profiles'!V14 + 1.6904)*1000,0)</f>
        <v>40.231999999999601</v>
      </c>
      <c r="AH15" s="21"/>
      <c r="AI15" s="110">
        <v>0.104166666666667</v>
      </c>
      <c r="AJ15" s="211">
        <f>IF('Temperature Profiles'!AA14&gt;17,(0.0029*('Temperature Profiles'!AA14^2) - 0.0863*'Temperature Profiles'!AA14 + 0.6808)*1000,0)</f>
        <v>0</v>
      </c>
      <c r="AK15" s="110">
        <v>0.104166666666667</v>
      </c>
      <c r="AL15" s="211">
        <f>IF('Temperature Profiles'!AA14&gt;17,(0.005*('Temperature Profiles'!AA14^2) - 0.1517*'Temperature Profiles'!AA14 + 1.1701)*1000,0)</f>
        <v>0</v>
      </c>
      <c r="AM15" s="110">
        <v>0.104166666666667</v>
      </c>
      <c r="AN15" s="211">
        <f>IF('Temperature Profiles'!AA14&gt;17,(0.0068*('Temperature Profiles'!AA14^2) - 0.2129*'Temperature Profiles'!AA14 + 1.6904)*1000,0)</f>
        <v>0</v>
      </c>
      <c r="AO15" s="21"/>
      <c r="AP15" s="110">
        <v>0.104166666666667</v>
      </c>
      <c r="AQ15" s="211">
        <f>IF('Temperature Profiles'!AF14&gt;17,(0.0029*('Temperature Profiles'!AF14^2) - 0.0863*'Temperature Profiles'!AF14 + 0.6808)*1000,0)</f>
        <v>433.1883680555556</v>
      </c>
      <c r="AR15" s="110">
        <v>0.104166666666667</v>
      </c>
      <c r="AS15" s="183">
        <f>IF('Temperature Profiles'!AF14&gt;17,(0.005*('Temperature Profiles'!AF14^2) - 0.1517*'Temperature Profiles'!AF14 + 1.1702)*1000,0)</f>
        <v>666.12951388888939</v>
      </c>
      <c r="AT15" s="110">
        <v>0.104166666666667</v>
      </c>
      <c r="AU15" s="211">
        <f>IF('Temperature Profiles'!AF14&gt;17,(0.0068*('Temperature Profiles'!AF14^2) - 0.2129*'Temperature Profiles'!AF14 + 1.6904)*1000,0)</f>
        <v>830.00763888888912</v>
      </c>
      <c r="AV15" s="21"/>
      <c r="AW15" s="110">
        <v>0.104166666666667</v>
      </c>
      <c r="AX15" s="211"/>
      <c r="AY15" s="21"/>
      <c r="AZ15" s="110">
        <v>0.104166666666667</v>
      </c>
      <c r="BA15" s="264"/>
      <c r="BC15" s="260">
        <v>0.104166666666667</v>
      </c>
      <c r="BD15" s="211">
        <f>IF('Temperature Profiles'!G14&lt;16,(-0.0037*'Temperature Profiles'!G14+0.0664)*1000,0)</f>
        <v>35.69</v>
      </c>
      <c r="BE15" s="110">
        <v>0.104166666666667</v>
      </c>
      <c r="BF15" s="211">
        <f>IF('Temperature Profiles'!G14&lt;16,(-0.0076*'Temperature Profiles'!G14+0.1245)*1000,0)</f>
        <v>61.42</v>
      </c>
      <c r="BG15" s="110">
        <v>0.104166666666667</v>
      </c>
      <c r="BH15" s="211">
        <f>IF('Temperature Profiles'!G14&lt;16,(-0.01*'Temperature Profiles'!G14+0.167)*1000,0)</f>
        <v>84.000000000000014</v>
      </c>
      <c r="BI15" s="21"/>
      <c r="BJ15" s="110">
        <v>0.104166666666667</v>
      </c>
      <c r="BK15" s="211">
        <f>IF('Temperature Profiles'!L14&lt;16,(-0.0037*'Temperature Profiles'!L14+0.0664)*1000,0)</f>
        <v>0</v>
      </c>
      <c r="BL15" s="110">
        <v>0.104166666666667</v>
      </c>
      <c r="BM15" s="211">
        <f>IF('Temperature Profiles'!L14&lt;16,(-0.0076*'Temperature Profiles'!L14+0.1245)*1000,0)</f>
        <v>0</v>
      </c>
      <c r="BN15" s="110">
        <v>0.104166666666667</v>
      </c>
      <c r="BO15" s="211">
        <f>IF('Temperature Profiles'!L14&lt;16,(-0.01*'Temperature Profiles'!L14+0.167)*1000,0)</f>
        <v>0</v>
      </c>
      <c r="BP15" s="21"/>
      <c r="BQ15" s="110">
        <v>0.104166666666667</v>
      </c>
      <c r="BR15" s="211">
        <f>IF('Temperature Profiles'!Q14&lt;16,(-0.0037*'Temperature Profiles'!Q14+0.0664)*1000,0)</f>
        <v>0</v>
      </c>
      <c r="BS15" s="110">
        <v>0.104166666666667</v>
      </c>
      <c r="BT15" s="211">
        <f>IF('Temperature Profiles'!Q14&lt;16,(-0.0076*'Temperature Profiles'!Q14+0.1245)*1000,0)</f>
        <v>0</v>
      </c>
      <c r="BU15" s="110">
        <v>0.104166666666667</v>
      </c>
      <c r="BV15" s="211">
        <f>IF('Temperature Profiles'!Q14&lt;16,(-0.01*'Temperature Profiles'!Q14+0.167)*1000,0)</f>
        <v>0</v>
      </c>
      <c r="BW15" s="21"/>
      <c r="BX15" s="110">
        <v>0.104166666666667</v>
      </c>
      <c r="BY15" s="211">
        <f>IF('Temperature Profiles'!V14&lt;16,(-0.0037*'Temperature Profiles'!V14+0.0664)*1000,0)</f>
        <v>0</v>
      </c>
      <c r="BZ15" s="110">
        <v>0.104166666666667</v>
      </c>
      <c r="CA15" s="211">
        <f>IF('Temperature Profiles'!V14&lt;16,(-0.0076*'Temperature Profiles'!V14+0.1245)*1000,0)</f>
        <v>0</v>
      </c>
      <c r="CB15" s="110">
        <v>0.104166666666667</v>
      </c>
      <c r="CC15" s="211">
        <f>IF('Temperature Profiles'!V14&lt;16,(-0.01*'Temperature Profiles'!V14+0.167)*1000,0)</f>
        <v>0</v>
      </c>
      <c r="CD15" s="21"/>
      <c r="CE15" s="110">
        <v>0.104166666666667</v>
      </c>
      <c r="CF15" s="211">
        <f>IF('Temperature Profiles'!AA14&lt;16,(-0.0037*'Temperature Profiles'!AA14+0.0664)*1000,0)</f>
        <v>132.87666666666667</v>
      </c>
      <c r="CG15" s="110">
        <v>0.104166666666667</v>
      </c>
      <c r="CH15" s="178">
        <f>IF('Temperature Profiles'!AA14&lt;16,(-0.0076*'Temperature Profiles'!AA14+0.1245)*1000,0)</f>
        <v>261.04666666666662</v>
      </c>
      <c r="CI15" s="110">
        <v>0.104166666666667</v>
      </c>
      <c r="CJ15" s="211">
        <f>IF('Temperature Profiles'!AA14&lt;16,(-0.01*'Temperature Profiles'!AA14+0.167)*1000,0)</f>
        <v>346.66666666666669</v>
      </c>
      <c r="CK15" s="21"/>
      <c r="CL15" s="110">
        <v>0.104166666666667</v>
      </c>
      <c r="CM15" s="211">
        <f>IF('Temperature Profiles'!AF14&lt;16,(-0.0037*'Temperature Profiles'!AF14+0.0664)*1000,0)</f>
        <v>0</v>
      </c>
      <c r="CN15" s="110">
        <v>0.104166666666667</v>
      </c>
      <c r="CO15" s="178">
        <f>IF('Temperature Profiles'!AF14&lt;16,(-0.0076*'Temperature Profiles'!AF14+0.1245)*1000,0)</f>
        <v>0</v>
      </c>
      <c r="CP15" s="110">
        <v>0.104166666666667</v>
      </c>
      <c r="CQ15" s="211">
        <f>IF('Temperature Profiles'!AF14&lt;16,(-0.01*'Temperature Profiles'!AF14+0.167)*1000,0)</f>
        <v>0</v>
      </c>
      <c r="CR15" s="21"/>
      <c r="CS15" s="110">
        <v>0.104166666666667</v>
      </c>
      <c r="CT15" s="211"/>
      <c r="CU15" s="21"/>
      <c r="CV15" s="110">
        <v>0.104166666666667</v>
      </c>
      <c r="CW15" s="264"/>
      <c r="CY15" s="260">
        <v>0.104166666666667</v>
      </c>
      <c r="CZ15" s="178">
        <f>IF('Temperature Profiles'!G14&gt;18,(0.0024*('Temperature Profiles'!G14^2)-0.0581*'Temperature Profiles'!G14+0.3293)*1000,IF('Temperature Profiles'!G14&lt;17,(0.0022*('Temperature Profiles'!G14^2)-0.0874*'Temperature Profiles'!G14+0.9301)*1000,0))</f>
        <v>356.23800000000006</v>
      </c>
      <c r="DA15" s="110">
        <v>0.104166666666667</v>
      </c>
      <c r="DB15" s="263">
        <f>IF('Temperature Profiles'!G14&gt;18,(0.0043*('Temperature Profiles'!G14^2)-0.1116*'Temperature Profiles'!G14+0.6576)*1000,IF('Temperature Profiles'!G14&lt;17,(0.0053*('Temperature Profiles'!G14^2)-0.1876*'Temperature Profiles'!G14+1.7649)*1000,0))</f>
        <v>572.93700000000001</v>
      </c>
      <c r="DC15" s="110">
        <v>0.104166666666667</v>
      </c>
      <c r="DD15" s="211">
        <f>IF('Temperature Profiles'!G14&gt;18,(0.0057*('Temperature Profiles'!G14^2)-0.1509*'Temperature Profiles'!G14+0.8935)*1000,IF('Temperature Profiles'!G14&lt;17,(0.0072*('Temperature Profiles'!G14^2)-0.254*'Temperature Profiles'!G14+2.3952)*1000,0))</f>
        <v>783.00800000000015</v>
      </c>
      <c r="DE15" s="21"/>
      <c r="DF15" s="110">
        <v>0.104166666666667</v>
      </c>
      <c r="DG15" s="209">
        <f>IF('Temperature Profiles'!L14&gt;18,(0.0024*('Temperature Profiles'!L14^2)-0.0581*'Temperature Profiles'!L14+0.3293)*1000,IF('Temperature Profiles'!L14&lt;17,(0.0022*('Temperature Profiles'!L14^2)-0.0874*'Temperature Profiles'!L14+0.9301)*1000,0))</f>
        <v>173.33600000000021</v>
      </c>
      <c r="DH15" s="110">
        <v>0.104166666666667</v>
      </c>
      <c r="DI15" s="209">
        <f>IF('Temperature Profiles'!L14&gt;18,(0.0043*('Temperature Profiles'!L14^2)-0.1116*'Temperature Profiles'!L14+0.6576)*1000,IF('Temperature Profiles'!L14&lt;17,(0.0053*('Temperature Profiles'!L14^2)-0.1876*'Temperature Profiles'!L14+1.7649)*1000,0))</f>
        <v>219.57644444444435</v>
      </c>
      <c r="DJ15" s="110">
        <v>0.104166666666667</v>
      </c>
      <c r="DK15" s="211">
        <f>IF('Temperature Profiles'!L14&gt;18,(0.0057*('Temperature Profiles'!L14^2)-0.1509*'Temperature Profiles'!L14+0.8935)*1000,IF('Temperature Profiles'!L14&lt;17,(0.0072*('Temperature Profiles'!L14^2)-0.254*'Temperature Profiles'!L14+2.3952)*1000,0))</f>
        <v>250.20133333333351</v>
      </c>
      <c r="DL15" s="21"/>
      <c r="DM15" s="110">
        <v>0.104166666666667</v>
      </c>
      <c r="DN15" s="209">
        <f>IF('Temperature Profiles'!Q14&gt;18,(0.0024*('Temperature Profiles'!Q14^2)-0.0581*'Temperature Profiles'!Q14+0.3293)*1000,IF('Temperature Profiles'!Q14&lt;17,(0.0022*('Temperature Profiles'!Q14^2)-0.0874*'Temperature Profiles'!Q14+0.9301)*1000,0))</f>
        <v>278.50599999999974</v>
      </c>
      <c r="DO15" s="110">
        <v>0.104166666666667</v>
      </c>
      <c r="DP15" s="209">
        <f>IF('Temperature Profiles'!Q14&gt;18,(0.0043*('Temperature Profiles'!Q14^2)-0.1116*'Temperature Profiles'!Q14+0.6576)*1000,IF('Temperature Profiles'!Q14&lt;17,(0.0053*('Temperature Profiles'!Q14^2)-0.1876*'Temperature Profiles'!Q14+1.7649)*1000,0))</f>
        <v>391.74699999999962</v>
      </c>
      <c r="DQ15" s="110">
        <v>0.104166666666667</v>
      </c>
      <c r="DR15" s="211">
        <f>IF('Temperature Profiles'!Q14&gt;18,(0.0057*('Temperature Profiles'!Q14^2)-0.1509*'Temperature Profiles'!Q14+0.8935)*1000,IF('Temperature Profiles'!Q14&lt;17,(0.0072*('Temperature Profiles'!Q14^2)-0.254*'Temperature Profiles'!Q14+2.3952)*1000,0))</f>
        <v>472.00299999999993</v>
      </c>
      <c r="DS15" s="21"/>
      <c r="DT15" s="110">
        <v>0.104166666666667</v>
      </c>
      <c r="DU15" s="209">
        <f>IF('Temperature Profiles'!V14&gt;18,(0.0024*('Temperature Profiles'!V14^2)-0.0581*'Temperature Profiles'!V14+0.3293)*1000,IF('Temperature Profiles'!V14&lt;17,(0.0022*('Temperature Profiles'!V14^2)-0.0874*'Temperature Profiles'!V14+0.9301)*1000,0))</f>
        <v>0</v>
      </c>
      <c r="DV15" s="110">
        <v>0.104166666666667</v>
      </c>
      <c r="DW15" s="209">
        <f>IF('Temperature Profiles'!V14&gt;18,(0.0043*('Temperature Profiles'!V14^2)-0.1116*'Temperature Profiles'!V14+0.6576)*1000,IF('Temperature Profiles'!V14&lt;17,(0.0053*('Temperature Profiles'!V14^2)-0.1876*'Temperature Profiles'!V14+1.7649)*1000,0))</f>
        <v>0</v>
      </c>
      <c r="DX15" s="110">
        <v>0.104166666666667</v>
      </c>
      <c r="DY15" s="211">
        <f>IF('Temperature Profiles'!V14&gt;18,(0.0057*('Temperature Profiles'!V14^2)-0.1509*'Temperature Profiles'!V14+0.8935)*1000,IF('Temperature Profiles'!V14&lt;17,(0.0072*('Temperature Profiles'!V14^2)-0.254*'Temperature Profiles'!V14+2.3952)*1000,0))</f>
        <v>0</v>
      </c>
      <c r="DZ15" s="21"/>
      <c r="EA15" s="110">
        <v>0.104166666666667</v>
      </c>
      <c r="EB15" s="209">
        <f>IF('Temperature Profiles'!AA113&gt;18,(0.0024*('Temperature Profiles'!AA113^2)-0.0581*'Temperature Profiles'!AA113+0.3293)*1000,IF('Temperature Profiles'!AA113&lt;17,(0.0022*('Temperature Profiles'!AA113^2)-0.0874*'Temperature Profiles'!AA113+0.9301)*1000,0))</f>
        <v>711.41727777777783</v>
      </c>
      <c r="EC15" s="110">
        <v>0.104166666666667</v>
      </c>
      <c r="ED15" s="209">
        <f>IF('Temperature Profiles'!AA113&gt;18,(0.0043*('Temperature Profiles'!AA113^2)-0.1116*'Temperature Profiles'!AA113+0.6576)*1000,IF('Temperature Profiles'!AA113&lt;17,(0.0053*('Temperature Profiles'!AA113^2)-0.1876*'Temperature Profiles'!AA113+1.7649)*1000,0))</f>
        <v>1299.668138888889</v>
      </c>
      <c r="EE15" s="110">
        <v>0.104166666666667</v>
      </c>
      <c r="EF15" s="211">
        <f>IF('Temperature Profiles'!AA113&gt;18,(0.0057*('Temperature Profiles'!AA113^2)-0.1509*'Temperature Profiles'!AA113+0.8935)*1000,IF('Temperature Profiles'!AA113&lt;17,(0.0072*('Temperature Profiles'!AA113^2)-0.254*'Temperature Profiles'!AA113+2.3952)*1000,0))</f>
        <v>1765.4753333333333</v>
      </c>
      <c r="EG15" s="21"/>
      <c r="EH15" s="110">
        <v>0.104166666666667</v>
      </c>
      <c r="EI15" s="211">
        <f>IF('Temperature Profiles'!AF14&gt;18,(0.0024*('Temperature Profiles'!AF14^2)-0.0581*'Temperature Profiles'!AF14+0.3293)*1000,IF('Temperature Profiles'!AF14&lt;17,(0.0022*('Temperature Profiles'!AF14^2)-0.0874*'Temperature Profiles'!AF14+0.9301)*1000,0))</f>
        <v>477.93333333333362</v>
      </c>
      <c r="EJ15" s="110">
        <v>0.104166666666667</v>
      </c>
      <c r="EK15" s="211">
        <f>IF('Temperature Profiles'!AF14&gt;18,(0.0043*('Temperature Profiles'!AF14^2)-0.1116*'Temperature Profiles'!AF14+0.6576)*1000,IF('Temperature Profiles'!AF14&lt;17,(0.0053*('Temperature Profiles'!AF14^2)-0.1876*'Temperature Profiles'!AF14+1.7649)*1000,0))</f>
        <v>724.72829861111165</v>
      </c>
      <c r="EL15" s="110">
        <v>0.104166666666667</v>
      </c>
      <c r="EM15" s="211">
        <f>IF('Temperature Profiles'!AF14&gt;18,(0.0057*('Temperature Profiles'!AF14^2)-0.1509*'Temperature Profiles'!AF14+0.8935)*1000,IF('Temperature Profiles'!AF14&lt;17,(0.0072*('Temperature Profiles'!AF14^2)-0.254*'Temperature Profiles'!AF14+2.3952)*1000,0))</f>
        <v>903.78489583333408</v>
      </c>
      <c r="EN15" s="21"/>
      <c r="EO15" s="110">
        <v>0.104166666666667</v>
      </c>
      <c r="EP15" s="211"/>
      <c r="EQ15" s="21"/>
      <c r="ER15" s="110">
        <v>0.104166666666667</v>
      </c>
      <c r="ES15" s="264"/>
      <c r="EU15" s="260">
        <v>0.104166666666667</v>
      </c>
      <c r="EV15" s="209">
        <f>IF('Temperature Profiles'!AA113&gt;18,(0.0024*('Temperature Profiles'!AA113^2)-0.0581*'Temperature Profiles'!AA113+0.3293)*1000,IF('Temperature Profiles'!AA113&lt;17,(0.0022*('Temperature Profiles'!AA113^2)-0.0874*'Temperature Profiles'!AA113+0.9301)*1000,0))</f>
        <v>711.41727777777783</v>
      </c>
      <c r="EW15" s="110">
        <v>0.104166666666667</v>
      </c>
      <c r="EX15" s="209">
        <f>IF('Temperature Profiles'!AA113&gt;18,(0.0043*('Temperature Profiles'!AA113^2)-0.1116*'Temperature Profiles'!AA113+0.6576)*1000,IF('Temperature Profiles'!AA113&lt;17,(0.0053*('Temperature Profiles'!AA113^2)-0.1876*'Temperature Profiles'!AA113+1.7649)*1000,0))</f>
        <v>1299.668138888889</v>
      </c>
      <c r="EY15" s="110">
        <v>0.104166666666667</v>
      </c>
      <c r="EZ15" s="264">
        <f>IF('Temperature Profiles'!AA113&gt;18,(0.0057*('Temperature Profiles'!AA113^2)-0.1509*'Temperature Profiles'!AA113+0.8935)*1000,IF('Temperature Profiles'!AA113&lt;17,(0.0072*('Temperature Profiles'!AA113^2)-0.254*'Temperature Profiles'!AA113+2.3952)*1000,0))</f>
        <v>1765.4753333333333</v>
      </c>
    </row>
    <row r="16" spans="1:156" x14ac:dyDescent="0.3">
      <c r="A16" s="108">
        <v>0.104166666666667</v>
      </c>
      <c r="B16" s="226">
        <f t="shared" si="0"/>
        <v>0</v>
      </c>
      <c r="C16" s="21">
        <f t="shared" si="1"/>
        <v>346.66666666666669</v>
      </c>
      <c r="D16" s="20">
        <f t="shared" si="2"/>
        <v>1765.4753333333333</v>
      </c>
      <c r="E16" s="20">
        <f t="shared" si="3"/>
        <v>1765.4753333333333</v>
      </c>
      <c r="G16" s="260">
        <v>0.114583333333333</v>
      </c>
      <c r="H16" s="211">
        <f>IF('Temperature Profiles'!G15&gt;17,(0.0029*('Temperature Profiles'!G15^2) - 0.0863*'Temperature Profiles'!G15 + 0.6808)*1000,0)</f>
        <v>0</v>
      </c>
      <c r="I16" s="110">
        <v>0.114583333333333</v>
      </c>
      <c r="J16" s="211">
        <f>IF('Temperature Profiles'!G15&gt;17,(0.005*('Temperature Profiles'!G15^2) - 0.1517*'Temperature Profiles'!G15 + 1.1702)*1000,0)</f>
        <v>0</v>
      </c>
      <c r="K16" s="110">
        <v>0.114583333333333</v>
      </c>
      <c r="L16" s="211">
        <f>IF('Temperature Profiles'!G15&gt;17,(0.0068*('Temperature Profiles'!G15^2) - 0.2129*'Temperature Profiles'!G15 + 1.6904)*1000,0)</f>
        <v>0</v>
      </c>
      <c r="M16" s="21"/>
      <c r="N16" s="110">
        <v>0.114583333333333</v>
      </c>
      <c r="O16" s="211">
        <f>IF('Temperature Profiles'!L15&gt;17,(0.0029*('Temperature Profiles'!L15^2) - 0.0863*'Temperature Profiles'!L15 + 0.6808)*1000,0)</f>
        <v>152.18488888888871</v>
      </c>
      <c r="P16" s="110">
        <v>0.114583333333333</v>
      </c>
      <c r="Q16" s="211">
        <f>IF('Temperature Profiles'!L15&gt;17,(0.005*('Temperature Profiles'!L15^2) - 0.1517*'Temperature Profiles'!L15 + 1.1702)*1000,0)</f>
        <v>197.36222222222244</v>
      </c>
      <c r="R16" s="110">
        <v>0.114583333333333</v>
      </c>
      <c r="S16" s="211">
        <f>IF('Temperature Profiles'!L15&gt;17,(0.0068*('Temperature Profiles'!L15^2) - 0.2129*'Temperature Profiles'!L15 + 1.6904)*1000,0)</f>
        <v>228.11422222222211</v>
      </c>
      <c r="T16" s="21"/>
      <c r="U16" s="110">
        <v>0.114583333333333</v>
      </c>
      <c r="V16" s="211">
        <f>IF('Temperature Profiles'!Q15&gt;17,(0.0029*('Temperature Profiles'!Q15^2) - 0.0863*'Temperature Profiles'!Q15 + 0.6808)*1000,0)</f>
        <v>244.39099999999968</v>
      </c>
      <c r="W16" s="110">
        <v>0.114583333333333</v>
      </c>
      <c r="X16" s="211">
        <f>IF('Temperature Profiles'!Q15&gt;17,(0.005*('Temperature Profiles'!Q15^2) - 0.1517*'Temperature Profiles'!Q15 + 1.1702)*1000,0)</f>
        <v>350.03999999999945</v>
      </c>
      <c r="Y16" s="110">
        <v>0.114583333333333</v>
      </c>
      <c r="Z16" s="211">
        <f>IF('Temperature Profiles'!Q15&gt;17,(0.0068*('Temperature Profiles'!Q15^2) - 0.2129*'Temperature Profiles'!Q15 + 1.6904)*1000,0)</f>
        <v>421.48199999999878</v>
      </c>
      <c r="AA16" s="21"/>
      <c r="AB16" s="110">
        <v>0.114583333333333</v>
      </c>
      <c r="AC16" s="211">
        <f>IF('Temperature Profiles'!V15&gt;17,(0.0029*('Temperature Profiles'!V15^2) - 0.0863*'Temperature Profiles'!V15 + 0.6808)*1000,0)</f>
        <v>54.375999999999756</v>
      </c>
      <c r="AD16" s="110">
        <v>0.114583333333333</v>
      </c>
      <c r="AE16" s="211">
        <f>IF('Temperature Profiles'!V15&gt;17,(0.005*('Temperature Profiles'!V15^2) - 0.1517*'Temperature Profiles'!V15 + 1.1702)*1000,0)</f>
        <v>40.159999999999755</v>
      </c>
      <c r="AF16" s="110">
        <v>0.114583333333333</v>
      </c>
      <c r="AG16" s="211">
        <f>IF('Temperature Profiles'!V15&gt;17,(0.0068*('Temperature Profiles'!V15^2) - 0.2129*'Temperature Profiles'!V15 + 1.6904)*1000,0)</f>
        <v>40.231999999999601</v>
      </c>
      <c r="AH16" s="21"/>
      <c r="AI16" s="110">
        <v>0.114583333333333</v>
      </c>
      <c r="AJ16" s="211">
        <f>IF('Temperature Profiles'!AA15&gt;17,(0.0029*('Temperature Profiles'!AA15^2) - 0.0863*'Temperature Profiles'!AA15 + 0.6808)*1000,0)</f>
        <v>0</v>
      </c>
      <c r="AK16" s="110">
        <v>0.114583333333333</v>
      </c>
      <c r="AL16" s="211">
        <f>IF('Temperature Profiles'!AA15&gt;17,(0.005*('Temperature Profiles'!AA15^2) - 0.1517*'Temperature Profiles'!AA15 + 1.1701)*1000,0)</f>
        <v>0</v>
      </c>
      <c r="AM16" s="110">
        <v>0.114583333333333</v>
      </c>
      <c r="AN16" s="211">
        <f>IF('Temperature Profiles'!AA15&gt;17,(0.0068*('Temperature Profiles'!AA15^2) - 0.2129*'Temperature Profiles'!AA15 + 1.6904)*1000,0)</f>
        <v>0</v>
      </c>
      <c r="AO16" s="21"/>
      <c r="AP16" s="110">
        <v>0.114583333333333</v>
      </c>
      <c r="AQ16" s="211">
        <f>IF('Temperature Profiles'!AF15&gt;17,(0.0029*('Temperature Profiles'!AF15^2) - 0.0863*'Temperature Profiles'!AF15 + 0.6808)*1000,0)</f>
        <v>433.1883680555556</v>
      </c>
      <c r="AR16" s="110">
        <v>0.114583333333333</v>
      </c>
      <c r="AS16" s="183">
        <f>IF('Temperature Profiles'!AF15&gt;17,(0.005*('Temperature Profiles'!AF15^2) - 0.1517*'Temperature Profiles'!AF15 + 1.1702)*1000,0)</f>
        <v>666.12951388888939</v>
      </c>
      <c r="AT16" s="110">
        <v>0.114583333333333</v>
      </c>
      <c r="AU16" s="211">
        <f>IF('Temperature Profiles'!AF15&gt;17,(0.0068*('Temperature Profiles'!AF15^2) - 0.2129*'Temperature Profiles'!AF15 + 1.6904)*1000,0)</f>
        <v>830.00763888888912</v>
      </c>
      <c r="AV16" s="21"/>
      <c r="AW16" s="110">
        <v>0.114583333333333</v>
      </c>
      <c r="AX16" s="211"/>
      <c r="AY16" s="21"/>
      <c r="AZ16" s="110">
        <v>0.114583333333333</v>
      </c>
      <c r="BA16" s="264"/>
      <c r="BC16" s="260">
        <v>0.114583333333333</v>
      </c>
      <c r="BD16" s="211">
        <f>IF('Temperature Profiles'!G15&lt;16,(-0.0037*'Temperature Profiles'!G15+0.0664)*1000,0)</f>
        <v>35.69</v>
      </c>
      <c r="BE16" s="110">
        <v>0.114583333333333</v>
      </c>
      <c r="BF16" s="211">
        <f>IF('Temperature Profiles'!G15&lt;16,(-0.0076*'Temperature Profiles'!G15+0.1245)*1000,0)</f>
        <v>61.42</v>
      </c>
      <c r="BG16" s="110">
        <v>0.114583333333333</v>
      </c>
      <c r="BH16" s="211">
        <f>IF('Temperature Profiles'!G15&lt;16,(-0.01*'Temperature Profiles'!G15+0.167)*1000,0)</f>
        <v>84.000000000000014</v>
      </c>
      <c r="BI16" s="21"/>
      <c r="BJ16" s="110">
        <v>0.114583333333333</v>
      </c>
      <c r="BK16" s="211">
        <f>IF('Temperature Profiles'!L15&lt;16,(-0.0037*'Temperature Profiles'!L15+0.0664)*1000,0)</f>
        <v>0</v>
      </c>
      <c r="BL16" s="110">
        <v>0.114583333333333</v>
      </c>
      <c r="BM16" s="211">
        <f>IF('Temperature Profiles'!L15&lt;16,(-0.0076*'Temperature Profiles'!L15+0.1245)*1000,0)</f>
        <v>0</v>
      </c>
      <c r="BN16" s="110">
        <v>0.114583333333333</v>
      </c>
      <c r="BO16" s="211">
        <f>IF('Temperature Profiles'!L15&lt;16,(-0.01*'Temperature Profiles'!L15+0.167)*1000,0)</f>
        <v>0</v>
      </c>
      <c r="BP16" s="21"/>
      <c r="BQ16" s="110">
        <v>0.114583333333333</v>
      </c>
      <c r="BR16" s="211">
        <f>IF('Temperature Profiles'!Q15&lt;16,(-0.0037*'Temperature Profiles'!Q15+0.0664)*1000,0)</f>
        <v>0</v>
      </c>
      <c r="BS16" s="110">
        <v>0.114583333333333</v>
      </c>
      <c r="BT16" s="211">
        <f>IF('Temperature Profiles'!Q15&lt;16,(-0.0076*'Temperature Profiles'!Q15+0.1245)*1000,0)</f>
        <v>0</v>
      </c>
      <c r="BU16" s="110">
        <v>0.114583333333333</v>
      </c>
      <c r="BV16" s="211">
        <f>IF('Temperature Profiles'!Q15&lt;16,(-0.01*'Temperature Profiles'!Q15+0.167)*1000,0)</f>
        <v>0</v>
      </c>
      <c r="BW16" s="21"/>
      <c r="BX16" s="110">
        <v>0.114583333333333</v>
      </c>
      <c r="BY16" s="211">
        <f>IF('Temperature Profiles'!V15&lt;16,(-0.0037*'Temperature Profiles'!V15+0.0664)*1000,0)</f>
        <v>0</v>
      </c>
      <c r="BZ16" s="110">
        <v>0.114583333333333</v>
      </c>
      <c r="CA16" s="211">
        <f>IF('Temperature Profiles'!V15&lt;16,(-0.0076*'Temperature Profiles'!V15+0.1245)*1000,0)</f>
        <v>0</v>
      </c>
      <c r="CB16" s="110">
        <v>0.114583333333333</v>
      </c>
      <c r="CC16" s="211">
        <f>IF('Temperature Profiles'!V15&lt;16,(-0.01*'Temperature Profiles'!V15+0.167)*1000,0)</f>
        <v>0</v>
      </c>
      <c r="CD16" s="21"/>
      <c r="CE16" s="110">
        <v>0.114583333333333</v>
      </c>
      <c r="CF16" s="211">
        <f>IF('Temperature Profiles'!AA15&lt;16,(-0.0037*'Temperature Profiles'!AA15+0.0664)*1000,0)</f>
        <v>132.87666666666667</v>
      </c>
      <c r="CG16" s="110">
        <v>0.114583333333333</v>
      </c>
      <c r="CH16" s="178">
        <f>IF('Temperature Profiles'!AA15&lt;16,(-0.0076*'Temperature Profiles'!AA15+0.1245)*1000,0)</f>
        <v>261.04666666666662</v>
      </c>
      <c r="CI16" s="110">
        <v>0.114583333333333</v>
      </c>
      <c r="CJ16" s="211">
        <f>IF('Temperature Profiles'!AA15&lt;16,(-0.01*'Temperature Profiles'!AA15+0.167)*1000,0)</f>
        <v>346.66666666666669</v>
      </c>
      <c r="CK16" s="21"/>
      <c r="CL16" s="110">
        <v>0.114583333333333</v>
      </c>
      <c r="CM16" s="211">
        <f>IF('Temperature Profiles'!AF15&lt;16,(-0.0037*'Temperature Profiles'!AF15+0.0664)*1000,0)</f>
        <v>0</v>
      </c>
      <c r="CN16" s="110">
        <v>0.114583333333333</v>
      </c>
      <c r="CO16" s="178">
        <f>IF('Temperature Profiles'!AF15&lt;16,(-0.0076*'Temperature Profiles'!AF15+0.1245)*1000,0)</f>
        <v>0</v>
      </c>
      <c r="CP16" s="110">
        <v>0.114583333333333</v>
      </c>
      <c r="CQ16" s="211">
        <f>IF('Temperature Profiles'!AF15&lt;16,(-0.01*'Temperature Profiles'!AF15+0.167)*1000,0)</f>
        <v>0</v>
      </c>
      <c r="CR16" s="21"/>
      <c r="CS16" s="110">
        <v>0.114583333333333</v>
      </c>
      <c r="CT16" s="211"/>
      <c r="CU16" s="21"/>
      <c r="CV16" s="110">
        <v>0.114583333333333</v>
      </c>
      <c r="CW16" s="264"/>
      <c r="CY16" s="260">
        <v>0.114583333333333</v>
      </c>
      <c r="CZ16" s="178">
        <f>IF('Temperature Profiles'!G15&gt;18,(0.0024*('Temperature Profiles'!G15^2)-0.0581*'Temperature Profiles'!G15+0.3293)*1000,IF('Temperature Profiles'!G15&lt;17,(0.0022*('Temperature Profiles'!G15^2)-0.0874*'Temperature Profiles'!G15+0.9301)*1000,0))</f>
        <v>356.23800000000006</v>
      </c>
      <c r="DA16" s="110">
        <v>0.114583333333333</v>
      </c>
      <c r="DB16" s="263">
        <f>IF('Temperature Profiles'!G15&gt;18,(0.0043*('Temperature Profiles'!G15^2)-0.1116*'Temperature Profiles'!G15+0.6576)*1000,IF('Temperature Profiles'!G15&lt;17,(0.0053*('Temperature Profiles'!G15^2)-0.1876*'Temperature Profiles'!G15+1.7649)*1000,0))</f>
        <v>572.93700000000001</v>
      </c>
      <c r="DC16" s="110">
        <v>0.114583333333333</v>
      </c>
      <c r="DD16" s="211">
        <f>IF('Temperature Profiles'!G15&gt;18,(0.0057*('Temperature Profiles'!G15^2)-0.1509*'Temperature Profiles'!G15+0.8935)*1000,IF('Temperature Profiles'!G15&lt;17,(0.0072*('Temperature Profiles'!G15^2)-0.254*'Temperature Profiles'!G15+2.3952)*1000,0))</f>
        <v>783.00800000000015</v>
      </c>
      <c r="DE16" s="21"/>
      <c r="DF16" s="110">
        <v>0.114583333333333</v>
      </c>
      <c r="DG16" s="209">
        <f>IF('Temperature Profiles'!L15&gt;18,(0.0024*('Temperature Profiles'!L15^2)-0.0581*'Temperature Profiles'!L15+0.3293)*1000,IF('Temperature Profiles'!L15&lt;17,(0.0022*('Temperature Profiles'!L15^2)-0.0874*'Temperature Profiles'!L15+0.9301)*1000,0))</f>
        <v>173.33600000000021</v>
      </c>
      <c r="DH16" s="110">
        <v>0.114583333333333</v>
      </c>
      <c r="DI16" s="209">
        <f>IF('Temperature Profiles'!L15&gt;18,(0.0043*('Temperature Profiles'!L15^2)-0.1116*'Temperature Profiles'!L15+0.6576)*1000,IF('Temperature Profiles'!L15&lt;17,(0.0053*('Temperature Profiles'!L15^2)-0.1876*'Temperature Profiles'!L15+1.7649)*1000,0))</f>
        <v>219.57644444444435</v>
      </c>
      <c r="DJ16" s="110">
        <v>0.114583333333333</v>
      </c>
      <c r="DK16" s="211">
        <f>IF('Temperature Profiles'!L15&gt;18,(0.0057*('Temperature Profiles'!L15^2)-0.1509*'Temperature Profiles'!L15+0.8935)*1000,IF('Temperature Profiles'!L15&lt;17,(0.0072*('Temperature Profiles'!L15^2)-0.254*'Temperature Profiles'!L15+2.3952)*1000,0))</f>
        <v>250.20133333333351</v>
      </c>
      <c r="DL16" s="21"/>
      <c r="DM16" s="110">
        <v>0.114583333333333</v>
      </c>
      <c r="DN16" s="209">
        <f>IF('Temperature Profiles'!Q15&gt;18,(0.0024*('Temperature Profiles'!Q15^2)-0.0581*'Temperature Profiles'!Q15+0.3293)*1000,IF('Temperature Profiles'!Q15&lt;17,(0.0022*('Temperature Profiles'!Q15^2)-0.0874*'Temperature Profiles'!Q15+0.9301)*1000,0))</f>
        <v>278.50599999999974</v>
      </c>
      <c r="DO16" s="110">
        <v>0.114583333333333</v>
      </c>
      <c r="DP16" s="209">
        <f>IF('Temperature Profiles'!Q15&gt;18,(0.0043*('Temperature Profiles'!Q15^2)-0.1116*'Temperature Profiles'!Q15+0.6576)*1000,IF('Temperature Profiles'!Q15&lt;17,(0.0053*('Temperature Profiles'!Q15^2)-0.1876*'Temperature Profiles'!Q15+1.7649)*1000,0))</f>
        <v>391.74699999999962</v>
      </c>
      <c r="DQ16" s="110">
        <v>0.114583333333333</v>
      </c>
      <c r="DR16" s="211">
        <f>IF('Temperature Profiles'!Q15&gt;18,(0.0057*('Temperature Profiles'!Q15^2)-0.1509*'Temperature Profiles'!Q15+0.8935)*1000,IF('Temperature Profiles'!Q15&lt;17,(0.0072*('Temperature Profiles'!Q15^2)-0.254*'Temperature Profiles'!Q15+2.3952)*1000,0))</f>
        <v>472.00299999999993</v>
      </c>
      <c r="DS16" s="21"/>
      <c r="DT16" s="110">
        <v>0.114583333333333</v>
      </c>
      <c r="DU16" s="209">
        <f>IF('Temperature Profiles'!V15&gt;18,(0.0024*('Temperature Profiles'!V15^2)-0.0581*'Temperature Profiles'!V15+0.3293)*1000,IF('Temperature Profiles'!V15&lt;17,(0.0022*('Temperature Profiles'!V15^2)-0.0874*'Temperature Profiles'!V15+0.9301)*1000,0))</f>
        <v>0</v>
      </c>
      <c r="DV16" s="110">
        <v>0.114583333333333</v>
      </c>
      <c r="DW16" s="209">
        <f>IF('Temperature Profiles'!V15&gt;18,(0.0043*('Temperature Profiles'!V15^2)-0.1116*'Temperature Profiles'!V15+0.6576)*1000,IF('Temperature Profiles'!V15&lt;17,(0.0053*('Temperature Profiles'!V15^2)-0.1876*'Temperature Profiles'!V15+1.7649)*1000,0))</f>
        <v>0</v>
      </c>
      <c r="DX16" s="110">
        <v>0.114583333333333</v>
      </c>
      <c r="DY16" s="211">
        <f>IF('Temperature Profiles'!V15&gt;18,(0.0057*('Temperature Profiles'!V15^2)-0.1509*'Temperature Profiles'!V15+0.8935)*1000,IF('Temperature Profiles'!V15&lt;17,(0.0072*('Temperature Profiles'!V15^2)-0.254*'Temperature Profiles'!V15+2.3952)*1000,0))</f>
        <v>0</v>
      </c>
      <c r="DZ16" s="21"/>
      <c r="EA16" s="110">
        <v>0.114583333333333</v>
      </c>
      <c r="EB16" s="209">
        <f>IF('Temperature Profiles'!AA114&gt;18,(0.0024*('Temperature Profiles'!AA114^2)-0.0581*'Temperature Profiles'!AA114+0.3293)*1000,IF('Temperature Profiles'!AA114&lt;17,(0.0022*('Temperature Profiles'!AA114^2)-0.0874*'Temperature Profiles'!AA114+0.9301)*1000,0))</f>
        <v>711.41727777777783</v>
      </c>
      <c r="EC16" s="110">
        <v>0.114583333333333</v>
      </c>
      <c r="ED16" s="209">
        <f>IF('Temperature Profiles'!AA114&gt;18,(0.0043*('Temperature Profiles'!AA114^2)-0.1116*'Temperature Profiles'!AA114+0.6576)*1000,IF('Temperature Profiles'!AA114&lt;17,(0.0053*('Temperature Profiles'!AA114^2)-0.1876*'Temperature Profiles'!AA114+1.7649)*1000,0))</f>
        <v>1299.668138888889</v>
      </c>
      <c r="EE16" s="110">
        <v>0.114583333333333</v>
      </c>
      <c r="EF16" s="211">
        <f>IF('Temperature Profiles'!AA114&gt;18,(0.0057*('Temperature Profiles'!AA114^2)-0.1509*'Temperature Profiles'!AA114+0.8935)*1000,IF('Temperature Profiles'!AA114&lt;17,(0.0072*('Temperature Profiles'!AA114^2)-0.254*'Temperature Profiles'!AA114+2.3952)*1000,0))</f>
        <v>1765.4753333333333</v>
      </c>
      <c r="EG16" s="21"/>
      <c r="EH16" s="110">
        <v>0.114583333333333</v>
      </c>
      <c r="EI16" s="211">
        <f>IF('Temperature Profiles'!AF15&gt;18,(0.0024*('Temperature Profiles'!AF15^2)-0.0581*'Temperature Profiles'!AF15+0.3293)*1000,IF('Temperature Profiles'!AF15&lt;17,(0.0022*('Temperature Profiles'!AF15^2)-0.0874*'Temperature Profiles'!AF15+0.9301)*1000,0))</f>
        <v>477.93333333333362</v>
      </c>
      <c r="EJ16" s="110">
        <v>0.114583333333333</v>
      </c>
      <c r="EK16" s="211">
        <f>IF('Temperature Profiles'!AF15&gt;18,(0.0043*('Temperature Profiles'!AF15^2)-0.1116*'Temperature Profiles'!AF15+0.6576)*1000,IF('Temperature Profiles'!AF15&lt;17,(0.0053*('Temperature Profiles'!AF15^2)-0.1876*'Temperature Profiles'!AF15+1.7649)*1000,0))</f>
        <v>724.72829861111165</v>
      </c>
      <c r="EL16" s="110">
        <v>0.114583333333333</v>
      </c>
      <c r="EM16" s="211">
        <f>IF('Temperature Profiles'!AF15&gt;18,(0.0057*('Temperature Profiles'!AF15^2)-0.1509*'Temperature Profiles'!AF15+0.8935)*1000,IF('Temperature Profiles'!AF15&lt;17,(0.0072*('Temperature Profiles'!AF15^2)-0.254*'Temperature Profiles'!AF15+2.3952)*1000,0))</f>
        <v>903.78489583333408</v>
      </c>
      <c r="EN16" s="21"/>
      <c r="EO16" s="110">
        <v>0.114583333333333</v>
      </c>
      <c r="EP16" s="211"/>
      <c r="EQ16" s="21"/>
      <c r="ER16" s="110">
        <v>0.114583333333333</v>
      </c>
      <c r="ES16" s="264"/>
      <c r="EU16" s="260">
        <v>0.114583333333333</v>
      </c>
      <c r="EV16" s="209">
        <f>IF('Temperature Profiles'!AA114&gt;18,(0.0024*('Temperature Profiles'!AA114^2)-0.0581*'Temperature Profiles'!AA114+0.3293)*1000,IF('Temperature Profiles'!AA114&lt;17,(0.0022*('Temperature Profiles'!AA114^2)-0.0874*'Temperature Profiles'!AA114+0.9301)*1000,0))</f>
        <v>711.41727777777783</v>
      </c>
      <c r="EW16" s="110">
        <v>0.114583333333333</v>
      </c>
      <c r="EX16" s="209">
        <f>IF('Temperature Profiles'!AA114&gt;18,(0.0043*('Temperature Profiles'!AA114^2)-0.1116*'Temperature Profiles'!AA114+0.6576)*1000,IF('Temperature Profiles'!AA114&lt;17,(0.0053*('Temperature Profiles'!AA114^2)-0.1876*'Temperature Profiles'!AA114+1.7649)*1000,0))</f>
        <v>1299.668138888889</v>
      </c>
      <c r="EY16" s="110">
        <v>0.114583333333333</v>
      </c>
      <c r="EZ16" s="264">
        <f>IF('Temperature Profiles'!AA114&gt;18,(0.0057*('Temperature Profiles'!AA114^2)-0.1509*'Temperature Profiles'!AA114+0.8935)*1000,IF('Temperature Profiles'!AA114&lt;17,(0.0072*('Temperature Profiles'!AA114^2)-0.254*'Temperature Profiles'!AA114+2.3952)*1000,0))</f>
        <v>1765.4753333333333</v>
      </c>
    </row>
    <row r="17" spans="1:156" x14ac:dyDescent="0.3">
      <c r="A17" s="108">
        <v>0.114583333333333</v>
      </c>
      <c r="B17" s="226">
        <f t="shared" si="0"/>
        <v>0</v>
      </c>
      <c r="C17" s="21">
        <f t="shared" si="1"/>
        <v>346.66666666666669</v>
      </c>
      <c r="D17" s="20">
        <f t="shared" si="2"/>
        <v>1765.4753333333333</v>
      </c>
      <c r="E17" s="20">
        <f t="shared" si="3"/>
        <v>1765.4753333333333</v>
      </c>
      <c r="G17" s="260">
        <v>0.125</v>
      </c>
      <c r="H17" s="211">
        <f>IF('Temperature Profiles'!G16&gt;17,(0.0029*('Temperature Profiles'!G16^2) - 0.0863*'Temperature Profiles'!G16 + 0.6808)*1000,0)</f>
        <v>0</v>
      </c>
      <c r="I17" s="110">
        <v>0.125</v>
      </c>
      <c r="J17" s="211">
        <f>IF('Temperature Profiles'!G16&gt;17,(0.005*('Temperature Profiles'!G16^2) - 0.1517*'Temperature Profiles'!G16 + 1.1702)*1000,0)</f>
        <v>0</v>
      </c>
      <c r="K17" s="110">
        <v>0.125</v>
      </c>
      <c r="L17" s="211">
        <f>IF('Temperature Profiles'!G16&gt;17,(0.0068*('Temperature Profiles'!G16^2) - 0.2129*'Temperature Profiles'!G16 + 1.6904)*1000,0)</f>
        <v>0</v>
      </c>
      <c r="M17" s="21"/>
      <c r="N17" s="110">
        <v>0.125</v>
      </c>
      <c r="O17" s="211">
        <f>IF('Temperature Profiles'!L16&gt;17,(0.0029*('Temperature Profiles'!L16^2) - 0.0863*'Temperature Profiles'!L16 + 0.6808)*1000,0)</f>
        <v>146.51431249999979</v>
      </c>
      <c r="P17" s="110">
        <v>0.125</v>
      </c>
      <c r="Q17" s="211">
        <f>IF('Temperature Profiles'!L16&gt;17,(0.005*('Temperature Profiles'!L16^2) - 0.1517*'Temperature Profiles'!L16 + 1.1702)*1000,0)</f>
        <v>188.04562499999955</v>
      </c>
      <c r="R17" s="110">
        <v>0.125</v>
      </c>
      <c r="S17" s="211">
        <f>IF('Temperature Profiles'!L16&gt;17,(0.0068*('Temperature Profiles'!L16^2) - 0.2129*'Temperature Profiles'!L16 + 1.6904)*1000,0)</f>
        <v>216.48674999999963</v>
      </c>
      <c r="T17" s="21"/>
      <c r="U17" s="110">
        <v>0.125</v>
      </c>
      <c r="V17" s="211">
        <f>IF('Temperature Profiles'!Q16&gt;17,(0.0029*('Temperature Profiles'!Q16^2) - 0.0863*'Temperature Profiles'!Q16 + 0.6808)*1000,0)</f>
        <v>247.24986805555517</v>
      </c>
      <c r="W17" s="110">
        <v>0.125</v>
      </c>
      <c r="X17" s="211">
        <f>IF('Temperature Profiles'!Q16&gt;17,(0.005*('Temperature Profiles'!Q16^2) - 0.1517*'Temperature Profiles'!Q16 + 1.1702)*1000,0)</f>
        <v>354.79951388888821</v>
      </c>
      <c r="Y17" s="110">
        <v>0.125</v>
      </c>
      <c r="Z17" s="211">
        <f>IF('Temperature Profiles'!Q16&gt;17,(0.0068*('Temperature Profiles'!Q16^2) - 0.2129*'Temperature Profiles'!Q16 + 1.6904)*1000,0)</f>
        <v>427.5706388888878</v>
      </c>
      <c r="AA17" s="21"/>
      <c r="AB17" s="110">
        <v>0.125</v>
      </c>
      <c r="AC17" s="211">
        <f>IF('Temperature Profiles'!V16&gt;17,(0.0029*('Temperature Profiles'!V16^2) - 0.0863*'Temperature Profiles'!V16 + 0.6808)*1000,0)</f>
        <v>54.375999999999756</v>
      </c>
      <c r="AD17" s="110">
        <v>0.125</v>
      </c>
      <c r="AE17" s="211">
        <f>IF('Temperature Profiles'!V16&gt;17,(0.005*('Temperature Profiles'!V16^2) - 0.1517*'Temperature Profiles'!V16 + 1.1702)*1000,0)</f>
        <v>40.159999999999755</v>
      </c>
      <c r="AF17" s="110">
        <v>0.125</v>
      </c>
      <c r="AG17" s="211">
        <f>IF('Temperature Profiles'!V16&gt;17,(0.0068*('Temperature Profiles'!V16^2) - 0.2129*'Temperature Profiles'!V16 + 1.6904)*1000,0)</f>
        <v>40.231999999999601</v>
      </c>
      <c r="AH17" s="21"/>
      <c r="AI17" s="110">
        <v>0.125</v>
      </c>
      <c r="AJ17" s="211">
        <f>IF('Temperature Profiles'!AA16&gt;17,(0.0029*('Temperature Profiles'!AA16^2) - 0.0863*'Temperature Profiles'!AA16 + 0.6808)*1000,0)</f>
        <v>0</v>
      </c>
      <c r="AK17" s="110">
        <v>0.125</v>
      </c>
      <c r="AL17" s="211">
        <f>IF('Temperature Profiles'!AA16&gt;17,(0.005*('Temperature Profiles'!AA16^2) - 0.1517*'Temperature Profiles'!AA16 + 1.1701)*1000,0)</f>
        <v>0</v>
      </c>
      <c r="AM17" s="110">
        <v>0.125</v>
      </c>
      <c r="AN17" s="211">
        <f>IF('Temperature Profiles'!AA16&gt;17,(0.0068*('Temperature Profiles'!AA16^2) - 0.2129*'Temperature Profiles'!AA16 + 1.6904)*1000,0)</f>
        <v>0</v>
      </c>
      <c r="AO17" s="21"/>
      <c r="AP17" s="110">
        <v>0.125</v>
      </c>
      <c r="AQ17" s="211">
        <f>IF('Temperature Profiles'!AF16&gt;17,(0.0029*('Temperature Profiles'!AF16^2) - 0.0863*'Temperature Profiles'!AF16 + 0.6808)*1000,0)</f>
        <v>348.1550347222223</v>
      </c>
      <c r="AR17" s="110">
        <v>0.125</v>
      </c>
      <c r="AS17" s="183">
        <f>IF('Temperature Profiles'!AF16&gt;17,(0.005*('Temperature Profiles'!AF16^2) - 0.1517*'Temperature Profiles'!AF16 + 1.1702)*1000,0)</f>
        <v>523.39618055555582</v>
      </c>
      <c r="AT17" s="110">
        <v>0.125</v>
      </c>
      <c r="AU17" s="211">
        <f>IF('Temperature Profiles'!AF16&gt;17,(0.0068*('Temperature Profiles'!AF16^2) - 0.2129*'Temperature Profiles'!AF16 + 1.6904)*1000,0)</f>
        <v>644.67430555555575</v>
      </c>
      <c r="AV17" s="21"/>
      <c r="AW17" s="110">
        <v>0.125</v>
      </c>
      <c r="AX17" s="211"/>
      <c r="AY17" s="21"/>
      <c r="AZ17" s="110">
        <v>0.125</v>
      </c>
      <c r="BA17" s="264"/>
      <c r="BC17" s="260">
        <v>0.125</v>
      </c>
      <c r="BD17" s="211">
        <f>IF('Temperature Profiles'!G16&lt;16,(-0.0037*'Temperature Profiles'!G16+0.0664)*1000,0)</f>
        <v>31.157499999999992</v>
      </c>
      <c r="BE17" s="110">
        <v>0.125</v>
      </c>
      <c r="BF17" s="211">
        <f>IF('Temperature Profiles'!G16&lt;16,(-0.0076*'Temperature Profiles'!G16+0.1245)*1000,0)</f>
        <v>52.109999999999992</v>
      </c>
      <c r="BG17" s="110">
        <v>0.125</v>
      </c>
      <c r="BH17" s="211">
        <f>IF('Temperature Profiles'!G16&lt;16,(-0.01*'Temperature Profiles'!G16+0.167)*1000,0)</f>
        <v>71.749999999999986</v>
      </c>
      <c r="BI17" s="21"/>
      <c r="BJ17" s="110">
        <v>0.125</v>
      </c>
      <c r="BK17" s="211">
        <f>IF('Temperature Profiles'!L16&lt;16,(-0.0037*'Temperature Profiles'!L16+0.0664)*1000,0)</f>
        <v>0</v>
      </c>
      <c r="BL17" s="110">
        <v>0.125</v>
      </c>
      <c r="BM17" s="211">
        <f>IF('Temperature Profiles'!L16&lt;16,(-0.0076*'Temperature Profiles'!L16+0.1245)*1000,0)</f>
        <v>0</v>
      </c>
      <c r="BN17" s="110">
        <v>0.125</v>
      </c>
      <c r="BO17" s="211">
        <f>IF('Temperature Profiles'!L16&lt;16,(-0.01*'Temperature Profiles'!L16+0.167)*1000,0)</f>
        <v>0</v>
      </c>
      <c r="BP17" s="21"/>
      <c r="BQ17" s="110">
        <v>0.125</v>
      </c>
      <c r="BR17" s="211">
        <f>IF('Temperature Profiles'!Q16&lt;16,(-0.0037*'Temperature Profiles'!Q16+0.0664)*1000,0)</f>
        <v>0</v>
      </c>
      <c r="BS17" s="110">
        <v>0.125</v>
      </c>
      <c r="BT17" s="211">
        <f>IF('Temperature Profiles'!Q16&lt;16,(-0.0076*'Temperature Profiles'!Q16+0.1245)*1000,0)</f>
        <v>0</v>
      </c>
      <c r="BU17" s="110">
        <v>0.125</v>
      </c>
      <c r="BV17" s="211">
        <f>IF('Temperature Profiles'!Q16&lt;16,(-0.01*'Temperature Profiles'!Q16+0.167)*1000,0)</f>
        <v>0</v>
      </c>
      <c r="BW17" s="21"/>
      <c r="BX17" s="110">
        <v>0.125</v>
      </c>
      <c r="BY17" s="211">
        <f>IF('Temperature Profiles'!V16&lt;16,(-0.0037*'Temperature Profiles'!V16+0.0664)*1000,0)</f>
        <v>0</v>
      </c>
      <c r="BZ17" s="110">
        <v>0.125</v>
      </c>
      <c r="CA17" s="211">
        <f>IF('Temperature Profiles'!V16&lt;16,(-0.0076*'Temperature Profiles'!V16+0.1245)*1000,0)</f>
        <v>0</v>
      </c>
      <c r="CB17" s="110">
        <v>0.125</v>
      </c>
      <c r="CC17" s="211">
        <f>IF('Temperature Profiles'!V16&lt;16,(-0.01*'Temperature Profiles'!V16+0.167)*1000,0)</f>
        <v>0</v>
      </c>
      <c r="CD17" s="21"/>
      <c r="CE17" s="110">
        <v>0.125</v>
      </c>
      <c r="CF17" s="211">
        <f>IF('Temperature Profiles'!AA16&lt;16,(-0.0037*'Temperature Profiles'!AA16+0.0664)*1000,0)</f>
        <v>135.4975</v>
      </c>
      <c r="CG17" s="110">
        <v>0.125</v>
      </c>
      <c r="CH17" s="178">
        <f>IF('Temperature Profiles'!AA16&lt;16,(-0.0076*'Temperature Profiles'!AA16+0.1245)*1000,0)</f>
        <v>266.43</v>
      </c>
      <c r="CI17" s="110">
        <v>0.125</v>
      </c>
      <c r="CJ17" s="211">
        <f>IF('Temperature Profiles'!AA16&lt;16,(-0.01*'Temperature Profiles'!AA16+0.167)*1000,0)</f>
        <v>353.75</v>
      </c>
      <c r="CK17" s="21"/>
      <c r="CL17" s="110">
        <v>0.125</v>
      </c>
      <c r="CM17" s="211">
        <f>IF('Temperature Profiles'!AF16&lt;16,(-0.0037*'Temperature Profiles'!AF16+0.0664)*1000,0)</f>
        <v>0</v>
      </c>
      <c r="CN17" s="110">
        <v>0.125</v>
      </c>
      <c r="CO17" s="178">
        <f>IF('Temperature Profiles'!AF16&lt;16,(-0.0076*'Temperature Profiles'!AF16+0.1245)*1000,0)</f>
        <v>0</v>
      </c>
      <c r="CP17" s="110">
        <v>0.125</v>
      </c>
      <c r="CQ17" s="211">
        <f>IF('Temperature Profiles'!AF16&lt;16,(-0.01*'Temperature Profiles'!AF16+0.167)*1000,0)</f>
        <v>0</v>
      </c>
      <c r="CR17" s="21"/>
      <c r="CS17" s="110">
        <v>0.125</v>
      </c>
      <c r="CT17" s="211"/>
      <c r="CU17" s="21"/>
      <c r="CV17" s="110">
        <v>0.125</v>
      </c>
      <c r="CW17" s="264"/>
      <c r="CY17" s="260">
        <v>0.125</v>
      </c>
      <c r="CZ17" s="178">
        <f>IF('Temperature Profiles'!G16&gt;18,(0.0024*('Temperature Profiles'!G16^2)-0.0581*'Temperature Profiles'!G16+0.3293)*1000,IF('Temperature Profiles'!G16&lt;17,(0.0022*('Temperature Profiles'!G16^2)-0.0874*'Temperature Profiles'!G16+0.9301)*1000,0))</f>
        <v>297.21137499999992</v>
      </c>
      <c r="DA17" s="110">
        <v>0.125</v>
      </c>
      <c r="DB17" s="263">
        <f>IF('Temperature Profiles'!G16&gt;18,(0.0043*('Temperature Profiles'!G16^2)-0.1116*'Temperature Profiles'!G16+0.6576)*1000,IF('Temperature Profiles'!G16&lt;17,(0.0053*('Temperature Profiles'!G16^2)-0.1876*'Temperature Profiles'!G16+1.7649)*1000,0))</f>
        <v>458.85581249999973</v>
      </c>
      <c r="DC17" s="110">
        <v>0.125</v>
      </c>
      <c r="DD17" s="211">
        <f>IF('Temperature Profiles'!G16&gt;18,(0.0057*('Temperature Profiles'!G16^2)-0.1509*'Temperature Profiles'!G16+0.8935)*1000,IF('Temperature Profiles'!G16&lt;17,(0.0072*('Temperature Profiles'!G16^2)-0.254*'Temperature Profiles'!G16+2.3952)*1000,0))</f>
        <v>629.07449999999972</v>
      </c>
      <c r="DE17" s="21"/>
      <c r="DF17" s="110">
        <v>0.125</v>
      </c>
      <c r="DG17" s="209">
        <f>IF('Temperature Profiles'!L16&gt;18,(0.0024*('Temperature Profiles'!L16^2)-0.0581*'Temperature Profiles'!L16+0.3293)*1000,IF('Temperature Profiles'!L16&lt;17,(0.0022*('Temperature Profiles'!L16^2)-0.0874*'Temperature Profiles'!L16+0.9301)*1000,0))</f>
        <v>166.53399999999979</v>
      </c>
      <c r="DH17" s="110">
        <v>0.125</v>
      </c>
      <c r="DI17" s="209">
        <f>IF('Temperature Profiles'!L16&gt;18,(0.0043*('Temperature Profiles'!L16^2)-0.1116*'Temperature Profiles'!L16+0.6576)*1000,IF('Temperature Profiles'!L16&lt;17,(0.0053*('Temperature Profiles'!L16^2)-0.1876*'Temperature Profiles'!L16+1.7649)*1000,0))</f>
        <v>208.5776874999996</v>
      </c>
      <c r="DJ17" s="110">
        <v>0.125</v>
      </c>
      <c r="DK17" s="211">
        <f>IF('Temperature Profiles'!L16&gt;18,(0.0057*('Temperature Profiles'!L16^2)-0.1509*'Temperature Profiles'!L16+0.8935)*1000,IF('Temperature Profiles'!L16&lt;17,(0.0072*('Temperature Profiles'!L16^2)-0.254*'Temperature Profiles'!L16+2.3952)*1000,0))</f>
        <v>236.09106249999991</v>
      </c>
      <c r="DL17" s="21"/>
      <c r="DM17" s="110">
        <v>0.125</v>
      </c>
      <c r="DN17" s="209">
        <f>IF('Temperature Profiles'!Q16&gt;18,(0.0024*('Temperature Profiles'!Q16^2)-0.0581*'Temperature Profiles'!Q16+0.3293)*1000,IF('Temperature Profiles'!Q16&lt;17,(0.0022*('Temperature Profiles'!Q16^2)-0.0874*'Temperature Profiles'!Q16+0.9301)*1000,0))</f>
        <v>281.64899999999989</v>
      </c>
      <c r="DO17" s="110">
        <v>0.125</v>
      </c>
      <c r="DP17" s="209">
        <f>IF('Temperature Profiles'!Q16&gt;18,(0.0043*('Temperature Profiles'!Q16^2)-0.1116*'Temperature Profiles'!Q16+0.6576)*1000,IF('Temperature Profiles'!Q16&lt;17,(0.0053*('Temperature Profiles'!Q16^2)-0.1876*'Temperature Profiles'!Q16+1.7649)*1000,0))</f>
        <v>396.94046527777749</v>
      </c>
      <c r="DQ17" s="110">
        <v>0.125</v>
      </c>
      <c r="DR17" s="211">
        <f>IF('Temperature Profiles'!Q16&gt;18,(0.0057*('Temperature Profiles'!Q16^2)-0.1509*'Temperature Profiles'!Q16+0.8935)*1000,IF('Temperature Profiles'!Q16&lt;17,(0.0072*('Temperature Profiles'!Q16^2)-0.254*'Temperature Profiles'!Q16+2.3952)*1000,0))</f>
        <v>478.7143958333333</v>
      </c>
      <c r="DS17" s="21"/>
      <c r="DT17" s="110">
        <v>0.125</v>
      </c>
      <c r="DU17" s="209">
        <f>IF('Temperature Profiles'!V16&gt;18,(0.0024*('Temperature Profiles'!V16^2)-0.0581*'Temperature Profiles'!V16+0.3293)*1000,IF('Temperature Profiles'!V16&lt;17,(0.0022*('Temperature Profiles'!V16^2)-0.0874*'Temperature Profiles'!V16+0.9301)*1000,0))</f>
        <v>0</v>
      </c>
      <c r="DV17" s="110">
        <v>0.125</v>
      </c>
      <c r="DW17" s="209">
        <f>IF('Temperature Profiles'!V16&gt;18,(0.0043*('Temperature Profiles'!V16^2)-0.1116*'Temperature Profiles'!V16+0.6576)*1000,IF('Temperature Profiles'!V16&lt;17,(0.0053*('Temperature Profiles'!V16^2)-0.1876*'Temperature Profiles'!V16+1.7649)*1000,0))</f>
        <v>0</v>
      </c>
      <c r="DX17" s="110">
        <v>0.125</v>
      </c>
      <c r="DY17" s="211">
        <f>IF('Temperature Profiles'!V16&gt;18,(0.0057*('Temperature Profiles'!V16^2)-0.1509*'Temperature Profiles'!V16+0.8935)*1000,IF('Temperature Profiles'!V16&lt;17,(0.0072*('Temperature Profiles'!V16^2)-0.254*'Temperature Profiles'!V16+2.3952)*1000,0))</f>
        <v>0</v>
      </c>
      <c r="DZ17" s="21"/>
      <c r="EA17" s="110">
        <v>0.125</v>
      </c>
      <c r="EB17" s="209">
        <f>IF('Temperature Profiles'!AA115&gt;18,(0.0024*('Temperature Profiles'!AA115^2)-0.0581*'Temperature Profiles'!AA115+0.3293)*1000,IF('Temperature Profiles'!AA115&lt;17,(0.0022*('Temperature Profiles'!AA115^2)-0.0874*'Temperature Profiles'!AA115+0.9301)*1000,0))</f>
        <v>790.54444444444448</v>
      </c>
      <c r="EC17" s="110">
        <v>0.125</v>
      </c>
      <c r="ED17" s="209">
        <f>IF('Temperature Profiles'!AA115&gt;18,(0.0043*('Temperature Profiles'!AA115^2)-0.1116*'Temperature Profiles'!AA115+0.6576)*1000,IF('Temperature Profiles'!AA115&lt;17,(0.0053*('Temperature Profiles'!AA115^2)-0.1876*'Temperature Profiles'!AA115+1.7649)*1000,0))</f>
        <v>1466.9555555555555</v>
      </c>
      <c r="EE17" s="110">
        <v>0.125</v>
      </c>
      <c r="EF17" s="211">
        <f>IF('Temperature Profiles'!AA115&gt;18,(0.0057*('Temperature Profiles'!AA115^2)-0.1509*'Temperature Profiles'!AA115+0.8935)*1000,IF('Temperature Profiles'!AA115&lt;17,(0.0072*('Temperature Profiles'!AA115^2)-0.254*'Temperature Profiles'!AA115+2.3952)*1000,0))</f>
        <v>1991.8666666666668</v>
      </c>
      <c r="EG17" s="21"/>
      <c r="EH17" s="110">
        <v>0.125</v>
      </c>
      <c r="EI17" s="211">
        <f>IF('Temperature Profiles'!AF16&gt;18,(0.0024*('Temperature Profiles'!AF16^2)-0.0581*'Temperature Profiles'!AF16+0.3293)*1000,IF('Temperature Profiles'!AF16&lt;17,(0.0022*('Temperature Profiles'!AF16^2)-0.0874*'Temperature Profiles'!AF16+0.9301)*1000,0))</f>
        <v>389.80000000000018</v>
      </c>
      <c r="EJ17" s="110">
        <v>0.125</v>
      </c>
      <c r="EK17" s="211">
        <f>IF('Temperature Profiles'!AF16&gt;18,(0.0043*('Temperature Profiles'!AF16^2)-0.1116*'Temperature Profiles'!AF16+0.6576)*1000,IF('Temperature Profiles'!AF16&lt;17,(0.0053*('Temperature Profiles'!AF16^2)-0.1876*'Temperature Profiles'!AF16+1.7649)*1000,0))</f>
        <v>576.82829861111134</v>
      </c>
      <c r="EL17" s="110">
        <v>0.125</v>
      </c>
      <c r="EM17" s="211">
        <f>IF('Temperature Profiles'!AF16&gt;18,(0.0057*('Temperature Profiles'!AF16^2)-0.1509*'Temperature Profiles'!AF16+0.8935)*1000,IF('Temperature Profiles'!AF16&lt;17,(0.0072*('Temperature Profiles'!AF16^2)-0.254*'Temperature Profiles'!AF16+2.3952)*1000,0))</f>
        <v>711.68489583333371</v>
      </c>
      <c r="EN17" s="21"/>
      <c r="EO17" s="110">
        <v>0.125</v>
      </c>
      <c r="EP17" s="211"/>
      <c r="EQ17" s="21"/>
      <c r="ER17" s="110">
        <v>0.125</v>
      </c>
      <c r="ES17" s="264"/>
      <c r="EU17" s="260">
        <v>0.125</v>
      </c>
      <c r="EV17" s="209">
        <f>IF('Temperature Profiles'!AA115&gt;18,(0.0024*('Temperature Profiles'!AA115^2)-0.0581*'Temperature Profiles'!AA115+0.3293)*1000,IF('Temperature Profiles'!AA115&lt;17,(0.0022*('Temperature Profiles'!AA115^2)-0.0874*'Temperature Profiles'!AA115+0.9301)*1000,0))</f>
        <v>790.54444444444448</v>
      </c>
      <c r="EW17" s="110">
        <v>0.125</v>
      </c>
      <c r="EX17" s="209">
        <f>IF('Temperature Profiles'!AA115&gt;18,(0.0043*('Temperature Profiles'!AA115^2)-0.1116*'Temperature Profiles'!AA115+0.6576)*1000,IF('Temperature Profiles'!AA115&lt;17,(0.0053*('Temperature Profiles'!AA115^2)-0.1876*'Temperature Profiles'!AA115+1.7649)*1000,0))</f>
        <v>1466.9555555555555</v>
      </c>
      <c r="EY17" s="110">
        <v>0.125</v>
      </c>
      <c r="EZ17" s="264">
        <f>IF('Temperature Profiles'!AA115&gt;18,(0.0057*('Temperature Profiles'!AA115^2)-0.1509*'Temperature Profiles'!AA115+0.8935)*1000,IF('Temperature Profiles'!AA115&lt;17,(0.0072*('Temperature Profiles'!AA115^2)-0.254*'Temperature Profiles'!AA115+2.3952)*1000,0))</f>
        <v>1991.8666666666668</v>
      </c>
    </row>
    <row r="18" spans="1:156" x14ac:dyDescent="0.3">
      <c r="A18" s="108">
        <v>0.125</v>
      </c>
      <c r="B18" s="226">
        <f t="shared" si="0"/>
        <v>0</v>
      </c>
      <c r="C18" s="21">
        <f t="shared" si="1"/>
        <v>353.75</v>
      </c>
      <c r="D18" s="20">
        <f t="shared" si="2"/>
        <v>1991.8666666666668</v>
      </c>
      <c r="E18" s="20">
        <f t="shared" si="3"/>
        <v>1991.8666666666668</v>
      </c>
      <c r="G18" s="260">
        <v>0.13541666666666699</v>
      </c>
      <c r="H18" s="211">
        <f>IF('Temperature Profiles'!G17&gt;17,(0.0029*('Temperature Profiles'!G17^2) - 0.0863*'Temperature Profiles'!G17 + 0.6808)*1000,0)</f>
        <v>0</v>
      </c>
      <c r="I18" s="110">
        <v>0.13541666666666699</v>
      </c>
      <c r="J18" s="211">
        <f>IF('Temperature Profiles'!G17&gt;17,(0.005*('Temperature Profiles'!G17^2) - 0.1517*'Temperature Profiles'!G17 + 1.1702)*1000,0)</f>
        <v>0</v>
      </c>
      <c r="K18" s="110">
        <v>0.13541666666666699</v>
      </c>
      <c r="L18" s="211">
        <f>IF('Temperature Profiles'!G17&gt;17,(0.0068*('Temperature Profiles'!G17^2) - 0.2129*'Temperature Profiles'!G17 + 1.6904)*1000,0)</f>
        <v>0</v>
      </c>
      <c r="M18" s="21"/>
      <c r="N18" s="110">
        <v>0.13541666666666699</v>
      </c>
      <c r="O18" s="211">
        <f>IF('Temperature Profiles'!L17&gt;17,(0.0029*('Temperature Profiles'!L17^2) - 0.0863*'Temperature Profiles'!L17 + 0.6808)*1000,0)</f>
        <v>146.51431249999979</v>
      </c>
      <c r="P18" s="110">
        <v>0.13541666666666699</v>
      </c>
      <c r="Q18" s="211">
        <f>IF('Temperature Profiles'!L17&gt;17,(0.005*('Temperature Profiles'!L17^2) - 0.1517*'Temperature Profiles'!L17 + 1.1702)*1000,0)</f>
        <v>188.04562499999955</v>
      </c>
      <c r="R18" s="110">
        <v>0.13541666666666699</v>
      </c>
      <c r="S18" s="211">
        <f>IF('Temperature Profiles'!L17&gt;17,(0.0068*('Temperature Profiles'!L17^2) - 0.2129*'Temperature Profiles'!L17 + 1.6904)*1000,0)</f>
        <v>216.48674999999963</v>
      </c>
      <c r="T18" s="21"/>
      <c r="U18" s="110">
        <v>0.13541666666666699</v>
      </c>
      <c r="V18" s="211">
        <f>IF('Temperature Profiles'!Q17&gt;17,(0.0029*('Temperature Profiles'!Q17^2) - 0.0863*'Temperature Profiles'!Q17 + 0.6808)*1000,0)</f>
        <v>247.24986805555517</v>
      </c>
      <c r="W18" s="110">
        <v>0.13541666666666699</v>
      </c>
      <c r="X18" s="211">
        <f>IF('Temperature Profiles'!Q17&gt;17,(0.005*('Temperature Profiles'!Q17^2) - 0.1517*'Temperature Profiles'!Q17 + 1.1702)*1000,0)</f>
        <v>354.79951388888821</v>
      </c>
      <c r="Y18" s="110">
        <v>0.13541666666666699</v>
      </c>
      <c r="Z18" s="211">
        <f>IF('Temperature Profiles'!Q17&gt;17,(0.0068*('Temperature Profiles'!Q17^2) - 0.2129*'Temperature Profiles'!Q17 + 1.6904)*1000,0)</f>
        <v>427.5706388888878</v>
      </c>
      <c r="AA18" s="21"/>
      <c r="AB18" s="110">
        <v>0.13541666666666699</v>
      </c>
      <c r="AC18" s="211">
        <f>IF('Temperature Profiles'!V17&gt;17,(0.0029*('Temperature Profiles'!V17^2) - 0.0863*'Temperature Profiles'!V17 + 0.6808)*1000,0)</f>
        <v>54.375999999999756</v>
      </c>
      <c r="AD18" s="110">
        <v>0.13541666666666699</v>
      </c>
      <c r="AE18" s="211">
        <f>IF('Temperature Profiles'!V17&gt;17,(0.005*('Temperature Profiles'!V17^2) - 0.1517*'Temperature Profiles'!V17 + 1.1702)*1000,0)</f>
        <v>40.159999999999755</v>
      </c>
      <c r="AF18" s="110">
        <v>0.13541666666666699</v>
      </c>
      <c r="AG18" s="211">
        <f>IF('Temperature Profiles'!V17&gt;17,(0.0068*('Temperature Profiles'!V17^2) - 0.2129*'Temperature Profiles'!V17 + 1.6904)*1000,0)</f>
        <v>40.231999999999601</v>
      </c>
      <c r="AH18" s="21"/>
      <c r="AI18" s="110">
        <v>0.13541666666666699</v>
      </c>
      <c r="AJ18" s="211">
        <f>IF('Temperature Profiles'!AA17&gt;17,(0.0029*('Temperature Profiles'!AA17^2) - 0.0863*'Temperature Profiles'!AA17 + 0.6808)*1000,0)</f>
        <v>0</v>
      </c>
      <c r="AK18" s="110">
        <v>0.13541666666666699</v>
      </c>
      <c r="AL18" s="211">
        <f>IF('Temperature Profiles'!AA17&gt;17,(0.005*('Temperature Profiles'!AA17^2) - 0.1517*'Temperature Profiles'!AA17 + 1.1701)*1000,0)</f>
        <v>0</v>
      </c>
      <c r="AM18" s="110">
        <v>0.13541666666666699</v>
      </c>
      <c r="AN18" s="211">
        <f>IF('Temperature Profiles'!AA17&gt;17,(0.0068*('Temperature Profiles'!AA17^2) - 0.2129*'Temperature Profiles'!AA17 + 1.6904)*1000,0)</f>
        <v>0</v>
      </c>
      <c r="AO18" s="21"/>
      <c r="AP18" s="110">
        <v>0.13541666666666699</v>
      </c>
      <c r="AQ18" s="211">
        <f>IF('Temperature Profiles'!AF17&gt;17,(0.0029*('Temperature Profiles'!AF17^2) - 0.0863*'Temperature Profiles'!AF17 + 0.6808)*1000,0)</f>
        <v>348.1550347222223</v>
      </c>
      <c r="AR18" s="110">
        <v>0.13541666666666699</v>
      </c>
      <c r="AS18" s="183">
        <f>IF('Temperature Profiles'!AF17&gt;17,(0.005*('Temperature Profiles'!AF17^2) - 0.1517*'Temperature Profiles'!AF17 + 1.1702)*1000,0)</f>
        <v>523.39618055555582</v>
      </c>
      <c r="AT18" s="110">
        <v>0.13541666666666699</v>
      </c>
      <c r="AU18" s="211">
        <f>IF('Temperature Profiles'!AF17&gt;17,(0.0068*('Temperature Profiles'!AF17^2) - 0.2129*'Temperature Profiles'!AF17 + 1.6904)*1000,0)</f>
        <v>644.67430555555575</v>
      </c>
      <c r="AV18" s="21"/>
      <c r="AW18" s="110">
        <v>0.13541666666666699</v>
      </c>
      <c r="AX18" s="211"/>
      <c r="AY18" s="21"/>
      <c r="AZ18" s="110">
        <v>0.13541666666666699</v>
      </c>
      <c r="BA18" s="264"/>
      <c r="BC18" s="260">
        <v>0.13541666666666699</v>
      </c>
      <c r="BD18" s="211">
        <f>IF('Temperature Profiles'!G17&lt;16,(-0.0037*'Temperature Profiles'!G17+0.0664)*1000,0)</f>
        <v>31.157499999999992</v>
      </c>
      <c r="BE18" s="110">
        <v>0.13541666666666699</v>
      </c>
      <c r="BF18" s="211">
        <f>IF('Temperature Profiles'!G17&lt;16,(-0.0076*'Temperature Profiles'!G17+0.1245)*1000,0)</f>
        <v>52.109999999999992</v>
      </c>
      <c r="BG18" s="110">
        <v>0.13541666666666699</v>
      </c>
      <c r="BH18" s="211">
        <f>IF('Temperature Profiles'!G17&lt;16,(-0.01*'Temperature Profiles'!G17+0.167)*1000,0)</f>
        <v>71.749999999999986</v>
      </c>
      <c r="BI18" s="21"/>
      <c r="BJ18" s="110">
        <v>0.13541666666666699</v>
      </c>
      <c r="BK18" s="211">
        <f>IF('Temperature Profiles'!L17&lt;16,(-0.0037*'Temperature Profiles'!L17+0.0664)*1000,0)</f>
        <v>0</v>
      </c>
      <c r="BL18" s="110">
        <v>0.13541666666666699</v>
      </c>
      <c r="BM18" s="211">
        <f>IF('Temperature Profiles'!L17&lt;16,(-0.0076*'Temperature Profiles'!L17+0.1245)*1000,0)</f>
        <v>0</v>
      </c>
      <c r="BN18" s="110">
        <v>0.13541666666666699</v>
      </c>
      <c r="BO18" s="211">
        <f>IF('Temperature Profiles'!L17&lt;16,(-0.01*'Temperature Profiles'!L17+0.167)*1000,0)</f>
        <v>0</v>
      </c>
      <c r="BP18" s="21"/>
      <c r="BQ18" s="110">
        <v>0.13541666666666699</v>
      </c>
      <c r="BR18" s="211">
        <f>IF('Temperature Profiles'!Q17&lt;16,(-0.0037*'Temperature Profiles'!Q17+0.0664)*1000,0)</f>
        <v>0</v>
      </c>
      <c r="BS18" s="110">
        <v>0.13541666666666699</v>
      </c>
      <c r="BT18" s="211">
        <f>IF('Temperature Profiles'!Q17&lt;16,(-0.0076*'Temperature Profiles'!Q17+0.1245)*1000,0)</f>
        <v>0</v>
      </c>
      <c r="BU18" s="110">
        <v>0.13541666666666699</v>
      </c>
      <c r="BV18" s="211">
        <f>IF('Temperature Profiles'!Q17&lt;16,(-0.01*'Temperature Profiles'!Q17+0.167)*1000,0)</f>
        <v>0</v>
      </c>
      <c r="BW18" s="21"/>
      <c r="BX18" s="110">
        <v>0.13541666666666699</v>
      </c>
      <c r="BY18" s="211">
        <f>IF('Temperature Profiles'!V17&lt;16,(-0.0037*'Temperature Profiles'!V17+0.0664)*1000,0)</f>
        <v>0</v>
      </c>
      <c r="BZ18" s="110">
        <v>0.13541666666666699</v>
      </c>
      <c r="CA18" s="211">
        <f>IF('Temperature Profiles'!V17&lt;16,(-0.0076*'Temperature Profiles'!V17+0.1245)*1000,0)</f>
        <v>0</v>
      </c>
      <c r="CB18" s="110">
        <v>0.13541666666666699</v>
      </c>
      <c r="CC18" s="211">
        <f>IF('Temperature Profiles'!V17&lt;16,(-0.01*'Temperature Profiles'!V17+0.167)*1000,0)</f>
        <v>0</v>
      </c>
      <c r="CD18" s="21"/>
      <c r="CE18" s="110">
        <v>0.13541666666666699</v>
      </c>
      <c r="CF18" s="211">
        <f>IF('Temperature Profiles'!AA17&lt;16,(-0.0037*'Temperature Profiles'!AA17+0.0664)*1000,0)</f>
        <v>135.4975</v>
      </c>
      <c r="CG18" s="110">
        <v>0.13541666666666699</v>
      </c>
      <c r="CH18" s="178">
        <f>IF('Temperature Profiles'!AA17&lt;16,(-0.0076*'Temperature Profiles'!AA17+0.1245)*1000,0)</f>
        <v>266.43</v>
      </c>
      <c r="CI18" s="110">
        <v>0.13541666666666699</v>
      </c>
      <c r="CJ18" s="211">
        <f>IF('Temperature Profiles'!AA17&lt;16,(-0.01*'Temperature Profiles'!AA17+0.167)*1000,0)</f>
        <v>353.75</v>
      </c>
      <c r="CK18" s="21"/>
      <c r="CL18" s="110">
        <v>0.13541666666666699</v>
      </c>
      <c r="CM18" s="211">
        <f>IF('Temperature Profiles'!AF17&lt;16,(-0.0037*'Temperature Profiles'!AF17+0.0664)*1000,0)</f>
        <v>0</v>
      </c>
      <c r="CN18" s="110">
        <v>0.13541666666666699</v>
      </c>
      <c r="CO18" s="178">
        <f>IF('Temperature Profiles'!AF17&lt;16,(-0.0076*'Temperature Profiles'!AF17+0.1245)*1000,0)</f>
        <v>0</v>
      </c>
      <c r="CP18" s="110">
        <v>0.13541666666666699</v>
      </c>
      <c r="CQ18" s="211">
        <f>IF('Temperature Profiles'!AF17&lt;16,(-0.01*'Temperature Profiles'!AF17+0.167)*1000,0)</f>
        <v>0</v>
      </c>
      <c r="CR18" s="21"/>
      <c r="CS18" s="110">
        <v>0.13541666666666699</v>
      </c>
      <c r="CT18" s="211"/>
      <c r="CU18" s="21"/>
      <c r="CV18" s="110">
        <v>0.13541666666666699</v>
      </c>
      <c r="CW18" s="264"/>
      <c r="CY18" s="260">
        <v>0.13541666666666699</v>
      </c>
      <c r="CZ18" s="178">
        <f>IF('Temperature Profiles'!G17&gt;18,(0.0024*('Temperature Profiles'!G17^2)-0.0581*'Temperature Profiles'!G17+0.3293)*1000,IF('Temperature Profiles'!G17&lt;17,(0.0022*('Temperature Profiles'!G17^2)-0.0874*'Temperature Profiles'!G17+0.9301)*1000,0))</f>
        <v>297.21137499999992</v>
      </c>
      <c r="DA18" s="110">
        <v>0.13541666666666699</v>
      </c>
      <c r="DB18" s="263">
        <f>IF('Temperature Profiles'!G17&gt;18,(0.0043*('Temperature Profiles'!G17^2)-0.1116*'Temperature Profiles'!G17+0.6576)*1000,IF('Temperature Profiles'!G17&lt;17,(0.0053*('Temperature Profiles'!G17^2)-0.1876*'Temperature Profiles'!G17+1.7649)*1000,0))</f>
        <v>458.85581249999973</v>
      </c>
      <c r="DC18" s="110">
        <v>0.13541666666666699</v>
      </c>
      <c r="DD18" s="211">
        <f>IF('Temperature Profiles'!G17&gt;18,(0.0057*('Temperature Profiles'!G17^2)-0.1509*'Temperature Profiles'!G17+0.8935)*1000,IF('Temperature Profiles'!G17&lt;17,(0.0072*('Temperature Profiles'!G17^2)-0.254*'Temperature Profiles'!G17+2.3952)*1000,0))</f>
        <v>629.07449999999972</v>
      </c>
      <c r="DE18" s="21"/>
      <c r="DF18" s="110">
        <v>0.13541666666666699</v>
      </c>
      <c r="DG18" s="209">
        <f>IF('Temperature Profiles'!L17&gt;18,(0.0024*('Temperature Profiles'!L17^2)-0.0581*'Temperature Profiles'!L17+0.3293)*1000,IF('Temperature Profiles'!L17&lt;17,(0.0022*('Temperature Profiles'!L17^2)-0.0874*'Temperature Profiles'!L17+0.9301)*1000,0))</f>
        <v>166.53399999999979</v>
      </c>
      <c r="DH18" s="110">
        <v>0.13541666666666699</v>
      </c>
      <c r="DI18" s="209">
        <f>IF('Temperature Profiles'!L17&gt;18,(0.0043*('Temperature Profiles'!L17^2)-0.1116*'Temperature Profiles'!L17+0.6576)*1000,IF('Temperature Profiles'!L17&lt;17,(0.0053*('Temperature Profiles'!L17^2)-0.1876*'Temperature Profiles'!L17+1.7649)*1000,0))</f>
        <v>208.5776874999996</v>
      </c>
      <c r="DJ18" s="110">
        <v>0.13541666666666699</v>
      </c>
      <c r="DK18" s="211">
        <f>IF('Temperature Profiles'!L17&gt;18,(0.0057*('Temperature Profiles'!L17^2)-0.1509*'Temperature Profiles'!L17+0.8935)*1000,IF('Temperature Profiles'!L17&lt;17,(0.0072*('Temperature Profiles'!L17^2)-0.254*'Temperature Profiles'!L17+2.3952)*1000,0))</f>
        <v>236.09106249999991</v>
      </c>
      <c r="DL18" s="21"/>
      <c r="DM18" s="110">
        <v>0.13541666666666699</v>
      </c>
      <c r="DN18" s="209">
        <f>IF('Temperature Profiles'!Q17&gt;18,(0.0024*('Temperature Profiles'!Q17^2)-0.0581*'Temperature Profiles'!Q17+0.3293)*1000,IF('Temperature Profiles'!Q17&lt;17,(0.0022*('Temperature Profiles'!Q17^2)-0.0874*'Temperature Profiles'!Q17+0.9301)*1000,0))</f>
        <v>281.64899999999989</v>
      </c>
      <c r="DO18" s="110">
        <v>0.13541666666666699</v>
      </c>
      <c r="DP18" s="209">
        <f>IF('Temperature Profiles'!Q17&gt;18,(0.0043*('Temperature Profiles'!Q17^2)-0.1116*'Temperature Profiles'!Q17+0.6576)*1000,IF('Temperature Profiles'!Q17&lt;17,(0.0053*('Temperature Profiles'!Q17^2)-0.1876*'Temperature Profiles'!Q17+1.7649)*1000,0))</f>
        <v>396.94046527777749</v>
      </c>
      <c r="DQ18" s="110">
        <v>0.13541666666666699</v>
      </c>
      <c r="DR18" s="211">
        <f>IF('Temperature Profiles'!Q17&gt;18,(0.0057*('Temperature Profiles'!Q17^2)-0.1509*'Temperature Profiles'!Q17+0.8935)*1000,IF('Temperature Profiles'!Q17&lt;17,(0.0072*('Temperature Profiles'!Q17^2)-0.254*'Temperature Profiles'!Q17+2.3952)*1000,0))</f>
        <v>478.7143958333333</v>
      </c>
      <c r="DS18" s="21"/>
      <c r="DT18" s="110">
        <v>0.13541666666666699</v>
      </c>
      <c r="DU18" s="209">
        <f>IF('Temperature Profiles'!V17&gt;18,(0.0024*('Temperature Profiles'!V17^2)-0.0581*'Temperature Profiles'!V17+0.3293)*1000,IF('Temperature Profiles'!V17&lt;17,(0.0022*('Temperature Profiles'!V17^2)-0.0874*'Temperature Profiles'!V17+0.9301)*1000,0))</f>
        <v>0</v>
      </c>
      <c r="DV18" s="110">
        <v>0.13541666666666699</v>
      </c>
      <c r="DW18" s="209">
        <f>IF('Temperature Profiles'!V17&gt;18,(0.0043*('Temperature Profiles'!V17^2)-0.1116*'Temperature Profiles'!V17+0.6576)*1000,IF('Temperature Profiles'!V17&lt;17,(0.0053*('Temperature Profiles'!V17^2)-0.1876*'Temperature Profiles'!V17+1.7649)*1000,0))</f>
        <v>0</v>
      </c>
      <c r="DX18" s="110">
        <v>0.13541666666666699</v>
      </c>
      <c r="DY18" s="211">
        <f>IF('Temperature Profiles'!V17&gt;18,(0.0057*('Temperature Profiles'!V17^2)-0.1509*'Temperature Profiles'!V17+0.8935)*1000,IF('Temperature Profiles'!V17&lt;17,(0.0072*('Temperature Profiles'!V17^2)-0.254*'Temperature Profiles'!V17+2.3952)*1000,0))</f>
        <v>0</v>
      </c>
      <c r="DZ18" s="21"/>
      <c r="EA18" s="110">
        <v>0.13541666666666699</v>
      </c>
      <c r="EB18" s="209">
        <f>IF('Temperature Profiles'!AA116&gt;18,(0.0024*('Temperature Profiles'!AA116^2)-0.0581*'Temperature Profiles'!AA116+0.3293)*1000,IF('Temperature Profiles'!AA116&lt;17,(0.0022*('Temperature Profiles'!AA116^2)-0.0874*'Temperature Profiles'!AA116+0.9301)*1000,0))</f>
        <v>790.54444444444448</v>
      </c>
      <c r="EC18" s="110">
        <v>0.13541666666666699</v>
      </c>
      <c r="ED18" s="209">
        <f>IF('Temperature Profiles'!AA116&gt;18,(0.0043*('Temperature Profiles'!AA116^2)-0.1116*'Temperature Profiles'!AA116+0.6576)*1000,IF('Temperature Profiles'!AA116&lt;17,(0.0053*('Temperature Profiles'!AA116^2)-0.1876*'Temperature Profiles'!AA116+1.7649)*1000,0))</f>
        <v>1466.9555555555555</v>
      </c>
      <c r="EE18" s="110">
        <v>0.13541666666666699</v>
      </c>
      <c r="EF18" s="211">
        <f>IF('Temperature Profiles'!AA116&gt;18,(0.0057*('Temperature Profiles'!AA116^2)-0.1509*'Temperature Profiles'!AA116+0.8935)*1000,IF('Temperature Profiles'!AA116&lt;17,(0.0072*('Temperature Profiles'!AA116^2)-0.254*'Temperature Profiles'!AA116+2.3952)*1000,0))</f>
        <v>1991.8666666666668</v>
      </c>
      <c r="EG18" s="21"/>
      <c r="EH18" s="110">
        <v>0.13541666666666699</v>
      </c>
      <c r="EI18" s="211">
        <f>IF('Temperature Profiles'!AF17&gt;18,(0.0024*('Temperature Profiles'!AF17^2)-0.0581*'Temperature Profiles'!AF17+0.3293)*1000,IF('Temperature Profiles'!AF17&lt;17,(0.0022*('Temperature Profiles'!AF17^2)-0.0874*'Temperature Profiles'!AF17+0.9301)*1000,0))</f>
        <v>389.80000000000018</v>
      </c>
      <c r="EJ18" s="110">
        <v>0.13541666666666699</v>
      </c>
      <c r="EK18" s="211">
        <f>IF('Temperature Profiles'!AF17&gt;18,(0.0043*('Temperature Profiles'!AF17^2)-0.1116*'Temperature Profiles'!AF17+0.6576)*1000,IF('Temperature Profiles'!AF17&lt;17,(0.0053*('Temperature Profiles'!AF17^2)-0.1876*'Temperature Profiles'!AF17+1.7649)*1000,0))</f>
        <v>576.82829861111134</v>
      </c>
      <c r="EL18" s="110">
        <v>0.13541666666666699</v>
      </c>
      <c r="EM18" s="211">
        <f>IF('Temperature Profiles'!AF17&gt;18,(0.0057*('Temperature Profiles'!AF17^2)-0.1509*'Temperature Profiles'!AF17+0.8935)*1000,IF('Temperature Profiles'!AF17&lt;17,(0.0072*('Temperature Profiles'!AF17^2)-0.254*'Temperature Profiles'!AF17+2.3952)*1000,0))</f>
        <v>711.68489583333371</v>
      </c>
      <c r="EN18" s="21"/>
      <c r="EO18" s="110">
        <v>0.13541666666666699</v>
      </c>
      <c r="EP18" s="211"/>
      <c r="EQ18" s="21"/>
      <c r="ER18" s="110">
        <v>0.13541666666666699</v>
      </c>
      <c r="ES18" s="264"/>
      <c r="EU18" s="260">
        <v>0.13541666666666699</v>
      </c>
      <c r="EV18" s="209">
        <f>IF('Temperature Profiles'!AA116&gt;18,(0.0024*('Temperature Profiles'!AA116^2)-0.0581*'Temperature Profiles'!AA116+0.3293)*1000,IF('Temperature Profiles'!AA116&lt;17,(0.0022*('Temperature Profiles'!AA116^2)-0.0874*'Temperature Profiles'!AA116+0.9301)*1000,0))</f>
        <v>790.54444444444448</v>
      </c>
      <c r="EW18" s="110">
        <v>0.13541666666666699</v>
      </c>
      <c r="EX18" s="209">
        <f>IF('Temperature Profiles'!AA116&gt;18,(0.0043*('Temperature Profiles'!AA116^2)-0.1116*'Temperature Profiles'!AA116+0.6576)*1000,IF('Temperature Profiles'!AA116&lt;17,(0.0053*('Temperature Profiles'!AA116^2)-0.1876*'Temperature Profiles'!AA116+1.7649)*1000,0))</f>
        <v>1466.9555555555555</v>
      </c>
      <c r="EY18" s="110">
        <v>0.13541666666666699</v>
      </c>
      <c r="EZ18" s="264">
        <f>IF('Temperature Profiles'!AA116&gt;18,(0.0057*('Temperature Profiles'!AA116^2)-0.1509*'Temperature Profiles'!AA116+0.8935)*1000,IF('Temperature Profiles'!AA116&lt;17,(0.0072*('Temperature Profiles'!AA116^2)-0.254*'Temperature Profiles'!AA116+2.3952)*1000,0))</f>
        <v>1991.8666666666668</v>
      </c>
    </row>
    <row r="19" spans="1:156" x14ac:dyDescent="0.3">
      <c r="A19" s="108">
        <v>0.13541666666666699</v>
      </c>
      <c r="B19" s="226">
        <f t="shared" si="0"/>
        <v>0</v>
      </c>
      <c r="C19" s="21">
        <f t="shared" si="1"/>
        <v>353.75</v>
      </c>
      <c r="D19" s="20">
        <f t="shared" si="2"/>
        <v>1991.8666666666668</v>
      </c>
      <c r="E19" s="20">
        <f t="shared" si="3"/>
        <v>1991.8666666666668</v>
      </c>
      <c r="G19" s="260">
        <v>0.14583333333333301</v>
      </c>
      <c r="H19" s="211">
        <f>IF('Temperature Profiles'!G18&gt;17,(0.0029*('Temperature Profiles'!G18^2) - 0.0863*'Temperature Profiles'!G18 + 0.6808)*1000,0)</f>
        <v>0</v>
      </c>
      <c r="I19" s="110">
        <v>0.14583333333333301</v>
      </c>
      <c r="J19" s="211">
        <f>IF('Temperature Profiles'!G18&gt;17,(0.005*('Temperature Profiles'!G18^2) - 0.1517*'Temperature Profiles'!G18 + 1.1702)*1000,0)</f>
        <v>0</v>
      </c>
      <c r="K19" s="110">
        <v>0.14583333333333301</v>
      </c>
      <c r="L19" s="211">
        <f>IF('Temperature Profiles'!G18&gt;17,(0.0068*('Temperature Profiles'!G18^2) - 0.2129*'Temperature Profiles'!G18 + 1.6904)*1000,0)</f>
        <v>0</v>
      </c>
      <c r="M19" s="21"/>
      <c r="N19" s="110">
        <v>0.14583333333333301</v>
      </c>
      <c r="O19" s="211">
        <f>IF('Temperature Profiles'!L18&gt;17,(0.0029*('Temperature Profiles'!L18^2) - 0.0863*'Temperature Profiles'!L18 + 0.6808)*1000,0)</f>
        <v>146.51431249999979</v>
      </c>
      <c r="P19" s="110">
        <v>0.14583333333333301</v>
      </c>
      <c r="Q19" s="211">
        <f>IF('Temperature Profiles'!L18&gt;17,(0.005*('Temperature Profiles'!L18^2) - 0.1517*'Temperature Profiles'!L18 + 1.1702)*1000,0)</f>
        <v>188.04562499999955</v>
      </c>
      <c r="R19" s="110">
        <v>0.14583333333333301</v>
      </c>
      <c r="S19" s="211">
        <f>IF('Temperature Profiles'!L18&gt;17,(0.0068*('Temperature Profiles'!L18^2) - 0.2129*'Temperature Profiles'!L18 + 1.6904)*1000,0)</f>
        <v>216.48674999999963</v>
      </c>
      <c r="T19" s="21"/>
      <c r="U19" s="110">
        <v>0.14583333333333301</v>
      </c>
      <c r="V19" s="211">
        <f>IF('Temperature Profiles'!Q18&gt;17,(0.0029*('Temperature Profiles'!Q18^2) - 0.0863*'Temperature Profiles'!Q18 + 0.6808)*1000,0)</f>
        <v>247.24986805555517</v>
      </c>
      <c r="W19" s="110">
        <v>0.14583333333333301</v>
      </c>
      <c r="X19" s="211">
        <f>IF('Temperature Profiles'!Q18&gt;17,(0.005*('Temperature Profiles'!Q18^2) - 0.1517*'Temperature Profiles'!Q18 + 1.1702)*1000,0)</f>
        <v>354.79951388888821</v>
      </c>
      <c r="Y19" s="110">
        <v>0.14583333333333301</v>
      </c>
      <c r="Z19" s="211">
        <f>IF('Temperature Profiles'!Q18&gt;17,(0.0068*('Temperature Profiles'!Q18^2) - 0.2129*'Temperature Profiles'!Q18 + 1.6904)*1000,0)</f>
        <v>427.5706388888878</v>
      </c>
      <c r="AA19" s="21"/>
      <c r="AB19" s="110">
        <v>0.14583333333333301</v>
      </c>
      <c r="AC19" s="211">
        <f>IF('Temperature Profiles'!V18&gt;17,(0.0029*('Temperature Profiles'!V18^2) - 0.0863*'Temperature Profiles'!V18 + 0.6808)*1000,0)</f>
        <v>54.375999999999756</v>
      </c>
      <c r="AD19" s="110">
        <v>0.14583333333333301</v>
      </c>
      <c r="AE19" s="211">
        <f>IF('Temperature Profiles'!V18&gt;17,(0.005*('Temperature Profiles'!V18^2) - 0.1517*'Temperature Profiles'!V18 + 1.1702)*1000,0)</f>
        <v>40.159999999999755</v>
      </c>
      <c r="AF19" s="110">
        <v>0.14583333333333301</v>
      </c>
      <c r="AG19" s="211">
        <f>IF('Temperature Profiles'!V18&gt;17,(0.0068*('Temperature Profiles'!V18^2) - 0.2129*'Temperature Profiles'!V18 + 1.6904)*1000,0)</f>
        <v>40.231999999999601</v>
      </c>
      <c r="AH19" s="21"/>
      <c r="AI19" s="110">
        <v>0.14583333333333301</v>
      </c>
      <c r="AJ19" s="211">
        <f>IF('Temperature Profiles'!AA18&gt;17,(0.0029*('Temperature Profiles'!AA18^2) - 0.0863*'Temperature Profiles'!AA18 + 0.6808)*1000,0)</f>
        <v>0</v>
      </c>
      <c r="AK19" s="110">
        <v>0.14583333333333301</v>
      </c>
      <c r="AL19" s="211">
        <f>IF('Temperature Profiles'!AA18&gt;17,(0.005*('Temperature Profiles'!AA18^2) - 0.1517*'Temperature Profiles'!AA18 + 1.1701)*1000,0)</f>
        <v>0</v>
      </c>
      <c r="AM19" s="110">
        <v>0.14583333333333301</v>
      </c>
      <c r="AN19" s="211">
        <f>IF('Temperature Profiles'!AA18&gt;17,(0.0068*('Temperature Profiles'!AA18^2) - 0.2129*'Temperature Profiles'!AA18 + 1.6904)*1000,0)</f>
        <v>0</v>
      </c>
      <c r="AO19" s="21"/>
      <c r="AP19" s="110">
        <v>0.14583333333333301</v>
      </c>
      <c r="AQ19" s="211">
        <f>IF('Temperature Profiles'!AF18&gt;17,(0.0029*('Temperature Profiles'!AF18^2) - 0.0863*'Temperature Profiles'!AF18 + 0.6808)*1000,0)</f>
        <v>348.1550347222223</v>
      </c>
      <c r="AR19" s="110">
        <v>0.14583333333333301</v>
      </c>
      <c r="AS19" s="183">
        <f>IF('Temperature Profiles'!AF18&gt;17,(0.005*('Temperature Profiles'!AF18^2) - 0.1517*'Temperature Profiles'!AF18 + 1.1702)*1000,0)</f>
        <v>523.39618055555582</v>
      </c>
      <c r="AT19" s="110">
        <v>0.14583333333333301</v>
      </c>
      <c r="AU19" s="211">
        <f>IF('Temperature Profiles'!AF18&gt;17,(0.0068*('Temperature Profiles'!AF18^2) - 0.2129*'Temperature Profiles'!AF18 + 1.6904)*1000,0)</f>
        <v>644.67430555555575</v>
      </c>
      <c r="AV19" s="21"/>
      <c r="AW19" s="110">
        <v>0.14583333333333301</v>
      </c>
      <c r="AX19" s="211"/>
      <c r="AY19" s="21"/>
      <c r="AZ19" s="110">
        <v>0.14583333333333301</v>
      </c>
      <c r="BA19" s="264"/>
      <c r="BC19" s="260">
        <v>0.14583333333333301</v>
      </c>
      <c r="BD19" s="211">
        <f>IF('Temperature Profiles'!G18&lt;16,(-0.0037*'Temperature Profiles'!G18+0.0664)*1000,0)</f>
        <v>31.157499999999992</v>
      </c>
      <c r="BE19" s="110">
        <v>0.14583333333333301</v>
      </c>
      <c r="BF19" s="211">
        <f>IF('Temperature Profiles'!G18&lt;16,(-0.0076*'Temperature Profiles'!G18+0.1245)*1000,0)</f>
        <v>52.109999999999992</v>
      </c>
      <c r="BG19" s="110">
        <v>0.14583333333333301</v>
      </c>
      <c r="BH19" s="211">
        <f>IF('Temperature Profiles'!G18&lt;16,(-0.01*'Temperature Profiles'!G18+0.167)*1000,0)</f>
        <v>71.749999999999986</v>
      </c>
      <c r="BI19" s="21"/>
      <c r="BJ19" s="110">
        <v>0.14583333333333301</v>
      </c>
      <c r="BK19" s="211">
        <f>IF('Temperature Profiles'!L18&lt;16,(-0.0037*'Temperature Profiles'!L18+0.0664)*1000,0)</f>
        <v>0</v>
      </c>
      <c r="BL19" s="110">
        <v>0.14583333333333301</v>
      </c>
      <c r="BM19" s="211">
        <f>IF('Temperature Profiles'!L18&lt;16,(-0.0076*'Temperature Profiles'!L18+0.1245)*1000,0)</f>
        <v>0</v>
      </c>
      <c r="BN19" s="110">
        <v>0.14583333333333301</v>
      </c>
      <c r="BO19" s="211">
        <f>IF('Temperature Profiles'!L18&lt;16,(-0.01*'Temperature Profiles'!L18+0.167)*1000,0)</f>
        <v>0</v>
      </c>
      <c r="BP19" s="21"/>
      <c r="BQ19" s="110">
        <v>0.14583333333333301</v>
      </c>
      <c r="BR19" s="211">
        <f>IF('Temperature Profiles'!Q18&lt;16,(-0.0037*'Temperature Profiles'!Q18+0.0664)*1000,0)</f>
        <v>0</v>
      </c>
      <c r="BS19" s="110">
        <v>0.14583333333333301</v>
      </c>
      <c r="BT19" s="211">
        <f>IF('Temperature Profiles'!Q18&lt;16,(-0.0076*'Temperature Profiles'!Q18+0.1245)*1000,0)</f>
        <v>0</v>
      </c>
      <c r="BU19" s="110">
        <v>0.14583333333333301</v>
      </c>
      <c r="BV19" s="211">
        <f>IF('Temperature Profiles'!Q18&lt;16,(-0.01*'Temperature Profiles'!Q18+0.167)*1000,0)</f>
        <v>0</v>
      </c>
      <c r="BW19" s="21"/>
      <c r="BX19" s="110">
        <v>0.14583333333333301</v>
      </c>
      <c r="BY19" s="211">
        <f>IF('Temperature Profiles'!V18&lt;16,(-0.0037*'Temperature Profiles'!V18+0.0664)*1000,0)</f>
        <v>0</v>
      </c>
      <c r="BZ19" s="110">
        <v>0.14583333333333301</v>
      </c>
      <c r="CA19" s="211">
        <f>IF('Temperature Profiles'!V18&lt;16,(-0.0076*'Temperature Profiles'!V18+0.1245)*1000,0)</f>
        <v>0</v>
      </c>
      <c r="CB19" s="110">
        <v>0.14583333333333301</v>
      </c>
      <c r="CC19" s="211">
        <f>IF('Temperature Profiles'!V18&lt;16,(-0.01*'Temperature Profiles'!V18+0.167)*1000,0)</f>
        <v>0</v>
      </c>
      <c r="CD19" s="21"/>
      <c r="CE19" s="110">
        <v>0.14583333333333301</v>
      </c>
      <c r="CF19" s="211">
        <f>IF('Temperature Profiles'!AA18&lt;16,(-0.0037*'Temperature Profiles'!AA18+0.0664)*1000,0)</f>
        <v>135.4975</v>
      </c>
      <c r="CG19" s="110">
        <v>0.14583333333333301</v>
      </c>
      <c r="CH19" s="178">
        <f>IF('Temperature Profiles'!AA18&lt;16,(-0.0076*'Temperature Profiles'!AA18+0.1245)*1000,0)</f>
        <v>266.43</v>
      </c>
      <c r="CI19" s="110">
        <v>0.14583333333333301</v>
      </c>
      <c r="CJ19" s="211">
        <f>IF('Temperature Profiles'!AA18&lt;16,(-0.01*'Temperature Profiles'!AA18+0.167)*1000,0)</f>
        <v>353.75</v>
      </c>
      <c r="CK19" s="21"/>
      <c r="CL19" s="110">
        <v>0.14583333333333301</v>
      </c>
      <c r="CM19" s="211">
        <f>IF('Temperature Profiles'!AF18&lt;16,(-0.0037*'Temperature Profiles'!AF18+0.0664)*1000,0)</f>
        <v>0</v>
      </c>
      <c r="CN19" s="110">
        <v>0.14583333333333301</v>
      </c>
      <c r="CO19" s="178">
        <f>IF('Temperature Profiles'!AF18&lt;16,(-0.0076*'Temperature Profiles'!AF18+0.1245)*1000,0)</f>
        <v>0</v>
      </c>
      <c r="CP19" s="110">
        <v>0.14583333333333301</v>
      </c>
      <c r="CQ19" s="211">
        <f>IF('Temperature Profiles'!AF18&lt;16,(-0.01*'Temperature Profiles'!AF18+0.167)*1000,0)</f>
        <v>0</v>
      </c>
      <c r="CR19" s="21"/>
      <c r="CS19" s="110">
        <v>0.14583333333333301</v>
      </c>
      <c r="CT19" s="211"/>
      <c r="CU19" s="21"/>
      <c r="CV19" s="110">
        <v>0.14583333333333301</v>
      </c>
      <c r="CW19" s="264"/>
      <c r="CY19" s="260">
        <v>0.14583333333333301</v>
      </c>
      <c r="CZ19" s="178">
        <f>IF('Temperature Profiles'!G18&gt;18,(0.0024*('Temperature Profiles'!G18^2)-0.0581*'Temperature Profiles'!G18+0.3293)*1000,IF('Temperature Profiles'!G18&lt;17,(0.0022*('Temperature Profiles'!G18^2)-0.0874*'Temperature Profiles'!G18+0.9301)*1000,0))</f>
        <v>297.21137499999992</v>
      </c>
      <c r="DA19" s="110">
        <v>0.14583333333333301</v>
      </c>
      <c r="DB19" s="263">
        <f>IF('Temperature Profiles'!G18&gt;18,(0.0043*('Temperature Profiles'!G18^2)-0.1116*'Temperature Profiles'!G18+0.6576)*1000,IF('Temperature Profiles'!G18&lt;17,(0.0053*('Temperature Profiles'!G18^2)-0.1876*'Temperature Profiles'!G18+1.7649)*1000,0))</f>
        <v>458.85581249999973</v>
      </c>
      <c r="DC19" s="110">
        <v>0.14583333333333301</v>
      </c>
      <c r="DD19" s="211">
        <f>IF('Temperature Profiles'!G18&gt;18,(0.0057*('Temperature Profiles'!G18^2)-0.1509*'Temperature Profiles'!G18+0.8935)*1000,IF('Temperature Profiles'!G18&lt;17,(0.0072*('Temperature Profiles'!G18^2)-0.254*'Temperature Profiles'!G18+2.3952)*1000,0))</f>
        <v>629.07449999999972</v>
      </c>
      <c r="DE19" s="21"/>
      <c r="DF19" s="110">
        <v>0.14583333333333301</v>
      </c>
      <c r="DG19" s="209">
        <f>IF('Temperature Profiles'!L18&gt;18,(0.0024*('Temperature Profiles'!L18^2)-0.0581*'Temperature Profiles'!L18+0.3293)*1000,IF('Temperature Profiles'!L18&lt;17,(0.0022*('Temperature Profiles'!L18^2)-0.0874*'Temperature Profiles'!L18+0.9301)*1000,0))</f>
        <v>166.53399999999979</v>
      </c>
      <c r="DH19" s="110">
        <v>0.14583333333333301</v>
      </c>
      <c r="DI19" s="209">
        <f>IF('Temperature Profiles'!L18&gt;18,(0.0043*('Temperature Profiles'!L18^2)-0.1116*'Temperature Profiles'!L18+0.6576)*1000,IF('Temperature Profiles'!L18&lt;17,(0.0053*('Temperature Profiles'!L18^2)-0.1876*'Temperature Profiles'!L18+1.7649)*1000,0))</f>
        <v>208.5776874999996</v>
      </c>
      <c r="DJ19" s="110">
        <v>0.14583333333333301</v>
      </c>
      <c r="DK19" s="211">
        <f>IF('Temperature Profiles'!L18&gt;18,(0.0057*('Temperature Profiles'!L18^2)-0.1509*'Temperature Profiles'!L18+0.8935)*1000,IF('Temperature Profiles'!L18&lt;17,(0.0072*('Temperature Profiles'!L18^2)-0.254*'Temperature Profiles'!L18+2.3952)*1000,0))</f>
        <v>236.09106249999991</v>
      </c>
      <c r="DL19" s="21"/>
      <c r="DM19" s="110">
        <v>0.14583333333333301</v>
      </c>
      <c r="DN19" s="209">
        <f>IF('Temperature Profiles'!Q18&gt;18,(0.0024*('Temperature Profiles'!Q18^2)-0.0581*'Temperature Profiles'!Q18+0.3293)*1000,IF('Temperature Profiles'!Q18&lt;17,(0.0022*('Temperature Profiles'!Q18^2)-0.0874*'Temperature Profiles'!Q18+0.9301)*1000,0))</f>
        <v>281.64899999999989</v>
      </c>
      <c r="DO19" s="110">
        <v>0.14583333333333301</v>
      </c>
      <c r="DP19" s="209">
        <f>IF('Temperature Profiles'!Q18&gt;18,(0.0043*('Temperature Profiles'!Q18^2)-0.1116*'Temperature Profiles'!Q18+0.6576)*1000,IF('Temperature Profiles'!Q18&lt;17,(0.0053*('Temperature Profiles'!Q18^2)-0.1876*'Temperature Profiles'!Q18+1.7649)*1000,0))</f>
        <v>396.94046527777749</v>
      </c>
      <c r="DQ19" s="110">
        <v>0.14583333333333301</v>
      </c>
      <c r="DR19" s="211">
        <f>IF('Temperature Profiles'!Q18&gt;18,(0.0057*('Temperature Profiles'!Q18^2)-0.1509*'Temperature Profiles'!Q18+0.8935)*1000,IF('Temperature Profiles'!Q18&lt;17,(0.0072*('Temperature Profiles'!Q18^2)-0.254*'Temperature Profiles'!Q18+2.3952)*1000,0))</f>
        <v>478.7143958333333</v>
      </c>
      <c r="DS19" s="21"/>
      <c r="DT19" s="110">
        <v>0.14583333333333301</v>
      </c>
      <c r="DU19" s="209">
        <f>IF('Temperature Profiles'!V18&gt;18,(0.0024*('Temperature Profiles'!V18^2)-0.0581*'Temperature Profiles'!V18+0.3293)*1000,IF('Temperature Profiles'!V18&lt;17,(0.0022*('Temperature Profiles'!V18^2)-0.0874*'Temperature Profiles'!V18+0.9301)*1000,0))</f>
        <v>0</v>
      </c>
      <c r="DV19" s="110">
        <v>0.14583333333333301</v>
      </c>
      <c r="DW19" s="209">
        <f>IF('Temperature Profiles'!V18&gt;18,(0.0043*('Temperature Profiles'!V18^2)-0.1116*'Temperature Profiles'!V18+0.6576)*1000,IF('Temperature Profiles'!V18&lt;17,(0.0053*('Temperature Profiles'!V18^2)-0.1876*'Temperature Profiles'!V18+1.7649)*1000,0))</f>
        <v>0</v>
      </c>
      <c r="DX19" s="110">
        <v>0.14583333333333301</v>
      </c>
      <c r="DY19" s="211">
        <f>IF('Temperature Profiles'!V18&gt;18,(0.0057*('Temperature Profiles'!V18^2)-0.1509*'Temperature Profiles'!V18+0.8935)*1000,IF('Temperature Profiles'!V18&lt;17,(0.0072*('Temperature Profiles'!V18^2)-0.254*'Temperature Profiles'!V18+2.3952)*1000,0))</f>
        <v>0</v>
      </c>
      <c r="DZ19" s="21"/>
      <c r="EA19" s="110">
        <v>0.14583333333333301</v>
      </c>
      <c r="EB19" s="209">
        <f>IF('Temperature Profiles'!AA117&gt;18,(0.0024*('Temperature Profiles'!AA117^2)-0.0581*'Temperature Profiles'!AA117+0.3293)*1000,IF('Temperature Profiles'!AA117&lt;17,(0.0022*('Temperature Profiles'!AA117^2)-0.0874*'Temperature Profiles'!AA117+0.9301)*1000,0))</f>
        <v>790.54444444444448</v>
      </c>
      <c r="EC19" s="110">
        <v>0.14583333333333301</v>
      </c>
      <c r="ED19" s="209">
        <f>IF('Temperature Profiles'!AA117&gt;18,(0.0043*('Temperature Profiles'!AA117^2)-0.1116*'Temperature Profiles'!AA117+0.6576)*1000,IF('Temperature Profiles'!AA117&lt;17,(0.0053*('Temperature Profiles'!AA117^2)-0.1876*'Temperature Profiles'!AA117+1.7649)*1000,0))</f>
        <v>1466.9555555555555</v>
      </c>
      <c r="EE19" s="110">
        <v>0.14583333333333301</v>
      </c>
      <c r="EF19" s="211">
        <f>IF('Temperature Profiles'!AA117&gt;18,(0.0057*('Temperature Profiles'!AA117^2)-0.1509*'Temperature Profiles'!AA117+0.8935)*1000,IF('Temperature Profiles'!AA117&lt;17,(0.0072*('Temperature Profiles'!AA117^2)-0.254*'Temperature Profiles'!AA117+2.3952)*1000,0))</f>
        <v>1991.8666666666668</v>
      </c>
      <c r="EG19" s="21"/>
      <c r="EH19" s="110">
        <v>0.14583333333333301</v>
      </c>
      <c r="EI19" s="211">
        <f>IF('Temperature Profiles'!AF18&gt;18,(0.0024*('Temperature Profiles'!AF18^2)-0.0581*'Temperature Profiles'!AF18+0.3293)*1000,IF('Temperature Profiles'!AF18&lt;17,(0.0022*('Temperature Profiles'!AF18^2)-0.0874*'Temperature Profiles'!AF18+0.9301)*1000,0))</f>
        <v>389.80000000000018</v>
      </c>
      <c r="EJ19" s="110">
        <v>0.14583333333333301</v>
      </c>
      <c r="EK19" s="211">
        <f>IF('Temperature Profiles'!AF18&gt;18,(0.0043*('Temperature Profiles'!AF18^2)-0.1116*'Temperature Profiles'!AF18+0.6576)*1000,IF('Temperature Profiles'!AF18&lt;17,(0.0053*('Temperature Profiles'!AF18^2)-0.1876*'Temperature Profiles'!AF18+1.7649)*1000,0))</f>
        <v>576.82829861111134</v>
      </c>
      <c r="EL19" s="110">
        <v>0.14583333333333301</v>
      </c>
      <c r="EM19" s="211">
        <f>IF('Temperature Profiles'!AF18&gt;18,(0.0057*('Temperature Profiles'!AF18^2)-0.1509*'Temperature Profiles'!AF18+0.8935)*1000,IF('Temperature Profiles'!AF18&lt;17,(0.0072*('Temperature Profiles'!AF18^2)-0.254*'Temperature Profiles'!AF18+2.3952)*1000,0))</f>
        <v>711.68489583333371</v>
      </c>
      <c r="EN19" s="21"/>
      <c r="EO19" s="110">
        <v>0.14583333333333301</v>
      </c>
      <c r="EP19" s="211"/>
      <c r="EQ19" s="21"/>
      <c r="ER19" s="110">
        <v>0.14583333333333301</v>
      </c>
      <c r="ES19" s="264"/>
      <c r="EU19" s="260">
        <v>0.14583333333333301</v>
      </c>
      <c r="EV19" s="209">
        <f>IF('Temperature Profiles'!AA117&gt;18,(0.0024*('Temperature Profiles'!AA117^2)-0.0581*'Temperature Profiles'!AA117+0.3293)*1000,IF('Temperature Profiles'!AA117&lt;17,(0.0022*('Temperature Profiles'!AA117^2)-0.0874*'Temperature Profiles'!AA117+0.9301)*1000,0))</f>
        <v>790.54444444444448</v>
      </c>
      <c r="EW19" s="110">
        <v>0.14583333333333301</v>
      </c>
      <c r="EX19" s="209">
        <f>IF('Temperature Profiles'!AA117&gt;18,(0.0043*('Temperature Profiles'!AA117^2)-0.1116*'Temperature Profiles'!AA117+0.6576)*1000,IF('Temperature Profiles'!AA117&lt;17,(0.0053*('Temperature Profiles'!AA117^2)-0.1876*'Temperature Profiles'!AA117+1.7649)*1000,0))</f>
        <v>1466.9555555555555</v>
      </c>
      <c r="EY19" s="110">
        <v>0.14583333333333301</v>
      </c>
      <c r="EZ19" s="264">
        <f>IF('Temperature Profiles'!AA117&gt;18,(0.0057*('Temperature Profiles'!AA117^2)-0.1509*'Temperature Profiles'!AA117+0.8935)*1000,IF('Temperature Profiles'!AA117&lt;17,(0.0072*('Temperature Profiles'!AA117^2)-0.254*'Temperature Profiles'!AA117+2.3952)*1000,0))</f>
        <v>1991.8666666666668</v>
      </c>
    </row>
    <row r="20" spans="1:156" x14ac:dyDescent="0.3">
      <c r="A20" s="108">
        <v>0.14583333333333301</v>
      </c>
      <c r="B20" s="226">
        <f t="shared" si="0"/>
        <v>0</v>
      </c>
      <c r="C20" s="21">
        <f t="shared" si="1"/>
        <v>353.75</v>
      </c>
      <c r="D20" s="20">
        <f t="shared" si="2"/>
        <v>1991.8666666666668</v>
      </c>
      <c r="E20" s="20">
        <f t="shared" si="3"/>
        <v>1991.8666666666668</v>
      </c>
      <c r="G20" s="260">
        <v>0.15625</v>
      </c>
      <c r="H20" s="211">
        <f>IF('Temperature Profiles'!G19&gt;17,(0.0029*('Temperature Profiles'!G19^2) - 0.0863*'Temperature Profiles'!G19 + 0.6808)*1000,0)</f>
        <v>0</v>
      </c>
      <c r="I20" s="110">
        <v>0.15625</v>
      </c>
      <c r="J20" s="211">
        <f>IF('Temperature Profiles'!G19&gt;17,(0.005*('Temperature Profiles'!G19^2) - 0.1517*'Temperature Profiles'!G19 + 1.1702)*1000,0)</f>
        <v>0</v>
      </c>
      <c r="K20" s="110">
        <v>0.15625</v>
      </c>
      <c r="L20" s="211">
        <f>IF('Temperature Profiles'!G19&gt;17,(0.0068*('Temperature Profiles'!G19^2) - 0.2129*'Temperature Profiles'!G19 + 1.6904)*1000,0)</f>
        <v>0</v>
      </c>
      <c r="M20" s="21"/>
      <c r="N20" s="110">
        <v>0.15625</v>
      </c>
      <c r="O20" s="211">
        <f>IF('Temperature Profiles'!L19&gt;17,(0.0029*('Temperature Profiles'!L19^2) - 0.0863*'Temperature Profiles'!L19 + 0.6808)*1000,0)</f>
        <v>146.51431249999979</v>
      </c>
      <c r="P20" s="110">
        <v>0.15625</v>
      </c>
      <c r="Q20" s="211">
        <f>IF('Temperature Profiles'!L19&gt;17,(0.005*('Temperature Profiles'!L19^2) - 0.1517*'Temperature Profiles'!L19 + 1.1702)*1000,0)</f>
        <v>188.04562499999955</v>
      </c>
      <c r="R20" s="110">
        <v>0.15625</v>
      </c>
      <c r="S20" s="211">
        <f>IF('Temperature Profiles'!L19&gt;17,(0.0068*('Temperature Profiles'!L19^2) - 0.2129*'Temperature Profiles'!L19 + 1.6904)*1000,0)</f>
        <v>216.48674999999963</v>
      </c>
      <c r="T20" s="21"/>
      <c r="U20" s="110">
        <v>0.15625</v>
      </c>
      <c r="V20" s="211">
        <f>IF('Temperature Profiles'!Q19&gt;17,(0.0029*('Temperature Profiles'!Q19^2) - 0.0863*'Temperature Profiles'!Q19 + 0.6808)*1000,0)</f>
        <v>247.24986805555517</v>
      </c>
      <c r="W20" s="110">
        <v>0.15625</v>
      </c>
      <c r="X20" s="211">
        <f>IF('Temperature Profiles'!Q19&gt;17,(0.005*('Temperature Profiles'!Q19^2) - 0.1517*'Temperature Profiles'!Q19 + 1.1702)*1000,0)</f>
        <v>354.79951388888821</v>
      </c>
      <c r="Y20" s="110">
        <v>0.15625</v>
      </c>
      <c r="Z20" s="211">
        <f>IF('Temperature Profiles'!Q19&gt;17,(0.0068*('Temperature Profiles'!Q19^2) - 0.2129*'Temperature Profiles'!Q19 + 1.6904)*1000,0)</f>
        <v>427.5706388888878</v>
      </c>
      <c r="AA20" s="21"/>
      <c r="AB20" s="110">
        <v>0.15625</v>
      </c>
      <c r="AC20" s="211">
        <f>IF('Temperature Profiles'!V19&gt;17,(0.0029*('Temperature Profiles'!V19^2) - 0.0863*'Temperature Profiles'!V19 + 0.6808)*1000,0)</f>
        <v>54.375999999999756</v>
      </c>
      <c r="AD20" s="110">
        <v>0.15625</v>
      </c>
      <c r="AE20" s="211">
        <f>IF('Temperature Profiles'!V19&gt;17,(0.005*('Temperature Profiles'!V19^2) - 0.1517*'Temperature Profiles'!V19 + 1.1702)*1000,0)</f>
        <v>40.159999999999755</v>
      </c>
      <c r="AF20" s="110">
        <v>0.15625</v>
      </c>
      <c r="AG20" s="211">
        <f>IF('Temperature Profiles'!V19&gt;17,(0.0068*('Temperature Profiles'!V19^2) - 0.2129*'Temperature Profiles'!V19 + 1.6904)*1000,0)</f>
        <v>40.231999999999601</v>
      </c>
      <c r="AH20" s="21"/>
      <c r="AI20" s="110">
        <v>0.15625</v>
      </c>
      <c r="AJ20" s="211">
        <f>IF('Temperature Profiles'!AA19&gt;17,(0.0029*('Temperature Profiles'!AA19^2) - 0.0863*'Temperature Profiles'!AA19 + 0.6808)*1000,0)</f>
        <v>0</v>
      </c>
      <c r="AK20" s="110">
        <v>0.15625</v>
      </c>
      <c r="AL20" s="211">
        <f>IF('Temperature Profiles'!AA19&gt;17,(0.005*('Temperature Profiles'!AA19^2) - 0.1517*'Temperature Profiles'!AA19 + 1.1701)*1000,0)</f>
        <v>0</v>
      </c>
      <c r="AM20" s="110">
        <v>0.15625</v>
      </c>
      <c r="AN20" s="211">
        <f>IF('Temperature Profiles'!AA19&gt;17,(0.0068*('Temperature Profiles'!AA19^2) - 0.2129*'Temperature Profiles'!AA19 + 1.6904)*1000,0)</f>
        <v>0</v>
      </c>
      <c r="AO20" s="21"/>
      <c r="AP20" s="110">
        <v>0.15625</v>
      </c>
      <c r="AQ20" s="211">
        <f>IF('Temperature Profiles'!AF19&gt;17,(0.0029*('Temperature Profiles'!AF19^2) - 0.0863*'Temperature Profiles'!AF19 + 0.6808)*1000,0)</f>
        <v>348.1550347222223</v>
      </c>
      <c r="AR20" s="110">
        <v>0.15625</v>
      </c>
      <c r="AS20" s="183">
        <f>IF('Temperature Profiles'!AF19&gt;17,(0.005*('Temperature Profiles'!AF19^2) - 0.1517*'Temperature Profiles'!AF19 + 1.1702)*1000,0)</f>
        <v>523.39618055555582</v>
      </c>
      <c r="AT20" s="110">
        <v>0.15625</v>
      </c>
      <c r="AU20" s="211">
        <f>IF('Temperature Profiles'!AF19&gt;17,(0.0068*('Temperature Profiles'!AF19^2) - 0.2129*'Temperature Profiles'!AF19 + 1.6904)*1000,0)</f>
        <v>644.67430555555575</v>
      </c>
      <c r="AV20" s="21"/>
      <c r="AW20" s="110">
        <v>0.15625</v>
      </c>
      <c r="AX20" s="211"/>
      <c r="AY20" s="21"/>
      <c r="AZ20" s="110">
        <v>0.15625</v>
      </c>
      <c r="BA20" s="264"/>
      <c r="BC20" s="260">
        <v>0.15625</v>
      </c>
      <c r="BD20" s="211">
        <f>IF('Temperature Profiles'!G19&lt;16,(-0.0037*'Temperature Profiles'!G19+0.0664)*1000,0)</f>
        <v>31.157499999999992</v>
      </c>
      <c r="BE20" s="110">
        <v>0.15625</v>
      </c>
      <c r="BF20" s="211">
        <f>IF('Temperature Profiles'!G19&lt;16,(-0.0076*'Temperature Profiles'!G19+0.1245)*1000,0)</f>
        <v>52.109999999999992</v>
      </c>
      <c r="BG20" s="110">
        <v>0.15625</v>
      </c>
      <c r="BH20" s="211">
        <f>IF('Temperature Profiles'!G19&lt;16,(-0.01*'Temperature Profiles'!G19+0.167)*1000,0)</f>
        <v>71.749999999999986</v>
      </c>
      <c r="BI20" s="21"/>
      <c r="BJ20" s="110">
        <v>0.15625</v>
      </c>
      <c r="BK20" s="211">
        <f>IF('Temperature Profiles'!L19&lt;16,(-0.0037*'Temperature Profiles'!L19+0.0664)*1000,0)</f>
        <v>0</v>
      </c>
      <c r="BL20" s="110">
        <v>0.15625</v>
      </c>
      <c r="BM20" s="211">
        <f>IF('Temperature Profiles'!L19&lt;16,(-0.0076*'Temperature Profiles'!L19+0.1245)*1000,0)</f>
        <v>0</v>
      </c>
      <c r="BN20" s="110">
        <v>0.15625</v>
      </c>
      <c r="BO20" s="211">
        <f>IF('Temperature Profiles'!L19&lt;16,(-0.01*'Temperature Profiles'!L19+0.167)*1000,0)</f>
        <v>0</v>
      </c>
      <c r="BP20" s="21"/>
      <c r="BQ20" s="110">
        <v>0.15625</v>
      </c>
      <c r="BR20" s="211">
        <f>IF('Temperature Profiles'!Q19&lt;16,(-0.0037*'Temperature Profiles'!Q19+0.0664)*1000,0)</f>
        <v>0</v>
      </c>
      <c r="BS20" s="110">
        <v>0.15625</v>
      </c>
      <c r="BT20" s="211">
        <f>IF('Temperature Profiles'!Q19&lt;16,(-0.0076*'Temperature Profiles'!Q19+0.1245)*1000,0)</f>
        <v>0</v>
      </c>
      <c r="BU20" s="110">
        <v>0.15625</v>
      </c>
      <c r="BV20" s="211">
        <f>IF('Temperature Profiles'!Q19&lt;16,(-0.01*'Temperature Profiles'!Q19+0.167)*1000,0)</f>
        <v>0</v>
      </c>
      <c r="BW20" s="21"/>
      <c r="BX20" s="110">
        <v>0.15625</v>
      </c>
      <c r="BY20" s="211">
        <f>IF('Temperature Profiles'!V19&lt;16,(-0.0037*'Temperature Profiles'!V19+0.0664)*1000,0)</f>
        <v>0</v>
      </c>
      <c r="BZ20" s="110">
        <v>0.15625</v>
      </c>
      <c r="CA20" s="211">
        <f>IF('Temperature Profiles'!V19&lt;16,(-0.0076*'Temperature Profiles'!V19+0.1245)*1000,0)</f>
        <v>0</v>
      </c>
      <c r="CB20" s="110">
        <v>0.15625</v>
      </c>
      <c r="CC20" s="211">
        <f>IF('Temperature Profiles'!V19&lt;16,(-0.01*'Temperature Profiles'!V19+0.167)*1000,0)</f>
        <v>0</v>
      </c>
      <c r="CD20" s="21"/>
      <c r="CE20" s="110">
        <v>0.15625</v>
      </c>
      <c r="CF20" s="211">
        <f>IF('Temperature Profiles'!AA19&lt;16,(-0.0037*'Temperature Profiles'!AA19+0.0664)*1000,0)</f>
        <v>135.4975</v>
      </c>
      <c r="CG20" s="110">
        <v>0.15625</v>
      </c>
      <c r="CH20" s="178">
        <f>IF('Temperature Profiles'!AA19&lt;16,(-0.0076*'Temperature Profiles'!AA19+0.1245)*1000,0)</f>
        <v>266.43</v>
      </c>
      <c r="CI20" s="110">
        <v>0.15625</v>
      </c>
      <c r="CJ20" s="211">
        <f>IF('Temperature Profiles'!AA19&lt;16,(-0.01*'Temperature Profiles'!AA19+0.167)*1000,0)</f>
        <v>353.75</v>
      </c>
      <c r="CK20" s="21"/>
      <c r="CL20" s="110">
        <v>0.15625</v>
      </c>
      <c r="CM20" s="211">
        <f>IF('Temperature Profiles'!AF19&lt;16,(-0.0037*'Temperature Profiles'!AF19+0.0664)*1000,0)</f>
        <v>0</v>
      </c>
      <c r="CN20" s="110">
        <v>0.15625</v>
      </c>
      <c r="CO20" s="178">
        <f>IF('Temperature Profiles'!AF19&lt;16,(-0.0076*'Temperature Profiles'!AF19+0.1245)*1000,0)</f>
        <v>0</v>
      </c>
      <c r="CP20" s="110">
        <v>0.15625</v>
      </c>
      <c r="CQ20" s="211">
        <f>IF('Temperature Profiles'!AF19&lt;16,(-0.01*'Temperature Profiles'!AF19+0.167)*1000,0)</f>
        <v>0</v>
      </c>
      <c r="CR20" s="21"/>
      <c r="CS20" s="110">
        <v>0.15625</v>
      </c>
      <c r="CT20" s="211"/>
      <c r="CU20" s="21"/>
      <c r="CV20" s="110">
        <v>0.15625</v>
      </c>
      <c r="CW20" s="264"/>
      <c r="CY20" s="260">
        <v>0.15625</v>
      </c>
      <c r="CZ20" s="178">
        <f>IF('Temperature Profiles'!G19&gt;18,(0.0024*('Temperature Profiles'!G19^2)-0.0581*'Temperature Profiles'!G19+0.3293)*1000,IF('Temperature Profiles'!G19&lt;17,(0.0022*('Temperature Profiles'!G19^2)-0.0874*'Temperature Profiles'!G19+0.9301)*1000,0))</f>
        <v>297.21137499999992</v>
      </c>
      <c r="DA20" s="110">
        <v>0.15625</v>
      </c>
      <c r="DB20" s="263">
        <f>IF('Temperature Profiles'!G19&gt;18,(0.0043*('Temperature Profiles'!G19^2)-0.1116*'Temperature Profiles'!G19+0.6576)*1000,IF('Temperature Profiles'!G19&lt;17,(0.0053*('Temperature Profiles'!G19^2)-0.1876*'Temperature Profiles'!G19+1.7649)*1000,0))</f>
        <v>458.85581249999973</v>
      </c>
      <c r="DC20" s="110">
        <v>0.15625</v>
      </c>
      <c r="DD20" s="211">
        <f>IF('Temperature Profiles'!G19&gt;18,(0.0057*('Temperature Profiles'!G19^2)-0.1509*'Temperature Profiles'!G19+0.8935)*1000,IF('Temperature Profiles'!G19&lt;17,(0.0072*('Temperature Profiles'!G19^2)-0.254*'Temperature Profiles'!G19+2.3952)*1000,0))</f>
        <v>629.07449999999972</v>
      </c>
      <c r="DE20" s="21"/>
      <c r="DF20" s="110">
        <v>0.15625</v>
      </c>
      <c r="DG20" s="209">
        <f>IF('Temperature Profiles'!L19&gt;18,(0.0024*('Temperature Profiles'!L19^2)-0.0581*'Temperature Profiles'!L19+0.3293)*1000,IF('Temperature Profiles'!L19&lt;17,(0.0022*('Temperature Profiles'!L19^2)-0.0874*'Temperature Profiles'!L19+0.9301)*1000,0))</f>
        <v>166.53399999999979</v>
      </c>
      <c r="DH20" s="110">
        <v>0.15625</v>
      </c>
      <c r="DI20" s="209">
        <f>IF('Temperature Profiles'!L19&gt;18,(0.0043*('Temperature Profiles'!L19^2)-0.1116*'Temperature Profiles'!L19+0.6576)*1000,IF('Temperature Profiles'!L19&lt;17,(0.0053*('Temperature Profiles'!L19^2)-0.1876*'Temperature Profiles'!L19+1.7649)*1000,0))</f>
        <v>208.5776874999996</v>
      </c>
      <c r="DJ20" s="110">
        <v>0.15625</v>
      </c>
      <c r="DK20" s="211">
        <f>IF('Temperature Profiles'!L19&gt;18,(0.0057*('Temperature Profiles'!L19^2)-0.1509*'Temperature Profiles'!L19+0.8935)*1000,IF('Temperature Profiles'!L19&lt;17,(0.0072*('Temperature Profiles'!L19^2)-0.254*'Temperature Profiles'!L19+2.3952)*1000,0))</f>
        <v>236.09106249999991</v>
      </c>
      <c r="DL20" s="21"/>
      <c r="DM20" s="110">
        <v>0.15625</v>
      </c>
      <c r="DN20" s="209">
        <f>IF('Temperature Profiles'!Q19&gt;18,(0.0024*('Temperature Profiles'!Q19^2)-0.0581*'Temperature Profiles'!Q19+0.3293)*1000,IF('Temperature Profiles'!Q19&lt;17,(0.0022*('Temperature Profiles'!Q19^2)-0.0874*'Temperature Profiles'!Q19+0.9301)*1000,0))</f>
        <v>281.64899999999989</v>
      </c>
      <c r="DO20" s="110">
        <v>0.15625</v>
      </c>
      <c r="DP20" s="209">
        <f>IF('Temperature Profiles'!Q19&gt;18,(0.0043*('Temperature Profiles'!Q19^2)-0.1116*'Temperature Profiles'!Q19+0.6576)*1000,IF('Temperature Profiles'!Q19&lt;17,(0.0053*('Temperature Profiles'!Q19^2)-0.1876*'Temperature Profiles'!Q19+1.7649)*1000,0))</f>
        <v>396.94046527777749</v>
      </c>
      <c r="DQ20" s="110">
        <v>0.15625</v>
      </c>
      <c r="DR20" s="211">
        <f>IF('Temperature Profiles'!Q19&gt;18,(0.0057*('Temperature Profiles'!Q19^2)-0.1509*'Temperature Profiles'!Q19+0.8935)*1000,IF('Temperature Profiles'!Q19&lt;17,(0.0072*('Temperature Profiles'!Q19^2)-0.254*'Temperature Profiles'!Q19+2.3952)*1000,0))</f>
        <v>478.7143958333333</v>
      </c>
      <c r="DS20" s="21"/>
      <c r="DT20" s="110">
        <v>0.15625</v>
      </c>
      <c r="DU20" s="209">
        <f>IF('Temperature Profiles'!V19&gt;18,(0.0024*('Temperature Profiles'!V19^2)-0.0581*'Temperature Profiles'!V19+0.3293)*1000,IF('Temperature Profiles'!V19&lt;17,(0.0022*('Temperature Profiles'!V19^2)-0.0874*'Temperature Profiles'!V19+0.9301)*1000,0))</f>
        <v>0</v>
      </c>
      <c r="DV20" s="110">
        <v>0.15625</v>
      </c>
      <c r="DW20" s="209">
        <f>IF('Temperature Profiles'!V19&gt;18,(0.0043*('Temperature Profiles'!V19^2)-0.1116*'Temperature Profiles'!V19+0.6576)*1000,IF('Temperature Profiles'!V19&lt;17,(0.0053*('Temperature Profiles'!V19^2)-0.1876*'Temperature Profiles'!V19+1.7649)*1000,0))</f>
        <v>0</v>
      </c>
      <c r="DX20" s="110">
        <v>0.15625</v>
      </c>
      <c r="DY20" s="211">
        <f>IF('Temperature Profiles'!V19&gt;18,(0.0057*('Temperature Profiles'!V19^2)-0.1509*'Temperature Profiles'!V19+0.8935)*1000,IF('Temperature Profiles'!V19&lt;17,(0.0072*('Temperature Profiles'!V19^2)-0.254*'Temperature Profiles'!V19+2.3952)*1000,0))</f>
        <v>0</v>
      </c>
      <c r="DZ20" s="21"/>
      <c r="EA20" s="110">
        <v>0.15625</v>
      </c>
      <c r="EB20" s="209">
        <f>IF('Temperature Profiles'!AA118&gt;18,(0.0024*('Temperature Profiles'!AA118^2)-0.0581*'Temperature Profiles'!AA118+0.3293)*1000,IF('Temperature Profiles'!AA118&lt;17,(0.0022*('Temperature Profiles'!AA118^2)-0.0874*'Temperature Profiles'!AA118+0.9301)*1000,0))</f>
        <v>790.54444444444448</v>
      </c>
      <c r="EC20" s="110">
        <v>0.15625</v>
      </c>
      <c r="ED20" s="209">
        <f>IF('Temperature Profiles'!AA118&gt;18,(0.0043*('Temperature Profiles'!AA118^2)-0.1116*'Temperature Profiles'!AA118+0.6576)*1000,IF('Temperature Profiles'!AA118&lt;17,(0.0053*('Temperature Profiles'!AA118^2)-0.1876*'Temperature Profiles'!AA118+1.7649)*1000,0))</f>
        <v>1466.9555555555555</v>
      </c>
      <c r="EE20" s="110">
        <v>0.15625</v>
      </c>
      <c r="EF20" s="211">
        <f>IF('Temperature Profiles'!AA118&gt;18,(0.0057*('Temperature Profiles'!AA118^2)-0.1509*'Temperature Profiles'!AA118+0.8935)*1000,IF('Temperature Profiles'!AA118&lt;17,(0.0072*('Temperature Profiles'!AA118^2)-0.254*'Temperature Profiles'!AA118+2.3952)*1000,0))</f>
        <v>1991.8666666666668</v>
      </c>
      <c r="EG20" s="21"/>
      <c r="EH20" s="110">
        <v>0.15625</v>
      </c>
      <c r="EI20" s="211">
        <f>IF('Temperature Profiles'!AF19&gt;18,(0.0024*('Temperature Profiles'!AF19^2)-0.0581*'Temperature Profiles'!AF19+0.3293)*1000,IF('Temperature Profiles'!AF19&lt;17,(0.0022*('Temperature Profiles'!AF19^2)-0.0874*'Temperature Profiles'!AF19+0.9301)*1000,0))</f>
        <v>389.80000000000018</v>
      </c>
      <c r="EJ20" s="110">
        <v>0.15625</v>
      </c>
      <c r="EK20" s="211">
        <f>IF('Temperature Profiles'!AF19&gt;18,(0.0043*('Temperature Profiles'!AF19^2)-0.1116*'Temperature Profiles'!AF19+0.6576)*1000,IF('Temperature Profiles'!AF19&lt;17,(0.0053*('Temperature Profiles'!AF19^2)-0.1876*'Temperature Profiles'!AF19+1.7649)*1000,0))</f>
        <v>576.82829861111134</v>
      </c>
      <c r="EL20" s="110">
        <v>0.15625</v>
      </c>
      <c r="EM20" s="211">
        <f>IF('Temperature Profiles'!AF19&gt;18,(0.0057*('Temperature Profiles'!AF19^2)-0.1509*'Temperature Profiles'!AF19+0.8935)*1000,IF('Temperature Profiles'!AF19&lt;17,(0.0072*('Temperature Profiles'!AF19^2)-0.254*'Temperature Profiles'!AF19+2.3952)*1000,0))</f>
        <v>711.68489583333371</v>
      </c>
      <c r="EN20" s="21"/>
      <c r="EO20" s="110">
        <v>0.15625</v>
      </c>
      <c r="EP20" s="211"/>
      <c r="EQ20" s="21"/>
      <c r="ER20" s="110">
        <v>0.15625</v>
      </c>
      <c r="ES20" s="264"/>
      <c r="EU20" s="260">
        <v>0.15625</v>
      </c>
      <c r="EV20" s="209">
        <f>IF('Temperature Profiles'!AA118&gt;18,(0.0024*('Temperature Profiles'!AA118^2)-0.0581*'Temperature Profiles'!AA118+0.3293)*1000,IF('Temperature Profiles'!AA118&lt;17,(0.0022*('Temperature Profiles'!AA118^2)-0.0874*'Temperature Profiles'!AA118+0.9301)*1000,0))</f>
        <v>790.54444444444448</v>
      </c>
      <c r="EW20" s="110">
        <v>0.15625</v>
      </c>
      <c r="EX20" s="209">
        <f>IF('Temperature Profiles'!AA118&gt;18,(0.0043*('Temperature Profiles'!AA118^2)-0.1116*'Temperature Profiles'!AA118+0.6576)*1000,IF('Temperature Profiles'!AA118&lt;17,(0.0053*('Temperature Profiles'!AA118^2)-0.1876*'Temperature Profiles'!AA118+1.7649)*1000,0))</f>
        <v>1466.9555555555555</v>
      </c>
      <c r="EY20" s="110">
        <v>0.15625</v>
      </c>
      <c r="EZ20" s="264">
        <f>IF('Temperature Profiles'!AA118&gt;18,(0.0057*('Temperature Profiles'!AA118^2)-0.1509*'Temperature Profiles'!AA118+0.8935)*1000,IF('Temperature Profiles'!AA118&lt;17,(0.0072*('Temperature Profiles'!AA118^2)-0.254*'Temperature Profiles'!AA118+2.3952)*1000,0))</f>
        <v>1991.8666666666668</v>
      </c>
    </row>
    <row r="21" spans="1:156" x14ac:dyDescent="0.3">
      <c r="A21" s="108">
        <v>0.15625</v>
      </c>
      <c r="B21" s="226">
        <f t="shared" si="0"/>
        <v>0</v>
      </c>
      <c r="C21" s="21">
        <f t="shared" si="1"/>
        <v>353.75</v>
      </c>
      <c r="D21" s="20">
        <f t="shared" si="2"/>
        <v>1991.8666666666668</v>
      </c>
      <c r="E21" s="20">
        <f t="shared" si="3"/>
        <v>1991.8666666666668</v>
      </c>
      <c r="G21" s="260">
        <v>0.16666666666666699</v>
      </c>
      <c r="H21" s="211">
        <f>IF('Temperature Profiles'!G20&gt;17,(0.0029*('Temperature Profiles'!G20^2) - 0.0863*'Temperature Profiles'!G20 + 0.6808)*1000,0)</f>
        <v>0</v>
      </c>
      <c r="I21" s="110">
        <v>0.16666666666666699</v>
      </c>
      <c r="J21" s="211">
        <f>IF('Temperature Profiles'!G20&gt;17,(0.005*('Temperature Profiles'!G20^2) - 0.1517*'Temperature Profiles'!G20 + 1.1702)*1000,0)</f>
        <v>0</v>
      </c>
      <c r="K21" s="110">
        <v>0.16666666666666699</v>
      </c>
      <c r="L21" s="211">
        <f>IF('Temperature Profiles'!G20&gt;17,(0.0068*('Temperature Profiles'!G20^2) - 0.2129*'Temperature Profiles'!G20 + 1.6904)*1000,0)</f>
        <v>0</v>
      </c>
      <c r="M21" s="21"/>
      <c r="N21" s="110">
        <v>0.16666666666666699</v>
      </c>
      <c r="O21" s="211">
        <f>IF('Temperature Profiles'!L20&gt;17,(0.0029*('Temperature Profiles'!L20^2) - 0.0863*'Temperature Profiles'!L20 + 0.6808)*1000,0)</f>
        <v>148.88420138888881</v>
      </c>
      <c r="P21" s="110">
        <v>0.16666666666666699</v>
      </c>
      <c r="Q21" s="211">
        <f>IF('Temperature Profiles'!L20&gt;17,(0.005*('Temperature Profiles'!L20^2) - 0.1517*'Temperature Profiles'!L20 + 1.1702)*1000,0)</f>
        <v>191.93784722222196</v>
      </c>
      <c r="R21" s="110">
        <v>0.16666666666666699</v>
      </c>
      <c r="S21" s="211">
        <f>IF('Temperature Profiles'!L20&gt;17,(0.0068*('Temperature Profiles'!L20^2) - 0.2129*'Temperature Profiles'!L20 + 1.6904)*1000,0)</f>
        <v>221.3409722222215</v>
      </c>
      <c r="T21" s="21"/>
      <c r="U21" s="110">
        <v>0.16666666666666699</v>
      </c>
      <c r="V21" s="211">
        <f>IF('Temperature Profiles'!Q20&gt;17,(0.0029*('Temperature Profiles'!Q20^2) - 0.0863*'Temperature Profiles'!Q20 + 0.6808)*1000,0)</f>
        <v>263.9648680555552</v>
      </c>
      <c r="W21" s="110">
        <v>0.16666666666666699</v>
      </c>
      <c r="X21" s="211">
        <f>IF('Temperature Profiles'!Q20&gt;17,(0.005*('Temperature Profiles'!Q20^2) - 0.1517*'Temperature Profiles'!Q20 + 1.1702)*1000,0)</f>
        <v>382.64951388888858</v>
      </c>
      <c r="Y21" s="110">
        <v>0.16666666666666699</v>
      </c>
      <c r="Z21" s="211">
        <f>IF('Temperature Profiles'!Q20&gt;17,(0.0068*('Temperature Profiles'!Q20^2) - 0.2129*'Temperature Profiles'!Q20 + 1.6904)*1000,0)</f>
        <v>463.25063888888798</v>
      </c>
      <c r="AA21" s="21"/>
      <c r="AB21" s="110">
        <v>0.16666666666666699</v>
      </c>
      <c r="AC21" s="211">
        <f>IF('Temperature Profiles'!V20&gt;17,(0.0029*('Temperature Profiles'!V20^2) - 0.0863*'Temperature Profiles'!V20 + 0.6808)*1000,0)</f>
        <v>54.375999999999756</v>
      </c>
      <c r="AD21" s="110">
        <v>0.16666666666666699</v>
      </c>
      <c r="AE21" s="211">
        <f>IF('Temperature Profiles'!V20&gt;17,(0.005*('Temperature Profiles'!V20^2) - 0.1517*'Temperature Profiles'!V20 + 1.1702)*1000,0)</f>
        <v>40.159999999999755</v>
      </c>
      <c r="AF21" s="110">
        <v>0.16666666666666699</v>
      </c>
      <c r="AG21" s="211">
        <f>IF('Temperature Profiles'!V20&gt;17,(0.0068*('Temperature Profiles'!V20^2) - 0.2129*'Temperature Profiles'!V20 + 1.6904)*1000,0)</f>
        <v>40.231999999999601</v>
      </c>
      <c r="AH21" s="21"/>
      <c r="AI21" s="110">
        <v>0.16666666666666699</v>
      </c>
      <c r="AJ21" s="211">
        <f>IF('Temperature Profiles'!AA20&gt;17,(0.0029*('Temperature Profiles'!AA20^2) - 0.0863*'Temperature Profiles'!AA20 + 0.6808)*1000,0)</f>
        <v>0</v>
      </c>
      <c r="AK21" s="110">
        <v>0.16666666666666699</v>
      </c>
      <c r="AL21" s="211">
        <f>IF('Temperature Profiles'!AA20&gt;17,(0.005*('Temperature Profiles'!AA20^2) - 0.1517*'Temperature Profiles'!AA20 + 1.1701)*1000,0)</f>
        <v>0</v>
      </c>
      <c r="AM21" s="110">
        <v>0.16666666666666699</v>
      </c>
      <c r="AN21" s="211">
        <f>IF('Temperature Profiles'!AA20&gt;17,(0.0068*('Temperature Profiles'!AA20^2) - 0.2129*'Temperature Profiles'!AA20 + 1.6904)*1000,0)</f>
        <v>0</v>
      </c>
      <c r="AO21" s="21"/>
      <c r="AP21" s="110">
        <v>0.16666666666666699</v>
      </c>
      <c r="AQ21" s="211">
        <f>IF('Temperature Profiles'!AF20&gt;17,(0.0029*('Temperature Profiles'!AF20^2) - 0.0863*'Temperature Profiles'!AF20 + 0.6808)*1000,0)</f>
        <v>335.79999999999956</v>
      </c>
      <c r="AR21" s="110">
        <v>0.16666666666666699</v>
      </c>
      <c r="AS21" s="183">
        <f>IF('Temperature Profiles'!AF20&gt;17,(0.005*('Temperature Profiles'!AF20^2) - 0.1517*'Temperature Profiles'!AF20 + 1.1702)*1000,0)</f>
        <v>502.69999999999993</v>
      </c>
      <c r="AT21" s="110">
        <v>0.16666666666666699</v>
      </c>
      <c r="AU21" s="211">
        <f>IF('Temperature Profiles'!AF20&gt;17,(0.0068*('Temperature Profiles'!AF20^2) - 0.2129*'Temperature Profiles'!AF20 + 1.6904)*1000,0)</f>
        <v>617.90000000000009</v>
      </c>
      <c r="AV21" s="21"/>
      <c r="AW21" s="110">
        <v>0.16666666666666699</v>
      </c>
      <c r="AX21" s="211"/>
      <c r="AY21" s="21"/>
      <c r="AZ21" s="110">
        <v>0.16666666666666699</v>
      </c>
      <c r="BA21" s="264"/>
      <c r="BC21" s="260">
        <v>0.16666666666666699</v>
      </c>
      <c r="BD21" s="211">
        <f>IF('Temperature Profiles'!G20&lt;16,(-0.0037*'Temperature Profiles'!G20+0.0664)*1000,0)</f>
        <v>24.68249999999999</v>
      </c>
      <c r="BE21" s="110">
        <v>0.16666666666666699</v>
      </c>
      <c r="BF21" s="211">
        <f>IF('Temperature Profiles'!G20&lt;16,(-0.0076*'Temperature Profiles'!G20+0.1245)*1000,0)</f>
        <v>38.809999999999981</v>
      </c>
      <c r="BG21" s="110">
        <v>0.16666666666666699</v>
      </c>
      <c r="BH21" s="211">
        <f>IF('Temperature Profiles'!G20&lt;16,(-0.01*'Temperature Profiles'!G20+0.167)*1000,0)</f>
        <v>54.249999999999993</v>
      </c>
      <c r="BI21" s="21"/>
      <c r="BJ21" s="110">
        <v>0.16666666666666699</v>
      </c>
      <c r="BK21" s="211">
        <f>IF('Temperature Profiles'!L20&lt;16,(-0.0037*'Temperature Profiles'!L20+0.0664)*1000,0)</f>
        <v>0</v>
      </c>
      <c r="BL21" s="110">
        <v>0.16666666666666699</v>
      </c>
      <c r="BM21" s="211">
        <f>IF('Temperature Profiles'!L20&lt;16,(-0.0076*'Temperature Profiles'!L20+0.1245)*1000,0)</f>
        <v>0</v>
      </c>
      <c r="BN21" s="110">
        <v>0.16666666666666699</v>
      </c>
      <c r="BO21" s="211">
        <f>IF('Temperature Profiles'!L20&lt;16,(-0.01*'Temperature Profiles'!L20+0.167)*1000,0)</f>
        <v>0</v>
      </c>
      <c r="BP21" s="21"/>
      <c r="BQ21" s="110">
        <v>0.16666666666666699</v>
      </c>
      <c r="BR21" s="211">
        <f>IF('Temperature Profiles'!Q20&lt;16,(-0.0037*'Temperature Profiles'!Q20+0.0664)*1000,0)</f>
        <v>0</v>
      </c>
      <c r="BS21" s="110">
        <v>0.16666666666666699</v>
      </c>
      <c r="BT21" s="211">
        <f>IF('Temperature Profiles'!Q20&lt;16,(-0.0076*'Temperature Profiles'!Q20+0.1245)*1000,0)</f>
        <v>0</v>
      </c>
      <c r="BU21" s="110">
        <v>0.16666666666666699</v>
      </c>
      <c r="BV21" s="211">
        <f>IF('Temperature Profiles'!Q20&lt;16,(-0.01*'Temperature Profiles'!Q20+0.167)*1000,0)</f>
        <v>0</v>
      </c>
      <c r="BW21" s="21"/>
      <c r="BX21" s="110">
        <v>0.16666666666666699</v>
      </c>
      <c r="BY21" s="211">
        <f>IF('Temperature Profiles'!V20&lt;16,(-0.0037*'Temperature Profiles'!V20+0.0664)*1000,0)</f>
        <v>0</v>
      </c>
      <c r="BZ21" s="110">
        <v>0.16666666666666699</v>
      </c>
      <c r="CA21" s="211">
        <f>IF('Temperature Profiles'!V20&lt;16,(-0.0076*'Temperature Profiles'!V20+0.1245)*1000,0)</f>
        <v>0</v>
      </c>
      <c r="CB21" s="110">
        <v>0.16666666666666699</v>
      </c>
      <c r="CC21" s="211">
        <f>IF('Temperature Profiles'!V20&lt;16,(-0.01*'Temperature Profiles'!V20+0.167)*1000,0)</f>
        <v>0</v>
      </c>
      <c r="CD21" s="21"/>
      <c r="CE21" s="110">
        <v>0.16666666666666699</v>
      </c>
      <c r="CF21" s="211">
        <f>IF('Temperature Profiles'!AA20&lt;16,(-0.0037*'Temperature Profiles'!AA20+0.0664)*1000,0)</f>
        <v>136.94666666666666</v>
      </c>
      <c r="CG21" s="110">
        <v>0.16666666666666699</v>
      </c>
      <c r="CH21" s="178">
        <f>IF('Temperature Profiles'!AA20&lt;16,(-0.0076*'Temperature Profiles'!AA20+0.1245)*1000,0)</f>
        <v>269.40666666666669</v>
      </c>
      <c r="CI21" s="110">
        <v>0.16666666666666699</v>
      </c>
      <c r="CJ21" s="211">
        <f>IF('Temperature Profiles'!AA20&lt;16,(-0.01*'Temperature Profiles'!AA20+0.167)*1000,0)</f>
        <v>357.66666666666669</v>
      </c>
      <c r="CK21" s="21"/>
      <c r="CL21" s="110">
        <v>0.16666666666666699</v>
      </c>
      <c r="CM21" s="211">
        <f>IF('Temperature Profiles'!AF20&lt;16,(-0.0037*'Temperature Profiles'!AF20+0.0664)*1000,0)</f>
        <v>0</v>
      </c>
      <c r="CN21" s="110">
        <v>0.16666666666666699</v>
      </c>
      <c r="CO21" s="178">
        <f>IF('Temperature Profiles'!AF20&lt;16,(-0.0076*'Temperature Profiles'!AF20+0.1245)*1000,0)</f>
        <v>0</v>
      </c>
      <c r="CP21" s="110">
        <v>0.16666666666666699</v>
      </c>
      <c r="CQ21" s="211">
        <f>IF('Temperature Profiles'!AF20&lt;16,(-0.01*'Temperature Profiles'!AF20+0.167)*1000,0)</f>
        <v>0</v>
      </c>
      <c r="CR21" s="21"/>
      <c r="CS21" s="110">
        <v>0.16666666666666699</v>
      </c>
      <c r="CT21" s="211"/>
      <c r="CU21" s="21"/>
      <c r="CV21" s="110">
        <v>0.16666666666666699</v>
      </c>
      <c r="CW21" s="264"/>
      <c r="CY21" s="260">
        <v>0.16666666666666699</v>
      </c>
      <c r="CZ21" s="178">
        <f>IF('Temperature Profiles'!G20&gt;18,(0.0024*('Temperature Profiles'!G20^2)-0.0581*'Temperature Profiles'!G20+0.3293)*1000,IF('Temperature Profiles'!G20&lt;17,(0.0022*('Temperature Profiles'!G20^2)-0.0874*'Temperature Profiles'!G20+0.9301)*1000,0))</f>
        <v>224.34137499999986</v>
      </c>
      <c r="DA21" s="110">
        <v>0.16666666666666699</v>
      </c>
      <c r="DB21" s="263">
        <f>IF('Temperature Profiles'!G20&gt;18,(0.0043*('Temperature Profiles'!G20^2)-0.1116*'Temperature Profiles'!G20+0.6576)*1000,IF('Temperature Profiles'!G20&lt;17,(0.0053*('Temperature Profiles'!G20^2)-0.1876*'Temperature Profiles'!G20+1.7649)*1000,0))</f>
        <v>323.4758124999999</v>
      </c>
      <c r="DC21" s="110">
        <v>0.16666666666666699</v>
      </c>
      <c r="DD21" s="211">
        <f>IF('Temperature Profiles'!G20&gt;18,(0.0057*('Temperature Profiles'!G20^2)-0.1509*'Temperature Profiles'!G20+0.8935)*1000,IF('Temperature Profiles'!G20&lt;17,(0.0072*('Temperature Profiles'!G20^2)-0.254*'Temperature Profiles'!G20+2.3952)*1000,0))</f>
        <v>446.65449999999976</v>
      </c>
      <c r="DE21" s="21"/>
      <c r="DF21" s="110">
        <v>0.16666666666666699</v>
      </c>
      <c r="DG21" s="209">
        <f>IF('Temperature Profiles'!L20&gt;18,(0.0024*('Temperature Profiles'!L20^2)-0.0581*'Temperature Profiles'!L20+0.3293)*1000,IF('Temperature Profiles'!L20&lt;17,(0.0022*('Temperature Profiles'!L20^2)-0.0874*'Temperature Profiles'!L20+0.9301)*1000,0))</f>
        <v>169.38333333333327</v>
      </c>
      <c r="DH21" s="110">
        <v>0.16666666666666699</v>
      </c>
      <c r="DI21" s="209">
        <f>IF('Temperature Profiles'!L20&gt;18,(0.0043*('Temperature Profiles'!L20^2)-0.1116*'Temperature Profiles'!L20+0.6576)*1000,IF('Temperature Profiles'!L20&lt;17,(0.0053*('Temperature Profiles'!L20^2)-0.1876*'Temperature Profiles'!L20+1.7649)*1000,0))</f>
        <v>213.18246527777762</v>
      </c>
      <c r="DJ21" s="110">
        <v>0.16666666666666699</v>
      </c>
      <c r="DK21" s="211">
        <f>IF('Temperature Profiles'!L20&gt;18,(0.0057*('Temperature Profiles'!L20^2)-0.1509*'Temperature Profiles'!L20+0.8935)*1000,IF('Temperature Profiles'!L20&lt;17,(0.0072*('Temperature Profiles'!L20^2)-0.254*'Temperature Profiles'!L20+2.3952)*1000,0))</f>
        <v>241.99739583333323</v>
      </c>
      <c r="DL21" s="21"/>
      <c r="DM21" s="110">
        <v>0.16666666666666699</v>
      </c>
      <c r="DN21" s="209">
        <f>IF('Temperature Profiles'!Q20&gt;18,(0.0024*('Temperature Profiles'!Q20^2)-0.0581*'Temperature Profiles'!Q20+0.3293)*1000,IF('Temperature Profiles'!Q20&lt;17,(0.0022*('Temperature Profiles'!Q20^2)-0.0874*'Temperature Profiles'!Q20+0.9301)*1000,0))</f>
        <v>299.92233333333326</v>
      </c>
      <c r="DO21" s="110">
        <v>0.16666666666666699</v>
      </c>
      <c r="DP21" s="209">
        <f>IF('Temperature Profiles'!Q20&gt;18,(0.0043*('Temperature Profiles'!Q20^2)-0.1116*'Temperature Profiles'!Q20+0.6576)*1000,IF('Temperature Profiles'!Q20&lt;17,(0.0053*('Temperature Profiles'!Q20^2)-0.1876*'Temperature Profiles'!Q20+1.7649)*1000,0))</f>
        <v>427.17879861111061</v>
      </c>
      <c r="DQ21" s="110">
        <v>0.16666666666666699</v>
      </c>
      <c r="DR21" s="211">
        <f>IF('Temperature Profiles'!Q20&gt;18,(0.0057*('Temperature Profiles'!Q20^2)-0.1509*'Temperature Profiles'!Q20+0.8935)*1000,IF('Temperature Profiles'!Q20&lt;17,(0.0072*('Temperature Profiles'!Q20^2)-0.254*'Temperature Profiles'!Q20+2.3952)*1000,0))</f>
        <v>517.80939583333293</v>
      </c>
      <c r="DS21" s="21"/>
      <c r="DT21" s="110">
        <v>0.16666666666666699</v>
      </c>
      <c r="DU21" s="209">
        <f>IF('Temperature Profiles'!V20&gt;18,(0.0024*('Temperature Profiles'!V20^2)-0.0581*'Temperature Profiles'!V20+0.3293)*1000,IF('Temperature Profiles'!V20&lt;17,(0.0022*('Temperature Profiles'!V20^2)-0.0874*'Temperature Profiles'!V20+0.9301)*1000,0))</f>
        <v>0</v>
      </c>
      <c r="DV21" s="110">
        <v>0.16666666666666699</v>
      </c>
      <c r="DW21" s="209">
        <f>IF('Temperature Profiles'!V20&gt;18,(0.0043*('Temperature Profiles'!V20^2)-0.1116*'Temperature Profiles'!V20+0.6576)*1000,IF('Temperature Profiles'!V20&lt;17,(0.0053*('Temperature Profiles'!V20^2)-0.1876*'Temperature Profiles'!V20+1.7649)*1000,0))</f>
        <v>0</v>
      </c>
      <c r="DX21" s="110">
        <v>0.16666666666666699</v>
      </c>
      <c r="DY21" s="211">
        <f>IF('Temperature Profiles'!V20&gt;18,(0.0057*('Temperature Profiles'!V20^2)-0.1509*'Temperature Profiles'!V20+0.8935)*1000,IF('Temperature Profiles'!V20&lt;17,(0.0072*('Temperature Profiles'!V20^2)-0.254*'Temperature Profiles'!V20+2.3952)*1000,0))</f>
        <v>0</v>
      </c>
      <c r="DZ21" s="21"/>
      <c r="EA21" s="110">
        <v>0.16666666666666699</v>
      </c>
      <c r="EB21" s="209">
        <f>IF('Temperature Profiles'!AA119&gt;18,(0.0024*('Temperature Profiles'!AA119^2)-0.0581*'Temperature Profiles'!AA119+0.3293)*1000,IF('Temperature Profiles'!AA119&lt;17,(0.0022*('Temperature Profiles'!AA119^2)-0.0874*'Temperature Profiles'!AA119+0.9301)*1000,0))</f>
        <v>864.38644444444435</v>
      </c>
      <c r="EC21" s="110">
        <v>0.16666666666666699</v>
      </c>
      <c r="ED21" s="209">
        <f>IF('Temperature Profiles'!AA119&gt;18,(0.0043*('Temperature Profiles'!AA119^2)-0.1116*'Temperature Profiles'!AA119+0.6576)*1000,IF('Temperature Profiles'!AA119&lt;17,(0.0053*('Temperature Profiles'!AA119^2)-0.1876*'Temperature Profiles'!AA119+1.7649)*1000,0))</f>
        <v>1624.1885555555552</v>
      </c>
      <c r="EE21" s="110">
        <v>0.16666666666666699</v>
      </c>
      <c r="EF21" s="211">
        <f>IF('Temperature Profiles'!AA119&gt;18,(0.0057*('Temperature Profiles'!AA119^2)-0.1509*'Temperature Profiles'!AA119+0.8935)*1000,IF('Temperature Profiles'!AA119&lt;17,(0.0072*('Temperature Profiles'!AA119^2)-0.254*'Temperature Profiles'!AA119+2.3952)*1000,0))</f>
        <v>2204.6986666666662</v>
      </c>
      <c r="EG21" s="21"/>
      <c r="EH21" s="110">
        <v>0.16666666666666699</v>
      </c>
      <c r="EI21" s="211">
        <f>IF('Temperature Profiles'!AF20&gt;18,(0.0024*('Temperature Profiles'!AF20^2)-0.0581*'Temperature Profiles'!AF20+0.3293)*1000,IF('Temperature Profiles'!AF20&lt;17,(0.0022*('Temperature Profiles'!AF20^2)-0.0874*'Temperature Profiles'!AF20+0.9301)*1000,0))</f>
        <v>376.79999999999984</v>
      </c>
      <c r="EJ21" s="110">
        <v>0.16666666666666699</v>
      </c>
      <c r="EK21" s="211">
        <f>IF('Temperature Profiles'!AF20&gt;18,(0.0043*('Temperature Profiles'!AF20^2)-0.1116*'Temperature Profiles'!AF20+0.6576)*1000,IF('Temperature Profiles'!AF20&lt;17,(0.0053*('Temperature Profiles'!AF20^2)-0.1876*'Temperature Profiles'!AF20+1.7649)*1000,0))</f>
        <v>555.09999999999991</v>
      </c>
      <c r="EL21" s="110">
        <v>0.16666666666666699</v>
      </c>
      <c r="EM21" s="211">
        <f>IF('Temperature Profiles'!AF20&gt;18,(0.0057*('Temperature Profiles'!AF20^2)-0.1509*'Temperature Profiles'!AF20+0.8935)*1000,IF('Temperature Profiles'!AF20&lt;17,(0.0072*('Temperature Profiles'!AF20^2)-0.254*'Temperature Profiles'!AF20+2.3952)*1000,0))</f>
        <v>683.5</v>
      </c>
      <c r="EN21" s="21"/>
      <c r="EO21" s="110">
        <v>0.16666666666666699</v>
      </c>
      <c r="EP21" s="211"/>
      <c r="EQ21" s="21"/>
      <c r="ER21" s="110">
        <v>0.16666666666666699</v>
      </c>
      <c r="ES21" s="264"/>
      <c r="EU21" s="260">
        <v>0.16666666666666699</v>
      </c>
      <c r="EV21" s="209">
        <f>IF('Temperature Profiles'!AA119&gt;18,(0.0024*('Temperature Profiles'!AA119^2)-0.0581*'Temperature Profiles'!AA119+0.3293)*1000,IF('Temperature Profiles'!AA119&lt;17,(0.0022*('Temperature Profiles'!AA119^2)-0.0874*'Temperature Profiles'!AA119+0.9301)*1000,0))</f>
        <v>864.38644444444435</v>
      </c>
      <c r="EW21" s="110">
        <v>0.16666666666666699</v>
      </c>
      <c r="EX21" s="209">
        <f>IF('Temperature Profiles'!AA119&gt;18,(0.0043*('Temperature Profiles'!AA119^2)-0.1116*'Temperature Profiles'!AA119+0.6576)*1000,IF('Temperature Profiles'!AA119&lt;17,(0.0053*('Temperature Profiles'!AA119^2)-0.1876*'Temperature Profiles'!AA119+1.7649)*1000,0))</f>
        <v>1624.1885555555552</v>
      </c>
      <c r="EY21" s="110">
        <v>0.16666666666666699</v>
      </c>
      <c r="EZ21" s="264">
        <f>IF('Temperature Profiles'!AA119&gt;18,(0.0057*('Temperature Profiles'!AA119^2)-0.1509*'Temperature Profiles'!AA119+0.8935)*1000,IF('Temperature Profiles'!AA119&lt;17,(0.0072*('Temperature Profiles'!AA119^2)-0.254*'Temperature Profiles'!AA119+2.3952)*1000,0))</f>
        <v>2204.6986666666662</v>
      </c>
    </row>
    <row r="22" spans="1:156" x14ac:dyDescent="0.3">
      <c r="A22" s="108">
        <v>0.16666666666666699</v>
      </c>
      <c r="B22" s="226">
        <f t="shared" si="0"/>
        <v>0</v>
      </c>
      <c r="C22" s="21">
        <f t="shared" si="1"/>
        <v>357.66666666666669</v>
      </c>
      <c r="D22" s="20">
        <f t="shared" si="2"/>
        <v>2204.6986666666662</v>
      </c>
      <c r="E22" s="20">
        <f t="shared" si="3"/>
        <v>2204.6986666666662</v>
      </c>
      <c r="G22" s="260">
        <v>0.17708333333333301</v>
      </c>
      <c r="H22" s="211">
        <f>IF('Temperature Profiles'!G21&gt;17,(0.0029*('Temperature Profiles'!G21^2) - 0.0863*'Temperature Profiles'!G21 + 0.6808)*1000,0)</f>
        <v>0</v>
      </c>
      <c r="I22" s="110">
        <v>0.17708333333333301</v>
      </c>
      <c r="J22" s="211">
        <f>IF('Temperature Profiles'!G21&gt;17,(0.005*('Temperature Profiles'!G21^2) - 0.1517*'Temperature Profiles'!G21 + 1.1702)*1000,0)</f>
        <v>0</v>
      </c>
      <c r="K22" s="110">
        <v>0.17708333333333301</v>
      </c>
      <c r="L22" s="211">
        <f>IF('Temperature Profiles'!G21&gt;17,(0.0068*('Temperature Profiles'!G21^2) - 0.2129*'Temperature Profiles'!G21 + 1.6904)*1000,0)</f>
        <v>0</v>
      </c>
      <c r="M22" s="21"/>
      <c r="N22" s="110">
        <v>0.17708333333333301</v>
      </c>
      <c r="O22" s="211">
        <f>IF('Temperature Profiles'!L21&gt;17,(0.0029*('Temperature Profiles'!L21^2) - 0.0863*'Temperature Profiles'!L21 + 0.6808)*1000,0)</f>
        <v>148.88420138888881</v>
      </c>
      <c r="P22" s="110">
        <v>0.17708333333333301</v>
      </c>
      <c r="Q22" s="211">
        <f>IF('Temperature Profiles'!L21&gt;17,(0.005*('Temperature Profiles'!L21^2) - 0.1517*'Temperature Profiles'!L21 + 1.1702)*1000,0)</f>
        <v>191.93784722222196</v>
      </c>
      <c r="R22" s="110">
        <v>0.17708333333333301</v>
      </c>
      <c r="S22" s="211">
        <f>IF('Temperature Profiles'!L21&gt;17,(0.0068*('Temperature Profiles'!L21^2) - 0.2129*'Temperature Profiles'!L21 + 1.6904)*1000,0)</f>
        <v>221.3409722222215</v>
      </c>
      <c r="T22" s="21"/>
      <c r="U22" s="110">
        <v>0.17708333333333301</v>
      </c>
      <c r="V22" s="211">
        <f>IF('Temperature Profiles'!Q21&gt;17,(0.0029*('Temperature Profiles'!Q21^2) - 0.0863*'Temperature Profiles'!Q21 + 0.6808)*1000,0)</f>
        <v>263.9648680555552</v>
      </c>
      <c r="W22" s="110">
        <v>0.17708333333333301</v>
      </c>
      <c r="X22" s="211">
        <f>IF('Temperature Profiles'!Q21&gt;17,(0.005*('Temperature Profiles'!Q21^2) - 0.1517*'Temperature Profiles'!Q21 + 1.1702)*1000,0)</f>
        <v>382.64951388888858</v>
      </c>
      <c r="Y22" s="110">
        <v>0.17708333333333301</v>
      </c>
      <c r="Z22" s="211">
        <f>IF('Temperature Profiles'!Q21&gt;17,(0.0068*('Temperature Profiles'!Q21^2) - 0.2129*'Temperature Profiles'!Q21 + 1.6904)*1000,0)</f>
        <v>463.25063888888798</v>
      </c>
      <c r="AA22" s="21"/>
      <c r="AB22" s="110">
        <v>0.17708333333333301</v>
      </c>
      <c r="AC22" s="211">
        <f>IF('Temperature Profiles'!V21&gt;17,(0.0029*('Temperature Profiles'!V21^2) - 0.0863*'Temperature Profiles'!V21 + 0.6808)*1000,0)</f>
        <v>54.375999999999756</v>
      </c>
      <c r="AD22" s="110">
        <v>0.17708333333333301</v>
      </c>
      <c r="AE22" s="211">
        <f>IF('Temperature Profiles'!V21&gt;17,(0.005*('Temperature Profiles'!V21^2) - 0.1517*'Temperature Profiles'!V21 + 1.1702)*1000,0)</f>
        <v>40.159999999999755</v>
      </c>
      <c r="AF22" s="110">
        <v>0.17708333333333301</v>
      </c>
      <c r="AG22" s="211">
        <f>IF('Temperature Profiles'!V21&gt;17,(0.0068*('Temperature Profiles'!V21^2) - 0.2129*'Temperature Profiles'!V21 + 1.6904)*1000,0)</f>
        <v>40.231999999999601</v>
      </c>
      <c r="AH22" s="21"/>
      <c r="AI22" s="110">
        <v>0.17708333333333301</v>
      </c>
      <c r="AJ22" s="211">
        <f>IF('Temperature Profiles'!AA21&gt;17,(0.0029*('Temperature Profiles'!AA21^2) - 0.0863*'Temperature Profiles'!AA21 + 0.6808)*1000,0)</f>
        <v>0</v>
      </c>
      <c r="AK22" s="110">
        <v>0.17708333333333301</v>
      </c>
      <c r="AL22" s="211">
        <f>IF('Temperature Profiles'!AA21&gt;17,(0.005*('Temperature Profiles'!AA21^2) - 0.1517*'Temperature Profiles'!AA21 + 1.1701)*1000,0)</f>
        <v>0</v>
      </c>
      <c r="AM22" s="110">
        <v>0.17708333333333301</v>
      </c>
      <c r="AN22" s="211">
        <f>IF('Temperature Profiles'!AA21&gt;17,(0.0068*('Temperature Profiles'!AA21^2) - 0.2129*'Temperature Profiles'!AA21 + 1.6904)*1000,0)</f>
        <v>0</v>
      </c>
      <c r="AO22" s="21"/>
      <c r="AP22" s="110">
        <v>0.17708333333333301</v>
      </c>
      <c r="AQ22" s="211">
        <f>IF('Temperature Profiles'!AF21&gt;17,(0.0029*('Temperature Profiles'!AF21^2) - 0.0863*'Temperature Profiles'!AF21 + 0.6808)*1000,0)</f>
        <v>335.79999999999956</v>
      </c>
      <c r="AR22" s="110">
        <v>0.17708333333333301</v>
      </c>
      <c r="AS22" s="183">
        <f>IF('Temperature Profiles'!AF21&gt;17,(0.005*('Temperature Profiles'!AF21^2) - 0.1517*'Temperature Profiles'!AF21 + 1.1702)*1000,0)</f>
        <v>502.69999999999993</v>
      </c>
      <c r="AT22" s="110">
        <v>0.17708333333333301</v>
      </c>
      <c r="AU22" s="211">
        <f>IF('Temperature Profiles'!AF21&gt;17,(0.0068*('Temperature Profiles'!AF21^2) - 0.2129*'Temperature Profiles'!AF21 + 1.6904)*1000,0)</f>
        <v>617.90000000000009</v>
      </c>
      <c r="AV22" s="21"/>
      <c r="AW22" s="110">
        <v>0.17708333333333301</v>
      </c>
      <c r="AX22" s="211"/>
      <c r="AY22" s="21"/>
      <c r="AZ22" s="110">
        <v>0.17708333333333301</v>
      </c>
      <c r="BA22" s="264"/>
      <c r="BC22" s="260">
        <v>0.17708333333333301</v>
      </c>
      <c r="BD22" s="211">
        <f>IF('Temperature Profiles'!G21&lt;16,(-0.0037*'Temperature Profiles'!G21+0.0664)*1000,0)</f>
        <v>24.68249999999999</v>
      </c>
      <c r="BE22" s="110">
        <v>0.17708333333333301</v>
      </c>
      <c r="BF22" s="211">
        <f>IF('Temperature Profiles'!G21&lt;16,(-0.0076*'Temperature Profiles'!G21+0.1245)*1000,0)</f>
        <v>38.809999999999981</v>
      </c>
      <c r="BG22" s="110">
        <v>0.17708333333333301</v>
      </c>
      <c r="BH22" s="211">
        <f>IF('Temperature Profiles'!G21&lt;16,(-0.01*'Temperature Profiles'!G21+0.167)*1000,0)</f>
        <v>54.249999999999993</v>
      </c>
      <c r="BI22" s="21"/>
      <c r="BJ22" s="110">
        <v>0.17708333333333301</v>
      </c>
      <c r="BK22" s="211">
        <f>IF('Temperature Profiles'!L21&lt;16,(-0.0037*'Temperature Profiles'!L21+0.0664)*1000,0)</f>
        <v>0</v>
      </c>
      <c r="BL22" s="110">
        <v>0.17708333333333301</v>
      </c>
      <c r="BM22" s="211">
        <f>IF('Temperature Profiles'!L21&lt;16,(-0.0076*'Temperature Profiles'!L21+0.1245)*1000,0)</f>
        <v>0</v>
      </c>
      <c r="BN22" s="110">
        <v>0.17708333333333301</v>
      </c>
      <c r="BO22" s="211">
        <f>IF('Temperature Profiles'!L21&lt;16,(-0.01*'Temperature Profiles'!L21+0.167)*1000,0)</f>
        <v>0</v>
      </c>
      <c r="BP22" s="21"/>
      <c r="BQ22" s="110">
        <v>0.17708333333333301</v>
      </c>
      <c r="BR22" s="211">
        <f>IF('Temperature Profiles'!Q21&lt;16,(-0.0037*'Temperature Profiles'!Q21+0.0664)*1000,0)</f>
        <v>0</v>
      </c>
      <c r="BS22" s="110">
        <v>0.17708333333333301</v>
      </c>
      <c r="BT22" s="211">
        <f>IF('Temperature Profiles'!Q21&lt;16,(-0.0076*'Temperature Profiles'!Q21+0.1245)*1000,0)</f>
        <v>0</v>
      </c>
      <c r="BU22" s="110">
        <v>0.17708333333333301</v>
      </c>
      <c r="BV22" s="211">
        <f>IF('Temperature Profiles'!Q21&lt;16,(-0.01*'Temperature Profiles'!Q21+0.167)*1000,0)</f>
        <v>0</v>
      </c>
      <c r="BW22" s="21"/>
      <c r="BX22" s="110">
        <v>0.17708333333333301</v>
      </c>
      <c r="BY22" s="211">
        <f>IF('Temperature Profiles'!V21&lt;16,(-0.0037*'Temperature Profiles'!V21+0.0664)*1000,0)</f>
        <v>0</v>
      </c>
      <c r="BZ22" s="110">
        <v>0.17708333333333301</v>
      </c>
      <c r="CA22" s="211">
        <f>IF('Temperature Profiles'!V21&lt;16,(-0.0076*'Temperature Profiles'!V21+0.1245)*1000,0)</f>
        <v>0</v>
      </c>
      <c r="CB22" s="110">
        <v>0.17708333333333301</v>
      </c>
      <c r="CC22" s="211">
        <f>IF('Temperature Profiles'!V21&lt;16,(-0.01*'Temperature Profiles'!V21+0.167)*1000,0)</f>
        <v>0</v>
      </c>
      <c r="CD22" s="21"/>
      <c r="CE22" s="110">
        <v>0.17708333333333301</v>
      </c>
      <c r="CF22" s="211">
        <f>IF('Temperature Profiles'!AA21&lt;16,(-0.0037*'Temperature Profiles'!AA21+0.0664)*1000,0)</f>
        <v>136.94666666666666</v>
      </c>
      <c r="CG22" s="110">
        <v>0.17708333333333301</v>
      </c>
      <c r="CH22" s="178">
        <f>IF('Temperature Profiles'!AA21&lt;16,(-0.0076*'Temperature Profiles'!AA21+0.1245)*1000,0)</f>
        <v>269.40666666666669</v>
      </c>
      <c r="CI22" s="110">
        <v>0.17708333333333301</v>
      </c>
      <c r="CJ22" s="211">
        <f>IF('Temperature Profiles'!AA21&lt;16,(-0.01*'Temperature Profiles'!AA21+0.167)*1000,0)</f>
        <v>357.66666666666669</v>
      </c>
      <c r="CK22" s="21"/>
      <c r="CL22" s="110">
        <v>0.17708333333333301</v>
      </c>
      <c r="CM22" s="211">
        <f>IF('Temperature Profiles'!AF21&lt;16,(-0.0037*'Temperature Profiles'!AF21+0.0664)*1000,0)</f>
        <v>0</v>
      </c>
      <c r="CN22" s="110">
        <v>0.17708333333333301</v>
      </c>
      <c r="CO22" s="178">
        <f>IF('Temperature Profiles'!AF21&lt;16,(-0.0076*'Temperature Profiles'!AF21+0.1245)*1000,0)</f>
        <v>0</v>
      </c>
      <c r="CP22" s="110">
        <v>0.17708333333333301</v>
      </c>
      <c r="CQ22" s="211">
        <f>IF('Temperature Profiles'!AF21&lt;16,(-0.01*'Temperature Profiles'!AF21+0.167)*1000,0)</f>
        <v>0</v>
      </c>
      <c r="CR22" s="21"/>
      <c r="CS22" s="110">
        <v>0.17708333333333301</v>
      </c>
      <c r="CT22" s="211"/>
      <c r="CU22" s="21"/>
      <c r="CV22" s="110">
        <v>0.17708333333333301</v>
      </c>
      <c r="CW22" s="264"/>
      <c r="CY22" s="260">
        <v>0.17708333333333301</v>
      </c>
      <c r="CZ22" s="178">
        <f>IF('Temperature Profiles'!G21&gt;18,(0.0024*('Temperature Profiles'!G21^2)-0.0581*'Temperature Profiles'!G21+0.3293)*1000,IF('Temperature Profiles'!G21&lt;17,(0.0022*('Temperature Profiles'!G21^2)-0.0874*'Temperature Profiles'!G21+0.9301)*1000,0))</f>
        <v>224.34137499999986</v>
      </c>
      <c r="DA22" s="110">
        <v>0.17708333333333301</v>
      </c>
      <c r="DB22" s="263">
        <f>IF('Temperature Profiles'!G21&gt;18,(0.0043*('Temperature Profiles'!G21^2)-0.1116*'Temperature Profiles'!G21+0.6576)*1000,IF('Temperature Profiles'!G21&lt;17,(0.0053*('Temperature Profiles'!G21^2)-0.1876*'Temperature Profiles'!G21+1.7649)*1000,0))</f>
        <v>323.4758124999999</v>
      </c>
      <c r="DC22" s="110">
        <v>0.17708333333333301</v>
      </c>
      <c r="DD22" s="211">
        <f>IF('Temperature Profiles'!G21&gt;18,(0.0057*('Temperature Profiles'!G21^2)-0.1509*'Temperature Profiles'!G21+0.8935)*1000,IF('Temperature Profiles'!G21&lt;17,(0.0072*('Temperature Profiles'!G21^2)-0.254*'Temperature Profiles'!G21+2.3952)*1000,0))</f>
        <v>446.65449999999976</v>
      </c>
      <c r="DE22" s="21"/>
      <c r="DF22" s="110">
        <v>0.17708333333333301</v>
      </c>
      <c r="DG22" s="209">
        <f>IF('Temperature Profiles'!L21&gt;18,(0.0024*('Temperature Profiles'!L21^2)-0.0581*'Temperature Profiles'!L21+0.3293)*1000,IF('Temperature Profiles'!L21&lt;17,(0.0022*('Temperature Profiles'!L21^2)-0.0874*'Temperature Profiles'!L21+0.9301)*1000,0))</f>
        <v>169.38333333333327</v>
      </c>
      <c r="DH22" s="110">
        <v>0.17708333333333301</v>
      </c>
      <c r="DI22" s="209">
        <f>IF('Temperature Profiles'!L21&gt;18,(0.0043*('Temperature Profiles'!L21^2)-0.1116*'Temperature Profiles'!L21+0.6576)*1000,IF('Temperature Profiles'!L21&lt;17,(0.0053*('Temperature Profiles'!L21^2)-0.1876*'Temperature Profiles'!L21+1.7649)*1000,0))</f>
        <v>213.18246527777762</v>
      </c>
      <c r="DJ22" s="110">
        <v>0.17708333333333301</v>
      </c>
      <c r="DK22" s="211">
        <f>IF('Temperature Profiles'!L21&gt;18,(0.0057*('Temperature Profiles'!L21^2)-0.1509*'Temperature Profiles'!L21+0.8935)*1000,IF('Temperature Profiles'!L21&lt;17,(0.0072*('Temperature Profiles'!L21^2)-0.254*'Temperature Profiles'!L21+2.3952)*1000,0))</f>
        <v>241.99739583333323</v>
      </c>
      <c r="DL22" s="21"/>
      <c r="DM22" s="110">
        <v>0.17708333333333301</v>
      </c>
      <c r="DN22" s="209">
        <f>IF('Temperature Profiles'!Q21&gt;18,(0.0024*('Temperature Profiles'!Q21^2)-0.0581*'Temperature Profiles'!Q21+0.3293)*1000,IF('Temperature Profiles'!Q21&lt;17,(0.0022*('Temperature Profiles'!Q21^2)-0.0874*'Temperature Profiles'!Q21+0.9301)*1000,0))</f>
        <v>299.92233333333326</v>
      </c>
      <c r="DO22" s="110">
        <v>0.17708333333333301</v>
      </c>
      <c r="DP22" s="209">
        <f>IF('Temperature Profiles'!Q21&gt;18,(0.0043*('Temperature Profiles'!Q21^2)-0.1116*'Temperature Profiles'!Q21+0.6576)*1000,IF('Temperature Profiles'!Q21&lt;17,(0.0053*('Temperature Profiles'!Q21^2)-0.1876*'Temperature Profiles'!Q21+1.7649)*1000,0))</f>
        <v>427.17879861111061</v>
      </c>
      <c r="DQ22" s="110">
        <v>0.17708333333333301</v>
      </c>
      <c r="DR22" s="211">
        <f>IF('Temperature Profiles'!Q21&gt;18,(0.0057*('Temperature Profiles'!Q21^2)-0.1509*'Temperature Profiles'!Q21+0.8935)*1000,IF('Temperature Profiles'!Q21&lt;17,(0.0072*('Temperature Profiles'!Q21^2)-0.254*'Temperature Profiles'!Q21+2.3952)*1000,0))</f>
        <v>517.80939583333293</v>
      </c>
      <c r="DS22" s="21"/>
      <c r="DT22" s="110">
        <v>0.17708333333333301</v>
      </c>
      <c r="DU22" s="209">
        <f>IF('Temperature Profiles'!V21&gt;18,(0.0024*('Temperature Profiles'!V21^2)-0.0581*'Temperature Profiles'!V21+0.3293)*1000,IF('Temperature Profiles'!V21&lt;17,(0.0022*('Temperature Profiles'!V21^2)-0.0874*'Temperature Profiles'!V21+0.9301)*1000,0))</f>
        <v>0</v>
      </c>
      <c r="DV22" s="110">
        <v>0.17708333333333301</v>
      </c>
      <c r="DW22" s="209">
        <f>IF('Temperature Profiles'!V21&gt;18,(0.0043*('Temperature Profiles'!V21^2)-0.1116*'Temperature Profiles'!V21+0.6576)*1000,IF('Temperature Profiles'!V21&lt;17,(0.0053*('Temperature Profiles'!V21^2)-0.1876*'Temperature Profiles'!V21+1.7649)*1000,0))</f>
        <v>0</v>
      </c>
      <c r="DX22" s="110">
        <v>0.17708333333333301</v>
      </c>
      <c r="DY22" s="211">
        <f>IF('Temperature Profiles'!V21&gt;18,(0.0057*('Temperature Profiles'!V21^2)-0.1509*'Temperature Profiles'!V21+0.8935)*1000,IF('Temperature Profiles'!V21&lt;17,(0.0072*('Temperature Profiles'!V21^2)-0.254*'Temperature Profiles'!V21+2.3952)*1000,0))</f>
        <v>0</v>
      </c>
      <c r="DZ22" s="21"/>
      <c r="EA22" s="110">
        <v>0.17708333333333301</v>
      </c>
      <c r="EB22" s="209">
        <f>IF('Temperature Profiles'!AA120&gt;18,(0.0024*('Temperature Profiles'!AA120^2)-0.0581*'Temperature Profiles'!AA120+0.3293)*1000,IF('Temperature Profiles'!AA120&lt;17,(0.0022*('Temperature Profiles'!AA120^2)-0.0874*'Temperature Profiles'!AA120+0.9301)*1000,0))</f>
        <v>864.38644444444435</v>
      </c>
      <c r="EC22" s="110">
        <v>0.17708333333333301</v>
      </c>
      <c r="ED22" s="209">
        <f>IF('Temperature Profiles'!AA120&gt;18,(0.0043*('Temperature Profiles'!AA120^2)-0.1116*'Temperature Profiles'!AA120+0.6576)*1000,IF('Temperature Profiles'!AA120&lt;17,(0.0053*('Temperature Profiles'!AA120^2)-0.1876*'Temperature Profiles'!AA120+1.7649)*1000,0))</f>
        <v>1624.1885555555552</v>
      </c>
      <c r="EE22" s="110">
        <v>0.17708333333333301</v>
      </c>
      <c r="EF22" s="211">
        <f>IF('Temperature Profiles'!AA120&gt;18,(0.0057*('Temperature Profiles'!AA120^2)-0.1509*'Temperature Profiles'!AA120+0.8935)*1000,IF('Temperature Profiles'!AA120&lt;17,(0.0072*('Temperature Profiles'!AA120^2)-0.254*'Temperature Profiles'!AA120+2.3952)*1000,0))</f>
        <v>2204.6986666666662</v>
      </c>
      <c r="EG22" s="21"/>
      <c r="EH22" s="110">
        <v>0.17708333333333301</v>
      </c>
      <c r="EI22" s="211">
        <f>IF('Temperature Profiles'!AF21&gt;18,(0.0024*('Temperature Profiles'!AF21^2)-0.0581*'Temperature Profiles'!AF21+0.3293)*1000,IF('Temperature Profiles'!AF21&lt;17,(0.0022*('Temperature Profiles'!AF21^2)-0.0874*'Temperature Profiles'!AF21+0.9301)*1000,0))</f>
        <v>376.79999999999984</v>
      </c>
      <c r="EJ22" s="110">
        <v>0.17708333333333301</v>
      </c>
      <c r="EK22" s="211">
        <f>IF('Temperature Profiles'!AF21&gt;18,(0.0043*('Temperature Profiles'!AF21^2)-0.1116*'Temperature Profiles'!AF21+0.6576)*1000,IF('Temperature Profiles'!AF21&lt;17,(0.0053*('Temperature Profiles'!AF21^2)-0.1876*'Temperature Profiles'!AF21+1.7649)*1000,0))</f>
        <v>555.09999999999991</v>
      </c>
      <c r="EL22" s="110">
        <v>0.17708333333333301</v>
      </c>
      <c r="EM22" s="211">
        <f>IF('Temperature Profiles'!AF21&gt;18,(0.0057*('Temperature Profiles'!AF21^2)-0.1509*'Temperature Profiles'!AF21+0.8935)*1000,IF('Temperature Profiles'!AF21&lt;17,(0.0072*('Temperature Profiles'!AF21^2)-0.254*'Temperature Profiles'!AF21+2.3952)*1000,0))</f>
        <v>683.5</v>
      </c>
      <c r="EN22" s="21"/>
      <c r="EO22" s="110">
        <v>0.17708333333333301</v>
      </c>
      <c r="EP22" s="211"/>
      <c r="EQ22" s="21"/>
      <c r="ER22" s="110">
        <v>0.17708333333333301</v>
      </c>
      <c r="ES22" s="264"/>
      <c r="EU22" s="260">
        <v>0.17708333333333301</v>
      </c>
      <c r="EV22" s="209">
        <f>IF('Temperature Profiles'!AA120&gt;18,(0.0024*('Temperature Profiles'!AA120^2)-0.0581*'Temperature Profiles'!AA120+0.3293)*1000,IF('Temperature Profiles'!AA120&lt;17,(0.0022*('Temperature Profiles'!AA120^2)-0.0874*'Temperature Profiles'!AA120+0.9301)*1000,0))</f>
        <v>864.38644444444435</v>
      </c>
      <c r="EW22" s="110">
        <v>0.17708333333333301</v>
      </c>
      <c r="EX22" s="209">
        <f>IF('Temperature Profiles'!AA120&gt;18,(0.0043*('Temperature Profiles'!AA120^2)-0.1116*'Temperature Profiles'!AA120+0.6576)*1000,IF('Temperature Profiles'!AA120&lt;17,(0.0053*('Temperature Profiles'!AA120^2)-0.1876*'Temperature Profiles'!AA120+1.7649)*1000,0))</f>
        <v>1624.1885555555552</v>
      </c>
      <c r="EY22" s="110">
        <v>0.17708333333333301</v>
      </c>
      <c r="EZ22" s="264">
        <f>IF('Temperature Profiles'!AA120&gt;18,(0.0057*('Temperature Profiles'!AA120^2)-0.1509*'Temperature Profiles'!AA120+0.8935)*1000,IF('Temperature Profiles'!AA120&lt;17,(0.0072*('Temperature Profiles'!AA120^2)-0.254*'Temperature Profiles'!AA120+2.3952)*1000,0))</f>
        <v>2204.6986666666662</v>
      </c>
    </row>
    <row r="23" spans="1:156" x14ac:dyDescent="0.3">
      <c r="A23" s="108">
        <v>0.17708333333333301</v>
      </c>
      <c r="B23" s="226">
        <f t="shared" si="0"/>
        <v>0</v>
      </c>
      <c r="C23" s="21">
        <f t="shared" si="1"/>
        <v>357.66666666666669</v>
      </c>
      <c r="D23" s="20">
        <f t="shared" si="2"/>
        <v>2204.6986666666662</v>
      </c>
      <c r="E23" s="20">
        <f t="shared" si="3"/>
        <v>2204.6986666666662</v>
      </c>
      <c r="G23" s="260">
        <v>0.1875</v>
      </c>
      <c r="H23" s="211">
        <f>IF('Temperature Profiles'!G22&gt;17,(0.0029*('Temperature Profiles'!G22^2) - 0.0863*'Temperature Profiles'!G22 + 0.6808)*1000,0)</f>
        <v>0</v>
      </c>
      <c r="I23" s="110">
        <v>0.1875</v>
      </c>
      <c r="J23" s="211">
        <f>IF('Temperature Profiles'!G22&gt;17,(0.005*('Temperature Profiles'!G22^2) - 0.1517*'Temperature Profiles'!G22 + 1.1702)*1000,0)</f>
        <v>0</v>
      </c>
      <c r="K23" s="110">
        <v>0.1875</v>
      </c>
      <c r="L23" s="211">
        <f>IF('Temperature Profiles'!G22&gt;17,(0.0068*('Temperature Profiles'!G22^2) - 0.2129*'Temperature Profiles'!G22 + 1.6904)*1000,0)</f>
        <v>0</v>
      </c>
      <c r="M23" s="21"/>
      <c r="N23" s="110">
        <v>0.1875</v>
      </c>
      <c r="O23" s="211">
        <f>IF('Temperature Profiles'!L22&gt;17,(0.0029*('Temperature Profiles'!L22^2) - 0.0863*'Temperature Profiles'!L22 + 0.6808)*1000,0)</f>
        <v>148.88420138888881</v>
      </c>
      <c r="P23" s="110">
        <v>0.1875</v>
      </c>
      <c r="Q23" s="211">
        <f>IF('Temperature Profiles'!L22&gt;17,(0.005*('Temperature Profiles'!L22^2) - 0.1517*'Temperature Profiles'!L22 + 1.1702)*1000,0)</f>
        <v>191.93784722222196</v>
      </c>
      <c r="R23" s="110">
        <v>0.1875</v>
      </c>
      <c r="S23" s="211">
        <f>IF('Temperature Profiles'!L22&gt;17,(0.0068*('Temperature Profiles'!L22^2) - 0.2129*'Temperature Profiles'!L22 + 1.6904)*1000,0)</f>
        <v>221.3409722222215</v>
      </c>
      <c r="T23" s="21"/>
      <c r="U23" s="110">
        <v>0.1875</v>
      </c>
      <c r="V23" s="211">
        <f>IF('Temperature Profiles'!Q22&gt;17,(0.0029*('Temperature Profiles'!Q22^2) - 0.0863*'Temperature Profiles'!Q22 + 0.6808)*1000,0)</f>
        <v>263.9648680555552</v>
      </c>
      <c r="W23" s="110">
        <v>0.1875</v>
      </c>
      <c r="X23" s="211">
        <f>IF('Temperature Profiles'!Q22&gt;17,(0.005*('Temperature Profiles'!Q22^2) - 0.1517*'Temperature Profiles'!Q22 + 1.1702)*1000,0)</f>
        <v>382.64951388888858</v>
      </c>
      <c r="Y23" s="110">
        <v>0.1875</v>
      </c>
      <c r="Z23" s="211">
        <f>IF('Temperature Profiles'!Q22&gt;17,(0.0068*('Temperature Profiles'!Q22^2) - 0.2129*'Temperature Profiles'!Q22 + 1.6904)*1000,0)</f>
        <v>463.25063888888798</v>
      </c>
      <c r="AA23" s="21"/>
      <c r="AB23" s="110">
        <v>0.1875</v>
      </c>
      <c r="AC23" s="211">
        <f>IF('Temperature Profiles'!V22&gt;17,(0.0029*('Temperature Profiles'!V22^2) - 0.0863*'Temperature Profiles'!V22 + 0.6808)*1000,0)</f>
        <v>54.375999999999756</v>
      </c>
      <c r="AD23" s="110">
        <v>0.1875</v>
      </c>
      <c r="AE23" s="211">
        <f>IF('Temperature Profiles'!V22&gt;17,(0.005*('Temperature Profiles'!V22^2) - 0.1517*'Temperature Profiles'!V22 + 1.1702)*1000,0)</f>
        <v>40.159999999999755</v>
      </c>
      <c r="AF23" s="110">
        <v>0.1875</v>
      </c>
      <c r="AG23" s="211">
        <f>IF('Temperature Profiles'!V22&gt;17,(0.0068*('Temperature Profiles'!V22^2) - 0.2129*'Temperature Profiles'!V22 + 1.6904)*1000,0)</f>
        <v>40.231999999999601</v>
      </c>
      <c r="AH23" s="21"/>
      <c r="AI23" s="110">
        <v>0.1875</v>
      </c>
      <c r="AJ23" s="211">
        <f>IF('Temperature Profiles'!AA22&gt;17,(0.0029*('Temperature Profiles'!AA22^2) - 0.0863*'Temperature Profiles'!AA22 + 0.6808)*1000,0)</f>
        <v>0</v>
      </c>
      <c r="AK23" s="110">
        <v>0.1875</v>
      </c>
      <c r="AL23" s="211">
        <f>IF('Temperature Profiles'!AA22&gt;17,(0.005*('Temperature Profiles'!AA22^2) - 0.1517*'Temperature Profiles'!AA22 + 1.1701)*1000,0)</f>
        <v>0</v>
      </c>
      <c r="AM23" s="110">
        <v>0.1875</v>
      </c>
      <c r="AN23" s="211">
        <f>IF('Temperature Profiles'!AA22&gt;17,(0.0068*('Temperature Profiles'!AA22^2) - 0.2129*'Temperature Profiles'!AA22 + 1.6904)*1000,0)</f>
        <v>0</v>
      </c>
      <c r="AO23" s="21"/>
      <c r="AP23" s="110">
        <v>0.1875</v>
      </c>
      <c r="AQ23" s="211">
        <f>IF('Temperature Profiles'!AF22&gt;17,(0.0029*('Temperature Profiles'!AF22^2) - 0.0863*'Temperature Profiles'!AF22 + 0.6808)*1000,0)</f>
        <v>335.79999999999956</v>
      </c>
      <c r="AR23" s="110">
        <v>0.1875</v>
      </c>
      <c r="AS23" s="183">
        <f>IF('Temperature Profiles'!AF22&gt;17,(0.005*('Temperature Profiles'!AF22^2) - 0.1517*'Temperature Profiles'!AF22 + 1.1702)*1000,0)</f>
        <v>502.69999999999993</v>
      </c>
      <c r="AT23" s="110">
        <v>0.1875</v>
      </c>
      <c r="AU23" s="211">
        <f>IF('Temperature Profiles'!AF22&gt;17,(0.0068*('Temperature Profiles'!AF22^2) - 0.2129*'Temperature Profiles'!AF22 + 1.6904)*1000,0)</f>
        <v>617.90000000000009</v>
      </c>
      <c r="AV23" s="21"/>
      <c r="AW23" s="110">
        <v>0.1875</v>
      </c>
      <c r="AX23" s="211"/>
      <c r="AY23" s="21"/>
      <c r="AZ23" s="110">
        <v>0.1875</v>
      </c>
      <c r="BA23" s="264"/>
      <c r="BC23" s="260">
        <v>0.1875</v>
      </c>
      <c r="BD23" s="211">
        <f>IF('Temperature Profiles'!G22&lt;16,(-0.0037*'Temperature Profiles'!G22+0.0664)*1000,0)</f>
        <v>24.68249999999999</v>
      </c>
      <c r="BE23" s="110">
        <v>0.1875</v>
      </c>
      <c r="BF23" s="211">
        <f>IF('Temperature Profiles'!G22&lt;16,(-0.0076*'Temperature Profiles'!G22+0.1245)*1000,0)</f>
        <v>38.809999999999981</v>
      </c>
      <c r="BG23" s="110">
        <v>0.1875</v>
      </c>
      <c r="BH23" s="211">
        <f>IF('Temperature Profiles'!G22&lt;16,(-0.01*'Temperature Profiles'!G22+0.167)*1000,0)</f>
        <v>54.249999999999993</v>
      </c>
      <c r="BI23" s="21"/>
      <c r="BJ23" s="110">
        <v>0.1875</v>
      </c>
      <c r="BK23" s="211">
        <f>IF('Temperature Profiles'!L22&lt;16,(-0.0037*'Temperature Profiles'!L22+0.0664)*1000,0)</f>
        <v>0</v>
      </c>
      <c r="BL23" s="110">
        <v>0.1875</v>
      </c>
      <c r="BM23" s="211">
        <f>IF('Temperature Profiles'!L22&lt;16,(-0.0076*'Temperature Profiles'!L22+0.1245)*1000,0)</f>
        <v>0</v>
      </c>
      <c r="BN23" s="110">
        <v>0.1875</v>
      </c>
      <c r="BO23" s="211">
        <f>IF('Temperature Profiles'!L22&lt;16,(-0.01*'Temperature Profiles'!L22+0.167)*1000,0)</f>
        <v>0</v>
      </c>
      <c r="BP23" s="21"/>
      <c r="BQ23" s="110">
        <v>0.1875</v>
      </c>
      <c r="BR23" s="211">
        <f>IF('Temperature Profiles'!Q22&lt;16,(-0.0037*'Temperature Profiles'!Q22+0.0664)*1000,0)</f>
        <v>0</v>
      </c>
      <c r="BS23" s="110">
        <v>0.1875</v>
      </c>
      <c r="BT23" s="211">
        <f>IF('Temperature Profiles'!Q22&lt;16,(-0.0076*'Temperature Profiles'!Q22+0.1245)*1000,0)</f>
        <v>0</v>
      </c>
      <c r="BU23" s="110">
        <v>0.1875</v>
      </c>
      <c r="BV23" s="211">
        <f>IF('Temperature Profiles'!Q22&lt;16,(-0.01*'Temperature Profiles'!Q22+0.167)*1000,0)</f>
        <v>0</v>
      </c>
      <c r="BW23" s="21"/>
      <c r="BX23" s="110">
        <v>0.1875</v>
      </c>
      <c r="BY23" s="211">
        <f>IF('Temperature Profiles'!V22&lt;16,(-0.0037*'Temperature Profiles'!V22+0.0664)*1000,0)</f>
        <v>0</v>
      </c>
      <c r="BZ23" s="110">
        <v>0.1875</v>
      </c>
      <c r="CA23" s="211">
        <f>IF('Temperature Profiles'!V22&lt;16,(-0.0076*'Temperature Profiles'!V22+0.1245)*1000,0)</f>
        <v>0</v>
      </c>
      <c r="CB23" s="110">
        <v>0.1875</v>
      </c>
      <c r="CC23" s="211">
        <f>IF('Temperature Profiles'!V22&lt;16,(-0.01*'Temperature Profiles'!V22+0.167)*1000,0)</f>
        <v>0</v>
      </c>
      <c r="CD23" s="21"/>
      <c r="CE23" s="110">
        <v>0.1875</v>
      </c>
      <c r="CF23" s="211">
        <f>IF('Temperature Profiles'!AA22&lt;16,(-0.0037*'Temperature Profiles'!AA22+0.0664)*1000,0)</f>
        <v>136.94666666666666</v>
      </c>
      <c r="CG23" s="110">
        <v>0.1875</v>
      </c>
      <c r="CH23" s="178">
        <f>IF('Temperature Profiles'!AA22&lt;16,(-0.0076*'Temperature Profiles'!AA22+0.1245)*1000,0)</f>
        <v>269.40666666666669</v>
      </c>
      <c r="CI23" s="110">
        <v>0.1875</v>
      </c>
      <c r="CJ23" s="211">
        <f>IF('Temperature Profiles'!AA22&lt;16,(-0.01*'Temperature Profiles'!AA22+0.167)*1000,0)</f>
        <v>357.66666666666669</v>
      </c>
      <c r="CK23" s="21"/>
      <c r="CL23" s="110">
        <v>0.1875</v>
      </c>
      <c r="CM23" s="211">
        <f>IF('Temperature Profiles'!AF22&lt;16,(-0.0037*'Temperature Profiles'!AF22+0.0664)*1000,0)</f>
        <v>0</v>
      </c>
      <c r="CN23" s="110">
        <v>0.1875</v>
      </c>
      <c r="CO23" s="178">
        <f>IF('Temperature Profiles'!AF22&lt;16,(-0.0076*'Temperature Profiles'!AF22+0.1245)*1000,0)</f>
        <v>0</v>
      </c>
      <c r="CP23" s="110">
        <v>0.1875</v>
      </c>
      <c r="CQ23" s="211">
        <f>IF('Temperature Profiles'!AF22&lt;16,(-0.01*'Temperature Profiles'!AF22+0.167)*1000,0)</f>
        <v>0</v>
      </c>
      <c r="CR23" s="21"/>
      <c r="CS23" s="110">
        <v>0.1875</v>
      </c>
      <c r="CT23" s="211"/>
      <c r="CU23" s="21"/>
      <c r="CV23" s="110">
        <v>0.1875</v>
      </c>
      <c r="CW23" s="264"/>
      <c r="CY23" s="260">
        <v>0.1875</v>
      </c>
      <c r="CZ23" s="178">
        <f>IF('Temperature Profiles'!G22&gt;18,(0.0024*('Temperature Profiles'!G22^2)-0.0581*'Temperature Profiles'!G22+0.3293)*1000,IF('Temperature Profiles'!G22&lt;17,(0.0022*('Temperature Profiles'!G22^2)-0.0874*'Temperature Profiles'!G22+0.9301)*1000,0))</f>
        <v>224.34137499999986</v>
      </c>
      <c r="DA23" s="110">
        <v>0.1875</v>
      </c>
      <c r="DB23" s="263">
        <f>IF('Temperature Profiles'!G22&gt;18,(0.0043*('Temperature Profiles'!G22^2)-0.1116*'Temperature Profiles'!G22+0.6576)*1000,IF('Temperature Profiles'!G22&lt;17,(0.0053*('Temperature Profiles'!G22^2)-0.1876*'Temperature Profiles'!G22+1.7649)*1000,0))</f>
        <v>323.4758124999999</v>
      </c>
      <c r="DC23" s="110">
        <v>0.1875</v>
      </c>
      <c r="DD23" s="211">
        <f>IF('Temperature Profiles'!G22&gt;18,(0.0057*('Temperature Profiles'!G22^2)-0.1509*'Temperature Profiles'!G22+0.8935)*1000,IF('Temperature Profiles'!G22&lt;17,(0.0072*('Temperature Profiles'!G22^2)-0.254*'Temperature Profiles'!G22+2.3952)*1000,0))</f>
        <v>446.65449999999976</v>
      </c>
      <c r="DE23" s="21"/>
      <c r="DF23" s="110">
        <v>0.1875</v>
      </c>
      <c r="DG23" s="209">
        <f>IF('Temperature Profiles'!L22&gt;18,(0.0024*('Temperature Profiles'!L22^2)-0.0581*'Temperature Profiles'!L22+0.3293)*1000,IF('Temperature Profiles'!L22&lt;17,(0.0022*('Temperature Profiles'!L22^2)-0.0874*'Temperature Profiles'!L22+0.9301)*1000,0))</f>
        <v>169.38333333333327</v>
      </c>
      <c r="DH23" s="110">
        <v>0.1875</v>
      </c>
      <c r="DI23" s="209">
        <f>IF('Temperature Profiles'!L22&gt;18,(0.0043*('Temperature Profiles'!L22^2)-0.1116*'Temperature Profiles'!L22+0.6576)*1000,IF('Temperature Profiles'!L22&lt;17,(0.0053*('Temperature Profiles'!L22^2)-0.1876*'Temperature Profiles'!L22+1.7649)*1000,0))</f>
        <v>213.18246527777762</v>
      </c>
      <c r="DJ23" s="110">
        <v>0.1875</v>
      </c>
      <c r="DK23" s="211">
        <f>IF('Temperature Profiles'!L22&gt;18,(0.0057*('Temperature Profiles'!L22^2)-0.1509*'Temperature Profiles'!L22+0.8935)*1000,IF('Temperature Profiles'!L22&lt;17,(0.0072*('Temperature Profiles'!L22^2)-0.254*'Temperature Profiles'!L22+2.3952)*1000,0))</f>
        <v>241.99739583333323</v>
      </c>
      <c r="DL23" s="21"/>
      <c r="DM23" s="110">
        <v>0.1875</v>
      </c>
      <c r="DN23" s="209">
        <f>IF('Temperature Profiles'!Q22&gt;18,(0.0024*('Temperature Profiles'!Q22^2)-0.0581*'Temperature Profiles'!Q22+0.3293)*1000,IF('Temperature Profiles'!Q22&lt;17,(0.0022*('Temperature Profiles'!Q22^2)-0.0874*'Temperature Profiles'!Q22+0.9301)*1000,0))</f>
        <v>299.92233333333326</v>
      </c>
      <c r="DO23" s="110">
        <v>0.1875</v>
      </c>
      <c r="DP23" s="209">
        <f>IF('Temperature Profiles'!Q22&gt;18,(0.0043*('Temperature Profiles'!Q22^2)-0.1116*'Temperature Profiles'!Q22+0.6576)*1000,IF('Temperature Profiles'!Q22&lt;17,(0.0053*('Temperature Profiles'!Q22^2)-0.1876*'Temperature Profiles'!Q22+1.7649)*1000,0))</f>
        <v>427.17879861111061</v>
      </c>
      <c r="DQ23" s="110">
        <v>0.1875</v>
      </c>
      <c r="DR23" s="211">
        <f>IF('Temperature Profiles'!Q22&gt;18,(0.0057*('Temperature Profiles'!Q22^2)-0.1509*'Temperature Profiles'!Q22+0.8935)*1000,IF('Temperature Profiles'!Q22&lt;17,(0.0072*('Temperature Profiles'!Q22^2)-0.254*'Temperature Profiles'!Q22+2.3952)*1000,0))</f>
        <v>517.80939583333293</v>
      </c>
      <c r="DS23" s="21"/>
      <c r="DT23" s="110">
        <v>0.1875</v>
      </c>
      <c r="DU23" s="209">
        <f>IF('Temperature Profiles'!V22&gt;18,(0.0024*('Temperature Profiles'!V22^2)-0.0581*'Temperature Profiles'!V22+0.3293)*1000,IF('Temperature Profiles'!V22&lt;17,(0.0022*('Temperature Profiles'!V22^2)-0.0874*'Temperature Profiles'!V22+0.9301)*1000,0))</f>
        <v>0</v>
      </c>
      <c r="DV23" s="110">
        <v>0.1875</v>
      </c>
      <c r="DW23" s="209">
        <f>IF('Temperature Profiles'!V22&gt;18,(0.0043*('Temperature Profiles'!V22^2)-0.1116*'Temperature Profiles'!V22+0.6576)*1000,IF('Temperature Profiles'!V22&lt;17,(0.0053*('Temperature Profiles'!V22^2)-0.1876*'Temperature Profiles'!V22+1.7649)*1000,0))</f>
        <v>0</v>
      </c>
      <c r="DX23" s="110">
        <v>0.1875</v>
      </c>
      <c r="DY23" s="211">
        <f>IF('Temperature Profiles'!V22&gt;18,(0.0057*('Temperature Profiles'!V22^2)-0.1509*'Temperature Profiles'!V22+0.8935)*1000,IF('Temperature Profiles'!V22&lt;17,(0.0072*('Temperature Profiles'!V22^2)-0.254*'Temperature Profiles'!V22+2.3952)*1000,0))</f>
        <v>0</v>
      </c>
      <c r="DZ23" s="21"/>
      <c r="EA23" s="110">
        <v>0.1875</v>
      </c>
      <c r="EB23" s="209">
        <f>IF('Temperature Profiles'!AA121&gt;18,(0.0024*('Temperature Profiles'!AA121^2)-0.0581*'Temperature Profiles'!AA121+0.3293)*1000,IF('Temperature Profiles'!AA121&lt;17,(0.0022*('Temperature Profiles'!AA121^2)-0.0874*'Temperature Profiles'!AA121+0.9301)*1000,0))</f>
        <v>864.38644444444435</v>
      </c>
      <c r="EC23" s="110">
        <v>0.1875</v>
      </c>
      <c r="ED23" s="209">
        <f>IF('Temperature Profiles'!AA121&gt;18,(0.0043*('Temperature Profiles'!AA121^2)-0.1116*'Temperature Profiles'!AA121+0.6576)*1000,IF('Temperature Profiles'!AA121&lt;17,(0.0053*('Temperature Profiles'!AA121^2)-0.1876*'Temperature Profiles'!AA121+1.7649)*1000,0))</f>
        <v>1624.1885555555552</v>
      </c>
      <c r="EE23" s="110">
        <v>0.1875</v>
      </c>
      <c r="EF23" s="211">
        <f>IF('Temperature Profiles'!AA121&gt;18,(0.0057*('Temperature Profiles'!AA121^2)-0.1509*'Temperature Profiles'!AA121+0.8935)*1000,IF('Temperature Profiles'!AA121&lt;17,(0.0072*('Temperature Profiles'!AA121^2)-0.254*'Temperature Profiles'!AA121+2.3952)*1000,0))</f>
        <v>2204.6986666666662</v>
      </c>
      <c r="EG23" s="21"/>
      <c r="EH23" s="110">
        <v>0.1875</v>
      </c>
      <c r="EI23" s="211">
        <f>IF('Temperature Profiles'!AF22&gt;18,(0.0024*('Temperature Profiles'!AF22^2)-0.0581*'Temperature Profiles'!AF22+0.3293)*1000,IF('Temperature Profiles'!AF22&lt;17,(0.0022*('Temperature Profiles'!AF22^2)-0.0874*'Temperature Profiles'!AF22+0.9301)*1000,0))</f>
        <v>376.79999999999984</v>
      </c>
      <c r="EJ23" s="110">
        <v>0.1875</v>
      </c>
      <c r="EK23" s="211">
        <f>IF('Temperature Profiles'!AF22&gt;18,(0.0043*('Temperature Profiles'!AF22^2)-0.1116*'Temperature Profiles'!AF22+0.6576)*1000,IF('Temperature Profiles'!AF22&lt;17,(0.0053*('Temperature Profiles'!AF22^2)-0.1876*'Temperature Profiles'!AF22+1.7649)*1000,0))</f>
        <v>555.09999999999991</v>
      </c>
      <c r="EL23" s="110">
        <v>0.1875</v>
      </c>
      <c r="EM23" s="211">
        <f>IF('Temperature Profiles'!AF22&gt;18,(0.0057*('Temperature Profiles'!AF22^2)-0.1509*'Temperature Profiles'!AF22+0.8935)*1000,IF('Temperature Profiles'!AF22&lt;17,(0.0072*('Temperature Profiles'!AF22^2)-0.254*'Temperature Profiles'!AF22+2.3952)*1000,0))</f>
        <v>683.5</v>
      </c>
      <c r="EN23" s="21"/>
      <c r="EO23" s="110">
        <v>0.1875</v>
      </c>
      <c r="EP23" s="211"/>
      <c r="EQ23" s="21"/>
      <c r="ER23" s="110">
        <v>0.1875</v>
      </c>
      <c r="ES23" s="264"/>
      <c r="EU23" s="260">
        <v>0.1875</v>
      </c>
      <c r="EV23" s="209">
        <f>IF('Temperature Profiles'!AA121&gt;18,(0.0024*('Temperature Profiles'!AA121^2)-0.0581*'Temperature Profiles'!AA121+0.3293)*1000,IF('Temperature Profiles'!AA121&lt;17,(0.0022*('Temperature Profiles'!AA121^2)-0.0874*'Temperature Profiles'!AA121+0.9301)*1000,0))</f>
        <v>864.38644444444435</v>
      </c>
      <c r="EW23" s="110">
        <v>0.1875</v>
      </c>
      <c r="EX23" s="209">
        <f>IF('Temperature Profiles'!AA121&gt;18,(0.0043*('Temperature Profiles'!AA121^2)-0.1116*'Temperature Profiles'!AA121+0.6576)*1000,IF('Temperature Profiles'!AA121&lt;17,(0.0053*('Temperature Profiles'!AA121^2)-0.1876*'Temperature Profiles'!AA121+1.7649)*1000,0))</f>
        <v>1624.1885555555552</v>
      </c>
      <c r="EY23" s="110">
        <v>0.1875</v>
      </c>
      <c r="EZ23" s="264">
        <f>IF('Temperature Profiles'!AA121&gt;18,(0.0057*('Temperature Profiles'!AA121^2)-0.1509*'Temperature Profiles'!AA121+0.8935)*1000,IF('Temperature Profiles'!AA121&lt;17,(0.0072*('Temperature Profiles'!AA121^2)-0.254*'Temperature Profiles'!AA121+2.3952)*1000,0))</f>
        <v>2204.6986666666662</v>
      </c>
    </row>
    <row r="24" spans="1:156" x14ac:dyDescent="0.3">
      <c r="A24" s="108">
        <v>0.1875</v>
      </c>
      <c r="B24" s="226">
        <f t="shared" si="0"/>
        <v>0</v>
      </c>
      <c r="C24" s="21">
        <f t="shared" si="1"/>
        <v>357.66666666666669</v>
      </c>
      <c r="D24" s="20">
        <f t="shared" si="2"/>
        <v>2204.6986666666662</v>
      </c>
      <c r="E24" s="20">
        <f t="shared" si="3"/>
        <v>2204.6986666666662</v>
      </c>
      <c r="G24" s="260">
        <v>0.19791666666666699</v>
      </c>
      <c r="H24" s="211">
        <f>IF('Temperature Profiles'!G23&gt;17,(0.0029*('Temperature Profiles'!G23^2) - 0.0863*'Temperature Profiles'!G23 + 0.6808)*1000,0)</f>
        <v>0</v>
      </c>
      <c r="I24" s="110">
        <v>0.19791666666666699</v>
      </c>
      <c r="J24" s="211">
        <f>IF('Temperature Profiles'!G23&gt;17,(0.005*('Temperature Profiles'!G23^2) - 0.1517*'Temperature Profiles'!G23 + 1.1702)*1000,0)</f>
        <v>0</v>
      </c>
      <c r="K24" s="110">
        <v>0.19791666666666699</v>
      </c>
      <c r="L24" s="211">
        <f>IF('Temperature Profiles'!G23&gt;17,(0.0068*('Temperature Profiles'!G23^2) - 0.2129*'Temperature Profiles'!G23 + 1.6904)*1000,0)</f>
        <v>0</v>
      </c>
      <c r="M24" s="21"/>
      <c r="N24" s="110">
        <v>0.19791666666666699</v>
      </c>
      <c r="O24" s="211">
        <f>IF('Temperature Profiles'!L23&gt;17,(0.0029*('Temperature Profiles'!L23^2) - 0.0863*'Temperature Profiles'!L23 + 0.6808)*1000,0)</f>
        <v>148.88420138888881</v>
      </c>
      <c r="P24" s="110">
        <v>0.19791666666666699</v>
      </c>
      <c r="Q24" s="211">
        <f>IF('Temperature Profiles'!L23&gt;17,(0.005*('Temperature Profiles'!L23^2) - 0.1517*'Temperature Profiles'!L23 + 1.1702)*1000,0)</f>
        <v>191.93784722222196</v>
      </c>
      <c r="R24" s="110">
        <v>0.19791666666666699</v>
      </c>
      <c r="S24" s="211">
        <f>IF('Temperature Profiles'!L23&gt;17,(0.0068*('Temperature Profiles'!L23^2) - 0.2129*'Temperature Profiles'!L23 + 1.6904)*1000,0)</f>
        <v>221.3409722222215</v>
      </c>
      <c r="T24" s="21"/>
      <c r="U24" s="110">
        <v>0.19791666666666699</v>
      </c>
      <c r="V24" s="211">
        <f>IF('Temperature Profiles'!Q23&gt;17,(0.0029*('Temperature Profiles'!Q23^2) - 0.0863*'Temperature Profiles'!Q23 + 0.6808)*1000,0)</f>
        <v>263.9648680555552</v>
      </c>
      <c r="W24" s="110">
        <v>0.19791666666666699</v>
      </c>
      <c r="X24" s="211">
        <f>IF('Temperature Profiles'!Q23&gt;17,(0.005*('Temperature Profiles'!Q23^2) - 0.1517*'Temperature Profiles'!Q23 + 1.1702)*1000,0)</f>
        <v>382.64951388888858</v>
      </c>
      <c r="Y24" s="110">
        <v>0.19791666666666699</v>
      </c>
      <c r="Z24" s="211">
        <f>IF('Temperature Profiles'!Q23&gt;17,(0.0068*('Temperature Profiles'!Q23^2) - 0.2129*'Temperature Profiles'!Q23 + 1.6904)*1000,0)</f>
        <v>463.25063888888798</v>
      </c>
      <c r="AA24" s="21"/>
      <c r="AB24" s="110">
        <v>0.19791666666666699</v>
      </c>
      <c r="AC24" s="211">
        <f>IF('Temperature Profiles'!V23&gt;17,(0.0029*('Temperature Profiles'!V23^2) - 0.0863*'Temperature Profiles'!V23 + 0.6808)*1000,0)</f>
        <v>54.375999999999756</v>
      </c>
      <c r="AD24" s="110">
        <v>0.19791666666666699</v>
      </c>
      <c r="AE24" s="211">
        <f>IF('Temperature Profiles'!V23&gt;17,(0.005*('Temperature Profiles'!V23^2) - 0.1517*'Temperature Profiles'!V23 + 1.1702)*1000,0)</f>
        <v>40.159999999999755</v>
      </c>
      <c r="AF24" s="110">
        <v>0.19791666666666699</v>
      </c>
      <c r="AG24" s="211">
        <f>IF('Temperature Profiles'!V23&gt;17,(0.0068*('Temperature Profiles'!V23^2) - 0.2129*'Temperature Profiles'!V23 + 1.6904)*1000,0)</f>
        <v>40.231999999999601</v>
      </c>
      <c r="AH24" s="21"/>
      <c r="AI24" s="110">
        <v>0.19791666666666699</v>
      </c>
      <c r="AJ24" s="211">
        <f>IF('Temperature Profiles'!AA23&gt;17,(0.0029*('Temperature Profiles'!AA23^2) - 0.0863*'Temperature Profiles'!AA23 + 0.6808)*1000,0)</f>
        <v>0</v>
      </c>
      <c r="AK24" s="110">
        <v>0.19791666666666699</v>
      </c>
      <c r="AL24" s="211">
        <f>IF('Temperature Profiles'!AA23&gt;17,(0.005*('Temperature Profiles'!AA23^2) - 0.1517*'Temperature Profiles'!AA23 + 1.1701)*1000,0)</f>
        <v>0</v>
      </c>
      <c r="AM24" s="110">
        <v>0.19791666666666699</v>
      </c>
      <c r="AN24" s="211">
        <f>IF('Temperature Profiles'!AA23&gt;17,(0.0068*('Temperature Profiles'!AA23^2) - 0.2129*'Temperature Profiles'!AA23 + 1.6904)*1000,0)</f>
        <v>0</v>
      </c>
      <c r="AO24" s="21"/>
      <c r="AP24" s="110">
        <v>0.19791666666666699</v>
      </c>
      <c r="AQ24" s="211">
        <f>IF('Temperature Profiles'!AF23&gt;17,(0.0029*('Temperature Profiles'!AF23^2) - 0.0863*'Temperature Profiles'!AF23 + 0.6808)*1000,0)</f>
        <v>335.79999999999956</v>
      </c>
      <c r="AR24" s="110">
        <v>0.19791666666666699</v>
      </c>
      <c r="AS24" s="183">
        <f>IF('Temperature Profiles'!AF23&gt;17,(0.005*('Temperature Profiles'!AF23^2) - 0.1517*'Temperature Profiles'!AF23 + 1.1702)*1000,0)</f>
        <v>502.69999999999993</v>
      </c>
      <c r="AT24" s="110">
        <v>0.19791666666666699</v>
      </c>
      <c r="AU24" s="211">
        <f>IF('Temperature Profiles'!AF23&gt;17,(0.0068*('Temperature Profiles'!AF23^2) - 0.2129*'Temperature Profiles'!AF23 + 1.6904)*1000,0)</f>
        <v>617.90000000000009</v>
      </c>
      <c r="AV24" s="21"/>
      <c r="AW24" s="110">
        <v>0.19791666666666699</v>
      </c>
      <c r="AX24" s="211"/>
      <c r="AY24" s="21"/>
      <c r="AZ24" s="110">
        <v>0.19791666666666699</v>
      </c>
      <c r="BA24" s="264"/>
      <c r="BC24" s="260">
        <v>0.19791666666666699</v>
      </c>
      <c r="BD24" s="211">
        <f>IF('Temperature Profiles'!G23&lt;16,(-0.0037*'Temperature Profiles'!G23+0.0664)*1000,0)</f>
        <v>24.68249999999999</v>
      </c>
      <c r="BE24" s="110">
        <v>0.19791666666666699</v>
      </c>
      <c r="BF24" s="211">
        <f>IF('Temperature Profiles'!G23&lt;16,(-0.0076*'Temperature Profiles'!G23+0.1245)*1000,0)</f>
        <v>38.809999999999981</v>
      </c>
      <c r="BG24" s="110">
        <v>0.19791666666666699</v>
      </c>
      <c r="BH24" s="211">
        <f>IF('Temperature Profiles'!G23&lt;16,(-0.01*'Temperature Profiles'!G23+0.167)*1000,0)</f>
        <v>54.249999999999993</v>
      </c>
      <c r="BI24" s="21"/>
      <c r="BJ24" s="110">
        <v>0.19791666666666699</v>
      </c>
      <c r="BK24" s="211">
        <f>IF('Temperature Profiles'!L23&lt;16,(-0.0037*'Temperature Profiles'!L23+0.0664)*1000,0)</f>
        <v>0</v>
      </c>
      <c r="BL24" s="110">
        <v>0.19791666666666699</v>
      </c>
      <c r="BM24" s="211">
        <f>IF('Temperature Profiles'!L23&lt;16,(-0.0076*'Temperature Profiles'!L23+0.1245)*1000,0)</f>
        <v>0</v>
      </c>
      <c r="BN24" s="110">
        <v>0.19791666666666699</v>
      </c>
      <c r="BO24" s="211">
        <f>IF('Temperature Profiles'!L23&lt;16,(-0.01*'Temperature Profiles'!L23+0.167)*1000,0)</f>
        <v>0</v>
      </c>
      <c r="BP24" s="21"/>
      <c r="BQ24" s="110">
        <v>0.19791666666666699</v>
      </c>
      <c r="BR24" s="211">
        <f>IF('Temperature Profiles'!Q23&lt;16,(-0.0037*'Temperature Profiles'!Q23+0.0664)*1000,0)</f>
        <v>0</v>
      </c>
      <c r="BS24" s="110">
        <v>0.19791666666666699</v>
      </c>
      <c r="BT24" s="211">
        <f>IF('Temperature Profiles'!Q23&lt;16,(-0.0076*'Temperature Profiles'!Q23+0.1245)*1000,0)</f>
        <v>0</v>
      </c>
      <c r="BU24" s="110">
        <v>0.19791666666666699</v>
      </c>
      <c r="BV24" s="211">
        <f>IF('Temperature Profiles'!Q23&lt;16,(-0.01*'Temperature Profiles'!Q23+0.167)*1000,0)</f>
        <v>0</v>
      </c>
      <c r="BW24" s="21"/>
      <c r="BX24" s="110">
        <v>0.19791666666666699</v>
      </c>
      <c r="BY24" s="211">
        <f>IF('Temperature Profiles'!V23&lt;16,(-0.0037*'Temperature Profiles'!V23+0.0664)*1000,0)</f>
        <v>0</v>
      </c>
      <c r="BZ24" s="110">
        <v>0.19791666666666699</v>
      </c>
      <c r="CA24" s="211">
        <f>IF('Temperature Profiles'!V23&lt;16,(-0.0076*'Temperature Profiles'!V23+0.1245)*1000,0)</f>
        <v>0</v>
      </c>
      <c r="CB24" s="110">
        <v>0.19791666666666699</v>
      </c>
      <c r="CC24" s="211">
        <f>IF('Temperature Profiles'!V23&lt;16,(-0.01*'Temperature Profiles'!V23+0.167)*1000,0)</f>
        <v>0</v>
      </c>
      <c r="CD24" s="21"/>
      <c r="CE24" s="110">
        <v>0.19791666666666699</v>
      </c>
      <c r="CF24" s="211">
        <f>IF('Temperature Profiles'!AA23&lt;16,(-0.0037*'Temperature Profiles'!AA23+0.0664)*1000,0)</f>
        <v>136.94666666666666</v>
      </c>
      <c r="CG24" s="110">
        <v>0.19791666666666699</v>
      </c>
      <c r="CH24" s="178">
        <f>IF('Temperature Profiles'!AA23&lt;16,(-0.0076*'Temperature Profiles'!AA23+0.1245)*1000,0)</f>
        <v>269.40666666666669</v>
      </c>
      <c r="CI24" s="110">
        <v>0.19791666666666699</v>
      </c>
      <c r="CJ24" s="211">
        <f>IF('Temperature Profiles'!AA23&lt;16,(-0.01*'Temperature Profiles'!AA23+0.167)*1000,0)</f>
        <v>357.66666666666669</v>
      </c>
      <c r="CK24" s="21"/>
      <c r="CL24" s="110">
        <v>0.19791666666666699</v>
      </c>
      <c r="CM24" s="211">
        <f>IF('Temperature Profiles'!AF23&lt;16,(-0.0037*'Temperature Profiles'!AF23+0.0664)*1000,0)</f>
        <v>0</v>
      </c>
      <c r="CN24" s="110">
        <v>0.19791666666666699</v>
      </c>
      <c r="CO24" s="178">
        <f>IF('Temperature Profiles'!AF23&lt;16,(-0.0076*'Temperature Profiles'!AF23+0.1245)*1000,0)</f>
        <v>0</v>
      </c>
      <c r="CP24" s="110">
        <v>0.19791666666666699</v>
      </c>
      <c r="CQ24" s="211">
        <f>IF('Temperature Profiles'!AF23&lt;16,(-0.01*'Temperature Profiles'!AF23+0.167)*1000,0)</f>
        <v>0</v>
      </c>
      <c r="CR24" s="21"/>
      <c r="CS24" s="110">
        <v>0.19791666666666699</v>
      </c>
      <c r="CT24" s="211"/>
      <c r="CU24" s="21"/>
      <c r="CV24" s="110">
        <v>0.19791666666666699</v>
      </c>
      <c r="CW24" s="264"/>
      <c r="CY24" s="260">
        <v>0.19791666666666699</v>
      </c>
      <c r="CZ24" s="178">
        <f>IF('Temperature Profiles'!G23&gt;18,(0.0024*('Temperature Profiles'!G23^2)-0.0581*'Temperature Profiles'!G23+0.3293)*1000,IF('Temperature Profiles'!G23&lt;17,(0.0022*('Temperature Profiles'!G23^2)-0.0874*'Temperature Profiles'!G23+0.9301)*1000,0))</f>
        <v>224.34137499999986</v>
      </c>
      <c r="DA24" s="110">
        <v>0.19791666666666699</v>
      </c>
      <c r="DB24" s="263">
        <f>IF('Temperature Profiles'!G23&gt;18,(0.0043*('Temperature Profiles'!G23^2)-0.1116*'Temperature Profiles'!G23+0.6576)*1000,IF('Temperature Profiles'!G23&lt;17,(0.0053*('Temperature Profiles'!G23^2)-0.1876*'Temperature Profiles'!G23+1.7649)*1000,0))</f>
        <v>323.4758124999999</v>
      </c>
      <c r="DC24" s="110">
        <v>0.19791666666666699</v>
      </c>
      <c r="DD24" s="211">
        <f>IF('Temperature Profiles'!G23&gt;18,(0.0057*('Temperature Profiles'!G23^2)-0.1509*'Temperature Profiles'!G23+0.8935)*1000,IF('Temperature Profiles'!G23&lt;17,(0.0072*('Temperature Profiles'!G23^2)-0.254*'Temperature Profiles'!G23+2.3952)*1000,0))</f>
        <v>446.65449999999976</v>
      </c>
      <c r="DE24" s="21"/>
      <c r="DF24" s="110">
        <v>0.19791666666666699</v>
      </c>
      <c r="DG24" s="209">
        <f>IF('Temperature Profiles'!L23&gt;18,(0.0024*('Temperature Profiles'!L23^2)-0.0581*'Temperature Profiles'!L23+0.3293)*1000,IF('Temperature Profiles'!L23&lt;17,(0.0022*('Temperature Profiles'!L23^2)-0.0874*'Temperature Profiles'!L23+0.9301)*1000,0))</f>
        <v>169.38333333333327</v>
      </c>
      <c r="DH24" s="110">
        <v>0.19791666666666699</v>
      </c>
      <c r="DI24" s="209">
        <f>IF('Temperature Profiles'!L23&gt;18,(0.0043*('Temperature Profiles'!L23^2)-0.1116*'Temperature Profiles'!L23+0.6576)*1000,IF('Temperature Profiles'!L23&lt;17,(0.0053*('Temperature Profiles'!L23^2)-0.1876*'Temperature Profiles'!L23+1.7649)*1000,0))</f>
        <v>213.18246527777762</v>
      </c>
      <c r="DJ24" s="110">
        <v>0.19791666666666699</v>
      </c>
      <c r="DK24" s="211">
        <f>IF('Temperature Profiles'!L23&gt;18,(0.0057*('Temperature Profiles'!L23^2)-0.1509*'Temperature Profiles'!L23+0.8935)*1000,IF('Temperature Profiles'!L23&lt;17,(0.0072*('Temperature Profiles'!L23^2)-0.254*'Temperature Profiles'!L23+2.3952)*1000,0))</f>
        <v>241.99739583333323</v>
      </c>
      <c r="DL24" s="21"/>
      <c r="DM24" s="110">
        <v>0.19791666666666699</v>
      </c>
      <c r="DN24" s="209">
        <f>IF('Temperature Profiles'!Q23&gt;18,(0.0024*('Temperature Profiles'!Q23^2)-0.0581*'Temperature Profiles'!Q23+0.3293)*1000,IF('Temperature Profiles'!Q23&lt;17,(0.0022*('Temperature Profiles'!Q23^2)-0.0874*'Temperature Profiles'!Q23+0.9301)*1000,0))</f>
        <v>299.92233333333326</v>
      </c>
      <c r="DO24" s="110">
        <v>0.19791666666666699</v>
      </c>
      <c r="DP24" s="209">
        <f>IF('Temperature Profiles'!Q23&gt;18,(0.0043*('Temperature Profiles'!Q23^2)-0.1116*'Temperature Profiles'!Q23+0.6576)*1000,IF('Temperature Profiles'!Q23&lt;17,(0.0053*('Temperature Profiles'!Q23^2)-0.1876*'Temperature Profiles'!Q23+1.7649)*1000,0))</f>
        <v>427.17879861111061</v>
      </c>
      <c r="DQ24" s="110">
        <v>0.19791666666666699</v>
      </c>
      <c r="DR24" s="211">
        <f>IF('Temperature Profiles'!Q23&gt;18,(0.0057*('Temperature Profiles'!Q23^2)-0.1509*'Temperature Profiles'!Q23+0.8935)*1000,IF('Temperature Profiles'!Q23&lt;17,(0.0072*('Temperature Profiles'!Q23^2)-0.254*'Temperature Profiles'!Q23+2.3952)*1000,0))</f>
        <v>517.80939583333293</v>
      </c>
      <c r="DS24" s="21"/>
      <c r="DT24" s="110">
        <v>0.19791666666666699</v>
      </c>
      <c r="DU24" s="209">
        <f>IF('Temperature Profiles'!V23&gt;18,(0.0024*('Temperature Profiles'!V23^2)-0.0581*'Temperature Profiles'!V23+0.3293)*1000,IF('Temperature Profiles'!V23&lt;17,(0.0022*('Temperature Profiles'!V23^2)-0.0874*'Temperature Profiles'!V23+0.9301)*1000,0))</f>
        <v>0</v>
      </c>
      <c r="DV24" s="110">
        <v>0.19791666666666699</v>
      </c>
      <c r="DW24" s="209">
        <f>IF('Temperature Profiles'!V23&gt;18,(0.0043*('Temperature Profiles'!V23^2)-0.1116*'Temperature Profiles'!V23+0.6576)*1000,IF('Temperature Profiles'!V23&lt;17,(0.0053*('Temperature Profiles'!V23^2)-0.1876*'Temperature Profiles'!V23+1.7649)*1000,0))</f>
        <v>0</v>
      </c>
      <c r="DX24" s="110">
        <v>0.19791666666666699</v>
      </c>
      <c r="DY24" s="211">
        <f>IF('Temperature Profiles'!V23&gt;18,(0.0057*('Temperature Profiles'!V23^2)-0.1509*'Temperature Profiles'!V23+0.8935)*1000,IF('Temperature Profiles'!V23&lt;17,(0.0072*('Temperature Profiles'!V23^2)-0.254*'Temperature Profiles'!V23+2.3952)*1000,0))</f>
        <v>0</v>
      </c>
      <c r="DZ24" s="21"/>
      <c r="EA24" s="110">
        <v>0.19791666666666699</v>
      </c>
      <c r="EB24" s="209">
        <f>IF('Temperature Profiles'!AA122&gt;18,(0.0024*('Temperature Profiles'!AA122^2)-0.0581*'Temperature Profiles'!AA122+0.3293)*1000,IF('Temperature Profiles'!AA122&lt;17,(0.0022*('Temperature Profiles'!AA122^2)-0.0874*'Temperature Profiles'!AA122+0.9301)*1000,0))</f>
        <v>864.38644444444435</v>
      </c>
      <c r="EC24" s="110">
        <v>0.19791666666666699</v>
      </c>
      <c r="ED24" s="209">
        <f>IF('Temperature Profiles'!AA122&gt;18,(0.0043*('Temperature Profiles'!AA122^2)-0.1116*'Temperature Profiles'!AA122+0.6576)*1000,IF('Temperature Profiles'!AA122&lt;17,(0.0053*('Temperature Profiles'!AA122^2)-0.1876*'Temperature Profiles'!AA122+1.7649)*1000,0))</f>
        <v>1624.1885555555552</v>
      </c>
      <c r="EE24" s="110">
        <v>0.19791666666666699</v>
      </c>
      <c r="EF24" s="211">
        <f>IF('Temperature Profiles'!AA122&gt;18,(0.0057*('Temperature Profiles'!AA122^2)-0.1509*'Temperature Profiles'!AA122+0.8935)*1000,IF('Temperature Profiles'!AA122&lt;17,(0.0072*('Temperature Profiles'!AA122^2)-0.254*'Temperature Profiles'!AA122+2.3952)*1000,0))</f>
        <v>2204.6986666666662</v>
      </c>
      <c r="EG24" s="21"/>
      <c r="EH24" s="110">
        <v>0.19791666666666699</v>
      </c>
      <c r="EI24" s="211">
        <f>IF('Temperature Profiles'!AF23&gt;18,(0.0024*('Temperature Profiles'!AF23^2)-0.0581*'Temperature Profiles'!AF23+0.3293)*1000,IF('Temperature Profiles'!AF23&lt;17,(0.0022*('Temperature Profiles'!AF23^2)-0.0874*'Temperature Profiles'!AF23+0.9301)*1000,0))</f>
        <v>376.79999999999984</v>
      </c>
      <c r="EJ24" s="110">
        <v>0.19791666666666699</v>
      </c>
      <c r="EK24" s="211">
        <f>IF('Temperature Profiles'!AF23&gt;18,(0.0043*('Temperature Profiles'!AF23^2)-0.1116*'Temperature Profiles'!AF23+0.6576)*1000,IF('Temperature Profiles'!AF23&lt;17,(0.0053*('Temperature Profiles'!AF23^2)-0.1876*'Temperature Profiles'!AF23+1.7649)*1000,0))</f>
        <v>555.09999999999991</v>
      </c>
      <c r="EL24" s="110">
        <v>0.19791666666666699</v>
      </c>
      <c r="EM24" s="211">
        <f>IF('Temperature Profiles'!AF23&gt;18,(0.0057*('Temperature Profiles'!AF23^2)-0.1509*'Temperature Profiles'!AF23+0.8935)*1000,IF('Temperature Profiles'!AF23&lt;17,(0.0072*('Temperature Profiles'!AF23^2)-0.254*'Temperature Profiles'!AF23+2.3952)*1000,0))</f>
        <v>683.5</v>
      </c>
      <c r="EN24" s="21"/>
      <c r="EO24" s="110">
        <v>0.19791666666666699</v>
      </c>
      <c r="EP24" s="211"/>
      <c r="EQ24" s="21"/>
      <c r="ER24" s="110">
        <v>0.19791666666666699</v>
      </c>
      <c r="ES24" s="264"/>
      <c r="EU24" s="260">
        <v>0.19791666666666699</v>
      </c>
      <c r="EV24" s="209">
        <f>IF('Temperature Profiles'!AA122&gt;18,(0.0024*('Temperature Profiles'!AA122^2)-0.0581*'Temperature Profiles'!AA122+0.3293)*1000,IF('Temperature Profiles'!AA122&lt;17,(0.0022*('Temperature Profiles'!AA122^2)-0.0874*'Temperature Profiles'!AA122+0.9301)*1000,0))</f>
        <v>864.38644444444435</v>
      </c>
      <c r="EW24" s="110">
        <v>0.19791666666666699</v>
      </c>
      <c r="EX24" s="209">
        <f>IF('Temperature Profiles'!AA122&gt;18,(0.0043*('Temperature Profiles'!AA122^2)-0.1116*'Temperature Profiles'!AA122+0.6576)*1000,IF('Temperature Profiles'!AA122&lt;17,(0.0053*('Temperature Profiles'!AA122^2)-0.1876*'Temperature Profiles'!AA122+1.7649)*1000,0))</f>
        <v>1624.1885555555552</v>
      </c>
      <c r="EY24" s="110">
        <v>0.19791666666666699</v>
      </c>
      <c r="EZ24" s="264">
        <f>IF('Temperature Profiles'!AA122&gt;18,(0.0057*('Temperature Profiles'!AA122^2)-0.1509*'Temperature Profiles'!AA122+0.8935)*1000,IF('Temperature Profiles'!AA122&lt;17,(0.0072*('Temperature Profiles'!AA122^2)-0.254*'Temperature Profiles'!AA122+2.3952)*1000,0))</f>
        <v>2204.6986666666662</v>
      </c>
    </row>
    <row r="25" spans="1:156" x14ac:dyDescent="0.3">
      <c r="A25" s="108">
        <v>0.19791666666666699</v>
      </c>
      <c r="B25" s="226">
        <f t="shared" si="0"/>
        <v>0</v>
      </c>
      <c r="C25" s="21">
        <f t="shared" si="1"/>
        <v>357.66666666666669</v>
      </c>
      <c r="D25" s="20">
        <f t="shared" si="2"/>
        <v>2204.6986666666662</v>
      </c>
      <c r="E25" s="20">
        <f t="shared" si="3"/>
        <v>2204.6986666666662</v>
      </c>
      <c r="G25" s="260">
        <v>0.20833333333333301</v>
      </c>
      <c r="H25" s="211">
        <f>IF('Temperature Profiles'!G24&gt;17,(0.0029*('Temperature Profiles'!G24^2) - 0.0863*'Temperature Profiles'!G24 + 0.6808)*1000,0)</f>
        <v>0</v>
      </c>
      <c r="I25" s="110">
        <v>0.20833333333333301</v>
      </c>
      <c r="J25" s="211">
        <f>IF('Temperature Profiles'!G24&gt;17,(0.005*('Temperature Profiles'!G24^2) - 0.1517*'Temperature Profiles'!G24 + 1.1702)*1000,0)</f>
        <v>0</v>
      </c>
      <c r="K25" s="110">
        <v>0.20833333333333301</v>
      </c>
      <c r="L25" s="211">
        <f>IF('Temperature Profiles'!G24&gt;17,(0.0068*('Temperature Profiles'!G24^2) - 0.2129*'Temperature Profiles'!G24 + 1.6904)*1000,0)</f>
        <v>0</v>
      </c>
      <c r="M25" s="21"/>
      <c r="N25" s="110">
        <v>0.20833333333333301</v>
      </c>
      <c r="O25" s="211">
        <f>IF('Temperature Profiles'!L24&gt;17,(0.0029*('Temperature Profiles'!L24^2) - 0.0863*'Temperature Profiles'!L24 + 0.6808)*1000,0)</f>
        <v>127.67847222222206</v>
      </c>
      <c r="P25" s="110">
        <v>0.20833333333333301</v>
      </c>
      <c r="Q25" s="211">
        <f>IF('Temperature Profiles'!L24&gt;17,(0.005*('Temperature Profiles'!L24^2) - 0.1517*'Temperature Profiles'!L24 + 1.1702)*1000,0)</f>
        <v>157.19305555555562</v>
      </c>
      <c r="R25" s="110">
        <v>0.20833333333333301</v>
      </c>
      <c r="S25" s="211">
        <f>IF('Temperature Profiles'!L24&gt;17,(0.0068*('Temperature Profiles'!L24^2) - 0.2129*'Temperature Profiles'!L24 + 1.6904)*1000,0)</f>
        <v>178.20555555555507</v>
      </c>
      <c r="T25" s="21"/>
      <c r="U25" s="110">
        <v>0.20833333333333301</v>
      </c>
      <c r="V25" s="211">
        <f>IF('Temperature Profiles'!Q24&gt;17,(0.0029*('Temperature Profiles'!Q24^2) - 0.0863*'Temperature Profiles'!Q24 + 0.6808)*1000,0)</f>
        <v>274.73899999999952</v>
      </c>
      <c r="W25" s="110">
        <v>0.20833333333333301</v>
      </c>
      <c r="X25" s="211">
        <f>IF('Temperature Profiles'!Q24&gt;17,(0.005*('Temperature Profiles'!Q24^2) - 0.1517*'Temperature Profiles'!Q24 + 1.1702)*1000,0)</f>
        <v>400.62</v>
      </c>
      <c r="Y25" s="110">
        <v>0.20833333333333301</v>
      </c>
      <c r="Z25" s="211">
        <f>IF('Temperature Profiles'!Q24&gt;17,(0.0068*('Temperature Profiles'!Q24^2) - 0.2129*'Temperature Profiles'!Q24 + 1.6904)*1000,0)</f>
        <v>486.31799999999936</v>
      </c>
      <c r="AA25" s="21"/>
      <c r="AB25" s="110">
        <v>0.20833333333333301</v>
      </c>
      <c r="AC25" s="211">
        <f>IF('Temperature Profiles'!V24&gt;17,(0.0029*('Temperature Profiles'!V24^2) - 0.0863*'Temperature Profiles'!V24 + 0.6808)*1000,0)</f>
        <v>54.375999999999756</v>
      </c>
      <c r="AD25" s="110">
        <v>0.20833333333333301</v>
      </c>
      <c r="AE25" s="211">
        <f>IF('Temperature Profiles'!V24&gt;17,(0.005*('Temperature Profiles'!V24^2) - 0.1517*'Temperature Profiles'!V24 + 1.1702)*1000,0)</f>
        <v>40.159999999999755</v>
      </c>
      <c r="AF25" s="110">
        <v>0.20833333333333301</v>
      </c>
      <c r="AG25" s="211">
        <f>IF('Temperature Profiles'!V24&gt;17,(0.0068*('Temperature Profiles'!V24^2) - 0.2129*'Temperature Profiles'!V24 + 1.6904)*1000,0)</f>
        <v>40.231999999999601</v>
      </c>
      <c r="AH25" s="21"/>
      <c r="AI25" s="110">
        <v>0.20833333333333301</v>
      </c>
      <c r="AJ25" s="211">
        <f>IF('Temperature Profiles'!AA24&gt;17,(0.0029*('Temperature Profiles'!AA24^2) - 0.0863*'Temperature Profiles'!AA24 + 0.6808)*1000,0)</f>
        <v>0</v>
      </c>
      <c r="AK25" s="110">
        <v>0.20833333333333301</v>
      </c>
      <c r="AL25" s="211">
        <f>IF('Temperature Profiles'!AA24&gt;17,(0.005*('Temperature Profiles'!AA24^2) - 0.1517*'Temperature Profiles'!AA24 + 1.1701)*1000,0)</f>
        <v>0</v>
      </c>
      <c r="AM25" s="110">
        <v>0.20833333333333301</v>
      </c>
      <c r="AN25" s="211">
        <f>IF('Temperature Profiles'!AA24&gt;17,(0.0068*('Temperature Profiles'!AA24^2) - 0.2129*'Temperature Profiles'!AA24 + 1.6904)*1000,0)</f>
        <v>0</v>
      </c>
      <c r="AO25" s="21"/>
      <c r="AP25" s="110">
        <v>0.20833333333333301</v>
      </c>
      <c r="AQ25" s="211">
        <f>IF('Temperature Profiles'!AF24&gt;17,(0.0029*('Temperature Profiles'!AF24^2) - 0.0863*'Temperature Profiles'!AF24 + 0.6808)*1000,0)</f>
        <v>328.99113888888922</v>
      </c>
      <c r="AR25" s="110">
        <v>0.20833333333333301</v>
      </c>
      <c r="AS25" s="183">
        <f>IF('Temperature Profiles'!AF24&gt;17,(0.005*('Temperature Profiles'!AF24^2) - 0.1517*'Temperature Profiles'!AF24 + 1.1702)*1000,0)</f>
        <v>491.29972222222261</v>
      </c>
      <c r="AT25" s="110">
        <v>0.20833333333333301</v>
      </c>
      <c r="AU25" s="211">
        <f>IF('Temperature Profiles'!AF24&gt;17,(0.0068*('Temperature Profiles'!AF24^2) - 0.2129*'Temperature Profiles'!AF24 + 1.6904)*1000,0)</f>
        <v>603.16422222222286</v>
      </c>
      <c r="AV25" s="21"/>
      <c r="AW25" s="110">
        <v>0.20833333333333301</v>
      </c>
      <c r="AX25" s="211"/>
      <c r="AY25" s="21"/>
      <c r="AZ25" s="110">
        <v>0.20833333333333301</v>
      </c>
      <c r="BA25" s="264"/>
      <c r="BC25" s="260">
        <v>0.20833333333333301</v>
      </c>
      <c r="BD25" s="211">
        <f>IF('Temperature Profiles'!G24&lt;16,(-0.0037*'Temperature Profiles'!G24+0.0664)*1000,0)</f>
        <v>19.779999999999998</v>
      </c>
      <c r="BE25" s="110">
        <v>0.20833333333333301</v>
      </c>
      <c r="BF25" s="211">
        <f>IF('Temperature Profiles'!G24&lt;16,(-0.0076*'Temperature Profiles'!G24+0.1245)*1000,0)</f>
        <v>28.740000000000002</v>
      </c>
      <c r="BG25" s="110">
        <v>0.20833333333333301</v>
      </c>
      <c r="BH25" s="211">
        <f>IF('Temperature Profiles'!G24&lt;16,(-0.01*'Temperature Profiles'!G24+0.167)*1000,0)</f>
        <v>41.000000000000007</v>
      </c>
      <c r="BI25" s="21"/>
      <c r="BJ25" s="110">
        <v>0.20833333333333301</v>
      </c>
      <c r="BK25" s="211">
        <f>IF('Temperature Profiles'!L24&lt;16,(-0.0037*'Temperature Profiles'!L24+0.0664)*1000,0)</f>
        <v>0</v>
      </c>
      <c r="BL25" s="110">
        <v>0.20833333333333301</v>
      </c>
      <c r="BM25" s="211">
        <f>IF('Temperature Profiles'!L24&lt;16,(-0.0076*'Temperature Profiles'!L24+0.1245)*1000,0)</f>
        <v>0</v>
      </c>
      <c r="BN25" s="110">
        <v>0.20833333333333301</v>
      </c>
      <c r="BO25" s="211">
        <f>IF('Temperature Profiles'!L24&lt;16,(-0.01*'Temperature Profiles'!L24+0.167)*1000,0)</f>
        <v>0</v>
      </c>
      <c r="BP25" s="21"/>
      <c r="BQ25" s="110">
        <v>0.20833333333333301</v>
      </c>
      <c r="BR25" s="211">
        <f>IF('Temperature Profiles'!Q24&lt;16,(-0.0037*'Temperature Profiles'!Q24+0.0664)*1000,0)</f>
        <v>0</v>
      </c>
      <c r="BS25" s="110">
        <v>0.20833333333333301</v>
      </c>
      <c r="BT25" s="211">
        <f>IF('Temperature Profiles'!Q24&lt;16,(-0.0076*'Temperature Profiles'!Q24+0.1245)*1000,0)</f>
        <v>0</v>
      </c>
      <c r="BU25" s="110">
        <v>0.20833333333333301</v>
      </c>
      <c r="BV25" s="211">
        <f>IF('Temperature Profiles'!Q24&lt;16,(-0.01*'Temperature Profiles'!Q24+0.167)*1000,0)</f>
        <v>0</v>
      </c>
      <c r="BW25" s="21"/>
      <c r="BX25" s="110">
        <v>0.20833333333333301</v>
      </c>
      <c r="BY25" s="211">
        <f>IF('Temperature Profiles'!V24&lt;16,(-0.0037*'Temperature Profiles'!V24+0.0664)*1000,0)</f>
        <v>0</v>
      </c>
      <c r="BZ25" s="110">
        <v>0.20833333333333301</v>
      </c>
      <c r="CA25" s="211">
        <f>IF('Temperature Profiles'!V24&lt;16,(-0.0076*'Temperature Profiles'!V24+0.1245)*1000,0)</f>
        <v>0</v>
      </c>
      <c r="CB25" s="110">
        <v>0.20833333333333301</v>
      </c>
      <c r="CC25" s="211">
        <f>IF('Temperature Profiles'!V24&lt;16,(-0.01*'Temperature Profiles'!V24+0.167)*1000,0)</f>
        <v>0</v>
      </c>
      <c r="CD25" s="21"/>
      <c r="CE25" s="110">
        <v>0.20833333333333301</v>
      </c>
      <c r="CF25" s="211">
        <f>IF('Temperature Profiles'!AA24&lt;16,(-0.0037*'Temperature Profiles'!AA24+0.0664)*1000,0)</f>
        <v>136.33000000000001</v>
      </c>
      <c r="CG25" s="110">
        <v>0.20833333333333301</v>
      </c>
      <c r="CH25" s="178">
        <f>IF('Temperature Profiles'!AA24&lt;16,(-0.0076*'Temperature Profiles'!AA24+0.1245)*1000,0)</f>
        <v>268.14000000000004</v>
      </c>
      <c r="CI25" s="110">
        <v>0.20833333333333301</v>
      </c>
      <c r="CJ25" s="211">
        <f>IF('Temperature Profiles'!AA24&lt;16,(-0.01*'Temperature Profiles'!AA24+0.167)*1000,0)</f>
        <v>356.00000000000006</v>
      </c>
      <c r="CK25" s="21"/>
      <c r="CL25" s="110">
        <v>0.20833333333333301</v>
      </c>
      <c r="CM25" s="211">
        <f>IF('Temperature Profiles'!AF24&lt;16,(-0.0037*'Temperature Profiles'!AF24+0.0664)*1000,0)</f>
        <v>0</v>
      </c>
      <c r="CN25" s="110">
        <v>0.20833333333333301</v>
      </c>
      <c r="CO25" s="178">
        <f>IF('Temperature Profiles'!AF24&lt;16,(-0.0076*'Temperature Profiles'!AF24+0.1245)*1000,0)</f>
        <v>0</v>
      </c>
      <c r="CP25" s="110">
        <v>0.20833333333333301</v>
      </c>
      <c r="CQ25" s="211">
        <f>IF('Temperature Profiles'!AF24&lt;16,(-0.01*'Temperature Profiles'!AF24+0.167)*1000,0)</f>
        <v>0</v>
      </c>
      <c r="CR25" s="21"/>
      <c r="CS25" s="110">
        <v>0.20833333333333301</v>
      </c>
      <c r="CT25" s="211"/>
      <c r="CU25" s="21"/>
      <c r="CV25" s="110">
        <v>0.20833333333333301</v>
      </c>
      <c r="CW25" s="264"/>
      <c r="CY25" s="260">
        <v>0.20833333333333301</v>
      </c>
      <c r="CZ25" s="178">
        <f>IF('Temperature Profiles'!G24&gt;18,(0.0024*('Temperature Profiles'!G24^2)-0.0581*'Temperature Profiles'!G24+0.3293)*1000,IF('Temperature Profiles'!G24&lt;17,(0.0022*('Temperature Profiles'!G24^2)-0.0874*'Temperature Profiles'!G24+0.9301)*1000,0))</f>
        <v>178.13200000000006</v>
      </c>
      <c r="DA25" s="110">
        <v>0.20833333333333301</v>
      </c>
      <c r="DB25" s="263">
        <f>IF('Temperature Profiles'!G24&gt;18,(0.0043*('Temperature Profiles'!G24^2)-0.1116*'Temperature Profiles'!G24+0.6576)*1000,IF('Temperature Profiles'!G24&lt;17,(0.0053*('Temperature Profiles'!G24^2)-0.1876*'Temperature Profiles'!G24+1.7649)*1000,0))</f>
        <v>242.56800000000032</v>
      </c>
      <c r="DC25" s="110">
        <v>0.20833333333333301</v>
      </c>
      <c r="DD25" s="211">
        <f>IF('Temperature Profiles'!G24&gt;18,(0.0057*('Temperature Profiles'!G24^2)-0.1509*'Temperature Profiles'!G24+0.8935)*1000,IF('Temperature Profiles'!G24&lt;17,(0.0072*('Temperature Profiles'!G24^2)-0.254*'Temperature Profiles'!G24+2.3952)*1000,0))</f>
        <v>337.87199999999996</v>
      </c>
      <c r="DE25" s="21"/>
      <c r="DF25" s="110">
        <v>0.20833333333333301</v>
      </c>
      <c r="DG25" s="209">
        <f>IF('Temperature Profiles'!L24&gt;18,(0.0024*('Temperature Profiles'!L24^2)-0.0581*'Temperature Profiles'!L24+0.3293)*1000,IF('Temperature Profiles'!L24&lt;17,(0.0022*('Temperature Profiles'!L24^2)-0.0874*'Temperature Profiles'!L24+0.9301)*1000,0))</f>
        <v>143.50833333333341</v>
      </c>
      <c r="DH25" s="110">
        <v>0.20833333333333301</v>
      </c>
      <c r="DI25" s="209">
        <f>IF('Temperature Profiles'!L24&gt;18,(0.0043*('Temperature Profiles'!L24^2)-0.1116*'Temperature Profiles'!L24+0.6576)*1000,IF('Temperature Profiles'!L24&lt;17,(0.0053*('Temperature Profiles'!L24^2)-0.1876*'Temperature Profiles'!L24+1.7649)*1000,0))</f>
        <v>171.51319444444434</v>
      </c>
      <c r="DJ25" s="110">
        <v>0.20833333333333301</v>
      </c>
      <c r="DK25" s="211">
        <f>IF('Temperature Profiles'!L24&gt;18,(0.0057*('Temperature Profiles'!L24^2)-0.1509*'Temperature Profiles'!L24+0.8935)*1000,IF('Temperature Profiles'!L24&lt;17,(0.0072*('Temperature Profiles'!L24^2)-0.254*'Temperature Profiles'!L24+2.3952)*1000,0))</f>
        <v>188.61458333333348</v>
      </c>
      <c r="DL25" s="21"/>
      <c r="DM25" s="110">
        <v>0.20833333333333301</v>
      </c>
      <c r="DN25" s="209">
        <f>IF('Temperature Profiles'!Q24&gt;18,(0.0024*('Temperature Profiles'!Q24^2)-0.0581*'Temperature Profiles'!Q24+0.3293)*1000,IF('Temperature Profiles'!Q24&lt;17,(0.0022*('Temperature Profiles'!Q24^2)-0.0874*'Temperature Profiles'!Q24+0.9301)*1000,0))</f>
        <v>311.61399999999969</v>
      </c>
      <c r="DO25" s="110">
        <v>0.20833333333333301</v>
      </c>
      <c r="DP25" s="209">
        <f>IF('Temperature Profiles'!Q24&gt;18,(0.0043*('Temperature Profiles'!Q24^2)-0.1116*'Temperature Profiles'!Q24+0.6576)*1000,IF('Temperature Profiles'!Q24&lt;17,(0.0053*('Temperature Profiles'!Q24^2)-0.1876*'Temperature Profiles'!Q24+1.7649)*1000,0))</f>
        <v>446.56299999999936</v>
      </c>
      <c r="DQ25" s="110">
        <v>0.20833333333333301</v>
      </c>
      <c r="DR25" s="211">
        <f>IF('Temperature Profiles'!Q24&gt;18,(0.0057*('Temperature Profiles'!Q24^2)-0.1509*'Temperature Profiles'!Q24+0.8935)*1000,IF('Temperature Profiles'!Q24&lt;17,(0.0072*('Temperature Profiles'!Q24^2)-0.254*'Temperature Profiles'!Q24+2.3952)*1000,0))</f>
        <v>542.88699999999949</v>
      </c>
      <c r="DS25" s="21"/>
      <c r="DT25" s="110">
        <v>0.20833333333333301</v>
      </c>
      <c r="DU25" s="209">
        <f>IF('Temperature Profiles'!V24&gt;18,(0.0024*('Temperature Profiles'!V24^2)-0.0581*'Temperature Profiles'!V24+0.3293)*1000,IF('Temperature Profiles'!V24&lt;17,(0.0022*('Temperature Profiles'!V24^2)-0.0874*'Temperature Profiles'!V24+0.9301)*1000,0))</f>
        <v>0</v>
      </c>
      <c r="DV25" s="110">
        <v>0.20833333333333301</v>
      </c>
      <c r="DW25" s="209">
        <f>IF('Temperature Profiles'!V24&gt;18,(0.0043*('Temperature Profiles'!V24^2)-0.1116*'Temperature Profiles'!V24+0.6576)*1000,IF('Temperature Profiles'!V24&lt;17,(0.0053*('Temperature Profiles'!V24^2)-0.1876*'Temperature Profiles'!V24+1.7649)*1000,0))</f>
        <v>0</v>
      </c>
      <c r="DX25" s="110">
        <v>0.20833333333333301</v>
      </c>
      <c r="DY25" s="211">
        <f>IF('Temperature Profiles'!V24&gt;18,(0.0057*('Temperature Profiles'!V24^2)-0.1509*'Temperature Profiles'!V24+0.8935)*1000,IF('Temperature Profiles'!V24&lt;17,(0.0072*('Temperature Profiles'!V24^2)-0.254*'Temperature Profiles'!V24+2.3952)*1000,0))</f>
        <v>0</v>
      </c>
      <c r="DZ25" s="21"/>
      <c r="EA25" s="110">
        <v>0.20833333333333301</v>
      </c>
      <c r="EB25" s="209">
        <f>IF('Temperature Profiles'!AA123&gt;18,(0.0024*('Temperature Profiles'!AA123^2)-0.0581*'Temperature Profiles'!AA123+0.3293)*1000,IF('Temperature Profiles'!AA123&lt;17,(0.0022*('Temperature Profiles'!AA123^2)-0.0874*'Temperature Profiles'!AA123+0.9301)*1000,0))</f>
        <v>878.45200000000011</v>
      </c>
      <c r="EC25" s="110">
        <v>0.20833333333333301</v>
      </c>
      <c r="ED25" s="209">
        <f>IF('Temperature Profiles'!AA123&gt;18,(0.0043*('Temperature Profiles'!AA123^2)-0.1116*'Temperature Profiles'!AA123+0.6576)*1000,IF('Temperature Profiles'!AA123&lt;17,(0.0053*('Temperature Profiles'!AA123^2)-0.1876*'Temperature Profiles'!AA123+1.7649)*1000,0))</f>
        <v>1654.2480000000003</v>
      </c>
      <c r="EE25" s="110">
        <v>0.20833333333333301</v>
      </c>
      <c r="EF25" s="211">
        <f>IF('Temperature Profiles'!AA123&gt;18,(0.0057*('Temperature Profiles'!AA123^2)-0.1509*'Temperature Profiles'!AA123+0.8935)*1000,IF('Temperature Profiles'!AA123&lt;17,(0.0072*('Temperature Profiles'!AA123^2)-0.254*'Temperature Profiles'!AA123+2.3952)*1000,0))</f>
        <v>2245.3920000000003</v>
      </c>
      <c r="EG25" s="21"/>
      <c r="EH25" s="110">
        <v>0.20833333333333301</v>
      </c>
      <c r="EI25" s="211">
        <f>IF('Temperature Profiles'!AF24&gt;18,(0.0024*('Temperature Profiles'!AF24^2)-0.0581*'Temperature Profiles'!AF24+0.3293)*1000,IF('Temperature Profiles'!AF24&lt;17,(0.0022*('Temperature Profiles'!AF24^2)-0.0874*'Temperature Profiles'!AF24+0.9301)*1000,0))</f>
        <v>369.61100000000022</v>
      </c>
      <c r="EJ25" s="110">
        <v>0.20833333333333301</v>
      </c>
      <c r="EK25" s="211">
        <f>IF('Temperature Profiles'!AF24&gt;18,(0.0043*('Temperature Profiles'!AF24^2)-0.1116*'Temperature Profiles'!AF24+0.6576)*1000,IF('Temperature Profiles'!AF24&lt;17,(0.0053*('Temperature Profiles'!AF24^2)-0.1876*'Temperature Profiles'!AF24+1.7649)*1000,0))</f>
        <v>543.0951944444447</v>
      </c>
      <c r="EL25" s="110">
        <v>0.20833333333333301</v>
      </c>
      <c r="EM25" s="211">
        <f>IF('Temperature Profiles'!AF24&gt;18,(0.0057*('Temperature Profiles'!AF24^2)-0.1509*'Temperature Profiles'!AF24+0.8935)*1000,IF('Temperature Profiles'!AF24&lt;17,(0.0072*('Temperature Profiles'!AF24^2)-0.254*'Temperature Profiles'!AF24+2.3952)*1000,0))</f>
        <v>667.93258333333358</v>
      </c>
      <c r="EN25" s="21"/>
      <c r="EO25" s="110">
        <v>0.20833333333333301</v>
      </c>
      <c r="EP25" s="211"/>
      <c r="EQ25" s="21"/>
      <c r="ER25" s="110">
        <v>0.20833333333333301</v>
      </c>
      <c r="ES25" s="264"/>
      <c r="EU25" s="260">
        <v>0.20833333333333301</v>
      </c>
      <c r="EV25" s="209">
        <f>IF('Temperature Profiles'!AA123&gt;18,(0.0024*('Temperature Profiles'!AA123^2)-0.0581*'Temperature Profiles'!AA123+0.3293)*1000,IF('Temperature Profiles'!AA123&lt;17,(0.0022*('Temperature Profiles'!AA123^2)-0.0874*'Temperature Profiles'!AA123+0.9301)*1000,0))</f>
        <v>878.45200000000011</v>
      </c>
      <c r="EW25" s="110">
        <v>0.20833333333333301</v>
      </c>
      <c r="EX25" s="209">
        <f>IF('Temperature Profiles'!AA123&gt;18,(0.0043*('Temperature Profiles'!AA123^2)-0.1116*'Temperature Profiles'!AA123+0.6576)*1000,IF('Temperature Profiles'!AA123&lt;17,(0.0053*('Temperature Profiles'!AA123^2)-0.1876*'Temperature Profiles'!AA123+1.7649)*1000,0))</f>
        <v>1654.2480000000003</v>
      </c>
      <c r="EY25" s="110">
        <v>0.20833333333333301</v>
      </c>
      <c r="EZ25" s="264">
        <f>IF('Temperature Profiles'!AA123&gt;18,(0.0057*('Temperature Profiles'!AA123^2)-0.1509*'Temperature Profiles'!AA123+0.8935)*1000,IF('Temperature Profiles'!AA123&lt;17,(0.0072*('Temperature Profiles'!AA123^2)-0.254*'Temperature Profiles'!AA123+2.3952)*1000,0))</f>
        <v>2245.3920000000003</v>
      </c>
    </row>
    <row r="26" spans="1:156" x14ac:dyDescent="0.3">
      <c r="A26" s="108">
        <v>0.20833333333333301</v>
      </c>
      <c r="B26" s="226">
        <f t="shared" si="0"/>
        <v>0</v>
      </c>
      <c r="C26" s="21">
        <f t="shared" si="1"/>
        <v>356.00000000000006</v>
      </c>
      <c r="D26" s="20">
        <f t="shared" si="2"/>
        <v>2245.3920000000003</v>
      </c>
      <c r="E26" s="20">
        <f t="shared" si="3"/>
        <v>2245.3920000000003</v>
      </c>
      <c r="G26" s="260">
        <v>0.21875</v>
      </c>
      <c r="H26" s="211">
        <f>IF('Temperature Profiles'!G25&gt;17,(0.0029*('Temperature Profiles'!G25^2) - 0.0863*'Temperature Profiles'!G25 + 0.6808)*1000,0)</f>
        <v>0</v>
      </c>
      <c r="I26" s="110">
        <v>0.21875</v>
      </c>
      <c r="J26" s="211">
        <f>IF('Temperature Profiles'!G25&gt;17,(0.005*('Temperature Profiles'!G25^2) - 0.1517*'Temperature Profiles'!G25 + 1.1702)*1000,0)</f>
        <v>0</v>
      </c>
      <c r="K26" s="110">
        <v>0.21875</v>
      </c>
      <c r="L26" s="211">
        <f>IF('Temperature Profiles'!G25&gt;17,(0.0068*('Temperature Profiles'!G25^2) - 0.2129*'Temperature Profiles'!G25 + 1.6904)*1000,0)</f>
        <v>0</v>
      </c>
      <c r="M26" s="21"/>
      <c r="N26" s="110">
        <v>0.21875</v>
      </c>
      <c r="O26" s="211">
        <f>IF('Temperature Profiles'!L25&gt;17,(0.0029*('Temperature Profiles'!L25^2) - 0.0863*'Temperature Profiles'!L25 + 0.6808)*1000,0)</f>
        <v>127.67847222222206</v>
      </c>
      <c r="P26" s="110">
        <v>0.21875</v>
      </c>
      <c r="Q26" s="211">
        <f>IF('Temperature Profiles'!L25&gt;17,(0.005*('Temperature Profiles'!L25^2) - 0.1517*'Temperature Profiles'!L25 + 1.1702)*1000,0)</f>
        <v>157.19305555555562</v>
      </c>
      <c r="R26" s="110">
        <v>0.21875</v>
      </c>
      <c r="S26" s="211">
        <f>IF('Temperature Profiles'!L25&gt;17,(0.0068*('Temperature Profiles'!L25^2) - 0.2129*'Temperature Profiles'!L25 + 1.6904)*1000,0)</f>
        <v>178.20555555555507</v>
      </c>
      <c r="T26" s="21"/>
      <c r="U26" s="110">
        <v>0.21875</v>
      </c>
      <c r="V26" s="211">
        <f>IF('Temperature Profiles'!Q25&gt;17,(0.0029*('Temperature Profiles'!Q25^2) - 0.0863*'Temperature Profiles'!Q25 + 0.6808)*1000,0)</f>
        <v>274.73899999999952</v>
      </c>
      <c r="W26" s="110">
        <v>0.21875</v>
      </c>
      <c r="X26" s="211">
        <f>IF('Temperature Profiles'!Q25&gt;17,(0.005*('Temperature Profiles'!Q25^2) - 0.1517*'Temperature Profiles'!Q25 + 1.1702)*1000,0)</f>
        <v>400.62</v>
      </c>
      <c r="Y26" s="110">
        <v>0.21875</v>
      </c>
      <c r="Z26" s="211">
        <f>IF('Temperature Profiles'!Q25&gt;17,(0.0068*('Temperature Profiles'!Q25^2) - 0.2129*'Temperature Profiles'!Q25 + 1.6904)*1000,0)</f>
        <v>486.31799999999936</v>
      </c>
      <c r="AA26" s="21"/>
      <c r="AB26" s="110">
        <v>0.21875</v>
      </c>
      <c r="AC26" s="211">
        <f>IF('Temperature Profiles'!V25&gt;17,(0.0029*('Temperature Profiles'!V25^2) - 0.0863*'Temperature Profiles'!V25 + 0.6808)*1000,0)</f>
        <v>54.375999999999756</v>
      </c>
      <c r="AD26" s="110">
        <v>0.21875</v>
      </c>
      <c r="AE26" s="211">
        <f>IF('Temperature Profiles'!V25&gt;17,(0.005*('Temperature Profiles'!V25^2) - 0.1517*'Temperature Profiles'!V25 + 1.1702)*1000,0)</f>
        <v>40.159999999999755</v>
      </c>
      <c r="AF26" s="110">
        <v>0.21875</v>
      </c>
      <c r="AG26" s="211">
        <f>IF('Temperature Profiles'!V25&gt;17,(0.0068*('Temperature Profiles'!V25^2) - 0.2129*'Temperature Profiles'!V25 + 1.6904)*1000,0)</f>
        <v>40.231999999999601</v>
      </c>
      <c r="AH26" s="21"/>
      <c r="AI26" s="110">
        <v>0.21875</v>
      </c>
      <c r="AJ26" s="211">
        <f>IF('Temperature Profiles'!AA25&gt;17,(0.0029*('Temperature Profiles'!AA25^2) - 0.0863*'Temperature Profiles'!AA25 + 0.6808)*1000,0)</f>
        <v>0</v>
      </c>
      <c r="AK26" s="110">
        <v>0.21875</v>
      </c>
      <c r="AL26" s="211">
        <f>IF('Temperature Profiles'!AA25&gt;17,(0.005*('Temperature Profiles'!AA25^2) - 0.1517*'Temperature Profiles'!AA25 + 1.1701)*1000,0)</f>
        <v>0</v>
      </c>
      <c r="AM26" s="110">
        <v>0.21875</v>
      </c>
      <c r="AN26" s="211">
        <f>IF('Temperature Profiles'!AA25&gt;17,(0.0068*('Temperature Profiles'!AA25^2) - 0.2129*'Temperature Profiles'!AA25 + 1.6904)*1000,0)</f>
        <v>0</v>
      </c>
      <c r="AO26" s="21"/>
      <c r="AP26" s="110">
        <v>0.21875</v>
      </c>
      <c r="AQ26" s="211">
        <f>IF('Temperature Profiles'!AF25&gt;17,(0.0029*('Temperature Profiles'!AF25^2) - 0.0863*'Temperature Profiles'!AF25 + 0.6808)*1000,0)</f>
        <v>328.99113888888922</v>
      </c>
      <c r="AR26" s="110">
        <v>0.21875</v>
      </c>
      <c r="AS26" s="183">
        <f>IF('Temperature Profiles'!AF25&gt;17,(0.005*('Temperature Profiles'!AF25^2) - 0.1517*'Temperature Profiles'!AF25 + 1.1702)*1000,0)</f>
        <v>491.29972222222261</v>
      </c>
      <c r="AT26" s="110">
        <v>0.21875</v>
      </c>
      <c r="AU26" s="211">
        <f>IF('Temperature Profiles'!AF25&gt;17,(0.0068*('Temperature Profiles'!AF25^2) - 0.2129*'Temperature Profiles'!AF25 + 1.6904)*1000,0)</f>
        <v>603.16422222222286</v>
      </c>
      <c r="AV26" s="21"/>
      <c r="AW26" s="110">
        <v>0.21875</v>
      </c>
      <c r="AX26" s="211"/>
      <c r="AY26" s="21"/>
      <c r="AZ26" s="110">
        <v>0.21875</v>
      </c>
      <c r="BA26" s="264"/>
      <c r="BC26" s="260">
        <v>0.21875</v>
      </c>
      <c r="BD26" s="211">
        <f>IF('Temperature Profiles'!G25&lt;16,(-0.0037*'Temperature Profiles'!G25+0.0664)*1000,0)</f>
        <v>19.779999999999998</v>
      </c>
      <c r="BE26" s="110">
        <v>0.21875</v>
      </c>
      <c r="BF26" s="211">
        <f>IF('Temperature Profiles'!G25&lt;16,(-0.0076*'Temperature Profiles'!G25+0.1245)*1000,0)</f>
        <v>28.740000000000002</v>
      </c>
      <c r="BG26" s="110">
        <v>0.21875</v>
      </c>
      <c r="BH26" s="211">
        <f>IF('Temperature Profiles'!G25&lt;16,(-0.01*'Temperature Profiles'!G25+0.167)*1000,0)</f>
        <v>41.000000000000007</v>
      </c>
      <c r="BI26" s="21"/>
      <c r="BJ26" s="110">
        <v>0.21875</v>
      </c>
      <c r="BK26" s="211">
        <f>IF('Temperature Profiles'!L25&lt;16,(-0.0037*'Temperature Profiles'!L25+0.0664)*1000,0)</f>
        <v>0</v>
      </c>
      <c r="BL26" s="110">
        <v>0.21875</v>
      </c>
      <c r="BM26" s="211">
        <f>IF('Temperature Profiles'!L25&lt;16,(-0.0076*'Temperature Profiles'!L25+0.1245)*1000,0)</f>
        <v>0</v>
      </c>
      <c r="BN26" s="110">
        <v>0.21875</v>
      </c>
      <c r="BO26" s="211">
        <f>IF('Temperature Profiles'!L25&lt;16,(-0.01*'Temperature Profiles'!L25+0.167)*1000,0)</f>
        <v>0</v>
      </c>
      <c r="BP26" s="21"/>
      <c r="BQ26" s="110">
        <v>0.21875</v>
      </c>
      <c r="BR26" s="211">
        <f>IF('Temperature Profiles'!Q25&lt;16,(-0.0037*'Temperature Profiles'!Q25+0.0664)*1000,0)</f>
        <v>0</v>
      </c>
      <c r="BS26" s="110">
        <v>0.21875</v>
      </c>
      <c r="BT26" s="211">
        <f>IF('Temperature Profiles'!Q25&lt;16,(-0.0076*'Temperature Profiles'!Q25+0.1245)*1000,0)</f>
        <v>0</v>
      </c>
      <c r="BU26" s="110">
        <v>0.21875</v>
      </c>
      <c r="BV26" s="211">
        <f>IF('Temperature Profiles'!Q25&lt;16,(-0.01*'Temperature Profiles'!Q25+0.167)*1000,0)</f>
        <v>0</v>
      </c>
      <c r="BW26" s="21"/>
      <c r="BX26" s="110">
        <v>0.21875</v>
      </c>
      <c r="BY26" s="211">
        <f>IF('Temperature Profiles'!V25&lt;16,(-0.0037*'Temperature Profiles'!V25+0.0664)*1000,0)</f>
        <v>0</v>
      </c>
      <c r="BZ26" s="110">
        <v>0.21875</v>
      </c>
      <c r="CA26" s="211">
        <f>IF('Temperature Profiles'!V25&lt;16,(-0.0076*'Temperature Profiles'!V25+0.1245)*1000,0)</f>
        <v>0</v>
      </c>
      <c r="CB26" s="110">
        <v>0.21875</v>
      </c>
      <c r="CC26" s="211">
        <f>IF('Temperature Profiles'!V25&lt;16,(-0.01*'Temperature Profiles'!V25+0.167)*1000,0)</f>
        <v>0</v>
      </c>
      <c r="CD26" s="21"/>
      <c r="CE26" s="110">
        <v>0.21875</v>
      </c>
      <c r="CF26" s="211">
        <f>IF('Temperature Profiles'!AA25&lt;16,(-0.0037*'Temperature Profiles'!AA25+0.0664)*1000,0)</f>
        <v>136.33000000000001</v>
      </c>
      <c r="CG26" s="110">
        <v>0.21875</v>
      </c>
      <c r="CH26" s="178">
        <f>IF('Temperature Profiles'!AA25&lt;16,(-0.0076*'Temperature Profiles'!AA25+0.1245)*1000,0)</f>
        <v>268.14000000000004</v>
      </c>
      <c r="CI26" s="110">
        <v>0.21875</v>
      </c>
      <c r="CJ26" s="211">
        <f>IF('Temperature Profiles'!AA25&lt;16,(-0.01*'Temperature Profiles'!AA25+0.167)*1000,0)</f>
        <v>356.00000000000006</v>
      </c>
      <c r="CK26" s="21"/>
      <c r="CL26" s="110">
        <v>0.21875</v>
      </c>
      <c r="CM26" s="211">
        <f>IF('Temperature Profiles'!AF25&lt;16,(-0.0037*'Temperature Profiles'!AF25+0.0664)*1000,0)</f>
        <v>0</v>
      </c>
      <c r="CN26" s="110">
        <v>0.21875</v>
      </c>
      <c r="CO26" s="178">
        <f>IF('Temperature Profiles'!AF25&lt;16,(-0.0076*'Temperature Profiles'!AF25+0.1245)*1000,0)</f>
        <v>0</v>
      </c>
      <c r="CP26" s="110">
        <v>0.21875</v>
      </c>
      <c r="CQ26" s="211">
        <f>IF('Temperature Profiles'!AF25&lt;16,(-0.01*'Temperature Profiles'!AF25+0.167)*1000,0)</f>
        <v>0</v>
      </c>
      <c r="CR26" s="21"/>
      <c r="CS26" s="110">
        <v>0.21875</v>
      </c>
      <c r="CT26" s="211"/>
      <c r="CU26" s="21"/>
      <c r="CV26" s="110">
        <v>0.21875</v>
      </c>
      <c r="CW26" s="264"/>
      <c r="CY26" s="260">
        <v>0.21875</v>
      </c>
      <c r="CZ26" s="178">
        <f>IF('Temperature Profiles'!G25&gt;18,(0.0024*('Temperature Profiles'!G25^2)-0.0581*'Temperature Profiles'!G25+0.3293)*1000,IF('Temperature Profiles'!G25&lt;17,(0.0022*('Temperature Profiles'!G25^2)-0.0874*'Temperature Profiles'!G25+0.9301)*1000,0))</f>
        <v>178.13200000000006</v>
      </c>
      <c r="DA26" s="110">
        <v>0.21875</v>
      </c>
      <c r="DB26" s="263">
        <f>IF('Temperature Profiles'!G25&gt;18,(0.0043*('Temperature Profiles'!G25^2)-0.1116*'Temperature Profiles'!G25+0.6576)*1000,IF('Temperature Profiles'!G25&lt;17,(0.0053*('Temperature Profiles'!G25^2)-0.1876*'Temperature Profiles'!G25+1.7649)*1000,0))</f>
        <v>242.56800000000032</v>
      </c>
      <c r="DC26" s="110">
        <v>0.21875</v>
      </c>
      <c r="DD26" s="211">
        <f>IF('Temperature Profiles'!G25&gt;18,(0.0057*('Temperature Profiles'!G25^2)-0.1509*'Temperature Profiles'!G25+0.8935)*1000,IF('Temperature Profiles'!G25&lt;17,(0.0072*('Temperature Profiles'!G25^2)-0.254*'Temperature Profiles'!G25+2.3952)*1000,0))</f>
        <v>337.87199999999996</v>
      </c>
      <c r="DE26" s="21"/>
      <c r="DF26" s="110">
        <v>0.21875</v>
      </c>
      <c r="DG26" s="209">
        <f>IF('Temperature Profiles'!L25&gt;18,(0.0024*('Temperature Profiles'!L25^2)-0.0581*'Temperature Profiles'!L25+0.3293)*1000,IF('Temperature Profiles'!L25&lt;17,(0.0022*('Temperature Profiles'!L25^2)-0.0874*'Temperature Profiles'!L25+0.9301)*1000,0))</f>
        <v>143.50833333333341</v>
      </c>
      <c r="DH26" s="110">
        <v>0.21875</v>
      </c>
      <c r="DI26" s="209">
        <f>IF('Temperature Profiles'!L25&gt;18,(0.0043*('Temperature Profiles'!L25^2)-0.1116*'Temperature Profiles'!L25+0.6576)*1000,IF('Temperature Profiles'!L25&lt;17,(0.0053*('Temperature Profiles'!L25^2)-0.1876*'Temperature Profiles'!L25+1.7649)*1000,0))</f>
        <v>171.51319444444434</v>
      </c>
      <c r="DJ26" s="110">
        <v>0.21875</v>
      </c>
      <c r="DK26" s="211">
        <f>IF('Temperature Profiles'!L25&gt;18,(0.0057*('Temperature Profiles'!L25^2)-0.1509*'Temperature Profiles'!L25+0.8935)*1000,IF('Temperature Profiles'!L25&lt;17,(0.0072*('Temperature Profiles'!L25^2)-0.254*'Temperature Profiles'!L25+2.3952)*1000,0))</f>
        <v>188.61458333333348</v>
      </c>
      <c r="DL26" s="21"/>
      <c r="DM26" s="110">
        <v>0.21875</v>
      </c>
      <c r="DN26" s="209">
        <f>IF('Temperature Profiles'!Q25&gt;18,(0.0024*('Temperature Profiles'!Q25^2)-0.0581*'Temperature Profiles'!Q25+0.3293)*1000,IF('Temperature Profiles'!Q25&lt;17,(0.0022*('Temperature Profiles'!Q25^2)-0.0874*'Temperature Profiles'!Q25+0.9301)*1000,0))</f>
        <v>311.61399999999969</v>
      </c>
      <c r="DO26" s="110">
        <v>0.21875</v>
      </c>
      <c r="DP26" s="209">
        <f>IF('Temperature Profiles'!Q25&gt;18,(0.0043*('Temperature Profiles'!Q25^2)-0.1116*'Temperature Profiles'!Q25+0.6576)*1000,IF('Temperature Profiles'!Q25&lt;17,(0.0053*('Temperature Profiles'!Q25^2)-0.1876*'Temperature Profiles'!Q25+1.7649)*1000,0))</f>
        <v>446.56299999999936</v>
      </c>
      <c r="DQ26" s="110">
        <v>0.21875</v>
      </c>
      <c r="DR26" s="211">
        <f>IF('Temperature Profiles'!Q25&gt;18,(0.0057*('Temperature Profiles'!Q25^2)-0.1509*'Temperature Profiles'!Q25+0.8935)*1000,IF('Temperature Profiles'!Q25&lt;17,(0.0072*('Temperature Profiles'!Q25^2)-0.254*'Temperature Profiles'!Q25+2.3952)*1000,0))</f>
        <v>542.88699999999949</v>
      </c>
      <c r="DS26" s="21"/>
      <c r="DT26" s="110">
        <v>0.21875</v>
      </c>
      <c r="DU26" s="209">
        <f>IF('Temperature Profiles'!V25&gt;18,(0.0024*('Temperature Profiles'!V25^2)-0.0581*'Temperature Profiles'!V25+0.3293)*1000,IF('Temperature Profiles'!V25&lt;17,(0.0022*('Temperature Profiles'!V25^2)-0.0874*'Temperature Profiles'!V25+0.9301)*1000,0))</f>
        <v>0</v>
      </c>
      <c r="DV26" s="110">
        <v>0.21875</v>
      </c>
      <c r="DW26" s="209">
        <f>IF('Temperature Profiles'!V25&gt;18,(0.0043*('Temperature Profiles'!V25^2)-0.1116*'Temperature Profiles'!V25+0.6576)*1000,IF('Temperature Profiles'!V25&lt;17,(0.0053*('Temperature Profiles'!V25^2)-0.1876*'Temperature Profiles'!V25+1.7649)*1000,0))</f>
        <v>0</v>
      </c>
      <c r="DX26" s="110">
        <v>0.21875</v>
      </c>
      <c r="DY26" s="211">
        <f>IF('Temperature Profiles'!V25&gt;18,(0.0057*('Temperature Profiles'!V25^2)-0.1509*'Temperature Profiles'!V25+0.8935)*1000,IF('Temperature Profiles'!V25&lt;17,(0.0072*('Temperature Profiles'!V25^2)-0.254*'Temperature Profiles'!V25+2.3952)*1000,0))</f>
        <v>0</v>
      </c>
      <c r="DZ26" s="21"/>
      <c r="EA26" s="110">
        <v>0.21875</v>
      </c>
      <c r="EB26" s="209">
        <f>IF('Temperature Profiles'!AA124&gt;18,(0.0024*('Temperature Profiles'!AA124^2)-0.0581*'Temperature Profiles'!AA124+0.3293)*1000,IF('Temperature Profiles'!AA124&lt;17,(0.0022*('Temperature Profiles'!AA124^2)-0.0874*'Temperature Profiles'!AA124+0.9301)*1000,0))</f>
        <v>878.45200000000011</v>
      </c>
      <c r="EC26" s="110">
        <v>0.21875</v>
      </c>
      <c r="ED26" s="209">
        <f>IF('Temperature Profiles'!AA124&gt;18,(0.0043*('Temperature Profiles'!AA124^2)-0.1116*'Temperature Profiles'!AA124+0.6576)*1000,IF('Temperature Profiles'!AA124&lt;17,(0.0053*('Temperature Profiles'!AA124^2)-0.1876*'Temperature Profiles'!AA124+1.7649)*1000,0))</f>
        <v>1654.2480000000003</v>
      </c>
      <c r="EE26" s="110">
        <v>0.21875</v>
      </c>
      <c r="EF26" s="211">
        <f>IF('Temperature Profiles'!AA124&gt;18,(0.0057*('Temperature Profiles'!AA124^2)-0.1509*'Temperature Profiles'!AA124+0.8935)*1000,IF('Temperature Profiles'!AA124&lt;17,(0.0072*('Temperature Profiles'!AA124^2)-0.254*'Temperature Profiles'!AA124+2.3952)*1000,0))</f>
        <v>2245.3920000000003</v>
      </c>
      <c r="EG26" s="21"/>
      <c r="EH26" s="110">
        <v>0.21875</v>
      </c>
      <c r="EI26" s="211">
        <f>IF('Temperature Profiles'!AF25&gt;18,(0.0024*('Temperature Profiles'!AF25^2)-0.0581*'Temperature Profiles'!AF25+0.3293)*1000,IF('Temperature Profiles'!AF25&lt;17,(0.0022*('Temperature Profiles'!AF25^2)-0.0874*'Temperature Profiles'!AF25+0.9301)*1000,0))</f>
        <v>369.61100000000022</v>
      </c>
      <c r="EJ26" s="110">
        <v>0.21875</v>
      </c>
      <c r="EK26" s="211">
        <f>IF('Temperature Profiles'!AF25&gt;18,(0.0043*('Temperature Profiles'!AF25^2)-0.1116*'Temperature Profiles'!AF25+0.6576)*1000,IF('Temperature Profiles'!AF25&lt;17,(0.0053*('Temperature Profiles'!AF25^2)-0.1876*'Temperature Profiles'!AF25+1.7649)*1000,0))</f>
        <v>543.0951944444447</v>
      </c>
      <c r="EL26" s="110">
        <v>0.21875</v>
      </c>
      <c r="EM26" s="211">
        <f>IF('Temperature Profiles'!AF25&gt;18,(0.0057*('Temperature Profiles'!AF25^2)-0.1509*'Temperature Profiles'!AF25+0.8935)*1000,IF('Temperature Profiles'!AF25&lt;17,(0.0072*('Temperature Profiles'!AF25^2)-0.254*'Temperature Profiles'!AF25+2.3952)*1000,0))</f>
        <v>667.93258333333358</v>
      </c>
      <c r="EN26" s="21"/>
      <c r="EO26" s="110">
        <v>0.21875</v>
      </c>
      <c r="EP26" s="211"/>
      <c r="EQ26" s="21"/>
      <c r="ER26" s="110">
        <v>0.21875</v>
      </c>
      <c r="ES26" s="264"/>
      <c r="EU26" s="260">
        <v>0.21875</v>
      </c>
      <c r="EV26" s="209">
        <f>IF('Temperature Profiles'!AA124&gt;18,(0.0024*('Temperature Profiles'!AA124^2)-0.0581*'Temperature Profiles'!AA124+0.3293)*1000,IF('Temperature Profiles'!AA124&lt;17,(0.0022*('Temperature Profiles'!AA124^2)-0.0874*'Temperature Profiles'!AA124+0.9301)*1000,0))</f>
        <v>878.45200000000011</v>
      </c>
      <c r="EW26" s="110">
        <v>0.21875</v>
      </c>
      <c r="EX26" s="209">
        <f>IF('Temperature Profiles'!AA124&gt;18,(0.0043*('Temperature Profiles'!AA124^2)-0.1116*'Temperature Profiles'!AA124+0.6576)*1000,IF('Temperature Profiles'!AA124&lt;17,(0.0053*('Temperature Profiles'!AA124^2)-0.1876*'Temperature Profiles'!AA124+1.7649)*1000,0))</f>
        <v>1654.2480000000003</v>
      </c>
      <c r="EY26" s="110">
        <v>0.21875</v>
      </c>
      <c r="EZ26" s="264">
        <f>IF('Temperature Profiles'!AA124&gt;18,(0.0057*('Temperature Profiles'!AA124^2)-0.1509*'Temperature Profiles'!AA124+0.8935)*1000,IF('Temperature Profiles'!AA124&lt;17,(0.0072*('Temperature Profiles'!AA124^2)-0.254*'Temperature Profiles'!AA124+2.3952)*1000,0))</f>
        <v>2245.3920000000003</v>
      </c>
    </row>
    <row r="27" spans="1:156" x14ac:dyDescent="0.3">
      <c r="A27" s="108">
        <v>0.21875</v>
      </c>
      <c r="B27" s="226">
        <f t="shared" si="0"/>
        <v>0</v>
      </c>
      <c r="C27" s="21">
        <f t="shared" si="1"/>
        <v>356.00000000000006</v>
      </c>
      <c r="D27" s="20">
        <f t="shared" si="2"/>
        <v>2245.3920000000003</v>
      </c>
      <c r="E27" s="20">
        <f t="shared" si="3"/>
        <v>2245.3920000000003</v>
      </c>
      <c r="G27" s="260">
        <v>0.22916666666666699</v>
      </c>
      <c r="H27" s="211">
        <f>IF('Temperature Profiles'!G26&gt;17,(0.0029*('Temperature Profiles'!G26^2) - 0.0863*'Temperature Profiles'!G26 + 0.6808)*1000,0)</f>
        <v>0</v>
      </c>
      <c r="I27" s="110">
        <v>0.22916666666666699</v>
      </c>
      <c r="J27" s="211">
        <f>IF('Temperature Profiles'!G26&gt;17,(0.005*('Temperature Profiles'!G26^2) - 0.1517*'Temperature Profiles'!G26 + 1.1702)*1000,0)</f>
        <v>0</v>
      </c>
      <c r="K27" s="110">
        <v>0.22916666666666699</v>
      </c>
      <c r="L27" s="211">
        <f>IF('Temperature Profiles'!G26&gt;17,(0.0068*('Temperature Profiles'!G26^2) - 0.2129*'Temperature Profiles'!G26 + 1.6904)*1000,0)</f>
        <v>0</v>
      </c>
      <c r="M27" s="21"/>
      <c r="N27" s="110">
        <v>0.22916666666666699</v>
      </c>
      <c r="O27" s="211">
        <f>IF('Temperature Profiles'!L26&gt;17,(0.0029*('Temperature Profiles'!L26^2) - 0.0863*'Temperature Profiles'!L26 + 0.6808)*1000,0)</f>
        <v>127.67847222222206</v>
      </c>
      <c r="P27" s="110">
        <v>0.22916666666666699</v>
      </c>
      <c r="Q27" s="211">
        <f>IF('Temperature Profiles'!L26&gt;17,(0.005*('Temperature Profiles'!L26^2) - 0.1517*'Temperature Profiles'!L26 + 1.1702)*1000,0)</f>
        <v>157.19305555555562</v>
      </c>
      <c r="R27" s="110">
        <v>0.22916666666666699</v>
      </c>
      <c r="S27" s="211">
        <f>IF('Temperature Profiles'!L26&gt;17,(0.0068*('Temperature Profiles'!L26^2) - 0.2129*'Temperature Profiles'!L26 + 1.6904)*1000,0)</f>
        <v>178.20555555555507</v>
      </c>
      <c r="T27" s="21"/>
      <c r="U27" s="110">
        <v>0.22916666666666699</v>
      </c>
      <c r="V27" s="211">
        <f>IF('Temperature Profiles'!Q26&gt;17,(0.0029*('Temperature Profiles'!Q26^2) - 0.0863*'Temperature Profiles'!Q26 + 0.6808)*1000,0)</f>
        <v>274.73899999999952</v>
      </c>
      <c r="W27" s="110">
        <v>0.22916666666666699</v>
      </c>
      <c r="X27" s="211">
        <f>IF('Temperature Profiles'!Q26&gt;17,(0.005*('Temperature Profiles'!Q26^2) - 0.1517*'Temperature Profiles'!Q26 + 1.1702)*1000,0)</f>
        <v>400.62</v>
      </c>
      <c r="Y27" s="110">
        <v>0.22916666666666699</v>
      </c>
      <c r="Z27" s="211">
        <f>IF('Temperature Profiles'!Q26&gt;17,(0.0068*('Temperature Profiles'!Q26^2) - 0.2129*'Temperature Profiles'!Q26 + 1.6904)*1000,0)</f>
        <v>486.31799999999936</v>
      </c>
      <c r="AA27" s="21"/>
      <c r="AB27" s="110">
        <v>0.22916666666666699</v>
      </c>
      <c r="AC27" s="211">
        <f>IF('Temperature Profiles'!V26&gt;17,(0.0029*('Temperature Profiles'!V26^2) - 0.0863*'Temperature Profiles'!V26 + 0.6808)*1000,0)</f>
        <v>54.375999999999756</v>
      </c>
      <c r="AD27" s="110">
        <v>0.22916666666666699</v>
      </c>
      <c r="AE27" s="211">
        <f>IF('Temperature Profiles'!V26&gt;17,(0.005*('Temperature Profiles'!V26^2) - 0.1517*'Temperature Profiles'!V26 + 1.1702)*1000,0)</f>
        <v>40.159999999999755</v>
      </c>
      <c r="AF27" s="110">
        <v>0.22916666666666699</v>
      </c>
      <c r="AG27" s="211">
        <f>IF('Temperature Profiles'!V26&gt;17,(0.0068*('Temperature Profiles'!V26^2) - 0.2129*'Temperature Profiles'!V26 + 1.6904)*1000,0)</f>
        <v>40.231999999999601</v>
      </c>
      <c r="AH27" s="21"/>
      <c r="AI27" s="110">
        <v>0.22916666666666699</v>
      </c>
      <c r="AJ27" s="211">
        <f>IF('Temperature Profiles'!AA26&gt;17,(0.0029*('Temperature Profiles'!AA26^2) - 0.0863*'Temperature Profiles'!AA26 + 0.6808)*1000,0)</f>
        <v>0</v>
      </c>
      <c r="AK27" s="110">
        <v>0.22916666666666699</v>
      </c>
      <c r="AL27" s="211">
        <f>IF('Temperature Profiles'!AA26&gt;17,(0.005*('Temperature Profiles'!AA26^2) - 0.1517*'Temperature Profiles'!AA26 + 1.1701)*1000,0)</f>
        <v>0</v>
      </c>
      <c r="AM27" s="110">
        <v>0.22916666666666699</v>
      </c>
      <c r="AN27" s="211">
        <f>IF('Temperature Profiles'!AA26&gt;17,(0.0068*('Temperature Profiles'!AA26^2) - 0.2129*'Temperature Profiles'!AA26 + 1.6904)*1000,0)</f>
        <v>0</v>
      </c>
      <c r="AO27" s="21"/>
      <c r="AP27" s="110">
        <v>0.22916666666666699</v>
      </c>
      <c r="AQ27" s="211">
        <f>IF('Temperature Profiles'!AF26&gt;17,(0.0029*('Temperature Profiles'!AF26^2) - 0.0863*'Temperature Profiles'!AF26 + 0.6808)*1000,0)</f>
        <v>328.99113888888922</v>
      </c>
      <c r="AR27" s="110">
        <v>0.22916666666666699</v>
      </c>
      <c r="AS27" s="183">
        <f>IF('Temperature Profiles'!AF26&gt;17,(0.005*('Temperature Profiles'!AF26^2) - 0.1517*'Temperature Profiles'!AF26 + 1.1702)*1000,0)</f>
        <v>491.29972222222261</v>
      </c>
      <c r="AT27" s="110">
        <v>0.22916666666666699</v>
      </c>
      <c r="AU27" s="211">
        <f>IF('Temperature Profiles'!AF26&gt;17,(0.0068*('Temperature Profiles'!AF26^2) - 0.2129*'Temperature Profiles'!AF26 + 1.6904)*1000,0)</f>
        <v>603.16422222222286</v>
      </c>
      <c r="AV27" s="21"/>
      <c r="AW27" s="110">
        <v>0.22916666666666699</v>
      </c>
      <c r="AX27" s="211"/>
      <c r="AY27" s="21"/>
      <c r="AZ27" s="110">
        <v>0.22916666666666699</v>
      </c>
      <c r="BA27" s="264"/>
      <c r="BC27" s="260">
        <v>0.22916666666666699</v>
      </c>
      <c r="BD27" s="211">
        <f>IF('Temperature Profiles'!G26&lt;16,(-0.0037*'Temperature Profiles'!G26+0.0664)*1000,0)</f>
        <v>19.779999999999998</v>
      </c>
      <c r="BE27" s="110">
        <v>0.22916666666666699</v>
      </c>
      <c r="BF27" s="211">
        <f>IF('Temperature Profiles'!G26&lt;16,(-0.0076*'Temperature Profiles'!G26+0.1245)*1000,0)</f>
        <v>28.740000000000002</v>
      </c>
      <c r="BG27" s="110">
        <v>0.22916666666666699</v>
      </c>
      <c r="BH27" s="211">
        <f>IF('Temperature Profiles'!G26&lt;16,(-0.01*'Temperature Profiles'!G26+0.167)*1000,0)</f>
        <v>41.000000000000007</v>
      </c>
      <c r="BI27" s="21"/>
      <c r="BJ27" s="110">
        <v>0.22916666666666699</v>
      </c>
      <c r="BK27" s="211">
        <f>IF('Temperature Profiles'!L26&lt;16,(-0.0037*'Temperature Profiles'!L26+0.0664)*1000,0)</f>
        <v>0</v>
      </c>
      <c r="BL27" s="110">
        <v>0.22916666666666699</v>
      </c>
      <c r="BM27" s="211">
        <f>IF('Temperature Profiles'!L26&lt;16,(-0.0076*'Temperature Profiles'!L26+0.1245)*1000,0)</f>
        <v>0</v>
      </c>
      <c r="BN27" s="110">
        <v>0.22916666666666699</v>
      </c>
      <c r="BO27" s="211">
        <f>IF('Temperature Profiles'!L26&lt;16,(-0.01*'Temperature Profiles'!L26+0.167)*1000,0)</f>
        <v>0</v>
      </c>
      <c r="BP27" s="21"/>
      <c r="BQ27" s="110">
        <v>0.22916666666666699</v>
      </c>
      <c r="BR27" s="211">
        <f>IF('Temperature Profiles'!Q26&lt;16,(-0.0037*'Temperature Profiles'!Q26+0.0664)*1000,0)</f>
        <v>0</v>
      </c>
      <c r="BS27" s="110">
        <v>0.22916666666666699</v>
      </c>
      <c r="BT27" s="211">
        <f>IF('Temperature Profiles'!Q26&lt;16,(-0.0076*'Temperature Profiles'!Q26+0.1245)*1000,0)</f>
        <v>0</v>
      </c>
      <c r="BU27" s="110">
        <v>0.22916666666666699</v>
      </c>
      <c r="BV27" s="211">
        <f>IF('Temperature Profiles'!Q26&lt;16,(-0.01*'Temperature Profiles'!Q26+0.167)*1000,0)</f>
        <v>0</v>
      </c>
      <c r="BW27" s="21"/>
      <c r="BX27" s="110">
        <v>0.22916666666666699</v>
      </c>
      <c r="BY27" s="211">
        <f>IF('Temperature Profiles'!V26&lt;16,(-0.0037*'Temperature Profiles'!V26+0.0664)*1000,0)</f>
        <v>0</v>
      </c>
      <c r="BZ27" s="110">
        <v>0.22916666666666699</v>
      </c>
      <c r="CA27" s="211">
        <f>IF('Temperature Profiles'!V26&lt;16,(-0.0076*'Temperature Profiles'!V26+0.1245)*1000,0)</f>
        <v>0</v>
      </c>
      <c r="CB27" s="110">
        <v>0.22916666666666699</v>
      </c>
      <c r="CC27" s="211">
        <f>IF('Temperature Profiles'!V26&lt;16,(-0.01*'Temperature Profiles'!V26+0.167)*1000,0)</f>
        <v>0</v>
      </c>
      <c r="CD27" s="21"/>
      <c r="CE27" s="110">
        <v>0.22916666666666699</v>
      </c>
      <c r="CF27" s="211">
        <f>IF('Temperature Profiles'!AA26&lt;16,(-0.0037*'Temperature Profiles'!AA26+0.0664)*1000,0)</f>
        <v>136.33000000000001</v>
      </c>
      <c r="CG27" s="110">
        <v>0.22916666666666699</v>
      </c>
      <c r="CH27" s="178">
        <f>IF('Temperature Profiles'!AA26&lt;16,(-0.0076*'Temperature Profiles'!AA26+0.1245)*1000,0)</f>
        <v>268.14000000000004</v>
      </c>
      <c r="CI27" s="110">
        <v>0.22916666666666699</v>
      </c>
      <c r="CJ27" s="211">
        <f>IF('Temperature Profiles'!AA26&lt;16,(-0.01*'Temperature Profiles'!AA26+0.167)*1000,0)</f>
        <v>356.00000000000006</v>
      </c>
      <c r="CK27" s="21"/>
      <c r="CL27" s="110">
        <v>0.22916666666666699</v>
      </c>
      <c r="CM27" s="211">
        <f>IF('Temperature Profiles'!AF26&lt;16,(-0.0037*'Temperature Profiles'!AF26+0.0664)*1000,0)</f>
        <v>0</v>
      </c>
      <c r="CN27" s="110">
        <v>0.22916666666666699</v>
      </c>
      <c r="CO27" s="178">
        <f>IF('Temperature Profiles'!AF26&lt;16,(-0.0076*'Temperature Profiles'!AF26+0.1245)*1000,0)</f>
        <v>0</v>
      </c>
      <c r="CP27" s="110">
        <v>0.22916666666666699</v>
      </c>
      <c r="CQ27" s="211">
        <f>IF('Temperature Profiles'!AF26&lt;16,(-0.01*'Temperature Profiles'!AF26+0.167)*1000,0)</f>
        <v>0</v>
      </c>
      <c r="CR27" s="21"/>
      <c r="CS27" s="110">
        <v>0.22916666666666699</v>
      </c>
      <c r="CT27" s="211"/>
      <c r="CU27" s="21"/>
      <c r="CV27" s="110">
        <v>0.22916666666666699</v>
      </c>
      <c r="CW27" s="264"/>
      <c r="CY27" s="260">
        <v>0.22916666666666699</v>
      </c>
      <c r="CZ27" s="178">
        <f>IF('Temperature Profiles'!G26&gt;18,(0.0024*('Temperature Profiles'!G26^2)-0.0581*'Temperature Profiles'!G26+0.3293)*1000,IF('Temperature Profiles'!G26&lt;17,(0.0022*('Temperature Profiles'!G26^2)-0.0874*'Temperature Profiles'!G26+0.9301)*1000,0))</f>
        <v>178.13200000000006</v>
      </c>
      <c r="DA27" s="110">
        <v>0.22916666666666699</v>
      </c>
      <c r="DB27" s="263">
        <f>IF('Temperature Profiles'!G26&gt;18,(0.0043*('Temperature Profiles'!G26^2)-0.1116*'Temperature Profiles'!G26+0.6576)*1000,IF('Temperature Profiles'!G26&lt;17,(0.0053*('Temperature Profiles'!G26^2)-0.1876*'Temperature Profiles'!G26+1.7649)*1000,0))</f>
        <v>242.56800000000032</v>
      </c>
      <c r="DC27" s="110">
        <v>0.22916666666666699</v>
      </c>
      <c r="DD27" s="211">
        <f>IF('Temperature Profiles'!G26&gt;18,(0.0057*('Temperature Profiles'!G26^2)-0.1509*'Temperature Profiles'!G26+0.8935)*1000,IF('Temperature Profiles'!G26&lt;17,(0.0072*('Temperature Profiles'!G26^2)-0.254*'Temperature Profiles'!G26+2.3952)*1000,0))</f>
        <v>337.87199999999996</v>
      </c>
      <c r="DE27" s="21"/>
      <c r="DF27" s="110">
        <v>0.22916666666666699</v>
      </c>
      <c r="DG27" s="209">
        <f>IF('Temperature Profiles'!L26&gt;18,(0.0024*('Temperature Profiles'!L26^2)-0.0581*'Temperature Profiles'!L26+0.3293)*1000,IF('Temperature Profiles'!L26&lt;17,(0.0022*('Temperature Profiles'!L26^2)-0.0874*'Temperature Profiles'!L26+0.9301)*1000,0))</f>
        <v>143.50833333333341</v>
      </c>
      <c r="DH27" s="110">
        <v>0.22916666666666699</v>
      </c>
      <c r="DI27" s="209">
        <f>IF('Temperature Profiles'!L26&gt;18,(0.0043*('Temperature Profiles'!L26^2)-0.1116*'Temperature Profiles'!L26+0.6576)*1000,IF('Temperature Profiles'!L26&lt;17,(0.0053*('Temperature Profiles'!L26^2)-0.1876*'Temperature Profiles'!L26+1.7649)*1000,0))</f>
        <v>171.51319444444434</v>
      </c>
      <c r="DJ27" s="110">
        <v>0.22916666666666699</v>
      </c>
      <c r="DK27" s="211">
        <f>IF('Temperature Profiles'!L26&gt;18,(0.0057*('Temperature Profiles'!L26^2)-0.1509*'Temperature Profiles'!L26+0.8935)*1000,IF('Temperature Profiles'!L26&lt;17,(0.0072*('Temperature Profiles'!L26^2)-0.254*'Temperature Profiles'!L26+2.3952)*1000,0))</f>
        <v>188.61458333333348</v>
      </c>
      <c r="DL27" s="21"/>
      <c r="DM27" s="110">
        <v>0.22916666666666699</v>
      </c>
      <c r="DN27" s="209">
        <f>IF('Temperature Profiles'!Q26&gt;18,(0.0024*('Temperature Profiles'!Q26^2)-0.0581*'Temperature Profiles'!Q26+0.3293)*1000,IF('Temperature Profiles'!Q26&lt;17,(0.0022*('Temperature Profiles'!Q26^2)-0.0874*'Temperature Profiles'!Q26+0.9301)*1000,0))</f>
        <v>311.61399999999969</v>
      </c>
      <c r="DO27" s="110">
        <v>0.22916666666666699</v>
      </c>
      <c r="DP27" s="209">
        <f>IF('Temperature Profiles'!Q26&gt;18,(0.0043*('Temperature Profiles'!Q26^2)-0.1116*'Temperature Profiles'!Q26+0.6576)*1000,IF('Temperature Profiles'!Q26&lt;17,(0.0053*('Temperature Profiles'!Q26^2)-0.1876*'Temperature Profiles'!Q26+1.7649)*1000,0))</f>
        <v>446.56299999999936</v>
      </c>
      <c r="DQ27" s="110">
        <v>0.22916666666666699</v>
      </c>
      <c r="DR27" s="211">
        <f>IF('Temperature Profiles'!Q26&gt;18,(0.0057*('Temperature Profiles'!Q26^2)-0.1509*'Temperature Profiles'!Q26+0.8935)*1000,IF('Temperature Profiles'!Q26&lt;17,(0.0072*('Temperature Profiles'!Q26^2)-0.254*'Temperature Profiles'!Q26+2.3952)*1000,0))</f>
        <v>542.88699999999949</v>
      </c>
      <c r="DS27" s="21"/>
      <c r="DT27" s="110">
        <v>0.22916666666666699</v>
      </c>
      <c r="DU27" s="209">
        <f>IF('Temperature Profiles'!V26&gt;18,(0.0024*('Temperature Profiles'!V26^2)-0.0581*'Temperature Profiles'!V26+0.3293)*1000,IF('Temperature Profiles'!V26&lt;17,(0.0022*('Temperature Profiles'!V26^2)-0.0874*'Temperature Profiles'!V26+0.9301)*1000,0))</f>
        <v>0</v>
      </c>
      <c r="DV27" s="110">
        <v>0.22916666666666699</v>
      </c>
      <c r="DW27" s="209">
        <f>IF('Temperature Profiles'!V26&gt;18,(0.0043*('Temperature Profiles'!V26^2)-0.1116*'Temperature Profiles'!V26+0.6576)*1000,IF('Temperature Profiles'!V26&lt;17,(0.0053*('Temperature Profiles'!V26^2)-0.1876*'Temperature Profiles'!V26+1.7649)*1000,0))</f>
        <v>0</v>
      </c>
      <c r="DX27" s="110">
        <v>0.22916666666666699</v>
      </c>
      <c r="DY27" s="211">
        <f>IF('Temperature Profiles'!V26&gt;18,(0.0057*('Temperature Profiles'!V26^2)-0.1509*'Temperature Profiles'!V26+0.8935)*1000,IF('Temperature Profiles'!V26&lt;17,(0.0072*('Temperature Profiles'!V26^2)-0.254*'Temperature Profiles'!V26+2.3952)*1000,0))</f>
        <v>0</v>
      </c>
      <c r="DZ27" s="21"/>
      <c r="EA27" s="110">
        <v>0.22916666666666699</v>
      </c>
      <c r="EB27" s="209">
        <f>IF('Temperature Profiles'!AA125&gt;18,(0.0024*('Temperature Profiles'!AA125^2)-0.0581*'Temperature Profiles'!AA125+0.3293)*1000,IF('Temperature Profiles'!AA125&lt;17,(0.0022*('Temperature Profiles'!AA125^2)-0.0874*'Temperature Profiles'!AA125+0.9301)*1000,0))</f>
        <v>878.45200000000011</v>
      </c>
      <c r="EC27" s="110">
        <v>0.22916666666666699</v>
      </c>
      <c r="ED27" s="209">
        <f>IF('Temperature Profiles'!AA125&gt;18,(0.0043*('Temperature Profiles'!AA125^2)-0.1116*'Temperature Profiles'!AA125+0.6576)*1000,IF('Temperature Profiles'!AA125&lt;17,(0.0053*('Temperature Profiles'!AA125^2)-0.1876*'Temperature Profiles'!AA125+1.7649)*1000,0))</f>
        <v>1654.2480000000003</v>
      </c>
      <c r="EE27" s="110">
        <v>0.22916666666666699</v>
      </c>
      <c r="EF27" s="211">
        <f>IF('Temperature Profiles'!AA125&gt;18,(0.0057*('Temperature Profiles'!AA125^2)-0.1509*'Temperature Profiles'!AA125+0.8935)*1000,IF('Temperature Profiles'!AA125&lt;17,(0.0072*('Temperature Profiles'!AA125^2)-0.254*'Temperature Profiles'!AA125+2.3952)*1000,0))</f>
        <v>2245.3920000000003</v>
      </c>
      <c r="EG27" s="21"/>
      <c r="EH27" s="110">
        <v>0.22916666666666699</v>
      </c>
      <c r="EI27" s="211">
        <f>IF('Temperature Profiles'!AF26&gt;18,(0.0024*('Temperature Profiles'!AF26^2)-0.0581*'Temperature Profiles'!AF26+0.3293)*1000,IF('Temperature Profiles'!AF26&lt;17,(0.0022*('Temperature Profiles'!AF26^2)-0.0874*'Temperature Profiles'!AF26+0.9301)*1000,0))</f>
        <v>369.61100000000022</v>
      </c>
      <c r="EJ27" s="110">
        <v>0.22916666666666699</v>
      </c>
      <c r="EK27" s="211">
        <f>IF('Temperature Profiles'!AF26&gt;18,(0.0043*('Temperature Profiles'!AF26^2)-0.1116*'Temperature Profiles'!AF26+0.6576)*1000,IF('Temperature Profiles'!AF26&lt;17,(0.0053*('Temperature Profiles'!AF26^2)-0.1876*'Temperature Profiles'!AF26+1.7649)*1000,0))</f>
        <v>543.0951944444447</v>
      </c>
      <c r="EL27" s="110">
        <v>0.22916666666666699</v>
      </c>
      <c r="EM27" s="211">
        <f>IF('Temperature Profiles'!AF26&gt;18,(0.0057*('Temperature Profiles'!AF26^2)-0.1509*'Temperature Profiles'!AF26+0.8935)*1000,IF('Temperature Profiles'!AF26&lt;17,(0.0072*('Temperature Profiles'!AF26^2)-0.254*'Temperature Profiles'!AF26+2.3952)*1000,0))</f>
        <v>667.93258333333358</v>
      </c>
      <c r="EN27" s="21"/>
      <c r="EO27" s="110">
        <v>0.22916666666666699</v>
      </c>
      <c r="EP27" s="211"/>
      <c r="EQ27" s="21"/>
      <c r="ER27" s="110">
        <v>0.22916666666666699</v>
      </c>
      <c r="ES27" s="264"/>
      <c r="EU27" s="260">
        <v>0.22916666666666699</v>
      </c>
      <c r="EV27" s="209">
        <f>IF('Temperature Profiles'!AA125&gt;18,(0.0024*('Temperature Profiles'!AA125^2)-0.0581*'Temperature Profiles'!AA125+0.3293)*1000,IF('Temperature Profiles'!AA125&lt;17,(0.0022*('Temperature Profiles'!AA125^2)-0.0874*'Temperature Profiles'!AA125+0.9301)*1000,0))</f>
        <v>878.45200000000011</v>
      </c>
      <c r="EW27" s="110">
        <v>0.22916666666666699</v>
      </c>
      <c r="EX27" s="209">
        <f>IF('Temperature Profiles'!AA125&gt;18,(0.0043*('Temperature Profiles'!AA125^2)-0.1116*'Temperature Profiles'!AA125+0.6576)*1000,IF('Temperature Profiles'!AA125&lt;17,(0.0053*('Temperature Profiles'!AA125^2)-0.1876*'Temperature Profiles'!AA125+1.7649)*1000,0))</f>
        <v>1654.2480000000003</v>
      </c>
      <c r="EY27" s="110">
        <v>0.22916666666666699</v>
      </c>
      <c r="EZ27" s="264">
        <f>IF('Temperature Profiles'!AA125&gt;18,(0.0057*('Temperature Profiles'!AA125^2)-0.1509*'Temperature Profiles'!AA125+0.8935)*1000,IF('Temperature Profiles'!AA125&lt;17,(0.0072*('Temperature Profiles'!AA125^2)-0.254*'Temperature Profiles'!AA125+2.3952)*1000,0))</f>
        <v>2245.3920000000003</v>
      </c>
    </row>
    <row r="28" spans="1:156" x14ac:dyDescent="0.3">
      <c r="A28" s="108">
        <v>0.22916666666666699</v>
      </c>
      <c r="B28" s="226">
        <f t="shared" si="0"/>
        <v>0</v>
      </c>
      <c r="C28" s="21">
        <f t="shared" si="1"/>
        <v>356.00000000000006</v>
      </c>
      <c r="D28" s="20">
        <f t="shared" si="2"/>
        <v>2245.3920000000003</v>
      </c>
      <c r="E28" s="20">
        <f t="shared" si="3"/>
        <v>2245.3920000000003</v>
      </c>
      <c r="G28" s="260">
        <v>0.23958333333333301</v>
      </c>
      <c r="H28" s="211">
        <f>IF('Temperature Profiles'!G27&gt;17,(0.0029*('Temperature Profiles'!G27^2) - 0.0863*'Temperature Profiles'!G27 + 0.6808)*1000,0)</f>
        <v>0</v>
      </c>
      <c r="I28" s="110">
        <v>0.23958333333333301</v>
      </c>
      <c r="J28" s="211">
        <f>IF('Temperature Profiles'!G27&gt;17,(0.005*('Temperature Profiles'!G27^2) - 0.1517*'Temperature Profiles'!G27 + 1.1702)*1000,0)</f>
        <v>0</v>
      </c>
      <c r="K28" s="110">
        <v>0.23958333333333301</v>
      </c>
      <c r="L28" s="211">
        <f>IF('Temperature Profiles'!G27&gt;17,(0.0068*('Temperature Profiles'!G27^2) - 0.2129*'Temperature Profiles'!G27 + 1.6904)*1000,0)</f>
        <v>0</v>
      </c>
      <c r="M28" s="21"/>
      <c r="N28" s="110">
        <v>0.23958333333333301</v>
      </c>
      <c r="O28" s="211">
        <f>IF('Temperature Profiles'!L27&gt;17,(0.0029*('Temperature Profiles'!L27^2) - 0.0863*'Temperature Profiles'!L27 + 0.6808)*1000,0)</f>
        <v>127.67847222222206</v>
      </c>
      <c r="P28" s="110">
        <v>0.23958333333333301</v>
      </c>
      <c r="Q28" s="211">
        <f>IF('Temperature Profiles'!L27&gt;17,(0.005*('Temperature Profiles'!L27^2) - 0.1517*'Temperature Profiles'!L27 + 1.1702)*1000,0)</f>
        <v>157.19305555555562</v>
      </c>
      <c r="R28" s="110">
        <v>0.23958333333333301</v>
      </c>
      <c r="S28" s="211">
        <f>IF('Temperature Profiles'!L27&gt;17,(0.0068*('Temperature Profiles'!L27^2) - 0.2129*'Temperature Profiles'!L27 + 1.6904)*1000,0)</f>
        <v>178.20555555555507</v>
      </c>
      <c r="T28" s="21"/>
      <c r="U28" s="110">
        <v>0.23958333333333301</v>
      </c>
      <c r="V28" s="211">
        <f>IF('Temperature Profiles'!Q27&gt;17,(0.0029*('Temperature Profiles'!Q27^2) - 0.0863*'Temperature Profiles'!Q27 + 0.6808)*1000,0)</f>
        <v>274.73899999999952</v>
      </c>
      <c r="W28" s="110">
        <v>0.23958333333333301</v>
      </c>
      <c r="X28" s="211">
        <f>IF('Temperature Profiles'!Q27&gt;17,(0.005*('Temperature Profiles'!Q27^2) - 0.1517*'Temperature Profiles'!Q27 + 1.1702)*1000,0)</f>
        <v>400.62</v>
      </c>
      <c r="Y28" s="110">
        <v>0.23958333333333301</v>
      </c>
      <c r="Z28" s="211">
        <f>IF('Temperature Profiles'!Q27&gt;17,(0.0068*('Temperature Profiles'!Q27^2) - 0.2129*'Temperature Profiles'!Q27 + 1.6904)*1000,0)</f>
        <v>486.31799999999936</v>
      </c>
      <c r="AA28" s="21"/>
      <c r="AB28" s="110">
        <v>0.23958333333333301</v>
      </c>
      <c r="AC28" s="211">
        <f>IF('Temperature Profiles'!V27&gt;17,(0.0029*('Temperature Profiles'!V27^2) - 0.0863*'Temperature Profiles'!V27 + 0.6808)*1000,0)</f>
        <v>54.375999999999756</v>
      </c>
      <c r="AD28" s="110">
        <v>0.23958333333333301</v>
      </c>
      <c r="AE28" s="211">
        <f>IF('Temperature Profiles'!V27&gt;17,(0.005*('Temperature Profiles'!V27^2) - 0.1517*'Temperature Profiles'!V27 + 1.1702)*1000,0)</f>
        <v>40.159999999999755</v>
      </c>
      <c r="AF28" s="110">
        <v>0.23958333333333301</v>
      </c>
      <c r="AG28" s="211">
        <f>IF('Temperature Profiles'!V27&gt;17,(0.0068*('Temperature Profiles'!V27^2) - 0.2129*'Temperature Profiles'!V27 + 1.6904)*1000,0)</f>
        <v>40.231999999999601</v>
      </c>
      <c r="AH28" s="21"/>
      <c r="AI28" s="110">
        <v>0.23958333333333301</v>
      </c>
      <c r="AJ28" s="211">
        <f>IF('Temperature Profiles'!AA27&gt;17,(0.0029*('Temperature Profiles'!AA27^2) - 0.0863*'Temperature Profiles'!AA27 + 0.6808)*1000,0)</f>
        <v>0</v>
      </c>
      <c r="AK28" s="110">
        <v>0.23958333333333301</v>
      </c>
      <c r="AL28" s="211">
        <f>IF('Temperature Profiles'!AA27&gt;17,(0.005*('Temperature Profiles'!AA27^2) - 0.1517*'Temperature Profiles'!AA27 + 1.1701)*1000,0)</f>
        <v>0</v>
      </c>
      <c r="AM28" s="110">
        <v>0.23958333333333301</v>
      </c>
      <c r="AN28" s="211">
        <f>IF('Temperature Profiles'!AA27&gt;17,(0.0068*('Temperature Profiles'!AA27^2) - 0.2129*'Temperature Profiles'!AA27 + 1.6904)*1000,0)</f>
        <v>0</v>
      </c>
      <c r="AO28" s="21"/>
      <c r="AP28" s="110">
        <v>0.23958333333333301</v>
      </c>
      <c r="AQ28" s="211">
        <f>IF('Temperature Profiles'!AF27&gt;17,(0.0029*('Temperature Profiles'!AF27^2) - 0.0863*'Temperature Profiles'!AF27 + 0.6808)*1000,0)</f>
        <v>328.99113888888922</v>
      </c>
      <c r="AR28" s="110">
        <v>0.23958333333333301</v>
      </c>
      <c r="AS28" s="183">
        <f>IF('Temperature Profiles'!AF27&gt;17,(0.005*('Temperature Profiles'!AF27^2) - 0.1517*'Temperature Profiles'!AF27 + 1.1702)*1000,0)</f>
        <v>491.29972222222261</v>
      </c>
      <c r="AT28" s="110">
        <v>0.23958333333333301</v>
      </c>
      <c r="AU28" s="211">
        <f>IF('Temperature Profiles'!AF27&gt;17,(0.0068*('Temperature Profiles'!AF27^2) - 0.2129*'Temperature Profiles'!AF27 + 1.6904)*1000,0)</f>
        <v>603.16422222222286</v>
      </c>
      <c r="AV28" s="21"/>
      <c r="AW28" s="110">
        <v>0.23958333333333301</v>
      </c>
      <c r="AX28" s="211"/>
      <c r="AY28" s="21"/>
      <c r="AZ28" s="110">
        <v>0.23958333333333301</v>
      </c>
      <c r="BA28" s="264"/>
      <c r="BC28" s="260">
        <v>0.23958333333333301</v>
      </c>
      <c r="BD28" s="211">
        <f>IF('Temperature Profiles'!G27&lt;16,(-0.0037*'Temperature Profiles'!G27+0.0664)*1000,0)</f>
        <v>19.779999999999998</v>
      </c>
      <c r="BE28" s="110">
        <v>0.23958333333333301</v>
      </c>
      <c r="BF28" s="211">
        <f>IF('Temperature Profiles'!G27&lt;16,(-0.0076*'Temperature Profiles'!G27+0.1245)*1000,0)</f>
        <v>28.740000000000002</v>
      </c>
      <c r="BG28" s="110">
        <v>0.23958333333333301</v>
      </c>
      <c r="BH28" s="211">
        <f>IF('Temperature Profiles'!G27&lt;16,(-0.01*'Temperature Profiles'!G27+0.167)*1000,0)</f>
        <v>41.000000000000007</v>
      </c>
      <c r="BI28" s="21"/>
      <c r="BJ28" s="110">
        <v>0.23958333333333301</v>
      </c>
      <c r="BK28" s="211">
        <f>IF('Temperature Profiles'!L27&lt;16,(-0.0037*'Temperature Profiles'!L27+0.0664)*1000,0)</f>
        <v>0</v>
      </c>
      <c r="BL28" s="110">
        <v>0.23958333333333301</v>
      </c>
      <c r="BM28" s="211">
        <f>IF('Temperature Profiles'!L27&lt;16,(-0.0076*'Temperature Profiles'!L27+0.1245)*1000,0)</f>
        <v>0</v>
      </c>
      <c r="BN28" s="110">
        <v>0.23958333333333301</v>
      </c>
      <c r="BO28" s="211">
        <f>IF('Temperature Profiles'!L27&lt;16,(-0.01*'Temperature Profiles'!L27+0.167)*1000,0)</f>
        <v>0</v>
      </c>
      <c r="BP28" s="21"/>
      <c r="BQ28" s="110">
        <v>0.23958333333333301</v>
      </c>
      <c r="BR28" s="211">
        <f>IF('Temperature Profiles'!Q27&lt;16,(-0.0037*'Temperature Profiles'!Q27+0.0664)*1000,0)</f>
        <v>0</v>
      </c>
      <c r="BS28" s="110">
        <v>0.23958333333333301</v>
      </c>
      <c r="BT28" s="211">
        <f>IF('Temperature Profiles'!Q27&lt;16,(-0.0076*'Temperature Profiles'!Q27+0.1245)*1000,0)</f>
        <v>0</v>
      </c>
      <c r="BU28" s="110">
        <v>0.23958333333333301</v>
      </c>
      <c r="BV28" s="211">
        <f>IF('Temperature Profiles'!Q27&lt;16,(-0.01*'Temperature Profiles'!Q27+0.167)*1000,0)</f>
        <v>0</v>
      </c>
      <c r="BW28" s="21"/>
      <c r="BX28" s="110">
        <v>0.23958333333333301</v>
      </c>
      <c r="BY28" s="211">
        <f>IF('Temperature Profiles'!V27&lt;16,(-0.0037*'Temperature Profiles'!V27+0.0664)*1000,0)</f>
        <v>0</v>
      </c>
      <c r="BZ28" s="110">
        <v>0.23958333333333301</v>
      </c>
      <c r="CA28" s="211">
        <f>IF('Temperature Profiles'!V27&lt;16,(-0.0076*'Temperature Profiles'!V27+0.1245)*1000,0)</f>
        <v>0</v>
      </c>
      <c r="CB28" s="110">
        <v>0.23958333333333301</v>
      </c>
      <c r="CC28" s="211">
        <f>IF('Temperature Profiles'!V27&lt;16,(-0.01*'Temperature Profiles'!V27+0.167)*1000,0)</f>
        <v>0</v>
      </c>
      <c r="CD28" s="21"/>
      <c r="CE28" s="110">
        <v>0.23958333333333301</v>
      </c>
      <c r="CF28" s="211">
        <f>IF('Temperature Profiles'!AA27&lt;16,(-0.0037*'Temperature Profiles'!AA27+0.0664)*1000,0)</f>
        <v>136.33000000000001</v>
      </c>
      <c r="CG28" s="110">
        <v>0.23958333333333301</v>
      </c>
      <c r="CH28" s="178">
        <f>IF('Temperature Profiles'!AA27&lt;16,(-0.0076*'Temperature Profiles'!AA27+0.1245)*1000,0)</f>
        <v>268.14000000000004</v>
      </c>
      <c r="CI28" s="110">
        <v>0.23958333333333301</v>
      </c>
      <c r="CJ28" s="211">
        <f>IF('Temperature Profiles'!AA27&lt;16,(-0.01*'Temperature Profiles'!AA27+0.167)*1000,0)</f>
        <v>356.00000000000006</v>
      </c>
      <c r="CK28" s="21"/>
      <c r="CL28" s="110">
        <v>0.23958333333333301</v>
      </c>
      <c r="CM28" s="211">
        <f>IF('Temperature Profiles'!AF27&lt;16,(-0.0037*'Temperature Profiles'!AF27+0.0664)*1000,0)</f>
        <v>0</v>
      </c>
      <c r="CN28" s="110">
        <v>0.23958333333333301</v>
      </c>
      <c r="CO28" s="178">
        <f>IF('Temperature Profiles'!AF27&lt;16,(-0.0076*'Temperature Profiles'!AF27+0.1245)*1000,0)</f>
        <v>0</v>
      </c>
      <c r="CP28" s="110">
        <v>0.23958333333333301</v>
      </c>
      <c r="CQ28" s="211">
        <f>IF('Temperature Profiles'!AF27&lt;16,(-0.01*'Temperature Profiles'!AF27+0.167)*1000,0)</f>
        <v>0</v>
      </c>
      <c r="CR28" s="21"/>
      <c r="CS28" s="110">
        <v>0.23958333333333301</v>
      </c>
      <c r="CT28" s="211"/>
      <c r="CU28" s="21"/>
      <c r="CV28" s="110">
        <v>0.23958333333333301</v>
      </c>
      <c r="CW28" s="264"/>
      <c r="CY28" s="260">
        <v>0.23958333333333301</v>
      </c>
      <c r="CZ28" s="178">
        <f>IF('Temperature Profiles'!G27&gt;18,(0.0024*('Temperature Profiles'!G27^2)-0.0581*'Temperature Profiles'!G27+0.3293)*1000,IF('Temperature Profiles'!G27&lt;17,(0.0022*('Temperature Profiles'!G27^2)-0.0874*'Temperature Profiles'!G27+0.9301)*1000,0))</f>
        <v>178.13200000000006</v>
      </c>
      <c r="DA28" s="110">
        <v>0.23958333333333301</v>
      </c>
      <c r="DB28" s="263">
        <f>IF('Temperature Profiles'!G27&gt;18,(0.0043*('Temperature Profiles'!G27^2)-0.1116*'Temperature Profiles'!G27+0.6576)*1000,IF('Temperature Profiles'!G27&lt;17,(0.0053*('Temperature Profiles'!G27^2)-0.1876*'Temperature Profiles'!G27+1.7649)*1000,0))</f>
        <v>242.56800000000032</v>
      </c>
      <c r="DC28" s="110">
        <v>0.23958333333333301</v>
      </c>
      <c r="DD28" s="211">
        <f>IF('Temperature Profiles'!G27&gt;18,(0.0057*('Temperature Profiles'!G27^2)-0.1509*'Temperature Profiles'!G27+0.8935)*1000,IF('Temperature Profiles'!G27&lt;17,(0.0072*('Temperature Profiles'!G27^2)-0.254*'Temperature Profiles'!G27+2.3952)*1000,0))</f>
        <v>337.87199999999996</v>
      </c>
      <c r="DE28" s="21"/>
      <c r="DF28" s="110">
        <v>0.23958333333333301</v>
      </c>
      <c r="DG28" s="209">
        <f>IF('Temperature Profiles'!L27&gt;18,(0.0024*('Temperature Profiles'!L27^2)-0.0581*'Temperature Profiles'!L27+0.3293)*1000,IF('Temperature Profiles'!L27&lt;17,(0.0022*('Temperature Profiles'!L27^2)-0.0874*'Temperature Profiles'!L27+0.9301)*1000,0))</f>
        <v>143.50833333333341</v>
      </c>
      <c r="DH28" s="110">
        <v>0.23958333333333301</v>
      </c>
      <c r="DI28" s="209">
        <f>IF('Temperature Profiles'!L27&gt;18,(0.0043*('Temperature Profiles'!L27^2)-0.1116*'Temperature Profiles'!L27+0.6576)*1000,IF('Temperature Profiles'!L27&lt;17,(0.0053*('Temperature Profiles'!L27^2)-0.1876*'Temperature Profiles'!L27+1.7649)*1000,0))</f>
        <v>171.51319444444434</v>
      </c>
      <c r="DJ28" s="110">
        <v>0.23958333333333301</v>
      </c>
      <c r="DK28" s="211">
        <f>IF('Temperature Profiles'!L27&gt;18,(0.0057*('Temperature Profiles'!L27^2)-0.1509*'Temperature Profiles'!L27+0.8935)*1000,IF('Temperature Profiles'!L27&lt;17,(0.0072*('Temperature Profiles'!L27^2)-0.254*'Temperature Profiles'!L27+2.3952)*1000,0))</f>
        <v>188.61458333333348</v>
      </c>
      <c r="DL28" s="21"/>
      <c r="DM28" s="110">
        <v>0.23958333333333301</v>
      </c>
      <c r="DN28" s="209">
        <f>IF('Temperature Profiles'!Q27&gt;18,(0.0024*('Temperature Profiles'!Q27^2)-0.0581*'Temperature Profiles'!Q27+0.3293)*1000,IF('Temperature Profiles'!Q27&lt;17,(0.0022*('Temperature Profiles'!Q27^2)-0.0874*'Temperature Profiles'!Q27+0.9301)*1000,0))</f>
        <v>311.61399999999969</v>
      </c>
      <c r="DO28" s="110">
        <v>0.23958333333333301</v>
      </c>
      <c r="DP28" s="209">
        <f>IF('Temperature Profiles'!Q27&gt;18,(0.0043*('Temperature Profiles'!Q27^2)-0.1116*'Temperature Profiles'!Q27+0.6576)*1000,IF('Temperature Profiles'!Q27&lt;17,(0.0053*('Temperature Profiles'!Q27^2)-0.1876*'Temperature Profiles'!Q27+1.7649)*1000,0))</f>
        <v>446.56299999999936</v>
      </c>
      <c r="DQ28" s="110">
        <v>0.23958333333333301</v>
      </c>
      <c r="DR28" s="211">
        <f>IF('Temperature Profiles'!Q27&gt;18,(0.0057*('Temperature Profiles'!Q27^2)-0.1509*'Temperature Profiles'!Q27+0.8935)*1000,IF('Temperature Profiles'!Q27&lt;17,(0.0072*('Temperature Profiles'!Q27^2)-0.254*'Temperature Profiles'!Q27+2.3952)*1000,0))</f>
        <v>542.88699999999949</v>
      </c>
      <c r="DS28" s="21"/>
      <c r="DT28" s="110">
        <v>0.23958333333333301</v>
      </c>
      <c r="DU28" s="209">
        <f>IF('Temperature Profiles'!V27&gt;18,(0.0024*('Temperature Profiles'!V27^2)-0.0581*'Temperature Profiles'!V27+0.3293)*1000,IF('Temperature Profiles'!V27&lt;17,(0.0022*('Temperature Profiles'!V27^2)-0.0874*'Temperature Profiles'!V27+0.9301)*1000,0))</f>
        <v>0</v>
      </c>
      <c r="DV28" s="110">
        <v>0.23958333333333301</v>
      </c>
      <c r="DW28" s="209">
        <f>IF('Temperature Profiles'!V27&gt;18,(0.0043*('Temperature Profiles'!V27^2)-0.1116*'Temperature Profiles'!V27+0.6576)*1000,IF('Temperature Profiles'!V27&lt;17,(0.0053*('Temperature Profiles'!V27^2)-0.1876*'Temperature Profiles'!V27+1.7649)*1000,0))</f>
        <v>0</v>
      </c>
      <c r="DX28" s="110">
        <v>0.23958333333333301</v>
      </c>
      <c r="DY28" s="211">
        <f>IF('Temperature Profiles'!V27&gt;18,(0.0057*('Temperature Profiles'!V27^2)-0.1509*'Temperature Profiles'!V27+0.8935)*1000,IF('Temperature Profiles'!V27&lt;17,(0.0072*('Temperature Profiles'!V27^2)-0.254*'Temperature Profiles'!V27+2.3952)*1000,0))</f>
        <v>0</v>
      </c>
      <c r="DZ28" s="21"/>
      <c r="EA28" s="110">
        <v>0.23958333333333301</v>
      </c>
      <c r="EB28" s="209">
        <f>IF('Temperature Profiles'!AA126&gt;18,(0.0024*('Temperature Profiles'!AA126^2)-0.0581*'Temperature Profiles'!AA126+0.3293)*1000,IF('Temperature Profiles'!AA126&lt;17,(0.0022*('Temperature Profiles'!AA126^2)-0.0874*'Temperature Profiles'!AA126+0.9301)*1000,0))</f>
        <v>878.45200000000011</v>
      </c>
      <c r="EC28" s="110">
        <v>0.23958333333333301</v>
      </c>
      <c r="ED28" s="209">
        <f>IF('Temperature Profiles'!AA126&gt;18,(0.0043*('Temperature Profiles'!AA126^2)-0.1116*'Temperature Profiles'!AA126+0.6576)*1000,IF('Temperature Profiles'!AA126&lt;17,(0.0053*('Temperature Profiles'!AA126^2)-0.1876*'Temperature Profiles'!AA126+1.7649)*1000,0))</f>
        <v>1654.2480000000003</v>
      </c>
      <c r="EE28" s="110">
        <v>0.23958333333333301</v>
      </c>
      <c r="EF28" s="211">
        <f>IF('Temperature Profiles'!AA126&gt;18,(0.0057*('Temperature Profiles'!AA126^2)-0.1509*'Temperature Profiles'!AA126+0.8935)*1000,IF('Temperature Profiles'!AA126&lt;17,(0.0072*('Temperature Profiles'!AA126^2)-0.254*'Temperature Profiles'!AA126+2.3952)*1000,0))</f>
        <v>2245.3920000000003</v>
      </c>
      <c r="EG28" s="21"/>
      <c r="EH28" s="110">
        <v>0.23958333333333301</v>
      </c>
      <c r="EI28" s="211">
        <f>IF('Temperature Profiles'!AF27&gt;18,(0.0024*('Temperature Profiles'!AF27^2)-0.0581*'Temperature Profiles'!AF27+0.3293)*1000,IF('Temperature Profiles'!AF27&lt;17,(0.0022*('Temperature Profiles'!AF27^2)-0.0874*'Temperature Profiles'!AF27+0.9301)*1000,0))</f>
        <v>369.61100000000022</v>
      </c>
      <c r="EJ28" s="110">
        <v>0.23958333333333301</v>
      </c>
      <c r="EK28" s="211">
        <f>IF('Temperature Profiles'!AF27&gt;18,(0.0043*('Temperature Profiles'!AF27^2)-0.1116*'Temperature Profiles'!AF27+0.6576)*1000,IF('Temperature Profiles'!AF27&lt;17,(0.0053*('Temperature Profiles'!AF27^2)-0.1876*'Temperature Profiles'!AF27+1.7649)*1000,0))</f>
        <v>543.0951944444447</v>
      </c>
      <c r="EL28" s="110">
        <v>0.23958333333333301</v>
      </c>
      <c r="EM28" s="211">
        <f>IF('Temperature Profiles'!AF27&gt;18,(0.0057*('Temperature Profiles'!AF27^2)-0.1509*'Temperature Profiles'!AF27+0.8935)*1000,IF('Temperature Profiles'!AF27&lt;17,(0.0072*('Temperature Profiles'!AF27^2)-0.254*'Temperature Profiles'!AF27+2.3952)*1000,0))</f>
        <v>667.93258333333358</v>
      </c>
      <c r="EN28" s="21"/>
      <c r="EO28" s="110">
        <v>0.23958333333333301</v>
      </c>
      <c r="EP28" s="211"/>
      <c r="EQ28" s="21"/>
      <c r="ER28" s="110">
        <v>0.23958333333333301</v>
      </c>
      <c r="ES28" s="264"/>
      <c r="EU28" s="260">
        <v>0.23958333333333301</v>
      </c>
      <c r="EV28" s="209">
        <f>IF('Temperature Profiles'!AA126&gt;18,(0.0024*('Temperature Profiles'!AA126^2)-0.0581*'Temperature Profiles'!AA126+0.3293)*1000,IF('Temperature Profiles'!AA126&lt;17,(0.0022*('Temperature Profiles'!AA126^2)-0.0874*'Temperature Profiles'!AA126+0.9301)*1000,0))</f>
        <v>878.45200000000011</v>
      </c>
      <c r="EW28" s="110">
        <v>0.23958333333333301</v>
      </c>
      <c r="EX28" s="209">
        <f>IF('Temperature Profiles'!AA126&gt;18,(0.0043*('Temperature Profiles'!AA126^2)-0.1116*'Temperature Profiles'!AA126+0.6576)*1000,IF('Temperature Profiles'!AA126&lt;17,(0.0053*('Temperature Profiles'!AA126^2)-0.1876*'Temperature Profiles'!AA126+1.7649)*1000,0))</f>
        <v>1654.2480000000003</v>
      </c>
      <c r="EY28" s="110">
        <v>0.23958333333333301</v>
      </c>
      <c r="EZ28" s="264">
        <f>IF('Temperature Profiles'!AA126&gt;18,(0.0057*('Temperature Profiles'!AA126^2)-0.1509*'Temperature Profiles'!AA126+0.8935)*1000,IF('Temperature Profiles'!AA126&lt;17,(0.0072*('Temperature Profiles'!AA126^2)-0.254*'Temperature Profiles'!AA126+2.3952)*1000,0))</f>
        <v>2245.3920000000003</v>
      </c>
    </row>
    <row r="29" spans="1:156" x14ac:dyDescent="0.3">
      <c r="A29" s="108">
        <v>0.23958333333333301</v>
      </c>
      <c r="B29" s="226">
        <f t="shared" si="0"/>
        <v>0</v>
      </c>
      <c r="C29" s="21">
        <f t="shared" si="1"/>
        <v>356.00000000000006</v>
      </c>
      <c r="D29" s="20">
        <f t="shared" si="2"/>
        <v>2245.3920000000003</v>
      </c>
      <c r="E29" s="20">
        <f t="shared" si="3"/>
        <v>2245.3920000000003</v>
      </c>
      <c r="G29" s="260">
        <v>0.25</v>
      </c>
      <c r="H29" s="211">
        <f>IF('Temperature Profiles'!G28&gt;17,(0.0029*('Temperature Profiles'!G28^2) - 0.0863*'Temperature Profiles'!G28 + 0.6808)*1000,0)</f>
        <v>0</v>
      </c>
      <c r="I29" s="110">
        <v>0.25</v>
      </c>
      <c r="J29" s="211">
        <f>IF('Temperature Profiles'!G28&gt;17,(0.005*('Temperature Profiles'!G28^2) - 0.1517*'Temperature Profiles'!G28 + 1.1702)*1000,0)</f>
        <v>0</v>
      </c>
      <c r="K29" s="110">
        <v>0.25</v>
      </c>
      <c r="L29" s="211">
        <f>IF('Temperature Profiles'!G28&gt;17,(0.0068*('Temperature Profiles'!G28^2) - 0.2129*'Temperature Profiles'!G28 + 1.6904)*1000,0)</f>
        <v>0</v>
      </c>
      <c r="M29" s="21"/>
      <c r="N29" s="110">
        <v>0.25</v>
      </c>
      <c r="O29" s="211">
        <f>IF('Temperature Profiles'!L28&gt;17,(0.0029*('Temperature Profiles'!L28^2) - 0.0863*'Temperature Profiles'!L28 + 0.6808)*1000,0)</f>
        <v>109.69131249999997</v>
      </c>
      <c r="P29" s="110">
        <v>0.25</v>
      </c>
      <c r="Q29" s="211">
        <f>IF('Temperature Profiles'!L28&gt;17,(0.005*('Temperature Profiles'!L28^2) - 0.1517*'Temperature Profiles'!L28 + 1.1702)*1000,0)</f>
        <v>127.9006250000001</v>
      </c>
      <c r="R29" s="110">
        <v>0.25</v>
      </c>
      <c r="S29" s="211">
        <f>IF('Temperature Profiles'!L28&gt;17,(0.0068*('Temperature Profiles'!L28^2) - 0.2129*'Temperature Profiles'!L28 + 1.6904)*1000,0)</f>
        <v>142.26574999999951</v>
      </c>
      <c r="T29" s="21"/>
      <c r="U29" s="110">
        <v>0.25</v>
      </c>
      <c r="V29" s="211">
        <f>IF('Temperature Profiles'!Q28&gt;17,(0.0029*('Temperature Profiles'!Q28^2) - 0.0863*'Temperature Profiles'!Q28 + 0.6808)*1000,0)</f>
        <v>309.50503472222181</v>
      </c>
      <c r="W29" s="110">
        <v>0.25</v>
      </c>
      <c r="X29" s="211">
        <f>IF('Temperature Profiles'!Q28&gt;17,(0.005*('Temperature Profiles'!Q28^2) - 0.1517*'Temperature Profiles'!Q28 + 1.1702)*1000,0)</f>
        <v>458.6961805555556</v>
      </c>
      <c r="Y29" s="110">
        <v>0.25</v>
      </c>
      <c r="Z29" s="211">
        <f>IF('Temperature Profiles'!Q28&gt;17,(0.0068*('Temperature Profiles'!Q28^2) - 0.2129*'Temperature Profiles'!Q28 + 1.6904)*1000,0)</f>
        <v>561.07430555555516</v>
      </c>
      <c r="AA29" s="21"/>
      <c r="AB29" s="110">
        <v>0.25</v>
      </c>
      <c r="AC29" s="211">
        <f>IF('Temperature Profiles'!V28&gt;17,(0.0029*('Temperature Profiles'!V28^2) - 0.0863*'Temperature Profiles'!V28 + 0.6808)*1000,0)</f>
        <v>54.375999999999756</v>
      </c>
      <c r="AD29" s="110">
        <v>0.25</v>
      </c>
      <c r="AE29" s="211">
        <f>IF('Temperature Profiles'!V28&gt;17,(0.005*('Temperature Profiles'!V28^2) - 0.1517*'Temperature Profiles'!V28 + 1.1702)*1000,0)</f>
        <v>40.159999999999755</v>
      </c>
      <c r="AF29" s="110">
        <v>0.25</v>
      </c>
      <c r="AG29" s="211">
        <f>IF('Temperature Profiles'!V28&gt;17,(0.0068*('Temperature Profiles'!V28^2) - 0.2129*'Temperature Profiles'!V28 + 1.6904)*1000,0)</f>
        <v>40.231999999999601</v>
      </c>
      <c r="AH29" s="21"/>
      <c r="AI29" s="110">
        <v>0.25</v>
      </c>
      <c r="AJ29" s="211">
        <f>IF('Temperature Profiles'!AA28&gt;17,(0.0029*('Temperature Profiles'!AA28^2) - 0.0863*'Temperature Profiles'!AA28 + 0.6808)*1000,0)</f>
        <v>0</v>
      </c>
      <c r="AK29" s="110">
        <v>0.25</v>
      </c>
      <c r="AL29" s="211">
        <f>IF('Temperature Profiles'!AA28&gt;17,(0.005*('Temperature Profiles'!AA28^2) - 0.1517*'Temperature Profiles'!AA28 + 1.1701)*1000,0)</f>
        <v>0</v>
      </c>
      <c r="AM29" s="110">
        <v>0.25</v>
      </c>
      <c r="AN29" s="211">
        <f>IF('Temperature Profiles'!AA28&gt;17,(0.0068*('Temperature Profiles'!AA28^2) - 0.2129*'Temperature Profiles'!AA28 + 1.6904)*1000,0)</f>
        <v>0</v>
      </c>
      <c r="AO29" s="21"/>
      <c r="AP29" s="110">
        <v>0.25</v>
      </c>
      <c r="AQ29" s="211">
        <f>IF('Temperature Profiles'!AF28&gt;17,(0.0029*('Temperature Profiles'!AF28^2) - 0.0863*'Temperature Profiles'!AF28 + 0.6808)*1000,0)</f>
        <v>369.47820138888852</v>
      </c>
      <c r="AR29" s="110">
        <v>0.25</v>
      </c>
      <c r="AS29" s="183">
        <f>IF('Temperature Profiles'!AF28&gt;17,(0.005*('Temperature Profiles'!AF28^2) - 0.1517*'Temperature Profiles'!AF28 + 1.1702)*1000,0)</f>
        <v>559.14284722222214</v>
      </c>
      <c r="AT29" s="110">
        <v>0.25</v>
      </c>
      <c r="AU29" s="211">
        <f>IF('Temperature Profiles'!AF28&gt;17,(0.0068*('Temperature Profiles'!AF28^2) - 0.2129*'Temperature Profiles'!AF28 + 1.6904)*1000,0)</f>
        <v>690.9839722222215</v>
      </c>
      <c r="AV29" s="21"/>
      <c r="AW29" s="110">
        <v>0.25</v>
      </c>
      <c r="AX29" s="211"/>
      <c r="AY29" s="21"/>
      <c r="AZ29" s="110">
        <v>0.25</v>
      </c>
      <c r="BA29" s="264"/>
      <c r="BC29" s="260">
        <v>0.25</v>
      </c>
      <c r="BD29" s="211">
        <f>IF('Temperature Profiles'!G28&lt;16,(-0.0037*'Temperature Profiles'!G28+0.0664)*1000,0)</f>
        <v>17.93</v>
      </c>
      <c r="BE29" s="110">
        <v>0.25</v>
      </c>
      <c r="BF29" s="211">
        <f>IF('Temperature Profiles'!G28&lt;16,(-0.0076*'Temperature Profiles'!G28+0.1245)*1000,0)</f>
        <v>24.940000000000005</v>
      </c>
      <c r="BG29" s="110">
        <v>0.25</v>
      </c>
      <c r="BH29" s="211">
        <f>IF('Temperature Profiles'!G28&lt;16,(-0.01*'Temperature Profiles'!G28+0.167)*1000,0)</f>
        <v>36.000000000000007</v>
      </c>
      <c r="BI29" s="21"/>
      <c r="BJ29" s="110">
        <v>0.25</v>
      </c>
      <c r="BK29" s="211">
        <f>IF('Temperature Profiles'!L28&lt;16,(-0.0037*'Temperature Profiles'!L28+0.0664)*1000,0)</f>
        <v>0</v>
      </c>
      <c r="BL29" s="110">
        <v>0.25</v>
      </c>
      <c r="BM29" s="211">
        <f>IF('Temperature Profiles'!L28&lt;16,(-0.0076*'Temperature Profiles'!L28+0.1245)*1000,0)</f>
        <v>0</v>
      </c>
      <c r="BN29" s="110">
        <v>0.25</v>
      </c>
      <c r="BO29" s="211">
        <f>IF('Temperature Profiles'!L28&lt;16,(-0.01*'Temperature Profiles'!L28+0.167)*1000,0)</f>
        <v>0</v>
      </c>
      <c r="BP29" s="21"/>
      <c r="BQ29" s="110">
        <v>0.25</v>
      </c>
      <c r="BR29" s="211">
        <f>IF('Temperature Profiles'!Q28&lt;16,(-0.0037*'Temperature Profiles'!Q28+0.0664)*1000,0)</f>
        <v>0</v>
      </c>
      <c r="BS29" s="110">
        <v>0.25</v>
      </c>
      <c r="BT29" s="211">
        <f>IF('Temperature Profiles'!Q28&lt;16,(-0.0076*'Temperature Profiles'!Q28+0.1245)*1000,0)</f>
        <v>0</v>
      </c>
      <c r="BU29" s="110">
        <v>0.25</v>
      </c>
      <c r="BV29" s="211">
        <f>IF('Temperature Profiles'!Q28&lt;16,(-0.01*'Temperature Profiles'!Q28+0.167)*1000,0)</f>
        <v>0</v>
      </c>
      <c r="BW29" s="21"/>
      <c r="BX29" s="110">
        <v>0.25</v>
      </c>
      <c r="BY29" s="211">
        <f>IF('Temperature Profiles'!V28&lt;16,(-0.0037*'Temperature Profiles'!V28+0.0664)*1000,0)</f>
        <v>0</v>
      </c>
      <c r="BZ29" s="110">
        <v>0.25</v>
      </c>
      <c r="CA29" s="211">
        <f>IF('Temperature Profiles'!V28&lt;16,(-0.0076*'Temperature Profiles'!V28+0.1245)*1000,0)</f>
        <v>0</v>
      </c>
      <c r="CB29" s="110">
        <v>0.25</v>
      </c>
      <c r="CC29" s="211">
        <f>IF('Temperature Profiles'!V28&lt;16,(-0.01*'Temperature Profiles'!V28+0.167)*1000,0)</f>
        <v>0</v>
      </c>
      <c r="CD29" s="21"/>
      <c r="CE29" s="110">
        <v>0.25</v>
      </c>
      <c r="CF29" s="211">
        <f>IF('Temperature Profiles'!AA28&lt;16,(-0.0037*'Temperature Profiles'!AA28+0.0664)*1000,0)</f>
        <v>134.17166666666668</v>
      </c>
      <c r="CG29" s="110">
        <v>0.25</v>
      </c>
      <c r="CH29" s="178">
        <f>IF('Temperature Profiles'!AA28&lt;16,(-0.0076*'Temperature Profiles'!AA28+0.1245)*1000,0)</f>
        <v>263.70666666666665</v>
      </c>
      <c r="CI29" s="110">
        <v>0.25</v>
      </c>
      <c r="CJ29" s="211">
        <f>IF('Temperature Profiles'!AA28&lt;16,(-0.01*'Temperature Profiles'!AA28+0.167)*1000,0)</f>
        <v>350.16666666666669</v>
      </c>
      <c r="CK29" s="21"/>
      <c r="CL29" s="110">
        <v>0.25</v>
      </c>
      <c r="CM29" s="211">
        <f>IF('Temperature Profiles'!AF28&lt;16,(-0.0037*'Temperature Profiles'!AF28+0.0664)*1000,0)</f>
        <v>0</v>
      </c>
      <c r="CN29" s="110">
        <v>0.25</v>
      </c>
      <c r="CO29" s="178">
        <f>IF('Temperature Profiles'!AF28&lt;16,(-0.0076*'Temperature Profiles'!AF28+0.1245)*1000,0)</f>
        <v>0</v>
      </c>
      <c r="CP29" s="110">
        <v>0.25</v>
      </c>
      <c r="CQ29" s="211">
        <f>IF('Temperature Profiles'!AF28&lt;16,(-0.01*'Temperature Profiles'!AF28+0.167)*1000,0)</f>
        <v>0</v>
      </c>
      <c r="CR29" s="21"/>
      <c r="CS29" s="110">
        <v>0.25</v>
      </c>
      <c r="CT29" s="211"/>
      <c r="CU29" s="21"/>
      <c r="CV29" s="110">
        <v>0.25</v>
      </c>
      <c r="CW29" s="264"/>
      <c r="CY29" s="260">
        <v>0.25</v>
      </c>
      <c r="CZ29" s="178">
        <f>IF('Temperature Profiles'!G28&gt;18,(0.0024*('Temperature Profiles'!G28^2)-0.0581*'Temperature Profiles'!G28+0.3293)*1000,IF('Temperature Profiles'!G28&lt;17,(0.0022*('Temperature Profiles'!G28^2)-0.0874*'Temperature Profiles'!G28+0.9301)*1000,0))</f>
        <v>162.70200000000003</v>
      </c>
      <c r="DA29" s="110">
        <v>0.25</v>
      </c>
      <c r="DB29" s="263">
        <f>IF('Temperature Profiles'!G28&gt;18,(0.0043*('Temperature Profiles'!G28^2)-0.1116*'Temperature Profiles'!G28+0.6576)*1000,IF('Temperature Profiles'!G28&lt;17,(0.0053*('Temperature Profiles'!G28^2)-0.1876*'Temperature Profiles'!G28+1.7649)*1000,0))</f>
        <v>216.87299999999988</v>
      </c>
      <c r="DC29" s="110">
        <v>0.25</v>
      </c>
      <c r="DD29" s="211">
        <f>IF('Temperature Profiles'!G28&gt;18,(0.0057*('Temperature Profiles'!G28^2)-0.1509*'Temperature Profiles'!G28+0.8935)*1000,IF('Temperature Profiles'!G28&lt;17,(0.0072*('Temperature Profiles'!G28^2)-0.254*'Temperature Profiles'!G28+2.3952)*1000,0))</f>
        <v>303.39199999999965</v>
      </c>
      <c r="DE29" s="21"/>
      <c r="DF29" s="110">
        <v>0.25</v>
      </c>
      <c r="DG29" s="209">
        <f>IF('Temperature Profiles'!L28&gt;18,(0.0024*('Temperature Profiles'!L28^2)-0.0581*'Temperature Profiles'!L28+0.3293)*1000,IF('Temperature Profiles'!L28&lt;17,(0.0022*('Temperature Profiles'!L28^2)-0.0874*'Temperature Profiles'!L28+0.9301)*1000,0))</f>
        <v>120.74100000000016</v>
      </c>
      <c r="DH29" s="110">
        <v>0.25</v>
      </c>
      <c r="DI29" s="209">
        <f>IF('Temperature Profiles'!L28&gt;18,(0.0043*('Temperature Profiles'!L28^2)-0.1116*'Temperature Profiles'!L28+0.6576)*1000,IF('Temperature Profiles'!L28&lt;17,(0.0053*('Temperature Profiles'!L28^2)-0.1876*'Temperature Profiles'!L28+1.7649)*1000,0))</f>
        <v>135.16168749999969</v>
      </c>
      <c r="DJ29" s="110">
        <v>0.25</v>
      </c>
      <c r="DK29" s="211">
        <f>IF('Temperature Profiles'!L28&gt;18,(0.0057*('Temperature Profiles'!L28^2)-0.1509*'Temperature Profiles'!L28+0.8935)*1000,IF('Temperature Profiles'!L28&lt;17,(0.0072*('Temperature Profiles'!L28^2)-0.254*'Temperature Profiles'!L28+2.3952)*1000,0))</f>
        <v>142.18206249999986</v>
      </c>
      <c r="DL29" s="21"/>
      <c r="DM29" s="110">
        <v>0.25</v>
      </c>
      <c r="DN29" s="209">
        <f>IF('Temperature Profiles'!Q28&gt;18,(0.0024*('Temperature Profiles'!Q28^2)-0.0581*'Temperature Profiles'!Q28+0.3293)*1000,IF('Temperature Profiles'!Q28&lt;17,(0.0022*('Temperature Profiles'!Q28^2)-0.0874*'Temperature Profiles'!Q28+0.9301)*1000,0))</f>
        <v>348.93333333333317</v>
      </c>
      <c r="DO29" s="110">
        <v>0.25</v>
      </c>
      <c r="DP29" s="209">
        <f>IF('Temperature Profiles'!Q28&gt;18,(0.0043*('Temperature Profiles'!Q28^2)-0.1116*'Temperature Profiles'!Q28+0.6576)*1000,IF('Temperature Profiles'!Q28&lt;17,(0.0053*('Temperature Profiles'!Q28^2)-0.1876*'Temperature Profiles'!Q28+1.7649)*1000,0))</f>
        <v>508.61163194444447</v>
      </c>
      <c r="DQ29" s="110">
        <v>0.25</v>
      </c>
      <c r="DR29" s="211">
        <f>IF('Temperature Profiles'!Q28&gt;18,(0.0057*('Temperature Profiles'!Q28^2)-0.1509*'Temperature Profiles'!Q28+0.8935)*1000,IF('Temperature Profiles'!Q28&lt;17,(0.0072*('Temperature Profiles'!Q28^2)-0.254*'Temperature Profiles'!Q28+2.3952)*1000,0))</f>
        <v>623.23489583333333</v>
      </c>
      <c r="DS29" s="21"/>
      <c r="DT29" s="110">
        <v>0.25</v>
      </c>
      <c r="DU29" s="209">
        <f>IF('Temperature Profiles'!V28&gt;18,(0.0024*('Temperature Profiles'!V28^2)-0.0581*'Temperature Profiles'!V28+0.3293)*1000,IF('Temperature Profiles'!V28&lt;17,(0.0022*('Temperature Profiles'!V28^2)-0.0874*'Temperature Profiles'!V28+0.9301)*1000,0))</f>
        <v>0</v>
      </c>
      <c r="DV29" s="110">
        <v>0.25</v>
      </c>
      <c r="DW29" s="209">
        <f>IF('Temperature Profiles'!V28&gt;18,(0.0043*('Temperature Profiles'!V28^2)-0.1116*'Temperature Profiles'!V28+0.6576)*1000,IF('Temperature Profiles'!V28&lt;17,(0.0053*('Temperature Profiles'!V28^2)-0.1876*'Temperature Profiles'!V28+1.7649)*1000,0))</f>
        <v>0</v>
      </c>
      <c r="DX29" s="110">
        <v>0.25</v>
      </c>
      <c r="DY29" s="211">
        <f>IF('Temperature Profiles'!V28&gt;18,(0.0057*('Temperature Profiles'!V28^2)-0.1509*'Temperature Profiles'!V28+0.8935)*1000,IF('Temperature Profiles'!V28&lt;17,(0.0072*('Temperature Profiles'!V28^2)-0.254*'Temperature Profiles'!V28+2.3952)*1000,0))</f>
        <v>0</v>
      </c>
      <c r="DZ29" s="21"/>
      <c r="EA29" s="110">
        <v>0.25</v>
      </c>
      <c r="EB29" s="209">
        <f>IF('Temperature Profiles'!AA127&gt;18,(0.0024*('Temperature Profiles'!AA127^2)-0.0581*'Temperature Profiles'!AA127+0.3293)*1000,IF('Temperature Profiles'!AA127&lt;17,(0.0022*('Temperature Profiles'!AA127^2)-0.0874*'Temperature Profiles'!AA127+0.9301)*1000,0))</f>
        <v>878.45200000000011</v>
      </c>
      <c r="EC29" s="110">
        <v>0.25</v>
      </c>
      <c r="ED29" s="209">
        <f>IF('Temperature Profiles'!AA127&gt;18,(0.0043*('Temperature Profiles'!AA127^2)-0.1116*'Temperature Profiles'!AA127+0.6576)*1000,IF('Temperature Profiles'!AA127&lt;17,(0.0053*('Temperature Profiles'!AA127^2)-0.1876*'Temperature Profiles'!AA127+1.7649)*1000,0))</f>
        <v>1654.2480000000003</v>
      </c>
      <c r="EE29" s="110">
        <v>0.25</v>
      </c>
      <c r="EF29" s="211">
        <f>IF('Temperature Profiles'!AA127&gt;18,(0.0057*('Temperature Profiles'!AA127^2)-0.1509*'Temperature Profiles'!AA127+0.8935)*1000,IF('Temperature Profiles'!AA127&lt;17,(0.0072*('Temperature Profiles'!AA127^2)-0.254*'Temperature Profiles'!AA127+2.3952)*1000,0))</f>
        <v>2245.3920000000003</v>
      </c>
      <c r="EG29" s="21"/>
      <c r="EH29" s="110">
        <v>0.25</v>
      </c>
      <c r="EI29" s="211">
        <f>IF('Temperature Profiles'!AF28&gt;18,(0.0024*('Temperature Profiles'!AF28^2)-0.0581*'Temperature Profiles'!AF28+0.3293)*1000,IF('Temperature Profiles'!AF28&lt;17,(0.0022*('Temperature Profiles'!AF28^2)-0.0874*'Temperature Profiles'!AF28+0.9301)*1000,0))</f>
        <v>412.10899999999987</v>
      </c>
      <c r="EJ29" s="110">
        <v>0.25</v>
      </c>
      <c r="EK29" s="211">
        <f>IF('Temperature Profiles'!AF28&gt;18,(0.0043*('Temperature Profiles'!AF28^2)-0.1116*'Temperature Profiles'!AF28+0.6576)*1000,IF('Temperature Profiles'!AF28&lt;17,(0.0053*('Temperature Profiles'!AF28^2)-0.1876*'Temperature Profiles'!AF28+1.7649)*1000,0))</f>
        <v>614.17213194444423</v>
      </c>
      <c r="EL29" s="110">
        <v>0.25</v>
      </c>
      <c r="EM29" s="211">
        <f>IF('Temperature Profiles'!AF28&gt;18,(0.0057*('Temperature Profiles'!AF28^2)-0.1509*'Temperature Profiles'!AF28+0.8935)*1000,IF('Temperature Profiles'!AF28&lt;17,(0.0072*('Temperature Profiles'!AF28^2)-0.254*'Temperature Profiles'!AF28+2.3952)*1000,0))</f>
        <v>760.14939583333296</v>
      </c>
      <c r="EN29" s="21"/>
      <c r="EO29" s="110">
        <v>0.25</v>
      </c>
      <c r="EP29" s="211"/>
      <c r="EQ29" s="21"/>
      <c r="ER29" s="110">
        <v>0.25</v>
      </c>
      <c r="ES29" s="264"/>
      <c r="EU29" s="260">
        <v>0.25</v>
      </c>
      <c r="EV29" s="209">
        <f>IF('Temperature Profiles'!AA127&gt;18,(0.0024*('Temperature Profiles'!AA127^2)-0.0581*'Temperature Profiles'!AA127+0.3293)*1000,IF('Temperature Profiles'!AA127&lt;17,(0.0022*('Temperature Profiles'!AA127^2)-0.0874*'Temperature Profiles'!AA127+0.9301)*1000,0))</f>
        <v>878.45200000000011</v>
      </c>
      <c r="EW29" s="110">
        <v>0.25</v>
      </c>
      <c r="EX29" s="209">
        <f>IF('Temperature Profiles'!AA127&gt;18,(0.0043*('Temperature Profiles'!AA127^2)-0.1116*'Temperature Profiles'!AA127+0.6576)*1000,IF('Temperature Profiles'!AA127&lt;17,(0.0053*('Temperature Profiles'!AA127^2)-0.1876*'Temperature Profiles'!AA127+1.7649)*1000,0))</f>
        <v>1654.2480000000003</v>
      </c>
      <c r="EY29" s="110">
        <v>0.25</v>
      </c>
      <c r="EZ29" s="264">
        <f>IF('Temperature Profiles'!AA127&gt;18,(0.0057*('Temperature Profiles'!AA127^2)-0.1509*'Temperature Profiles'!AA127+0.8935)*1000,IF('Temperature Profiles'!AA127&lt;17,(0.0072*('Temperature Profiles'!AA127^2)-0.254*'Temperature Profiles'!AA127+2.3952)*1000,0))</f>
        <v>2245.3920000000003</v>
      </c>
    </row>
    <row r="30" spans="1:156" x14ac:dyDescent="0.3">
      <c r="A30" s="108">
        <v>0.25</v>
      </c>
      <c r="B30" s="226">
        <f t="shared" si="0"/>
        <v>0</v>
      </c>
      <c r="C30" s="21">
        <f t="shared" si="1"/>
        <v>350.16666666666669</v>
      </c>
      <c r="D30" s="20">
        <f t="shared" si="2"/>
        <v>2245.3920000000003</v>
      </c>
      <c r="E30" s="20">
        <f t="shared" si="3"/>
        <v>2245.3920000000003</v>
      </c>
      <c r="G30" s="260">
        <v>0.26041666666666702</v>
      </c>
      <c r="H30" s="211">
        <f>IF('Temperature Profiles'!G29&gt;17,(0.0029*('Temperature Profiles'!G29^2) - 0.0863*'Temperature Profiles'!G29 + 0.6808)*1000,0)</f>
        <v>0</v>
      </c>
      <c r="I30" s="110">
        <v>0.26041666666666702</v>
      </c>
      <c r="J30" s="211">
        <f>IF('Temperature Profiles'!G29&gt;17,(0.005*('Temperature Profiles'!G29^2) - 0.1517*'Temperature Profiles'!G29 + 1.1702)*1000,0)</f>
        <v>0</v>
      </c>
      <c r="K30" s="110">
        <v>0.26041666666666702</v>
      </c>
      <c r="L30" s="211">
        <f>IF('Temperature Profiles'!G29&gt;17,(0.0068*('Temperature Profiles'!G29^2) - 0.2129*'Temperature Profiles'!G29 + 1.6904)*1000,0)</f>
        <v>0</v>
      </c>
      <c r="M30" s="21"/>
      <c r="N30" s="110">
        <v>0.26041666666666702</v>
      </c>
      <c r="O30" s="211">
        <f>IF('Temperature Profiles'!L29&gt;17,(0.0029*('Temperature Profiles'!L29^2) - 0.0863*'Temperature Profiles'!L29 + 0.6808)*1000,0)</f>
        <v>109.69131249999997</v>
      </c>
      <c r="P30" s="110">
        <v>0.26041666666666702</v>
      </c>
      <c r="Q30" s="211">
        <f>IF('Temperature Profiles'!L29&gt;17,(0.005*('Temperature Profiles'!L29^2) - 0.1517*'Temperature Profiles'!L29 + 1.1702)*1000,0)</f>
        <v>127.9006250000001</v>
      </c>
      <c r="R30" s="110">
        <v>0.26041666666666702</v>
      </c>
      <c r="S30" s="211">
        <f>IF('Temperature Profiles'!L29&gt;17,(0.0068*('Temperature Profiles'!L29^2) - 0.2129*'Temperature Profiles'!L29 + 1.6904)*1000,0)</f>
        <v>142.26574999999951</v>
      </c>
      <c r="T30" s="21"/>
      <c r="U30" s="110">
        <v>0.26041666666666702</v>
      </c>
      <c r="V30" s="211">
        <f>IF('Temperature Profiles'!Q29&gt;17,(0.0029*('Temperature Profiles'!Q29^2) - 0.0863*'Temperature Profiles'!Q29 + 0.6808)*1000,0)</f>
        <v>309.50503472222181</v>
      </c>
      <c r="W30" s="110">
        <v>0.26041666666666702</v>
      </c>
      <c r="X30" s="211">
        <f>IF('Temperature Profiles'!Q29&gt;17,(0.005*('Temperature Profiles'!Q29^2) - 0.1517*'Temperature Profiles'!Q29 + 1.1702)*1000,0)</f>
        <v>458.6961805555556</v>
      </c>
      <c r="Y30" s="110">
        <v>0.26041666666666702</v>
      </c>
      <c r="Z30" s="211">
        <f>IF('Temperature Profiles'!Q29&gt;17,(0.0068*('Temperature Profiles'!Q29^2) - 0.2129*'Temperature Profiles'!Q29 + 1.6904)*1000,0)</f>
        <v>561.07430555555516</v>
      </c>
      <c r="AA30" s="21"/>
      <c r="AB30" s="110">
        <v>0.26041666666666702</v>
      </c>
      <c r="AC30" s="211">
        <f>IF('Temperature Profiles'!V29&gt;17,(0.0029*('Temperature Profiles'!V29^2) - 0.0863*'Temperature Profiles'!V29 + 0.6808)*1000,0)</f>
        <v>54.375999999999756</v>
      </c>
      <c r="AD30" s="110">
        <v>0.26041666666666702</v>
      </c>
      <c r="AE30" s="211">
        <f>IF('Temperature Profiles'!V29&gt;17,(0.005*('Temperature Profiles'!V29^2) - 0.1517*'Temperature Profiles'!V29 + 1.1702)*1000,0)</f>
        <v>40.159999999999755</v>
      </c>
      <c r="AF30" s="110">
        <v>0.26041666666666702</v>
      </c>
      <c r="AG30" s="211">
        <f>IF('Temperature Profiles'!V29&gt;17,(0.0068*('Temperature Profiles'!V29^2) - 0.2129*'Temperature Profiles'!V29 + 1.6904)*1000,0)</f>
        <v>40.231999999999601</v>
      </c>
      <c r="AH30" s="21"/>
      <c r="AI30" s="110">
        <v>0.26041666666666702</v>
      </c>
      <c r="AJ30" s="211">
        <f>IF('Temperature Profiles'!AA29&gt;17,(0.0029*('Temperature Profiles'!AA29^2) - 0.0863*'Temperature Profiles'!AA29 + 0.6808)*1000,0)</f>
        <v>0</v>
      </c>
      <c r="AK30" s="110">
        <v>0.26041666666666702</v>
      </c>
      <c r="AL30" s="211">
        <f>IF('Temperature Profiles'!AA29&gt;17,(0.005*('Temperature Profiles'!AA29^2) - 0.1517*'Temperature Profiles'!AA29 + 1.1701)*1000,0)</f>
        <v>0</v>
      </c>
      <c r="AM30" s="110">
        <v>0.26041666666666702</v>
      </c>
      <c r="AN30" s="211">
        <f>IF('Temperature Profiles'!AA29&gt;17,(0.0068*('Temperature Profiles'!AA29^2) - 0.2129*'Temperature Profiles'!AA29 + 1.6904)*1000,0)</f>
        <v>0</v>
      </c>
      <c r="AO30" s="21"/>
      <c r="AP30" s="110">
        <v>0.26041666666666702</v>
      </c>
      <c r="AQ30" s="211">
        <f>IF('Temperature Profiles'!AF29&gt;17,(0.0029*('Temperature Profiles'!AF29^2) - 0.0863*'Temperature Profiles'!AF29 + 0.6808)*1000,0)</f>
        <v>369.47820138888852</v>
      </c>
      <c r="AR30" s="110">
        <v>0.26041666666666702</v>
      </c>
      <c r="AS30" s="183">
        <f>IF('Temperature Profiles'!AF29&gt;17,(0.005*('Temperature Profiles'!AF29^2) - 0.1517*'Temperature Profiles'!AF29 + 1.1702)*1000,0)</f>
        <v>559.14284722222214</v>
      </c>
      <c r="AT30" s="110">
        <v>0.26041666666666702</v>
      </c>
      <c r="AU30" s="211">
        <f>IF('Temperature Profiles'!AF29&gt;17,(0.0068*('Temperature Profiles'!AF29^2) - 0.2129*'Temperature Profiles'!AF29 + 1.6904)*1000,0)</f>
        <v>690.9839722222215</v>
      </c>
      <c r="AV30" s="21"/>
      <c r="AW30" s="110">
        <v>0.26041666666666702</v>
      </c>
      <c r="AX30" s="211"/>
      <c r="AY30" s="21"/>
      <c r="AZ30" s="110">
        <v>0.26041666666666702</v>
      </c>
      <c r="BA30" s="264"/>
      <c r="BC30" s="260">
        <v>0.26041666666666702</v>
      </c>
      <c r="BD30" s="211">
        <f>IF('Temperature Profiles'!G29&lt;16,(-0.0037*'Temperature Profiles'!G29+0.0664)*1000,0)</f>
        <v>17.93</v>
      </c>
      <c r="BE30" s="110">
        <v>0.26041666666666702</v>
      </c>
      <c r="BF30" s="211">
        <f>IF('Temperature Profiles'!G29&lt;16,(-0.0076*'Temperature Profiles'!G29+0.1245)*1000,0)</f>
        <v>24.940000000000005</v>
      </c>
      <c r="BG30" s="110">
        <v>0.26041666666666702</v>
      </c>
      <c r="BH30" s="211">
        <f>IF('Temperature Profiles'!G29&lt;16,(-0.01*'Temperature Profiles'!G29+0.167)*1000,0)</f>
        <v>36.000000000000007</v>
      </c>
      <c r="BI30" s="21"/>
      <c r="BJ30" s="110">
        <v>0.26041666666666702</v>
      </c>
      <c r="BK30" s="211">
        <f>IF('Temperature Profiles'!L29&lt;16,(-0.0037*'Temperature Profiles'!L29+0.0664)*1000,0)</f>
        <v>0</v>
      </c>
      <c r="BL30" s="110">
        <v>0.26041666666666702</v>
      </c>
      <c r="BM30" s="211">
        <f>IF('Temperature Profiles'!L29&lt;16,(-0.0076*'Temperature Profiles'!L29+0.1245)*1000,0)</f>
        <v>0</v>
      </c>
      <c r="BN30" s="110">
        <v>0.26041666666666702</v>
      </c>
      <c r="BO30" s="211">
        <f>IF('Temperature Profiles'!L29&lt;16,(-0.01*'Temperature Profiles'!L29+0.167)*1000,0)</f>
        <v>0</v>
      </c>
      <c r="BP30" s="21"/>
      <c r="BQ30" s="110">
        <v>0.26041666666666702</v>
      </c>
      <c r="BR30" s="211">
        <f>IF('Temperature Profiles'!Q29&lt;16,(-0.0037*'Temperature Profiles'!Q29+0.0664)*1000,0)</f>
        <v>0</v>
      </c>
      <c r="BS30" s="110">
        <v>0.26041666666666702</v>
      </c>
      <c r="BT30" s="211">
        <f>IF('Temperature Profiles'!Q29&lt;16,(-0.0076*'Temperature Profiles'!Q29+0.1245)*1000,0)</f>
        <v>0</v>
      </c>
      <c r="BU30" s="110">
        <v>0.26041666666666702</v>
      </c>
      <c r="BV30" s="211">
        <f>IF('Temperature Profiles'!Q29&lt;16,(-0.01*'Temperature Profiles'!Q29+0.167)*1000,0)</f>
        <v>0</v>
      </c>
      <c r="BW30" s="21"/>
      <c r="BX30" s="110">
        <v>0.26041666666666702</v>
      </c>
      <c r="BY30" s="211">
        <f>IF('Temperature Profiles'!V29&lt;16,(-0.0037*'Temperature Profiles'!V29+0.0664)*1000,0)</f>
        <v>0</v>
      </c>
      <c r="BZ30" s="110">
        <v>0.26041666666666702</v>
      </c>
      <c r="CA30" s="211">
        <f>IF('Temperature Profiles'!V29&lt;16,(-0.0076*'Temperature Profiles'!V29+0.1245)*1000,0)</f>
        <v>0</v>
      </c>
      <c r="CB30" s="110">
        <v>0.26041666666666702</v>
      </c>
      <c r="CC30" s="211">
        <f>IF('Temperature Profiles'!V29&lt;16,(-0.01*'Temperature Profiles'!V29+0.167)*1000,0)</f>
        <v>0</v>
      </c>
      <c r="CD30" s="21"/>
      <c r="CE30" s="110">
        <v>0.26041666666666702</v>
      </c>
      <c r="CF30" s="211">
        <f>IF('Temperature Profiles'!AA29&lt;16,(-0.0037*'Temperature Profiles'!AA29+0.0664)*1000,0)</f>
        <v>134.17166666666668</v>
      </c>
      <c r="CG30" s="110">
        <v>0.26041666666666702</v>
      </c>
      <c r="CH30" s="178">
        <f>IF('Temperature Profiles'!AA29&lt;16,(-0.0076*'Temperature Profiles'!AA29+0.1245)*1000,0)</f>
        <v>263.70666666666665</v>
      </c>
      <c r="CI30" s="110">
        <v>0.26041666666666702</v>
      </c>
      <c r="CJ30" s="211">
        <f>IF('Temperature Profiles'!AA29&lt;16,(-0.01*'Temperature Profiles'!AA29+0.167)*1000,0)</f>
        <v>350.16666666666669</v>
      </c>
      <c r="CK30" s="21"/>
      <c r="CL30" s="110">
        <v>0.26041666666666702</v>
      </c>
      <c r="CM30" s="211">
        <f>IF('Temperature Profiles'!AF29&lt;16,(-0.0037*'Temperature Profiles'!AF29+0.0664)*1000,0)</f>
        <v>0</v>
      </c>
      <c r="CN30" s="110">
        <v>0.26041666666666702</v>
      </c>
      <c r="CO30" s="178">
        <f>IF('Temperature Profiles'!AF29&lt;16,(-0.0076*'Temperature Profiles'!AF29+0.1245)*1000,0)</f>
        <v>0</v>
      </c>
      <c r="CP30" s="110">
        <v>0.26041666666666702</v>
      </c>
      <c r="CQ30" s="211">
        <f>IF('Temperature Profiles'!AF29&lt;16,(-0.01*'Temperature Profiles'!AF29+0.167)*1000,0)</f>
        <v>0</v>
      </c>
      <c r="CR30" s="21"/>
      <c r="CS30" s="110">
        <v>0.26041666666666702</v>
      </c>
      <c r="CT30" s="211"/>
      <c r="CU30" s="21"/>
      <c r="CV30" s="110">
        <v>0.26041666666666702</v>
      </c>
      <c r="CW30" s="264"/>
      <c r="CY30" s="260">
        <v>0.26041666666666702</v>
      </c>
      <c r="CZ30" s="178">
        <f>IF('Temperature Profiles'!G29&gt;18,(0.0024*('Temperature Profiles'!G29^2)-0.0581*'Temperature Profiles'!G29+0.3293)*1000,IF('Temperature Profiles'!G29&lt;17,(0.0022*('Temperature Profiles'!G29^2)-0.0874*'Temperature Profiles'!G29+0.9301)*1000,0))</f>
        <v>162.70200000000003</v>
      </c>
      <c r="DA30" s="110">
        <v>0.26041666666666702</v>
      </c>
      <c r="DB30" s="263">
        <f>IF('Temperature Profiles'!G29&gt;18,(0.0043*('Temperature Profiles'!G29^2)-0.1116*'Temperature Profiles'!G29+0.6576)*1000,IF('Temperature Profiles'!G29&lt;17,(0.0053*('Temperature Profiles'!G29^2)-0.1876*'Temperature Profiles'!G29+1.7649)*1000,0))</f>
        <v>216.87299999999988</v>
      </c>
      <c r="DC30" s="110">
        <v>0.26041666666666702</v>
      </c>
      <c r="DD30" s="211">
        <f>IF('Temperature Profiles'!G29&gt;18,(0.0057*('Temperature Profiles'!G29^2)-0.1509*'Temperature Profiles'!G29+0.8935)*1000,IF('Temperature Profiles'!G29&lt;17,(0.0072*('Temperature Profiles'!G29^2)-0.254*'Temperature Profiles'!G29+2.3952)*1000,0))</f>
        <v>303.39199999999965</v>
      </c>
      <c r="DE30" s="21"/>
      <c r="DF30" s="110">
        <v>0.26041666666666702</v>
      </c>
      <c r="DG30" s="209">
        <f>IF('Temperature Profiles'!L29&gt;18,(0.0024*('Temperature Profiles'!L29^2)-0.0581*'Temperature Profiles'!L29+0.3293)*1000,IF('Temperature Profiles'!L29&lt;17,(0.0022*('Temperature Profiles'!L29^2)-0.0874*'Temperature Profiles'!L29+0.9301)*1000,0))</f>
        <v>120.74100000000016</v>
      </c>
      <c r="DH30" s="110">
        <v>0.26041666666666702</v>
      </c>
      <c r="DI30" s="209">
        <f>IF('Temperature Profiles'!L29&gt;18,(0.0043*('Temperature Profiles'!L29^2)-0.1116*'Temperature Profiles'!L29+0.6576)*1000,IF('Temperature Profiles'!L29&lt;17,(0.0053*('Temperature Profiles'!L29^2)-0.1876*'Temperature Profiles'!L29+1.7649)*1000,0))</f>
        <v>135.16168749999969</v>
      </c>
      <c r="DJ30" s="110">
        <v>0.26041666666666702</v>
      </c>
      <c r="DK30" s="211">
        <f>IF('Temperature Profiles'!L29&gt;18,(0.0057*('Temperature Profiles'!L29^2)-0.1509*'Temperature Profiles'!L29+0.8935)*1000,IF('Temperature Profiles'!L29&lt;17,(0.0072*('Temperature Profiles'!L29^2)-0.254*'Temperature Profiles'!L29+2.3952)*1000,0))</f>
        <v>142.18206249999986</v>
      </c>
      <c r="DL30" s="21"/>
      <c r="DM30" s="110">
        <v>0.26041666666666702</v>
      </c>
      <c r="DN30" s="209">
        <f>IF('Temperature Profiles'!Q29&gt;18,(0.0024*('Temperature Profiles'!Q29^2)-0.0581*'Temperature Profiles'!Q29+0.3293)*1000,IF('Temperature Profiles'!Q29&lt;17,(0.0022*('Temperature Profiles'!Q29^2)-0.0874*'Temperature Profiles'!Q29+0.9301)*1000,0))</f>
        <v>348.93333333333317</v>
      </c>
      <c r="DO30" s="110">
        <v>0.26041666666666702</v>
      </c>
      <c r="DP30" s="209">
        <f>IF('Temperature Profiles'!Q29&gt;18,(0.0043*('Temperature Profiles'!Q29^2)-0.1116*'Temperature Profiles'!Q29+0.6576)*1000,IF('Temperature Profiles'!Q29&lt;17,(0.0053*('Temperature Profiles'!Q29^2)-0.1876*'Temperature Profiles'!Q29+1.7649)*1000,0))</f>
        <v>508.61163194444447</v>
      </c>
      <c r="DQ30" s="110">
        <v>0.26041666666666702</v>
      </c>
      <c r="DR30" s="211">
        <f>IF('Temperature Profiles'!Q29&gt;18,(0.0057*('Temperature Profiles'!Q29^2)-0.1509*'Temperature Profiles'!Q29+0.8935)*1000,IF('Temperature Profiles'!Q29&lt;17,(0.0072*('Temperature Profiles'!Q29^2)-0.254*'Temperature Profiles'!Q29+2.3952)*1000,0))</f>
        <v>623.23489583333333</v>
      </c>
      <c r="DS30" s="21"/>
      <c r="DT30" s="110">
        <v>0.26041666666666702</v>
      </c>
      <c r="DU30" s="209">
        <f>IF('Temperature Profiles'!V29&gt;18,(0.0024*('Temperature Profiles'!V29^2)-0.0581*'Temperature Profiles'!V29+0.3293)*1000,IF('Temperature Profiles'!V29&lt;17,(0.0022*('Temperature Profiles'!V29^2)-0.0874*'Temperature Profiles'!V29+0.9301)*1000,0))</f>
        <v>0</v>
      </c>
      <c r="DV30" s="110">
        <v>0.26041666666666702</v>
      </c>
      <c r="DW30" s="209">
        <f>IF('Temperature Profiles'!V29&gt;18,(0.0043*('Temperature Profiles'!V29^2)-0.1116*'Temperature Profiles'!V29+0.6576)*1000,IF('Temperature Profiles'!V29&lt;17,(0.0053*('Temperature Profiles'!V29^2)-0.1876*'Temperature Profiles'!V29+1.7649)*1000,0))</f>
        <v>0</v>
      </c>
      <c r="DX30" s="110">
        <v>0.26041666666666702</v>
      </c>
      <c r="DY30" s="211">
        <f>IF('Temperature Profiles'!V29&gt;18,(0.0057*('Temperature Profiles'!V29^2)-0.1509*'Temperature Profiles'!V29+0.8935)*1000,IF('Temperature Profiles'!V29&lt;17,(0.0072*('Temperature Profiles'!V29^2)-0.254*'Temperature Profiles'!V29+2.3952)*1000,0))</f>
        <v>0</v>
      </c>
      <c r="DZ30" s="21"/>
      <c r="EA30" s="110">
        <v>0.26041666666666702</v>
      </c>
      <c r="EB30" s="209">
        <f>IF('Temperature Profiles'!AA128&gt;18,(0.0024*('Temperature Profiles'!AA128^2)-0.0581*'Temperature Profiles'!AA128+0.3293)*1000,IF('Temperature Profiles'!AA128&lt;17,(0.0022*('Temperature Profiles'!AA128^2)-0.0874*'Temperature Profiles'!AA128+0.9301)*1000,0))</f>
        <v>878.45200000000011</v>
      </c>
      <c r="EC30" s="110">
        <v>0.26041666666666702</v>
      </c>
      <c r="ED30" s="209">
        <f>IF('Temperature Profiles'!AA128&gt;18,(0.0043*('Temperature Profiles'!AA128^2)-0.1116*'Temperature Profiles'!AA128+0.6576)*1000,IF('Temperature Profiles'!AA128&lt;17,(0.0053*('Temperature Profiles'!AA128^2)-0.1876*'Temperature Profiles'!AA128+1.7649)*1000,0))</f>
        <v>1654.2480000000003</v>
      </c>
      <c r="EE30" s="110">
        <v>0.26041666666666702</v>
      </c>
      <c r="EF30" s="211">
        <f>IF('Temperature Profiles'!AA128&gt;18,(0.0057*('Temperature Profiles'!AA128^2)-0.1509*'Temperature Profiles'!AA128+0.8935)*1000,IF('Temperature Profiles'!AA128&lt;17,(0.0072*('Temperature Profiles'!AA128^2)-0.254*'Temperature Profiles'!AA128+2.3952)*1000,0))</f>
        <v>2245.3920000000003</v>
      </c>
      <c r="EG30" s="21"/>
      <c r="EH30" s="110">
        <v>0.26041666666666702</v>
      </c>
      <c r="EI30" s="211">
        <f>IF('Temperature Profiles'!AF29&gt;18,(0.0024*('Temperature Profiles'!AF29^2)-0.0581*'Temperature Profiles'!AF29+0.3293)*1000,IF('Temperature Profiles'!AF29&lt;17,(0.0022*('Temperature Profiles'!AF29^2)-0.0874*'Temperature Profiles'!AF29+0.9301)*1000,0))</f>
        <v>412.10899999999987</v>
      </c>
      <c r="EJ30" s="110">
        <v>0.26041666666666702</v>
      </c>
      <c r="EK30" s="211">
        <f>IF('Temperature Profiles'!AF29&gt;18,(0.0043*('Temperature Profiles'!AF29^2)-0.1116*'Temperature Profiles'!AF29+0.6576)*1000,IF('Temperature Profiles'!AF29&lt;17,(0.0053*('Temperature Profiles'!AF29^2)-0.1876*'Temperature Profiles'!AF29+1.7649)*1000,0))</f>
        <v>614.17213194444423</v>
      </c>
      <c r="EL30" s="110">
        <v>0.26041666666666702</v>
      </c>
      <c r="EM30" s="211">
        <f>IF('Temperature Profiles'!AF29&gt;18,(0.0057*('Temperature Profiles'!AF29^2)-0.1509*'Temperature Profiles'!AF29+0.8935)*1000,IF('Temperature Profiles'!AF29&lt;17,(0.0072*('Temperature Profiles'!AF29^2)-0.254*'Temperature Profiles'!AF29+2.3952)*1000,0))</f>
        <v>760.14939583333296</v>
      </c>
      <c r="EN30" s="21"/>
      <c r="EO30" s="110">
        <v>0.26041666666666702</v>
      </c>
      <c r="EP30" s="211"/>
      <c r="EQ30" s="21"/>
      <c r="ER30" s="110">
        <v>0.26041666666666702</v>
      </c>
      <c r="ES30" s="264"/>
      <c r="EU30" s="260">
        <v>0.26041666666666702</v>
      </c>
      <c r="EV30" s="209">
        <f>IF('Temperature Profiles'!AA128&gt;18,(0.0024*('Temperature Profiles'!AA128^2)-0.0581*'Temperature Profiles'!AA128+0.3293)*1000,IF('Temperature Profiles'!AA128&lt;17,(0.0022*('Temperature Profiles'!AA128^2)-0.0874*'Temperature Profiles'!AA128+0.9301)*1000,0))</f>
        <v>878.45200000000011</v>
      </c>
      <c r="EW30" s="110">
        <v>0.26041666666666702</v>
      </c>
      <c r="EX30" s="209">
        <f>IF('Temperature Profiles'!AA128&gt;18,(0.0043*('Temperature Profiles'!AA128^2)-0.1116*'Temperature Profiles'!AA128+0.6576)*1000,IF('Temperature Profiles'!AA128&lt;17,(0.0053*('Temperature Profiles'!AA128^2)-0.1876*'Temperature Profiles'!AA128+1.7649)*1000,0))</f>
        <v>1654.2480000000003</v>
      </c>
      <c r="EY30" s="110">
        <v>0.26041666666666702</v>
      </c>
      <c r="EZ30" s="264">
        <f>IF('Temperature Profiles'!AA128&gt;18,(0.0057*('Temperature Profiles'!AA128^2)-0.1509*'Temperature Profiles'!AA128+0.8935)*1000,IF('Temperature Profiles'!AA128&lt;17,(0.0072*('Temperature Profiles'!AA128^2)-0.254*'Temperature Profiles'!AA128+2.3952)*1000,0))</f>
        <v>2245.3920000000003</v>
      </c>
    </row>
    <row r="31" spans="1:156" x14ac:dyDescent="0.3">
      <c r="A31" s="108">
        <v>0.26041666666666702</v>
      </c>
      <c r="B31" s="226">
        <f t="shared" si="0"/>
        <v>0</v>
      </c>
      <c r="C31" s="21">
        <f t="shared" si="1"/>
        <v>350.16666666666669</v>
      </c>
      <c r="D31" s="20">
        <f t="shared" si="2"/>
        <v>2245.3920000000003</v>
      </c>
      <c r="E31" s="20">
        <f t="shared" si="3"/>
        <v>2245.3920000000003</v>
      </c>
      <c r="G31" s="260">
        <v>0.27083333333333298</v>
      </c>
      <c r="H31" s="211">
        <f>IF('Temperature Profiles'!G30&gt;17,(0.0029*('Temperature Profiles'!G30^2) - 0.0863*'Temperature Profiles'!G30 + 0.6808)*1000,0)</f>
        <v>0</v>
      </c>
      <c r="I31" s="110">
        <v>0.27083333333333298</v>
      </c>
      <c r="J31" s="211">
        <f>IF('Temperature Profiles'!G30&gt;17,(0.005*('Temperature Profiles'!G30^2) - 0.1517*'Temperature Profiles'!G30 + 1.1702)*1000,0)</f>
        <v>0</v>
      </c>
      <c r="K31" s="110">
        <v>0.27083333333333298</v>
      </c>
      <c r="L31" s="211">
        <f>IF('Temperature Profiles'!G30&gt;17,(0.0068*('Temperature Profiles'!G30^2) - 0.2129*'Temperature Profiles'!G30 + 1.6904)*1000,0)</f>
        <v>0</v>
      </c>
      <c r="M31" s="21"/>
      <c r="N31" s="110">
        <v>0.27083333333333298</v>
      </c>
      <c r="O31" s="211">
        <f>IF('Temperature Profiles'!L30&gt;17,(0.0029*('Temperature Profiles'!L30^2) - 0.0863*'Temperature Profiles'!L30 + 0.6808)*1000,0)</f>
        <v>109.69131249999997</v>
      </c>
      <c r="P31" s="110">
        <v>0.27083333333333298</v>
      </c>
      <c r="Q31" s="211">
        <f>IF('Temperature Profiles'!L30&gt;17,(0.005*('Temperature Profiles'!L30^2) - 0.1517*'Temperature Profiles'!L30 + 1.1702)*1000,0)</f>
        <v>127.9006250000001</v>
      </c>
      <c r="R31" s="110">
        <v>0.27083333333333298</v>
      </c>
      <c r="S31" s="211">
        <f>IF('Temperature Profiles'!L30&gt;17,(0.0068*('Temperature Profiles'!L30^2) - 0.2129*'Temperature Profiles'!L30 + 1.6904)*1000,0)</f>
        <v>142.26574999999951</v>
      </c>
      <c r="T31" s="21"/>
      <c r="U31" s="110">
        <v>0.27083333333333298</v>
      </c>
      <c r="V31" s="211">
        <f>IF('Temperature Profiles'!Q30&gt;17,(0.0029*('Temperature Profiles'!Q30^2) - 0.0863*'Temperature Profiles'!Q30 + 0.6808)*1000,0)</f>
        <v>309.50503472222181</v>
      </c>
      <c r="W31" s="110">
        <v>0.27083333333333298</v>
      </c>
      <c r="X31" s="211">
        <f>IF('Temperature Profiles'!Q30&gt;17,(0.005*('Temperature Profiles'!Q30^2) - 0.1517*'Temperature Profiles'!Q30 + 1.1702)*1000,0)</f>
        <v>458.6961805555556</v>
      </c>
      <c r="Y31" s="110">
        <v>0.27083333333333298</v>
      </c>
      <c r="Z31" s="211">
        <f>IF('Temperature Profiles'!Q30&gt;17,(0.0068*('Temperature Profiles'!Q30^2) - 0.2129*'Temperature Profiles'!Q30 + 1.6904)*1000,0)</f>
        <v>561.07430555555516</v>
      </c>
      <c r="AA31" s="21"/>
      <c r="AB31" s="110">
        <v>0.27083333333333298</v>
      </c>
      <c r="AC31" s="211">
        <f>IF('Temperature Profiles'!V30&gt;17,(0.0029*('Temperature Profiles'!V30^2) - 0.0863*'Temperature Profiles'!V30 + 0.6808)*1000,0)</f>
        <v>54.375999999999756</v>
      </c>
      <c r="AD31" s="110">
        <v>0.27083333333333298</v>
      </c>
      <c r="AE31" s="211">
        <f>IF('Temperature Profiles'!V30&gt;17,(0.005*('Temperature Profiles'!V30^2) - 0.1517*'Temperature Profiles'!V30 + 1.1702)*1000,0)</f>
        <v>40.159999999999755</v>
      </c>
      <c r="AF31" s="110">
        <v>0.27083333333333298</v>
      </c>
      <c r="AG31" s="211">
        <f>IF('Temperature Profiles'!V30&gt;17,(0.0068*('Temperature Profiles'!V30^2) - 0.2129*'Temperature Profiles'!V30 + 1.6904)*1000,0)</f>
        <v>40.231999999999601</v>
      </c>
      <c r="AH31" s="21"/>
      <c r="AI31" s="110">
        <v>0.27083333333333298</v>
      </c>
      <c r="AJ31" s="211">
        <f>IF('Temperature Profiles'!AA30&gt;17,(0.0029*('Temperature Profiles'!AA30^2) - 0.0863*'Temperature Profiles'!AA30 + 0.6808)*1000,0)</f>
        <v>0</v>
      </c>
      <c r="AK31" s="110">
        <v>0.27083333333333298</v>
      </c>
      <c r="AL31" s="211">
        <f>IF('Temperature Profiles'!AA30&gt;17,(0.005*('Temperature Profiles'!AA30^2) - 0.1517*'Temperature Profiles'!AA30 + 1.1701)*1000,0)</f>
        <v>0</v>
      </c>
      <c r="AM31" s="110">
        <v>0.27083333333333298</v>
      </c>
      <c r="AN31" s="211">
        <f>IF('Temperature Profiles'!AA30&gt;17,(0.0068*('Temperature Profiles'!AA30^2) - 0.2129*'Temperature Profiles'!AA30 + 1.6904)*1000,0)</f>
        <v>0</v>
      </c>
      <c r="AO31" s="21"/>
      <c r="AP31" s="110">
        <v>0.27083333333333298</v>
      </c>
      <c r="AQ31" s="211">
        <f>IF('Temperature Profiles'!AF30&gt;17,(0.0029*('Temperature Profiles'!AF30^2) - 0.0863*'Temperature Profiles'!AF30 + 0.6808)*1000,0)</f>
        <v>369.47820138888852</v>
      </c>
      <c r="AR31" s="110">
        <v>0.27083333333333298</v>
      </c>
      <c r="AS31" s="183">
        <f>IF('Temperature Profiles'!AF30&gt;17,(0.005*('Temperature Profiles'!AF30^2) - 0.1517*'Temperature Profiles'!AF30 + 1.1702)*1000,0)</f>
        <v>559.14284722222214</v>
      </c>
      <c r="AT31" s="110">
        <v>0.27083333333333298</v>
      </c>
      <c r="AU31" s="211">
        <f>IF('Temperature Profiles'!AF30&gt;17,(0.0068*('Temperature Profiles'!AF30^2) - 0.2129*'Temperature Profiles'!AF30 + 1.6904)*1000,0)</f>
        <v>690.9839722222215</v>
      </c>
      <c r="AV31" s="21"/>
      <c r="AW31" s="110">
        <v>0.27083333333333298</v>
      </c>
      <c r="AX31" s="211"/>
      <c r="AY31" s="21"/>
      <c r="AZ31" s="110">
        <v>0.27083333333333298</v>
      </c>
      <c r="BA31" s="264"/>
      <c r="BC31" s="260">
        <v>0.27083333333333298</v>
      </c>
      <c r="BD31" s="211">
        <f>IF('Temperature Profiles'!G30&lt;16,(-0.0037*'Temperature Profiles'!G30+0.0664)*1000,0)</f>
        <v>17.93</v>
      </c>
      <c r="BE31" s="110">
        <v>0.27083333333333298</v>
      </c>
      <c r="BF31" s="211">
        <f>IF('Temperature Profiles'!G30&lt;16,(-0.0076*'Temperature Profiles'!G30+0.1245)*1000,0)</f>
        <v>24.940000000000005</v>
      </c>
      <c r="BG31" s="110">
        <v>0.27083333333333298</v>
      </c>
      <c r="BH31" s="211">
        <f>IF('Temperature Profiles'!G30&lt;16,(-0.01*'Temperature Profiles'!G30+0.167)*1000,0)</f>
        <v>36.000000000000007</v>
      </c>
      <c r="BI31" s="21"/>
      <c r="BJ31" s="110">
        <v>0.27083333333333298</v>
      </c>
      <c r="BK31" s="211">
        <f>IF('Temperature Profiles'!L30&lt;16,(-0.0037*'Temperature Profiles'!L30+0.0664)*1000,0)</f>
        <v>0</v>
      </c>
      <c r="BL31" s="110">
        <v>0.27083333333333298</v>
      </c>
      <c r="BM31" s="211">
        <f>IF('Temperature Profiles'!L30&lt;16,(-0.0076*'Temperature Profiles'!L30+0.1245)*1000,0)</f>
        <v>0</v>
      </c>
      <c r="BN31" s="110">
        <v>0.27083333333333298</v>
      </c>
      <c r="BO31" s="211">
        <f>IF('Temperature Profiles'!L30&lt;16,(-0.01*'Temperature Profiles'!L30+0.167)*1000,0)</f>
        <v>0</v>
      </c>
      <c r="BP31" s="21"/>
      <c r="BQ31" s="110">
        <v>0.27083333333333298</v>
      </c>
      <c r="BR31" s="211">
        <f>IF('Temperature Profiles'!Q30&lt;16,(-0.0037*'Temperature Profiles'!Q30+0.0664)*1000,0)</f>
        <v>0</v>
      </c>
      <c r="BS31" s="110">
        <v>0.27083333333333298</v>
      </c>
      <c r="BT31" s="211">
        <f>IF('Temperature Profiles'!Q30&lt;16,(-0.0076*'Temperature Profiles'!Q30+0.1245)*1000,0)</f>
        <v>0</v>
      </c>
      <c r="BU31" s="110">
        <v>0.27083333333333298</v>
      </c>
      <c r="BV31" s="211">
        <f>IF('Temperature Profiles'!Q30&lt;16,(-0.01*'Temperature Profiles'!Q30+0.167)*1000,0)</f>
        <v>0</v>
      </c>
      <c r="BW31" s="21"/>
      <c r="BX31" s="110">
        <v>0.27083333333333298</v>
      </c>
      <c r="BY31" s="211">
        <f>IF('Temperature Profiles'!V30&lt;16,(-0.0037*'Temperature Profiles'!V30+0.0664)*1000,0)</f>
        <v>0</v>
      </c>
      <c r="BZ31" s="110">
        <v>0.27083333333333298</v>
      </c>
      <c r="CA31" s="211">
        <f>IF('Temperature Profiles'!V30&lt;16,(-0.0076*'Temperature Profiles'!V30+0.1245)*1000,0)</f>
        <v>0</v>
      </c>
      <c r="CB31" s="110">
        <v>0.27083333333333298</v>
      </c>
      <c r="CC31" s="211">
        <f>IF('Temperature Profiles'!V30&lt;16,(-0.01*'Temperature Profiles'!V30+0.167)*1000,0)</f>
        <v>0</v>
      </c>
      <c r="CD31" s="21"/>
      <c r="CE31" s="110">
        <v>0.27083333333333298</v>
      </c>
      <c r="CF31" s="211">
        <f>IF('Temperature Profiles'!AA30&lt;16,(-0.0037*'Temperature Profiles'!AA30+0.0664)*1000,0)</f>
        <v>134.17166666666668</v>
      </c>
      <c r="CG31" s="110">
        <v>0.27083333333333298</v>
      </c>
      <c r="CH31" s="178">
        <f>IF('Temperature Profiles'!AA30&lt;16,(-0.0076*'Temperature Profiles'!AA30+0.1245)*1000,0)</f>
        <v>263.70666666666665</v>
      </c>
      <c r="CI31" s="110">
        <v>0.27083333333333298</v>
      </c>
      <c r="CJ31" s="211">
        <f>IF('Temperature Profiles'!AA30&lt;16,(-0.01*'Temperature Profiles'!AA30+0.167)*1000,0)</f>
        <v>350.16666666666669</v>
      </c>
      <c r="CK31" s="21"/>
      <c r="CL31" s="110">
        <v>0.27083333333333298</v>
      </c>
      <c r="CM31" s="211">
        <f>IF('Temperature Profiles'!AF30&lt;16,(-0.0037*'Temperature Profiles'!AF30+0.0664)*1000,0)</f>
        <v>0</v>
      </c>
      <c r="CN31" s="110">
        <v>0.27083333333333298</v>
      </c>
      <c r="CO31" s="178">
        <f>IF('Temperature Profiles'!AF30&lt;16,(-0.0076*'Temperature Profiles'!AF30+0.1245)*1000,0)</f>
        <v>0</v>
      </c>
      <c r="CP31" s="110">
        <v>0.27083333333333298</v>
      </c>
      <c r="CQ31" s="211">
        <f>IF('Temperature Profiles'!AF30&lt;16,(-0.01*'Temperature Profiles'!AF30+0.167)*1000,0)</f>
        <v>0</v>
      </c>
      <c r="CR31" s="21"/>
      <c r="CS31" s="110">
        <v>0.27083333333333298</v>
      </c>
      <c r="CT31" s="211"/>
      <c r="CU31" s="21"/>
      <c r="CV31" s="110">
        <v>0.27083333333333298</v>
      </c>
      <c r="CW31" s="264"/>
      <c r="CY31" s="260">
        <v>0.27083333333333298</v>
      </c>
      <c r="CZ31" s="178">
        <f>IF('Temperature Profiles'!G30&gt;18,(0.0024*('Temperature Profiles'!G30^2)-0.0581*'Temperature Profiles'!G30+0.3293)*1000,IF('Temperature Profiles'!G30&lt;17,(0.0022*('Temperature Profiles'!G30^2)-0.0874*'Temperature Profiles'!G30+0.9301)*1000,0))</f>
        <v>162.70200000000003</v>
      </c>
      <c r="DA31" s="110">
        <v>0.27083333333333298</v>
      </c>
      <c r="DB31" s="263">
        <f>IF('Temperature Profiles'!G30&gt;18,(0.0043*('Temperature Profiles'!G30^2)-0.1116*'Temperature Profiles'!G30+0.6576)*1000,IF('Temperature Profiles'!G30&lt;17,(0.0053*('Temperature Profiles'!G30^2)-0.1876*'Temperature Profiles'!G30+1.7649)*1000,0))</f>
        <v>216.87299999999988</v>
      </c>
      <c r="DC31" s="110">
        <v>0.27083333333333298</v>
      </c>
      <c r="DD31" s="211">
        <f>IF('Temperature Profiles'!G30&gt;18,(0.0057*('Temperature Profiles'!G30^2)-0.1509*'Temperature Profiles'!G30+0.8935)*1000,IF('Temperature Profiles'!G30&lt;17,(0.0072*('Temperature Profiles'!G30^2)-0.254*'Temperature Profiles'!G30+2.3952)*1000,0))</f>
        <v>303.39199999999965</v>
      </c>
      <c r="DE31" s="21"/>
      <c r="DF31" s="110">
        <v>0.27083333333333298</v>
      </c>
      <c r="DG31" s="209">
        <f>IF('Temperature Profiles'!L30&gt;18,(0.0024*('Temperature Profiles'!L30^2)-0.0581*'Temperature Profiles'!L30+0.3293)*1000,IF('Temperature Profiles'!L30&lt;17,(0.0022*('Temperature Profiles'!L30^2)-0.0874*'Temperature Profiles'!L30+0.9301)*1000,0))</f>
        <v>120.74100000000016</v>
      </c>
      <c r="DH31" s="110">
        <v>0.27083333333333298</v>
      </c>
      <c r="DI31" s="209">
        <f>IF('Temperature Profiles'!L30&gt;18,(0.0043*('Temperature Profiles'!L30^2)-0.1116*'Temperature Profiles'!L30+0.6576)*1000,IF('Temperature Profiles'!L30&lt;17,(0.0053*('Temperature Profiles'!L30^2)-0.1876*'Temperature Profiles'!L30+1.7649)*1000,0))</f>
        <v>135.16168749999969</v>
      </c>
      <c r="DJ31" s="110">
        <v>0.27083333333333298</v>
      </c>
      <c r="DK31" s="211">
        <f>IF('Temperature Profiles'!L30&gt;18,(0.0057*('Temperature Profiles'!L30^2)-0.1509*'Temperature Profiles'!L30+0.8935)*1000,IF('Temperature Profiles'!L30&lt;17,(0.0072*('Temperature Profiles'!L30^2)-0.254*'Temperature Profiles'!L30+2.3952)*1000,0))</f>
        <v>142.18206249999986</v>
      </c>
      <c r="DL31" s="21"/>
      <c r="DM31" s="110">
        <v>0.27083333333333298</v>
      </c>
      <c r="DN31" s="209">
        <f>IF('Temperature Profiles'!Q30&gt;18,(0.0024*('Temperature Profiles'!Q30^2)-0.0581*'Temperature Profiles'!Q30+0.3293)*1000,IF('Temperature Profiles'!Q30&lt;17,(0.0022*('Temperature Profiles'!Q30^2)-0.0874*'Temperature Profiles'!Q30+0.9301)*1000,0))</f>
        <v>348.93333333333317</v>
      </c>
      <c r="DO31" s="110">
        <v>0.27083333333333298</v>
      </c>
      <c r="DP31" s="209">
        <f>IF('Temperature Profiles'!Q30&gt;18,(0.0043*('Temperature Profiles'!Q30^2)-0.1116*'Temperature Profiles'!Q30+0.6576)*1000,IF('Temperature Profiles'!Q30&lt;17,(0.0053*('Temperature Profiles'!Q30^2)-0.1876*'Temperature Profiles'!Q30+1.7649)*1000,0))</f>
        <v>508.61163194444447</v>
      </c>
      <c r="DQ31" s="110">
        <v>0.27083333333333298</v>
      </c>
      <c r="DR31" s="211">
        <f>IF('Temperature Profiles'!Q30&gt;18,(0.0057*('Temperature Profiles'!Q30^2)-0.1509*'Temperature Profiles'!Q30+0.8935)*1000,IF('Temperature Profiles'!Q30&lt;17,(0.0072*('Temperature Profiles'!Q30^2)-0.254*'Temperature Profiles'!Q30+2.3952)*1000,0))</f>
        <v>623.23489583333333</v>
      </c>
      <c r="DS31" s="21"/>
      <c r="DT31" s="110">
        <v>0.27083333333333298</v>
      </c>
      <c r="DU31" s="209">
        <f>IF('Temperature Profiles'!V30&gt;18,(0.0024*('Temperature Profiles'!V30^2)-0.0581*'Temperature Profiles'!V30+0.3293)*1000,IF('Temperature Profiles'!V30&lt;17,(0.0022*('Temperature Profiles'!V30^2)-0.0874*'Temperature Profiles'!V30+0.9301)*1000,0))</f>
        <v>0</v>
      </c>
      <c r="DV31" s="110">
        <v>0.27083333333333298</v>
      </c>
      <c r="DW31" s="209">
        <f>IF('Temperature Profiles'!V30&gt;18,(0.0043*('Temperature Profiles'!V30^2)-0.1116*'Temperature Profiles'!V30+0.6576)*1000,IF('Temperature Profiles'!V30&lt;17,(0.0053*('Temperature Profiles'!V30^2)-0.1876*'Temperature Profiles'!V30+1.7649)*1000,0))</f>
        <v>0</v>
      </c>
      <c r="DX31" s="110">
        <v>0.27083333333333298</v>
      </c>
      <c r="DY31" s="211">
        <f>IF('Temperature Profiles'!V30&gt;18,(0.0057*('Temperature Profiles'!V30^2)-0.1509*'Temperature Profiles'!V30+0.8935)*1000,IF('Temperature Profiles'!V30&lt;17,(0.0072*('Temperature Profiles'!V30^2)-0.254*'Temperature Profiles'!V30+2.3952)*1000,0))</f>
        <v>0</v>
      </c>
      <c r="DZ31" s="21"/>
      <c r="EA31" s="110">
        <v>0.27083333333333298</v>
      </c>
      <c r="EB31" s="209">
        <f>IF('Temperature Profiles'!AA129&gt;18,(0.0024*('Temperature Profiles'!AA129^2)-0.0581*'Temperature Profiles'!AA129+0.3293)*1000,IF('Temperature Profiles'!AA129&lt;17,(0.0022*('Temperature Profiles'!AA129^2)-0.0874*'Temperature Profiles'!AA129+0.9301)*1000,0))</f>
        <v>878.45200000000011</v>
      </c>
      <c r="EC31" s="110">
        <v>0.27083333333333298</v>
      </c>
      <c r="ED31" s="209">
        <f>IF('Temperature Profiles'!AA129&gt;18,(0.0043*('Temperature Profiles'!AA129^2)-0.1116*'Temperature Profiles'!AA129+0.6576)*1000,IF('Temperature Profiles'!AA129&lt;17,(0.0053*('Temperature Profiles'!AA129^2)-0.1876*'Temperature Profiles'!AA129+1.7649)*1000,0))</f>
        <v>1654.2480000000003</v>
      </c>
      <c r="EE31" s="110">
        <v>0.27083333333333298</v>
      </c>
      <c r="EF31" s="211">
        <f>IF('Temperature Profiles'!AA129&gt;18,(0.0057*('Temperature Profiles'!AA129^2)-0.1509*'Temperature Profiles'!AA129+0.8935)*1000,IF('Temperature Profiles'!AA129&lt;17,(0.0072*('Temperature Profiles'!AA129^2)-0.254*'Temperature Profiles'!AA129+2.3952)*1000,0))</f>
        <v>2245.3920000000003</v>
      </c>
      <c r="EG31" s="21"/>
      <c r="EH31" s="110">
        <v>0.27083333333333298</v>
      </c>
      <c r="EI31" s="211">
        <f>IF('Temperature Profiles'!AF30&gt;18,(0.0024*('Temperature Profiles'!AF30^2)-0.0581*'Temperature Profiles'!AF30+0.3293)*1000,IF('Temperature Profiles'!AF30&lt;17,(0.0022*('Temperature Profiles'!AF30^2)-0.0874*'Temperature Profiles'!AF30+0.9301)*1000,0))</f>
        <v>412.10899999999987</v>
      </c>
      <c r="EJ31" s="110">
        <v>0.27083333333333298</v>
      </c>
      <c r="EK31" s="211">
        <f>IF('Temperature Profiles'!AF30&gt;18,(0.0043*('Temperature Profiles'!AF30^2)-0.1116*'Temperature Profiles'!AF30+0.6576)*1000,IF('Temperature Profiles'!AF30&lt;17,(0.0053*('Temperature Profiles'!AF30^2)-0.1876*'Temperature Profiles'!AF30+1.7649)*1000,0))</f>
        <v>614.17213194444423</v>
      </c>
      <c r="EL31" s="110">
        <v>0.27083333333333298</v>
      </c>
      <c r="EM31" s="211">
        <f>IF('Temperature Profiles'!AF30&gt;18,(0.0057*('Temperature Profiles'!AF30^2)-0.1509*'Temperature Profiles'!AF30+0.8935)*1000,IF('Temperature Profiles'!AF30&lt;17,(0.0072*('Temperature Profiles'!AF30^2)-0.254*'Temperature Profiles'!AF30+2.3952)*1000,0))</f>
        <v>760.14939583333296</v>
      </c>
      <c r="EN31" s="21"/>
      <c r="EO31" s="110">
        <v>0.27083333333333298</v>
      </c>
      <c r="EP31" s="211"/>
      <c r="EQ31" s="21"/>
      <c r="ER31" s="110">
        <v>0.27083333333333298</v>
      </c>
      <c r="ES31" s="264"/>
      <c r="EU31" s="260">
        <v>0.27083333333333298</v>
      </c>
      <c r="EV31" s="209">
        <f>IF('Temperature Profiles'!AA129&gt;18,(0.0024*('Temperature Profiles'!AA129^2)-0.0581*'Temperature Profiles'!AA129+0.3293)*1000,IF('Temperature Profiles'!AA129&lt;17,(0.0022*('Temperature Profiles'!AA129^2)-0.0874*'Temperature Profiles'!AA129+0.9301)*1000,0))</f>
        <v>878.45200000000011</v>
      </c>
      <c r="EW31" s="110">
        <v>0.27083333333333298</v>
      </c>
      <c r="EX31" s="209">
        <f>IF('Temperature Profiles'!AA129&gt;18,(0.0043*('Temperature Profiles'!AA129^2)-0.1116*'Temperature Profiles'!AA129+0.6576)*1000,IF('Temperature Profiles'!AA129&lt;17,(0.0053*('Temperature Profiles'!AA129^2)-0.1876*'Temperature Profiles'!AA129+1.7649)*1000,0))</f>
        <v>1654.2480000000003</v>
      </c>
      <c r="EY31" s="110">
        <v>0.27083333333333298</v>
      </c>
      <c r="EZ31" s="264">
        <f>IF('Temperature Profiles'!AA129&gt;18,(0.0057*('Temperature Profiles'!AA129^2)-0.1509*'Temperature Profiles'!AA129+0.8935)*1000,IF('Temperature Profiles'!AA129&lt;17,(0.0072*('Temperature Profiles'!AA129^2)-0.254*'Temperature Profiles'!AA129+2.3952)*1000,0))</f>
        <v>2245.3920000000003</v>
      </c>
    </row>
    <row r="32" spans="1:156" x14ac:dyDescent="0.3">
      <c r="A32" s="108">
        <v>0.27083333333333298</v>
      </c>
      <c r="B32" s="226">
        <f t="shared" si="0"/>
        <v>0</v>
      </c>
      <c r="C32" s="21">
        <f t="shared" si="1"/>
        <v>350.16666666666669</v>
      </c>
      <c r="D32" s="20">
        <f t="shared" si="2"/>
        <v>2245.3920000000003</v>
      </c>
      <c r="E32" s="20">
        <f t="shared" si="3"/>
        <v>2245.3920000000003</v>
      </c>
      <c r="G32" s="260">
        <v>0.28125</v>
      </c>
      <c r="H32" s="211">
        <f>IF('Temperature Profiles'!G31&gt;17,(0.0029*('Temperature Profiles'!G31^2) - 0.0863*'Temperature Profiles'!G31 + 0.6808)*1000,0)</f>
        <v>0</v>
      </c>
      <c r="I32" s="110">
        <v>0.28125</v>
      </c>
      <c r="J32" s="211">
        <f>IF('Temperature Profiles'!G31&gt;17,(0.005*('Temperature Profiles'!G31^2) - 0.1517*'Temperature Profiles'!G31 + 1.1702)*1000,0)</f>
        <v>0</v>
      </c>
      <c r="K32" s="110">
        <v>0.28125</v>
      </c>
      <c r="L32" s="211">
        <f>IF('Temperature Profiles'!G31&gt;17,(0.0068*('Temperature Profiles'!G31^2) - 0.2129*'Temperature Profiles'!G31 + 1.6904)*1000,0)</f>
        <v>0</v>
      </c>
      <c r="M32" s="21"/>
      <c r="N32" s="110">
        <v>0.28125</v>
      </c>
      <c r="O32" s="211">
        <f>IF('Temperature Profiles'!L31&gt;17,(0.0029*('Temperature Profiles'!L31^2) - 0.0863*'Temperature Profiles'!L31 + 0.6808)*1000,0)</f>
        <v>109.69131249999997</v>
      </c>
      <c r="P32" s="110">
        <v>0.28125</v>
      </c>
      <c r="Q32" s="211">
        <f>IF('Temperature Profiles'!L31&gt;17,(0.005*('Temperature Profiles'!L31^2) - 0.1517*'Temperature Profiles'!L31 + 1.1702)*1000,0)</f>
        <v>127.9006250000001</v>
      </c>
      <c r="R32" s="110">
        <v>0.28125</v>
      </c>
      <c r="S32" s="211">
        <f>IF('Temperature Profiles'!L31&gt;17,(0.0068*('Temperature Profiles'!L31^2) - 0.2129*'Temperature Profiles'!L31 + 1.6904)*1000,0)</f>
        <v>142.26574999999951</v>
      </c>
      <c r="T32" s="21"/>
      <c r="U32" s="110">
        <v>0.28125</v>
      </c>
      <c r="V32" s="211">
        <f>IF('Temperature Profiles'!Q31&gt;17,(0.0029*('Temperature Profiles'!Q31^2) - 0.0863*'Temperature Profiles'!Q31 + 0.6808)*1000,0)</f>
        <v>309.50503472222181</v>
      </c>
      <c r="W32" s="110">
        <v>0.28125</v>
      </c>
      <c r="X32" s="211">
        <f>IF('Temperature Profiles'!Q31&gt;17,(0.005*('Temperature Profiles'!Q31^2) - 0.1517*'Temperature Profiles'!Q31 + 1.1702)*1000,0)</f>
        <v>458.6961805555556</v>
      </c>
      <c r="Y32" s="110">
        <v>0.28125</v>
      </c>
      <c r="Z32" s="211">
        <f>IF('Temperature Profiles'!Q31&gt;17,(0.0068*('Temperature Profiles'!Q31^2) - 0.2129*'Temperature Profiles'!Q31 + 1.6904)*1000,0)</f>
        <v>561.07430555555516</v>
      </c>
      <c r="AA32" s="21"/>
      <c r="AB32" s="110">
        <v>0.28125</v>
      </c>
      <c r="AC32" s="211">
        <f>IF('Temperature Profiles'!V31&gt;17,(0.0029*('Temperature Profiles'!V31^2) - 0.0863*'Temperature Profiles'!V31 + 0.6808)*1000,0)</f>
        <v>54.375999999999756</v>
      </c>
      <c r="AD32" s="110">
        <v>0.28125</v>
      </c>
      <c r="AE32" s="211">
        <f>IF('Temperature Profiles'!V31&gt;17,(0.005*('Temperature Profiles'!V31^2) - 0.1517*'Temperature Profiles'!V31 + 1.1702)*1000,0)</f>
        <v>40.159999999999755</v>
      </c>
      <c r="AF32" s="110">
        <v>0.28125</v>
      </c>
      <c r="AG32" s="211">
        <f>IF('Temperature Profiles'!V31&gt;17,(0.0068*('Temperature Profiles'!V31^2) - 0.2129*'Temperature Profiles'!V31 + 1.6904)*1000,0)</f>
        <v>40.231999999999601</v>
      </c>
      <c r="AH32" s="21"/>
      <c r="AI32" s="110">
        <v>0.28125</v>
      </c>
      <c r="AJ32" s="211">
        <f>IF('Temperature Profiles'!AA31&gt;17,(0.0029*('Temperature Profiles'!AA31^2) - 0.0863*'Temperature Profiles'!AA31 + 0.6808)*1000,0)</f>
        <v>0</v>
      </c>
      <c r="AK32" s="110">
        <v>0.28125</v>
      </c>
      <c r="AL32" s="211">
        <f>IF('Temperature Profiles'!AA31&gt;17,(0.005*('Temperature Profiles'!AA31^2) - 0.1517*'Temperature Profiles'!AA31 + 1.1701)*1000,0)</f>
        <v>0</v>
      </c>
      <c r="AM32" s="110">
        <v>0.28125</v>
      </c>
      <c r="AN32" s="211">
        <f>IF('Temperature Profiles'!AA31&gt;17,(0.0068*('Temperature Profiles'!AA31^2) - 0.2129*'Temperature Profiles'!AA31 + 1.6904)*1000,0)</f>
        <v>0</v>
      </c>
      <c r="AO32" s="21"/>
      <c r="AP32" s="110">
        <v>0.28125</v>
      </c>
      <c r="AQ32" s="211">
        <f>IF('Temperature Profiles'!AF31&gt;17,(0.0029*('Temperature Profiles'!AF31^2) - 0.0863*'Temperature Profiles'!AF31 + 0.6808)*1000,0)</f>
        <v>369.47820138888852</v>
      </c>
      <c r="AR32" s="110">
        <v>0.28125</v>
      </c>
      <c r="AS32" s="183">
        <f>IF('Temperature Profiles'!AF31&gt;17,(0.005*('Temperature Profiles'!AF31^2) - 0.1517*'Temperature Profiles'!AF31 + 1.1702)*1000,0)</f>
        <v>559.14284722222214</v>
      </c>
      <c r="AT32" s="110">
        <v>0.28125</v>
      </c>
      <c r="AU32" s="211">
        <f>IF('Temperature Profiles'!AF31&gt;17,(0.0068*('Temperature Profiles'!AF31^2) - 0.2129*'Temperature Profiles'!AF31 + 1.6904)*1000,0)</f>
        <v>690.9839722222215</v>
      </c>
      <c r="AV32" s="21"/>
      <c r="AW32" s="110">
        <v>0.28125</v>
      </c>
      <c r="AX32" s="211"/>
      <c r="AY32" s="21"/>
      <c r="AZ32" s="110">
        <v>0.28125</v>
      </c>
      <c r="BA32" s="264"/>
      <c r="BC32" s="260">
        <v>0.28125</v>
      </c>
      <c r="BD32" s="211">
        <f>IF('Temperature Profiles'!G31&lt;16,(-0.0037*'Temperature Profiles'!G31+0.0664)*1000,0)</f>
        <v>17.93</v>
      </c>
      <c r="BE32" s="110">
        <v>0.28125</v>
      </c>
      <c r="BF32" s="211">
        <f>IF('Temperature Profiles'!G31&lt;16,(-0.0076*'Temperature Profiles'!G31+0.1245)*1000,0)</f>
        <v>24.940000000000005</v>
      </c>
      <c r="BG32" s="110">
        <v>0.28125</v>
      </c>
      <c r="BH32" s="211">
        <f>IF('Temperature Profiles'!G31&lt;16,(-0.01*'Temperature Profiles'!G31+0.167)*1000,0)</f>
        <v>36.000000000000007</v>
      </c>
      <c r="BI32" s="21"/>
      <c r="BJ32" s="110">
        <v>0.28125</v>
      </c>
      <c r="BK32" s="211">
        <f>IF('Temperature Profiles'!L31&lt;16,(-0.0037*'Temperature Profiles'!L31+0.0664)*1000,0)</f>
        <v>0</v>
      </c>
      <c r="BL32" s="110">
        <v>0.28125</v>
      </c>
      <c r="BM32" s="211">
        <f>IF('Temperature Profiles'!L31&lt;16,(-0.0076*'Temperature Profiles'!L31+0.1245)*1000,0)</f>
        <v>0</v>
      </c>
      <c r="BN32" s="110">
        <v>0.28125</v>
      </c>
      <c r="BO32" s="211">
        <f>IF('Temperature Profiles'!L31&lt;16,(-0.01*'Temperature Profiles'!L31+0.167)*1000,0)</f>
        <v>0</v>
      </c>
      <c r="BP32" s="21"/>
      <c r="BQ32" s="110">
        <v>0.28125</v>
      </c>
      <c r="BR32" s="211">
        <f>IF('Temperature Profiles'!Q31&lt;16,(-0.0037*'Temperature Profiles'!Q31+0.0664)*1000,0)</f>
        <v>0</v>
      </c>
      <c r="BS32" s="110">
        <v>0.28125</v>
      </c>
      <c r="BT32" s="211">
        <f>IF('Temperature Profiles'!Q31&lt;16,(-0.0076*'Temperature Profiles'!Q31+0.1245)*1000,0)</f>
        <v>0</v>
      </c>
      <c r="BU32" s="110">
        <v>0.28125</v>
      </c>
      <c r="BV32" s="211">
        <f>IF('Temperature Profiles'!Q31&lt;16,(-0.01*'Temperature Profiles'!Q31+0.167)*1000,0)</f>
        <v>0</v>
      </c>
      <c r="BW32" s="21"/>
      <c r="BX32" s="110">
        <v>0.28125</v>
      </c>
      <c r="BY32" s="211">
        <f>IF('Temperature Profiles'!V31&lt;16,(-0.0037*'Temperature Profiles'!V31+0.0664)*1000,0)</f>
        <v>0</v>
      </c>
      <c r="BZ32" s="110">
        <v>0.28125</v>
      </c>
      <c r="CA32" s="211">
        <f>IF('Temperature Profiles'!V31&lt;16,(-0.0076*'Temperature Profiles'!V31+0.1245)*1000,0)</f>
        <v>0</v>
      </c>
      <c r="CB32" s="110">
        <v>0.28125</v>
      </c>
      <c r="CC32" s="211">
        <f>IF('Temperature Profiles'!V31&lt;16,(-0.01*'Temperature Profiles'!V31+0.167)*1000,0)</f>
        <v>0</v>
      </c>
      <c r="CD32" s="21"/>
      <c r="CE32" s="110">
        <v>0.28125</v>
      </c>
      <c r="CF32" s="211">
        <f>IF('Temperature Profiles'!AA31&lt;16,(-0.0037*'Temperature Profiles'!AA31+0.0664)*1000,0)</f>
        <v>134.17166666666668</v>
      </c>
      <c r="CG32" s="110">
        <v>0.28125</v>
      </c>
      <c r="CH32" s="178">
        <f>IF('Temperature Profiles'!AA31&lt;16,(-0.0076*'Temperature Profiles'!AA31+0.1245)*1000,0)</f>
        <v>263.70666666666665</v>
      </c>
      <c r="CI32" s="110">
        <v>0.28125</v>
      </c>
      <c r="CJ32" s="211">
        <f>IF('Temperature Profiles'!AA31&lt;16,(-0.01*'Temperature Profiles'!AA31+0.167)*1000,0)</f>
        <v>350.16666666666669</v>
      </c>
      <c r="CK32" s="21"/>
      <c r="CL32" s="110">
        <v>0.28125</v>
      </c>
      <c r="CM32" s="211">
        <f>IF('Temperature Profiles'!AF31&lt;16,(-0.0037*'Temperature Profiles'!AF31+0.0664)*1000,0)</f>
        <v>0</v>
      </c>
      <c r="CN32" s="110">
        <v>0.28125</v>
      </c>
      <c r="CO32" s="178">
        <f>IF('Temperature Profiles'!AF31&lt;16,(-0.0076*'Temperature Profiles'!AF31+0.1245)*1000,0)</f>
        <v>0</v>
      </c>
      <c r="CP32" s="110">
        <v>0.28125</v>
      </c>
      <c r="CQ32" s="211">
        <f>IF('Temperature Profiles'!AF31&lt;16,(-0.01*'Temperature Profiles'!AF31+0.167)*1000,0)</f>
        <v>0</v>
      </c>
      <c r="CR32" s="21"/>
      <c r="CS32" s="110">
        <v>0.28125</v>
      </c>
      <c r="CT32" s="211"/>
      <c r="CU32" s="21"/>
      <c r="CV32" s="110">
        <v>0.28125</v>
      </c>
      <c r="CW32" s="264"/>
      <c r="CY32" s="260">
        <v>0.28125</v>
      </c>
      <c r="CZ32" s="178">
        <f>IF('Temperature Profiles'!G31&gt;18,(0.0024*('Temperature Profiles'!G31^2)-0.0581*'Temperature Profiles'!G31+0.3293)*1000,IF('Temperature Profiles'!G31&lt;17,(0.0022*('Temperature Profiles'!G31^2)-0.0874*'Temperature Profiles'!G31+0.9301)*1000,0))</f>
        <v>162.70200000000003</v>
      </c>
      <c r="DA32" s="110">
        <v>0.28125</v>
      </c>
      <c r="DB32" s="263">
        <f>IF('Temperature Profiles'!G31&gt;18,(0.0043*('Temperature Profiles'!G31^2)-0.1116*'Temperature Profiles'!G31+0.6576)*1000,IF('Temperature Profiles'!G31&lt;17,(0.0053*('Temperature Profiles'!G31^2)-0.1876*'Temperature Profiles'!G31+1.7649)*1000,0))</f>
        <v>216.87299999999988</v>
      </c>
      <c r="DC32" s="110">
        <v>0.28125</v>
      </c>
      <c r="DD32" s="211">
        <f>IF('Temperature Profiles'!G31&gt;18,(0.0057*('Temperature Profiles'!G31^2)-0.1509*'Temperature Profiles'!G31+0.8935)*1000,IF('Temperature Profiles'!G31&lt;17,(0.0072*('Temperature Profiles'!G31^2)-0.254*'Temperature Profiles'!G31+2.3952)*1000,0))</f>
        <v>303.39199999999965</v>
      </c>
      <c r="DE32" s="21"/>
      <c r="DF32" s="110">
        <v>0.28125</v>
      </c>
      <c r="DG32" s="209">
        <f>IF('Temperature Profiles'!L31&gt;18,(0.0024*('Temperature Profiles'!L31^2)-0.0581*'Temperature Profiles'!L31+0.3293)*1000,IF('Temperature Profiles'!L31&lt;17,(0.0022*('Temperature Profiles'!L31^2)-0.0874*'Temperature Profiles'!L31+0.9301)*1000,0))</f>
        <v>120.74100000000016</v>
      </c>
      <c r="DH32" s="110">
        <v>0.28125</v>
      </c>
      <c r="DI32" s="209">
        <f>IF('Temperature Profiles'!L31&gt;18,(0.0043*('Temperature Profiles'!L31^2)-0.1116*'Temperature Profiles'!L31+0.6576)*1000,IF('Temperature Profiles'!L31&lt;17,(0.0053*('Temperature Profiles'!L31^2)-0.1876*'Temperature Profiles'!L31+1.7649)*1000,0))</f>
        <v>135.16168749999969</v>
      </c>
      <c r="DJ32" s="110">
        <v>0.28125</v>
      </c>
      <c r="DK32" s="211">
        <f>IF('Temperature Profiles'!L31&gt;18,(0.0057*('Temperature Profiles'!L31^2)-0.1509*'Temperature Profiles'!L31+0.8935)*1000,IF('Temperature Profiles'!L31&lt;17,(0.0072*('Temperature Profiles'!L31^2)-0.254*'Temperature Profiles'!L31+2.3952)*1000,0))</f>
        <v>142.18206249999986</v>
      </c>
      <c r="DL32" s="21"/>
      <c r="DM32" s="110">
        <v>0.28125</v>
      </c>
      <c r="DN32" s="209">
        <f>IF('Temperature Profiles'!Q31&gt;18,(0.0024*('Temperature Profiles'!Q31^2)-0.0581*'Temperature Profiles'!Q31+0.3293)*1000,IF('Temperature Profiles'!Q31&lt;17,(0.0022*('Temperature Profiles'!Q31^2)-0.0874*'Temperature Profiles'!Q31+0.9301)*1000,0))</f>
        <v>348.93333333333317</v>
      </c>
      <c r="DO32" s="110">
        <v>0.28125</v>
      </c>
      <c r="DP32" s="209">
        <f>IF('Temperature Profiles'!Q31&gt;18,(0.0043*('Temperature Profiles'!Q31^2)-0.1116*'Temperature Profiles'!Q31+0.6576)*1000,IF('Temperature Profiles'!Q31&lt;17,(0.0053*('Temperature Profiles'!Q31^2)-0.1876*'Temperature Profiles'!Q31+1.7649)*1000,0))</f>
        <v>508.61163194444447</v>
      </c>
      <c r="DQ32" s="110">
        <v>0.28125</v>
      </c>
      <c r="DR32" s="211">
        <f>IF('Temperature Profiles'!Q31&gt;18,(0.0057*('Temperature Profiles'!Q31^2)-0.1509*'Temperature Profiles'!Q31+0.8935)*1000,IF('Temperature Profiles'!Q31&lt;17,(0.0072*('Temperature Profiles'!Q31^2)-0.254*'Temperature Profiles'!Q31+2.3952)*1000,0))</f>
        <v>623.23489583333333</v>
      </c>
      <c r="DS32" s="21"/>
      <c r="DT32" s="110">
        <v>0.28125</v>
      </c>
      <c r="DU32" s="209">
        <f>IF('Temperature Profiles'!V31&gt;18,(0.0024*('Temperature Profiles'!V31^2)-0.0581*'Temperature Profiles'!V31+0.3293)*1000,IF('Temperature Profiles'!V31&lt;17,(0.0022*('Temperature Profiles'!V31^2)-0.0874*'Temperature Profiles'!V31+0.9301)*1000,0))</f>
        <v>0</v>
      </c>
      <c r="DV32" s="110">
        <v>0.28125</v>
      </c>
      <c r="DW32" s="209">
        <f>IF('Temperature Profiles'!V31&gt;18,(0.0043*('Temperature Profiles'!V31^2)-0.1116*'Temperature Profiles'!V31+0.6576)*1000,IF('Temperature Profiles'!V31&lt;17,(0.0053*('Temperature Profiles'!V31^2)-0.1876*'Temperature Profiles'!V31+1.7649)*1000,0))</f>
        <v>0</v>
      </c>
      <c r="DX32" s="110">
        <v>0.28125</v>
      </c>
      <c r="DY32" s="211">
        <f>IF('Temperature Profiles'!V31&gt;18,(0.0057*('Temperature Profiles'!V31^2)-0.1509*'Temperature Profiles'!V31+0.8935)*1000,IF('Temperature Profiles'!V31&lt;17,(0.0072*('Temperature Profiles'!V31^2)-0.254*'Temperature Profiles'!V31+2.3952)*1000,0))</f>
        <v>0</v>
      </c>
      <c r="DZ32" s="21"/>
      <c r="EA32" s="110">
        <v>0.28125</v>
      </c>
      <c r="EB32" s="209">
        <f>IF('Temperature Profiles'!AA130&gt;18,(0.0024*('Temperature Profiles'!AA130^2)-0.0581*'Temperature Profiles'!AA130+0.3293)*1000,IF('Temperature Profiles'!AA130&lt;17,(0.0022*('Temperature Profiles'!AA130^2)-0.0874*'Temperature Profiles'!AA130+0.9301)*1000,0))</f>
        <v>878.45200000000011</v>
      </c>
      <c r="EC32" s="110">
        <v>0.28125</v>
      </c>
      <c r="ED32" s="209">
        <f>IF('Temperature Profiles'!AA130&gt;18,(0.0043*('Temperature Profiles'!AA130^2)-0.1116*'Temperature Profiles'!AA130+0.6576)*1000,IF('Temperature Profiles'!AA130&lt;17,(0.0053*('Temperature Profiles'!AA130^2)-0.1876*'Temperature Profiles'!AA130+1.7649)*1000,0))</f>
        <v>1654.2480000000003</v>
      </c>
      <c r="EE32" s="110">
        <v>0.28125</v>
      </c>
      <c r="EF32" s="211">
        <f>IF('Temperature Profiles'!AA130&gt;18,(0.0057*('Temperature Profiles'!AA130^2)-0.1509*'Temperature Profiles'!AA130+0.8935)*1000,IF('Temperature Profiles'!AA130&lt;17,(0.0072*('Temperature Profiles'!AA130^2)-0.254*'Temperature Profiles'!AA130+2.3952)*1000,0))</f>
        <v>2245.3920000000003</v>
      </c>
      <c r="EG32" s="21"/>
      <c r="EH32" s="110">
        <v>0.28125</v>
      </c>
      <c r="EI32" s="211">
        <f>IF('Temperature Profiles'!AF31&gt;18,(0.0024*('Temperature Profiles'!AF31^2)-0.0581*'Temperature Profiles'!AF31+0.3293)*1000,IF('Temperature Profiles'!AF31&lt;17,(0.0022*('Temperature Profiles'!AF31^2)-0.0874*'Temperature Profiles'!AF31+0.9301)*1000,0))</f>
        <v>412.10899999999987</v>
      </c>
      <c r="EJ32" s="110">
        <v>0.28125</v>
      </c>
      <c r="EK32" s="211">
        <f>IF('Temperature Profiles'!AF31&gt;18,(0.0043*('Temperature Profiles'!AF31^2)-0.1116*'Temperature Profiles'!AF31+0.6576)*1000,IF('Temperature Profiles'!AF31&lt;17,(0.0053*('Temperature Profiles'!AF31^2)-0.1876*'Temperature Profiles'!AF31+1.7649)*1000,0))</f>
        <v>614.17213194444423</v>
      </c>
      <c r="EL32" s="110">
        <v>0.28125</v>
      </c>
      <c r="EM32" s="211">
        <f>IF('Temperature Profiles'!AF31&gt;18,(0.0057*('Temperature Profiles'!AF31^2)-0.1509*'Temperature Profiles'!AF31+0.8935)*1000,IF('Temperature Profiles'!AF31&lt;17,(0.0072*('Temperature Profiles'!AF31^2)-0.254*'Temperature Profiles'!AF31+2.3952)*1000,0))</f>
        <v>760.14939583333296</v>
      </c>
      <c r="EN32" s="21"/>
      <c r="EO32" s="110">
        <v>0.28125</v>
      </c>
      <c r="EP32" s="211"/>
      <c r="EQ32" s="21"/>
      <c r="ER32" s="110">
        <v>0.28125</v>
      </c>
      <c r="ES32" s="264"/>
      <c r="EU32" s="260">
        <v>0.28125</v>
      </c>
      <c r="EV32" s="209">
        <f>IF('Temperature Profiles'!AA130&gt;18,(0.0024*('Temperature Profiles'!AA130^2)-0.0581*'Temperature Profiles'!AA130+0.3293)*1000,IF('Temperature Profiles'!AA130&lt;17,(0.0022*('Temperature Profiles'!AA130^2)-0.0874*'Temperature Profiles'!AA130+0.9301)*1000,0))</f>
        <v>878.45200000000011</v>
      </c>
      <c r="EW32" s="110">
        <v>0.28125</v>
      </c>
      <c r="EX32" s="209">
        <f>IF('Temperature Profiles'!AA130&gt;18,(0.0043*('Temperature Profiles'!AA130^2)-0.1116*'Temperature Profiles'!AA130+0.6576)*1000,IF('Temperature Profiles'!AA130&lt;17,(0.0053*('Temperature Profiles'!AA130^2)-0.1876*'Temperature Profiles'!AA130+1.7649)*1000,0))</f>
        <v>1654.2480000000003</v>
      </c>
      <c r="EY32" s="110">
        <v>0.28125</v>
      </c>
      <c r="EZ32" s="264">
        <f>IF('Temperature Profiles'!AA130&gt;18,(0.0057*('Temperature Profiles'!AA130^2)-0.1509*'Temperature Profiles'!AA130+0.8935)*1000,IF('Temperature Profiles'!AA130&lt;17,(0.0072*('Temperature Profiles'!AA130^2)-0.254*'Temperature Profiles'!AA130+2.3952)*1000,0))</f>
        <v>2245.3920000000003</v>
      </c>
    </row>
    <row r="33" spans="1:156" x14ac:dyDescent="0.3">
      <c r="A33" s="108">
        <v>0.28125</v>
      </c>
      <c r="B33" s="226">
        <f t="shared" si="0"/>
        <v>0</v>
      </c>
      <c r="C33" s="21">
        <f t="shared" si="1"/>
        <v>350.16666666666669</v>
      </c>
      <c r="D33" s="20">
        <f t="shared" si="2"/>
        <v>2245.3920000000003</v>
      </c>
      <c r="E33" s="20">
        <f t="shared" si="3"/>
        <v>2245.3920000000003</v>
      </c>
      <c r="G33" s="260">
        <v>0.29166666666666702</v>
      </c>
      <c r="H33" s="211">
        <f>IF('Temperature Profiles'!G32&gt;17,(0.0029*('Temperature Profiles'!G32^2) - 0.0863*'Temperature Profiles'!G32 + 0.6808)*1000,0)</f>
        <v>0</v>
      </c>
      <c r="I33" s="110">
        <v>0.29166666666666702</v>
      </c>
      <c r="J33" s="211">
        <f>IF('Temperature Profiles'!G32&gt;17,(0.005*('Temperature Profiles'!G32^2) - 0.1517*'Temperature Profiles'!G32 + 1.1702)*1000,0)</f>
        <v>0</v>
      </c>
      <c r="K33" s="110">
        <v>0.29166666666666702</v>
      </c>
      <c r="L33" s="211">
        <f>IF('Temperature Profiles'!G32&gt;17,(0.0068*('Temperature Profiles'!G32^2) - 0.2129*'Temperature Profiles'!G32 + 1.6904)*1000,0)</f>
        <v>0</v>
      </c>
      <c r="M33" s="21"/>
      <c r="N33" s="110">
        <v>0.29166666666666702</v>
      </c>
      <c r="O33" s="211">
        <f>IF('Temperature Profiles'!L32&gt;17,(0.0029*('Temperature Profiles'!L32^2) - 0.0863*'Temperature Profiles'!L32 + 0.6808)*1000,0)</f>
        <v>157.38181249999982</v>
      </c>
      <c r="P33" s="110">
        <v>0.29166666666666702</v>
      </c>
      <c r="Q33" s="211">
        <f>IF('Temperature Profiles'!L32&gt;17,(0.005*('Temperature Profiles'!L32^2) - 0.1517*'Temperature Profiles'!L32 + 1.1702)*1000,0)</f>
        <v>205.91062500000001</v>
      </c>
      <c r="R33" s="110">
        <v>0.29166666666666702</v>
      </c>
      <c r="S33" s="211">
        <f>IF('Temperature Profiles'!L32&gt;17,(0.0068*('Temperature Profiles'!L32^2) - 0.2129*'Temperature Profiles'!L32 + 1.6904)*1000,0)</f>
        <v>238.80674999999928</v>
      </c>
      <c r="T33" s="21"/>
      <c r="U33" s="110">
        <v>0.29166666666666702</v>
      </c>
      <c r="V33" s="211">
        <f>IF('Temperature Profiles'!Q32&gt;17,(0.0029*('Temperature Profiles'!Q32^2) - 0.0863*'Temperature Profiles'!Q32 + 0.6808)*1000,0)</f>
        <v>339.23403472222213</v>
      </c>
      <c r="W33" s="110">
        <v>0.29166666666666702</v>
      </c>
      <c r="X33" s="211">
        <f>IF('Temperature Profiles'!Q32&gt;17,(0.005*('Temperature Profiles'!Q32^2) - 0.1517*'Temperature Profiles'!Q32 + 1.1702)*1000,0)</f>
        <v>508.45118055555582</v>
      </c>
      <c r="Y33" s="110">
        <v>0.29166666666666702</v>
      </c>
      <c r="Z33" s="211">
        <f>IF('Temperature Profiles'!Q32&gt;17,(0.0068*('Temperature Profiles'!Q32^2) - 0.2129*'Temperature Profiles'!Q32 + 1.6904)*1000,0)</f>
        <v>625.33730555555553</v>
      </c>
      <c r="AA33" s="21"/>
      <c r="AB33" s="110">
        <v>0.29166666666666702</v>
      </c>
      <c r="AC33" s="211">
        <f>IF('Temperature Profiles'!V32&gt;17,(0.0029*('Temperature Profiles'!V32^2) - 0.0863*'Temperature Profiles'!V32 + 0.6808)*1000,0)</f>
        <v>54.375999999999756</v>
      </c>
      <c r="AD33" s="110">
        <v>0.29166666666666702</v>
      </c>
      <c r="AE33" s="211">
        <f>IF('Temperature Profiles'!V32&gt;17,(0.005*('Temperature Profiles'!V32^2) - 0.1517*'Temperature Profiles'!V32 + 1.1702)*1000,0)</f>
        <v>40.159999999999755</v>
      </c>
      <c r="AF33" s="110">
        <v>0.29166666666666702</v>
      </c>
      <c r="AG33" s="211">
        <f>IF('Temperature Profiles'!V32&gt;17,(0.0068*('Temperature Profiles'!V32^2) - 0.2129*'Temperature Profiles'!V32 + 1.6904)*1000,0)</f>
        <v>40.231999999999601</v>
      </c>
      <c r="AH33" s="21"/>
      <c r="AI33" s="110">
        <v>0.29166666666666702</v>
      </c>
      <c r="AJ33" s="211">
        <f>IF('Temperature Profiles'!AA32&gt;17,(0.0029*('Temperature Profiles'!AA32^2) - 0.0863*'Temperature Profiles'!AA32 + 0.6808)*1000,0)</f>
        <v>0</v>
      </c>
      <c r="AK33" s="110">
        <v>0.29166666666666702</v>
      </c>
      <c r="AL33" s="211">
        <f>IF('Temperature Profiles'!AA32&gt;17,(0.005*('Temperature Profiles'!AA32^2) - 0.1517*'Temperature Profiles'!AA32 + 1.1701)*1000,0)</f>
        <v>0</v>
      </c>
      <c r="AM33" s="110">
        <v>0.29166666666666702</v>
      </c>
      <c r="AN33" s="211">
        <f>IF('Temperature Profiles'!AA32&gt;17,(0.0068*('Temperature Profiles'!AA32^2) - 0.2129*'Temperature Profiles'!AA32 + 1.6904)*1000,0)</f>
        <v>0</v>
      </c>
      <c r="AO33" s="21"/>
      <c r="AP33" s="110">
        <v>0.29166666666666702</v>
      </c>
      <c r="AQ33" s="211">
        <f>IF('Temperature Profiles'!AF32&gt;17,(0.0029*('Temperature Profiles'!AF32^2) - 0.0863*'Temperature Profiles'!AF32 + 0.6808)*1000,0)</f>
        <v>396.32580555555506</v>
      </c>
      <c r="AR33" s="110">
        <v>0.29166666666666702</v>
      </c>
      <c r="AS33" s="183">
        <f>IF('Temperature Profiles'!AF32&gt;17,(0.005*('Temperature Profiles'!AF32^2) - 0.1517*'Temperature Profiles'!AF32 + 1.1702)*1000,0)</f>
        <v>604.19638888888858</v>
      </c>
      <c r="AT33" s="110">
        <v>0.29166666666666702</v>
      </c>
      <c r="AU33" s="211">
        <f>IF('Temperature Profiles'!AF32&gt;17,(0.0068*('Temperature Profiles'!AF32^2) - 0.2129*'Temperature Profiles'!AF32 + 1.6904)*1000,0)</f>
        <v>749.45688888888776</v>
      </c>
      <c r="AV33" s="21"/>
      <c r="AW33" s="110">
        <v>0.29166666666666702</v>
      </c>
      <c r="AX33" s="211"/>
      <c r="AY33" s="21"/>
      <c r="AZ33" s="110">
        <v>0.29166666666666702</v>
      </c>
      <c r="BA33" s="264"/>
      <c r="BC33" s="260">
        <v>0.29166666666666702</v>
      </c>
      <c r="BD33" s="211">
        <f>IF('Temperature Profiles'!G32&lt;16,(-0.0037*'Temperature Profiles'!G32+0.0664)*1000,0)</f>
        <v>13.829166666666657</v>
      </c>
      <c r="BE33" s="110">
        <v>0.29166666666666702</v>
      </c>
      <c r="BF33" s="211">
        <f>IF('Temperature Profiles'!G32&lt;16,(-0.0076*'Temperature Profiles'!G32+0.1245)*1000,0)</f>
        <v>16.516666666666652</v>
      </c>
      <c r="BG33" s="110">
        <v>0.29166666666666702</v>
      </c>
      <c r="BH33" s="211">
        <f>IF('Temperature Profiles'!G32&lt;16,(-0.01*'Temperature Profiles'!G32+0.167)*1000,0)</f>
        <v>24.916666666666643</v>
      </c>
      <c r="BI33" s="21"/>
      <c r="BJ33" s="110">
        <v>0.29166666666666702</v>
      </c>
      <c r="BK33" s="211">
        <f>IF('Temperature Profiles'!L32&lt;16,(-0.0037*'Temperature Profiles'!L32+0.0664)*1000,0)</f>
        <v>0</v>
      </c>
      <c r="BL33" s="110">
        <v>0.29166666666666702</v>
      </c>
      <c r="BM33" s="211">
        <f>IF('Temperature Profiles'!L32&lt;16,(-0.0076*'Temperature Profiles'!L32+0.1245)*1000,0)</f>
        <v>0</v>
      </c>
      <c r="BN33" s="110">
        <v>0.29166666666666702</v>
      </c>
      <c r="BO33" s="211">
        <f>IF('Temperature Profiles'!L32&lt;16,(-0.01*'Temperature Profiles'!L32+0.167)*1000,0)</f>
        <v>0</v>
      </c>
      <c r="BP33" s="21"/>
      <c r="BQ33" s="110">
        <v>0.29166666666666702</v>
      </c>
      <c r="BR33" s="211">
        <f>IF('Temperature Profiles'!Q32&lt;16,(-0.0037*'Temperature Profiles'!Q32+0.0664)*1000,0)</f>
        <v>0</v>
      </c>
      <c r="BS33" s="110">
        <v>0.29166666666666702</v>
      </c>
      <c r="BT33" s="211">
        <f>IF('Temperature Profiles'!Q32&lt;16,(-0.0076*'Temperature Profiles'!Q32+0.1245)*1000,0)</f>
        <v>0</v>
      </c>
      <c r="BU33" s="110">
        <v>0.29166666666666702</v>
      </c>
      <c r="BV33" s="211">
        <f>IF('Temperature Profiles'!Q32&lt;16,(-0.01*'Temperature Profiles'!Q32+0.167)*1000,0)</f>
        <v>0</v>
      </c>
      <c r="BW33" s="21"/>
      <c r="BX33" s="110">
        <v>0.29166666666666702</v>
      </c>
      <c r="BY33" s="211">
        <f>IF('Temperature Profiles'!V32&lt;16,(-0.0037*'Temperature Profiles'!V32+0.0664)*1000,0)</f>
        <v>0</v>
      </c>
      <c r="BZ33" s="110">
        <v>0.29166666666666702</v>
      </c>
      <c r="CA33" s="211">
        <f>IF('Temperature Profiles'!V32&lt;16,(-0.0076*'Temperature Profiles'!V32+0.1245)*1000,0)</f>
        <v>0</v>
      </c>
      <c r="CB33" s="110">
        <v>0.29166666666666702</v>
      </c>
      <c r="CC33" s="211">
        <f>IF('Temperature Profiles'!V32&lt;16,(-0.01*'Temperature Profiles'!V32+0.167)*1000,0)</f>
        <v>0</v>
      </c>
      <c r="CD33" s="21"/>
      <c r="CE33" s="110">
        <v>0.29166666666666702</v>
      </c>
      <c r="CF33" s="211">
        <f>IF('Temperature Profiles'!AA32&lt;16,(-0.0037*'Temperature Profiles'!AA32+0.0664)*1000,0)</f>
        <v>133.92500000000001</v>
      </c>
      <c r="CG33" s="110">
        <v>0.29166666666666702</v>
      </c>
      <c r="CH33" s="178">
        <f>IF('Temperature Profiles'!AA32&lt;16,(-0.0076*'Temperature Profiles'!AA32+0.1245)*1000,0)</f>
        <v>263.2</v>
      </c>
      <c r="CI33" s="110">
        <v>0.29166666666666702</v>
      </c>
      <c r="CJ33" s="211">
        <f>IF('Temperature Profiles'!AA32&lt;16,(-0.01*'Temperature Profiles'!AA32+0.167)*1000,0)</f>
        <v>349.50000000000006</v>
      </c>
      <c r="CK33" s="21"/>
      <c r="CL33" s="110">
        <v>0.29166666666666702</v>
      </c>
      <c r="CM33" s="211">
        <f>IF('Temperature Profiles'!AF32&lt;16,(-0.0037*'Temperature Profiles'!AF32+0.0664)*1000,0)</f>
        <v>0</v>
      </c>
      <c r="CN33" s="110">
        <v>0.29166666666666702</v>
      </c>
      <c r="CO33" s="178">
        <f>IF('Temperature Profiles'!AF32&lt;16,(-0.0076*'Temperature Profiles'!AF32+0.1245)*1000,0)</f>
        <v>0</v>
      </c>
      <c r="CP33" s="110">
        <v>0.29166666666666702</v>
      </c>
      <c r="CQ33" s="211">
        <f>IF('Temperature Profiles'!AF32&lt;16,(-0.01*'Temperature Profiles'!AF32+0.167)*1000,0)</f>
        <v>0</v>
      </c>
      <c r="CR33" s="21"/>
      <c r="CS33" s="110">
        <v>0.29166666666666702</v>
      </c>
      <c r="CT33" s="211"/>
      <c r="CU33" s="21"/>
      <c r="CV33" s="110">
        <v>0.29166666666666702</v>
      </c>
      <c r="CW33" s="264"/>
      <c r="CY33" s="260">
        <v>0.29166666666666702</v>
      </c>
      <c r="CZ33" s="178">
        <f>IF('Temperature Profiles'!G32&gt;18,(0.0024*('Temperature Profiles'!G32^2)-0.0581*'Temperature Profiles'!G32+0.3293)*1000,IF('Temperature Profiles'!G32&lt;17,(0.0022*('Temperature Profiles'!G32^2)-0.0874*'Temperature Profiles'!G32+0.9301)*1000,0))</f>
        <v>132.42048611111102</v>
      </c>
      <c r="DA33" s="110">
        <v>0.29166666666666702</v>
      </c>
      <c r="DB33" s="263">
        <f>IF('Temperature Profiles'!G32&gt;18,(0.0043*('Temperature Profiles'!G32^2)-0.1116*'Temperature Profiles'!G32+0.6576)*1000,IF('Temperature Profiles'!G32&lt;17,(0.0053*('Temperature Profiles'!G32^2)-0.1876*'Temperature Profiles'!G32+1.7649)*1000,0))</f>
        <v>169.36336805555575</v>
      </c>
      <c r="DC33" s="110">
        <v>0.29166666666666702</v>
      </c>
      <c r="DD33" s="211">
        <f>IF('Temperature Profiles'!G32&gt;18,(0.0057*('Temperature Profiles'!G32^2)-0.1509*'Temperature Profiles'!G32+0.8935)*1000,IF('Temperature Profiles'!G32&lt;17,(0.0072*('Temperature Profiles'!G32^2)-0.254*'Temperature Profiles'!G32+2.3952)*1000,0))</f>
        <v>239.79583333333298</v>
      </c>
      <c r="DE33" s="21"/>
      <c r="DF33" s="110">
        <v>0.29166666666666702</v>
      </c>
      <c r="DG33" s="209">
        <f>IF('Temperature Profiles'!L32&gt;18,(0.0024*('Temperature Profiles'!L32^2)-0.0581*'Temperature Profiles'!L32+0.3293)*1000,IF('Temperature Profiles'!L32&lt;17,(0.0022*('Temperature Profiles'!L32^2)-0.0874*'Temperature Profiles'!L32+0.9301)*1000,0))</f>
        <v>179.52399999999986</v>
      </c>
      <c r="DH33" s="110">
        <v>0.29166666666666702</v>
      </c>
      <c r="DI33" s="209">
        <f>IF('Temperature Profiles'!L32&gt;18,(0.0043*('Temperature Profiles'!L32^2)-0.1116*'Temperature Profiles'!L32+0.6576)*1000,IF('Temperature Profiles'!L32&lt;17,(0.0053*('Temperature Profiles'!L32^2)-0.1876*'Temperature Profiles'!L32+1.7649)*1000,0))</f>
        <v>229.6001875</v>
      </c>
      <c r="DJ33" s="110">
        <v>0.29166666666666702</v>
      </c>
      <c r="DK33" s="211">
        <f>IF('Temperature Profiles'!L32&gt;18,(0.0057*('Temperature Profiles'!L32^2)-0.1509*'Temperature Profiles'!L32+0.8935)*1000,IF('Temperature Profiles'!L32&lt;17,(0.0072*('Temperature Profiles'!L32^2)-0.254*'Temperature Profiles'!L32+2.3952)*1000,0))</f>
        <v>263.06856249999998</v>
      </c>
      <c r="DL33" s="21"/>
      <c r="DM33" s="110">
        <v>0.29166666666666702</v>
      </c>
      <c r="DN33" s="209">
        <f>IF('Temperature Profiles'!Q32&gt;18,(0.0024*('Temperature Profiles'!Q32^2)-0.0581*'Temperature Profiles'!Q32+0.3293)*1000,IF('Temperature Profiles'!Q32&lt;17,(0.0022*('Temperature Profiles'!Q32^2)-0.0874*'Temperature Profiles'!Q32+0.9301)*1000,0))</f>
        <v>380.41899999999987</v>
      </c>
      <c r="DO33" s="110">
        <v>0.29166666666666702</v>
      </c>
      <c r="DP33" s="209">
        <f>IF('Temperature Profiles'!Q32&gt;18,(0.0043*('Temperature Profiles'!Q32^2)-0.1116*'Temperature Profiles'!Q32+0.6576)*1000,IF('Temperature Profiles'!Q32&lt;17,(0.0053*('Temperature Profiles'!Q32^2)-0.1876*'Temperature Profiles'!Q32+1.7649)*1000,0))</f>
        <v>561.14629861111132</v>
      </c>
      <c r="DQ33" s="110">
        <v>0.29166666666666702</v>
      </c>
      <c r="DR33" s="211">
        <f>IF('Temperature Profiles'!Q32&gt;18,(0.0057*('Temperature Profiles'!Q32^2)-0.1509*'Temperature Profiles'!Q32+0.8935)*1000,IF('Temperature Profiles'!Q32&lt;17,(0.0072*('Temperature Profiles'!Q32^2)-0.254*'Temperature Profiles'!Q32+2.3952)*1000,0))</f>
        <v>691.34189583333375</v>
      </c>
      <c r="DS33" s="21"/>
      <c r="DT33" s="110">
        <v>0.29166666666666702</v>
      </c>
      <c r="DU33" s="209">
        <f>IF('Temperature Profiles'!V32&gt;18,(0.0024*('Temperature Profiles'!V32^2)-0.0581*'Temperature Profiles'!V32+0.3293)*1000,IF('Temperature Profiles'!V32&lt;17,(0.0022*('Temperature Profiles'!V32^2)-0.0874*'Temperature Profiles'!V32+0.9301)*1000,0))</f>
        <v>0</v>
      </c>
      <c r="DV33" s="110">
        <v>0.29166666666666702</v>
      </c>
      <c r="DW33" s="209">
        <f>IF('Temperature Profiles'!V32&gt;18,(0.0043*('Temperature Profiles'!V32^2)-0.1116*'Temperature Profiles'!V32+0.6576)*1000,IF('Temperature Profiles'!V32&lt;17,(0.0053*('Temperature Profiles'!V32^2)-0.1876*'Temperature Profiles'!V32+1.7649)*1000,0))</f>
        <v>0</v>
      </c>
      <c r="DX33" s="110">
        <v>0.29166666666666702</v>
      </c>
      <c r="DY33" s="211">
        <f>IF('Temperature Profiles'!V32&gt;18,(0.0057*('Temperature Profiles'!V32^2)-0.1509*'Temperature Profiles'!V32+0.8935)*1000,IF('Temperature Profiles'!V32&lt;17,(0.0072*('Temperature Profiles'!V32^2)-0.254*'Temperature Profiles'!V32+2.3952)*1000,0))</f>
        <v>0</v>
      </c>
      <c r="DZ33" s="21"/>
      <c r="EA33" s="110">
        <v>0.29166666666666702</v>
      </c>
      <c r="EB33" s="209">
        <f>IF('Temperature Profiles'!AA131&gt;18,(0.0024*('Temperature Profiles'!AA131^2)-0.0581*'Temperature Profiles'!AA131+0.3293)*1000,IF('Temperature Profiles'!AA131&lt;17,(0.0022*('Temperature Profiles'!AA131^2)-0.0874*'Temperature Profiles'!AA131+0.9301)*1000,0))</f>
        <v>863.68637499999988</v>
      </c>
      <c r="EC33" s="110">
        <v>0.29166666666666702</v>
      </c>
      <c r="ED33" s="209">
        <f>IF('Temperature Profiles'!AA131&gt;18,(0.0043*('Temperature Profiles'!AA131^2)-0.1116*'Temperature Profiles'!AA131+0.6576)*1000,IF('Temperature Profiles'!AA131&lt;17,(0.0053*('Temperature Profiles'!AA131^2)-0.1876*'Temperature Profiles'!AA131+1.7649)*1000,0))</f>
        <v>1622.6933124999996</v>
      </c>
      <c r="EE33" s="110">
        <v>0.29166666666666702</v>
      </c>
      <c r="EF33" s="211">
        <f>IF('Temperature Profiles'!AA131&gt;18,(0.0057*('Temperature Profiles'!AA131^2)-0.1509*'Temperature Profiles'!AA131+0.8935)*1000,IF('Temperature Profiles'!AA131&lt;17,(0.0072*('Temperature Profiles'!AA131^2)-0.254*'Temperature Profiles'!AA131+2.3952)*1000,0))</f>
        <v>2202.6744999999996</v>
      </c>
      <c r="EG33" s="21"/>
      <c r="EH33" s="110">
        <v>0.29166666666666702</v>
      </c>
      <c r="EI33" s="211">
        <f>IF('Temperature Profiles'!AF32&gt;18,(0.0024*('Temperature Profiles'!AF32^2)-0.0581*'Temperature Profiles'!AF32+0.3293)*1000,IF('Temperature Profiles'!AF32&lt;17,(0.0022*('Temperature Profiles'!AF32^2)-0.0874*'Temperature Profiles'!AF32+0.9301)*1000,0))</f>
        <v>439.98899999999981</v>
      </c>
      <c r="EJ33" s="110">
        <v>0.29166666666666702</v>
      </c>
      <c r="EK33" s="211">
        <f>IF('Temperature Profiles'!AF32&gt;18,(0.0043*('Temperature Profiles'!AF32^2)-0.1116*'Temperature Profiles'!AF32+0.6576)*1000,IF('Temperature Profiles'!AF32&lt;17,(0.0053*('Temperature Profiles'!AF32^2)-0.1876*'Temperature Profiles'!AF32+1.7649)*1000,0))</f>
        <v>660.93452777777713</v>
      </c>
      <c r="EL33" s="110">
        <v>0.29166666666666702</v>
      </c>
      <c r="EM33" s="211">
        <f>IF('Temperature Profiles'!AF32&gt;18,(0.0057*('Temperature Profiles'!AF32^2)-0.1509*'Temperature Profiles'!AF32+0.8935)*1000,IF('Temperature Profiles'!AF32&lt;17,(0.0072*('Temperature Profiles'!AF32^2)-0.254*'Temperature Profiles'!AF32+2.3952)*1000,0))</f>
        <v>820.87658333333286</v>
      </c>
      <c r="EN33" s="21"/>
      <c r="EO33" s="110">
        <v>0.29166666666666702</v>
      </c>
      <c r="EP33" s="211"/>
      <c r="EQ33" s="21"/>
      <c r="ER33" s="110">
        <v>0.29166666666666702</v>
      </c>
      <c r="ES33" s="264"/>
      <c r="EU33" s="260">
        <v>0.29166666666666702</v>
      </c>
      <c r="EV33" s="209">
        <f>IF('Temperature Profiles'!AA131&gt;18,(0.0024*('Temperature Profiles'!AA131^2)-0.0581*'Temperature Profiles'!AA131+0.3293)*1000,IF('Temperature Profiles'!AA131&lt;17,(0.0022*('Temperature Profiles'!AA131^2)-0.0874*'Temperature Profiles'!AA131+0.9301)*1000,0))</f>
        <v>863.68637499999988</v>
      </c>
      <c r="EW33" s="110">
        <v>0.29166666666666702</v>
      </c>
      <c r="EX33" s="209">
        <f>IF('Temperature Profiles'!AA131&gt;18,(0.0043*('Temperature Profiles'!AA131^2)-0.1116*'Temperature Profiles'!AA131+0.6576)*1000,IF('Temperature Profiles'!AA131&lt;17,(0.0053*('Temperature Profiles'!AA131^2)-0.1876*'Temperature Profiles'!AA131+1.7649)*1000,0))</f>
        <v>1622.6933124999996</v>
      </c>
      <c r="EY33" s="110">
        <v>0.29166666666666702</v>
      </c>
      <c r="EZ33" s="264">
        <f>IF('Temperature Profiles'!AA131&gt;18,(0.0057*('Temperature Profiles'!AA131^2)-0.1509*'Temperature Profiles'!AA131+0.8935)*1000,IF('Temperature Profiles'!AA131&lt;17,(0.0072*('Temperature Profiles'!AA131^2)-0.254*'Temperature Profiles'!AA131+2.3952)*1000,0))</f>
        <v>2202.6744999999996</v>
      </c>
    </row>
    <row r="34" spans="1:156" x14ac:dyDescent="0.3">
      <c r="A34" s="108">
        <v>0.29166666666666702</v>
      </c>
      <c r="B34" s="226">
        <f t="shared" si="0"/>
        <v>0</v>
      </c>
      <c r="C34" s="21">
        <f t="shared" si="1"/>
        <v>349.50000000000006</v>
      </c>
      <c r="D34" s="20">
        <f t="shared" si="2"/>
        <v>2202.6744999999996</v>
      </c>
      <c r="E34" s="20">
        <f t="shared" si="3"/>
        <v>2202.6744999999996</v>
      </c>
      <c r="G34" s="260">
        <v>0.30208333333333298</v>
      </c>
      <c r="H34" s="211">
        <f>IF('Temperature Profiles'!G33&gt;17,(0.0029*('Temperature Profiles'!G33^2) - 0.0863*'Temperature Profiles'!G33 + 0.6808)*1000,0)</f>
        <v>0</v>
      </c>
      <c r="I34" s="110">
        <v>0.30208333333333298</v>
      </c>
      <c r="J34" s="211">
        <f>IF('Temperature Profiles'!G33&gt;17,(0.005*('Temperature Profiles'!G33^2) - 0.1517*'Temperature Profiles'!G33 + 1.1702)*1000,0)</f>
        <v>0</v>
      </c>
      <c r="K34" s="110">
        <v>0.30208333333333298</v>
      </c>
      <c r="L34" s="211">
        <f>IF('Temperature Profiles'!G33&gt;17,(0.0068*('Temperature Profiles'!G33^2) - 0.2129*'Temperature Profiles'!G33 + 1.6904)*1000,0)</f>
        <v>0</v>
      </c>
      <c r="M34" s="21"/>
      <c r="N34" s="110">
        <v>0.30208333333333298</v>
      </c>
      <c r="O34" s="211">
        <f>IF('Temperature Profiles'!L33&gt;17,(0.0029*('Temperature Profiles'!L33^2) - 0.0863*'Temperature Profiles'!L33 + 0.6808)*1000,0)</f>
        <v>157.38181249999982</v>
      </c>
      <c r="P34" s="110">
        <v>0.30208333333333298</v>
      </c>
      <c r="Q34" s="211">
        <f>IF('Temperature Profiles'!L33&gt;17,(0.005*('Temperature Profiles'!L33^2) - 0.1517*'Temperature Profiles'!L33 + 1.1702)*1000,0)</f>
        <v>205.91062500000001</v>
      </c>
      <c r="R34" s="110">
        <v>0.30208333333333298</v>
      </c>
      <c r="S34" s="211">
        <f>IF('Temperature Profiles'!L33&gt;17,(0.0068*('Temperature Profiles'!L33^2) - 0.2129*'Temperature Profiles'!L33 + 1.6904)*1000,0)</f>
        <v>238.80674999999928</v>
      </c>
      <c r="T34" s="21"/>
      <c r="U34" s="110">
        <v>0.30208333333333298</v>
      </c>
      <c r="V34" s="211">
        <f>IF('Temperature Profiles'!Q33&gt;17,(0.0029*('Temperature Profiles'!Q33^2) - 0.0863*'Temperature Profiles'!Q33 + 0.6808)*1000,0)</f>
        <v>339.23403472222213</v>
      </c>
      <c r="W34" s="110">
        <v>0.30208333333333298</v>
      </c>
      <c r="X34" s="211">
        <f>IF('Temperature Profiles'!Q33&gt;17,(0.005*('Temperature Profiles'!Q33^2) - 0.1517*'Temperature Profiles'!Q33 + 1.1702)*1000,0)</f>
        <v>508.45118055555582</v>
      </c>
      <c r="Y34" s="110">
        <v>0.30208333333333298</v>
      </c>
      <c r="Z34" s="211">
        <f>IF('Temperature Profiles'!Q33&gt;17,(0.0068*('Temperature Profiles'!Q33^2) - 0.2129*'Temperature Profiles'!Q33 + 1.6904)*1000,0)</f>
        <v>625.33730555555553</v>
      </c>
      <c r="AA34" s="21"/>
      <c r="AB34" s="110">
        <v>0.30208333333333298</v>
      </c>
      <c r="AC34" s="211">
        <f>IF('Temperature Profiles'!V33&gt;17,(0.0029*('Temperature Profiles'!V33^2) - 0.0863*'Temperature Profiles'!V33 + 0.6808)*1000,0)</f>
        <v>54.375999999999756</v>
      </c>
      <c r="AD34" s="110">
        <v>0.30208333333333298</v>
      </c>
      <c r="AE34" s="211">
        <f>IF('Temperature Profiles'!V33&gt;17,(0.005*('Temperature Profiles'!V33^2) - 0.1517*'Temperature Profiles'!V33 + 1.1702)*1000,0)</f>
        <v>40.159999999999755</v>
      </c>
      <c r="AF34" s="110">
        <v>0.30208333333333298</v>
      </c>
      <c r="AG34" s="211">
        <f>IF('Temperature Profiles'!V33&gt;17,(0.0068*('Temperature Profiles'!V33^2) - 0.2129*'Temperature Profiles'!V33 + 1.6904)*1000,0)</f>
        <v>40.231999999999601</v>
      </c>
      <c r="AH34" s="21"/>
      <c r="AI34" s="110">
        <v>0.30208333333333298</v>
      </c>
      <c r="AJ34" s="211">
        <f>IF('Temperature Profiles'!AA33&gt;17,(0.0029*('Temperature Profiles'!AA33^2) - 0.0863*'Temperature Profiles'!AA33 + 0.6808)*1000,0)</f>
        <v>0</v>
      </c>
      <c r="AK34" s="110">
        <v>0.30208333333333298</v>
      </c>
      <c r="AL34" s="211">
        <f>IF('Temperature Profiles'!AA33&gt;17,(0.005*('Temperature Profiles'!AA33^2) - 0.1517*'Temperature Profiles'!AA33 + 1.1701)*1000,0)</f>
        <v>0</v>
      </c>
      <c r="AM34" s="110">
        <v>0.30208333333333298</v>
      </c>
      <c r="AN34" s="211">
        <f>IF('Temperature Profiles'!AA33&gt;17,(0.0068*('Temperature Profiles'!AA33^2) - 0.2129*'Temperature Profiles'!AA33 + 1.6904)*1000,0)</f>
        <v>0</v>
      </c>
      <c r="AO34" s="21"/>
      <c r="AP34" s="110">
        <v>0.30208333333333298</v>
      </c>
      <c r="AQ34" s="211">
        <f>IF('Temperature Profiles'!AF33&gt;17,(0.0029*('Temperature Profiles'!AF33^2) - 0.0863*'Temperature Profiles'!AF33 + 0.6808)*1000,0)</f>
        <v>396.32580555555506</v>
      </c>
      <c r="AR34" s="110">
        <v>0.30208333333333298</v>
      </c>
      <c r="AS34" s="183">
        <f>IF('Temperature Profiles'!AF33&gt;17,(0.005*('Temperature Profiles'!AF33^2) - 0.1517*'Temperature Profiles'!AF33 + 1.1702)*1000,0)</f>
        <v>604.19638888888858</v>
      </c>
      <c r="AT34" s="110">
        <v>0.30208333333333298</v>
      </c>
      <c r="AU34" s="211">
        <f>IF('Temperature Profiles'!AF33&gt;17,(0.0068*('Temperature Profiles'!AF33^2) - 0.2129*'Temperature Profiles'!AF33 + 1.6904)*1000,0)</f>
        <v>749.45688888888776</v>
      </c>
      <c r="AV34" s="21"/>
      <c r="AW34" s="110">
        <v>0.30208333333333298</v>
      </c>
      <c r="AX34" s="211"/>
      <c r="AY34" s="21"/>
      <c r="AZ34" s="110">
        <v>0.30208333333333298</v>
      </c>
      <c r="BA34" s="264"/>
      <c r="BC34" s="260">
        <v>0.30208333333333298</v>
      </c>
      <c r="BD34" s="211">
        <f>IF('Temperature Profiles'!G33&lt;16,(-0.0037*'Temperature Profiles'!G33+0.0664)*1000,0)</f>
        <v>13.829166666666657</v>
      </c>
      <c r="BE34" s="110">
        <v>0.30208333333333298</v>
      </c>
      <c r="BF34" s="211">
        <f>IF('Temperature Profiles'!G33&lt;16,(-0.0076*'Temperature Profiles'!G33+0.1245)*1000,0)</f>
        <v>16.516666666666652</v>
      </c>
      <c r="BG34" s="110">
        <v>0.30208333333333298</v>
      </c>
      <c r="BH34" s="211">
        <f>IF('Temperature Profiles'!G33&lt;16,(-0.01*'Temperature Profiles'!G33+0.167)*1000,0)</f>
        <v>24.916666666666643</v>
      </c>
      <c r="BI34" s="21"/>
      <c r="BJ34" s="110">
        <v>0.30208333333333298</v>
      </c>
      <c r="BK34" s="211">
        <f>IF('Temperature Profiles'!L33&lt;16,(-0.0037*'Temperature Profiles'!L33+0.0664)*1000,0)</f>
        <v>0</v>
      </c>
      <c r="BL34" s="110">
        <v>0.30208333333333298</v>
      </c>
      <c r="BM34" s="211">
        <f>IF('Temperature Profiles'!L33&lt;16,(-0.0076*'Temperature Profiles'!L33+0.1245)*1000,0)</f>
        <v>0</v>
      </c>
      <c r="BN34" s="110">
        <v>0.30208333333333298</v>
      </c>
      <c r="BO34" s="211">
        <f>IF('Temperature Profiles'!L33&lt;16,(-0.01*'Temperature Profiles'!L33+0.167)*1000,0)</f>
        <v>0</v>
      </c>
      <c r="BP34" s="21"/>
      <c r="BQ34" s="110">
        <v>0.30208333333333298</v>
      </c>
      <c r="BR34" s="211">
        <f>IF('Temperature Profiles'!Q33&lt;16,(-0.0037*'Temperature Profiles'!Q33+0.0664)*1000,0)</f>
        <v>0</v>
      </c>
      <c r="BS34" s="110">
        <v>0.30208333333333298</v>
      </c>
      <c r="BT34" s="211">
        <f>IF('Temperature Profiles'!Q33&lt;16,(-0.0076*'Temperature Profiles'!Q33+0.1245)*1000,0)</f>
        <v>0</v>
      </c>
      <c r="BU34" s="110">
        <v>0.30208333333333298</v>
      </c>
      <c r="BV34" s="211">
        <f>IF('Temperature Profiles'!Q33&lt;16,(-0.01*'Temperature Profiles'!Q33+0.167)*1000,0)</f>
        <v>0</v>
      </c>
      <c r="BW34" s="21"/>
      <c r="BX34" s="110">
        <v>0.30208333333333298</v>
      </c>
      <c r="BY34" s="211">
        <f>IF('Temperature Profiles'!V33&lt;16,(-0.0037*'Temperature Profiles'!V33+0.0664)*1000,0)</f>
        <v>0</v>
      </c>
      <c r="BZ34" s="110">
        <v>0.30208333333333298</v>
      </c>
      <c r="CA34" s="211">
        <f>IF('Temperature Profiles'!V33&lt;16,(-0.0076*'Temperature Profiles'!V33+0.1245)*1000,0)</f>
        <v>0</v>
      </c>
      <c r="CB34" s="110">
        <v>0.30208333333333298</v>
      </c>
      <c r="CC34" s="211">
        <f>IF('Temperature Profiles'!V33&lt;16,(-0.01*'Temperature Profiles'!V33+0.167)*1000,0)</f>
        <v>0</v>
      </c>
      <c r="CD34" s="21"/>
      <c r="CE34" s="110">
        <v>0.30208333333333298</v>
      </c>
      <c r="CF34" s="211">
        <f>IF('Temperature Profiles'!AA33&lt;16,(-0.0037*'Temperature Profiles'!AA33+0.0664)*1000,0)</f>
        <v>133.92500000000001</v>
      </c>
      <c r="CG34" s="110">
        <v>0.30208333333333298</v>
      </c>
      <c r="CH34" s="178">
        <f>IF('Temperature Profiles'!AA33&lt;16,(-0.0076*'Temperature Profiles'!AA33+0.1245)*1000,0)</f>
        <v>263.2</v>
      </c>
      <c r="CI34" s="110">
        <v>0.30208333333333298</v>
      </c>
      <c r="CJ34" s="211">
        <f>IF('Temperature Profiles'!AA33&lt;16,(-0.01*'Temperature Profiles'!AA33+0.167)*1000,0)</f>
        <v>349.50000000000006</v>
      </c>
      <c r="CK34" s="21"/>
      <c r="CL34" s="110">
        <v>0.30208333333333298</v>
      </c>
      <c r="CM34" s="211">
        <f>IF('Temperature Profiles'!AF33&lt;16,(-0.0037*'Temperature Profiles'!AF33+0.0664)*1000,0)</f>
        <v>0</v>
      </c>
      <c r="CN34" s="110">
        <v>0.30208333333333298</v>
      </c>
      <c r="CO34" s="178">
        <f>IF('Temperature Profiles'!AF33&lt;16,(-0.0076*'Temperature Profiles'!AF33+0.1245)*1000,0)</f>
        <v>0</v>
      </c>
      <c r="CP34" s="110">
        <v>0.30208333333333298</v>
      </c>
      <c r="CQ34" s="211">
        <f>IF('Temperature Profiles'!AF33&lt;16,(-0.01*'Temperature Profiles'!AF33+0.167)*1000,0)</f>
        <v>0</v>
      </c>
      <c r="CR34" s="21"/>
      <c r="CS34" s="110">
        <v>0.30208333333333298</v>
      </c>
      <c r="CT34" s="211"/>
      <c r="CU34" s="21"/>
      <c r="CV34" s="110">
        <v>0.30208333333333298</v>
      </c>
      <c r="CW34" s="264"/>
      <c r="CY34" s="260">
        <v>0.30208333333333298</v>
      </c>
      <c r="CZ34" s="178">
        <f>IF('Temperature Profiles'!G33&gt;18,(0.0024*('Temperature Profiles'!G33^2)-0.0581*'Temperature Profiles'!G33+0.3293)*1000,IF('Temperature Profiles'!G33&lt;17,(0.0022*('Temperature Profiles'!G33^2)-0.0874*'Temperature Profiles'!G33+0.9301)*1000,0))</f>
        <v>132.42048611111102</v>
      </c>
      <c r="DA34" s="110">
        <v>0.30208333333333298</v>
      </c>
      <c r="DB34" s="263">
        <f>IF('Temperature Profiles'!G33&gt;18,(0.0043*('Temperature Profiles'!G33^2)-0.1116*'Temperature Profiles'!G33+0.6576)*1000,IF('Temperature Profiles'!G33&lt;17,(0.0053*('Temperature Profiles'!G33^2)-0.1876*'Temperature Profiles'!G33+1.7649)*1000,0))</f>
        <v>169.36336805555575</v>
      </c>
      <c r="DC34" s="110">
        <v>0.30208333333333298</v>
      </c>
      <c r="DD34" s="211">
        <f>IF('Temperature Profiles'!G33&gt;18,(0.0057*('Temperature Profiles'!G33^2)-0.1509*'Temperature Profiles'!G33+0.8935)*1000,IF('Temperature Profiles'!G33&lt;17,(0.0072*('Temperature Profiles'!G33^2)-0.254*'Temperature Profiles'!G33+2.3952)*1000,0))</f>
        <v>239.79583333333298</v>
      </c>
      <c r="DE34" s="21"/>
      <c r="DF34" s="110">
        <v>0.30208333333333298</v>
      </c>
      <c r="DG34" s="209">
        <f>IF('Temperature Profiles'!L33&gt;18,(0.0024*('Temperature Profiles'!L33^2)-0.0581*'Temperature Profiles'!L33+0.3293)*1000,IF('Temperature Profiles'!L33&lt;17,(0.0022*('Temperature Profiles'!L33^2)-0.0874*'Temperature Profiles'!L33+0.9301)*1000,0))</f>
        <v>179.52399999999986</v>
      </c>
      <c r="DH34" s="110">
        <v>0.30208333333333298</v>
      </c>
      <c r="DI34" s="209">
        <f>IF('Temperature Profiles'!L33&gt;18,(0.0043*('Temperature Profiles'!L33^2)-0.1116*'Temperature Profiles'!L33+0.6576)*1000,IF('Temperature Profiles'!L33&lt;17,(0.0053*('Temperature Profiles'!L33^2)-0.1876*'Temperature Profiles'!L33+1.7649)*1000,0))</f>
        <v>229.6001875</v>
      </c>
      <c r="DJ34" s="110">
        <v>0.30208333333333298</v>
      </c>
      <c r="DK34" s="211">
        <f>IF('Temperature Profiles'!L33&gt;18,(0.0057*('Temperature Profiles'!L33^2)-0.1509*'Temperature Profiles'!L33+0.8935)*1000,IF('Temperature Profiles'!L33&lt;17,(0.0072*('Temperature Profiles'!L33^2)-0.254*'Temperature Profiles'!L33+2.3952)*1000,0))</f>
        <v>263.06856249999998</v>
      </c>
      <c r="DL34" s="21"/>
      <c r="DM34" s="110">
        <v>0.30208333333333298</v>
      </c>
      <c r="DN34" s="209">
        <f>IF('Temperature Profiles'!Q33&gt;18,(0.0024*('Temperature Profiles'!Q33^2)-0.0581*'Temperature Profiles'!Q33+0.3293)*1000,IF('Temperature Profiles'!Q33&lt;17,(0.0022*('Temperature Profiles'!Q33^2)-0.0874*'Temperature Profiles'!Q33+0.9301)*1000,0))</f>
        <v>380.41899999999987</v>
      </c>
      <c r="DO34" s="110">
        <v>0.30208333333333298</v>
      </c>
      <c r="DP34" s="209">
        <f>IF('Temperature Profiles'!Q33&gt;18,(0.0043*('Temperature Profiles'!Q33^2)-0.1116*'Temperature Profiles'!Q33+0.6576)*1000,IF('Temperature Profiles'!Q33&lt;17,(0.0053*('Temperature Profiles'!Q33^2)-0.1876*'Temperature Profiles'!Q33+1.7649)*1000,0))</f>
        <v>561.14629861111132</v>
      </c>
      <c r="DQ34" s="110">
        <v>0.30208333333333298</v>
      </c>
      <c r="DR34" s="211">
        <f>IF('Temperature Profiles'!Q33&gt;18,(0.0057*('Temperature Profiles'!Q33^2)-0.1509*'Temperature Profiles'!Q33+0.8935)*1000,IF('Temperature Profiles'!Q33&lt;17,(0.0072*('Temperature Profiles'!Q33^2)-0.254*'Temperature Profiles'!Q33+2.3952)*1000,0))</f>
        <v>691.34189583333375</v>
      </c>
      <c r="DS34" s="21"/>
      <c r="DT34" s="110">
        <v>0.30208333333333298</v>
      </c>
      <c r="DU34" s="209">
        <f>IF('Temperature Profiles'!V33&gt;18,(0.0024*('Temperature Profiles'!V33^2)-0.0581*'Temperature Profiles'!V33+0.3293)*1000,IF('Temperature Profiles'!V33&lt;17,(0.0022*('Temperature Profiles'!V33^2)-0.0874*'Temperature Profiles'!V33+0.9301)*1000,0))</f>
        <v>0</v>
      </c>
      <c r="DV34" s="110">
        <v>0.30208333333333298</v>
      </c>
      <c r="DW34" s="209">
        <f>IF('Temperature Profiles'!V33&gt;18,(0.0043*('Temperature Profiles'!V33^2)-0.1116*'Temperature Profiles'!V33+0.6576)*1000,IF('Temperature Profiles'!V33&lt;17,(0.0053*('Temperature Profiles'!V33^2)-0.1876*'Temperature Profiles'!V33+1.7649)*1000,0))</f>
        <v>0</v>
      </c>
      <c r="DX34" s="110">
        <v>0.30208333333333298</v>
      </c>
      <c r="DY34" s="211">
        <f>IF('Temperature Profiles'!V33&gt;18,(0.0057*('Temperature Profiles'!V33^2)-0.1509*'Temperature Profiles'!V33+0.8935)*1000,IF('Temperature Profiles'!V33&lt;17,(0.0072*('Temperature Profiles'!V33^2)-0.254*'Temperature Profiles'!V33+2.3952)*1000,0))</f>
        <v>0</v>
      </c>
      <c r="DZ34" s="21"/>
      <c r="EA34" s="110">
        <v>0.30208333333333298</v>
      </c>
      <c r="EB34" s="209">
        <f>IF('Temperature Profiles'!AA132&gt;18,(0.0024*('Temperature Profiles'!AA132^2)-0.0581*'Temperature Profiles'!AA132+0.3293)*1000,IF('Temperature Profiles'!AA132&lt;17,(0.0022*('Temperature Profiles'!AA132^2)-0.0874*'Temperature Profiles'!AA132+0.9301)*1000,0))</f>
        <v>863.68637499999988</v>
      </c>
      <c r="EC34" s="110">
        <v>0.30208333333333298</v>
      </c>
      <c r="ED34" s="209">
        <f>IF('Temperature Profiles'!AA132&gt;18,(0.0043*('Temperature Profiles'!AA132^2)-0.1116*'Temperature Profiles'!AA132+0.6576)*1000,IF('Temperature Profiles'!AA132&lt;17,(0.0053*('Temperature Profiles'!AA132^2)-0.1876*'Temperature Profiles'!AA132+1.7649)*1000,0))</f>
        <v>1622.6933124999996</v>
      </c>
      <c r="EE34" s="110">
        <v>0.30208333333333298</v>
      </c>
      <c r="EF34" s="211">
        <f>IF('Temperature Profiles'!AA132&gt;18,(0.0057*('Temperature Profiles'!AA132^2)-0.1509*'Temperature Profiles'!AA132+0.8935)*1000,IF('Temperature Profiles'!AA132&lt;17,(0.0072*('Temperature Profiles'!AA132^2)-0.254*'Temperature Profiles'!AA132+2.3952)*1000,0))</f>
        <v>2202.6744999999996</v>
      </c>
      <c r="EG34" s="21"/>
      <c r="EH34" s="110">
        <v>0.30208333333333298</v>
      </c>
      <c r="EI34" s="211">
        <f>IF('Temperature Profiles'!AF33&gt;18,(0.0024*('Temperature Profiles'!AF33^2)-0.0581*'Temperature Profiles'!AF33+0.3293)*1000,IF('Temperature Profiles'!AF33&lt;17,(0.0022*('Temperature Profiles'!AF33^2)-0.0874*'Temperature Profiles'!AF33+0.9301)*1000,0))</f>
        <v>439.98899999999981</v>
      </c>
      <c r="EJ34" s="110">
        <v>0.30208333333333298</v>
      </c>
      <c r="EK34" s="211">
        <f>IF('Temperature Profiles'!AF33&gt;18,(0.0043*('Temperature Profiles'!AF33^2)-0.1116*'Temperature Profiles'!AF33+0.6576)*1000,IF('Temperature Profiles'!AF33&lt;17,(0.0053*('Temperature Profiles'!AF33^2)-0.1876*'Temperature Profiles'!AF33+1.7649)*1000,0))</f>
        <v>660.93452777777713</v>
      </c>
      <c r="EL34" s="110">
        <v>0.30208333333333298</v>
      </c>
      <c r="EM34" s="211">
        <f>IF('Temperature Profiles'!AF33&gt;18,(0.0057*('Temperature Profiles'!AF33^2)-0.1509*'Temperature Profiles'!AF33+0.8935)*1000,IF('Temperature Profiles'!AF33&lt;17,(0.0072*('Temperature Profiles'!AF33^2)-0.254*'Temperature Profiles'!AF33+2.3952)*1000,0))</f>
        <v>820.87658333333286</v>
      </c>
      <c r="EN34" s="21"/>
      <c r="EO34" s="110">
        <v>0.30208333333333298</v>
      </c>
      <c r="EP34" s="211"/>
      <c r="EQ34" s="21"/>
      <c r="ER34" s="110">
        <v>0.30208333333333298</v>
      </c>
      <c r="ES34" s="264"/>
      <c r="EU34" s="260">
        <v>0.30208333333333298</v>
      </c>
      <c r="EV34" s="209">
        <f>IF('Temperature Profiles'!AA132&gt;18,(0.0024*('Temperature Profiles'!AA132^2)-0.0581*'Temperature Profiles'!AA132+0.3293)*1000,IF('Temperature Profiles'!AA132&lt;17,(0.0022*('Temperature Profiles'!AA132^2)-0.0874*'Temperature Profiles'!AA132+0.9301)*1000,0))</f>
        <v>863.68637499999988</v>
      </c>
      <c r="EW34" s="110">
        <v>0.30208333333333298</v>
      </c>
      <c r="EX34" s="209">
        <f>IF('Temperature Profiles'!AA132&gt;18,(0.0043*('Temperature Profiles'!AA132^2)-0.1116*'Temperature Profiles'!AA132+0.6576)*1000,IF('Temperature Profiles'!AA132&lt;17,(0.0053*('Temperature Profiles'!AA132^2)-0.1876*'Temperature Profiles'!AA132+1.7649)*1000,0))</f>
        <v>1622.6933124999996</v>
      </c>
      <c r="EY34" s="110">
        <v>0.30208333333333298</v>
      </c>
      <c r="EZ34" s="264">
        <f>IF('Temperature Profiles'!AA132&gt;18,(0.0057*('Temperature Profiles'!AA132^2)-0.1509*'Temperature Profiles'!AA132+0.8935)*1000,IF('Temperature Profiles'!AA132&lt;17,(0.0072*('Temperature Profiles'!AA132^2)-0.254*'Temperature Profiles'!AA132+2.3952)*1000,0))</f>
        <v>2202.6744999999996</v>
      </c>
    </row>
    <row r="35" spans="1:156" x14ac:dyDescent="0.3">
      <c r="A35" s="108">
        <v>0.30208333333333298</v>
      </c>
      <c r="B35" s="226">
        <f t="shared" si="0"/>
        <v>0</v>
      </c>
      <c r="C35" s="21">
        <f t="shared" si="1"/>
        <v>349.50000000000006</v>
      </c>
      <c r="D35" s="20">
        <f t="shared" si="2"/>
        <v>2202.6744999999996</v>
      </c>
      <c r="E35" s="20">
        <f t="shared" si="3"/>
        <v>2202.6744999999996</v>
      </c>
      <c r="G35" s="260">
        <v>0.3125</v>
      </c>
      <c r="H35" s="211">
        <f>IF('Temperature Profiles'!G34&gt;17,(0.0029*('Temperature Profiles'!G34^2) - 0.0863*'Temperature Profiles'!G34 + 0.6808)*1000,0)</f>
        <v>0</v>
      </c>
      <c r="I35" s="110">
        <v>0.3125</v>
      </c>
      <c r="J35" s="211">
        <f>IF('Temperature Profiles'!G34&gt;17,(0.005*('Temperature Profiles'!G34^2) - 0.1517*'Temperature Profiles'!G34 + 1.1702)*1000,0)</f>
        <v>0</v>
      </c>
      <c r="K35" s="110">
        <v>0.3125</v>
      </c>
      <c r="L35" s="211">
        <f>IF('Temperature Profiles'!G34&gt;17,(0.0068*('Temperature Profiles'!G34^2) - 0.2129*'Temperature Profiles'!G34 + 1.6904)*1000,0)</f>
        <v>0</v>
      </c>
      <c r="M35" s="21"/>
      <c r="N35" s="110">
        <v>0.3125</v>
      </c>
      <c r="O35" s="211">
        <f>IF('Temperature Profiles'!L34&gt;17,(0.0029*('Temperature Profiles'!L34^2) - 0.0863*'Temperature Profiles'!L34 + 0.6808)*1000,0)</f>
        <v>157.38181249999982</v>
      </c>
      <c r="P35" s="110">
        <v>0.3125</v>
      </c>
      <c r="Q35" s="211">
        <f>IF('Temperature Profiles'!L34&gt;17,(0.005*('Temperature Profiles'!L34^2) - 0.1517*'Temperature Profiles'!L34 + 1.1702)*1000,0)</f>
        <v>205.91062500000001</v>
      </c>
      <c r="R35" s="110">
        <v>0.3125</v>
      </c>
      <c r="S35" s="211">
        <f>IF('Temperature Profiles'!L34&gt;17,(0.0068*('Temperature Profiles'!L34^2) - 0.2129*'Temperature Profiles'!L34 + 1.6904)*1000,0)</f>
        <v>238.80674999999928</v>
      </c>
      <c r="T35" s="21"/>
      <c r="U35" s="110">
        <v>0.3125</v>
      </c>
      <c r="V35" s="211">
        <f>IF('Temperature Profiles'!Q34&gt;17,(0.0029*('Temperature Profiles'!Q34^2) - 0.0863*'Temperature Profiles'!Q34 + 0.6808)*1000,0)</f>
        <v>339.23403472222213</v>
      </c>
      <c r="W35" s="110">
        <v>0.3125</v>
      </c>
      <c r="X35" s="211">
        <f>IF('Temperature Profiles'!Q34&gt;17,(0.005*('Temperature Profiles'!Q34^2) - 0.1517*'Temperature Profiles'!Q34 + 1.1702)*1000,0)</f>
        <v>508.45118055555582</v>
      </c>
      <c r="Y35" s="110">
        <v>0.3125</v>
      </c>
      <c r="Z35" s="211">
        <f>IF('Temperature Profiles'!Q34&gt;17,(0.0068*('Temperature Profiles'!Q34^2) - 0.2129*'Temperature Profiles'!Q34 + 1.6904)*1000,0)</f>
        <v>625.33730555555553</v>
      </c>
      <c r="AA35" s="21"/>
      <c r="AB35" s="110">
        <v>0.3125</v>
      </c>
      <c r="AC35" s="211">
        <f>IF('Temperature Profiles'!V34&gt;17,(0.0029*('Temperature Profiles'!V34^2) - 0.0863*'Temperature Profiles'!V34 + 0.6808)*1000,0)</f>
        <v>54.375999999999756</v>
      </c>
      <c r="AD35" s="110">
        <v>0.3125</v>
      </c>
      <c r="AE35" s="211">
        <f>IF('Temperature Profiles'!V34&gt;17,(0.005*('Temperature Profiles'!V34^2) - 0.1517*'Temperature Profiles'!V34 + 1.1702)*1000,0)</f>
        <v>40.159999999999755</v>
      </c>
      <c r="AF35" s="110">
        <v>0.3125</v>
      </c>
      <c r="AG35" s="211">
        <f>IF('Temperature Profiles'!V34&gt;17,(0.0068*('Temperature Profiles'!V34^2) - 0.2129*'Temperature Profiles'!V34 + 1.6904)*1000,0)</f>
        <v>40.231999999999601</v>
      </c>
      <c r="AH35" s="21"/>
      <c r="AI35" s="110">
        <v>0.3125</v>
      </c>
      <c r="AJ35" s="211">
        <f>IF('Temperature Profiles'!AA34&gt;17,(0.0029*('Temperature Profiles'!AA34^2) - 0.0863*'Temperature Profiles'!AA34 + 0.6808)*1000,0)</f>
        <v>0</v>
      </c>
      <c r="AK35" s="110">
        <v>0.3125</v>
      </c>
      <c r="AL35" s="211">
        <f>IF('Temperature Profiles'!AA34&gt;17,(0.005*('Temperature Profiles'!AA34^2) - 0.1517*'Temperature Profiles'!AA34 + 1.1701)*1000,0)</f>
        <v>0</v>
      </c>
      <c r="AM35" s="110">
        <v>0.3125</v>
      </c>
      <c r="AN35" s="211">
        <f>IF('Temperature Profiles'!AA34&gt;17,(0.0068*('Temperature Profiles'!AA34^2) - 0.2129*'Temperature Profiles'!AA34 + 1.6904)*1000,0)</f>
        <v>0</v>
      </c>
      <c r="AO35" s="21"/>
      <c r="AP35" s="110">
        <v>0.3125</v>
      </c>
      <c r="AQ35" s="211">
        <f>IF('Temperature Profiles'!AF34&gt;17,(0.0029*('Temperature Profiles'!AF34^2) - 0.0863*'Temperature Profiles'!AF34 + 0.6808)*1000,0)</f>
        <v>396.32580555555506</v>
      </c>
      <c r="AR35" s="110">
        <v>0.3125</v>
      </c>
      <c r="AS35" s="183">
        <f>IF('Temperature Profiles'!AF34&gt;17,(0.005*('Temperature Profiles'!AF34^2) - 0.1517*'Temperature Profiles'!AF34 + 1.1702)*1000,0)</f>
        <v>604.19638888888858</v>
      </c>
      <c r="AT35" s="110">
        <v>0.3125</v>
      </c>
      <c r="AU35" s="211">
        <f>IF('Temperature Profiles'!AF34&gt;17,(0.0068*('Temperature Profiles'!AF34^2) - 0.2129*'Temperature Profiles'!AF34 + 1.6904)*1000,0)</f>
        <v>749.45688888888776</v>
      </c>
      <c r="AV35" s="21"/>
      <c r="AW35" s="110">
        <v>0.3125</v>
      </c>
      <c r="AX35" s="211"/>
      <c r="AY35" s="21"/>
      <c r="AZ35" s="110">
        <v>0.3125</v>
      </c>
      <c r="BA35" s="264"/>
      <c r="BC35" s="260">
        <v>0.3125</v>
      </c>
      <c r="BD35" s="211">
        <f>IF('Temperature Profiles'!G34&lt;16,(-0.0037*'Temperature Profiles'!G34+0.0664)*1000,0)</f>
        <v>13.829166666666657</v>
      </c>
      <c r="BE35" s="110">
        <v>0.3125</v>
      </c>
      <c r="BF35" s="211">
        <f>IF('Temperature Profiles'!G34&lt;16,(-0.0076*'Temperature Profiles'!G34+0.1245)*1000,0)</f>
        <v>16.516666666666652</v>
      </c>
      <c r="BG35" s="110">
        <v>0.3125</v>
      </c>
      <c r="BH35" s="211">
        <f>IF('Temperature Profiles'!G34&lt;16,(-0.01*'Temperature Profiles'!G34+0.167)*1000,0)</f>
        <v>24.916666666666643</v>
      </c>
      <c r="BI35" s="21"/>
      <c r="BJ35" s="110">
        <v>0.3125</v>
      </c>
      <c r="BK35" s="211">
        <f>IF('Temperature Profiles'!L34&lt;16,(-0.0037*'Temperature Profiles'!L34+0.0664)*1000,0)</f>
        <v>0</v>
      </c>
      <c r="BL35" s="110">
        <v>0.3125</v>
      </c>
      <c r="BM35" s="211">
        <f>IF('Temperature Profiles'!L34&lt;16,(-0.0076*'Temperature Profiles'!L34+0.1245)*1000,0)</f>
        <v>0</v>
      </c>
      <c r="BN35" s="110">
        <v>0.3125</v>
      </c>
      <c r="BO35" s="211">
        <f>IF('Temperature Profiles'!L34&lt;16,(-0.01*'Temperature Profiles'!L34+0.167)*1000,0)</f>
        <v>0</v>
      </c>
      <c r="BP35" s="21"/>
      <c r="BQ35" s="110">
        <v>0.3125</v>
      </c>
      <c r="BR35" s="211">
        <f>IF('Temperature Profiles'!Q34&lt;16,(-0.0037*'Temperature Profiles'!Q34+0.0664)*1000,0)</f>
        <v>0</v>
      </c>
      <c r="BS35" s="110">
        <v>0.3125</v>
      </c>
      <c r="BT35" s="211">
        <f>IF('Temperature Profiles'!Q34&lt;16,(-0.0076*'Temperature Profiles'!Q34+0.1245)*1000,0)</f>
        <v>0</v>
      </c>
      <c r="BU35" s="110">
        <v>0.3125</v>
      </c>
      <c r="BV35" s="211">
        <f>IF('Temperature Profiles'!Q34&lt;16,(-0.01*'Temperature Profiles'!Q34+0.167)*1000,0)</f>
        <v>0</v>
      </c>
      <c r="BW35" s="21"/>
      <c r="BX35" s="110">
        <v>0.3125</v>
      </c>
      <c r="BY35" s="211">
        <f>IF('Temperature Profiles'!V34&lt;16,(-0.0037*'Temperature Profiles'!V34+0.0664)*1000,0)</f>
        <v>0</v>
      </c>
      <c r="BZ35" s="110">
        <v>0.3125</v>
      </c>
      <c r="CA35" s="211">
        <f>IF('Temperature Profiles'!V34&lt;16,(-0.0076*'Temperature Profiles'!V34+0.1245)*1000,0)</f>
        <v>0</v>
      </c>
      <c r="CB35" s="110">
        <v>0.3125</v>
      </c>
      <c r="CC35" s="211">
        <f>IF('Temperature Profiles'!V34&lt;16,(-0.01*'Temperature Profiles'!V34+0.167)*1000,0)</f>
        <v>0</v>
      </c>
      <c r="CD35" s="21"/>
      <c r="CE35" s="110">
        <v>0.3125</v>
      </c>
      <c r="CF35" s="211">
        <f>IF('Temperature Profiles'!AA34&lt;16,(-0.0037*'Temperature Profiles'!AA34+0.0664)*1000,0)</f>
        <v>133.92500000000001</v>
      </c>
      <c r="CG35" s="110">
        <v>0.3125</v>
      </c>
      <c r="CH35" s="178">
        <f>IF('Temperature Profiles'!AA34&lt;16,(-0.0076*'Temperature Profiles'!AA34+0.1245)*1000,0)</f>
        <v>263.2</v>
      </c>
      <c r="CI35" s="110">
        <v>0.3125</v>
      </c>
      <c r="CJ35" s="211">
        <f>IF('Temperature Profiles'!AA34&lt;16,(-0.01*'Temperature Profiles'!AA34+0.167)*1000,0)</f>
        <v>349.50000000000006</v>
      </c>
      <c r="CK35" s="21"/>
      <c r="CL35" s="110">
        <v>0.3125</v>
      </c>
      <c r="CM35" s="211">
        <f>IF('Temperature Profiles'!AF34&lt;16,(-0.0037*'Temperature Profiles'!AF34+0.0664)*1000,0)</f>
        <v>0</v>
      </c>
      <c r="CN35" s="110">
        <v>0.3125</v>
      </c>
      <c r="CO35" s="178">
        <f>IF('Temperature Profiles'!AF34&lt;16,(-0.0076*'Temperature Profiles'!AF34+0.1245)*1000,0)</f>
        <v>0</v>
      </c>
      <c r="CP35" s="110">
        <v>0.3125</v>
      </c>
      <c r="CQ35" s="211">
        <f>IF('Temperature Profiles'!AF34&lt;16,(-0.01*'Temperature Profiles'!AF34+0.167)*1000,0)</f>
        <v>0</v>
      </c>
      <c r="CR35" s="21"/>
      <c r="CS35" s="110">
        <v>0.3125</v>
      </c>
      <c r="CT35" s="211"/>
      <c r="CU35" s="21"/>
      <c r="CV35" s="110">
        <v>0.3125</v>
      </c>
      <c r="CW35" s="264"/>
      <c r="CY35" s="260">
        <v>0.3125</v>
      </c>
      <c r="CZ35" s="178">
        <f>IF('Temperature Profiles'!G34&gt;18,(0.0024*('Temperature Profiles'!G34^2)-0.0581*'Temperature Profiles'!G34+0.3293)*1000,IF('Temperature Profiles'!G34&lt;17,(0.0022*('Temperature Profiles'!G34^2)-0.0874*'Temperature Profiles'!G34+0.9301)*1000,0))</f>
        <v>132.42048611111102</v>
      </c>
      <c r="DA35" s="110">
        <v>0.3125</v>
      </c>
      <c r="DB35" s="263">
        <f>IF('Temperature Profiles'!G34&gt;18,(0.0043*('Temperature Profiles'!G34^2)-0.1116*'Temperature Profiles'!G34+0.6576)*1000,IF('Temperature Profiles'!G34&lt;17,(0.0053*('Temperature Profiles'!G34^2)-0.1876*'Temperature Profiles'!G34+1.7649)*1000,0))</f>
        <v>169.36336805555575</v>
      </c>
      <c r="DC35" s="110">
        <v>0.3125</v>
      </c>
      <c r="DD35" s="211">
        <f>IF('Temperature Profiles'!G34&gt;18,(0.0057*('Temperature Profiles'!G34^2)-0.1509*'Temperature Profiles'!G34+0.8935)*1000,IF('Temperature Profiles'!G34&lt;17,(0.0072*('Temperature Profiles'!G34^2)-0.254*'Temperature Profiles'!G34+2.3952)*1000,0))</f>
        <v>239.79583333333298</v>
      </c>
      <c r="DE35" s="21"/>
      <c r="DF35" s="110">
        <v>0.3125</v>
      </c>
      <c r="DG35" s="209">
        <f>IF('Temperature Profiles'!L34&gt;18,(0.0024*('Temperature Profiles'!L34^2)-0.0581*'Temperature Profiles'!L34+0.3293)*1000,IF('Temperature Profiles'!L34&lt;17,(0.0022*('Temperature Profiles'!L34^2)-0.0874*'Temperature Profiles'!L34+0.9301)*1000,0))</f>
        <v>179.52399999999986</v>
      </c>
      <c r="DH35" s="110">
        <v>0.3125</v>
      </c>
      <c r="DI35" s="209">
        <f>IF('Temperature Profiles'!L34&gt;18,(0.0043*('Temperature Profiles'!L34^2)-0.1116*'Temperature Profiles'!L34+0.6576)*1000,IF('Temperature Profiles'!L34&lt;17,(0.0053*('Temperature Profiles'!L34^2)-0.1876*'Temperature Profiles'!L34+1.7649)*1000,0))</f>
        <v>229.6001875</v>
      </c>
      <c r="DJ35" s="110">
        <v>0.3125</v>
      </c>
      <c r="DK35" s="211">
        <f>IF('Temperature Profiles'!L34&gt;18,(0.0057*('Temperature Profiles'!L34^2)-0.1509*'Temperature Profiles'!L34+0.8935)*1000,IF('Temperature Profiles'!L34&lt;17,(0.0072*('Temperature Profiles'!L34^2)-0.254*'Temperature Profiles'!L34+2.3952)*1000,0))</f>
        <v>263.06856249999998</v>
      </c>
      <c r="DL35" s="21"/>
      <c r="DM35" s="110">
        <v>0.3125</v>
      </c>
      <c r="DN35" s="209">
        <f>IF('Temperature Profiles'!Q34&gt;18,(0.0024*('Temperature Profiles'!Q34^2)-0.0581*'Temperature Profiles'!Q34+0.3293)*1000,IF('Temperature Profiles'!Q34&lt;17,(0.0022*('Temperature Profiles'!Q34^2)-0.0874*'Temperature Profiles'!Q34+0.9301)*1000,0))</f>
        <v>380.41899999999987</v>
      </c>
      <c r="DO35" s="110">
        <v>0.3125</v>
      </c>
      <c r="DP35" s="209">
        <f>IF('Temperature Profiles'!Q34&gt;18,(0.0043*('Temperature Profiles'!Q34^2)-0.1116*'Temperature Profiles'!Q34+0.6576)*1000,IF('Temperature Profiles'!Q34&lt;17,(0.0053*('Temperature Profiles'!Q34^2)-0.1876*'Temperature Profiles'!Q34+1.7649)*1000,0))</f>
        <v>561.14629861111132</v>
      </c>
      <c r="DQ35" s="110">
        <v>0.3125</v>
      </c>
      <c r="DR35" s="211">
        <f>IF('Temperature Profiles'!Q34&gt;18,(0.0057*('Temperature Profiles'!Q34^2)-0.1509*'Temperature Profiles'!Q34+0.8935)*1000,IF('Temperature Profiles'!Q34&lt;17,(0.0072*('Temperature Profiles'!Q34^2)-0.254*'Temperature Profiles'!Q34+2.3952)*1000,0))</f>
        <v>691.34189583333375</v>
      </c>
      <c r="DS35" s="21"/>
      <c r="DT35" s="110">
        <v>0.3125</v>
      </c>
      <c r="DU35" s="209">
        <f>IF('Temperature Profiles'!V34&gt;18,(0.0024*('Temperature Profiles'!V34^2)-0.0581*'Temperature Profiles'!V34+0.3293)*1000,IF('Temperature Profiles'!V34&lt;17,(0.0022*('Temperature Profiles'!V34^2)-0.0874*'Temperature Profiles'!V34+0.9301)*1000,0))</f>
        <v>0</v>
      </c>
      <c r="DV35" s="110">
        <v>0.3125</v>
      </c>
      <c r="DW35" s="209">
        <f>IF('Temperature Profiles'!V34&gt;18,(0.0043*('Temperature Profiles'!V34^2)-0.1116*'Temperature Profiles'!V34+0.6576)*1000,IF('Temperature Profiles'!V34&lt;17,(0.0053*('Temperature Profiles'!V34^2)-0.1876*'Temperature Profiles'!V34+1.7649)*1000,0))</f>
        <v>0</v>
      </c>
      <c r="DX35" s="110">
        <v>0.3125</v>
      </c>
      <c r="DY35" s="211">
        <f>IF('Temperature Profiles'!V34&gt;18,(0.0057*('Temperature Profiles'!V34^2)-0.1509*'Temperature Profiles'!V34+0.8935)*1000,IF('Temperature Profiles'!V34&lt;17,(0.0072*('Temperature Profiles'!V34^2)-0.254*'Temperature Profiles'!V34+2.3952)*1000,0))</f>
        <v>0</v>
      </c>
      <c r="DZ35" s="21"/>
      <c r="EA35" s="110">
        <v>0.3125</v>
      </c>
      <c r="EB35" s="209">
        <f>IF('Temperature Profiles'!AA133&gt;18,(0.0024*('Temperature Profiles'!AA133^2)-0.0581*'Temperature Profiles'!AA133+0.3293)*1000,IF('Temperature Profiles'!AA133&lt;17,(0.0022*('Temperature Profiles'!AA133^2)-0.0874*'Temperature Profiles'!AA133+0.9301)*1000,0))</f>
        <v>863.68637499999988</v>
      </c>
      <c r="EC35" s="110">
        <v>0.3125</v>
      </c>
      <c r="ED35" s="209">
        <f>IF('Temperature Profiles'!AA133&gt;18,(0.0043*('Temperature Profiles'!AA133^2)-0.1116*'Temperature Profiles'!AA133+0.6576)*1000,IF('Temperature Profiles'!AA133&lt;17,(0.0053*('Temperature Profiles'!AA133^2)-0.1876*'Temperature Profiles'!AA133+1.7649)*1000,0))</f>
        <v>1622.6933124999996</v>
      </c>
      <c r="EE35" s="110">
        <v>0.3125</v>
      </c>
      <c r="EF35" s="211">
        <f>IF('Temperature Profiles'!AA133&gt;18,(0.0057*('Temperature Profiles'!AA133^2)-0.1509*'Temperature Profiles'!AA133+0.8935)*1000,IF('Temperature Profiles'!AA133&lt;17,(0.0072*('Temperature Profiles'!AA133^2)-0.254*'Temperature Profiles'!AA133+2.3952)*1000,0))</f>
        <v>2202.6744999999996</v>
      </c>
      <c r="EG35" s="21"/>
      <c r="EH35" s="110">
        <v>0.3125</v>
      </c>
      <c r="EI35" s="211">
        <f>IF('Temperature Profiles'!AF34&gt;18,(0.0024*('Temperature Profiles'!AF34^2)-0.0581*'Temperature Profiles'!AF34+0.3293)*1000,IF('Temperature Profiles'!AF34&lt;17,(0.0022*('Temperature Profiles'!AF34^2)-0.0874*'Temperature Profiles'!AF34+0.9301)*1000,0))</f>
        <v>439.98899999999981</v>
      </c>
      <c r="EJ35" s="110">
        <v>0.3125</v>
      </c>
      <c r="EK35" s="211">
        <f>IF('Temperature Profiles'!AF34&gt;18,(0.0043*('Temperature Profiles'!AF34^2)-0.1116*'Temperature Profiles'!AF34+0.6576)*1000,IF('Temperature Profiles'!AF34&lt;17,(0.0053*('Temperature Profiles'!AF34^2)-0.1876*'Temperature Profiles'!AF34+1.7649)*1000,0))</f>
        <v>660.93452777777713</v>
      </c>
      <c r="EL35" s="110">
        <v>0.3125</v>
      </c>
      <c r="EM35" s="211">
        <f>IF('Temperature Profiles'!AF34&gt;18,(0.0057*('Temperature Profiles'!AF34^2)-0.1509*'Temperature Profiles'!AF34+0.8935)*1000,IF('Temperature Profiles'!AF34&lt;17,(0.0072*('Temperature Profiles'!AF34^2)-0.254*'Temperature Profiles'!AF34+2.3952)*1000,0))</f>
        <v>820.87658333333286</v>
      </c>
      <c r="EN35" s="21"/>
      <c r="EO35" s="110">
        <v>0.3125</v>
      </c>
      <c r="EP35" s="211"/>
      <c r="EQ35" s="21"/>
      <c r="ER35" s="110">
        <v>0.3125</v>
      </c>
      <c r="ES35" s="264"/>
      <c r="EU35" s="260">
        <v>0.3125</v>
      </c>
      <c r="EV35" s="209">
        <f>IF('Temperature Profiles'!AA133&gt;18,(0.0024*('Temperature Profiles'!AA133^2)-0.0581*'Temperature Profiles'!AA133+0.3293)*1000,IF('Temperature Profiles'!AA133&lt;17,(0.0022*('Temperature Profiles'!AA133^2)-0.0874*'Temperature Profiles'!AA133+0.9301)*1000,0))</f>
        <v>863.68637499999988</v>
      </c>
      <c r="EW35" s="110">
        <v>0.3125</v>
      </c>
      <c r="EX35" s="209">
        <f>IF('Temperature Profiles'!AA133&gt;18,(0.0043*('Temperature Profiles'!AA133^2)-0.1116*'Temperature Profiles'!AA133+0.6576)*1000,IF('Temperature Profiles'!AA133&lt;17,(0.0053*('Temperature Profiles'!AA133^2)-0.1876*'Temperature Profiles'!AA133+1.7649)*1000,0))</f>
        <v>1622.6933124999996</v>
      </c>
      <c r="EY35" s="110">
        <v>0.3125</v>
      </c>
      <c r="EZ35" s="264">
        <f>IF('Temperature Profiles'!AA133&gt;18,(0.0057*('Temperature Profiles'!AA133^2)-0.1509*'Temperature Profiles'!AA133+0.8935)*1000,IF('Temperature Profiles'!AA133&lt;17,(0.0072*('Temperature Profiles'!AA133^2)-0.254*'Temperature Profiles'!AA133+2.3952)*1000,0))</f>
        <v>2202.6744999999996</v>
      </c>
    </row>
    <row r="36" spans="1:156" x14ac:dyDescent="0.3">
      <c r="A36" s="108">
        <v>0.3125</v>
      </c>
      <c r="B36" s="226">
        <f t="shared" si="0"/>
        <v>0</v>
      </c>
      <c r="C36" s="21">
        <f t="shared" si="1"/>
        <v>349.50000000000006</v>
      </c>
      <c r="D36" s="20">
        <f t="shared" si="2"/>
        <v>2202.6744999999996</v>
      </c>
      <c r="E36" s="20">
        <f t="shared" si="3"/>
        <v>2202.6744999999996</v>
      </c>
      <c r="G36" s="260">
        <v>0.32291666666666702</v>
      </c>
      <c r="H36" s="211">
        <f>IF('Temperature Profiles'!G35&gt;17,(0.0029*('Temperature Profiles'!G35^2) - 0.0863*'Temperature Profiles'!G35 + 0.6808)*1000,0)</f>
        <v>0</v>
      </c>
      <c r="I36" s="110">
        <v>0.32291666666666702</v>
      </c>
      <c r="J36" s="211">
        <f>IF('Temperature Profiles'!G35&gt;17,(0.005*('Temperature Profiles'!G35^2) - 0.1517*'Temperature Profiles'!G35 + 1.1702)*1000,0)</f>
        <v>0</v>
      </c>
      <c r="K36" s="110">
        <v>0.32291666666666702</v>
      </c>
      <c r="L36" s="211">
        <f>IF('Temperature Profiles'!G35&gt;17,(0.0068*('Temperature Profiles'!G35^2) - 0.2129*'Temperature Profiles'!G35 + 1.6904)*1000,0)</f>
        <v>0</v>
      </c>
      <c r="M36" s="21"/>
      <c r="N36" s="110">
        <v>0.32291666666666702</v>
      </c>
      <c r="O36" s="211">
        <f>IF('Temperature Profiles'!L35&gt;17,(0.0029*('Temperature Profiles'!L35^2) - 0.0863*'Temperature Profiles'!L35 + 0.6808)*1000,0)</f>
        <v>157.38181249999982</v>
      </c>
      <c r="P36" s="110">
        <v>0.32291666666666702</v>
      </c>
      <c r="Q36" s="211">
        <f>IF('Temperature Profiles'!L35&gt;17,(0.005*('Temperature Profiles'!L35^2) - 0.1517*'Temperature Profiles'!L35 + 1.1702)*1000,0)</f>
        <v>205.91062500000001</v>
      </c>
      <c r="R36" s="110">
        <v>0.32291666666666702</v>
      </c>
      <c r="S36" s="211">
        <f>IF('Temperature Profiles'!L35&gt;17,(0.0068*('Temperature Profiles'!L35^2) - 0.2129*'Temperature Profiles'!L35 + 1.6904)*1000,0)</f>
        <v>238.80674999999928</v>
      </c>
      <c r="T36" s="21"/>
      <c r="U36" s="110">
        <v>0.32291666666666702</v>
      </c>
      <c r="V36" s="211">
        <f>IF('Temperature Profiles'!Q35&gt;17,(0.0029*('Temperature Profiles'!Q35^2) - 0.0863*'Temperature Profiles'!Q35 + 0.6808)*1000,0)</f>
        <v>339.23403472222213</v>
      </c>
      <c r="W36" s="110">
        <v>0.32291666666666702</v>
      </c>
      <c r="X36" s="211">
        <f>IF('Temperature Profiles'!Q35&gt;17,(0.005*('Temperature Profiles'!Q35^2) - 0.1517*'Temperature Profiles'!Q35 + 1.1702)*1000,0)</f>
        <v>508.45118055555582</v>
      </c>
      <c r="Y36" s="110">
        <v>0.32291666666666702</v>
      </c>
      <c r="Z36" s="211">
        <f>IF('Temperature Profiles'!Q35&gt;17,(0.0068*('Temperature Profiles'!Q35^2) - 0.2129*'Temperature Profiles'!Q35 + 1.6904)*1000,0)</f>
        <v>625.33730555555553</v>
      </c>
      <c r="AA36" s="21"/>
      <c r="AB36" s="110">
        <v>0.32291666666666702</v>
      </c>
      <c r="AC36" s="211">
        <f>IF('Temperature Profiles'!V35&gt;17,(0.0029*('Temperature Profiles'!V35^2) - 0.0863*'Temperature Profiles'!V35 + 0.6808)*1000,0)</f>
        <v>54.375999999999756</v>
      </c>
      <c r="AD36" s="110">
        <v>0.32291666666666702</v>
      </c>
      <c r="AE36" s="211">
        <f>IF('Temperature Profiles'!V35&gt;17,(0.005*('Temperature Profiles'!V35^2) - 0.1517*'Temperature Profiles'!V35 + 1.1702)*1000,0)</f>
        <v>40.159999999999755</v>
      </c>
      <c r="AF36" s="110">
        <v>0.32291666666666702</v>
      </c>
      <c r="AG36" s="211">
        <f>IF('Temperature Profiles'!V35&gt;17,(0.0068*('Temperature Profiles'!V35^2) - 0.2129*'Temperature Profiles'!V35 + 1.6904)*1000,0)</f>
        <v>40.231999999999601</v>
      </c>
      <c r="AH36" s="21"/>
      <c r="AI36" s="110">
        <v>0.32291666666666702</v>
      </c>
      <c r="AJ36" s="211">
        <f>IF('Temperature Profiles'!AA35&gt;17,(0.0029*('Temperature Profiles'!AA35^2) - 0.0863*'Temperature Profiles'!AA35 + 0.6808)*1000,0)</f>
        <v>0</v>
      </c>
      <c r="AK36" s="110">
        <v>0.32291666666666702</v>
      </c>
      <c r="AL36" s="211">
        <f>IF('Temperature Profiles'!AA35&gt;17,(0.005*('Temperature Profiles'!AA35^2) - 0.1517*'Temperature Profiles'!AA35 + 1.1701)*1000,0)</f>
        <v>0</v>
      </c>
      <c r="AM36" s="110">
        <v>0.32291666666666702</v>
      </c>
      <c r="AN36" s="211">
        <f>IF('Temperature Profiles'!AA35&gt;17,(0.0068*('Temperature Profiles'!AA35^2) - 0.2129*'Temperature Profiles'!AA35 + 1.6904)*1000,0)</f>
        <v>0</v>
      </c>
      <c r="AO36" s="21"/>
      <c r="AP36" s="110">
        <v>0.32291666666666702</v>
      </c>
      <c r="AQ36" s="211">
        <f>IF('Temperature Profiles'!AF35&gt;17,(0.0029*('Temperature Profiles'!AF35^2) - 0.0863*'Temperature Profiles'!AF35 + 0.6808)*1000,0)</f>
        <v>396.32580555555506</v>
      </c>
      <c r="AR36" s="110">
        <v>0.32291666666666702</v>
      </c>
      <c r="AS36" s="183">
        <f>IF('Temperature Profiles'!AF35&gt;17,(0.005*('Temperature Profiles'!AF35^2) - 0.1517*'Temperature Profiles'!AF35 + 1.1702)*1000,0)</f>
        <v>604.19638888888858</v>
      </c>
      <c r="AT36" s="110">
        <v>0.32291666666666702</v>
      </c>
      <c r="AU36" s="211">
        <f>IF('Temperature Profiles'!AF35&gt;17,(0.0068*('Temperature Profiles'!AF35^2) - 0.2129*'Temperature Profiles'!AF35 + 1.6904)*1000,0)</f>
        <v>749.45688888888776</v>
      </c>
      <c r="AV36" s="21"/>
      <c r="AW36" s="110">
        <v>0.32291666666666702</v>
      </c>
      <c r="AX36" s="211"/>
      <c r="AY36" s="21"/>
      <c r="AZ36" s="110">
        <v>0.32291666666666702</v>
      </c>
      <c r="BA36" s="264"/>
      <c r="BC36" s="260">
        <v>0.32291666666666702</v>
      </c>
      <c r="BD36" s="211">
        <f>IF('Temperature Profiles'!G35&lt;16,(-0.0037*'Temperature Profiles'!G35+0.0664)*1000,0)</f>
        <v>13.829166666666657</v>
      </c>
      <c r="BE36" s="110">
        <v>0.32291666666666702</v>
      </c>
      <c r="BF36" s="211">
        <f>IF('Temperature Profiles'!G35&lt;16,(-0.0076*'Temperature Profiles'!G35+0.1245)*1000,0)</f>
        <v>16.516666666666652</v>
      </c>
      <c r="BG36" s="110">
        <v>0.32291666666666702</v>
      </c>
      <c r="BH36" s="211">
        <f>IF('Temperature Profiles'!G35&lt;16,(-0.01*'Temperature Profiles'!G35+0.167)*1000,0)</f>
        <v>24.916666666666643</v>
      </c>
      <c r="BI36" s="21"/>
      <c r="BJ36" s="110">
        <v>0.32291666666666702</v>
      </c>
      <c r="BK36" s="211">
        <f>IF('Temperature Profiles'!L35&lt;16,(-0.0037*'Temperature Profiles'!L35+0.0664)*1000,0)</f>
        <v>0</v>
      </c>
      <c r="BL36" s="110">
        <v>0.32291666666666702</v>
      </c>
      <c r="BM36" s="211">
        <f>IF('Temperature Profiles'!L35&lt;16,(-0.0076*'Temperature Profiles'!L35+0.1245)*1000,0)</f>
        <v>0</v>
      </c>
      <c r="BN36" s="110">
        <v>0.32291666666666702</v>
      </c>
      <c r="BO36" s="211">
        <f>IF('Temperature Profiles'!L35&lt;16,(-0.01*'Temperature Profiles'!L35+0.167)*1000,0)</f>
        <v>0</v>
      </c>
      <c r="BP36" s="21"/>
      <c r="BQ36" s="110">
        <v>0.32291666666666702</v>
      </c>
      <c r="BR36" s="211">
        <f>IF('Temperature Profiles'!Q35&lt;16,(-0.0037*'Temperature Profiles'!Q35+0.0664)*1000,0)</f>
        <v>0</v>
      </c>
      <c r="BS36" s="110">
        <v>0.32291666666666702</v>
      </c>
      <c r="BT36" s="211">
        <f>IF('Temperature Profiles'!Q35&lt;16,(-0.0076*'Temperature Profiles'!Q35+0.1245)*1000,0)</f>
        <v>0</v>
      </c>
      <c r="BU36" s="110">
        <v>0.32291666666666702</v>
      </c>
      <c r="BV36" s="211">
        <f>IF('Temperature Profiles'!Q35&lt;16,(-0.01*'Temperature Profiles'!Q35+0.167)*1000,0)</f>
        <v>0</v>
      </c>
      <c r="BW36" s="21"/>
      <c r="BX36" s="110">
        <v>0.32291666666666702</v>
      </c>
      <c r="BY36" s="211">
        <f>IF('Temperature Profiles'!V35&lt;16,(-0.0037*'Temperature Profiles'!V35+0.0664)*1000,0)</f>
        <v>0</v>
      </c>
      <c r="BZ36" s="110">
        <v>0.32291666666666702</v>
      </c>
      <c r="CA36" s="211">
        <f>IF('Temperature Profiles'!V35&lt;16,(-0.0076*'Temperature Profiles'!V35+0.1245)*1000,0)</f>
        <v>0</v>
      </c>
      <c r="CB36" s="110">
        <v>0.32291666666666702</v>
      </c>
      <c r="CC36" s="211">
        <f>IF('Temperature Profiles'!V35&lt;16,(-0.01*'Temperature Profiles'!V35+0.167)*1000,0)</f>
        <v>0</v>
      </c>
      <c r="CD36" s="21"/>
      <c r="CE36" s="110">
        <v>0.32291666666666702</v>
      </c>
      <c r="CF36" s="211">
        <f>IF('Temperature Profiles'!AA35&lt;16,(-0.0037*'Temperature Profiles'!AA35+0.0664)*1000,0)</f>
        <v>133.92500000000001</v>
      </c>
      <c r="CG36" s="110">
        <v>0.32291666666666702</v>
      </c>
      <c r="CH36" s="178">
        <f>IF('Temperature Profiles'!AA35&lt;16,(-0.0076*'Temperature Profiles'!AA35+0.1245)*1000,0)</f>
        <v>263.2</v>
      </c>
      <c r="CI36" s="110">
        <v>0.32291666666666702</v>
      </c>
      <c r="CJ36" s="211">
        <f>IF('Temperature Profiles'!AA35&lt;16,(-0.01*'Temperature Profiles'!AA35+0.167)*1000,0)</f>
        <v>349.50000000000006</v>
      </c>
      <c r="CK36" s="21"/>
      <c r="CL36" s="110">
        <v>0.32291666666666702</v>
      </c>
      <c r="CM36" s="211">
        <f>IF('Temperature Profiles'!AF35&lt;16,(-0.0037*'Temperature Profiles'!AF35+0.0664)*1000,0)</f>
        <v>0</v>
      </c>
      <c r="CN36" s="110">
        <v>0.32291666666666702</v>
      </c>
      <c r="CO36" s="178">
        <f>IF('Temperature Profiles'!AF35&lt;16,(-0.0076*'Temperature Profiles'!AF35+0.1245)*1000,0)</f>
        <v>0</v>
      </c>
      <c r="CP36" s="110">
        <v>0.32291666666666702</v>
      </c>
      <c r="CQ36" s="211">
        <f>IF('Temperature Profiles'!AF35&lt;16,(-0.01*'Temperature Profiles'!AF35+0.167)*1000,0)</f>
        <v>0</v>
      </c>
      <c r="CR36" s="21"/>
      <c r="CS36" s="110">
        <v>0.32291666666666702</v>
      </c>
      <c r="CT36" s="211"/>
      <c r="CU36" s="21"/>
      <c r="CV36" s="110">
        <v>0.32291666666666702</v>
      </c>
      <c r="CW36" s="264"/>
      <c r="CY36" s="260">
        <v>0.32291666666666702</v>
      </c>
      <c r="CZ36" s="178">
        <f>IF('Temperature Profiles'!G35&gt;18,(0.0024*('Temperature Profiles'!G35^2)-0.0581*'Temperature Profiles'!G35+0.3293)*1000,IF('Temperature Profiles'!G35&lt;17,(0.0022*('Temperature Profiles'!G35^2)-0.0874*'Temperature Profiles'!G35+0.9301)*1000,0))</f>
        <v>132.42048611111102</v>
      </c>
      <c r="DA36" s="110">
        <v>0.32291666666666702</v>
      </c>
      <c r="DB36" s="263">
        <f>IF('Temperature Profiles'!G35&gt;18,(0.0043*('Temperature Profiles'!G35^2)-0.1116*'Temperature Profiles'!G35+0.6576)*1000,IF('Temperature Profiles'!G35&lt;17,(0.0053*('Temperature Profiles'!G35^2)-0.1876*'Temperature Profiles'!G35+1.7649)*1000,0))</f>
        <v>169.36336805555575</v>
      </c>
      <c r="DC36" s="110">
        <v>0.32291666666666702</v>
      </c>
      <c r="DD36" s="211">
        <f>IF('Temperature Profiles'!G35&gt;18,(0.0057*('Temperature Profiles'!G35^2)-0.1509*'Temperature Profiles'!G35+0.8935)*1000,IF('Temperature Profiles'!G35&lt;17,(0.0072*('Temperature Profiles'!G35^2)-0.254*'Temperature Profiles'!G35+2.3952)*1000,0))</f>
        <v>239.79583333333298</v>
      </c>
      <c r="DE36" s="21"/>
      <c r="DF36" s="110">
        <v>0.32291666666666702</v>
      </c>
      <c r="DG36" s="209">
        <f>IF('Temperature Profiles'!L35&gt;18,(0.0024*('Temperature Profiles'!L35^2)-0.0581*'Temperature Profiles'!L35+0.3293)*1000,IF('Temperature Profiles'!L35&lt;17,(0.0022*('Temperature Profiles'!L35^2)-0.0874*'Temperature Profiles'!L35+0.9301)*1000,0))</f>
        <v>179.52399999999986</v>
      </c>
      <c r="DH36" s="110">
        <v>0.32291666666666702</v>
      </c>
      <c r="DI36" s="209">
        <f>IF('Temperature Profiles'!L35&gt;18,(0.0043*('Temperature Profiles'!L35^2)-0.1116*'Temperature Profiles'!L35+0.6576)*1000,IF('Temperature Profiles'!L35&lt;17,(0.0053*('Temperature Profiles'!L35^2)-0.1876*'Temperature Profiles'!L35+1.7649)*1000,0))</f>
        <v>229.6001875</v>
      </c>
      <c r="DJ36" s="110">
        <v>0.32291666666666702</v>
      </c>
      <c r="DK36" s="211">
        <f>IF('Temperature Profiles'!L35&gt;18,(0.0057*('Temperature Profiles'!L35^2)-0.1509*'Temperature Profiles'!L35+0.8935)*1000,IF('Temperature Profiles'!L35&lt;17,(0.0072*('Temperature Profiles'!L35^2)-0.254*'Temperature Profiles'!L35+2.3952)*1000,0))</f>
        <v>263.06856249999998</v>
      </c>
      <c r="DL36" s="21"/>
      <c r="DM36" s="110">
        <v>0.32291666666666702</v>
      </c>
      <c r="DN36" s="209">
        <f>IF('Temperature Profiles'!Q35&gt;18,(0.0024*('Temperature Profiles'!Q35^2)-0.0581*'Temperature Profiles'!Q35+0.3293)*1000,IF('Temperature Profiles'!Q35&lt;17,(0.0022*('Temperature Profiles'!Q35^2)-0.0874*'Temperature Profiles'!Q35+0.9301)*1000,0))</f>
        <v>380.41899999999987</v>
      </c>
      <c r="DO36" s="110">
        <v>0.32291666666666702</v>
      </c>
      <c r="DP36" s="209">
        <f>IF('Temperature Profiles'!Q35&gt;18,(0.0043*('Temperature Profiles'!Q35^2)-0.1116*'Temperature Profiles'!Q35+0.6576)*1000,IF('Temperature Profiles'!Q35&lt;17,(0.0053*('Temperature Profiles'!Q35^2)-0.1876*'Temperature Profiles'!Q35+1.7649)*1000,0))</f>
        <v>561.14629861111132</v>
      </c>
      <c r="DQ36" s="110">
        <v>0.32291666666666702</v>
      </c>
      <c r="DR36" s="211">
        <f>IF('Temperature Profiles'!Q35&gt;18,(0.0057*('Temperature Profiles'!Q35^2)-0.1509*'Temperature Profiles'!Q35+0.8935)*1000,IF('Temperature Profiles'!Q35&lt;17,(0.0072*('Temperature Profiles'!Q35^2)-0.254*'Temperature Profiles'!Q35+2.3952)*1000,0))</f>
        <v>691.34189583333375</v>
      </c>
      <c r="DS36" s="21"/>
      <c r="DT36" s="110">
        <v>0.32291666666666702</v>
      </c>
      <c r="DU36" s="209">
        <f>IF('Temperature Profiles'!V35&gt;18,(0.0024*('Temperature Profiles'!V35^2)-0.0581*'Temperature Profiles'!V35+0.3293)*1000,IF('Temperature Profiles'!V35&lt;17,(0.0022*('Temperature Profiles'!V35^2)-0.0874*'Temperature Profiles'!V35+0.9301)*1000,0))</f>
        <v>0</v>
      </c>
      <c r="DV36" s="110">
        <v>0.32291666666666702</v>
      </c>
      <c r="DW36" s="209">
        <f>IF('Temperature Profiles'!V35&gt;18,(0.0043*('Temperature Profiles'!V35^2)-0.1116*'Temperature Profiles'!V35+0.6576)*1000,IF('Temperature Profiles'!V35&lt;17,(0.0053*('Temperature Profiles'!V35^2)-0.1876*'Temperature Profiles'!V35+1.7649)*1000,0))</f>
        <v>0</v>
      </c>
      <c r="DX36" s="110">
        <v>0.32291666666666702</v>
      </c>
      <c r="DY36" s="211">
        <f>IF('Temperature Profiles'!V35&gt;18,(0.0057*('Temperature Profiles'!V35^2)-0.1509*'Temperature Profiles'!V35+0.8935)*1000,IF('Temperature Profiles'!V35&lt;17,(0.0072*('Temperature Profiles'!V35^2)-0.254*'Temperature Profiles'!V35+2.3952)*1000,0))</f>
        <v>0</v>
      </c>
      <c r="DZ36" s="21"/>
      <c r="EA36" s="110">
        <v>0.32291666666666702</v>
      </c>
      <c r="EB36" s="209">
        <f>IF('Temperature Profiles'!AA134&gt;18,(0.0024*('Temperature Profiles'!AA134^2)-0.0581*'Temperature Profiles'!AA134+0.3293)*1000,IF('Temperature Profiles'!AA134&lt;17,(0.0022*('Temperature Profiles'!AA134^2)-0.0874*'Temperature Profiles'!AA134+0.9301)*1000,0))</f>
        <v>863.68637499999988</v>
      </c>
      <c r="EC36" s="110">
        <v>0.32291666666666702</v>
      </c>
      <c r="ED36" s="209">
        <f>IF('Temperature Profiles'!AA134&gt;18,(0.0043*('Temperature Profiles'!AA134^2)-0.1116*'Temperature Profiles'!AA134+0.6576)*1000,IF('Temperature Profiles'!AA134&lt;17,(0.0053*('Temperature Profiles'!AA134^2)-0.1876*'Temperature Profiles'!AA134+1.7649)*1000,0))</f>
        <v>1622.6933124999996</v>
      </c>
      <c r="EE36" s="110">
        <v>0.32291666666666702</v>
      </c>
      <c r="EF36" s="211">
        <f>IF('Temperature Profiles'!AA134&gt;18,(0.0057*('Temperature Profiles'!AA134^2)-0.1509*'Temperature Profiles'!AA134+0.8935)*1000,IF('Temperature Profiles'!AA134&lt;17,(0.0072*('Temperature Profiles'!AA134^2)-0.254*'Temperature Profiles'!AA134+2.3952)*1000,0))</f>
        <v>2202.6744999999996</v>
      </c>
      <c r="EG36" s="21"/>
      <c r="EH36" s="110">
        <v>0.32291666666666702</v>
      </c>
      <c r="EI36" s="211">
        <f>IF('Temperature Profiles'!AF35&gt;18,(0.0024*('Temperature Profiles'!AF35^2)-0.0581*'Temperature Profiles'!AF35+0.3293)*1000,IF('Temperature Profiles'!AF35&lt;17,(0.0022*('Temperature Profiles'!AF35^2)-0.0874*'Temperature Profiles'!AF35+0.9301)*1000,0))</f>
        <v>439.98899999999981</v>
      </c>
      <c r="EJ36" s="110">
        <v>0.32291666666666702</v>
      </c>
      <c r="EK36" s="211">
        <f>IF('Temperature Profiles'!AF35&gt;18,(0.0043*('Temperature Profiles'!AF35^2)-0.1116*'Temperature Profiles'!AF35+0.6576)*1000,IF('Temperature Profiles'!AF35&lt;17,(0.0053*('Temperature Profiles'!AF35^2)-0.1876*'Temperature Profiles'!AF35+1.7649)*1000,0))</f>
        <v>660.93452777777713</v>
      </c>
      <c r="EL36" s="110">
        <v>0.32291666666666702</v>
      </c>
      <c r="EM36" s="211">
        <f>IF('Temperature Profiles'!AF35&gt;18,(0.0057*('Temperature Profiles'!AF35^2)-0.1509*'Temperature Profiles'!AF35+0.8935)*1000,IF('Temperature Profiles'!AF35&lt;17,(0.0072*('Temperature Profiles'!AF35^2)-0.254*'Temperature Profiles'!AF35+2.3952)*1000,0))</f>
        <v>820.87658333333286</v>
      </c>
      <c r="EN36" s="21"/>
      <c r="EO36" s="110">
        <v>0.32291666666666702</v>
      </c>
      <c r="EP36" s="211"/>
      <c r="EQ36" s="21"/>
      <c r="ER36" s="110">
        <v>0.32291666666666702</v>
      </c>
      <c r="ES36" s="264"/>
      <c r="EU36" s="260">
        <v>0.32291666666666702</v>
      </c>
      <c r="EV36" s="209">
        <f>IF('Temperature Profiles'!AA134&gt;18,(0.0024*('Temperature Profiles'!AA134^2)-0.0581*'Temperature Profiles'!AA134+0.3293)*1000,IF('Temperature Profiles'!AA134&lt;17,(0.0022*('Temperature Profiles'!AA134^2)-0.0874*'Temperature Profiles'!AA134+0.9301)*1000,0))</f>
        <v>863.68637499999988</v>
      </c>
      <c r="EW36" s="110">
        <v>0.32291666666666702</v>
      </c>
      <c r="EX36" s="209">
        <f>IF('Temperature Profiles'!AA134&gt;18,(0.0043*('Temperature Profiles'!AA134^2)-0.1116*'Temperature Profiles'!AA134+0.6576)*1000,IF('Temperature Profiles'!AA134&lt;17,(0.0053*('Temperature Profiles'!AA134^2)-0.1876*'Temperature Profiles'!AA134+1.7649)*1000,0))</f>
        <v>1622.6933124999996</v>
      </c>
      <c r="EY36" s="110">
        <v>0.32291666666666702</v>
      </c>
      <c r="EZ36" s="264">
        <f>IF('Temperature Profiles'!AA134&gt;18,(0.0057*('Temperature Profiles'!AA134^2)-0.1509*'Temperature Profiles'!AA134+0.8935)*1000,IF('Temperature Profiles'!AA134&lt;17,(0.0072*('Temperature Profiles'!AA134^2)-0.254*'Temperature Profiles'!AA134+2.3952)*1000,0))</f>
        <v>2202.6744999999996</v>
      </c>
    </row>
    <row r="37" spans="1:156" x14ac:dyDescent="0.3">
      <c r="A37" s="108">
        <v>0.32291666666666702</v>
      </c>
      <c r="B37" s="226">
        <f t="shared" si="0"/>
        <v>0</v>
      </c>
      <c r="C37" s="21">
        <f t="shared" si="1"/>
        <v>349.50000000000006</v>
      </c>
      <c r="D37" s="20">
        <f t="shared" si="2"/>
        <v>2202.6744999999996</v>
      </c>
      <c r="E37" s="20">
        <f t="shared" si="3"/>
        <v>2202.6744999999996</v>
      </c>
      <c r="G37" s="260">
        <v>0.33333333333333298</v>
      </c>
      <c r="H37" s="211">
        <f>IF('Temperature Profiles'!G36&gt;17,(0.0029*('Temperature Profiles'!G36^2) - 0.0863*'Temperature Profiles'!G36 + 0.6808)*1000,0)</f>
        <v>0</v>
      </c>
      <c r="I37" s="110">
        <v>0.33333333333333298</v>
      </c>
      <c r="J37" s="211">
        <f>IF('Temperature Profiles'!G36&gt;17,(0.005*('Temperature Profiles'!G36^2) - 0.1517*'Temperature Profiles'!G36 + 1.1702)*1000,0)</f>
        <v>0</v>
      </c>
      <c r="K37" s="110">
        <v>0.33333333333333298</v>
      </c>
      <c r="L37" s="211">
        <f>IF('Temperature Profiles'!G36&gt;17,(0.0068*('Temperature Profiles'!G36^2) - 0.2129*'Temperature Profiles'!G36 + 1.6904)*1000,0)</f>
        <v>0</v>
      </c>
      <c r="M37" s="21"/>
      <c r="N37" s="110">
        <v>0.33333333333333298</v>
      </c>
      <c r="O37" s="211">
        <f>IF('Temperature Profiles'!L36&gt;17,(0.0029*('Temperature Profiles'!L36^2) - 0.0863*'Temperature Profiles'!L36 + 0.6808)*1000,0)</f>
        <v>246.02222222222224</v>
      </c>
      <c r="P37" s="110">
        <v>0.33333333333333298</v>
      </c>
      <c r="Q37" s="211">
        <f>IF('Temperature Profiles'!L36&gt;17,(0.005*('Temperature Profiles'!L36^2) - 0.1517*'Temperature Profiles'!L36 + 1.1702)*1000,0)</f>
        <v>352.75555555555547</v>
      </c>
      <c r="R37" s="110">
        <v>0.33333333333333298</v>
      </c>
      <c r="S37" s="211">
        <f>IF('Temperature Profiles'!L36&gt;17,(0.0068*('Temperature Profiles'!L36^2) - 0.2129*'Temperature Profiles'!L36 + 1.6904)*1000,0)</f>
        <v>424.95555555555552</v>
      </c>
      <c r="T37" s="21"/>
      <c r="U37" s="110">
        <v>0.33333333333333298</v>
      </c>
      <c r="V37" s="211">
        <f>IF('Temperature Profiles'!Q36&gt;17,(0.0029*('Temperature Profiles'!Q36^2) - 0.0863*'Temperature Profiles'!Q36 + 0.6808)*1000,0)</f>
        <v>392.04513888888891</v>
      </c>
      <c r="W37" s="110">
        <v>0.33333333333333298</v>
      </c>
      <c r="X37" s="211">
        <f>IF('Temperature Profiles'!Q36&gt;17,(0.005*('Temperature Profiles'!Q36^2) - 0.1517*'Temperature Profiles'!Q36 + 1.1702)*1000,0)</f>
        <v>597.00972222222242</v>
      </c>
      <c r="Y37" s="110">
        <v>0.33333333333333298</v>
      </c>
      <c r="Z37" s="211">
        <f>IF('Temperature Profiles'!Q36&gt;17,(0.0068*('Temperature Profiles'!Q36^2) - 0.2129*'Temperature Profiles'!Q36 + 1.6904)*1000,0)</f>
        <v>740.12222222222283</v>
      </c>
      <c r="AA37" s="21"/>
      <c r="AB37" s="110">
        <v>0.33333333333333298</v>
      </c>
      <c r="AC37" s="211">
        <f>IF('Temperature Profiles'!V36&gt;17,(0.0029*('Temperature Profiles'!V36^2) - 0.0863*'Temperature Profiles'!V36 + 0.6808)*1000,0)</f>
        <v>55.171034722222181</v>
      </c>
      <c r="AD37" s="110">
        <v>0.33333333333333298</v>
      </c>
      <c r="AE37" s="211">
        <f>IF('Temperature Profiles'!V36&gt;17,(0.005*('Temperature Profiles'!V36^2) - 0.1517*'Temperature Profiles'!V36 + 1.1702)*1000,0)</f>
        <v>41.361180555555599</v>
      </c>
      <c r="AF37" s="110">
        <v>0.33333333333333298</v>
      </c>
      <c r="AG37" s="211">
        <f>IF('Temperature Profiles'!V36&gt;17,(0.0068*('Temperature Profiles'!V36^2) - 0.2129*'Temperature Profiles'!V36 + 1.6904)*1000,0)</f>
        <v>41.481305555555181</v>
      </c>
      <c r="AH37" s="21"/>
      <c r="AI37" s="110">
        <v>0.33333333333333298</v>
      </c>
      <c r="AJ37" s="211">
        <f>IF('Temperature Profiles'!AA36&gt;17,(0.0029*('Temperature Profiles'!AA36^2) - 0.0863*'Temperature Profiles'!AA36 + 0.6808)*1000,0)</f>
        <v>0</v>
      </c>
      <c r="AK37" s="110">
        <v>0.33333333333333298</v>
      </c>
      <c r="AL37" s="211">
        <f>IF('Temperature Profiles'!AA36&gt;17,(0.005*('Temperature Profiles'!AA36^2) - 0.1517*'Temperature Profiles'!AA36 + 1.1701)*1000,0)</f>
        <v>0</v>
      </c>
      <c r="AM37" s="110">
        <v>0.33333333333333298</v>
      </c>
      <c r="AN37" s="211">
        <f>IF('Temperature Profiles'!AA36&gt;17,(0.0068*('Temperature Profiles'!AA36^2) - 0.2129*'Temperature Profiles'!AA36 + 1.6904)*1000,0)</f>
        <v>0</v>
      </c>
      <c r="AO37" s="21"/>
      <c r="AP37" s="110">
        <v>0.33333333333333298</v>
      </c>
      <c r="AQ37" s="211">
        <f>IF('Temperature Profiles'!AF36&gt;17,(0.0029*('Temperature Profiles'!AF36^2) - 0.0863*'Temperature Profiles'!AF36 + 0.6808)*1000,0)</f>
        <v>477.78580555555584</v>
      </c>
      <c r="AR37" s="110">
        <v>0.33333333333333298</v>
      </c>
      <c r="AS37" s="183">
        <f>IF('Temperature Profiles'!AF36&gt;17,(0.005*('Temperature Profiles'!AF36^2) - 0.1517*'Temperature Profiles'!AF36 + 1.1702)*1000,0)</f>
        <v>741.15638888888964</v>
      </c>
      <c r="AT37" s="110">
        <v>0.33333333333333298</v>
      </c>
      <c r="AU37" s="211">
        <f>IF('Temperature Profiles'!AF36&gt;17,(0.0068*('Temperature Profiles'!AF36^2) - 0.2129*'Temperature Profiles'!AF36 + 1.6904)*1000,0)</f>
        <v>927.81688888888914</v>
      </c>
      <c r="AV37" s="21"/>
      <c r="AW37" s="110">
        <v>0.33333333333333298</v>
      </c>
      <c r="AX37" s="211"/>
      <c r="AY37" s="21"/>
      <c r="AZ37" s="110">
        <v>0.33333333333333298</v>
      </c>
      <c r="BA37" s="264"/>
      <c r="BC37" s="260">
        <v>0.33333333333333298</v>
      </c>
      <c r="BD37" s="211">
        <f>IF('Temperature Profiles'!G36&lt;16,(-0.0037*'Temperature Profiles'!G36+0.0664)*1000,0)</f>
        <v>9.1733333333333249</v>
      </c>
      <c r="BE37" s="110">
        <v>0.33333333333333298</v>
      </c>
      <c r="BF37" s="211">
        <f>IF('Temperature Profiles'!G36&lt;16,(-0.0076*'Temperature Profiles'!G36+0.1245)*1000,0)</f>
        <v>6.9533333333333252</v>
      </c>
      <c r="BG37" s="110">
        <v>0.33333333333333298</v>
      </c>
      <c r="BH37" s="211">
        <f>IF('Temperature Profiles'!G36&lt;16,(-0.01*'Temperature Profiles'!G36+0.167)*1000,0)</f>
        <v>12.333333333333307</v>
      </c>
      <c r="BI37" s="21"/>
      <c r="BJ37" s="110">
        <v>0.33333333333333298</v>
      </c>
      <c r="BK37" s="211">
        <f>IF('Temperature Profiles'!L36&lt;16,(-0.0037*'Temperature Profiles'!L36+0.0664)*1000,0)</f>
        <v>0</v>
      </c>
      <c r="BL37" s="110">
        <v>0.33333333333333298</v>
      </c>
      <c r="BM37" s="211">
        <f>IF('Temperature Profiles'!L36&lt;16,(-0.0076*'Temperature Profiles'!L36+0.1245)*1000,0)</f>
        <v>0</v>
      </c>
      <c r="BN37" s="110">
        <v>0.33333333333333298</v>
      </c>
      <c r="BO37" s="211">
        <f>IF('Temperature Profiles'!L36&lt;16,(-0.01*'Temperature Profiles'!L36+0.167)*1000,0)</f>
        <v>0</v>
      </c>
      <c r="BP37" s="21"/>
      <c r="BQ37" s="110">
        <v>0.33333333333333298</v>
      </c>
      <c r="BR37" s="211">
        <f>IF('Temperature Profiles'!Q36&lt;16,(-0.0037*'Temperature Profiles'!Q36+0.0664)*1000,0)</f>
        <v>0</v>
      </c>
      <c r="BS37" s="110">
        <v>0.33333333333333298</v>
      </c>
      <c r="BT37" s="211">
        <f>IF('Temperature Profiles'!Q36&lt;16,(-0.0076*'Temperature Profiles'!Q36+0.1245)*1000,0)</f>
        <v>0</v>
      </c>
      <c r="BU37" s="110">
        <v>0.33333333333333298</v>
      </c>
      <c r="BV37" s="211">
        <f>IF('Temperature Profiles'!Q36&lt;16,(-0.01*'Temperature Profiles'!Q36+0.167)*1000,0)</f>
        <v>0</v>
      </c>
      <c r="BW37" s="21"/>
      <c r="BX37" s="110">
        <v>0.33333333333333298</v>
      </c>
      <c r="BY37" s="211">
        <f>IF('Temperature Profiles'!V36&lt;16,(-0.0037*'Temperature Profiles'!V36+0.0664)*1000,0)</f>
        <v>0</v>
      </c>
      <c r="BZ37" s="110">
        <v>0.33333333333333298</v>
      </c>
      <c r="CA37" s="211">
        <f>IF('Temperature Profiles'!V36&lt;16,(-0.0076*'Temperature Profiles'!V36+0.1245)*1000,0)</f>
        <v>0</v>
      </c>
      <c r="CB37" s="110">
        <v>0.33333333333333298</v>
      </c>
      <c r="CC37" s="211">
        <f>IF('Temperature Profiles'!V36&lt;16,(-0.01*'Temperature Profiles'!V36+0.167)*1000,0)</f>
        <v>0</v>
      </c>
      <c r="CD37" s="21"/>
      <c r="CE37" s="110">
        <v>0.33333333333333298</v>
      </c>
      <c r="CF37" s="211">
        <f>IF('Temperature Profiles'!AA36&lt;16,(-0.0037*'Temperature Profiles'!AA36+0.0664)*1000,0)</f>
        <v>128.59083333333331</v>
      </c>
      <c r="CG37" s="110">
        <v>0.33333333333333298</v>
      </c>
      <c r="CH37" s="178">
        <f>IF('Temperature Profiles'!AA36&lt;16,(-0.0076*'Temperature Profiles'!AA36+0.1245)*1000,0)</f>
        <v>252.24333333333337</v>
      </c>
      <c r="CI37" s="110">
        <v>0.33333333333333298</v>
      </c>
      <c r="CJ37" s="211">
        <f>IF('Temperature Profiles'!AA36&lt;16,(-0.01*'Temperature Profiles'!AA36+0.167)*1000,0)</f>
        <v>335.08333333333337</v>
      </c>
      <c r="CK37" s="21"/>
      <c r="CL37" s="110">
        <v>0.33333333333333298</v>
      </c>
      <c r="CM37" s="211">
        <f>IF('Temperature Profiles'!AF36&lt;16,(-0.0037*'Temperature Profiles'!AF36+0.0664)*1000,0)</f>
        <v>0</v>
      </c>
      <c r="CN37" s="110">
        <v>0.33333333333333298</v>
      </c>
      <c r="CO37" s="178">
        <f>IF('Temperature Profiles'!AF36&lt;16,(-0.0076*'Temperature Profiles'!AF36+0.1245)*1000,0)</f>
        <v>0</v>
      </c>
      <c r="CP37" s="110">
        <v>0.33333333333333298</v>
      </c>
      <c r="CQ37" s="211">
        <f>IF('Temperature Profiles'!AF36&lt;16,(-0.01*'Temperature Profiles'!AF36+0.167)*1000,0)</f>
        <v>0</v>
      </c>
      <c r="CR37" s="21"/>
      <c r="CS37" s="110">
        <v>0.33333333333333298</v>
      </c>
      <c r="CT37" s="211"/>
      <c r="CU37" s="21"/>
      <c r="CV37" s="110">
        <v>0.33333333333333298</v>
      </c>
      <c r="CW37" s="264"/>
      <c r="CY37" s="260">
        <v>0.33333333333333298</v>
      </c>
      <c r="CZ37" s="178">
        <f>IF('Temperature Profiles'!G36&gt;18,(0.0024*('Temperature Profiles'!G36^2)-0.0581*'Temperature Profiles'!G36+0.3293)*1000,IF('Temperature Profiles'!G36&lt;17,(0.0022*('Temperature Profiles'!G36^2)-0.0874*'Temperature Profiles'!G36+0.9301)*1000,0))</f>
        <v>104.59244444444438</v>
      </c>
      <c r="DA37" s="110">
        <v>0.33333333333333298</v>
      </c>
      <c r="DB37" s="263">
        <f>IF('Temperature Profiles'!G36&gt;18,(0.0043*('Temperature Profiles'!G36^2)-0.1116*'Temperature Profiles'!G36+0.6576)*1000,IF('Temperature Profiles'!G36&lt;17,(0.0053*('Temperature Profiles'!G36^2)-0.1876*'Temperature Profiles'!G36+1.7649)*1000,0))</f>
        <v>131.20755555555542</v>
      </c>
      <c r="DC37" s="110">
        <v>0.33333333333333298</v>
      </c>
      <c r="DD37" s="211">
        <f>IF('Temperature Profiles'!G36&gt;18,(0.0057*('Temperature Profiles'!G36^2)-0.1509*'Temperature Profiles'!G36+0.8935)*1000,IF('Temperature Profiles'!G36&lt;17,(0.0072*('Temperature Profiles'!G36^2)-0.254*'Temperature Profiles'!G36+2.3952)*1000,0))</f>
        <v>189.03466666666668</v>
      </c>
      <c r="DE37" s="21"/>
      <c r="DF37" s="110">
        <v>0.33333333333333298</v>
      </c>
      <c r="DG37" s="209">
        <f>IF('Temperature Profiles'!L36&gt;18,(0.0024*('Temperature Profiles'!L36^2)-0.0581*'Temperature Profiles'!L36+0.3293)*1000,IF('Temperature Profiles'!L36&lt;17,(0.0022*('Temperature Profiles'!L36^2)-0.0874*'Temperature Profiles'!L36+0.9301)*1000,0))</f>
        <v>280.30000000000007</v>
      </c>
      <c r="DH37" s="110">
        <v>0.33333333333333298</v>
      </c>
      <c r="DI37" s="209">
        <f>IF('Temperature Profiles'!L36&gt;18,(0.0043*('Temperature Profiles'!L36^2)-0.1116*'Temperature Profiles'!L36+0.6576)*1000,IF('Temperature Profiles'!L36&lt;17,(0.0053*('Temperature Profiles'!L36^2)-0.1876*'Temperature Profiles'!L36+1.7649)*1000,0))</f>
        <v>394.71111111111099</v>
      </c>
      <c r="DJ37" s="110">
        <v>0.33333333333333298</v>
      </c>
      <c r="DK37" s="211">
        <f>IF('Temperature Profiles'!L36&gt;18,(0.0057*('Temperature Profiles'!L36^2)-0.1509*'Temperature Profiles'!L36+0.8935)*1000,IF('Temperature Profiles'!L36&lt;17,(0.0072*('Temperature Profiles'!L36^2)-0.254*'Temperature Profiles'!L36+2.3952)*1000,0))</f>
        <v>475.833333333334</v>
      </c>
      <c r="DL37" s="21"/>
      <c r="DM37" s="110">
        <v>0.33333333333333298</v>
      </c>
      <c r="DN37" s="209">
        <f>IF('Temperature Profiles'!Q36&gt;18,(0.0024*('Temperature Profiles'!Q36^2)-0.0581*'Temperature Profiles'!Q36+0.3293)*1000,IF('Temperature Profiles'!Q36&lt;17,(0.0022*('Temperature Profiles'!Q36^2)-0.0874*'Temperature Profiles'!Q36+0.9301)*1000,0))</f>
        <v>435.55833333333356</v>
      </c>
      <c r="DO37" s="110">
        <v>0.33333333333333298</v>
      </c>
      <c r="DP37" s="209">
        <f>IF('Temperature Profiles'!Q36&gt;18,(0.0043*('Temperature Profiles'!Q36^2)-0.1116*'Temperature Profiles'!Q36+0.6576)*1000,IF('Temperature Profiles'!Q36&lt;17,(0.0053*('Temperature Profiles'!Q36^2)-0.1876*'Temperature Profiles'!Q36+1.7649)*1000,0))</f>
        <v>653.49652777777806</v>
      </c>
      <c r="DQ37" s="110">
        <v>0.33333333333333298</v>
      </c>
      <c r="DR37" s="211">
        <f>IF('Temperature Profiles'!Q36&gt;18,(0.0057*('Temperature Profiles'!Q36^2)-0.1509*'Temperature Profiles'!Q36+0.8935)*1000,IF('Temperature Profiles'!Q36&lt;17,(0.0072*('Temperature Profiles'!Q36^2)-0.254*'Temperature Profiles'!Q36+2.3952)*1000,0))</f>
        <v>811.21458333333374</v>
      </c>
      <c r="DS37" s="21"/>
      <c r="DT37" s="110">
        <v>0.33333333333333298</v>
      </c>
      <c r="DU37" s="209">
        <f>IF('Temperature Profiles'!V36&gt;18,(0.0024*('Temperature Profiles'!V36^2)-0.0581*'Temperature Profiles'!V36+0.3293)*1000,IF('Temperature Profiles'!V36&lt;17,(0.0022*('Temperature Profiles'!V36^2)-0.0874*'Temperature Profiles'!V36+0.9301)*1000,0))</f>
        <v>0</v>
      </c>
      <c r="DV37" s="110">
        <v>0.33333333333333298</v>
      </c>
      <c r="DW37" s="209">
        <f>IF('Temperature Profiles'!V36&gt;18,(0.0043*('Temperature Profiles'!V36^2)-0.1116*'Temperature Profiles'!V36+0.6576)*1000,IF('Temperature Profiles'!V36&lt;17,(0.0053*('Temperature Profiles'!V36^2)-0.1876*'Temperature Profiles'!V36+1.7649)*1000,0))</f>
        <v>0</v>
      </c>
      <c r="DX37" s="110">
        <v>0.33333333333333298</v>
      </c>
      <c r="DY37" s="211">
        <f>IF('Temperature Profiles'!V36&gt;18,(0.0057*('Temperature Profiles'!V36^2)-0.1509*'Temperature Profiles'!V36+0.8935)*1000,IF('Temperature Profiles'!V36&lt;17,(0.0072*('Temperature Profiles'!V36^2)-0.254*'Temperature Profiles'!V36+2.3952)*1000,0))</f>
        <v>0</v>
      </c>
      <c r="DZ37" s="21"/>
      <c r="EA37" s="110">
        <v>0.33333333333333298</v>
      </c>
      <c r="EB37" s="209">
        <f>IF('Temperature Profiles'!AA135&gt;18,(0.0024*('Temperature Profiles'!AA135^2)-0.0581*'Temperature Profiles'!AA135+0.3293)*1000,IF('Temperature Profiles'!AA135&lt;17,(0.0022*('Temperature Profiles'!AA135^2)-0.0874*'Temperature Profiles'!AA135+0.9301)*1000,0))</f>
        <v>754.30937499999982</v>
      </c>
      <c r="EC37" s="110">
        <v>0.33333333333333298</v>
      </c>
      <c r="ED37" s="209">
        <f>IF('Temperature Profiles'!AA135&gt;18,(0.0043*('Temperature Profiles'!AA135^2)-0.1116*'Temperature Profiles'!AA135+0.6576)*1000,IF('Temperature Profiles'!AA135&lt;17,(0.0053*('Temperature Profiles'!AA135^2)-0.1876*'Temperature Profiles'!AA135+1.7649)*1000,0))</f>
        <v>1390.1828124999995</v>
      </c>
      <c r="EE37" s="110">
        <v>0.33333333333333298</v>
      </c>
      <c r="EF37" s="211">
        <f>IF('Temperature Profiles'!AA135&gt;18,(0.0057*('Temperature Profiles'!AA135^2)-0.1509*'Temperature Profiles'!AA135+0.8935)*1000,IF('Temperature Profiles'!AA135&lt;17,(0.0072*('Temperature Profiles'!AA135^2)-0.254*'Temperature Profiles'!AA135+2.3952)*1000,0))</f>
        <v>1887.9624999999996</v>
      </c>
      <c r="EG37" s="21"/>
      <c r="EH37" s="110">
        <v>0.33333333333333298</v>
      </c>
      <c r="EI37" s="211">
        <f>IF('Temperature Profiles'!AF36&gt;18,(0.0024*('Temperature Profiles'!AF36^2)-0.0581*'Temperature Profiles'!AF36+0.3293)*1000,IF('Temperature Profiles'!AF36&lt;17,(0.0022*('Temperature Profiles'!AF36^2)-0.0874*'Temperature Profiles'!AF36+0.9301)*1000,0))</f>
        <v>523.3889999999999</v>
      </c>
      <c r="EJ37" s="110">
        <v>0.33333333333333298</v>
      </c>
      <c r="EK37" s="211">
        <f>IF('Temperature Profiles'!AF36&gt;18,(0.0043*('Temperature Profiles'!AF36^2)-0.1116*'Temperature Profiles'!AF36+0.6576)*1000,IF('Temperature Profiles'!AF36&lt;17,(0.0053*('Temperature Profiles'!AF36^2)-0.1876*'Temperature Profiles'!AF36+1.7649)*1000,0))</f>
        <v>801.35452777777778</v>
      </c>
      <c r="EL37" s="110">
        <v>0.33333333333333298</v>
      </c>
      <c r="EM37" s="211">
        <f>IF('Temperature Profiles'!AF36&gt;18,(0.0057*('Temperature Profiles'!AF36^2)-0.1509*'Temperature Profiles'!AF36+0.8935)*1000,IF('Temperature Profiles'!AF36&lt;17,(0.0072*('Temperature Profiles'!AF36^2)-0.254*'Temperature Profiles'!AF36+2.3952)*1000,0))</f>
        <v>1003.456583333334</v>
      </c>
      <c r="EN37" s="21"/>
      <c r="EO37" s="110">
        <v>0.33333333333333298</v>
      </c>
      <c r="EP37" s="211"/>
      <c r="EQ37" s="21"/>
      <c r="ER37" s="110">
        <v>0.33333333333333298</v>
      </c>
      <c r="ES37" s="264"/>
      <c r="EU37" s="260">
        <v>0.33333333333333298</v>
      </c>
      <c r="EV37" s="209">
        <f>IF('Temperature Profiles'!AA135&gt;18,(0.0024*('Temperature Profiles'!AA135^2)-0.0581*'Temperature Profiles'!AA135+0.3293)*1000,IF('Temperature Profiles'!AA135&lt;17,(0.0022*('Temperature Profiles'!AA135^2)-0.0874*'Temperature Profiles'!AA135+0.9301)*1000,0))</f>
        <v>754.30937499999982</v>
      </c>
      <c r="EW37" s="110">
        <v>0.33333333333333298</v>
      </c>
      <c r="EX37" s="209">
        <f>IF('Temperature Profiles'!AA135&gt;18,(0.0043*('Temperature Profiles'!AA135^2)-0.1116*'Temperature Profiles'!AA135+0.6576)*1000,IF('Temperature Profiles'!AA135&lt;17,(0.0053*('Temperature Profiles'!AA135^2)-0.1876*'Temperature Profiles'!AA135+1.7649)*1000,0))</f>
        <v>1390.1828124999995</v>
      </c>
      <c r="EY37" s="110">
        <v>0.33333333333333298</v>
      </c>
      <c r="EZ37" s="264">
        <f>IF('Temperature Profiles'!AA135&gt;18,(0.0057*('Temperature Profiles'!AA135^2)-0.1509*'Temperature Profiles'!AA135+0.8935)*1000,IF('Temperature Profiles'!AA135&lt;17,(0.0072*('Temperature Profiles'!AA135^2)-0.254*'Temperature Profiles'!AA135+2.3952)*1000,0))</f>
        <v>1887.9624999999996</v>
      </c>
    </row>
    <row r="38" spans="1:156" x14ac:dyDescent="0.3">
      <c r="A38" s="108">
        <v>0.33333333333333298</v>
      </c>
      <c r="B38" s="226">
        <f t="shared" si="0"/>
        <v>0</v>
      </c>
      <c r="C38" s="21">
        <f t="shared" si="1"/>
        <v>335.08333333333337</v>
      </c>
      <c r="D38" s="20">
        <f t="shared" si="2"/>
        <v>1887.9624999999996</v>
      </c>
      <c r="E38" s="20">
        <f t="shared" si="3"/>
        <v>1887.9624999999996</v>
      </c>
      <c r="G38" s="260">
        <v>0.34375</v>
      </c>
      <c r="H38" s="211">
        <f>IF('Temperature Profiles'!G37&gt;17,(0.0029*('Temperature Profiles'!G37^2) - 0.0863*'Temperature Profiles'!G37 + 0.6808)*1000,0)</f>
        <v>0</v>
      </c>
      <c r="I38" s="110">
        <v>0.34375</v>
      </c>
      <c r="J38" s="211">
        <f>IF('Temperature Profiles'!G37&gt;17,(0.005*('Temperature Profiles'!G37^2) - 0.1517*'Temperature Profiles'!G37 + 1.1702)*1000,0)</f>
        <v>0</v>
      </c>
      <c r="K38" s="110">
        <v>0.34375</v>
      </c>
      <c r="L38" s="211">
        <f>IF('Temperature Profiles'!G37&gt;17,(0.0068*('Temperature Profiles'!G37^2) - 0.2129*'Temperature Profiles'!G37 + 1.6904)*1000,0)</f>
        <v>0</v>
      </c>
      <c r="M38" s="21"/>
      <c r="N38" s="110">
        <v>0.34375</v>
      </c>
      <c r="O38" s="211">
        <f>IF('Temperature Profiles'!L37&gt;17,(0.0029*('Temperature Profiles'!L37^2) - 0.0863*'Temperature Profiles'!L37 + 0.6808)*1000,0)</f>
        <v>246.02222222222224</v>
      </c>
      <c r="P38" s="110">
        <v>0.34375</v>
      </c>
      <c r="Q38" s="211">
        <f>IF('Temperature Profiles'!L37&gt;17,(0.005*('Temperature Profiles'!L37^2) - 0.1517*'Temperature Profiles'!L37 + 1.1702)*1000,0)</f>
        <v>352.75555555555547</v>
      </c>
      <c r="R38" s="110">
        <v>0.34375</v>
      </c>
      <c r="S38" s="211">
        <f>IF('Temperature Profiles'!L37&gt;17,(0.0068*('Temperature Profiles'!L37^2) - 0.2129*'Temperature Profiles'!L37 + 1.6904)*1000,0)</f>
        <v>424.95555555555552</v>
      </c>
      <c r="T38" s="21"/>
      <c r="U38" s="110">
        <v>0.34375</v>
      </c>
      <c r="V38" s="211">
        <f>IF('Temperature Profiles'!Q37&gt;17,(0.0029*('Temperature Profiles'!Q37^2) - 0.0863*'Temperature Profiles'!Q37 + 0.6808)*1000,0)</f>
        <v>392.04513888888891</v>
      </c>
      <c r="W38" s="110">
        <v>0.34375</v>
      </c>
      <c r="X38" s="211">
        <f>IF('Temperature Profiles'!Q37&gt;17,(0.005*('Temperature Profiles'!Q37^2) - 0.1517*'Temperature Profiles'!Q37 + 1.1702)*1000,0)</f>
        <v>597.00972222222242</v>
      </c>
      <c r="Y38" s="110">
        <v>0.34375</v>
      </c>
      <c r="Z38" s="211">
        <f>IF('Temperature Profiles'!Q37&gt;17,(0.0068*('Temperature Profiles'!Q37^2) - 0.2129*'Temperature Profiles'!Q37 + 1.6904)*1000,0)</f>
        <v>740.12222222222283</v>
      </c>
      <c r="AA38" s="21"/>
      <c r="AB38" s="110">
        <v>0.34375</v>
      </c>
      <c r="AC38" s="211">
        <f>IF('Temperature Profiles'!V37&gt;17,(0.0029*('Temperature Profiles'!V37^2) - 0.0863*'Temperature Profiles'!V37 + 0.6808)*1000,0)</f>
        <v>55.171034722222181</v>
      </c>
      <c r="AD38" s="110">
        <v>0.34375</v>
      </c>
      <c r="AE38" s="211">
        <f>IF('Temperature Profiles'!V37&gt;17,(0.005*('Temperature Profiles'!V37^2) - 0.1517*'Temperature Profiles'!V37 + 1.1702)*1000,0)</f>
        <v>41.361180555555599</v>
      </c>
      <c r="AF38" s="110">
        <v>0.34375</v>
      </c>
      <c r="AG38" s="211">
        <f>IF('Temperature Profiles'!V37&gt;17,(0.0068*('Temperature Profiles'!V37^2) - 0.2129*'Temperature Profiles'!V37 + 1.6904)*1000,0)</f>
        <v>41.481305555555181</v>
      </c>
      <c r="AH38" s="21"/>
      <c r="AI38" s="110">
        <v>0.34375</v>
      </c>
      <c r="AJ38" s="211">
        <f>IF('Temperature Profiles'!AA37&gt;17,(0.0029*('Temperature Profiles'!AA37^2) - 0.0863*'Temperature Profiles'!AA37 + 0.6808)*1000,0)</f>
        <v>0</v>
      </c>
      <c r="AK38" s="110">
        <v>0.34375</v>
      </c>
      <c r="AL38" s="211">
        <f>IF('Temperature Profiles'!AA37&gt;17,(0.005*('Temperature Profiles'!AA37^2) - 0.1517*'Temperature Profiles'!AA37 + 1.1701)*1000,0)</f>
        <v>0</v>
      </c>
      <c r="AM38" s="110">
        <v>0.34375</v>
      </c>
      <c r="AN38" s="211">
        <f>IF('Temperature Profiles'!AA37&gt;17,(0.0068*('Temperature Profiles'!AA37^2) - 0.2129*'Temperature Profiles'!AA37 + 1.6904)*1000,0)</f>
        <v>0</v>
      </c>
      <c r="AO38" s="21"/>
      <c r="AP38" s="110">
        <v>0.34375</v>
      </c>
      <c r="AQ38" s="211">
        <f>IF('Temperature Profiles'!AF37&gt;17,(0.0029*('Temperature Profiles'!AF37^2) - 0.0863*'Temperature Profiles'!AF37 + 0.6808)*1000,0)</f>
        <v>477.78580555555584</v>
      </c>
      <c r="AR38" s="110">
        <v>0.34375</v>
      </c>
      <c r="AS38" s="183">
        <f>IF('Temperature Profiles'!AF37&gt;17,(0.005*('Temperature Profiles'!AF37^2) - 0.1517*'Temperature Profiles'!AF37 + 1.1702)*1000,0)</f>
        <v>741.15638888888964</v>
      </c>
      <c r="AT38" s="110">
        <v>0.34375</v>
      </c>
      <c r="AU38" s="211">
        <f>IF('Temperature Profiles'!AF37&gt;17,(0.0068*('Temperature Profiles'!AF37^2) - 0.2129*'Temperature Profiles'!AF37 + 1.6904)*1000,0)</f>
        <v>927.81688888888914</v>
      </c>
      <c r="AV38" s="21"/>
      <c r="AW38" s="110">
        <v>0.34375</v>
      </c>
      <c r="AX38" s="211"/>
      <c r="AY38" s="21"/>
      <c r="AZ38" s="110">
        <v>0.34375</v>
      </c>
      <c r="BA38" s="264"/>
      <c r="BC38" s="260">
        <v>0.34375</v>
      </c>
      <c r="BD38" s="211">
        <f>IF('Temperature Profiles'!G37&lt;16,(-0.0037*'Temperature Profiles'!G37+0.0664)*1000,0)</f>
        <v>9.1733333333333249</v>
      </c>
      <c r="BE38" s="110">
        <v>0.34375</v>
      </c>
      <c r="BF38" s="211">
        <f>IF('Temperature Profiles'!G37&lt;16,(-0.0076*'Temperature Profiles'!G37+0.1245)*1000,0)</f>
        <v>6.9533333333333252</v>
      </c>
      <c r="BG38" s="110">
        <v>0.34375</v>
      </c>
      <c r="BH38" s="211">
        <f>IF('Temperature Profiles'!G37&lt;16,(-0.01*'Temperature Profiles'!G37+0.167)*1000,0)</f>
        <v>12.333333333333307</v>
      </c>
      <c r="BI38" s="21"/>
      <c r="BJ38" s="110">
        <v>0.34375</v>
      </c>
      <c r="BK38" s="211">
        <f>IF('Temperature Profiles'!L37&lt;16,(-0.0037*'Temperature Profiles'!L37+0.0664)*1000,0)</f>
        <v>0</v>
      </c>
      <c r="BL38" s="110">
        <v>0.34375</v>
      </c>
      <c r="BM38" s="211">
        <f>IF('Temperature Profiles'!L37&lt;16,(-0.0076*'Temperature Profiles'!L37+0.1245)*1000,0)</f>
        <v>0</v>
      </c>
      <c r="BN38" s="110">
        <v>0.34375</v>
      </c>
      <c r="BO38" s="211">
        <f>IF('Temperature Profiles'!L37&lt;16,(-0.01*'Temperature Profiles'!L37+0.167)*1000,0)</f>
        <v>0</v>
      </c>
      <c r="BP38" s="21"/>
      <c r="BQ38" s="110">
        <v>0.34375</v>
      </c>
      <c r="BR38" s="211">
        <f>IF('Temperature Profiles'!Q37&lt;16,(-0.0037*'Temperature Profiles'!Q37+0.0664)*1000,0)</f>
        <v>0</v>
      </c>
      <c r="BS38" s="110">
        <v>0.34375</v>
      </c>
      <c r="BT38" s="211">
        <f>IF('Temperature Profiles'!Q37&lt;16,(-0.0076*'Temperature Profiles'!Q37+0.1245)*1000,0)</f>
        <v>0</v>
      </c>
      <c r="BU38" s="110">
        <v>0.34375</v>
      </c>
      <c r="BV38" s="211">
        <f>IF('Temperature Profiles'!Q37&lt;16,(-0.01*'Temperature Profiles'!Q37+0.167)*1000,0)</f>
        <v>0</v>
      </c>
      <c r="BW38" s="21"/>
      <c r="BX38" s="110">
        <v>0.34375</v>
      </c>
      <c r="BY38" s="211">
        <f>IF('Temperature Profiles'!V37&lt;16,(-0.0037*'Temperature Profiles'!V37+0.0664)*1000,0)</f>
        <v>0</v>
      </c>
      <c r="BZ38" s="110">
        <v>0.34375</v>
      </c>
      <c r="CA38" s="211">
        <f>IF('Temperature Profiles'!V37&lt;16,(-0.0076*'Temperature Profiles'!V37+0.1245)*1000,0)</f>
        <v>0</v>
      </c>
      <c r="CB38" s="110">
        <v>0.34375</v>
      </c>
      <c r="CC38" s="211">
        <f>IF('Temperature Profiles'!V37&lt;16,(-0.01*'Temperature Profiles'!V37+0.167)*1000,0)</f>
        <v>0</v>
      </c>
      <c r="CD38" s="21"/>
      <c r="CE38" s="110">
        <v>0.34375</v>
      </c>
      <c r="CF38" s="211">
        <f>IF('Temperature Profiles'!AA37&lt;16,(-0.0037*'Temperature Profiles'!AA37+0.0664)*1000,0)</f>
        <v>128.59083333333331</v>
      </c>
      <c r="CG38" s="110">
        <v>0.34375</v>
      </c>
      <c r="CH38" s="178">
        <f>IF('Temperature Profiles'!AA37&lt;16,(-0.0076*'Temperature Profiles'!AA37+0.1245)*1000,0)</f>
        <v>252.24333333333337</v>
      </c>
      <c r="CI38" s="110">
        <v>0.34375</v>
      </c>
      <c r="CJ38" s="211">
        <f>IF('Temperature Profiles'!AA37&lt;16,(-0.01*'Temperature Profiles'!AA37+0.167)*1000,0)</f>
        <v>335.08333333333337</v>
      </c>
      <c r="CK38" s="21"/>
      <c r="CL38" s="110">
        <v>0.34375</v>
      </c>
      <c r="CM38" s="211">
        <f>IF('Temperature Profiles'!AF37&lt;16,(-0.0037*'Temperature Profiles'!AF37+0.0664)*1000,0)</f>
        <v>0</v>
      </c>
      <c r="CN38" s="110">
        <v>0.34375</v>
      </c>
      <c r="CO38" s="178">
        <f>IF('Temperature Profiles'!AF37&lt;16,(-0.0076*'Temperature Profiles'!AF37+0.1245)*1000,0)</f>
        <v>0</v>
      </c>
      <c r="CP38" s="110">
        <v>0.34375</v>
      </c>
      <c r="CQ38" s="211">
        <f>IF('Temperature Profiles'!AF37&lt;16,(-0.01*'Temperature Profiles'!AF37+0.167)*1000,0)</f>
        <v>0</v>
      </c>
      <c r="CR38" s="21"/>
      <c r="CS38" s="110">
        <v>0.34375</v>
      </c>
      <c r="CT38" s="211"/>
      <c r="CU38" s="21"/>
      <c r="CV38" s="110">
        <v>0.34375</v>
      </c>
      <c r="CW38" s="264"/>
      <c r="CY38" s="260">
        <v>0.34375</v>
      </c>
      <c r="CZ38" s="178">
        <f>IF('Temperature Profiles'!G37&gt;18,(0.0024*('Temperature Profiles'!G37^2)-0.0581*'Temperature Profiles'!G37+0.3293)*1000,IF('Temperature Profiles'!G37&lt;17,(0.0022*('Temperature Profiles'!G37^2)-0.0874*'Temperature Profiles'!G37+0.9301)*1000,0))</f>
        <v>104.59244444444438</v>
      </c>
      <c r="DA38" s="110">
        <v>0.34375</v>
      </c>
      <c r="DB38" s="263">
        <f>IF('Temperature Profiles'!G37&gt;18,(0.0043*('Temperature Profiles'!G37^2)-0.1116*'Temperature Profiles'!G37+0.6576)*1000,IF('Temperature Profiles'!G37&lt;17,(0.0053*('Temperature Profiles'!G37^2)-0.1876*'Temperature Profiles'!G37+1.7649)*1000,0))</f>
        <v>131.20755555555542</v>
      </c>
      <c r="DC38" s="110">
        <v>0.34375</v>
      </c>
      <c r="DD38" s="211">
        <f>IF('Temperature Profiles'!G37&gt;18,(0.0057*('Temperature Profiles'!G37^2)-0.1509*'Temperature Profiles'!G37+0.8935)*1000,IF('Temperature Profiles'!G37&lt;17,(0.0072*('Temperature Profiles'!G37^2)-0.254*'Temperature Profiles'!G37+2.3952)*1000,0))</f>
        <v>189.03466666666668</v>
      </c>
      <c r="DE38" s="21"/>
      <c r="DF38" s="110">
        <v>0.34375</v>
      </c>
      <c r="DG38" s="209">
        <f>IF('Temperature Profiles'!L37&gt;18,(0.0024*('Temperature Profiles'!L37^2)-0.0581*'Temperature Profiles'!L37+0.3293)*1000,IF('Temperature Profiles'!L37&lt;17,(0.0022*('Temperature Profiles'!L37^2)-0.0874*'Temperature Profiles'!L37+0.9301)*1000,0))</f>
        <v>280.30000000000007</v>
      </c>
      <c r="DH38" s="110">
        <v>0.34375</v>
      </c>
      <c r="DI38" s="209">
        <f>IF('Temperature Profiles'!L37&gt;18,(0.0043*('Temperature Profiles'!L37^2)-0.1116*'Temperature Profiles'!L37+0.6576)*1000,IF('Temperature Profiles'!L37&lt;17,(0.0053*('Temperature Profiles'!L37^2)-0.1876*'Temperature Profiles'!L37+1.7649)*1000,0))</f>
        <v>394.71111111111099</v>
      </c>
      <c r="DJ38" s="110">
        <v>0.34375</v>
      </c>
      <c r="DK38" s="211">
        <f>IF('Temperature Profiles'!L37&gt;18,(0.0057*('Temperature Profiles'!L37^2)-0.1509*'Temperature Profiles'!L37+0.8935)*1000,IF('Temperature Profiles'!L37&lt;17,(0.0072*('Temperature Profiles'!L37^2)-0.254*'Temperature Profiles'!L37+2.3952)*1000,0))</f>
        <v>475.833333333334</v>
      </c>
      <c r="DL38" s="21"/>
      <c r="DM38" s="110">
        <v>0.34375</v>
      </c>
      <c r="DN38" s="209">
        <f>IF('Temperature Profiles'!Q37&gt;18,(0.0024*('Temperature Profiles'!Q37^2)-0.0581*'Temperature Profiles'!Q37+0.3293)*1000,IF('Temperature Profiles'!Q37&lt;17,(0.0022*('Temperature Profiles'!Q37^2)-0.0874*'Temperature Profiles'!Q37+0.9301)*1000,0))</f>
        <v>435.55833333333356</v>
      </c>
      <c r="DO38" s="110">
        <v>0.34375</v>
      </c>
      <c r="DP38" s="209">
        <f>IF('Temperature Profiles'!Q37&gt;18,(0.0043*('Temperature Profiles'!Q37^2)-0.1116*'Temperature Profiles'!Q37+0.6576)*1000,IF('Temperature Profiles'!Q37&lt;17,(0.0053*('Temperature Profiles'!Q37^2)-0.1876*'Temperature Profiles'!Q37+1.7649)*1000,0))</f>
        <v>653.49652777777806</v>
      </c>
      <c r="DQ38" s="110">
        <v>0.34375</v>
      </c>
      <c r="DR38" s="211">
        <f>IF('Temperature Profiles'!Q37&gt;18,(0.0057*('Temperature Profiles'!Q37^2)-0.1509*'Temperature Profiles'!Q37+0.8935)*1000,IF('Temperature Profiles'!Q37&lt;17,(0.0072*('Temperature Profiles'!Q37^2)-0.254*'Temperature Profiles'!Q37+2.3952)*1000,0))</f>
        <v>811.21458333333374</v>
      </c>
      <c r="DS38" s="21"/>
      <c r="DT38" s="110">
        <v>0.34375</v>
      </c>
      <c r="DU38" s="209">
        <f>IF('Temperature Profiles'!V37&gt;18,(0.0024*('Temperature Profiles'!V37^2)-0.0581*'Temperature Profiles'!V37+0.3293)*1000,IF('Temperature Profiles'!V37&lt;17,(0.0022*('Temperature Profiles'!V37^2)-0.0874*'Temperature Profiles'!V37+0.9301)*1000,0))</f>
        <v>0</v>
      </c>
      <c r="DV38" s="110">
        <v>0.34375</v>
      </c>
      <c r="DW38" s="209">
        <f>IF('Temperature Profiles'!V37&gt;18,(0.0043*('Temperature Profiles'!V37^2)-0.1116*'Temperature Profiles'!V37+0.6576)*1000,IF('Temperature Profiles'!V37&lt;17,(0.0053*('Temperature Profiles'!V37^2)-0.1876*'Temperature Profiles'!V37+1.7649)*1000,0))</f>
        <v>0</v>
      </c>
      <c r="DX38" s="110">
        <v>0.34375</v>
      </c>
      <c r="DY38" s="211">
        <f>IF('Temperature Profiles'!V37&gt;18,(0.0057*('Temperature Profiles'!V37^2)-0.1509*'Temperature Profiles'!V37+0.8935)*1000,IF('Temperature Profiles'!V37&lt;17,(0.0072*('Temperature Profiles'!V37^2)-0.254*'Temperature Profiles'!V37+2.3952)*1000,0))</f>
        <v>0</v>
      </c>
      <c r="DZ38" s="21"/>
      <c r="EA38" s="110">
        <v>0.34375</v>
      </c>
      <c r="EB38" s="209">
        <f>IF('Temperature Profiles'!AA136&gt;18,(0.0024*('Temperature Profiles'!AA136^2)-0.0581*'Temperature Profiles'!AA136+0.3293)*1000,IF('Temperature Profiles'!AA136&lt;17,(0.0022*('Temperature Profiles'!AA136^2)-0.0874*'Temperature Profiles'!AA136+0.9301)*1000,0))</f>
        <v>754.30937499999982</v>
      </c>
      <c r="EC38" s="110">
        <v>0.34375</v>
      </c>
      <c r="ED38" s="209">
        <f>IF('Temperature Profiles'!AA136&gt;18,(0.0043*('Temperature Profiles'!AA136^2)-0.1116*'Temperature Profiles'!AA136+0.6576)*1000,IF('Temperature Profiles'!AA136&lt;17,(0.0053*('Temperature Profiles'!AA136^2)-0.1876*'Temperature Profiles'!AA136+1.7649)*1000,0))</f>
        <v>1390.1828124999995</v>
      </c>
      <c r="EE38" s="110">
        <v>0.34375</v>
      </c>
      <c r="EF38" s="211">
        <f>IF('Temperature Profiles'!AA136&gt;18,(0.0057*('Temperature Profiles'!AA136^2)-0.1509*'Temperature Profiles'!AA136+0.8935)*1000,IF('Temperature Profiles'!AA136&lt;17,(0.0072*('Temperature Profiles'!AA136^2)-0.254*'Temperature Profiles'!AA136+2.3952)*1000,0))</f>
        <v>1887.9624999999996</v>
      </c>
      <c r="EG38" s="21"/>
      <c r="EH38" s="110">
        <v>0.34375</v>
      </c>
      <c r="EI38" s="211">
        <f>IF('Temperature Profiles'!AF37&gt;18,(0.0024*('Temperature Profiles'!AF37^2)-0.0581*'Temperature Profiles'!AF37+0.3293)*1000,IF('Temperature Profiles'!AF37&lt;17,(0.0022*('Temperature Profiles'!AF37^2)-0.0874*'Temperature Profiles'!AF37+0.9301)*1000,0))</f>
        <v>523.3889999999999</v>
      </c>
      <c r="EJ38" s="110">
        <v>0.34375</v>
      </c>
      <c r="EK38" s="211">
        <f>IF('Temperature Profiles'!AF37&gt;18,(0.0043*('Temperature Profiles'!AF37^2)-0.1116*'Temperature Profiles'!AF37+0.6576)*1000,IF('Temperature Profiles'!AF37&lt;17,(0.0053*('Temperature Profiles'!AF37^2)-0.1876*'Temperature Profiles'!AF37+1.7649)*1000,0))</f>
        <v>801.35452777777778</v>
      </c>
      <c r="EL38" s="110">
        <v>0.34375</v>
      </c>
      <c r="EM38" s="211">
        <f>IF('Temperature Profiles'!AF37&gt;18,(0.0057*('Temperature Profiles'!AF37^2)-0.1509*'Temperature Profiles'!AF37+0.8935)*1000,IF('Temperature Profiles'!AF37&lt;17,(0.0072*('Temperature Profiles'!AF37^2)-0.254*'Temperature Profiles'!AF37+2.3952)*1000,0))</f>
        <v>1003.456583333334</v>
      </c>
      <c r="EN38" s="21"/>
      <c r="EO38" s="110">
        <v>0.34375</v>
      </c>
      <c r="EP38" s="211"/>
      <c r="EQ38" s="21"/>
      <c r="ER38" s="110">
        <v>0.34375</v>
      </c>
      <c r="ES38" s="264"/>
      <c r="EU38" s="260">
        <v>0.34375</v>
      </c>
      <c r="EV38" s="209">
        <f>IF('Temperature Profiles'!AA136&gt;18,(0.0024*('Temperature Profiles'!AA136^2)-0.0581*'Temperature Profiles'!AA136+0.3293)*1000,IF('Temperature Profiles'!AA136&lt;17,(0.0022*('Temperature Profiles'!AA136^2)-0.0874*'Temperature Profiles'!AA136+0.9301)*1000,0))</f>
        <v>754.30937499999982</v>
      </c>
      <c r="EW38" s="110">
        <v>0.34375</v>
      </c>
      <c r="EX38" s="209">
        <f>IF('Temperature Profiles'!AA136&gt;18,(0.0043*('Temperature Profiles'!AA136^2)-0.1116*'Temperature Profiles'!AA136+0.6576)*1000,IF('Temperature Profiles'!AA136&lt;17,(0.0053*('Temperature Profiles'!AA136^2)-0.1876*'Temperature Profiles'!AA136+1.7649)*1000,0))</f>
        <v>1390.1828124999995</v>
      </c>
      <c r="EY38" s="110">
        <v>0.34375</v>
      </c>
      <c r="EZ38" s="264">
        <f>IF('Temperature Profiles'!AA136&gt;18,(0.0057*('Temperature Profiles'!AA136^2)-0.1509*'Temperature Profiles'!AA136+0.8935)*1000,IF('Temperature Profiles'!AA136&lt;17,(0.0072*('Temperature Profiles'!AA136^2)-0.254*'Temperature Profiles'!AA136+2.3952)*1000,0))</f>
        <v>1887.9624999999996</v>
      </c>
    </row>
    <row r="39" spans="1:156" x14ac:dyDescent="0.3">
      <c r="A39" s="108">
        <v>0.34375</v>
      </c>
      <c r="B39" s="226">
        <f t="shared" si="0"/>
        <v>0</v>
      </c>
      <c r="C39" s="21">
        <f t="shared" si="1"/>
        <v>335.08333333333337</v>
      </c>
      <c r="D39" s="20">
        <f t="shared" si="2"/>
        <v>1887.9624999999996</v>
      </c>
      <c r="E39" s="20">
        <f t="shared" si="3"/>
        <v>1887.9624999999996</v>
      </c>
      <c r="G39" s="260">
        <v>0.35416666666666702</v>
      </c>
      <c r="H39" s="211">
        <f>IF('Temperature Profiles'!G38&gt;17,(0.0029*('Temperature Profiles'!G38^2) - 0.0863*'Temperature Profiles'!G38 + 0.6808)*1000,0)</f>
        <v>0</v>
      </c>
      <c r="I39" s="110">
        <v>0.35416666666666702</v>
      </c>
      <c r="J39" s="211">
        <f>IF('Temperature Profiles'!G38&gt;17,(0.005*('Temperature Profiles'!G38^2) - 0.1517*'Temperature Profiles'!G38 + 1.1702)*1000,0)</f>
        <v>0</v>
      </c>
      <c r="K39" s="110">
        <v>0.35416666666666702</v>
      </c>
      <c r="L39" s="211">
        <f>IF('Temperature Profiles'!G38&gt;17,(0.0068*('Temperature Profiles'!G38^2) - 0.2129*'Temperature Profiles'!G38 + 1.6904)*1000,0)</f>
        <v>0</v>
      </c>
      <c r="M39" s="21"/>
      <c r="N39" s="110">
        <v>0.35416666666666702</v>
      </c>
      <c r="O39" s="211">
        <f>IF('Temperature Profiles'!L38&gt;17,(0.0029*('Temperature Profiles'!L38^2) - 0.0863*'Temperature Profiles'!L38 + 0.6808)*1000,0)</f>
        <v>246.02222222222224</v>
      </c>
      <c r="P39" s="110">
        <v>0.35416666666666702</v>
      </c>
      <c r="Q39" s="211">
        <f>IF('Temperature Profiles'!L38&gt;17,(0.005*('Temperature Profiles'!L38^2) - 0.1517*'Temperature Profiles'!L38 + 1.1702)*1000,0)</f>
        <v>352.75555555555547</v>
      </c>
      <c r="R39" s="110">
        <v>0.35416666666666702</v>
      </c>
      <c r="S39" s="211">
        <f>IF('Temperature Profiles'!L38&gt;17,(0.0068*('Temperature Profiles'!L38^2) - 0.2129*'Temperature Profiles'!L38 + 1.6904)*1000,0)</f>
        <v>424.95555555555552</v>
      </c>
      <c r="T39" s="21"/>
      <c r="U39" s="110">
        <v>0.35416666666666702</v>
      </c>
      <c r="V39" s="211">
        <f>IF('Temperature Profiles'!Q38&gt;17,(0.0029*('Temperature Profiles'!Q38^2) - 0.0863*'Temperature Profiles'!Q38 + 0.6808)*1000,0)</f>
        <v>392.04513888888891</v>
      </c>
      <c r="W39" s="110">
        <v>0.35416666666666702</v>
      </c>
      <c r="X39" s="211">
        <f>IF('Temperature Profiles'!Q38&gt;17,(0.005*('Temperature Profiles'!Q38^2) - 0.1517*'Temperature Profiles'!Q38 + 1.1702)*1000,0)</f>
        <v>597.00972222222242</v>
      </c>
      <c r="Y39" s="110">
        <v>0.35416666666666702</v>
      </c>
      <c r="Z39" s="211">
        <f>IF('Temperature Profiles'!Q38&gt;17,(0.0068*('Temperature Profiles'!Q38^2) - 0.2129*'Temperature Profiles'!Q38 + 1.6904)*1000,0)</f>
        <v>740.12222222222283</v>
      </c>
      <c r="AA39" s="21"/>
      <c r="AB39" s="110">
        <v>0.35416666666666702</v>
      </c>
      <c r="AC39" s="211">
        <f>IF('Temperature Profiles'!V38&gt;17,(0.0029*('Temperature Profiles'!V38^2) - 0.0863*'Temperature Profiles'!V38 + 0.6808)*1000,0)</f>
        <v>55.171034722222181</v>
      </c>
      <c r="AD39" s="110">
        <v>0.35416666666666702</v>
      </c>
      <c r="AE39" s="211">
        <f>IF('Temperature Profiles'!V38&gt;17,(0.005*('Temperature Profiles'!V38^2) - 0.1517*'Temperature Profiles'!V38 + 1.1702)*1000,0)</f>
        <v>41.361180555555599</v>
      </c>
      <c r="AF39" s="110">
        <v>0.35416666666666702</v>
      </c>
      <c r="AG39" s="211">
        <f>IF('Temperature Profiles'!V38&gt;17,(0.0068*('Temperature Profiles'!V38^2) - 0.2129*'Temperature Profiles'!V38 + 1.6904)*1000,0)</f>
        <v>41.481305555555181</v>
      </c>
      <c r="AH39" s="21"/>
      <c r="AI39" s="110">
        <v>0.35416666666666702</v>
      </c>
      <c r="AJ39" s="211">
        <f>IF('Temperature Profiles'!AA38&gt;17,(0.0029*('Temperature Profiles'!AA38^2) - 0.0863*'Temperature Profiles'!AA38 + 0.6808)*1000,0)</f>
        <v>0</v>
      </c>
      <c r="AK39" s="110">
        <v>0.35416666666666702</v>
      </c>
      <c r="AL39" s="211">
        <f>IF('Temperature Profiles'!AA38&gt;17,(0.005*('Temperature Profiles'!AA38^2) - 0.1517*'Temperature Profiles'!AA38 + 1.1701)*1000,0)</f>
        <v>0</v>
      </c>
      <c r="AM39" s="110">
        <v>0.35416666666666702</v>
      </c>
      <c r="AN39" s="211">
        <f>IF('Temperature Profiles'!AA38&gt;17,(0.0068*('Temperature Profiles'!AA38^2) - 0.2129*'Temperature Profiles'!AA38 + 1.6904)*1000,0)</f>
        <v>0</v>
      </c>
      <c r="AO39" s="21"/>
      <c r="AP39" s="110">
        <v>0.35416666666666702</v>
      </c>
      <c r="AQ39" s="211">
        <f>IF('Temperature Profiles'!AF38&gt;17,(0.0029*('Temperature Profiles'!AF38^2) - 0.0863*'Temperature Profiles'!AF38 + 0.6808)*1000,0)</f>
        <v>477.78580555555584</v>
      </c>
      <c r="AR39" s="110">
        <v>0.35416666666666702</v>
      </c>
      <c r="AS39" s="183">
        <f>IF('Temperature Profiles'!AF38&gt;17,(0.005*('Temperature Profiles'!AF38^2) - 0.1517*'Temperature Profiles'!AF38 + 1.1702)*1000,0)</f>
        <v>741.15638888888964</v>
      </c>
      <c r="AT39" s="110">
        <v>0.35416666666666702</v>
      </c>
      <c r="AU39" s="211">
        <f>IF('Temperature Profiles'!AF38&gt;17,(0.0068*('Temperature Profiles'!AF38^2) - 0.2129*'Temperature Profiles'!AF38 + 1.6904)*1000,0)</f>
        <v>927.81688888888914</v>
      </c>
      <c r="AV39" s="21"/>
      <c r="AW39" s="110">
        <v>0.35416666666666702</v>
      </c>
      <c r="AX39" s="211"/>
      <c r="AY39" s="21"/>
      <c r="AZ39" s="110">
        <v>0.35416666666666702</v>
      </c>
      <c r="BA39" s="264"/>
      <c r="BC39" s="260">
        <v>0.35416666666666702</v>
      </c>
      <c r="BD39" s="211">
        <f>IF('Temperature Profiles'!G38&lt;16,(-0.0037*'Temperature Profiles'!G38+0.0664)*1000,0)</f>
        <v>9.1733333333333249</v>
      </c>
      <c r="BE39" s="110">
        <v>0.35416666666666702</v>
      </c>
      <c r="BF39" s="211">
        <f>IF('Temperature Profiles'!G38&lt;16,(-0.0076*'Temperature Profiles'!G38+0.1245)*1000,0)</f>
        <v>6.9533333333333252</v>
      </c>
      <c r="BG39" s="110">
        <v>0.35416666666666702</v>
      </c>
      <c r="BH39" s="211">
        <f>IF('Temperature Profiles'!G38&lt;16,(-0.01*'Temperature Profiles'!G38+0.167)*1000,0)</f>
        <v>12.333333333333307</v>
      </c>
      <c r="BI39" s="21"/>
      <c r="BJ39" s="110">
        <v>0.35416666666666702</v>
      </c>
      <c r="BK39" s="211">
        <f>IF('Temperature Profiles'!L38&lt;16,(-0.0037*'Temperature Profiles'!L38+0.0664)*1000,0)</f>
        <v>0</v>
      </c>
      <c r="BL39" s="110">
        <v>0.35416666666666702</v>
      </c>
      <c r="BM39" s="211">
        <f>IF('Temperature Profiles'!L38&lt;16,(-0.0076*'Temperature Profiles'!L38+0.1245)*1000,0)</f>
        <v>0</v>
      </c>
      <c r="BN39" s="110">
        <v>0.35416666666666702</v>
      </c>
      <c r="BO39" s="211">
        <f>IF('Temperature Profiles'!L38&lt;16,(-0.01*'Temperature Profiles'!L38+0.167)*1000,0)</f>
        <v>0</v>
      </c>
      <c r="BP39" s="21"/>
      <c r="BQ39" s="110">
        <v>0.35416666666666702</v>
      </c>
      <c r="BR39" s="211">
        <f>IF('Temperature Profiles'!Q38&lt;16,(-0.0037*'Temperature Profiles'!Q38+0.0664)*1000,0)</f>
        <v>0</v>
      </c>
      <c r="BS39" s="110">
        <v>0.35416666666666702</v>
      </c>
      <c r="BT39" s="211">
        <f>IF('Temperature Profiles'!Q38&lt;16,(-0.0076*'Temperature Profiles'!Q38+0.1245)*1000,0)</f>
        <v>0</v>
      </c>
      <c r="BU39" s="110">
        <v>0.35416666666666702</v>
      </c>
      <c r="BV39" s="211">
        <f>IF('Temperature Profiles'!Q38&lt;16,(-0.01*'Temperature Profiles'!Q38+0.167)*1000,0)</f>
        <v>0</v>
      </c>
      <c r="BW39" s="21"/>
      <c r="BX39" s="110">
        <v>0.35416666666666702</v>
      </c>
      <c r="BY39" s="211">
        <f>IF('Temperature Profiles'!V38&lt;16,(-0.0037*'Temperature Profiles'!V38+0.0664)*1000,0)</f>
        <v>0</v>
      </c>
      <c r="BZ39" s="110">
        <v>0.35416666666666702</v>
      </c>
      <c r="CA39" s="211">
        <f>IF('Temperature Profiles'!V38&lt;16,(-0.0076*'Temperature Profiles'!V38+0.1245)*1000,0)</f>
        <v>0</v>
      </c>
      <c r="CB39" s="110">
        <v>0.35416666666666702</v>
      </c>
      <c r="CC39" s="211">
        <f>IF('Temperature Profiles'!V38&lt;16,(-0.01*'Temperature Profiles'!V38+0.167)*1000,0)</f>
        <v>0</v>
      </c>
      <c r="CD39" s="21"/>
      <c r="CE39" s="110">
        <v>0.35416666666666702</v>
      </c>
      <c r="CF39" s="211">
        <f>IF('Temperature Profiles'!AA38&lt;16,(-0.0037*'Temperature Profiles'!AA38+0.0664)*1000,0)</f>
        <v>128.59083333333331</v>
      </c>
      <c r="CG39" s="110">
        <v>0.35416666666666702</v>
      </c>
      <c r="CH39" s="178">
        <f>IF('Temperature Profiles'!AA38&lt;16,(-0.0076*'Temperature Profiles'!AA38+0.1245)*1000,0)</f>
        <v>252.24333333333337</v>
      </c>
      <c r="CI39" s="110">
        <v>0.35416666666666702</v>
      </c>
      <c r="CJ39" s="211">
        <f>IF('Temperature Profiles'!AA38&lt;16,(-0.01*'Temperature Profiles'!AA38+0.167)*1000,0)</f>
        <v>335.08333333333337</v>
      </c>
      <c r="CK39" s="21"/>
      <c r="CL39" s="110">
        <v>0.35416666666666702</v>
      </c>
      <c r="CM39" s="211">
        <f>IF('Temperature Profiles'!AF38&lt;16,(-0.0037*'Temperature Profiles'!AF38+0.0664)*1000,0)</f>
        <v>0</v>
      </c>
      <c r="CN39" s="110">
        <v>0.35416666666666702</v>
      </c>
      <c r="CO39" s="178">
        <f>IF('Temperature Profiles'!AF38&lt;16,(-0.0076*'Temperature Profiles'!AF38+0.1245)*1000,0)</f>
        <v>0</v>
      </c>
      <c r="CP39" s="110">
        <v>0.35416666666666702</v>
      </c>
      <c r="CQ39" s="211">
        <f>IF('Temperature Profiles'!AF38&lt;16,(-0.01*'Temperature Profiles'!AF38+0.167)*1000,0)</f>
        <v>0</v>
      </c>
      <c r="CR39" s="21"/>
      <c r="CS39" s="110">
        <v>0.35416666666666702</v>
      </c>
      <c r="CT39" s="211"/>
      <c r="CU39" s="21"/>
      <c r="CV39" s="110">
        <v>0.35416666666666702</v>
      </c>
      <c r="CW39" s="264"/>
      <c r="CY39" s="260">
        <v>0.35416666666666702</v>
      </c>
      <c r="CZ39" s="178">
        <f>IF('Temperature Profiles'!G38&gt;18,(0.0024*('Temperature Profiles'!G38^2)-0.0581*'Temperature Profiles'!G38+0.3293)*1000,IF('Temperature Profiles'!G38&lt;17,(0.0022*('Temperature Profiles'!G38^2)-0.0874*'Temperature Profiles'!G38+0.9301)*1000,0))</f>
        <v>104.59244444444438</v>
      </c>
      <c r="DA39" s="110">
        <v>0.35416666666666702</v>
      </c>
      <c r="DB39" s="263">
        <f>IF('Temperature Profiles'!G38&gt;18,(0.0043*('Temperature Profiles'!G38^2)-0.1116*'Temperature Profiles'!G38+0.6576)*1000,IF('Temperature Profiles'!G38&lt;17,(0.0053*('Temperature Profiles'!G38^2)-0.1876*'Temperature Profiles'!G38+1.7649)*1000,0))</f>
        <v>131.20755555555542</v>
      </c>
      <c r="DC39" s="110">
        <v>0.35416666666666702</v>
      </c>
      <c r="DD39" s="211">
        <f>IF('Temperature Profiles'!G38&gt;18,(0.0057*('Temperature Profiles'!G38^2)-0.1509*'Temperature Profiles'!G38+0.8935)*1000,IF('Temperature Profiles'!G38&lt;17,(0.0072*('Temperature Profiles'!G38^2)-0.254*'Temperature Profiles'!G38+2.3952)*1000,0))</f>
        <v>189.03466666666668</v>
      </c>
      <c r="DE39" s="21"/>
      <c r="DF39" s="110">
        <v>0.35416666666666702</v>
      </c>
      <c r="DG39" s="209">
        <f>IF('Temperature Profiles'!L38&gt;18,(0.0024*('Temperature Profiles'!L38^2)-0.0581*'Temperature Profiles'!L38+0.3293)*1000,IF('Temperature Profiles'!L38&lt;17,(0.0022*('Temperature Profiles'!L38^2)-0.0874*'Temperature Profiles'!L38+0.9301)*1000,0))</f>
        <v>280.30000000000007</v>
      </c>
      <c r="DH39" s="110">
        <v>0.35416666666666702</v>
      </c>
      <c r="DI39" s="209">
        <f>IF('Temperature Profiles'!L38&gt;18,(0.0043*('Temperature Profiles'!L38^2)-0.1116*'Temperature Profiles'!L38+0.6576)*1000,IF('Temperature Profiles'!L38&lt;17,(0.0053*('Temperature Profiles'!L38^2)-0.1876*'Temperature Profiles'!L38+1.7649)*1000,0))</f>
        <v>394.71111111111099</v>
      </c>
      <c r="DJ39" s="110">
        <v>0.35416666666666702</v>
      </c>
      <c r="DK39" s="211">
        <f>IF('Temperature Profiles'!L38&gt;18,(0.0057*('Temperature Profiles'!L38^2)-0.1509*'Temperature Profiles'!L38+0.8935)*1000,IF('Temperature Profiles'!L38&lt;17,(0.0072*('Temperature Profiles'!L38^2)-0.254*'Temperature Profiles'!L38+2.3952)*1000,0))</f>
        <v>475.833333333334</v>
      </c>
      <c r="DL39" s="21"/>
      <c r="DM39" s="110">
        <v>0.35416666666666702</v>
      </c>
      <c r="DN39" s="209">
        <f>IF('Temperature Profiles'!Q38&gt;18,(0.0024*('Temperature Profiles'!Q38^2)-0.0581*'Temperature Profiles'!Q38+0.3293)*1000,IF('Temperature Profiles'!Q38&lt;17,(0.0022*('Temperature Profiles'!Q38^2)-0.0874*'Temperature Profiles'!Q38+0.9301)*1000,0))</f>
        <v>435.55833333333356</v>
      </c>
      <c r="DO39" s="110">
        <v>0.35416666666666702</v>
      </c>
      <c r="DP39" s="209">
        <f>IF('Temperature Profiles'!Q38&gt;18,(0.0043*('Temperature Profiles'!Q38^2)-0.1116*'Temperature Profiles'!Q38+0.6576)*1000,IF('Temperature Profiles'!Q38&lt;17,(0.0053*('Temperature Profiles'!Q38^2)-0.1876*'Temperature Profiles'!Q38+1.7649)*1000,0))</f>
        <v>653.49652777777806</v>
      </c>
      <c r="DQ39" s="110">
        <v>0.35416666666666702</v>
      </c>
      <c r="DR39" s="211">
        <f>IF('Temperature Profiles'!Q38&gt;18,(0.0057*('Temperature Profiles'!Q38^2)-0.1509*'Temperature Profiles'!Q38+0.8935)*1000,IF('Temperature Profiles'!Q38&lt;17,(0.0072*('Temperature Profiles'!Q38^2)-0.254*'Temperature Profiles'!Q38+2.3952)*1000,0))</f>
        <v>811.21458333333374</v>
      </c>
      <c r="DS39" s="21"/>
      <c r="DT39" s="110">
        <v>0.35416666666666702</v>
      </c>
      <c r="DU39" s="209">
        <f>IF('Temperature Profiles'!V38&gt;18,(0.0024*('Temperature Profiles'!V38^2)-0.0581*'Temperature Profiles'!V38+0.3293)*1000,IF('Temperature Profiles'!V38&lt;17,(0.0022*('Temperature Profiles'!V38^2)-0.0874*'Temperature Profiles'!V38+0.9301)*1000,0))</f>
        <v>0</v>
      </c>
      <c r="DV39" s="110">
        <v>0.35416666666666702</v>
      </c>
      <c r="DW39" s="209">
        <f>IF('Temperature Profiles'!V38&gt;18,(0.0043*('Temperature Profiles'!V38^2)-0.1116*'Temperature Profiles'!V38+0.6576)*1000,IF('Temperature Profiles'!V38&lt;17,(0.0053*('Temperature Profiles'!V38^2)-0.1876*'Temperature Profiles'!V38+1.7649)*1000,0))</f>
        <v>0</v>
      </c>
      <c r="DX39" s="110">
        <v>0.35416666666666702</v>
      </c>
      <c r="DY39" s="211">
        <f>IF('Temperature Profiles'!V38&gt;18,(0.0057*('Temperature Profiles'!V38^2)-0.1509*'Temperature Profiles'!V38+0.8935)*1000,IF('Temperature Profiles'!V38&lt;17,(0.0072*('Temperature Profiles'!V38^2)-0.254*'Temperature Profiles'!V38+2.3952)*1000,0))</f>
        <v>0</v>
      </c>
      <c r="DZ39" s="21"/>
      <c r="EA39" s="110">
        <v>0.35416666666666702</v>
      </c>
      <c r="EB39" s="209">
        <f>IF('Temperature Profiles'!AA137&gt;18,(0.0024*('Temperature Profiles'!AA137^2)-0.0581*'Temperature Profiles'!AA137+0.3293)*1000,IF('Temperature Profiles'!AA137&lt;17,(0.0022*('Temperature Profiles'!AA137^2)-0.0874*'Temperature Profiles'!AA137+0.9301)*1000,0))</f>
        <v>754.30937499999982</v>
      </c>
      <c r="EC39" s="110">
        <v>0.35416666666666702</v>
      </c>
      <c r="ED39" s="209">
        <f>IF('Temperature Profiles'!AA137&gt;18,(0.0043*('Temperature Profiles'!AA137^2)-0.1116*'Temperature Profiles'!AA137+0.6576)*1000,IF('Temperature Profiles'!AA137&lt;17,(0.0053*('Temperature Profiles'!AA137^2)-0.1876*'Temperature Profiles'!AA137+1.7649)*1000,0))</f>
        <v>1390.1828124999995</v>
      </c>
      <c r="EE39" s="110">
        <v>0.35416666666666702</v>
      </c>
      <c r="EF39" s="211">
        <f>IF('Temperature Profiles'!AA137&gt;18,(0.0057*('Temperature Profiles'!AA137^2)-0.1509*'Temperature Profiles'!AA137+0.8935)*1000,IF('Temperature Profiles'!AA137&lt;17,(0.0072*('Temperature Profiles'!AA137^2)-0.254*'Temperature Profiles'!AA137+2.3952)*1000,0))</f>
        <v>1887.9624999999996</v>
      </c>
      <c r="EG39" s="21"/>
      <c r="EH39" s="110">
        <v>0.35416666666666702</v>
      </c>
      <c r="EI39" s="211">
        <f>IF('Temperature Profiles'!AF38&gt;18,(0.0024*('Temperature Profiles'!AF38^2)-0.0581*'Temperature Profiles'!AF38+0.3293)*1000,IF('Temperature Profiles'!AF38&lt;17,(0.0022*('Temperature Profiles'!AF38^2)-0.0874*'Temperature Profiles'!AF38+0.9301)*1000,0))</f>
        <v>523.3889999999999</v>
      </c>
      <c r="EJ39" s="110">
        <v>0.35416666666666702</v>
      </c>
      <c r="EK39" s="211">
        <f>IF('Temperature Profiles'!AF38&gt;18,(0.0043*('Temperature Profiles'!AF38^2)-0.1116*'Temperature Profiles'!AF38+0.6576)*1000,IF('Temperature Profiles'!AF38&lt;17,(0.0053*('Temperature Profiles'!AF38^2)-0.1876*'Temperature Profiles'!AF38+1.7649)*1000,0))</f>
        <v>801.35452777777778</v>
      </c>
      <c r="EL39" s="110">
        <v>0.35416666666666702</v>
      </c>
      <c r="EM39" s="211">
        <f>IF('Temperature Profiles'!AF38&gt;18,(0.0057*('Temperature Profiles'!AF38^2)-0.1509*'Temperature Profiles'!AF38+0.8935)*1000,IF('Temperature Profiles'!AF38&lt;17,(0.0072*('Temperature Profiles'!AF38^2)-0.254*'Temperature Profiles'!AF38+2.3952)*1000,0))</f>
        <v>1003.456583333334</v>
      </c>
      <c r="EN39" s="21"/>
      <c r="EO39" s="110">
        <v>0.35416666666666702</v>
      </c>
      <c r="EP39" s="211"/>
      <c r="EQ39" s="21"/>
      <c r="ER39" s="110">
        <v>0.35416666666666702</v>
      </c>
      <c r="ES39" s="264"/>
      <c r="EU39" s="260">
        <v>0.35416666666666702</v>
      </c>
      <c r="EV39" s="209">
        <f>IF('Temperature Profiles'!AA137&gt;18,(0.0024*('Temperature Profiles'!AA137^2)-0.0581*'Temperature Profiles'!AA137+0.3293)*1000,IF('Temperature Profiles'!AA137&lt;17,(0.0022*('Temperature Profiles'!AA137^2)-0.0874*'Temperature Profiles'!AA137+0.9301)*1000,0))</f>
        <v>754.30937499999982</v>
      </c>
      <c r="EW39" s="110">
        <v>0.35416666666666702</v>
      </c>
      <c r="EX39" s="209">
        <f>IF('Temperature Profiles'!AA137&gt;18,(0.0043*('Temperature Profiles'!AA137^2)-0.1116*'Temperature Profiles'!AA137+0.6576)*1000,IF('Temperature Profiles'!AA137&lt;17,(0.0053*('Temperature Profiles'!AA137^2)-0.1876*'Temperature Profiles'!AA137+1.7649)*1000,0))</f>
        <v>1390.1828124999995</v>
      </c>
      <c r="EY39" s="110">
        <v>0.35416666666666702</v>
      </c>
      <c r="EZ39" s="264">
        <f>IF('Temperature Profiles'!AA137&gt;18,(0.0057*('Temperature Profiles'!AA137^2)-0.1509*'Temperature Profiles'!AA137+0.8935)*1000,IF('Temperature Profiles'!AA137&lt;17,(0.0072*('Temperature Profiles'!AA137^2)-0.254*'Temperature Profiles'!AA137+2.3952)*1000,0))</f>
        <v>1887.9624999999996</v>
      </c>
    </row>
    <row r="40" spans="1:156" x14ac:dyDescent="0.3">
      <c r="A40" s="108">
        <v>0.35416666666666702</v>
      </c>
      <c r="B40" s="226">
        <f t="shared" si="0"/>
        <v>0</v>
      </c>
      <c r="C40" s="21">
        <f t="shared" si="1"/>
        <v>335.08333333333337</v>
      </c>
      <c r="D40" s="20">
        <f t="shared" si="2"/>
        <v>1887.9624999999996</v>
      </c>
      <c r="E40" s="20">
        <f t="shared" si="3"/>
        <v>1887.9624999999996</v>
      </c>
      <c r="G40" s="260">
        <v>0.36458333333333298</v>
      </c>
      <c r="H40" s="211">
        <f>IF('Temperature Profiles'!G39&gt;17,(0.0029*('Temperature Profiles'!G39^2) - 0.0863*'Temperature Profiles'!G39 + 0.6808)*1000,0)</f>
        <v>0</v>
      </c>
      <c r="I40" s="110">
        <v>0.36458333333333298</v>
      </c>
      <c r="J40" s="211">
        <f>IF('Temperature Profiles'!G39&gt;17,(0.005*('Temperature Profiles'!G39^2) - 0.1517*'Temperature Profiles'!G39 + 1.1702)*1000,0)</f>
        <v>0</v>
      </c>
      <c r="K40" s="110">
        <v>0.36458333333333298</v>
      </c>
      <c r="L40" s="211">
        <f>IF('Temperature Profiles'!G39&gt;17,(0.0068*('Temperature Profiles'!G39^2) - 0.2129*'Temperature Profiles'!G39 + 1.6904)*1000,0)</f>
        <v>0</v>
      </c>
      <c r="M40" s="21"/>
      <c r="N40" s="110">
        <v>0.36458333333333298</v>
      </c>
      <c r="O40" s="211">
        <f>IF('Temperature Profiles'!L39&gt;17,(0.0029*('Temperature Profiles'!L39^2) - 0.0863*'Temperature Profiles'!L39 + 0.6808)*1000,0)</f>
        <v>246.02222222222224</v>
      </c>
      <c r="P40" s="110">
        <v>0.36458333333333298</v>
      </c>
      <c r="Q40" s="211">
        <f>IF('Temperature Profiles'!L39&gt;17,(0.005*('Temperature Profiles'!L39^2) - 0.1517*'Temperature Profiles'!L39 + 1.1702)*1000,0)</f>
        <v>352.75555555555547</v>
      </c>
      <c r="R40" s="110">
        <v>0.36458333333333298</v>
      </c>
      <c r="S40" s="211">
        <f>IF('Temperature Profiles'!L39&gt;17,(0.0068*('Temperature Profiles'!L39^2) - 0.2129*'Temperature Profiles'!L39 + 1.6904)*1000,0)</f>
        <v>424.95555555555552</v>
      </c>
      <c r="T40" s="21"/>
      <c r="U40" s="110">
        <v>0.36458333333333298</v>
      </c>
      <c r="V40" s="211">
        <f>IF('Temperature Profiles'!Q39&gt;17,(0.0029*('Temperature Profiles'!Q39^2) - 0.0863*'Temperature Profiles'!Q39 + 0.6808)*1000,0)</f>
        <v>392.04513888888891</v>
      </c>
      <c r="W40" s="110">
        <v>0.36458333333333298</v>
      </c>
      <c r="X40" s="211">
        <f>IF('Temperature Profiles'!Q39&gt;17,(0.005*('Temperature Profiles'!Q39^2) - 0.1517*'Temperature Profiles'!Q39 + 1.1702)*1000,0)</f>
        <v>597.00972222222242</v>
      </c>
      <c r="Y40" s="110">
        <v>0.36458333333333298</v>
      </c>
      <c r="Z40" s="211">
        <f>IF('Temperature Profiles'!Q39&gt;17,(0.0068*('Temperature Profiles'!Q39^2) - 0.2129*'Temperature Profiles'!Q39 + 1.6904)*1000,0)</f>
        <v>740.12222222222283</v>
      </c>
      <c r="AA40" s="21"/>
      <c r="AB40" s="110">
        <v>0.36458333333333298</v>
      </c>
      <c r="AC40" s="211">
        <f>IF('Temperature Profiles'!V39&gt;17,(0.0029*('Temperature Profiles'!V39^2) - 0.0863*'Temperature Profiles'!V39 + 0.6808)*1000,0)</f>
        <v>55.171034722222181</v>
      </c>
      <c r="AD40" s="110">
        <v>0.36458333333333298</v>
      </c>
      <c r="AE40" s="211">
        <f>IF('Temperature Profiles'!V39&gt;17,(0.005*('Temperature Profiles'!V39^2) - 0.1517*'Temperature Profiles'!V39 + 1.1702)*1000,0)</f>
        <v>41.361180555555599</v>
      </c>
      <c r="AF40" s="110">
        <v>0.36458333333333298</v>
      </c>
      <c r="AG40" s="211">
        <f>IF('Temperature Profiles'!V39&gt;17,(0.0068*('Temperature Profiles'!V39^2) - 0.2129*'Temperature Profiles'!V39 + 1.6904)*1000,0)</f>
        <v>41.481305555555181</v>
      </c>
      <c r="AH40" s="21"/>
      <c r="AI40" s="110">
        <v>0.36458333333333298</v>
      </c>
      <c r="AJ40" s="211">
        <f>IF('Temperature Profiles'!AA39&gt;17,(0.0029*('Temperature Profiles'!AA39^2) - 0.0863*'Temperature Profiles'!AA39 + 0.6808)*1000,0)</f>
        <v>0</v>
      </c>
      <c r="AK40" s="110">
        <v>0.36458333333333298</v>
      </c>
      <c r="AL40" s="211">
        <f>IF('Temperature Profiles'!AA39&gt;17,(0.005*('Temperature Profiles'!AA39^2) - 0.1517*'Temperature Profiles'!AA39 + 1.1701)*1000,0)</f>
        <v>0</v>
      </c>
      <c r="AM40" s="110">
        <v>0.36458333333333298</v>
      </c>
      <c r="AN40" s="211">
        <f>IF('Temperature Profiles'!AA39&gt;17,(0.0068*('Temperature Profiles'!AA39^2) - 0.2129*'Temperature Profiles'!AA39 + 1.6904)*1000,0)</f>
        <v>0</v>
      </c>
      <c r="AO40" s="21"/>
      <c r="AP40" s="110">
        <v>0.36458333333333298</v>
      </c>
      <c r="AQ40" s="211">
        <f>IF('Temperature Profiles'!AF39&gt;17,(0.0029*('Temperature Profiles'!AF39^2) - 0.0863*'Temperature Profiles'!AF39 + 0.6808)*1000,0)</f>
        <v>477.78580555555584</v>
      </c>
      <c r="AR40" s="110">
        <v>0.36458333333333298</v>
      </c>
      <c r="AS40" s="183">
        <f>IF('Temperature Profiles'!AF39&gt;17,(0.005*('Temperature Profiles'!AF39^2) - 0.1517*'Temperature Profiles'!AF39 + 1.1702)*1000,0)</f>
        <v>741.15638888888964</v>
      </c>
      <c r="AT40" s="110">
        <v>0.36458333333333298</v>
      </c>
      <c r="AU40" s="211">
        <f>IF('Temperature Profiles'!AF39&gt;17,(0.0068*('Temperature Profiles'!AF39^2) - 0.2129*'Temperature Profiles'!AF39 + 1.6904)*1000,0)</f>
        <v>927.81688888888914</v>
      </c>
      <c r="AV40" s="21"/>
      <c r="AW40" s="110">
        <v>0.36458333333333298</v>
      </c>
      <c r="AX40" s="211"/>
      <c r="AY40" s="21"/>
      <c r="AZ40" s="110">
        <v>0.36458333333333298</v>
      </c>
      <c r="BA40" s="264"/>
      <c r="BC40" s="260">
        <v>0.36458333333333298</v>
      </c>
      <c r="BD40" s="211">
        <f>IF('Temperature Profiles'!G39&lt;16,(-0.0037*'Temperature Profiles'!G39+0.0664)*1000,0)</f>
        <v>9.1733333333333249</v>
      </c>
      <c r="BE40" s="110">
        <v>0.36458333333333298</v>
      </c>
      <c r="BF40" s="211">
        <f>IF('Temperature Profiles'!G39&lt;16,(-0.0076*'Temperature Profiles'!G39+0.1245)*1000,0)</f>
        <v>6.9533333333333252</v>
      </c>
      <c r="BG40" s="110">
        <v>0.36458333333333298</v>
      </c>
      <c r="BH40" s="211">
        <f>IF('Temperature Profiles'!G39&lt;16,(-0.01*'Temperature Profiles'!G39+0.167)*1000,0)</f>
        <v>12.333333333333307</v>
      </c>
      <c r="BI40" s="21"/>
      <c r="BJ40" s="110">
        <v>0.36458333333333298</v>
      </c>
      <c r="BK40" s="211">
        <f>IF('Temperature Profiles'!L39&lt;16,(-0.0037*'Temperature Profiles'!L39+0.0664)*1000,0)</f>
        <v>0</v>
      </c>
      <c r="BL40" s="110">
        <v>0.36458333333333298</v>
      </c>
      <c r="BM40" s="211">
        <f>IF('Temperature Profiles'!L39&lt;16,(-0.0076*'Temperature Profiles'!L39+0.1245)*1000,0)</f>
        <v>0</v>
      </c>
      <c r="BN40" s="110">
        <v>0.36458333333333298</v>
      </c>
      <c r="BO40" s="211">
        <f>IF('Temperature Profiles'!L39&lt;16,(-0.01*'Temperature Profiles'!L39+0.167)*1000,0)</f>
        <v>0</v>
      </c>
      <c r="BP40" s="21"/>
      <c r="BQ40" s="110">
        <v>0.36458333333333298</v>
      </c>
      <c r="BR40" s="211">
        <f>IF('Temperature Profiles'!Q39&lt;16,(-0.0037*'Temperature Profiles'!Q39+0.0664)*1000,0)</f>
        <v>0</v>
      </c>
      <c r="BS40" s="110">
        <v>0.36458333333333298</v>
      </c>
      <c r="BT40" s="211">
        <f>IF('Temperature Profiles'!Q39&lt;16,(-0.0076*'Temperature Profiles'!Q39+0.1245)*1000,0)</f>
        <v>0</v>
      </c>
      <c r="BU40" s="110">
        <v>0.36458333333333298</v>
      </c>
      <c r="BV40" s="211">
        <f>IF('Temperature Profiles'!Q39&lt;16,(-0.01*'Temperature Profiles'!Q39+0.167)*1000,0)</f>
        <v>0</v>
      </c>
      <c r="BW40" s="21"/>
      <c r="BX40" s="110">
        <v>0.36458333333333298</v>
      </c>
      <c r="BY40" s="211">
        <f>IF('Temperature Profiles'!V39&lt;16,(-0.0037*'Temperature Profiles'!V39+0.0664)*1000,0)</f>
        <v>0</v>
      </c>
      <c r="BZ40" s="110">
        <v>0.36458333333333298</v>
      </c>
      <c r="CA40" s="211">
        <f>IF('Temperature Profiles'!V39&lt;16,(-0.0076*'Temperature Profiles'!V39+0.1245)*1000,0)</f>
        <v>0</v>
      </c>
      <c r="CB40" s="110">
        <v>0.36458333333333298</v>
      </c>
      <c r="CC40" s="211">
        <f>IF('Temperature Profiles'!V39&lt;16,(-0.01*'Temperature Profiles'!V39+0.167)*1000,0)</f>
        <v>0</v>
      </c>
      <c r="CD40" s="21"/>
      <c r="CE40" s="110">
        <v>0.36458333333333298</v>
      </c>
      <c r="CF40" s="211">
        <f>IF('Temperature Profiles'!AA39&lt;16,(-0.0037*'Temperature Profiles'!AA39+0.0664)*1000,0)</f>
        <v>128.59083333333331</v>
      </c>
      <c r="CG40" s="110">
        <v>0.36458333333333298</v>
      </c>
      <c r="CH40" s="178">
        <f>IF('Temperature Profiles'!AA39&lt;16,(-0.0076*'Temperature Profiles'!AA39+0.1245)*1000,0)</f>
        <v>252.24333333333337</v>
      </c>
      <c r="CI40" s="110">
        <v>0.36458333333333298</v>
      </c>
      <c r="CJ40" s="211">
        <f>IF('Temperature Profiles'!AA39&lt;16,(-0.01*'Temperature Profiles'!AA39+0.167)*1000,0)</f>
        <v>335.08333333333337</v>
      </c>
      <c r="CK40" s="21"/>
      <c r="CL40" s="110">
        <v>0.36458333333333298</v>
      </c>
      <c r="CM40" s="211">
        <f>IF('Temperature Profiles'!AF39&lt;16,(-0.0037*'Temperature Profiles'!AF39+0.0664)*1000,0)</f>
        <v>0</v>
      </c>
      <c r="CN40" s="110">
        <v>0.36458333333333298</v>
      </c>
      <c r="CO40" s="178">
        <f>IF('Temperature Profiles'!AF39&lt;16,(-0.0076*'Temperature Profiles'!AF39+0.1245)*1000,0)</f>
        <v>0</v>
      </c>
      <c r="CP40" s="110">
        <v>0.36458333333333298</v>
      </c>
      <c r="CQ40" s="211">
        <f>IF('Temperature Profiles'!AF39&lt;16,(-0.01*'Temperature Profiles'!AF39+0.167)*1000,0)</f>
        <v>0</v>
      </c>
      <c r="CR40" s="21"/>
      <c r="CS40" s="110">
        <v>0.36458333333333298</v>
      </c>
      <c r="CT40" s="211"/>
      <c r="CU40" s="21"/>
      <c r="CV40" s="110">
        <v>0.36458333333333298</v>
      </c>
      <c r="CW40" s="264"/>
      <c r="CY40" s="260">
        <v>0.36458333333333298</v>
      </c>
      <c r="CZ40" s="178">
        <f>IF('Temperature Profiles'!G39&gt;18,(0.0024*('Temperature Profiles'!G39^2)-0.0581*'Temperature Profiles'!G39+0.3293)*1000,IF('Temperature Profiles'!G39&lt;17,(0.0022*('Temperature Profiles'!G39^2)-0.0874*'Temperature Profiles'!G39+0.9301)*1000,0))</f>
        <v>104.59244444444438</v>
      </c>
      <c r="DA40" s="110">
        <v>0.36458333333333298</v>
      </c>
      <c r="DB40" s="263">
        <f>IF('Temperature Profiles'!G39&gt;18,(0.0043*('Temperature Profiles'!G39^2)-0.1116*'Temperature Profiles'!G39+0.6576)*1000,IF('Temperature Profiles'!G39&lt;17,(0.0053*('Temperature Profiles'!G39^2)-0.1876*'Temperature Profiles'!G39+1.7649)*1000,0))</f>
        <v>131.20755555555542</v>
      </c>
      <c r="DC40" s="110">
        <v>0.36458333333333298</v>
      </c>
      <c r="DD40" s="211">
        <f>IF('Temperature Profiles'!G39&gt;18,(0.0057*('Temperature Profiles'!G39^2)-0.1509*'Temperature Profiles'!G39+0.8935)*1000,IF('Temperature Profiles'!G39&lt;17,(0.0072*('Temperature Profiles'!G39^2)-0.254*'Temperature Profiles'!G39+2.3952)*1000,0))</f>
        <v>189.03466666666668</v>
      </c>
      <c r="DE40" s="21"/>
      <c r="DF40" s="110">
        <v>0.36458333333333298</v>
      </c>
      <c r="DG40" s="209">
        <f>IF('Temperature Profiles'!L39&gt;18,(0.0024*('Temperature Profiles'!L39^2)-0.0581*'Temperature Profiles'!L39+0.3293)*1000,IF('Temperature Profiles'!L39&lt;17,(0.0022*('Temperature Profiles'!L39^2)-0.0874*'Temperature Profiles'!L39+0.9301)*1000,0))</f>
        <v>280.30000000000007</v>
      </c>
      <c r="DH40" s="110">
        <v>0.36458333333333298</v>
      </c>
      <c r="DI40" s="209">
        <f>IF('Temperature Profiles'!L39&gt;18,(0.0043*('Temperature Profiles'!L39^2)-0.1116*'Temperature Profiles'!L39+0.6576)*1000,IF('Temperature Profiles'!L39&lt;17,(0.0053*('Temperature Profiles'!L39^2)-0.1876*'Temperature Profiles'!L39+1.7649)*1000,0))</f>
        <v>394.71111111111099</v>
      </c>
      <c r="DJ40" s="110">
        <v>0.36458333333333298</v>
      </c>
      <c r="DK40" s="211">
        <f>IF('Temperature Profiles'!L39&gt;18,(0.0057*('Temperature Profiles'!L39^2)-0.1509*'Temperature Profiles'!L39+0.8935)*1000,IF('Temperature Profiles'!L39&lt;17,(0.0072*('Temperature Profiles'!L39^2)-0.254*'Temperature Profiles'!L39+2.3952)*1000,0))</f>
        <v>475.833333333334</v>
      </c>
      <c r="DL40" s="21"/>
      <c r="DM40" s="110">
        <v>0.36458333333333298</v>
      </c>
      <c r="DN40" s="209">
        <f>IF('Temperature Profiles'!Q39&gt;18,(0.0024*('Temperature Profiles'!Q39^2)-0.0581*'Temperature Profiles'!Q39+0.3293)*1000,IF('Temperature Profiles'!Q39&lt;17,(0.0022*('Temperature Profiles'!Q39^2)-0.0874*'Temperature Profiles'!Q39+0.9301)*1000,0))</f>
        <v>435.55833333333356</v>
      </c>
      <c r="DO40" s="110">
        <v>0.36458333333333298</v>
      </c>
      <c r="DP40" s="209">
        <f>IF('Temperature Profiles'!Q39&gt;18,(0.0043*('Temperature Profiles'!Q39^2)-0.1116*'Temperature Profiles'!Q39+0.6576)*1000,IF('Temperature Profiles'!Q39&lt;17,(0.0053*('Temperature Profiles'!Q39^2)-0.1876*'Temperature Profiles'!Q39+1.7649)*1000,0))</f>
        <v>653.49652777777806</v>
      </c>
      <c r="DQ40" s="110">
        <v>0.36458333333333298</v>
      </c>
      <c r="DR40" s="211">
        <f>IF('Temperature Profiles'!Q39&gt;18,(0.0057*('Temperature Profiles'!Q39^2)-0.1509*'Temperature Profiles'!Q39+0.8935)*1000,IF('Temperature Profiles'!Q39&lt;17,(0.0072*('Temperature Profiles'!Q39^2)-0.254*'Temperature Profiles'!Q39+2.3952)*1000,0))</f>
        <v>811.21458333333374</v>
      </c>
      <c r="DS40" s="21"/>
      <c r="DT40" s="110">
        <v>0.36458333333333298</v>
      </c>
      <c r="DU40" s="209">
        <f>IF('Temperature Profiles'!V39&gt;18,(0.0024*('Temperature Profiles'!V39^2)-0.0581*'Temperature Profiles'!V39+0.3293)*1000,IF('Temperature Profiles'!V39&lt;17,(0.0022*('Temperature Profiles'!V39^2)-0.0874*'Temperature Profiles'!V39+0.9301)*1000,0))</f>
        <v>0</v>
      </c>
      <c r="DV40" s="110">
        <v>0.36458333333333298</v>
      </c>
      <c r="DW40" s="209">
        <f>IF('Temperature Profiles'!V39&gt;18,(0.0043*('Temperature Profiles'!V39^2)-0.1116*'Temperature Profiles'!V39+0.6576)*1000,IF('Temperature Profiles'!V39&lt;17,(0.0053*('Temperature Profiles'!V39^2)-0.1876*'Temperature Profiles'!V39+1.7649)*1000,0))</f>
        <v>0</v>
      </c>
      <c r="DX40" s="110">
        <v>0.36458333333333298</v>
      </c>
      <c r="DY40" s="211">
        <f>IF('Temperature Profiles'!V39&gt;18,(0.0057*('Temperature Profiles'!V39^2)-0.1509*'Temperature Profiles'!V39+0.8935)*1000,IF('Temperature Profiles'!V39&lt;17,(0.0072*('Temperature Profiles'!V39^2)-0.254*'Temperature Profiles'!V39+2.3952)*1000,0))</f>
        <v>0</v>
      </c>
      <c r="DZ40" s="21"/>
      <c r="EA40" s="110">
        <v>0.36458333333333298</v>
      </c>
      <c r="EB40" s="209">
        <f>IF('Temperature Profiles'!AA138&gt;18,(0.0024*('Temperature Profiles'!AA138^2)-0.0581*'Temperature Profiles'!AA138+0.3293)*1000,IF('Temperature Profiles'!AA138&lt;17,(0.0022*('Temperature Profiles'!AA138^2)-0.0874*'Temperature Profiles'!AA138+0.9301)*1000,0))</f>
        <v>754.30937499999982</v>
      </c>
      <c r="EC40" s="110">
        <v>0.36458333333333298</v>
      </c>
      <c r="ED40" s="209">
        <f>IF('Temperature Profiles'!AA138&gt;18,(0.0043*('Temperature Profiles'!AA138^2)-0.1116*'Temperature Profiles'!AA138+0.6576)*1000,IF('Temperature Profiles'!AA138&lt;17,(0.0053*('Temperature Profiles'!AA138^2)-0.1876*'Temperature Profiles'!AA138+1.7649)*1000,0))</f>
        <v>1390.1828124999995</v>
      </c>
      <c r="EE40" s="110">
        <v>0.36458333333333298</v>
      </c>
      <c r="EF40" s="211">
        <f>IF('Temperature Profiles'!AA138&gt;18,(0.0057*('Temperature Profiles'!AA138^2)-0.1509*'Temperature Profiles'!AA138+0.8935)*1000,IF('Temperature Profiles'!AA138&lt;17,(0.0072*('Temperature Profiles'!AA138^2)-0.254*'Temperature Profiles'!AA138+2.3952)*1000,0))</f>
        <v>1887.9624999999996</v>
      </c>
      <c r="EG40" s="21"/>
      <c r="EH40" s="110">
        <v>0.36458333333333298</v>
      </c>
      <c r="EI40" s="211">
        <f>IF('Temperature Profiles'!AF39&gt;18,(0.0024*('Temperature Profiles'!AF39^2)-0.0581*'Temperature Profiles'!AF39+0.3293)*1000,IF('Temperature Profiles'!AF39&lt;17,(0.0022*('Temperature Profiles'!AF39^2)-0.0874*'Temperature Profiles'!AF39+0.9301)*1000,0))</f>
        <v>523.3889999999999</v>
      </c>
      <c r="EJ40" s="110">
        <v>0.36458333333333298</v>
      </c>
      <c r="EK40" s="211">
        <f>IF('Temperature Profiles'!AF39&gt;18,(0.0043*('Temperature Profiles'!AF39^2)-0.1116*'Temperature Profiles'!AF39+0.6576)*1000,IF('Temperature Profiles'!AF39&lt;17,(0.0053*('Temperature Profiles'!AF39^2)-0.1876*'Temperature Profiles'!AF39+1.7649)*1000,0))</f>
        <v>801.35452777777778</v>
      </c>
      <c r="EL40" s="110">
        <v>0.36458333333333298</v>
      </c>
      <c r="EM40" s="211">
        <f>IF('Temperature Profiles'!AF39&gt;18,(0.0057*('Temperature Profiles'!AF39^2)-0.1509*'Temperature Profiles'!AF39+0.8935)*1000,IF('Temperature Profiles'!AF39&lt;17,(0.0072*('Temperature Profiles'!AF39^2)-0.254*'Temperature Profiles'!AF39+2.3952)*1000,0))</f>
        <v>1003.456583333334</v>
      </c>
      <c r="EN40" s="21"/>
      <c r="EO40" s="110">
        <v>0.36458333333333298</v>
      </c>
      <c r="EP40" s="211"/>
      <c r="EQ40" s="21"/>
      <c r="ER40" s="110">
        <v>0.36458333333333298</v>
      </c>
      <c r="ES40" s="264"/>
      <c r="EU40" s="260">
        <v>0.36458333333333298</v>
      </c>
      <c r="EV40" s="209">
        <f>IF('Temperature Profiles'!AA138&gt;18,(0.0024*('Temperature Profiles'!AA138^2)-0.0581*'Temperature Profiles'!AA138+0.3293)*1000,IF('Temperature Profiles'!AA138&lt;17,(0.0022*('Temperature Profiles'!AA138^2)-0.0874*'Temperature Profiles'!AA138+0.9301)*1000,0))</f>
        <v>754.30937499999982</v>
      </c>
      <c r="EW40" s="110">
        <v>0.36458333333333298</v>
      </c>
      <c r="EX40" s="209">
        <f>IF('Temperature Profiles'!AA138&gt;18,(0.0043*('Temperature Profiles'!AA138^2)-0.1116*'Temperature Profiles'!AA138+0.6576)*1000,IF('Temperature Profiles'!AA138&lt;17,(0.0053*('Temperature Profiles'!AA138^2)-0.1876*'Temperature Profiles'!AA138+1.7649)*1000,0))</f>
        <v>1390.1828124999995</v>
      </c>
      <c r="EY40" s="110">
        <v>0.36458333333333298</v>
      </c>
      <c r="EZ40" s="264">
        <f>IF('Temperature Profiles'!AA138&gt;18,(0.0057*('Temperature Profiles'!AA138^2)-0.1509*'Temperature Profiles'!AA138+0.8935)*1000,IF('Temperature Profiles'!AA138&lt;17,(0.0072*('Temperature Profiles'!AA138^2)-0.254*'Temperature Profiles'!AA138+2.3952)*1000,0))</f>
        <v>1887.9624999999996</v>
      </c>
    </row>
    <row r="41" spans="1:156" x14ac:dyDescent="0.3">
      <c r="A41" s="108">
        <v>0.36458333333333298</v>
      </c>
      <c r="B41" s="226">
        <f t="shared" si="0"/>
        <v>0</v>
      </c>
      <c r="C41" s="21">
        <f t="shared" si="1"/>
        <v>335.08333333333337</v>
      </c>
      <c r="D41" s="20">
        <f t="shared" si="2"/>
        <v>1887.9624999999996</v>
      </c>
      <c r="E41" s="20">
        <f t="shared" si="3"/>
        <v>1887.9624999999996</v>
      </c>
      <c r="G41" s="260">
        <v>0.375</v>
      </c>
      <c r="H41" s="211">
        <f>IF('Temperature Profiles'!G40&gt;17,(0.0029*('Temperature Profiles'!G40^2) - 0.0863*'Temperature Profiles'!G40 + 0.6808)*1000,0)</f>
        <v>0</v>
      </c>
      <c r="I41" s="110">
        <v>0.375</v>
      </c>
      <c r="J41" s="211">
        <f>IF('Temperature Profiles'!G40&gt;17,(0.005*('Temperature Profiles'!G40^2) - 0.1517*'Temperature Profiles'!G40 + 1.1702)*1000,0)</f>
        <v>0</v>
      </c>
      <c r="K41" s="110">
        <v>0.375</v>
      </c>
      <c r="L41" s="211">
        <f>IF('Temperature Profiles'!G40&gt;17,(0.0068*('Temperature Profiles'!G40^2) - 0.2129*'Temperature Profiles'!G40 + 1.6904)*1000,0)</f>
        <v>0</v>
      </c>
      <c r="M41" s="21"/>
      <c r="N41" s="110">
        <v>0.375</v>
      </c>
      <c r="O41" s="211">
        <f>IF('Temperature Profiles'!L40&gt;17,(0.0029*('Temperature Profiles'!L40^2) - 0.0863*'Temperature Profiles'!L40 + 0.6808)*1000,0)</f>
        <v>315.13820138888872</v>
      </c>
      <c r="P41" s="110">
        <v>0.375</v>
      </c>
      <c r="Q41" s="211">
        <f>IF('Temperature Profiles'!L40&gt;17,(0.005*('Temperature Profiles'!L40^2) - 0.1517*'Temperature Profiles'!L40 + 1.1702)*1000,0)</f>
        <v>468.11784722222205</v>
      </c>
      <c r="R41" s="110">
        <v>0.375</v>
      </c>
      <c r="S41" s="211">
        <f>IF('Temperature Profiles'!L40&gt;17,(0.0068*('Temperature Profiles'!L40^2) - 0.2129*'Temperature Profiles'!L40 + 1.6904)*1000,0)</f>
        <v>573.22897222222173</v>
      </c>
      <c r="T41" s="21"/>
      <c r="U41" s="110">
        <v>0.375</v>
      </c>
      <c r="V41" s="211">
        <f>IF('Temperature Profiles'!Q40&gt;17,(0.0029*('Temperature Profiles'!Q40^2) - 0.0863*'Temperature Profiles'!Q40 + 0.6808)*1000,0)</f>
        <v>539.26913888888873</v>
      </c>
      <c r="W41" s="110">
        <v>0.375</v>
      </c>
      <c r="X41" s="211">
        <f>IF('Temperature Profiles'!Q40&gt;17,(0.005*('Temperature Profiles'!Q40^2) - 0.1517*'Temperature Profiles'!Q40 + 1.1702)*1000,0)</f>
        <v>844.73972222222255</v>
      </c>
      <c r="Y41" s="110">
        <v>0.375</v>
      </c>
      <c r="Z41" s="211">
        <f>IF('Temperature Profiles'!Q40&gt;17,(0.0068*('Temperature Profiles'!Q40^2) - 0.2129*'Temperature Profiles'!Q40 + 1.6904)*1000,0)</f>
        <v>1063.2002222222225</v>
      </c>
      <c r="AA41" s="21"/>
      <c r="AB41" s="110">
        <v>0.375</v>
      </c>
      <c r="AC41" s="211">
        <f>IF('Temperature Profiles'!V40&gt;17,(0.0029*('Temperature Profiles'!V40^2) - 0.0863*'Temperature Profiles'!V40 + 0.6808)*1000,0)</f>
        <v>64.927805555555437</v>
      </c>
      <c r="AD41" s="110">
        <v>0.375</v>
      </c>
      <c r="AE41" s="211">
        <f>IF('Temperature Profiles'!V40&gt;17,(0.005*('Temperature Profiles'!V40^2) - 0.1517*'Temperature Profiles'!V40 + 1.1702)*1000,0)</f>
        <v>56.366388888888565</v>
      </c>
      <c r="AF41" s="110">
        <v>0.375</v>
      </c>
      <c r="AG41" s="211">
        <f>IF('Temperature Profiles'!V40&gt;17,(0.0068*('Temperature Profiles'!V40^2) - 0.2129*'Temperature Profiles'!V40 + 1.6904)*1000,0)</f>
        <v>57.770888888888372</v>
      </c>
      <c r="AH41" s="21"/>
      <c r="AI41" s="110">
        <v>0.375</v>
      </c>
      <c r="AJ41" s="211">
        <f>IF('Temperature Profiles'!AA40&gt;17,(0.0029*('Temperature Profiles'!AA40^2) - 0.0863*'Temperature Profiles'!AA40 + 0.6808)*1000,0)</f>
        <v>0</v>
      </c>
      <c r="AK41" s="110">
        <v>0.375</v>
      </c>
      <c r="AL41" s="211">
        <f>IF('Temperature Profiles'!AA40&gt;17,(0.005*('Temperature Profiles'!AA40^2) - 0.1517*'Temperature Profiles'!AA40 + 1.1701)*1000,0)</f>
        <v>0</v>
      </c>
      <c r="AM41" s="110">
        <v>0.375</v>
      </c>
      <c r="AN41" s="211">
        <f>IF('Temperature Profiles'!AA40&gt;17,(0.0068*('Temperature Profiles'!AA40^2) - 0.2129*'Temperature Profiles'!AA40 + 1.6904)*1000,0)</f>
        <v>0</v>
      </c>
      <c r="AO41" s="21"/>
      <c r="AP41" s="110">
        <v>0.375</v>
      </c>
      <c r="AQ41" s="211">
        <f>IF('Temperature Profiles'!AF40&gt;17,(0.0029*('Temperature Profiles'!AF40^2) - 0.0863*'Temperature Profiles'!AF40 + 0.6808)*1000,0)</f>
        <v>639.0462222222227</v>
      </c>
      <c r="AR41" s="110">
        <v>0.375</v>
      </c>
      <c r="AS41" s="183">
        <f>IF('Temperature Profiles'!AF40&gt;17,(0.005*('Temperature Profiles'!AF40^2) - 0.1517*'Temperature Profiles'!AF40 + 1.1702)*1000,0)</f>
        <v>1013.1355555555568</v>
      </c>
      <c r="AT41" s="110">
        <v>0.375</v>
      </c>
      <c r="AU41" s="211">
        <f>IF('Temperature Profiles'!AF40&gt;17,(0.0068*('Temperature Profiles'!AF40^2) - 0.2129*'Temperature Profiles'!AF40 + 1.6904)*1000,0)</f>
        <v>1283.9835555555558</v>
      </c>
      <c r="AV41" s="21"/>
      <c r="AW41" s="110">
        <v>0.375</v>
      </c>
      <c r="AX41" s="211"/>
      <c r="AY41" s="21"/>
      <c r="AZ41" s="110">
        <v>0.375</v>
      </c>
      <c r="BA41" s="264"/>
      <c r="BC41" s="260">
        <v>0.375</v>
      </c>
      <c r="BD41" s="211">
        <f>IF('Temperature Profiles'!G40&lt;16,(-0.0037*'Temperature Profiles'!G40+0.0664)*1000,0)</f>
        <v>0</v>
      </c>
      <c r="BE41" s="110">
        <v>0.375</v>
      </c>
      <c r="BF41" s="211">
        <f>IF('Temperature Profiles'!G40&lt;16,(-0.0076*'Temperature Profiles'!G40+0.1245)*1000,0)</f>
        <v>0</v>
      </c>
      <c r="BG41" s="110">
        <v>0.375</v>
      </c>
      <c r="BH41" s="211">
        <f>IF('Temperature Profiles'!G40&lt;16,(-0.01*'Temperature Profiles'!G40+0.167)*1000,0)</f>
        <v>0</v>
      </c>
      <c r="BI41" s="21"/>
      <c r="BJ41" s="110">
        <v>0.375</v>
      </c>
      <c r="BK41" s="211">
        <f>IF('Temperature Profiles'!L40&lt;16,(-0.0037*'Temperature Profiles'!L40+0.0664)*1000,0)</f>
        <v>0</v>
      </c>
      <c r="BL41" s="110">
        <v>0.375</v>
      </c>
      <c r="BM41" s="211">
        <f>IF('Temperature Profiles'!L40&lt;16,(-0.0076*'Temperature Profiles'!L40+0.1245)*1000,0)</f>
        <v>0</v>
      </c>
      <c r="BN41" s="110">
        <v>0.375</v>
      </c>
      <c r="BO41" s="211">
        <f>IF('Temperature Profiles'!L40&lt;16,(-0.01*'Temperature Profiles'!L40+0.167)*1000,0)</f>
        <v>0</v>
      </c>
      <c r="BP41" s="21"/>
      <c r="BQ41" s="110">
        <v>0.375</v>
      </c>
      <c r="BR41" s="211">
        <f>IF('Temperature Profiles'!Q40&lt;16,(-0.0037*'Temperature Profiles'!Q40+0.0664)*1000,0)</f>
        <v>0</v>
      </c>
      <c r="BS41" s="110">
        <v>0.375</v>
      </c>
      <c r="BT41" s="211">
        <f>IF('Temperature Profiles'!Q40&lt;16,(-0.0076*'Temperature Profiles'!Q40+0.1245)*1000,0)</f>
        <v>0</v>
      </c>
      <c r="BU41" s="110">
        <v>0.375</v>
      </c>
      <c r="BV41" s="211">
        <f>IF('Temperature Profiles'!Q40&lt;16,(-0.01*'Temperature Profiles'!Q40+0.167)*1000,0)</f>
        <v>0</v>
      </c>
      <c r="BW41" s="21"/>
      <c r="BX41" s="110">
        <v>0.375</v>
      </c>
      <c r="BY41" s="211">
        <f>IF('Temperature Profiles'!V40&lt;16,(-0.0037*'Temperature Profiles'!V40+0.0664)*1000,0)</f>
        <v>0</v>
      </c>
      <c r="BZ41" s="110">
        <v>0.375</v>
      </c>
      <c r="CA41" s="211">
        <f>IF('Temperature Profiles'!V40&lt;16,(-0.0076*'Temperature Profiles'!V40+0.1245)*1000,0)</f>
        <v>0</v>
      </c>
      <c r="CB41" s="110">
        <v>0.375</v>
      </c>
      <c r="CC41" s="211">
        <f>IF('Temperature Profiles'!V40&lt;16,(-0.01*'Temperature Profiles'!V40+0.167)*1000,0)</f>
        <v>0</v>
      </c>
      <c r="CD41" s="21"/>
      <c r="CE41" s="110">
        <v>0.375</v>
      </c>
      <c r="CF41" s="211">
        <f>IF('Temperature Profiles'!AA40&lt;16,(-0.0037*'Temperature Profiles'!AA40+0.0664)*1000,0)</f>
        <v>116.13416666666667</v>
      </c>
      <c r="CG41" s="110">
        <v>0.375</v>
      </c>
      <c r="CH41" s="178">
        <f>IF('Temperature Profiles'!AA40&lt;16,(-0.0076*'Temperature Profiles'!AA40+0.1245)*1000,0)</f>
        <v>226.65666666666667</v>
      </c>
      <c r="CI41" s="110">
        <v>0.375</v>
      </c>
      <c r="CJ41" s="211">
        <f>IF('Temperature Profiles'!AA40&lt;16,(-0.01*'Temperature Profiles'!AA40+0.167)*1000,0)</f>
        <v>301.41666666666669</v>
      </c>
      <c r="CK41" s="21"/>
      <c r="CL41" s="110">
        <v>0.375</v>
      </c>
      <c r="CM41" s="211">
        <f>IF('Temperature Profiles'!AF40&lt;16,(-0.0037*'Temperature Profiles'!AF40+0.0664)*1000,0)</f>
        <v>0</v>
      </c>
      <c r="CN41" s="110">
        <v>0.375</v>
      </c>
      <c r="CO41" s="178">
        <f>IF('Temperature Profiles'!AF40&lt;16,(-0.0076*'Temperature Profiles'!AF40+0.1245)*1000,0)</f>
        <v>0</v>
      </c>
      <c r="CP41" s="110">
        <v>0.375</v>
      </c>
      <c r="CQ41" s="211">
        <f>IF('Temperature Profiles'!AF40&lt;16,(-0.01*'Temperature Profiles'!AF40+0.167)*1000,0)</f>
        <v>0</v>
      </c>
      <c r="CR41" s="21"/>
      <c r="CS41" s="110">
        <v>0.375</v>
      </c>
      <c r="CT41" s="211"/>
      <c r="CU41" s="21"/>
      <c r="CV41" s="110">
        <v>0.375</v>
      </c>
      <c r="CW41" s="264"/>
      <c r="CY41" s="260">
        <v>0.375</v>
      </c>
      <c r="CZ41" s="178">
        <f>IF('Temperature Profiles'!G40&gt;18,(0.0024*('Temperature Profiles'!G40^2)-0.0581*'Temperature Profiles'!G40+0.3293)*1000,IF('Temperature Profiles'!G40&lt;17,(0.0022*('Temperature Profiles'!G40^2)-0.0874*'Temperature Profiles'!G40+0.9301)*1000,0))</f>
        <v>83.616444444444497</v>
      </c>
      <c r="DA41" s="110">
        <v>0.375</v>
      </c>
      <c r="DB41" s="263">
        <f>IF('Temperature Profiles'!G40&gt;18,(0.0043*('Temperature Profiles'!G40^2)-0.1116*'Temperature Profiles'!G40+0.6576)*1000,IF('Temperature Profiles'!G40&lt;17,(0.0053*('Temperature Profiles'!G40^2)-0.1876*'Temperature Profiles'!G40+1.7649)*1000,0))</f>
        <v>109.75022222222219</v>
      </c>
      <c r="DC41" s="110">
        <v>0.375</v>
      </c>
      <c r="DD41" s="211">
        <f>IF('Temperature Profiles'!G40&gt;18,(0.0057*('Temperature Profiles'!G40^2)-0.1509*'Temperature Profiles'!G40+0.8935)*1000,IF('Temperature Profiles'!G40&lt;17,(0.0072*('Temperature Profiles'!G40^2)-0.254*'Temperature Profiles'!G40+2.3952)*1000,0))</f>
        <v>160.9653333333334</v>
      </c>
      <c r="DE41" s="21"/>
      <c r="DF41" s="110">
        <v>0.375</v>
      </c>
      <c r="DG41" s="209">
        <f>IF('Temperature Profiles'!L40&gt;18,(0.0024*('Temperature Profiles'!L40^2)-0.0581*'Temperature Profiles'!L40+0.3293)*1000,IF('Temperature Profiles'!L40&lt;17,(0.0022*('Temperature Profiles'!L40^2)-0.0874*'Temperature Profiles'!L40+0.9301)*1000,0))</f>
        <v>354.92733333333319</v>
      </c>
      <c r="DH41" s="110">
        <v>0.375</v>
      </c>
      <c r="DI41" s="209">
        <f>IF('Temperature Profiles'!L40&gt;18,(0.0043*('Temperature Profiles'!L40^2)-0.1116*'Temperature Profiles'!L40+0.6576)*1000,IF('Temperature Profiles'!L40&lt;17,(0.0053*('Temperature Profiles'!L40^2)-0.1876*'Temperature Profiles'!L40+1.7649)*1000,0))</f>
        <v>518.60046527777786</v>
      </c>
      <c r="DJ41" s="110">
        <v>0.375</v>
      </c>
      <c r="DK41" s="211">
        <f>IF('Temperature Profiles'!L40&gt;18,(0.0057*('Temperature Profiles'!L40^2)-0.1509*'Temperature Profiles'!L40+0.8935)*1000,IF('Temperature Profiles'!L40&lt;17,(0.0072*('Temperature Profiles'!L40^2)-0.254*'Temperature Profiles'!L40+2.3952)*1000,0))</f>
        <v>636.1793958333335</v>
      </c>
      <c r="DL41" s="21"/>
      <c r="DM41" s="110">
        <v>0.375</v>
      </c>
      <c r="DN41" s="209">
        <f>IF('Temperature Profiles'!Q40&gt;18,(0.0024*('Temperature Profiles'!Q40^2)-0.0581*'Temperature Profiles'!Q40+0.3293)*1000,IF('Temperature Profiles'!Q40&lt;17,(0.0022*('Temperature Profiles'!Q40^2)-0.0874*'Temperature Profiles'!Q40+0.9301)*1000,0))</f>
        <v>585.37233333333336</v>
      </c>
      <c r="DO41" s="110">
        <v>0.375</v>
      </c>
      <c r="DP41" s="209">
        <f>IF('Temperature Profiles'!Q40&gt;18,(0.0043*('Temperature Profiles'!Q40^2)-0.1116*'Temperature Profiles'!Q40+0.6576)*1000,IF('Temperature Profiles'!Q40&lt;17,(0.0053*('Temperature Profiles'!Q40^2)-0.1876*'Temperature Profiles'!Q40+1.7649)*1000,0))</f>
        <v>906.1545277777783</v>
      </c>
      <c r="DQ41" s="110">
        <v>0.375</v>
      </c>
      <c r="DR41" s="211">
        <f>IF('Temperature Profiles'!Q40&gt;18,(0.0057*('Temperature Profiles'!Q40^2)-0.1509*'Temperature Profiles'!Q40+0.8935)*1000,IF('Temperature Profiles'!Q40&lt;17,(0.0072*('Temperature Profiles'!Q40^2)-0.254*'Temperature Profiles'!Q40+2.3952)*1000,0))</f>
        <v>1139.9065833333348</v>
      </c>
      <c r="DS41" s="21"/>
      <c r="DT41" s="110">
        <v>0.375</v>
      </c>
      <c r="DU41" s="209">
        <f>IF('Temperature Profiles'!V40&gt;18,(0.0024*('Temperature Profiles'!V40^2)-0.0581*'Temperature Profiles'!V40+0.3293)*1000,IF('Temperature Profiles'!V40&lt;17,(0.0022*('Temperature Profiles'!V40^2)-0.0874*'Temperature Profiles'!V40+0.9301)*1000,0))</f>
        <v>0</v>
      </c>
      <c r="DV41" s="110">
        <v>0.375</v>
      </c>
      <c r="DW41" s="209">
        <f>IF('Temperature Profiles'!V40&gt;18,(0.0043*('Temperature Profiles'!V40^2)-0.1116*'Temperature Profiles'!V40+0.6576)*1000,IF('Temperature Profiles'!V40&lt;17,(0.0053*('Temperature Profiles'!V40^2)-0.1876*'Temperature Profiles'!V40+1.7649)*1000,0))</f>
        <v>0</v>
      </c>
      <c r="DX41" s="110">
        <v>0.375</v>
      </c>
      <c r="DY41" s="211">
        <f>IF('Temperature Profiles'!V40&gt;18,(0.0057*('Temperature Profiles'!V40^2)-0.1509*'Temperature Profiles'!V40+0.8935)*1000,IF('Temperature Profiles'!V40&lt;17,(0.0072*('Temperature Profiles'!V40^2)-0.254*'Temperature Profiles'!V40+2.3952)*1000,0))</f>
        <v>0</v>
      </c>
      <c r="DZ41" s="21"/>
      <c r="EA41" s="110">
        <v>0.375</v>
      </c>
      <c r="EB41" s="209">
        <f>IF('Temperature Profiles'!AA139&gt;18,(0.0024*('Temperature Profiles'!AA139^2)-0.0581*'Temperature Profiles'!AA139+0.3293)*1000,IF('Temperature Profiles'!AA139&lt;17,(0.0022*('Temperature Profiles'!AA139^2)-0.0874*'Temperature Profiles'!AA139+0.9301)*1000,0))</f>
        <v>624.45937499999991</v>
      </c>
      <c r="EC41" s="110">
        <v>0.375</v>
      </c>
      <c r="ED41" s="209">
        <f>IF('Temperature Profiles'!AA139&gt;18,(0.0043*('Temperature Profiles'!AA139^2)-0.1116*'Temperature Profiles'!AA139+0.6576)*1000,IF('Temperature Profiles'!AA139&lt;17,(0.0053*('Temperature Profiles'!AA139^2)-0.1876*'Temperature Profiles'!AA139+1.7649)*1000,0))</f>
        <v>1117.5328124999999</v>
      </c>
      <c r="EE41" s="110">
        <v>0.375</v>
      </c>
      <c r="EF41" s="211">
        <f>IF('Temperature Profiles'!AA139&gt;18,(0.0057*('Temperature Profiles'!AA139^2)-0.1509*'Temperature Profiles'!AA139+0.8935)*1000,IF('Temperature Profiles'!AA139&lt;17,(0.0072*('Temperature Profiles'!AA139^2)-0.254*'Temperature Profiles'!AA139+2.3952)*1000,0))</f>
        <v>1519.0624999999998</v>
      </c>
      <c r="EG41" s="21"/>
      <c r="EH41" s="110">
        <v>0.375</v>
      </c>
      <c r="EI41" s="211">
        <f>IF('Temperature Profiles'!AF40&gt;18,(0.0024*('Temperature Profiles'!AF40^2)-0.0581*'Temperature Profiles'!AF40+0.3293)*1000,IF('Temperature Profiles'!AF40&lt;17,(0.0022*('Temperature Profiles'!AF40^2)-0.0874*'Temperature Profiles'!AF40+0.9301)*1000,0))</f>
        <v>684.59733333333372</v>
      </c>
      <c r="EJ41" s="110">
        <v>0.375</v>
      </c>
      <c r="EK41" s="211">
        <f>IF('Temperature Profiles'!AF40&gt;18,(0.0043*('Temperature Profiles'!AF40^2)-0.1116*'Temperature Profiles'!AF40+0.6576)*1000,IF('Temperature Profiles'!AF40&lt;17,(0.0053*('Temperature Profiles'!AF40^2)-0.1876*'Temperature Profiles'!AF40+1.7649)*1000,0))</f>
        <v>1074.5524444444454</v>
      </c>
      <c r="EL41" s="110">
        <v>0.375</v>
      </c>
      <c r="EM41" s="211">
        <f>IF('Temperature Profiles'!AF40&gt;18,(0.0057*('Temperature Profiles'!AF40^2)-0.1509*'Temperature Profiles'!AF40+0.8935)*1000,IF('Temperature Profiles'!AF40&lt;17,(0.0072*('Temperature Profiles'!AF40^2)-0.254*'Temperature Profiles'!AF40+2.3952)*1000,0))</f>
        <v>1359.4253333333345</v>
      </c>
      <c r="EN41" s="21"/>
      <c r="EO41" s="110">
        <v>0.375</v>
      </c>
      <c r="EP41" s="211"/>
      <c r="EQ41" s="21"/>
      <c r="ER41" s="110">
        <v>0.375</v>
      </c>
      <c r="ES41" s="264"/>
      <c r="EU41" s="260">
        <v>0.375</v>
      </c>
      <c r="EV41" s="209">
        <f>IF('Temperature Profiles'!AA139&gt;18,(0.0024*('Temperature Profiles'!AA139^2)-0.0581*'Temperature Profiles'!AA139+0.3293)*1000,IF('Temperature Profiles'!AA139&lt;17,(0.0022*('Temperature Profiles'!AA139^2)-0.0874*'Temperature Profiles'!AA139+0.9301)*1000,0))</f>
        <v>624.45937499999991</v>
      </c>
      <c r="EW41" s="110">
        <v>0.375</v>
      </c>
      <c r="EX41" s="209">
        <f>IF('Temperature Profiles'!AA139&gt;18,(0.0043*('Temperature Profiles'!AA139^2)-0.1116*'Temperature Profiles'!AA139+0.6576)*1000,IF('Temperature Profiles'!AA139&lt;17,(0.0053*('Temperature Profiles'!AA139^2)-0.1876*'Temperature Profiles'!AA139+1.7649)*1000,0))</f>
        <v>1117.5328124999999</v>
      </c>
      <c r="EY41" s="110">
        <v>0.375</v>
      </c>
      <c r="EZ41" s="264">
        <f>IF('Temperature Profiles'!AA139&gt;18,(0.0057*('Temperature Profiles'!AA139^2)-0.1509*'Temperature Profiles'!AA139+0.8935)*1000,IF('Temperature Profiles'!AA139&lt;17,(0.0072*('Temperature Profiles'!AA139^2)-0.254*'Temperature Profiles'!AA139+2.3952)*1000,0))</f>
        <v>1519.0624999999998</v>
      </c>
    </row>
    <row r="42" spans="1:156" x14ac:dyDescent="0.3">
      <c r="A42" s="108">
        <v>0.375</v>
      </c>
      <c r="B42" s="226">
        <f t="shared" si="0"/>
        <v>0</v>
      </c>
      <c r="C42" s="21">
        <f t="shared" si="1"/>
        <v>301.41666666666669</v>
      </c>
      <c r="D42" s="20">
        <f t="shared" si="2"/>
        <v>1519.0624999999998</v>
      </c>
      <c r="E42" s="20">
        <f t="shared" si="3"/>
        <v>1519.0624999999998</v>
      </c>
      <c r="G42" s="260">
        <v>0.38541666666666702</v>
      </c>
      <c r="H42" s="211">
        <f>IF('Temperature Profiles'!G41&gt;17,(0.0029*('Temperature Profiles'!G41^2) - 0.0863*'Temperature Profiles'!G41 + 0.6808)*1000,0)</f>
        <v>0</v>
      </c>
      <c r="I42" s="110">
        <v>0.38541666666666702</v>
      </c>
      <c r="J42" s="211">
        <f>IF('Temperature Profiles'!G41&gt;17,(0.005*('Temperature Profiles'!G41^2) - 0.1517*'Temperature Profiles'!G41 + 1.1702)*1000,0)</f>
        <v>0</v>
      </c>
      <c r="K42" s="110">
        <v>0.38541666666666702</v>
      </c>
      <c r="L42" s="211">
        <f>IF('Temperature Profiles'!G41&gt;17,(0.0068*('Temperature Profiles'!G41^2) - 0.2129*'Temperature Profiles'!G41 + 1.6904)*1000,0)</f>
        <v>0</v>
      </c>
      <c r="M42" s="21"/>
      <c r="N42" s="110">
        <v>0.38541666666666702</v>
      </c>
      <c r="O42" s="211">
        <f>IF('Temperature Profiles'!L41&gt;17,(0.0029*('Temperature Profiles'!L41^2) - 0.0863*'Temperature Profiles'!L41 + 0.6808)*1000,0)</f>
        <v>315.13820138888872</v>
      </c>
      <c r="P42" s="110">
        <v>0.38541666666666702</v>
      </c>
      <c r="Q42" s="211">
        <f>IF('Temperature Profiles'!L41&gt;17,(0.005*('Temperature Profiles'!L41^2) - 0.1517*'Temperature Profiles'!L41 + 1.1702)*1000,0)</f>
        <v>468.11784722222205</v>
      </c>
      <c r="R42" s="110">
        <v>0.38541666666666702</v>
      </c>
      <c r="S42" s="211">
        <f>IF('Temperature Profiles'!L41&gt;17,(0.0068*('Temperature Profiles'!L41^2) - 0.2129*'Temperature Profiles'!L41 + 1.6904)*1000,0)</f>
        <v>573.22897222222173</v>
      </c>
      <c r="T42" s="21"/>
      <c r="U42" s="110">
        <v>0.38541666666666702</v>
      </c>
      <c r="V42" s="211">
        <f>IF('Temperature Profiles'!Q41&gt;17,(0.0029*('Temperature Profiles'!Q41^2) - 0.0863*'Temperature Profiles'!Q41 + 0.6808)*1000,0)</f>
        <v>539.26913888888873</v>
      </c>
      <c r="W42" s="110">
        <v>0.38541666666666702</v>
      </c>
      <c r="X42" s="211">
        <f>IF('Temperature Profiles'!Q41&gt;17,(0.005*('Temperature Profiles'!Q41^2) - 0.1517*'Temperature Profiles'!Q41 + 1.1702)*1000,0)</f>
        <v>844.73972222222255</v>
      </c>
      <c r="Y42" s="110">
        <v>0.38541666666666702</v>
      </c>
      <c r="Z42" s="211">
        <f>IF('Temperature Profiles'!Q41&gt;17,(0.0068*('Temperature Profiles'!Q41^2) - 0.2129*'Temperature Profiles'!Q41 + 1.6904)*1000,0)</f>
        <v>1063.2002222222225</v>
      </c>
      <c r="AA42" s="21"/>
      <c r="AB42" s="110">
        <v>0.38541666666666702</v>
      </c>
      <c r="AC42" s="211">
        <f>IF('Temperature Profiles'!V41&gt;17,(0.0029*('Temperature Profiles'!V41^2) - 0.0863*'Temperature Profiles'!V41 + 0.6808)*1000,0)</f>
        <v>64.927805555555437</v>
      </c>
      <c r="AD42" s="110">
        <v>0.38541666666666702</v>
      </c>
      <c r="AE42" s="211">
        <f>IF('Temperature Profiles'!V41&gt;17,(0.005*('Temperature Profiles'!V41^2) - 0.1517*'Temperature Profiles'!V41 + 1.1702)*1000,0)</f>
        <v>56.366388888888565</v>
      </c>
      <c r="AF42" s="110">
        <v>0.38541666666666702</v>
      </c>
      <c r="AG42" s="211">
        <f>IF('Temperature Profiles'!V41&gt;17,(0.0068*('Temperature Profiles'!V41^2) - 0.2129*'Temperature Profiles'!V41 + 1.6904)*1000,0)</f>
        <v>57.770888888888372</v>
      </c>
      <c r="AH42" s="21"/>
      <c r="AI42" s="110">
        <v>0.38541666666666702</v>
      </c>
      <c r="AJ42" s="211">
        <f>IF('Temperature Profiles'!AA41&gt;17,(0.0029*('Temperature Profiles'!AA41^2) - 0.0863*'Temperature Profiles'!AA41 + 0.6808)*1000,0)</f>
        <v>0</v>
      </c>
      <c r="AK42" s="110">
        <v>0.38541666666666702</v>
      </c>
      <c r="AL42" s="211">
        <f>IF('Temperature Profiles'!AA41&gt;17,(0.005*('Temperature Profiles'!AA41^2) - 0.1517*'Temperature Profiles'!AA41 + 1.1701)*1000,0)</f>
        <v>0</v>
      </c>
      <c r="AM42" s="110">
        <v>0.38541666666666702</v>
      </c>
      <c r="AN42" s="211">
        <f>IF('Temperature Profiles'!AA41&gt;17,(0.0068*('Temperature Profiles'!AA41^2) - 0.2129*'Temperature Profiles'!AA41 + 1.6904)*1000,0)</f>
        <v>0</v>
      </c>
      <c r="AO42" s="21"/>
      <c r="AP42" s="110">
        <v>0.38541666666666702</v>
      </c>
      <c r="AQ42" s="211">
        <f>IF('Temperature Profiles'!AF41&gt;17,(0.0029*('Temperature Profiles'!AF41^2) - 0.0863*'Temperature Profiles'!AF41 + 0.6808)*1000,0)</f>
        <v>639.0462222222227</v>
      </c>
      <c r="AR42" s="110">
        <v>0.38541666666666702</v>
      </c>
      <c r="AS42" s="183">
        <f>IF('Temperature Profiles'!AF41&gt;17,(0.005*('Temperature Profiles'!AF41^2) - 0.1517*'Temperature Profiles'!AF41 + 1.1702)*1000,0)</f>
        <v>1013.1355555555568</v>
      </c>
      <c r="AT42" s="110">
        <v>0.38541666666666702</v>
      </c>
      <c r="AU42" s="211">
        <f>IF('Temperature Profiles'!AF41&gt;17,(0.0068*('Temperature Profiles'!AF41^2) - 0.2129*'Temperature Profiles'!AF41 + 1.6904)*1000,0)</f>
        <v>1283.9835555555558</v>
      </c>
      <c r="AV42" s="21"/>
      <c r="AW42" s="110">
        <v>0.38541666666666702</v>
      </c>
      <c r="AX42" s="211"/>
      <c r="AY42" s="21"/>
      <c r="AZ42" s="110">
        <v>0.38541666666666702</v>
      </c>
      <c r="BA42" s="264"/>
      <c r="BC42" s="260">
        <v>0.38541666666666702</v>
      </c>
      <c r="BD42" s="211">
        <f>IF('Temperature Profiles'!G41&lt;16,(-0.0037*'Temperature Profiles'!G41+0.0664)*1000,0)</f>
        <v>0</v>
      </c>
      <c r="BE42" s="110">
        <v>0.38541666666666702</v>
      </c>
      <c r="BF42" s="211">
        <f>IF('Temperature Profiles'!G41&lt;16,(-0.0076*'Temperature Profiles'!G41+0.1245)*1000,0)</f>
        <v>0</v>
      </c>
      <c r="BG42" s="110">
        <v>0.38541666666666702</v>
      </c>
      <c r="BH42" s="211">
        <f>IF('Temperature Profiles'!G41&lt;16,(-0.01*'Temperature Profiles'!G41+0.167)*1000,0)</f>
        <v>0</v>
      </c>
      <c r="BI42" s="21"/>
      <c r="BJ42" s="110">
        <v>0.38541666666666702</v>
      </c>
      <c r="BK42" s="211">
        <f>IF('Temperature Profiles'!L41&lt;16,(-0.0037*'Temperature Profiles'!L41+0.0664)*1000,0)</f>
        <v>0</v>
      </c>
      <c r="BL42" s="110">
        <v>0.38541666666666702</v>
      </c>
      <c r="BM42" s="211">
        <f>IF('Temperature Profiles'!L41&lt;16,(-0.0076*'Temperature Profiles'!L41+0.1245)*1000,0)</f>
        <v>0</v>
      </c>
      <c r="BN42" s="110">
        <v>0.38541666666666702</v>
      </c>
      <c r="BO42" s="211">
        <f>IF('Temperature Profiles'!L41&lt;16,(-0.01*'Temperature Profiles'!L41+0.167)*1000,0)</f>
        <v>0</v>
      </c>
      <c r="BP42" s="21"/>
      <c r="BQ42" s="110">
        <v>0.38541666666666702</v>
      </c>
      <c r="BR42" s="211">
        <f>IF('Temperature Profiles'!Q41&lt;16,(-0.0037*'Temperature Profiles'!Q41+0.0664)*1000,0)</f>
        <v>0</v>
      </c>
      <c r="BS42" s="110">
        <v>0.38541666666666702</v>
      </c>
      <c r="BT42" s="211">
        <f>IF('Temperature Profiles'!Q41&lt;16,(-0.0076*'Temperature Profiles'!Q41+0.1245)*1000,0)</f>
        <v>0</v>
      </c>
      <c r="BU42" s="110">
        <v>0.38541666666666702</v>
      </c>
      <c r="BV42" s="211">
        <f>IF('Temperature Profiles'!Q41&lt;16,(-0.01*'Temperature Profiles'!Q41+0.167)*1000,0)</f>
        <v>0</v>
      </c>
      <c r="BW42" s="21"/>
      <c r="BX42" s="110">
        <v>0.38541666666666702</v>
      </c>
      <c r="BY42" s="211">
        <f>IF('Temperature Profiles'!V41&lt;16,(-0.0037*'Temperature Profiles'!V41+0.0664)*1000,0)</f>
        <v>0</v>
      </c>
      <c r="BZ42" s="110">
        <v>0.38541666666666702</v>
      </c>
      <c r="CA42" s="211">
        <f>IF('Temperature Profiles'!V41&lt;16,(-0.0076*'Temperature Profiles'!V41+0.1245)*1000,0)</f>
        <v>0</v>
      </c>
      <c r="CB42" s="110">
        <v>0.38541666666666702</v>
      </c>
      <c r="CC42" s="211">
        <f>IF('Temperature Profiles'!V41&lt;16,(-0.01*'Temperature Profiles'!V41+0.167)*1000,0)</f>
        <v>0</v>
      </c>
      <c r="CD42" s="21"/>
      <c r="CE42" s="110">
        <v>0.38541666666666702</v>
      </c>
      <c r="CF42" s="211">
        <f>IF('Temperature Profiles'!AA41&lt;16,(-0.0037*'Temperature Profiles'!AA41+0.0664)*1000,0)</f>
        <v>116.13416666666667</v>
      </c>
      <c r="CG42" s="110">
        <v>0.38541666666666702</v>
      </c>
      <c r="CH42" s="178">
        <f>IF('Temperature Profiles'!AA41&lt;16,(-0.0076*'Temperature Profiles'!AA41+0.1245)*1000,0)</f>
        <v>226.65666666666667</v>
      </c>
      <c r="CI42" s="110">
        <v>0.38541666666666702</v>
      </c>
      <c r="CJ42" s="211">
        <f>IF('Temperature Profiles'!AA41&lt;16,(-0.01*'Temperature Profiles'!AA41+0.167)*1000,0)</f>
        <v>301.41666666666669</v>
      </c>
      <c r="CK42" s="21"/>
      <c r="CL42" s="110">
        <v>0.38541666666666702</v>
      </c>
      <c r="CM42" s="211">
        <f>IF('Temperature Profiles'!AF41&lt;16,(-0.0037*'Temperature Profiles'!AF41+0.0664)*1000,0)</f>
        <v>0</v>
      </c>
      <c r="CN42" s="110">
        <v>0.38541666666666702</v>
      </c>
      <c r="CO42" s="178">
        <f>IF('Temperature Profiles'!AF41&lt;16,(-0.0076*'Temperature Profiles'!AF41+0.1245)*1000,0)</f>
        <v>0</v>
      </c>
      <c r="CP42" s="110">
        <v>0.38541666666666702</v>
      </c>
      <c r="CQ42" s="211">
        <f>IF('Temperature Profiles'!AF41&lt;16,(-0.01*'Temperature Profiles'!AF41+0.167)*1000,0)</f>
        <v>0</v>
      </c>
      <c r="CR42" s="21"/>
      <c r="CS42" s="110">
        <v>0.38541666666666702</v>
      </c>
      <c r="CT42" s="211"/>
      <c r="CU42" s="21"/>
      <c r="CV42" s="110">
        <v>0.38541666666666702</v>
      </c>
      <c r="CW42" s="264"/>
      <c r="CY42" s="260">
        <v>0.38541666666666702</v>
      </c>
      <c r="CZ42" s="178">
        <f>IF('Temperature Profiles'!G41&gt;18,(0.0024*('Temperature Profiles'!G41^2)-0.0581*'Temperature Profiles'!G41+0.3293)*1000,IF('Temperature Profiles'!G41&lt;17,(0.0022*('Temperature Profiles'!G41^2)-0.0874*'Temperature Profiles'!G41+0.9301)*1000,0))</f>
        <v>83.616444444444497</v>
      </c>
      <c r="DA42" s="110">
        <v>0.38541666666666702</v>
      </c>
      <c r="DB42" s="263">
        <f>IF('Temperature Profiles'!G41&gt;18,(0.0043*('Temperature Profiles'!G41^2)-0.1116*'Temperature Profiles'!G41+0.6576)*1000,IF('Temperature Profiles'!G41&lt;17,(0.0053*('Temperature Profiles'!G41^2)-0.1876*'Temperature Profiles'!G41+1.7649)*1000,0))</f>
        <v>109.75022222222219</v>
      </c>
      <c r="DC42" s="110">
        <v>0.38541666666666702</v>
      </c>
      <c r="DD42" s="211">
        <f>IF('Temperature Profiles'!G41&gt;18,(0.0057*('Temperature Profiles'!G41^2)-0.1509*'Temperature Profiles'!G41+0.8935)*1000,IF('Temperature Profiles'!G41&lt;17,(0.0072*('Temperature Profiles'!G41^2)-0.254*'Temperature Profiles'!G41+2.3952)*1000,0))</f>
        <v>160.9653333333334</v>
      </c>
      <c r="DE42" s="21"/>
      <c r="DF42" s="110">
        <v>0.38541666666666702</v>
      </c>
      <c r="DG42" s="209">
        <f>IF('Temperature Profiles'!L41&gt;18,(0.0024*('Temperature Profiles'!L41^2)-0.0581*'Temperature Profiles'!L41+0.3293)*1000,IF('Temperature Profiles'!L41&lt;17,(0.0022*('Temperature Profiles'!L41^2)-0.0874*'Temperature Profiles'!L41+0.9301)*1000,0))</f>
        <v>354.92733333333319</v>
      </c>
      <c r="DH42" s="110">
        <v>0.38541666666666702</v>
      </c>
      <c r="DI42" s="209">
        <f>IF('Temperature Profiles'!L41&gt;18,(0.0043*('Temperature Profiles'!L41^2)-0.1116*'Temperature Profiles'!L41+0.6576)*1000,IF('Temperature Profiles'!L41&lt;17,(0.0053*('Temperature Profiles'!L41^2)-0.1876*'Temperature Profiles'!L41+1.7649)*1000,0))</f>
        <v>518.60046527777786</v>
      </c>
      <c r="DJ42" s="110">
        <v>0.38541666666666702</v>
      </c>
      <c r="DK42" s="211">
        <f>IF('Temperature Profiles'!L41&gt;18,(0.0057*('Temperature Profiles'!L41^2)-0.1509*'Temperature Profiles'!L41+0.8935)*1000,IF('Temperature Profiles'!L41&lt;17,(0.0072*('Temperature Profiles'!L41^2)-0.254*'Temperature Profiles'!L41+2.3952)*1000,0))</f>
        <v>636.1793958333335</v>
      </c>
      <c r="DL42" s="21"/>
      <c r="DM42" s="110">
        <v>0.38541666666666702</v>
      </c>
      <c r="DN42" s="209">
        <f>IF('Temperature Profiles'!Q41&gt;18,(0.0024*('Temperature Profiles'!Q41^2)-0.0581*'Temperature Profiles'!Q41+0.3293)*1000,IF('Temperature Profiles'!Q41&lt;17,(0.0022*('Temperature Profiles'!Q41^2)-0.0874*'Temperature Profiles'!Q41+0.9301)*1000,0))</f>
        <v>585.37233333333336</v>
      </c>
      <c r="DO42" s="110">
        <v>0.38541666666666702</v>
      </c>
      <c r="DP42" s="209">
        <f>IF('Temperature Profiles'!Q41&gt;18,(0.0043*('Temperature Profiles'!Q41^2)-0.1116*'Temperature Profiles'!Q41+0.6576)*1000,IF('Temperature Profiles'!Q41&lt;17,(0.0053*('Temperature Profiles'!Q41^2)-0.1876*'Temperature Profiles'!Q41+1.7649)*1000,0))</f>
        <v>906.1545277777783</v>
      </c>
      <c r="DQ42" s="110">
        <v>0.38541666666666702</v>
      </c>
      <c r="DR42" s="211">
        <f>IF('Temperature Profiles'!Q41&gt;18,(0.0057*('Temperature Profiles'!Q41^2)-0.1509*'Temperature Profiles'!Q41+0.8935)*1000,IF('Temperature Profiles'!Q41&lt;17,(0.0072*('Temperature Profiles'!Q41^2)-0.254*'Temperature Profiles'!Q41+2.3952)*1000,0))</f>
        <v>1139.9065833333348</v>
      </c>
      <c r="DS42" s="21"/>
      <c r="DT42" s="110">
        <v>0.38541666666666702</v>
      </c>
      <c r="DU42" s="209">
        <f>IF('Temperature Profiles'!V41&gt;18,(0.0024*('Temperature Profiles'!V41^2)-0.0581*'Temperature Profiles'!V41+0.3293)*1000,IF('Temperature Profiles'!V41&lt;17,(0.0022*('Temperature Profiles'!V41^2)-0.0874*'Temperature Profiles'!V41+0.9301)*1000,0))</f>
        <v>0</v>
      </c>
      <c r="DV42" s="110">
        <v>0.38541666666666702</v>
      </c>
      <c r="DW42" s="209">
        <f>IF('Temperature Profiles'!V41&gt;18,(0.0043*('Temperature Profiles'!V41^2)-0.1116*'Temperature Profiles'!V41+0.6576)*1000,IF('Temperature Profiles'!V41&lt;17,(0.0053*('Temperature Profiles'!V41^2)-0.1876*'Temperature Profiles'!V41+1.7649)*1000,0))</f>
        <v>0</v>
      </c>
      <c r="DX42" s="110">
        <v>0.38541666666666702</v>
      </c>
      <c r="DY42" s="211">
        <f>IF('Temperature Profiles'!V41&gt;18,(0.0057*('Temperature Profiles'!V41^2)-0.1509*'Temperature Profiles'!V41+0.8935)*1000,IF('Temperature Profiles'!V41&lt;17,(0.0072*('Temperature Profiles'!V41^2)-0.254*'Temperature Profiles'!V41+2.3952)*1000,0))</f>
        <v>0</v>
      </c>
      <c r="DZ42" s="21"/>
      <c r="EA42" s="110">
        <v>0.38541666666666702</v>
      </c>
      <c r="EB42" s="209">
        <f>IF('Temperature Profiles'!AA140&gt;18,(0.0024*('Temperature Profiles'!AA140^2)-0.0581*'Temperature Profiles'!AA140+0.3293)*1000,IF('Temperature Profiles'!AA140&lt;17,(0.0022*('Temperature Profiles'!AA140^2)-0.0874*'Temperature Profiles'!AA140+0.9301)*1000,0))</f>
        <v>624.45937499999991</v>
      </c>
      <c r="EC42" s="110">
        <v>0.38541666666666702</v>
      </c>
      <c r="ED42" s="209">
        <f>IF('Temperature Profiles'!AA140&gt;18,(0.0043*('Temperature Profiles'!AA140^2)-0.1116*'Temperature Profiles'!AA140+0.6576)*1000,IF('Temperature Profiles'!AA140&lt;17,(0.0053*('Temperature Profiles'!AA140^2)-0.1876*'Temperature Profiles'!AA140+1.7649)*1000,0))</f>
        <v>1117.5328124999999</v>
      </c>
      <c r="EE42" s="110">
        <v>0.38541666666666702</v>
      </c>
      <c r="EF42" s="211">
        <f>IF('Temperature Profiles'!AA140&gt;18,(0.0057*('Temperature Profiles'!AA140^2)-0.1509*'Temperature Profiles'!AA140+0.8935)*1000,IF('Temperature Profiles'!AA140&lt;17,(0.0072*('Temperature Profiles'!AA140^2)-0.254*'Temperature Profiles'!AA140+2.3952)*1000,0))</f>
        <v>1519.0624999999998</v>
      </c>
      <c r="EG42" s="21"/>
      <c r="EH42" s="110">
        <v>0.38541666666666702</v>
      </c>
      <c r="EI42" s="211">
        <f>IF('Temperature Profiles'!AF41&gt;18,(0.0024*('Temperature Profiles'!AF41^2)-0.0581*'Temperature Profiles'!AF41+0.3293)*1000,IF('Temperature Profiles'!AF41&lt;17,(0.0022*('Temperature Profiles'!AF41^2)-0.0874*'Temperature Profiles'!AF41+0.9301)*1000,0))</f>
        <v>684.59733333333372</v>
      </c>
      <c r="EJ42" s="110">
        <v>0.38541666666666702</v>
      </c>
      <c r="EK42" s="211">
        <f>IF('Temperature Profiles'!AF41&gt;18,(0.0043*('Temperature Profiles'!AF41^2)-0.1116*'Temperature Profiles'!AF41+0.6576)*1000,IF('Temperature Profiles'!AF41&lt;17,(0.0053*('Temperature Profiles'!AF41^2)-0.1876*'Temperature Profiles'!AF41+1.7649)*1000,0))</f>
        <v>1074.5524444444454</v>
      </c>
      <c r="EL42" s="110">
        <v>0.38541666666666702</v>
      </c>
      <c r="EM42" s="211">
        <f>IF('Temperature Profiles'!AF41&gt;18,(0.0057*('Temperature Profiles'!AF41^2)-0.1509*'Temperature Profiles'!AF41+0.8935)*1000,IF('Temperature Profiles'!AF41&lt;17,(0.0072*('Temperature Profiles'!AF41^2)-0.254*'Temperature Profiles'!AF41+2.3952)*1000,0))</f>
        <v>1359.4253333333345</v>
      </c>
      <c r="EN42" s="21"/>
      <c r="EO42" s="110">
        <v>0.38541666666666702</v>
      </c>
      <c r="EP42" s="211"/>
      <c r="EQ42" s="21"/>
      <c r="ER42" s="110">
        <v>0.38541666666666702</v>
      </c>
      <c r="ES42" s="264"/>
      <c r="EU42" s="260">
        <v>0.38541666666666702</v>
      </c>
      <c r="EV42" s="209">
        <f>IF('Temperature Profiles'!AA140&gt;18,(0.0024*('Temperature Profiles'!AA140^2)-0.0581*'Temperature Profiles'!AA140+0.3293)*1000,IF('Temperature Profiles'!AA140&lt;17,(0.0022*('Temperature Profiles'!AA140^2)-0.0874*'Temperature Profiles'!AA140+0.9301)*1000,0))</f>
        <v>624.45937499999991</v>
      </c>
      <c r="EW42" s="110">
        <v>0.38541666666666702</v>
      </c>
      <c r="EX42" s="209">
        <f>IF('Temperature Profiles'!AA140&gt;18,(0.0043*('Temperature Profiles'!AA140^2)-0.1116*'Temperature Profiles'!AA140+0.6576)*1000,IF('Temperature Profiles'!AA140&lt;17,(0.0053*('Temperature Profiles'!AA140^2)-0.1876*'Temperature Profiles'!AA140+1.7649)*1000,0))</f>
        <v>1117.5328124999999</v>
      </c>
      <c r="EY42" s="110">
        <v>0.38541666666666702</v>
      </c>
      <c r="EZ42" s="264">
        <f>IF('Temperature Profiles'!AA140&gt;18,(0.0057*('Temperature Profiles'!AA140^2)-0.1509*'Temperature Profiles'!AA140+0.8935)*1000,IF('Temperature Profiles'!AA140&lt;17,(0.0072*('Temperature Profiles'!AA140^2)-0.254*'Temperature Profiles'!AA140+2.3952)*1000,0))</f>
        <v>1519.0624999999998</v>
      </c>
    </row>
    <row r="43" spans="1:156" x14ac:dyDescent="0.3">
      <c r="A43" s="108">
        <v>0.38541666666666702</v>
      </c>
      <c r="B43" s="226">
        <f t="shared" si="0"/>
        <v>0</v>
      </c>
      <c r="C43" s="21">
        <f t="shared" si="1"/>
        <v>301.41666666666669</v>
      </c>
      <c r="D43" s="20">
        <f t="shared" si="2"/>
        <v>1519.0624999999998</v>
      </c>
      <c r="E43" s="20">
        <f t="shared" si="3"/>
        <v>1519.0624999999998</v>
      </c>
      <c r="G43" s="260">
        <v>0.39583333333333298</v>
      </c>
      <c r="H43" s="211">
        <f>IF('Temperature Profiles'!G42&gt;17,(0.0029*('Temperature Profiles'!G42^2) - 0.0863*'Temperature Profiles'!G42 + 0.6808)*1000,0)</f>
        <v>0</v>
      </c>
      <c r="I43" s="110">
        <v>0.39583333333333298</v>
      </c>
      <c r="J43" s="211">
        <f>IF('Temperature Profiles'!G42&gt;17,(0.005*('Temperature Profiles'!G42^2) - 0.1517*'Temperature Profiles'!G42 + 1.1702)*1000,0)</f>
        <v>0</v>
      </c>
      <c r="K43" s="110">
        <v>0.39583333333333298</v>
      </c>
      <c r="L43" s="211">
        <f>IF('Temperature Profiles'!G42&gt;17,(0.0068*('Temperature Profiles'!G42^2) - 0.2129*'Temperature Profiles'!G42 + 1.6904)*1000,0)</f>
        <v>0</v>
      </c>
      <c r="M43" s="21"/>
      <c r="N43" s="110">
        <v>0.39583333333333298</v>
      </c>
      <c r="O43" s="211">
        <f>IF('Temperature Profiles'!L42&gt;17,(0.0029*('Temperature Profiles'!L42^2) - 0.0863*'Temperature Profiles'!L42 + 0.6808)*1000,0)</f>
        <v>315.13820138888872</v>
      </c>
      <c r="P43" s="110">
        <v>0.39583333333333298</v>
      </c>
      <c r="Q43" s="211">
        <f>IF('Temperature Profiles'!L42&gt;17,(0.005*('Temperature Profiles'!L42^2) - 0.1517*'Temperature Profiles'!L42 + 1.1702)*1000,0)</f>
        <v>468.11784722222205</v>
      </c>
      <c r="R43" s="110">
        <v>0.39583333333333298</v>
      </c>
      <c r="S43" s="211">
        <f>IF('Temperature Profiles'!L42&gt;17,(0.0068*('Temperature Profiles'!L42^2) - 0.2129*'Temperature Profiles'!L42 + 1.6904)*1000,0)</f>
        <v>573.22897222222173</v>
      </c>
      <c r="T43" s="21"/>
      <c r="U43" s="110">
        <v>0.39583333333333298</v>
      </c>
      <c r="V43" s="211">
        <f>IF('Temperature Profiles'!Q42&gt;17,(0.0029*('Temperature Profiles'!Q42^2) - 0.0863*'Temperature Profiles'!Q42 + 0.6808)*1000,0)</f>
        <v>539.26913888888873</v>
      </c>
      <c r="W43" s="110">
        <v>0.39583333333333298</v>
      </c>
      <c r="X43" s="211">
        <f>IF('Temperature Profiles'!Q42&gt;17,(0.005*('Temperature Profiles'!Q42^2) - 0.1517*'Temperature Profiles'!Q42 + 1.1702)*1000,0)</f>
        <v>844.73972222222255</v>
      </c>
      <c r="Y43" s="110">
        <v>0.39583333333333298</v>
      </c>
      <c r="Z43" s="211">
        <f>IF('Temperature Profiles'!Q42&gt;17,(0.0068*('Temperature Profiles'!Q42^2) - 0.2129*'Temperature Profiles'!Q42 + 1.6904)*1000,0)</f>
        <v>1063.2002222222225</v>
      </c>
      <c r="AA43" s="21"/>
      <c r="AB43" s="110">
        <v>0.39583333333333298</v>
      </c>
      <c r="AC43" s="211">
        <f>IF('Temperature Profiles'!V42&gt;17,(0.0029*('Temperature Profiles'!V42^2) - 0.0863*'Temperature Profiles'!V42 + 0.6808)*1000,0)</f>
        <v>64.927805555555437</v>
      </c>
      <c r="AD43" s="110">
        <v>0.39583333333333298</v>
      </c>
      <c r="AE43" s="211">
        <f>IF('Temperature Profiles'!V42&gt;17,(0.005*('Temperature Profiles'!V42^2) - 0.1517*'Temperature Profiles'!V42 + 1.1702)*1000,0)</f>
        <v>56.366388888888565</v>
      </c>
      <c r="AF43" s="110">
        <v>0.39583333333333298</v>
      </c>
      <c r="AG43" s="211">
        <f>IF('Temperature Profiles'!V42&gt;17,(0.0068*('Temperature Profiles'!V42^2) - 0.2129*'Temperature Profiles'!V42 + 1.6904)*1000,0)</f>
        <v>57.770888888888372</v>
      </c>
      <c r="AH43" s="21"/>
      <c r="AI43" s="110">
        <v>0.39583333333333298</v>
      </c>
      <c r="AJ43" s="211">
        <f>IF('Temperature Profiles'!AA42&gt;17,(0.0029*('Temperature Profiles'!AA42^2) - 0.0863*'Temperature Profiles'!AA42 + 0.6808)*1000,0)</f>
        <v>0</v>
      </c>
      <c r="AK43" s="110">
        <v>0.39583333333333298</v>
      </c>
      <c r="AL43" s="211">
        <f>IF('Temperature Profiles'!AA42&gt;17,(0.005*('Temperature Profiles'!AA42^2) - 0.1517*'Temperature Profiles'!AA42 + 1.1701)*1000,0)</f>
        <v>0</v>
      </c>
      <c r="AM43" s="110">
        <v>0.39583333333333298</v>
      </c>
      <c r="AN43" s="211">
        <f>IF('Temperature Profiles'!AA42&gt;17,(0.0068*('Temperature Profiles'!AA42^2) - 0.2129*'Temperature Profiles'!AA42 + 1.6904)*1000,0)</f>
        <v>0</v>
      </c>
      <c r="AO43" s="21"/>
      <c r="AP43" s="110">
        <v>0.39583333333333298</v>
      </c>
      <c r="AQ43" s="211">
        <f>IF('Temperature Profiles'!AF42&gt;17,(0.0029*('Temperature Profiles'!AF42^2) - 0.0863*'Temperature Profiles'!AF42 + 0.6808)*1000,0)</f>
        <v>639.0462222222227</v>
      </c>
      <c r="AR43" s="110">
        <v>0.39583333333333298</v>
      </c>
      <c r="AS43" s="183">
        <f>IF('Temperature Profiles'!AF42&gt;17,(0.005*('Temperature Profiles'!AF42^2) - 0.1517*'Temperature Profiles'!AF42 + 1.1702)*1000,0)</f>
        <v>1013.1355555555568</v>
      </c>
      <c r="AT43" s="110">
        <v>0.39583333333333298</v>
      </c>
      <c r="AU43" s="211">
        <f>IF('Temperature Profiles'!AF42&gt;17,(0.0068*('Temperature Profiles'!AF42^2) - 0.2129*'Temperature Profiles'!AF42 + 1.6904)*1000,0)</f>
        <v>1283.9835555555558</v>
      </c>
      <c r="AV43" s="21"/>
      <c r="AW43" s="110">
        <v>0.39583333333333298</v>
      </c>
      <c r="AX43" s="211"/>
      <c r="AY43" s="21"/>
      <c r="AZ43" s="110">
        <v>0.39583333333333298</v>
      </c>
      <c r="BA43" s="264"/>
      <c r="BC43" s="260">
        <v>0.39583333333333298</v>
      </c>
      <c r="BD43" s="211">
        <f>IF('Temperature Profiles'!G42&lt;16,(-0.0037*'Temperature Profiles'!G42+0.0664)*1000,0)</f>
        <v>0</v>
      </c>
      <c r="BE43" s="110">
        <v>0.39583333333333298</v>
      </c>
      <c r="BF43" s="211">
        <f>IF('Temperature Profiles'!G42&lt;16,(-0.0076*'Temperature Profiles'!G42+0.1245)*1000,0)</f>
        <v>0</v>
      </c>
      <c r="BG43" s="110">
        <v>0.39583333333333298</v>
      </c>
      <c r="BH43" s="211">
        <f>IF('Temperature Profiles'!G42&lt;16,(-0.01*'Temperature Profiles'!G42+0.167)*1000,0)</f>
        <v>0</v>
      </c>
      <c r="BI43" s="21"/>
      <c r="BJ43" s="110">
        <v>0.39583333333333298</v>
      </c>
      <c r="BK43" s="211">
        <f>IF('Temperature Profiles'!L42&lt;16,(-0.0037*'Temperature Profiles'!L42+0.0664)*1000,0)</f>
        <v>0</v>
      </c>
      <c r="BL43" s="110">
        <v>0.39583333333333298</v>
      </c>
      <c r="BM43" s="211">
        <f>IF('Temperature Profiles'!L42&lt;16,(-0.0076*'Temperature Profiles'!L42+0.1245)*1000,0)</f>
        <v>0</v>
      </c>
      <c r="BN43" s="110">
        <v>0.39583333333333298</v>
      </c>
      <c r="BO43" s="211">
        <f>IF('Temperature Profiles'!L42&lt;16,(-0.01*'Temperature Profiles'!L42+0.167)*1000,0)</f>
        <v>0</v>
      </c>
      <c r="BP43" s="21"/>
      <c r="BQ43" s="110">
        <v>0.39583333333333298</v>
      </c>
      <c r="BR43" s="211">
        <f>IF('Temperature Profiles'!Q42&lt;16,(-0.0037*'Temperature Profiles'!Q42+0.0664)*1000,0)</f>
        <v>0</v>
      </c>
      <c r="BS43" s="110">
        <v>0.39583333333333298</v>
      </c>
      <c r="BT43" s="211">
        <f>IF('Temperature Profiles'!Q42&lt;16,(-0.0076*'Temperature Profiles'!Q42+0.1245)*1000,0)</f>
        <v>0</v>
      </c>
      <c r="BU43" s="110">
        <v>0.39583333333333298</v>
      </c>
      <c r="BV43" s="211">
        <f>IF('Temperature Profiles'!Q42&lt;16,(-0.01*'Temperature Profiles'!Q42+0.167)*1000,0)</f>
        <v>0</v>
      </c>
      <c r="BW43" s="21"/>
      <c r="BX43" s="110">
        <v>0.39583333333333298</v>
      </c>
      <c r="BY43" s="211">
        <f>IF('Temperature Profiles'!V42&lt;16,(-0.0037*'Temperature Profiles'!V42+0.0664)*1000,0)</f>
        <v>0</v>
      </c>
      <c r="BZ43" s="110">
        <v>0.39583333333333298</v>
      </c>
      <c r="CA43" s="211">
        <f>IF('Temperature Profiles'!V42&lt;16,(-0.0076*'Temperature Profiles'!V42+0.1245)*1000,0)</f>
        <v>0</v>
      </c>
      <c r="CB43" s="110">
        <v>0.39583333333333298</v>
      </c>
      <c r="CC43" s="211">
        <f>IF('Temperature Profiles'!V42&lt;16,(-0.01*'Temperature Profiles'!V42+0.167)*1000,0)</f>
        <v>0</v>
      </c>
      <c r="CD43" s="21"/>
      <c r="CE43" s="110">
        <v>0.39583333333333298</v>
      </c>
      <c r="CF43" s="211">
        <f>IF('Temperature Profiles'!AA42&lt;16,(-0.0037*'Temperature Profiles'!AA42+0.0664)*1000,0)</f>
        <v>116.13416666666667</v>
      </c>
      <c r="CG43" s="110">
        <v>0.39583333333333298</v>
      </c>
      <c r="CH43" s="178">
        <f>IF('Temperature Profiles'!AA42&lt;16,(-0.0076*'Temperature Profiles'!AA42+0.1245)*1000,0)</f>
        <v>226.65666666666667</v>
      </c>
      <c r="CI43" s="110">
        <v>0.39583333333333298</v>
      </c>
      <c r="CJ43" s="211">
        <f>IF('Temperature Profiles'!AA42&lt;16,(-0.01*'Temperature Profiles'!AA42+0.167)*1000,0)</f>
        <v>301.41666666666669</v>
      </c>
      <c r="CK43" s="21"/>
      <c r="CL43" s="110">
        <v>0.39583333333333298</v>
      </c>
      <c r="CM43" s="211">
        <f>IF('Temperature Profiles'!AF42&lt;16,(-0.0037*'Temperature Profiles'!AF42+0.0664)*1000,0)</f>
        <v>0</v>
      </c>
      <c r="CN43" s="110">
        <v>0.39583333333333298</v>
      </c>
      <c r="CO43" s="178">
        <f>IF('Temperature Profiles'!AF42&lt;16,(-0.0076*'Temperature Profiles'!AF42+0.1245)*1000,0)</f>
        <v>0</v>
      </c>
      <c r="CP43" s="110">
        <v>0.39583333333333298</v>
      </c>
      <c r="CQ43" s="211">
        <f>IF('Temperature Profiles'!AF42&lt;16,(-0.01*'Temperature Profiles'!AF42+0.167)*1000,0)</f>
        <v>0</v>
      </c>
      <c r="CR43" s="21"/>
      <c r="CS43" s="110">
        <v>0.39583333333333298</v>
      </c>
      <c r="CT43" s="211"/>
      <c r="CU43" s="21"/>
      <c r="CV43" s="110">
        <v>0.39583333333333298</v>
      </c>
      <c r="CW43" s="264"/>
      <c r="CY43" s="260">
        <v>0.39583333333333298</v>
      </c>
      <c r="CZ43" s="178">
        <f>IF('Temperature Profiles'!G42&gt;18,(0.0024*('Temperature Profiles'!G42^2)-0.0581*'Temperature Profiles'!G42+0.3293)*1000,IF('Temperature Profiles'!G42&lt;17,(0.0022*('Temperature Profiles'!G42^2)-0.0874*'Temperature Profiles'!G42+0.9301)*1000,0))</f>
        <v>83.616444444444497</v>
      </c>
      <c r="DA43" s="110">
        <v>0.39583333333333298</v>
      </c>
      <c r="DB43" s="263">
        <f>IF('Temperature Profiles'!G42&gt;18,(0.0043*('Temperature Profiles'!G42^2)-0.1116*'Temperature Profiles'!G42+0.6576)*1000,IF('Temperature Profiles'!G42&lt;17,(0.0053*('Temperature Profiles'!G42^2)-0.1876*'Temperature Profiles'!G42+1.7649)*1000,0))</f>
        <v>109.75022222222219</v>
      </c>
      <c r="DC43" s="110">
        <v>0.39583333333333298</v>
      </c>
      <c r="DD43" s="211">
        <f>IF('Temperature Profiles'!G42&gt;18,(0.0057*('Temperature Profiles'!G42^2)-0.1509*'Temperature Profiles'!G42+0.8935)*1000,IF('Temperature Profiles'!G42&lt;17,(0.0072*('Temperature Profiles'!G42^2)-0.254*'Temperature Profiles'!G42+2.3952)*1000,0))</f>
        <v>160.9653333333334</v>
      </c>
      <c r="DE43" s="21"/>
      <c r="DF43" s="110">
        <v>0.39583333333333298</v>
      </c>
      <c r="DG43" s="209">
        <f>IF('Temperature Profiles'!L42&gt;18,(0.0024*('Temperature Profiles'!L42^2)-0.0581*'Temperature Profiles'!L42+0.3293)*1000,IF('Temperature Profiles'!L42&lt;17,(0.0022*('Temperature Profiles'!L42^2)-0.0874*'Temperature Profiles'!L42+0.9301)*1000,0))</f>
        <v>354.92733333333319</v>
      </c>
      <c r="DH43" s="110">
        <v>0.39583333333333298</v>
      </c>
      <c r="DI43" s="209">
        <f>IF('Temperature Profiles'!L42&gt;18,(0.0043*('Temperature Profiles'!L42^2)-0.1116*'Temperature Profiles'!L42+0.6576)*1000,IF('Temperature Profiles'!L42&lt;17,(0.0053*('Temperature Profiles'!L42^2)-0.1876*'Temperature Profiles'!L42+1.7649)*1000,0))</f>
        <v>518.60046527777786</v>
      </c>
      <c r="DJ43" s="110">
        <v>0.39583333333333298</v>
      </c>
      <c r="DK43" s="211">
        <f>IF('Temperature Profiles'!L42&gt;18,(0.0057*('Temperature Profiles'!L42^2)-0.1509*'Temperature Profiles'!L42+0.8935)*1000,IF('Temperature Profiles'!L42&lt;17,(0.0072*('Temperature Profiles'!L42^2)-0.254*'Temperature Profiles'!L42+2.3952)*1000,0))</f>
        <v>636.1793958333335</v>
      </c>
      <c r="DL43" s="21"/>
      <c r="DM43" s="110">
        <v>0.39583333333333298</v>
      </c>
      <c r="DN43" s="209">
        <f>IF('Temperature Profiles'!Q42&gt;18,(0.0024*('Temperature Profiles'!Q42^2)-0.0581*'Temperature Profiles'!Q42+0.3293)*1000,IF('Temperature Profiles'!Q42&lt;17,(0.0022*('Temperature Profiles'!Q42^2)-0.0874*'Temperature Profiles'!Q42+0.9301)*1000,0))</f>
        <v>585.37233333333336</v>
      </c>
      <c r="DO43" s="110">
        <v>0.39583333333333298</v>
      </c>
      <c r="DP43" s="209">
        <f>IF('Temperature Profiles'!Q42&gt;18,(0.0043*('Temperature Profiles'!Q42^2)-0.1116*'Temperature Profiles'!Q42+0.6576)*1000,IF('Temperature Profiles'!Q42&lt;17,(0.0053*('Temperature Profiles'!Q42^2)-0.1876*'Temperature Profiles'!Q42+1.7649)*1000,0))</f>
        <v>906.1545277777783</v>
      </c>
      <c r="DQ43" s="110">
        <v>0.39583333333333298</v>
      </c>
      <c r="DR43" s="211">
        <f>IF('Temperature Profiles'!Q42&gt;18,(0.0057*('Temperature Profiles'!Q42^2)-0.1509*'Temperature Profiles'!Q42+0.8935)*1000,IF('Temperature Profiles'!Q42&lt;17,(0.0072*('Temperature Profiles'!Q42^2)-0.254*'Temperature Profiles'!Q42+2.3952)*1000,0))</f>
        <v>1139.9065833333348</v>
      </c>
      <c r="DS43" s="21"/>
      <c r="DT43" s="110">
        <v>0.39583333333333298</v>
      </c>
      <c r="DU43" s="209">
        <f>IF('Temperature Profiles'!V42&gt;18,(0.0024*('Temperature Profiles'!V42^2)-0.0581*'Temperature Profiles'!V42+0.3293)*1000,IF('Temperature Profiles'!V42&lt;17,(0.0022*('Temperature Profiles'!V42^2)-0.0874*'Temperature Profiles'!V42+0.9301)*1000,0))</f>
        <v>0</v>
      </c>
      <c r="DV43" s="110">
        <v>0.39583333333333298</v>
      </c>
      <c r="DW43" s="209">
        <f>IF('Temperature Profiles'!V42&gt;18,(0.0043*('Temperature Profiles'!V42^2)-0.1116*'Temperature Profiles'!V42+0.6576)*1000,IF('Temperature Profiles'!V42&lt;17,(0.0053*('Temperature Profiles'!V42^2)-0.1876*'Temperature Profiles'!V42+1.7649)*1000,0))</f>
        <v>0</v>
      </c>
      <c r="DX43" s="110">
        <v>0.39583333333333298</v>
      </c>
      <c r="DY43" s="211">
        <f>IF('Temperature Profiles'!V42&gt;18,(0.0057*('Temperature Profiles'!V42^2)-0.1509*'Temperature Profiles'!V42+0.8935)*1000,IF('Temperature Profiles'!V42&lt;17,(0.0072*('Temperature Profiles'!V42^2)-0.254*'Temperature Profiles'!V42+2.3952)*1000,0))</f>
        <v>0</v>
      </c>
      <c r="DZ43" s="21"/>
      <c r="EA43" s="110">
        <v>0.39583333333333298</v>
      </c>
      <c r="EB43" s="209">
        <f>IF('Temperature Profiles'!AA141&gt;18,(0.0024*('Temperature Profiles'!AA141^2)-0.0581*'Temperature Profiles'!AA141+0.3293)*1000,IF('Temperature Profiles'!AA141&lt;17,(0.0022*('Temperature Profiles'!AA141^2)-0.0874*'Temperature Profiles'!AA141+0.9301)*1000,0))</f>
        <v>624.45937499999991</v>
      </c>
      <c r="EC43" s="110">
        <v>0.39583333333333298</v>
      </c>
      <c r="ED43" s="209">
        <f>IF('Temperature Profiles'!AA141&gt;18,(0.0043*('Temperature Profiles'!AA141^2)-0.1116*'Temperature Profiles'!AA141+0.6576)*1000,IF('Temperature Profiles'!AA141&lt;17,(0.0053*('Temperature Profiles'!AA141^2)-0.1876*'Temperature Profiles'!AA141+1.7649)*1000,0))</f>
        <v>1117.5328124999999</v>
      </c>
      <c r="EE43" s="110">
        <v>0.39583333333333298</v>
      </c>
      <c r="EF43" s="211">
        <f>IF('Temperature Profiles'!AA141&gt;18,(0.0057*('Temperature Profiles'!AA141^2)-0.1509*'Temperature Profiles'!AA141+0.8935)*1000,IF('Temperature Profiles'!AA141&lt;17,(0.0072*('Temperature Profiles'!AA141^2)-0.254*'Temperature Profiles'!AA141+2.3952)*1000,0))</f>
        <v>1519.0624999999998</v>
      </c>
      <c r="EG43" s="21"/>
      <c r="EH43" s="110">
        <v>0.39583333333333298</v>
      </c>
      <c r="EI43" s="211">
        <f>IF('Temperature Profiles'!AF42&gt;18,(0.0024*('Temperature Profiles'!AF42^2)-0.0581*'Temperature Profiles'!AF42+0.3293)*1000,IF('Temperature Profiles'!AF42&lt;17,(0.0022*('Temperature Profiles'!AF42^2)-0.0874*'Temperature Profiles'!AF42+0.9301)*1000,0))</f>
        <v>684.59733333333372</v>
      </c>
      <c r="EJ43" s="110">
        <v>0.39583333333333298</v>
      </c>
      <c r="EK43" s="211">
        <f>IF('Temperature Profiles'!AF42&gt;18,(0.0043*('Temperature Profiles'!AF42^2)-0.1116*'Temperature Profiles'!AF42+0.6576)*1000,IF('Temperature Profiles'!AF42&lt;17,(0.0053*('Temperature Profiles'!AF42^2)-0.1876*'Temperature Profiles'!AF42+1.7649)*1000,0))</f>
        <v>1074.5524444444454</v>
      </c>
      <c r="EL43" s="110">
        <v>0.39583333333333298</v>
      </c>
      <c r="EM43" s="211">
        <f>IF('Temperature Profiles'!AF42&gt;18,(0.0057*('Temperature Profiles'!AF42^2)-0.1509*'Temperature Profiles'!AF42+0.8935)*1000,IF('Temperature Profiles'!AF42&lt;17,(0.0072*('Temperature Profiles'!AF42^2)-0.254*'Temperature Profiles'!AF42+2.3952)*1000,0))</f>
        <v>1359.4253333333345</v>
      </c>
      <c r="EN43" s="21"/>
      <c r="EO43" s="110">
        <v>0.39583333333333298</v>
      </c>
      <c r="EP43" s="211"/>
      <c r="EQ43" s="21"/>
      <c r="ER43" s="110">
        <v>0.39583333333333298</v>
      </c>
      <c r="ES43" s="264"/>
      <c r="EU43" s="260">
        <v>0.39583333333333298</v>
      </c>
      <c r="EV43" s="209">
        <f>IF('Temperature Profiles'!AA141&gt;18,(0.0024*('Temperature Profiles'!AA141^2)-0.0581*'Temperature Profiles'!AA141+0.3293)*1000,IF('Temperature Profiles'!AA141&lt;17,(0.0022*('Temperature Profiles'!AA141^2)-0.0874*'Temperature Profiles'!AA141+0.9301)*1000,0))</f>
        <v>624.45937499999991</v>
      </c>
      <c r="EW43" s="110">
        <v>0.39583333333333298</v>
      </c>
      <c r="EX43" s="209">
        <f>IF('Temperature Profiles'!AA141&gt;18,(0.0043*('Temperature Profiles'!AA141^2)-0.1116*'Temperature Profiles'!AA141+0.6576)*1000,IF('Temperature Profiles'!AA141&lt;17,(0.0053*('Temperature Profiles'!AA141^2)-0.1876*'Temperature Profiles'!AA141+1.7649)*1000,0))</f>
        <v>1117.5328124999999</v>
      </c>
      <c r="EY43" s="110">
        <v>0.39583333333333298</v>
      </c>
      <c r="EZ43" s="264">
        <f>IF('Temperature Profiles'!AA141&gt;18,(0.0057*('Temperature Profiles'!AA141^2)-0.1509*'Temperature Profiles'!AA141+0.8935)*1000,IF('Temperature Profiles'!AA141&lt;17,(0.0072*('Temperature Profiles'!AA141^2)-0.254*'Temperature Profiles'!AA141+2.3952)*1000,0))</f>
        <v>1519.0624999999998</v>
      </c>
    </row>
    <row r="44" spans="1:156" x14ac:dyDescent="0.3">
      <c r="A44" s="108">
        <v>0.39583333333333298</v>
      </c>
      <c r="B44" s="226">
        <f t="shared" si="0"/>
        <v>0</v>
      </c>
      <c r="C44" s="21">
        <f t="shared" si="1"/>
        <v>301.41666666666669</v>
      </c>
      <c r="D44" s="20">
        <f t="shared" si="2"/>
        <v>1519.0624999999998</v>
      </c>
      <c r="E44" s="20">
        <f t="shared" si="3"/>
        <v>1519.0624999999998</v>
      </c>
      <c r="G44" s="260">
        <v>0.40625</v>
      </c>
      <c r="H44" s="211">
        <f>IF('Temperature Profiles'!G43&gt;17,(0.0029*('Temperature Profiles'!G43^2) - 0.0863*'Temperature Profiles'!G43 + 0.6808)*1000,0)</f>
        <v>0</v>
      </c>
      <c r="I44" s="110">
        <v>0.40625</v>
      </c>
      <c r="J44" s="211">
        <f>IF('Temperature Profiles'!G43&gt;17,(0.005*('Temperature Profiles'!G43^2) - 0.1517*'Temperature Profiles'!G43 + 1.1702)*1000,0)</f>
        <v>0</v>
      </c>
      <c r="K44" s="110">
        <v>0.40625</v>
      </c>
      <c r="L44" s="211">
        <f>IF('Temperature Profiles'!G43&gt;17,(0.0068*('Temperature Profiles'!G43^2) - 0.2129*'Temperature Profiles'!G43 + 1.6904)*1000,0)</f>
        <v>0</v>
      </c>
      <c r="M44" s="21"/>
      <c r="N44" s="110">
        <v>0.40625</v>
      </c>
      <c r="O44" s="211">
        <f>IF('Temperature Profiles'!L43&gt;17,(0.0029*('Temperature Profiles'!L43^2) - 0.0863*'Temperature Profiles'!L43 + 0.6808)*1000,0)</f>
        <v>315.13820138888872</v>
      </c>
      <c r="P44" s="110">
        <v>0.40625</v>
      </c>
      <c r="Q44" s="211">
        <f>IF('Temperature Profiles'!L43&gt;17,(0.005*('Temperature Profiles'!L43^2) - 0.1517*'Temperature Profiles'!L43 + 1.1702)*1000,0)</f>
        <v>468.11784722222205</v>
      </c>
      <c r="R44" s="110">
        <v>0.40625</v>
      </c>
      <c r="S44" s="211">
        <f>IF('Temperature Profiles'!L43&gt;17,(0.0068*('Temperature Profiles'!L43^2) - 0.2129*'Temperature Profiles'!L43 + 1.6904)*1000,0)</f>
        <v>573.22897222222173</v>
      </c>
      <c r="T44" s="21"/>
      <c r="U44" s="110">
        <v>0.40625</v>
      </c>
      <c r="V44" s="211">
        <f>IF('Temperature Profiles'!Q43&gt;17,(0.0029*('Temperature Profiles'!Q43^2) - 0.0863*'Temperature Profiles'!Q43 + 0.6808)*1000,0)</f>
        <v>539.26913888888873</v>
      </c>
      <c r="W44" s="110">
        <v>0.40625</v>
      </c>
      <c r="X44" s="211">
        <f>IF('Temperature Profiles'!Q43&gt;17,(0.005*('Temperature Profiles'!Q43^2) - 0.1517*'Temperature Profiles'!Q43 + 1.1702)*1000,0)</f>
        <v>844.73972222222255</v>
      </c>
      <c r="Y44" s="110">
        <v>0.40625</v>
      </c>
      <c r="Z44" s="211">
        <f>IF('Temperature Profiles'!Q43&gt;17,(0.0068*('Temperature Profiles'!Q43^2) - 0.2129*'Temperature Profiles'!Q43 + 1.6904)*1000,0)</f>
        <v>1063.2002222222225</v>
      </c>
      <c r="AA44" s="21"/>
      <c r="AB44" s="110">
        <v>0.40625</v>
      </c>
      <c r="AC44" s="211">
        <f>IF('Temperature Profiles'!V43&gt;17,(0.0029*('Temperature Profiles'!V43^2) - 0.0863*'Temperature Profiles'!V43 + 0.6808)*1000,0)</f>
        <v>64.927805555555437</v>
      </c>
      <c r="AD44" s="110">
        <v>0.40625</v>
      </c>
      <c r="AE44" s="211">
        <f>IF('Temperature Profiles'!V43&gt;17,(0.005*('Temperature Profiles'!V43^2) - 0.1517*'Temperature Profiles'!V43 + 1.1702)*1000,0)</f>
        <v>56.366388888888565</v>
      </c>
      <c r="AF44" s="110">
        <v>0.40625</v>
      </c>
      <c r="AG44" s="211">
        <f>IF('Temperature Profiles'!V43&gt;17,(0.0068*('Temperature Profiles'!V43^2) - 0.2129*'Temperature Profiles'!V43 + 1.6904)*1000,0)</f>
        <v>57.770888888888372</v>
      </c>
      <c r="AH44" s="21"/>
      <c r="AI44" s="110">
        <v>0.40625</v>
      </c>
      <c r="AJ44" s="211">
        <f>IF('Temperature Profiles'!AA43&gt;17,(0.0029*('Temperature Profiles'!AA43^2) - 0.0863*'Temperature Profiles'!AA43 + 0.6808)*1000,0)</f>
        <v>0</v>
      </c>
      <c r="AK44" s="110">
        <v>0.40625</v>
      </c>
      <c r="AL44" s="211">
        <f>IF('Temperature Profiles'!AA43&gt;17,(0.005*('Temperature Profiles'!AA43^2) - 0.1517*'Temperature Profiles'!AA43 + 1.1701)*1000,0)</f>
        <v>0</v>
      </c>
      <c r="AM44" s="110">
        <v>0.40625</v>
      </c>
      <c r="AN44" s="211">
        <f>IF('Temperature Profiles'!AA43&gt;17,(0.0068*('Temperature Profiles'!AA43^2) - 0.2129*'Temperature Profiles'!AA43 + 1.6904)*1000,0)</f>
        <v>0</v>
      </c>
      <c r="AO44" s="21"/>
      <c r="AP44" s="110">
        <v>0.40625</v>
      </c>
      <c r="AQ44" s="211">
        <f>IF('Temperature Profiles'!AF43&gt;17,(0.0029*('Temperature Profiles'!AF43^2) - 0.0863*'Temperature Profiles'!AF43 + 0.6808)*1000,0)</f>
        <v>639.0462222222227</v>
      </c>
      <c r="AR44" s="110">
        <v>0.40625</v>
      </c>
      <c r="AS44" s="183">
        <f>IF('Temperature Profiles'!AF43&gt;17,(0.005*('Temperature Profiles'!AF43^2) - 0.1517*'Temperature Profiles'!AF43 + 1.1702)*1000,0)</f>
        <v>1013.1355555555568</v>
      </c>
      <c r="AT44" s="110">
        <v>0.40625</v>
      </c>
      <c r="AU44" s="211">
        <f>IF('Temperature Profiles'!AF43&gt;17,(0.0068*('Temperature Profiles'!AF43^2) - 0.2129*'Temperature Profiles'!AF43 + 1.6904)*1000,0)</f>
        <v>1283.9835555555558</v>
      </c>
      <c r="AV44" s="21"/>
      <c r="AW44" s="110">
        <v>0.40625</v>
      </c>
      <c r="AX44" s="211"/>
      <c r="AY44" s="21"/>
      <c r="AZ44" s="110">
        <v>0.40625</v>
      </c>
      <c r="BA44" s="264"/>
      <c r="BC44" s="260">
        <v>0.40625</v>
      </c>
      <c r="BD44" s="211">
        <f>IF('Temperature Profiles'!G43&lt;16,(-0.0037*'Temperature Profiles'!G43+0.0664)*1000,0)</f>
        <v>0</v>
      </c>
      <c r="BE44" s="110">
        <v>0.40625</v>
      </c>
      <c r="BF44" s="211">
        <f>IF('Temperature Profiles'!G43&lt;16,(-0.0076*'Temperature Profiles'!G43+0.1245)*1000,0)</f>
        <v>0</v>
      </c>
      <c r="BG44" s="110">
        <v>0.40625</v>
      </c>
      <c r="BH44" s="211">
        <f>IF('Temperature Profiles'!G43&lt;16,(-0.01*'Temperature Profiles'!G43+0.167)*1000,0)</f>
        <v>0</v>
      </c>
      <c r="BI44" s="21"/>
      <c r="BJ44" s="110">
        <v>0.40625</v>
      </c>
      <c r="BK44" s="211">
        <f>IF('Temperature Profiles'!L43&lt;16,(-0.0037*'Temperature Profiles'!L43+0.0664)*1000,0)</f>
        <v>0</v>
      </c>
      <c r="BL44" s="110">
        <v>0.40625</v>
      </c>
      <c r="BM44" s="211">
        <f>IF('Temperature Profiles'!L43&lt;16,(-0.0076*'Temperature Profiles'!L43+0.1245)*1000,0)</f>
        <v>0</v>
      </c>
      <c r="BN44" s="110">
        <v>0.40625</v>
      </c>
      <c r="BO44" s="211">
        <f>IF('Temperature Profiles'!L43&lt;16,(-0.01*'Temperature Profiles'!L43+0.167)*1000,0)</f>
        <v>0</v>
      </c>
      <c r="BP44" s="21"/>
      <c r="BQ44" s="110">
        <v>0.40625</v>
      </c>
      <c r="BR44" s="211">
        <f>IF('Temperature Profiles'!Q43&lt;16,(-0.0037*'Temperature Profiles'!Q43+0.0664)*1000,0)</f>
        <v>0</v>
      </c>
      <c r="BS44" s="110">
        <v>0.40625</v>
      </c>
      <c r="BT44" s="211">
        <f>IF('Temperature Profiles'!Q43&lt;16,(-0.0076*'Temperature Profiles'!Q43+0.1245)*1000,0)</f>
        <v>0</v>
      </c>
      <c r="BU44" s="110">
        <v>0.40625</v>
      </c>
      <c r="BV44" s="211">
        <f>IF('Temperature Profiles'!Q43&lt;16,(-0.01*'Temperature Profiles'!Q43+0.167)*1000,0)</f>
        <v>0</v>
      </c>
      <c r="BW44" s="21"/>
      <c r="BX44" s="110">
        <v>0.40625</v>
      </c>
      <c r="BY44" s="211">
        <f>IF('Temperature Profiles'!V43&lt;16,(-0.0037*'Temperature Profiles'!V43+0.0664)*1000,0)</f>
        <v>0</v>
      </c>
      <c r="BZ44" s="110">
        <v>0.40625</v>
      </c>
      <c r="CA44" s="211">
        <f>IF('Temperature Profiles'!V43&lt;16,(-0.0076*'Temperature Profiles'!V43+0.1245)*1000,0)</f>
        <v>0</v>
      </c>
      <c r="CB44" s="110">
        <v>0.40625</v>
      </c>
      <c r="CC44" s="211">
        <f>IF('Temperature Profiles'!V43&lt;16,(-0.01*'Temperature Profiles'!V43+0.167)*1000,0)</f>
        <v>0</v>
      </c>
      <c r="CD44" s="21"/>
      <c r="CE44" s="110">
        <v>0.40625</v>
      </c>
      <c r="CF44" s="211">
        <f>IF('Temperature Profiles'!AA43&lt;16,(-0.0037*'Temperature Profiles'!AA43+0.0664)*1000,0)</f>
        <v>116.13416666666667</v>
      </c>
      <c r="CG44" s="110">
        <v>0.40625</v>
      </c>
      <c r="CH44" s="178">
        <f>IF('Temperature Profiles'!AA43&lt;16,(-0.0076*'Temperature Profiles'!AA43+0.1245)*1000,0)</f>
        <v>226.65666666666667</v>
      </c>
      <c r="CI44" s="110">
        <v>0.40625</v>
      </c>
      <c r="CJ44" s="211">
        <f>IF('Temperature Profiles'!AA43&lt;16,(-0.01*'Temperature Profiles'!AA43+0.167)*1000,0)</f>
        <v>301.41666666666669</v>
      </c>
      <c r="CK44" s="21"/>
      <c r="CL44" s="110">
        <v>0.40625</v>
      </c>
      <c r="CM44" s="211">
        <f>IF('Temperature Profiles'!AF43&lt;16,(-0.0037*'Temperature Profiles'!AF43+0.0664)*1000,0)</f>
        <v>0</v>
      </c>
      <c r="CN44" s="110">
        <v>0.40625</v>
      </c>
      <c r="CO44" s="178">
        <f>IF('Temperature Profiles'!AF43&lt;16,(-0.0076*'Temperature Profiles'!AF43+0.1245)*1000,0)</f>
        <v>0</v>
      </c>
      <c r="CP44" s="110">
        <v>0.40625</v>
      </c>
      <c r="CQ44" s="211">
        <f>IF('Temperature Profiles'!AF43&lt;16,(-0.01*'Temperature Profiles'!AF43+0.167)*1000,0)</f>
        <v>0</v>
      </c>
      <c r="CR44" s="21"/>
      <c r="CS44" s="110">
        <v>0.40625</v>
      </c>
      <c r="CT44" s="211"/>
      <c r="CU44" s="21"/>
      <c r="CV44" s="110">
        <v>0.40625</v>
      </c>
      <c r="CW44" s="264"/>
      <c r="CY44" s="260">
        <v>0.40625</v>
      </c>
      <c r="CZ44" s="178">
        <f>IF('Temperature Profiles'!G43&gt;18,(0.0024*('Temperature Profiles'!G43^2)-0.0581*'Temperature Profiles'!G43+0.3293)*1000,IF('Temperature Profiles'!G43&lt;17,(0.0022*('Temperature Profiles'!G43^2)-0.0874*'Temperature Profiles'!G43+0.9301)*1000,0))</f>
        <v>83.616444444444497</v>
      </c>
      <c r="DA44" s="110">
        <v>0.40625</v>
      </c>
      <c r="DB44" s="263">
        <f>IF('Temperature Profiles'!G43&gt;18,(0.0043*('Temperature Profiles'!G43^2)-0.1116*'Temperature Profiles'!G43+0.6576)*1000,IF('Temperature Profiles'!G43&lt;17,(0.0053*('Temperature Profiles'!G43^2)-0.1876*'Temperature Profiles'!G43+1.7649)*1000,0))</f>
        <v>109.75022222222219</v>
      </c>
      <c r="DC44" s="110">
        <v>0.40625</v>
      </c>
      <c r="DD44" s="211">
        <f>IF('Temperature Profiles'!G43&gt;18,(0.0057*('Temperature Profiles'!G43^2)-0.1509*'Temperature Profiles'!G43+0.8935)*1000,IF('Temperature Profiles'!G43&lt;17,(0.0072*('Temperature Profiles'!G43^2)-0.254*'Temperature Profiles'!G43+2.3952)*1000,0))</f>
        <v>160.9653333333334</v>
      </c>
      <c r="DE44" s="21"/>
      <c r="DF44" s="110">
        <v>0.40625</v>
      </c>
      <c r="DG44" s="209">
        <f>IF('Temperature Profiles'!L43&gt;18,(0.0024*('Temperature Profiles'!L43^2)-0.0581*'Temperature Profiles'!L43+0.3293)*1000,IF('Temperature Profiles'!L43&lt;17,(0.0022*('Temperature Profiles'!L43^2)-0.0874*'Temperature Profiles'!L43+0.9301)*1000,0))</f>
        <v>354.92733333333319</v>
      </c>
      <c r="DH44" s="110">
        <v>0.40625</v>
      </c>
      <c r="DI44" s="209">
        <f>IF('Temperature Profiles'!L43&gt;18,(0.0043*('Temperature Profiles'!L43^2)-0.1116*'Temperature Profiles'!L43+0.6576)*1000,IF('Temperature Profiles'!L43&lt;17,(0.0053*('Temperature Profiles'!L43^2)-0.1876*'Temperature Profiles'!L43+1.7649)*1000,0))</f>
        <v>518.60046527777786</v>
      </c>
      <c r="DJ44" s="110">
        <v>0.40625</v>
      </c>
      <c r="DK44" s="211">
        <f>IF('Temperature Profiles'!L43&gt;18,(0.0057*('Temperature Profiles'!L43^2)-0.1509*'Temperature Profiles'!L43+0.8935)*1000,IF('Temperature Profiles'!L43&lt;17,(0.0072*('Temperature Profiles'!L43^2)-0.254*'Temperature Profiles'!L43+2.3952)*1000,0))</f>
        <v>636.1793958333335</v>
      </c>
      <c r="DL44" s="21"/>
      <c r="DM44" s="110">
        <v>0.40625</v>
      </c>
      <c r="DN44" s="209">
        <f>IF('Temperature Profiles'!Q43&gt;18,(0.0024*('Temperature Profiles'!Q43^2)-0.0581*'Temperature Profiles'!Q43+0.3293)*1000,IF('Temperature Profiles'!Q43&lt;17,(0.0022*('Temperature Profiles'!Q43^2)-0.0874*'Temperature Profiles'!Q43+0.9301)*1000,0))</f>
        <v>585.37233333333336</v>
      </c>
      <c r="DO44" s="110">
        <v>0.40625</v>
      </c>
      <c r="DP44" s="209">
        <f>IF('Temperature Profiles'!Q43&gt;18,(0.0043*('Temperature Profiles'!Q43^2)-0.1116*'Temperature Profiles'!Q43+0.6576)*1000,IF('Temperature Profiles'!Q43&lt;17,(0.0053*('Temperature Profiles'!Q43^2)-0.1876*'Temperature Profiles'!Q43+1.7649)*1000,0))</f>
        <v>906.1545277777783</v>
      </c>
      <c r="DQ44" s="110">
        <v>0.40625</v>
      </c>
      <c r="DR44" s="211">
        <f>IF('Temperature Profiles'!Q43&gt;18,(0.0057*('Temperature Profiles'!Q43^2)-0.1509*'Temperature Profiles'!Q43+0.8935)*1000,IF('Temperature Profiles'!Q43&lt;17,(0.0072*('Temperature Profiles'!Q43^2)-0.254*'Temperature Profiles'!Q43+2.3952)*1000,0))</f>
        <v>1139.9065833333348</v>
      </c>
      <c r="DS44" s="21"/>
      <c r="DT44" s="110">
        <v>0.40625</v>
      </c>
      <c r="DU44" s="209">
        <f>IF('Temperature Profiles'!V43&gt;18,(0.0024*('Temperature Profiles'!V43^2)-0.0581*'Temperature Profiles'!V43+0.3293)*1000,IF('Temperature Profiles'!V43&lt;17,(0.0022*('Temperature Profiles'!V43^2)-0.0874*'Temperature Profiles'!V43+0.9301)*1000,0))</f>
        <v>0</v>
      </c>
      <c r="DV44" s="110">
        <v>0.40625</v>
      </c>
      <c r="DW44" s="209">
        <f>IF('Temperature Profiles'!V43&gt;18,(0.0043*('Temperature Profiles'!V43^2)-0.1116*'Temperature Profiles'!V43+0.6576)*1000,IF('Temperature Profiles'!V43&lt;17,(0.0053*('Temperature Profiles'!V43^2)-0.1876*'Temperature Profiles'!V43+1.7649)*1000,0))</f>
        <v>0</v>
      </c>
      <c r="DX44" s="110">
        <v>0.40625</v>
      </c>
      <c r="DY44" s="211">
        <f>IF('Temperature Profiles'!V43&gt;18,(0.0057*('Temperature Profiles'!V43^2)-0.1509*'Temperature Profiles'!V43+0.8935)*1000,IF('Temperature Profiles'!V43&lt;17,(0.0072*('Temperature Profiles'!V43^2)-0.254*'Temperature Profiles'!V43+2.3952)*1000,0))</f>
        <v>0</v>
      </c>
      <c r="DZ44" s="21"/>
      <c r="EA44" s="110">
        <v>0.40625</v>
      </c>
      <c r="EB44" s="209">
        <f>IF('Temperature Profiles'!AA142&gt;18,(0.0024*('Temperature Profiles'!AA142^2)-0.0581*'Temperature Profiles'!AA142+0.3293)*1000,IF('Temperature Profiles'!AA142&lt;17,(0.0022*('Temperature Profiles'!AA142^2)-0.0874*'Temperature Profiles'!AA142+0.9301)*1000,0))</f>
        <v>624.45937499999991</v>
      </c>
      <c r="EC44" s="110">
        <v>0.40625</v>
      </c>
      <c r="ED44" s="209">
        <f>IF('Temperature Profiles'!AA142&gt;18,(0.0043*('Temperature Profiles'!AA142^2)-0.1116*'Temperature Profiles'!AA142+0.6576)*1000,IF('Temperature Profiles'!AA142&lt;17,(0.0053*('Temperature Profiles'!AA142^2)-0.1876*'Temperature Profiles'!AA142+1.7649)*1000,0))</f>
        <v>1117.5328124999999</v>
      </c>
      <c r="EE44" s="110">
        <v>0.40625</v>
      </c>
      <c r="EF44" s="211">
        <f>IF('Temperature Profiles'!AA142&gt;18,(0.0057*('Temperature Profiles'!AA142^2)-0.1509*'Temperature Profiles'!AA142+0.8935)*1000,IF('Temperature Profiles'!AA142&lt;17,(0.0072*('Temperature Profiles'!AA142^2)-0.254*'Temperature Profiles'!AA142+2.3952)*1000,0))</f>
        <v>1519.0624999999998</v>
      </c>
      <c r="EG44" s="21"/>
      <c r="EH44" s="110">
        <v>0.40625</v>
      </c>
      <c r="EI44" s="211">
        <f>IF('Temperature Profiles'!AF43&gt;18,(0.0024*('Temperature Profiles'!AF43^2)-0.0581*'Temperature Profiles'!AF43+0.3293)*1000,IF('Temperature Profiles'!AF43&lt;17,(0.0022*('Temperature Profiles'!AF43^2)-0.0874*'Temperature Profiles'!AF43+0.9301)*1000,0))</f>
        <v>684.59733333333372</v>
      </c>
      <c r="EJ44" s="110">
        <v>0.40625</v>
      </c>
      <c r="EK44" s="211">
        <f>IF('Temperature Profiles'!AF43&gt;18,(0.0043*('Temperature Profiles'!AF43^2)-0.1116*'Temperature Profiles'!AF43+0.6576)*1000,IF('Temperature Profiles'!AF43&lt;17,(0.0053*('Temperature Profiles'!AF43^2)-0.1876*'Temperature Profiles'!AF43+1.7649)*1000,0))</f>
        <v>1074.5524444444454</v>
      </c>
      <c r="EL44" s="110">
        <v>0.40625</v>
      </c>
      <c r="EM44" s="211">
        <f>IF('Temperature Profiles'!AF43&gt;18,(0.0057*('Temperature Profiles'!AF43^2)-0.1509*'Temperature Profiles'!AF43+0.8935)*1000,IF('Temperature Profiles'!AF43&lt;17,(0.0072*('Temperature Profiles'!AF43^2)-0.254*'Temperature Profiles'!AF43+2.3952)*1000,0))</f>
        <v>1359.4253333333345</v>
      </c>
      <c r="EN44" s="21"/>
      <c r="EO44" s="110">
        <v>0.40625</v>
      </c>
      <c r="EP44" s="211"/>
      <c r="EQ44" s="21"/>
      <c r="ER44" s="110">
        <v>0.40625</v>
      </c>
      <c r="ES44" s="264"/>
      <c r="EU44" s="260">
        <v>0.40625</v>
      </c>
      <c r="EV44" s="209">
        <f>IF('Temperature Profiles'!AA142&gt;18,(0.0024*('Temperature Profiles'!AA142^2)-0.0581*'Temperature Profiles'!AA142+0.3293)*1000,IF('Temperature Profiles'!AA142&lt;17,(0.0022*('Temperature Profiles'!AA142^2)-0.0874*'Temperature Profiles'!AA142+0.9301)*1000,0))</f>
        <v>624.45937499999991</v>
      </c>
      <c r="EW44" s="110">
        <v>0.40625</v>
      </c>
      <c r="EX44" s="209">
        <f>IF('Temperature Profiles'!AA142&gt;18,(0.0043*('Temperature Profiles'!AA142^2)-0.1116*'Temperature Profiles'!AA142+0.6576)*1000,IF('Temperature Profiles'!AA142&lt;17,(0.0053*('Temperature Profiles'!AA142^2)-0.1876*'Temperature Profiles'!AA142+1.7649)*1000,0))</f>
        <v>1117.5328124999999</v>
      </c>
      <c r="EY44" s="110">
        <v>0.40625</v>
      </c>
      <c r="EZ44" s="264">
        <f>IF('Temperature Profiles'!AA142&gt;18,(0.0057*('Temperature Profiles'!AA142^2)-0.1509*'Temperature Profiles'!AA142+0.8935)*1000,IF('Temperature Profiles'!AA142&lt;17,(0.0072*('Temperature Profiles'!AA142^2)-0.254*'Temperature Profiles'!AA142+2.3952)*1000,0))</f>
        <v>1519.0624999999998</v>
      </c>
    </row>
    <row r="45" spans="1:156" x14ac:dyDescent="0.3">
      <c r="A45" s="108">
        <v>0.40625</v>
      </c>
      <c r="B45" s="226">
        <f t="shared" si="0"/>
        <v>0</v>
      </c>
      <c r="C45" s="21">
        <f t="shared" si="1"/>
        <v>301.41666666666669</v>
      </c>
      <c r="D45" s="20">
        <f t="shared" si="2"/>
        <v>1519.0624999999998</v>
      </c>
      <c r="E45" s="20">
        <f t="shared" si="3"/>
        <v>1519.0624999999998</v>
      </c>
      <c r="G45" s="260">
        <v>0.41666666666666702</v>
      </c>
      <c r="H45" s="211">
        <f>IF('Temperature Profiles'!G44&gt;17,(0.0029*('Temperature Profiles'!G44^2) - 0.0863*'Temperature Profiles'!G44 + 0.6808)*1000,0)</f>
        <v>73.355555555555398</v>
      </c>
      <c r="I45" s="110">
        <v>0.41666666666666702</v>
      </c>
      <c r="J45" s="211">
        <f>IF('Temperature Profiles'!G44&gt;17,(0.005*('Temperature Profiles'!G44^2) - 0.1517*'Temperature Profiles'!G44 + 1.1702)*1000,0)</f>
        <v>69.588888888888917</v>
      </c>
      <c r="K45" s="110">
        <v>0.41666666666666702</v>
      </c>
      <c r="L45" s="211">
        <f>IF('Temperature Profiles'!G44&gt;17,(0.0068*('Temperature Profiles'!G44^2) - 0.2129*'Temperature Profiles'!G44 + 1.6904)*1000,0)</f>
        <v>72.788888888888792</v>
      </c>
      <c r="M45" s="21"/>
      <c r="N45" s="110">
        <v>0.41666666666666702</v>
      </c>
      <c r="O45" s="211">
        <f>IF('Temperature Profiles'!L44&gt;17,(0.0029*('Temperature Profiles'!L44^2) - 0.0863*'Temperature Profiles'!L44 + 0.6808)*1000,0)</f>
        <v>380.9310347222218</v>
      </c>
      <c r="P45" s="110">
        <v>0.41666666666666702</v>
      </c>
      <c r="Q45" s="211">
        <f>IF('Temperature Profiles'!L44&gt;17,(0.005*('Temperature Profiles'!L44^2) - 0.1517*'Temperature Profiles'!L44 + 1.1702)*1000,0)</f>
        <v>578.35618055555528</v>
      </c>
      <c r="R45" s="110">
        <v>0.41666666666666702</v>
      </c>
      <c r="S45" s="211">
        <f>IF('Temperature Profiles'!L44&gt;17,(0.0068*('Temperature Profiles'!L44^2) - 0.2129*'Temperature Profiles'!L44 + 1.6904)*1000,0)</f>
        <v>715.90630555555504</v>
      </c>
      <c r="T45" s="21"/>
      <c r="U45" s="110">
        <v>0.41666666666666702</v>
      </c>
      <c r="V45" s="211">
        <f>IF('Temperature Profiles'!Q44&gt;17,(0.0029*('Temperature Profiles'!Q44^2) - 0.0863*'Temperature Profiles'!Q44 + 0.6808)*1000,0)</f>
        <v>704.72655555555514</v>
      </c>
      <c r="W45" s="110">
        <v>0.41666666666666702</v>
      </c>
      <c r="X45" s="211">
        <f>IF('Temperature Profiles'!Q44&gt;17,(0.005*('Temperature Profiles'!Q44^2) - 0.1517*'Temperature Profiles'!Q44 + 1.1702)*1000,0)</f>
        <v>1124.1488888888891</v>
      </c>
      <c r="Y45" s="110">
        <v>0.41666666666666702</v>
      </c>
      <c r="Z45" s="211">
        <f>IF('Temperature Profiles'!Q44&gt;17,(0.0068*('Temperature Profiles'!Q44^2) - 0.2129*'Temperature Profiles'!Q44 + 1.6904)*1000,0)</f>
        <v>1429.9108888888886</v>
      </c>
      <c r="AA45" s="21"/>
      <c r="AB45" s="110">
        <v>0.41666666666666702</v>
      </c>
      <c r="AC45" s="211">
        <f>IF('Temperature Profiles'!V44&gt;17,(0.0029*('Temperature Profiles'!V44^2) - 0.0863*'Temperature Profiles'!V44 + 0.6808)*1000,0)</f>
        <v>72.690999999999946</v>
      </c>
      <c r="AD45" s="110">
        <v>0.41666666666666702</v>
      </c>
      <c r="AE45" s="211">
        <f>IF('Temperature Profiles'!V44&gt;17,(0.005*('Temperature Profiles'!V44^2) - 0.1517*'Temperature Profiles'!V44 + 1.1702)*1000,0)</f>
        <v>68.540000000000049</v>
      </c>
      <c r="AF45" s="110">
        <v>0.41666666666666702</v>
      </c>
      <c r="AG45" s="211">
        <f>IF('Temperature Profiles'!V44&gt;17,(0.0068*('Temperature Profiles'!V44^2) - 0.2129*'Temperature Profiles'!V44 + 1.6904)*1000,0)</f>
        <v>71.581999999999809</v>
      </c>
      <c r="AH45" s="21"/>
      <c r="AI45" s="110">
        <v>0.41666666666666702</v>
      </c>
      <c r="AJ45" s="211">
        <f>IF('Temperature Profiles'!AA44&gt;17,(0.0029*('Temperature Profiles'!AA44^2) - 0.0863*'Temperature Profiles'!AA44 + 0.6808)*1000,0)</f>
        <v>0</v>
      </c>
      <c r="AK45" s="110">
        <v>0.41666666666666702</v>
      </c>
      <c r="AL45" s="211">
        <f>IF('Temperature Profiles'!AA44&gt;17,(0.005*('Temperature Profiles'!AA44^2) - 0.1517*'Temperature Profiles'!AA44 + 1.1701)*1000,0)</f>
        <v>0</v>
      </c>
      <c r="AM45" s="110">
        <v>0.41666666666666702</v>
      </c>
      <c r="AN45" s="211">
        <f>IF('Temperature Profiles'!AA44&gt;17,(0.0068*('Temperature Profiles'!AA44^2) - 0.2129*'Temperature Profiles'!AA44 + 1.6904)*1000,0)</f>
        <v>0</v>
      </c>
      <c r="AO45" s="21"/>
      <c r="AP45" s="110">
        <v>0.41666666666666702</v>
      </c>
      <c r="AQ45" s="211">
        <f>IF('Temperature Profiles'!AF44&gt;17,(0.0029*('Temperature Profiles'!AF44^2) - 0.0863*'Temperature Profiles'!AF44 + 0.6808)*1000,0)</f>
        <v>768.43936805555472</v>
      </c>
      <c r="AR45" s="110">
        <v>0.41666666666666702</v>
      </c>
      <c r="AS45" s="183">
        <f>IF('Temperature Profiles'!AF44&gt;17,(0.005*('Temperature Profiles'!AF44^2) - 0.1517*'Temperature Profiles'!AF44 + 1.1702)*1000,0)</f>
        <v>1231.939513888889</v>
      </c>
      <c r="AT45" s="110">
        <v>0.41666666666666702</v>
      </c>
      <c r="AU45" s="211">
        <f>IF('Temperature Profiles'!AF44&gt;17,(0.0068*('Temperature Profiles'!AF44^2) - 0.2129*'Temperature Profiles'!AF44 + 1.6904)*1000,0)</f>
        <v>1571.8396388888877</v>
      </c>
      <c r="AV45" s="21"/>
      <c r="AW45" s="110">
        <v>0.41666666666666702</v>
      </c>
      <c r="AX45" s="211"/>
      <c r="AY45" s="21"/>
      <c r="AZ45" s="110">
        <v>0.41666666666666702</v>
      </c>
      <c r="BA45" s="264"/>
      <c r="BC45" s="260">
        <v>0.41666666666666702</v>
      </c>
      <c r="BD45" s="211">
        <f>IF('Temperature Profiles'!G44&lt;16,(-0.0037*'Temperature Profiles'!G44+0.0664)*1000,0)</f>
        <v>0</v>
      </c>
      <c r="BE45" s="110">
        <v>0.41666666666666702</v>
      </c>
      <c r="BF45" s="211">
        <f>IF('Temperature Profiles'!G44&lt;16,(-0.0076*'Temperature Profiles'!G44+0.1245)*1000,0)</f>
        <v>0</v>
      </c>
      <c r="BG45" s="110">
        <v>0.41666666666666702</v>
      </c>
      <c r="BH45" s="211">
        <f>IF('Temperature Profiles'!G44&lt;16,(-0.01*'Temperature Profiles'!G44+0.167)*1000,0)</f>
        <v>0</v>
      </c>
      <c r="BI45" s="21"/>
      <c r="BJ45" s="110">
        <v>0.41666666666666702</v>
      </c>
      <c r="BK45" s="211">
        <f>IF('Temperature Profiles'!L44&lt;16,(-0.0037*'Temperature Profiles'!L44+0.0664)*1000,0)</f>
        <v>0</v>
      </c>
      <c r="BL45" s="110">
        <v>0.41666666666666702</v>
      </c>
      <c r="BM45" s="211">
        <f>IF('Temperature Profiles'!L44&lt;16,(-0.0076*'Temperature Profiles'!L44+0.1245)*1000,0)</f>
        <v>0</v>
      </c>
      <c r="BN45" s="110">
        <v>0.41666666666666702</v>
      </c>
      <c r="BO45" s="211">
        <f>IF('Temperature Profiles'!L44&lt;16,(-0.01*'Temperature Profiles'!L44+0.167)*1000,0)</f>
        <v>0</v>
      </c>
      <c r="BP45" s="21"/>
      <c r="BQ45" s="110">
        <v>0.41666666666666702</v>
      </c>
      <c r="BR45" s="211">
        <f>IF('Temperature Profiles'!Q44&lt;16,(-0.0037*'Temperature Profiles'!Q44+0.0664)*1000,0)</f>
        <v>0</v>
      </c>
      <c r="BS45" s="110">
        <v>0.41666666666666702</v>
      </c>
      <c r="BT45" s="211">
        <f>IF('Temperature Profiles'!Q44&lt;16,(-0.0076*'Temperature Profiles'!Q44+0.1245)*1000,0)</f>
        <v>0</v>
      </c>
      <c r="BU45" s="110">
        <v>0.41666666666666702</v>
      </c>
      <c r="BV45" s="211">
        <f>IF('Temperature Profiles'!Q44&lt;16,(-0.01*'Temperature Profiles'!Q44+0.167)*1000,0)</f>
        <v>0</v>
      </c>
      <c r="BW45" s="21"/>
      <c r="BX45" s="110">
        <v>0.41666666666666702</v>
      </c>
      <c r="BY45" s="211">
        <f>IF('Temperature Profiles'!V44&lt;16,(-0.0037*'Temperature Profiles'!V44+0.0664)*1000,0)</f>
        <v>0</v>
      </c>
      <c r="BZ45" s="110">
        <v>0.41666666666666702</v>
      </c>
      <c r="CA45" s="211">
        <f>IF('Temperature Profiles'!V44&lt;16,(-0.0076*'Temperature Profiles'!V44+0.1245)*1000,0)</f>
        <v>0</v>
      </c>
      <c r="CB45" s="110">
        <v>0.41666666666666702</v>
      </c>
      <c r="CC45" s="211">
        <f>IF('Temperature Profiles'!V44&lt;16,(-0.01*'Temperature Profiles'!V44+0.167)*1000,0)</f>
        <v>0</v>
      </c>
      <c r="CD45" s="21"/>
      <c r="CE45" s="110">
        <v>0.41666666666666702</v>
      </c>
      <c r="CF45" s="211">
        <f>IF('Temperature Profiles'!AA44&lt;16,(-0.0037*'Temperature Profiles'!AA44+0.0664)*1000,0)</f>
        <v>104.38666666666667</v>
      </c>
      <c r="CG45" s="110">
        <v>0.41666666666666702</v>
      </c>
      <c r="CH45" s="178">
        <f>IF('Temperature Profiles'!AA44&lt;16,(-0.0076*'Temperature Profiles'!AA44+0.1245)*1000,0)</f>
        <v>202.5266666666667</v>
      </c>
      <c r="CI45" s="110">
        <v>0.41666666666666702</v>
      </c>
      <c r="CJ45" s="211">
        <f>IF('Temperature Profiles'!AA44&lt;16,(-0.01*'Temperature Profiles'!AA44+0.167)*1000,0)</f>
        <v>269.66666666666674</v>
      </c>
      <c r="CK45" s="21"/>
      <c r="CL45" s="110">
        <v>0.41666666666666702</v>
      </c>
      <c r="CM45" s="211">
        <f>IF('Temperature Profiles'!AF44&lt;16,(-0.0037*'Temperature Profiles'!AF44+0.0664)*1000,0)</f>
        <v>0</v>
      </c>
      <c r="CN45" s="110">
        <v>0.41666666666666702</v>
      </c>
      <c r="CO45" s="178">
        <f>IF('Temperature Profiles'!AF44&lt;16,(-0.0076*'Temperature Profiles'!AF44+0.1245)*1000,0)</f>
        <v>0</v>
      </c>
      <c r="CP45" s="110">
        <v>0.41666666666666702</v>
      </c>
      <c r="CQ45" s="211">
        <f>IF('Temperature Profiles'!AF44&lt;16,(-0.01*'Temperature Profiles'!AF44+0.167)*1000,0)</f>
        <v>0</v>
      </c>
      <c r="CR45" s="21"/>
      <c r="CS45" s="110">
        <v>0.41666666666666702</v>
      </c>
      <c r="CT45" s="211"/>
      <c r="CU45" s="21"/>
      <c r="CV45" s="110">
        <v>0.41666666666666702</v>
      </c>
      <c r="CW45" s="264"/>
      <c r="CY45" s="260">
        <v>0.41666666666666702</v>
      </c>
      <c r="CZ45" s="178">
        <f>IF('Temperature Profiles'!G44&gt;18,(0.0024*('Temperature Profiles'!G44^2)-0.0581*'Temperature Profiles'!G44+0.3293)*1000,IF('Temperature Profiles'!G44&lt;17,(0.0022*('Temperature Profiles'!G44^2)-0.0874*'Temperature Profiles'!G44+0.9301)*1000,0))</f>
        <v>70.799999999999912</v>
      </c>
      <c r="DA45" s="110">
        <v>0.41666666666666702</v>
      </c>
      <c r="DB45" s="263">
        <f>IF('Temperature Profiles'!G44&gt;18,(0.0043*('Temperature Profiles'!G44^2)-0.1116*'Temperature Profiles'!G44+0.6576)*1000,IF('Temperature Profiles'!G44&lt;17,(0.0053*('Temperature Profiles'!G44^2)-0.1876*'Temperature Profiles'!G44+1.7649)*1000,0))</f>
        <v>56.877777777777808</v>
      </c>
      <c r="DC45" s="110">
        <v>0.41666666666666702</v>
      </c>
      <c r="DD45" s="211">
        <f>IF('Temperature Profiles'!G44&gt;18,(0.0057*('Temperature Profiles'!G44^2)-0.1509*'Temperature Profiles'!G44+0.8935)*1000,IF('Temperature Profiles'!G44&lt;17,(0.0072*('Temperature Profiles'!G44^2)-0.254*'Temperature Profiles'!G44+2.3952)*1000,0))</f>
        <v>42.833333333333279</v>
      </c>
      <c r="DE45" s="21"/>
      <c r="DF45" s="110">
        <v>0.41666666666666702</v>
      </c>
      <c r="DG45" s="209">
        <f>IF('Temperature Profiles'!L44&gt;18,(0.0024*('Temperature Profiles'!L44^2)-0.0581*'Temperature Profiles'!L44+0.3293)*1000,IF('Temperature Profiles'!L44&lt;17,(0.0022*('Temperature Profiles'!L44^2)-0.0874*'Temperature Profiles'!L44+0.9301)*1000,0))</f>
        <v>424.029333333333</v>
      </c>
      <c r="DH45" s="110">
        <v>0.41666666666666702</v>
      </c>
      <c r="DI45" s="209">
        <f>IF('Temperature Profiles'!L44&gt;18,(0.0043*('Temperature Profiles'!L44^2)-0.1116*'Temperature Profiles'!L44+0.6576)*1000,IF('Temperature Profiles'!L44&lt;17,(0.0053*('Temperature Profiles'!L44^2)-0.1876*'Temperature Profiles'!L44+1.7649)*1000,0))</f>
        <v>634.15363194444433</v>
      </c>
      <c r="DJ45" s="110">
        <v>0.41666666666666702</v>
      </c>
      <c r="DK45" s="211">
        <f>IF('Temperature Profiles'!L44&gt;18,(0.0057*('Temperature Profiles'!L44^2)-0.1509*'Temperature Profiles'!L44+0.8935)*1000,IF('Temperature Profiles'!L44&lt;17,(0.0072*('Temperature Profiles'!L44^2)-0.254*'Temperature Profiles'!L44+2.3952)*1000,0))</f>
        <v>786.09289583333282</v>
      </c>
      <c r="DL45" s="21"/>
      <c r="DM45" s="110">
        <v>0.41666666666666702</v>
      </c>
      <c r="DN45" s="209">
        <f>IF('Temperature Profiles'!Q44&gt;18,(0.0024*('Temperature Profiles'!Q44^2)-0.0581*'Temperature Profiles'!Q44+0.3293)*1000,IF('Temperature Profiles'!Q44&lt;17,(0.0022*('Temperature Profiles'!Q44^2)-0.0874*'Temperature Profiles'!Q44+0.9301)*1000,0))</f>
        <v>749.16599999999983</v>
      </c>
      <c r="DO45" s="110">
        <v>0.41666666666666702</v>
      </c>
      <c r="DP45" s="209">
        <f>IF('Temperature Profiles'!Q44&gt;18,(0.0043*('Temperature Profiles'!Q44^2)-0.1116*'Temperature Profiles'!Q44+0.6576)*1000,IF('Temperature Profiles'!Q44&lt;17,(0.0053*('Temperature Profiles'!Q44^2)-0.1876*'Temperature Profiles'!Q44+1.7649)*1000,0))</f>
        <v>1184.4847777777777</v>
      </c>
      <c r="DQ45" s="110">
        <v>0.41666666666666702</v>
      </c>
      <c r="DR45" s="211">
        <f>IF('Temperature Profiles'!Q44&gt;18,(0.0057*('Temperature Profiles'!Q44^2)-0.1509*'Temperature Profiles'!Q44+0.8935)*1000,IF('Temperature Profiles'!Q44&lt;17,(0.0072*('Temperature Profiles'!Q44^2)-0.254*'Temperature Profiles'!Q44+2.3952)*1000,0))</f>
        <v>1502.8763333333334</v>
      </c>
      <c r="DS45" s="21"/>
      <c r="DT45" s="110">
        <v>0.41666666666666702</v>
      </c>
      <c r="DU45" s="209">
        <f>IF('Temperature Profiles'!V44&gt;18,(0.0024*('Temperature Profiles'!V44^2)-0.0581*'Temperature Profiles'!V44+0.3293)*1000,IF('Temperature Profiles'!V44&lt;17,(0.0022*('Temperature Profiles'!V44^2)-0.0874*'Temperature Profiles'!V44+0.9301)*1000,0))</f>
        <v>69.805999999999869</v>
      </c>
      <c r="DV45" s="110">
        <v>0.41666666666666702</v>
      </c>
      <c r="DW45" s="209">
        <f>IF('Temperature Profiles'!V44&gt;18,(0.0043*('Temperature Profiles'!V44^2)-0.1116*'Temperature Profiles'!V44+0.6576)*1000,IF('Temperature Profiles'!V44&lt;17,(0.0053*('Temperature Profiles'!V44^2)-0.1876*'Temperature Profiles'!V44+1.7649)*1000,0))</f>
        <v>55.346999999999809</v>
      </c>
      <c r="DX45" s="110">
        <v>0.41666666666666702</v>
      </c>
      <c r="DY45" s="211">
        <f>IF('Temperature Profiles'!V44&gt;18,(0.0057*('Temperature Profiles'!V44^2)-0.1509*'Temperature Profiles'!V44+0.8935)*1000,IF('Temperature Profiles'!V44&lt;17,(0.0072*('Temperature Profiles'!V44^2)-0.254*'Temperature Profiles'!V44+2.3952)*1000,0))</f>
        <v>40.903000000000134</v>
      </c>
      <c r="DZ45" s="21"/>
      <c r="EA45" s="110">
        <v>0.41666666666666702</v>
      </c>
      <c r="EB45" s="209">
        <f>IF('Temperature Profiles'!AA143&gt;18,(0.0024*('Temperature Profiles'!AA143^2)-0.0581*'Temperature Profiles'!AA143+0.3293)*1000,IF('Temperature Profiles'!AA143&lt;17,(0.0022*('Temperature Profiles'!AA143^2)-0.0874*'Temperature Profiles'!AA143+0.9301)*1000,0))</f>
        <v>531.35181944444435</v>
      </c>
      <c r="EC45" s="110">
        <v>0.41666666666666702</v>
      </c>
      <c r="ED45" s="209">
        <f>IF('Temperature Profiles'!AA143&gt;18,(0.0043*('Temperature Profiles'!AA143^2)-0.1116*'Temperature Profiles'!AA143+0.6576)*1000,IF('Temperature Profiles'!AA143&lt;17,(0.0053*('Temperature Profiles'!AA143^2)-0.1876*'Temperature Profiles'!AA143+1.7649)*1000,0))</f>
        <v>924.98203472222201</v>
      </c>
      <c r="EE45" s="110">
        <v>0.41666666666666702</v>
      </c>
      <c r="EF45" s="211">
        <f>IF('Temperature Profiles'!AA143&gt;18,(0.0057*('Temperature Profiles'!AA143^2)-0.1509*'Temperature Profiles'!AA143+0.8935)*1000,IF('Temperature Profiles'!AA143&lt;17,(0.0072*('Temperature Profiles'!AA143^2)-0.254*'Temperature Profiles'!AA143+2.3952)*1000,0))</f>
        <v>1258.6638333333328</v>
      </c>
      <c r="EG45" s="21"/>
      <c r="EH45" s="110">
        <v>0.41666666666666702</v>
      </c>
      <c r="EI45" s="211">
        <f>IF('Temperature Profiles'!AF44&gt;18,(0.0024*('Temperature Profiles'!AF44^2)-0.0581*'Temperature Profiles'!AF44+0.3293)*1000,IF('Temperature Profiles'!AF44&lt;17,(0.0022*('Temperature Profiles'!AF44^2)-0.0874*'Temperature Profiles'!AF44+0.9301)*1000,0))</f>
        <v>811.32933333333267</v>
      </c>
      <c r="EJ45" s="110">
        <v>0.41666666666666702</v>
      </c>
      <c r="EK45" s="211">
        <f>IF('Temperature Profiles'!AF44&gt;18,(0.0043*('Temperature Profiles'!AF44^2)-0.1116*'Temperature Profiles'!AF44+0.6576)*1000,IF('Temperature Profiles'!AF44&lt;17,(0.0053*('Temperature Profiles'!AF44^2)-0.1876*'Temperature Profiles'!AF44+1.7649)*1000,0))</f>
        <v>1290.5452986111104</v>
      </c>
      <c r="EL45" s="110">
        <v>0.41666666666666702</v>
      </c>
      <c r="EM45" s="211">
        <f>IF('Temperature Profiles'!AF44&gt;18,(0.0057*('Temperature Profiles'!AF44^2)-0.1509*'Temperature Profiles'!AF44+0.8935)*1000,IF('Temperature Profiles'!AF44&lt;17,(0.0072*('Temperature Profiles'!AF44^2)-0.254*'Temperature Profiles'!AF44+2.3952)*1000,0))</f>
        <v>1641.3678958333321</v>
      </c>
      <c r="EN45" s="21"/>
      <c r="EO45" s="110">
        <v>0.41666666666666702</v>
      </c>
      <c r="EP45" s="211"/>
      <c r="EQ45" s="21"/>
      <c r="ER45" s="110">
        <v>0.41666666666666702</v>
      </c>
      <c r="ES45" s="264"/>
      <c r="EU45" s="260">
        <v>0.41666666666666702</v>
      </c>
      <c r="EV45" s="209">
        <f>IF('Temperature Profiles'!AA143&gt;18,(0.0024*('Temperature Profiles'!AA143^2)-0.0581*'Temperature Profiles'!AA143+0.3293)*1000,IF('Temperature Profiles'!AA143&lt;17,(0.0022*('Temperature Profiles'!AA143^2)-0.0874*'Temperature Profiles'!AA143+0.9301)*1000,0))</f>
        <v>531.35181944444435</v>
      </c>
      <c r="EW45" s="110">
        <v>0.41666666666666702</v>
      </c>
      <c r="EX45" s="209">
        <f>IF('Temperature Profiles'!AA143&gt;18,(0.0043*('Temperature Profiles'!AA143^2)-0.1116*'Temperature Profiles'!AA143+0.6576)*1000,IF('Temperature Profiles'!AA143&lt;17,(0.0053*('Temperature Profiles'!AA143^2)-0.1876*'Temperature Profiles'!AA143+1.7649)*1000,0))</f>
        <v>924.98203472222201</v>
      </c>
      <c r="EY45" s="110">
        <v>0.41666666666666702</v>
      </c>
      <c r="EZ45" s="264">
        <f>IF('Temperature Profiles'!AA143&gt;18,(0.0057*('Temperature Profiles'!AA143^2)-0.1509*'Temperature Profiles'!AA143+0.8935)*1000,IF('Temperature Profiles'!AA143&lt;17,(0.0072*('Temperature Profiles'!AA143^2)-0.254*'Temperature Profiles'!AA143+2.3952)*1000,0))</f>
        <v>1258.6638333333328</v>
      </c>
    </row>
    <row r="46" spans="1:156" x14ac:dyDescent="0.3">
      <c r="A46" s="108">
        <v>0.41666666666666702</v>
      </c>
      <c r="B46" s="226">
        <f t="shared" si="0"/>
        <v>0</v>
      </c>
      <c r="C46" s="21">
        <f t="shared" si="1"/>
        <v>269.66666666666674</v>
      </c>
      <c r="D46" s="20">
        <f t="shared" si="2"/>
        <v>1258.6638333333328</v>
      </c>
      <c r="E46" s="20">
        <f t="shared" si="3"/>
        <v>1258.6638333333328</v>
      </c>
      <c r="G46" s="260">
        <v>0.42708333333333298</v>
      </c>
      <c r="H46" s="211">
        <f>IF('Temperature Profiles'!G45&gt;17,(0.0029*('Temperature Profiles'!G45^2) - 0.0863*'Temperature Profiles'!G45 + 0.6808)*1000,0)</f>
        <v>73.355555555555398</v>
      </c>
      <c r="I46" s="110">
        <v>0.42708333333333298</v>
      </c>
      <c r="J46" s="211">
        <f>IF('Temperature Profiles'!G45&gt;17,(0.005*('Temperature Profiles'!G45^2) - 0.1517*'Temperature Profiles'!G45 + 1.1702)*1000,0)</f>
        <v>69.588888888888917</v>
      </c>
      <c r="K46" s="110">
        <v>0.42708333333333298</v>
      </c>
      <c r="L46" s="211">
        <f>IF('Temperature Profiles'!G45&gt;17,(0.0068*('Temperature Profiles'!G45^2) - 0.2129*'Temperature Profiles'!G45 + 1.6904)*1000,0)</f>
        <v>72.788888888888792</v>
      </c>
      <c r="M46" s="21"/>
      <c r="N46" s="110">
        <v>0.42708333333333298</v>
      </c>
      <c r="O46" s="211">
        <f>IF('Temperature Profiles'!L45&gt;17,(0.0029*('Temperature Profiles'!L45^2) - 0.0863*'Temperature Profiles'!L45 + 0.6808)*1000,0)</f>
        <v>380.9310347222218</v>
      </c>
      <c r="P46" s="110">
        <v>0.42708333333333298</v>
      </c>
      <c r="Q46" s="211">
        <f>IF('Temperature Profiles'!L45&gt;17,(0.005*('Temperature Profiles'!L45^2) - 0.1517*'Temperature Profiles'!L45 + 1.1702)*1000,0)</f>
        <v>578.35618055555528</v>
      </c>
      <c r="R46" s="110">
        <v>0.42708333333333298</v>
      </c>
      <c r="S46" s="211">
        <f>IF('Temperature Profiles'!L45&gt;17,(0.0068*('Temperature Profiles'!L45^2) - 0.2129*'Temperature Profiles'!L45 + 1.6904)*1000,0)</f>
        <v>715.90630555555504</v>
      </c>
      <c r="T46" s="21"/>
      <c r="U46" s="110">
        <v>0.42708333333333298</v>
      </c>
      <c r="V46" s="211">
        <f>IF('Temperature Profiles'!Q45&gt;17,(0.0029*('Temperature Profiles'!Q45^2) - 0.0863*'Temperature Profiles'!Q45 + 0.6808)*1000,0)</f>
        <v>704.72655555555514</v>
      </c>
      <c r="W46" s="110">
        <v>0.42708333333333298</v>
      </c>
      <c r="X46" s="211">
        <f>IF('Temperature Profiles'!Q45&gt;17,(0.005*('Temperature Profiles'!Q45^2) - 0.1517*'Temperature Profiles'!Q45 + 1.1702)*1000,0)</f>
        <v>1124.1488888888891</v>
      </c>
      <c r="Y46" s="110">
        <v>0.42708333333333298</v>
      </c>
      <c r="Z46" s="211">
        <f>IF('Temperature Profiles'!Q45&gt;17,(0.0068*('Temperature Profiles'!Q45^2) - 0.2129*'Temperature Profiles'!Q45 + 1.6904)*1000,0)</f>
        <v>1429.9108888888886</v>
      </c>
      <c r="AA46" s="21"/>
      <c r="AB46" s="110">
        <v>0.42708333333333298</v>
      </c>
      <c r="AC46" s="211">
        <f>IF('Temperature Profiles'!V45&gt;17,(0.0029*('Temperature Profiles'!V45^2) - 0.0863*'Temperature Profiles'!V45 + 0.6808)*1000,0)</f>
        <v>72.690999999999946</v>
      </c>
      <c r="AD46" s="110">
        <v>0.42708333333333298</v>
      </c>
      <c r="AE46" s="211">
        <f>IF('Temperature Profiles'!V45&gt;17,(0.005*('Temperature Profiles'!V45^2) - 0.1517*'Temperature Profiles'!V45 + 1.1702)*1000,0)</f>
        <v>68.540000000000049</v>
      </c>
      <c r="AF46" s="110">
        <v>0.42708333333333298</v>
      </c>
      <c r="AG46" s="211">
        <f>IF('Temperature Profiles'!V45&gt;17,(0.0068*('Temperature Profiles'!V45^2) - 0.2129*'Temperature Profiles'!V45 + 1.6904)*1000,0)</f>
        <v>71.581999999999809</v>
      </c>
      <c r="AH46" s="21"/>
      <c r="AI46" s="110">
        <v>0.42708333333333298</v>
      </c>
      <c r="AJ46" s="211">
        <f>IF('Temperature Profiles'!AA45&gt;17,(0.0029*('Temperature Profiles'!AA45^2) - 0.0863*'Temperature Profiles'!AA45 + 0.6808)*1000,0)</f>
        <v>0</v>
      </c>
      <c r="AK46" s="110">
        <v>0.42708333333333298</v>
      </c>
      <c r="AL46" s="211">
        <f>IF('Temperature Profiles'!AA45&gt;17,(0.005*('Temperature Profiles'!AA45^2) - 0.1517*'Temperature Profiles'!AA45 + 1.1701)*1000,0)</f>
        <v>0</v>
      </c>
      <c r="AM46" s="110">
        <v>0.42708333333333298</v>
      </c>
      <c r="AN46" s="211">
        <f>IF('Temperature Profiles'!AA45&gt;17,(0.0068*('Temperature Profiles'!AA45^2) - 0.2129*'Temperature Profiles'!AA45 + 1.6904)*1000,0)</f>
        <v>0</v>
      </c>
      <c r="AO46" s="21"/>
      <c r="AP46" s="110">
        <v>0.42708333333333298</v>
      </c>
      <c r="AQ46" s="211">
        <f>IF('Temperature Profiles'!AF45&gt;17,(0.0029*('Temperature Profiles'!AF45^2) - 0.0863*'Temperature Profiles'!AF45 + 0.6808)*1000,0)</f>
        <v>768.43936805555472</v>
      </c>
      <c r="AR46" s="110">
        <v>0.42708333333333298</v>
      </c>
      <c r="AS46" s="183">
        <f>IF('Temperature Profiles'!AF45&gt;17,(0.005*('Temperature Profiles'!AF45^2) - 0.1517*'Temperature Profiles'!AF45 + 1.1702)*1000,0)</f>
        <v>1231.939513888889</v>
      </c>
      <c r="AT46" s="110">
        <v>0.42708333333333298</v>
      </c>
      <c r="AU46" s="211">
        <f>IF('Temperature Profiles'!AF45&gt;17,(0.0068*('Temperature Profiles'!AF45^2) - 0.2129*'Temperature Profiles'!AF45 + 1.6904)*1000,0)</f>
        <v>1571.8396388888877</v>
      </c>
      <c r="AV46" s="21"/>
      <c r="AW46" s="110">
        <v>0.42708333333333298</v>
      </c>
      <c r="AX46" s="211"/>
      <c r="AY46" s="21"/>
      <c r="AZ46" s="110">
        <v>0.42708333333333298</v>
      </c>
      <c r="BA46" s="264"/>
      <c r="BC46" s="260">
        <v>0.42708333333333298</v>
      </c>
      <c r="BD46" s="211">
        <f>IF('Temperature Profiles'!G45&lt;16,(-0.0037*'Temperature Profiles'!G45+0.0664)*1000,0)</f>
        <v>0</v>
      </c>
      <c r="BE46" s="110">
        <v>0.42708333333333298</v>
      </c>
      <c r="BF46" s="211">
        <f>IF('Temperature Profiles'!G45&lt;16,(-0.0076*'Temperature Profiles'!G45+0.1245)*1000,0)</f>
        <v>0</v>
      </c>
      <c r="BG46" s="110">
        <v>0.42708333333333298</v>
      </c>
      <c r="BH46" s="211">
        <f>IF('Temperature Profiles'!G45&lt;16,(-0.01*'Temperature Profiles'!G45+0.167)*1000,0)</f>
        <v>0</v>
      </c>
      <c r="BI46" s="21"/>
      <c r="BJ46" s="110">
        <v>0.42708333333333298</v>
      </c>
      <c r="BK46" s="211">
        <f>IF('Temperature Profiles'!L45&lt;16,(-0.0037*'Temperature Profiles'!L45+0.0664)*1000,0)</f>
        <v>0</v>
      </c>
      <c r="BL46" s="110">
        <v>0.42708333333333298</v>
      </c>
      <c r="BM46" s="211">
        <f>IF('Temperature Profiles'!L45&lt;16,(-0.0076*'Temperature Profiles'!L45+0.1245)*1000,0)</f>
        <v>0</v>
      </c>
      <c r="BN46" s="110">
        <v>0.42708333333333298</v>
      </c>
      <c r="BO46" s="211">
        <f>IF('Temperature Profiles'!L45&lt;16,(-0.01*'Temperature Profiles'!L45+0.167)*1000,0)</f>
        <v>0</v>
      </c>
      <c r="BP46" s="21"/>
      <c r="BQ46" s="110">
        <v>0.42708333333333298</v>
      </c>
      <c r="BR46" s="211">
        <f>IF('Temperature Profiles'!Q45&lt;16,(-0.0037*'Temperature Profiles'!Q45+0.0664)*1000,0)</f>
        <v>0</v>
      </c>
      <c r="BS46" s="110">
        <v>0.42708333333333298</v>
      </c>
      <c r="BT46" s="211">
        <f>IF('Temperature Profiles'!Q45&lt;16,(-0.0076*'Temperature Profiles'!Q45+0.1245)*1000,0)</f>
        <v>0</v>
      </c>
      <c r="BU46" s="110">
        <v>0.42708333333333298</v>
      </c>
      <c r="BV46" s="211">
        <f>IF('Temperature Profiles'!Q45&lt;16,(-0.01*'Temperature Profiles'!Q45+0.167)*1000,0)</f>
        <v>0</v>
      </c>
      <c r="BW46" s="21"/>
      <c r="BX46" s="110">
        <v>0.42708333333333298</v>
      </c>
      <c r="BY46" s="211">
        <f>IF('Temperature Profiles'!V45&lt;16,(-0.0037*'Temperature Profiles'!V45+0.0664)*1000,0)</f>
        <v>0</v>
      </c>
      <c r="BZ46" s="110">
        <v>0.42708333333333298</v>
      </c>
      <c r="CA46" s="211">
        <f>IF('Temperature Profiles'!V45&lt;16,(-0.0076*'Temperature Profiles'!V45+0.1245)*1000,0)</f>
        <v>0</v>
      </c>
      <c r="CB46" s="110">
        <v>0.42708333333333298</v>
      </c>
      <c r="CC46" s="211">
        <f>IF('Temperature Profiles'!V45&lt;16,(-0.01*'Temperature Profiles'!V45+0.167)*1000,0)</f>
        <v>0</v>
      </c>
      <c r="CD46" s="21"/>
      <c r="CE46" s="110">
        <v>0.42708333333333298</v>
      </c>
      <c r="CF46" s="211">
        <f>IF('Temperature Profiles'!AA45&lt;16,(-0.0037*'Temperature Profiles'!AA45+0.0664)*1000,0)</f>
        <v>104.38666666666667</v>
      </c>
      <c r="CG46" s="110">
        <v>0.42708333333333298</v>
      </c>
      <c r="CH46" s="178">
        <f>IF('Temperature Profiles'!AA45&lt;16,(-0.0076*'Temperature Profiles'!AA45+0.1245)*1000,0)</f>
        <v>202.5266666666667</v>
      </c>
      <c r="CI46" s="110">
        <v>0.42708333333333298</v>
      </c>
      <c r="CJ46" s="211">
        <f>IF('Temperature Profiles'!AA45&lt;16,(-0.01*'Temperature Profiles'!AA45+0.167)*1000,0)</f>
        <v>269.66666666666674</v>
      </c>
      <c r="CK46" s="21"/>
      <c r="CL46" s="110">
        <v>0.42708333333333298</v>
      </c>
      <c r="CM46" s="211">
        <f>IF('Temperature Profiles'!AF45&lt;16,(-0.0037*'Temperature Profiles'!AF45+0.0664)*1000,0)</f>
        <v>0</v>
      </c>
      <c r="CN46" s="110">
        <v>0.42708333333333298</v>
      </c>
      <c r="CO46" s="178">
        <f>IF('Temperature Profiles'!AF45&lt;16,(-0.0076*'Temperature Profiles'!AF45+0.1245)*1000,0)</f>
        <v>0</v>
      </c>
      <c r="CP46" s="110">
        <v>0.42708333333333298</v>
      </c>
      <c r="CQ46" s="211">
        <f>IF('Temperature Profiles'!AF45&lt;16,(-0.01*'Temperature Profiles'!AF45+0.167)*1000,0)</f>
        <v>0</v>
      </c>
      <c r="CR46" s="21"/>
      <c r="CS46" s="110">
        <v>0.42708333333333298</v>
      </c>
      <c r="CT46" s="211"/>
      <c r="CU46" s="21"/>
      <c r="CV46" s="110">
        <v>0.42708333333333298</v>
      </c>
      <c r="CW46" s="264"/>
      <c r="CY46" s="260">
        <v>0.42708333333333298</v>
      </c>
      <c r="CZ46" s="178">
        <f>IF('Temperature Profiles'!G45&gt;18,(0.0024*('Temperature Profiles'!G45^2)-0.0581*'Temperature Profiles'!G45+0.3293)*1000,IF('Temperature Profiles'!G45&lt;17,(0.0022*('Temperature Profiles'!G45^2)-0.0874*'Temperature Profiles'!G45+0.9301)*1000,0))</f>
        <v>70.799999999999912</v>
      </c>
      <c r="DA46" s="110">
        <v>0.42708333333333298</v>
      </c>
      <c r="DB46" s="263">
        <f>IF('Temperature Profiles'!G45&gt;18,(0.0043*('Temperature Profiles'!G45^2)-0.1116*'Temperature Profiles'!G45+0.6576)*1000,IF('Temperature Profiles'!G45&lt;17,(0.0053*('Temperature Profiles'!G45^2)-0.1876*'Temperature Profiles'!G45+1.7649)*1000,0))</f>
        <v>56.877777777777808</v>
      </c>
      <c r="DC46" s="110">
        <v>0.42708333333333298</v>
      </c>
      <c r="DD46" s="211">
        <f>IF('Temperature Profiles'!G45&gt;18,(0.0057*('Temperature Profiles'!G45^2)-0.1509*'Temperature Profiles'!G45+0.8935)*1000,IF('Temperature Profiles'!G45&lt;17,(0.0072*('Temperature Profiles'!G45^2)-0.254*'Temperature Profiles'!G45+2.3952)*1000,0))</f>
        <v>42.833333333333279</v>
      </c>
      <c r="DE46" s="21"/>
      <c r="DF46" s="110">
        <v>0.42708333333333298</v>
      </c>
      <c r="DG46" s="209">
        <f>IF('Temperature Profiles'!L45&gt;18,(0.0024*('Temperature Profiles'!L45^2)-0.0581*'Temperature Profiles'!L45+0.3293)*1000,IF('Temperature Profiles'!L45&lt;17,(0.0022*('Temperature Profiles'!L45^2)-0.0874*'Temperature Profiles'!L45+0.9301)*1000,0))</f>
        <v>424.029333333333</v>
      </c>
      <c r="DH46" s="110">
        <v>0.42708333333333298</v>
      </c>
      <c r="DI46" s="209">
        <f>IF('Temperature Profiles'!L45&gt;18,(0.0043*('Temperature Profiles'!L45^2)-0.1116*'Temperature Profiles'!L45+0.6576)*1000,IF('Temperature Profiles'!L45&lt;17,(0.0053*('Temperature Profiles'!L45^2)-0.1876*'Temperature Profiles'!L45+1.7649)*1000,0))</f>
        <v>634.15363194444433</v>
      </c>
      <c r="DJ46" s="110">
        <v>0.42708333333333298</v>
      </c>
      <c r="DK46" s="211">
        <f>IF('Temperature Profiles'!L45&gt;18,(0.0057*('Temperature Profiles'!L45^2)-0.1509*'Temperature Profiles'!L45+0.8935)*1000,IF('Temperature Profiles'!L45&lt;17,(0.0072*('Temperature Profiles'!L45^2)-0.254*'Temperature Profiles'!L45+2.3952)*1000,0))</f>
        <v>786.09289583333282</v>
      </c>
      <c r="DL46" s="21"/>
      <c r="DM46" s="110">
        <v>0.42708333333333298</v>
      </c>
      <c r="DN46" s="209">
        <f>IF('Temperature Profiles'!Q45&gt;18,(0.0024*('Temperature Profiles'!Q45^2)-0.0581*'Temperature Profiles'!Q45+0.3293)*1000,IF('Temperature Profiles'!Q45&lt;17,(0.0022*('Temperature Profiles'!Q45^2)-0.0874*'Temperature Profiles'!Q45+0.9301)*1000,0))</f>
        <v>749.16599999999983</v>
      </c>
      <c r="DO46" s="110">
        <v>0.42708333333333298</v>
      </c>
      <c r="DP46" s="209">
        <f>IF('Temperature Profiles'!Q45&gt;18,(0.0043*('Temperature Profiles'!Q45^2)-0.1116*'Temperature Profiles'!Q45+0.6576)*1000,IF('Temperature Profiles'!Q45&lt;17,(0.0053*('Temperature Profiles'!Q45^2)-0.1876*'Temperature Profiles'!Q45+1.7649)*1000,0))</f>
        <v>1184.4847777777777</v>
      </c>
      <c r="DQ46" s="110">
        <v>0.42708333333333298</v>
      </c>
      <c r="DR46" s="211">
        <f>IF('Temperature Profiles'!Q45&gt;18,(0.0057*('Temperature Profiles'!Q45^2)-0.1509*'Temperature Profiles'!Q45+0.8935)*1000,IF('Temperature Profiles'!Q45&lt;17,(0.0072*('Temperature Profiles'!Q45^2)-0.254*'Temperature Profiles'!Q45+2.3952)*1000,0))</f>
        <v>1502.8763333333334</v>
      </c>
      <c r="DS46" s="21"/>
      <c r="DT46" s="110">
        <v>0.42708333333333298</v>
      </c>
      <c r="DU46" s="209">
        <f>IF('Temperature Profiles'!V45&gt;18,(0.0024*('Temperature Profiles'!V45^2)-0.0581*'Temperature Profiles'!V45+0.3293)*1000,IF('Temperature Profiles'!V45&lt;17,(0.0022*('Temperature Profiles'!V45^2)-0.0874*'Temperature Profiles'!V45+0.9301)*1000,0))</f>
        <v>69.805999999999869</v>
      </c>
      <c r="DV46" s="110">
        <v>0.42708333333333298</v>
      </c>
      <c r="DW46" s="209">
        <f>IF('Temperature Profiles'!V45&gt;18,(0.0043*('Temperature Profiles'!V45^2)-0.1116*'Temperature Profiles'!V45+0.6576)*1000,IF('Temperature Profiles'!V45&lt;17,(0.0053*('Temperature Profiles'!V45^2)-0.1876*'Temperature Profiles'!V45+1.7649)*1000,0))</f>
        <v>55.346999999999809</v>
      </c>
      <c r="DX46" s="110">
        <v>0.42708333333333298</v>
      </c>
      <c r="DY46" s="211">
        <f>IF('Temperature Profiles'!V45&gt;18,(0.0057*('Temperature Profiles'!V45^2)-0.1509*'Temperature Profiles'!V45+0.8935)*1000,IF('Temperature Profiles'!V45&lt;17,(0.0072*('Temperature Profiles'!V45^2)-0.254*'Temperature Profiles'!V45+2.3952)*1000,0))</f>
        <v>40.903000000000134</v>
      </c>
      <c r="DZ46" s="21"/>
      <c r="EA46" s="110">
        <v>0.42708333333333298</v>
      </c>
      <c r="EB46" s="209">
        <f>IF('Temperature Profiles'!AA144&gt;18,(0.0024*('Temperature Profiles'!AA144^2)-0.0581*'Temperature Profiles'!AA144+0.3293)*1000,IF('Temperature Profiles'!AA144&lt;17,(0.0022*('Temperature Profiles'!AA144^2)-0.0874*'Temperature Profiles'!AA144+0.9301)*1000,0))</f>
        <v>531.35181944444435</v>
      </c>
      <c r="EC46" s="110">
        <v>0.42708333333333298</v>
      </c>
      <c r="ED46" s="209">
        <f>IF('Temperature Profiles'!AA144&gt;18,(0.0043*('Temperature Profiles'!AA144^2)-0.1116*'Temperature Profiles'!AA144+0.6576)*1000,IF('Temperature Profiles'!AA144&lt;17,(0.0053*('Temperature Profiles'!AA144^2)-0.1876*'Temperature Profiles'!AA144+1.7649)*1000,0))</f>
        <v>924.98203472222201</v>
      </c>
      <c r="EE46" s="110">
        <v>0.42708333333333298</v>
      </c>
      <c r="EF46" s="211">
        <f>IF('Temperature Profiles'!AA144&gt;18,(0.0057*('Temperature Profiles'!AA144^2)-0.1509*'Temperature Profiles'!AA144+0.8935)*1000,IF('Temperature Profiles'!AA144&lt;17,(0.0072*('Temperature Profiles'!AA144^2)-0.254*'Temperature Profiles'!AA144+2.3952)*1000,0))</f>
        <v>1258.6638333333328</v>
      </c>
      <c r="EG46" s="21"/>
      <c r="EH46" s="110">
        <v>0.42708333333333298</v>
      </c>
      <c r="EI46" s="211">
        <f>IF('Temperature Profiles'!AF45&gt;18,(0.0024*('Temperature Profiles'!AF45^2)-0.0581*'Temperature Profiles'!AF45+0.3293)*1000,IF('Temperature Profiles'!AF45&lt;17,(0.0022*('Temperature Profiles'!AF45^2)-0.0874*'Temperature Profiles'!AF45+0.9301)*1000,0))</f>
        <v>811.32933333333267</v>
      </c>
      <c r="EJ46" s="110">
        <v>0.42708333333333298</v>
      </c>
      <c r="EK46" s="211">
        <f>IF('Temperature Profiles'!AF45&gt;18,(0.0043*('Temperature Profiles'!AF45^2)-0.1116*'Temperature Profiles'!AF45+0.6576)*1000,IF('Temperature Profiles'!AF45&lt;17,(0.0053*('Temperature Profiles'!AF45^2)-0.1876*'Temperature Profiles'!AF45+1.7649)*1000,0))</f>
        <v>1290.5452986111104</v>
      </c>
      <c r="EL46" s="110">
        <v>0.42708333333333298</v>
      </c>
      <c r="EM46" s="211">
        <f>IF('Temperature Profiles'!AF45&gt;18,(0.0057*('Temperature Profiles'!AF45^2)-0.1509*'Temperature Profiles'!AF45+0.8935)*1000,IF('Temperature Profiles'!AF45&lt;17,(0.0072*('Temperature Profiles'!AF45^2)-0.254*'Temperature Profiles'!AF45+2.3952)*1000,0))</f>
        <v>1641.3678958333321</v>
      </c>
      <c r="EN46" s="21"/>
      <c r="EO46" s="110">
        <v>0.42708333333333298</v>
      </c>
      <c r="EP46" s="211"/>
      <c r="EQ46" s="21"/>
      <c r="ER46" s="110">
        <v>0.42708333333333298</v>
      </c>
      <c r="ES46" s="264"/>
      <c r="EU46" s="260">
        <v>0.42708333333333298</v>
      </c>
      <c r="EV46" s="209">
        <f>IF('Temperature Profiles'!AA144&gt;18,(0.0024*('Temperature Profiles'!AA144^2)-0.0581*'Temperature Profiles'!AA144+0.3293)*1000,IF('Temperature Profiles'!AA144&lt;17,(0.0022*('Temperature Profiles'!AA144^2)-0.0874*'Temperature Profiles'!AA144+0.9301)*1000,0))</f>
        <v>531.35181944444435</v>
      </c>
      <c r="EW46" s="110">
        <v>0.42708333333333298</v>
      </c>
      <c r="EX46" s="209">
        <f>IF('Temperature Profiles'!AA144&gt;18,(0.0043*('Temperature Profiles'!AA144^2)-0.1116*'Temperature Profiles'!AA144+0.6576)*1000,IF('Temperature Profiles'!AA144&lt;17,(0.0053*('Temperature Profiles'!AA144^2)-0.1876*'Temperature Profiles'!AA144+1.7649)*1000,0))</f>
        <v>924.98203472222201</v>
      </c>
      <c r="EY46" s="110">
        <v>0.42708333333333298</v>
      </c>
      <c r="EZ46" s="264">
        <f>IF('Temperature Profiles'!AA144&gt;18,(0.0057*('Temperature Profiles'!AA144^2)-0.1509*'Temperature Profiles'!AA144+0.8935)*1000,IF('Temperature Profiles'!AA144&lt;17,(0.0072*('Temperature Profiles'!AA144^2)-0.254*'Temperature Profiles'!AA144+2.3952)*1000,0))</f>
        <v>1258.6638333333328</v>
      </c>
    </row>
    <row r="47" spans="1:156" x14ac:dyDescent="0.3">
      <c r="A47" s="108">
        <v>0.42708333333333298</v>
      </c>
      <c r="B47" s="226">
        <f t="shared" si="0"/>
        <v>0</v>
      </c>
      <c r="C47" s="21">
        <f t="shared" si="1"/>
        <v>269.66666666666674</v>
      </c>
      <c r="D47" s="20">
        <f t="shared" si="2"/>
        <v>1258.6638333333328</v>
      </c>
      <c r="E47" s="20">
        <f t="shared" si="3"/>
        <v>1258.6638333333328</v>
      </c>
      <c r="G47" s="260">
        <v>0.4375</v>
      </c>
      <c r="H47" s="211">
        <f>IF('Temperature Profiles'!G46&gt;17,(0.0029*('Temperature Profiles'!G46^2) - 0.0863*'Temperature Profiles'!G46 + 0.6808)*1000,0)</f>
        <v>73.355555555555398</v>
      </c>
      <c r="I47" s="110">
        <v>0.4375</v>
      </c>
      <c r="J47" s="211">
        <f>IF('Temperature Profiles'!G46&gt;17,(0.005*('Temperature Profiles'!G46^2) - 0.1517*'Temperature Profiles'!G46 + 1.1702)*1000,0)</f>
        <v>69.588888888888917</v>
      </c>
      <c r="K47" s="110">
        <v>0.4375</v>
      </c>
      <c r="L47" s="211">
        <f>IF('Temperature Profiles'!G46&gt;17,(0.0068*('Temperature Profiles'!G46^2) - 0.2129*'Temperature Profiles'!G46 + 1.6904)*1000,0)</f>
        <v>72.788888888888792</v>
      </c>
      <c r="M47" s="21"/>
      <c r="N47" s="110">
        <v>0.4375</v>
      </c>
      <c r="O47" s="211">
        <f>IF('Temperature Profiles'!L46&gt;17,(0.0029*('Temperature Profiles'!L46^2) - 0.0863*'Temperature Profiles'!L46 + 0.6808)*1000,0)</f>
        <v>380.9310347222218</v>
      </c>
      <c r="P47" s="110">
        <v>0.4375</v>
      </c>
      <c r="Q47" s="211">
        <f>IF('Temperature Profiles'!L46&gt;17,(0.005*('Temperature Profiles'!L46^2) - 0.1517*'Temperature Profiles'!L46 + 1.1702)*1000,0)</f>
        <v>578.35618055555528</v>
      </c>
      <c r="R47" s="110">
        <v>0.4375</v>
      </c>
      <c r="S47" s="211">
        <f>IF('Temperature Profiles'!L46&gt;17,(0.0068*('Temperature Profiles'!L46^2) - 0.2129*'Temperature Profiles'!L46 + 1.6904)*1000,0)</f>
        <v>715.90630555555504</v>
      </c>
      <c r="T47" s="21"/>
      <c r="U47" s="110">
        <v>0.4375</v>
      </c>
      <c r="V47" s="211">
        <f>IF('Temperature Profiles'!Q46&gt;17,(0.0029*('Temperature Profiles'!Q46^2) - 0.0863*'Temperature Profiles'!Q46 + 0.6808)*1000,0)</f>
        <v>704.72655555555514</v>
      </c>
      <c r="W47" s="110">
        <v>0.4375</v>
      </c>
      <c r="X47" s="211">
        <f>IF('Temperature Profiles'!Q46&gt;17,(0.005*('Temperature Profiles'!Q46^2) - 0.1517*'Temperature Profiles'!Q46 + 1.1702)*1000,0)</f>
        <v>1124.1488888888891</v>
      </c>
      <c r="Y47" s="110">
        <v>0.4375</v>
      </c>
      <c r="Z47" s="211">
        <f>IF('Temperature Profiles'!Q46&gt;17,(0.0068*('Temperature Profiles'!Q46^2) - 0.2129*'Temperature Profiles'!Q46 + 1.6904)*1000,0)</f>
        <v>1429.9108888888886</v>
      </c>
      <c r="AA47" s="21"/>
      <c r="AB47" s="110">
        <v>0.4375</v>
      </c>
      <c r="AC47" s="211">
        <f>IF('Temperature Profiles'!V46&gt;17,(0.0029*('Temperature Profiles'!V46^2) - 0.0863*'Temperature Profiles'!V46 + 0.6808)*1000,0)</f>
        <v>72.690999999999946</v>
      </c>
      <c r="AD47" s="110">
        <v>0.4375</v>
      </c>
      <c r="AE47" s="211">
        <f>IF('Temperature Profiles'!V46&gt;17,(0.005*('Temperature Profiles'!V46^2) - 0.1517*'Temperature Profiles'!V46 + 1.1702)*1000,0)</f>
        <v>68.540000000000049</v>
      </c>
      <c r="AF47" s="110">
        <v>0.4375</v>
      </c>
      <c r="AG47" s="211">
        <f>IF('Temperature Profiles'!V46&gt;17,(0.0068*('Temperature Profiles'!V46^2) - 0.2129*'Temperature Profiles'!V46 + 1.6904)*1000,0)</f>
        <v>71.581999999999809</v>
      </c>
      <c r="AH47" s="21"/>
      <c r="AI47" s="110">
        <v>0.4375</v>
      </c>
      <c r="AJ47" s="211">
        <f>IF('Temperature Profiles'!AA46&gt;17,(0.0029*('Temperature Profiles'!AA46^2) - 0.0863*'Temperature Profiles'!AA46 + 0.6808)*1000,0)</f>
        <v>0</v>
      </c>
      <c r="AK47" s="110">
        <v>0.4375</v>
      </c>
      <c r="AL47" s="211">
        <f>IF('Temperature Profiles'!AA46&gt;17,(0.005*('Temperature Profiles'!AA46^2) - 0.1517*'Temperature Profiles'!AA46 + 1.1701)*1000,0)</f>
        <v>0</v>
      </c>
      <c r="AM47" s="110">
        <v>0.4375</v>
      </c>
      <c r="AN47" s="211">
        <f>IF('Temperature Profiles'!AA46&gt;17,(0.0068*('Temperature Profiles'!AA46^2) - 0.2129*'Temperature Profiles'!AA46 + 1.6904)*1000,0)</f>
        <v>0</v>
      </c>
      <c r="AO47" s="21"/>
      <c r="AP47" s="110">
        <v>0.4375</v>
      </c>
      <c r="AQ47" s="211">
        <f>IF('Temperature Profiles'!AF46&gt;17,(0.0029*('Temperature Profiles'!AF46^2) - 0.0863*'Temperature Profiles'!AF46 + 0.6808)*1000,0)</f>
        <v>768.43936805555472</v>
      </c>
      <c r="AR47" s="110">
        <v>0.4375</v>
      </c>
      <c r="AS47" s="183">
        <f>IF('Temperature Profiles'!AF46&gt;17,(0.005*('Temperature Profiles'!AF46^2) - 0.1517*'Temperature Profiles'!AF46 + 1.1702)*1000,0)</f>
        <v>1231.939513888889</v>
      </c>
      <c r="AT47" s="110">
        <v>0.4375</v>
      </c>
      <c r="AU47" s="211">
        <f>IF('Temperature Profiles'!AF46&gt;17,(0.0068*('Temperature Profiles'!AF46^2) - 0.2129*'Temperature Profiles'!AF46 + 1.6904)*1000,0)</f>
        <v>1571.8396388888877</v>
      </c>
      <c r="AV47" s="21"/>
      <c r="AW47" s="110">
        <v>0.4375</v>
      </c>
      <c r="AX47" s="211"/>
      <c r="AY47" s="21"/>
      <c r="AZ47" s="110">
        <v>0.4375</v>
      </c>
      <c r="BA47" s="264"/>
      <c r="BC47" s="260">
        <v>0.4375</v>
      </c>
      <c r="BD47" s="211">
        <f>IF('Temperature Profiles'!G46&lt;16,(-0.0037*'Temperature Profiles'!G46+0.0664)*1000,0)</f>
        <v>0</v>
      </c>
      <c r="BE47" s="110">
        <v>0.4375</v>
      </c>
      <c r="BF47" s="211">
        <f>IF('Temperature Profiles'!G46&lt;16,(-0.0076*'Temperature Profiles'!G46+0.1245)*1000,0)</f>
        <v>0</v>
      </c>
      <c r="BG47" s="110">
        <v>0.4375</v>
      </c>
      <c r="BH47" s="211">
        <f>IF('Temperature Profiles'!G46&lt;16,(-0.01*'Temperature Profiles'!G46+0.167)*1000,0)</f>
        <v>0</v>
      </c>
      <c r="BI47" s="21"/>
      <c r="BJ47" s="110">
        <v>0.4375</v>
      </c>
      <c r="BK47" s="211">
        <f>IF('Temperature Profiles'!L46&lt;16,(-0.0037*'Temperature Profiles'!L46+0.0664)*1000,0)</f>
        <v>0</v>
      </c>
      <c r="BL47" s="110">
        <v>0.4375</v>
      </c>
      <c r="BM47" s="211">
        <f>IF('Temperature Profiles'!L46&lt;16,(-0.0076*'Temperature Profiles'!L46+0.1245)*1000,0)</f>
        <v>0</v>
      </c>
      <c r="BN47" s="110">
        <v>0.4375</v>
      </c>
      <c r="BO47" s="211">
        <f>IF('Temperature Profiles'!L46&lt;16,(-0.01*'Temperature Profiles'!L46+0.167)*1000,0)</f>
        <v>0</v>
      </c>
      <c r="BP47" s="21"/>
      <c r="BQ47" s="110">
        <v>0.4375</v>
      </c>
      <c r="BR47" s="211">
        <f>IF('Temperature Profiles'!Q46&lt;16,(-0.0037*'Temperature Profiles'!Q46+0.0664)*1000,0)</f>
        <v>0</v>
      </c>
      <c r="BS47" s="110">
        <v>0.4375</v>
      </c>
      <c r="BT47" s="211">
        <f>IF('Temperature Profiles'!Q46&lt;16,(-0.0076*'Temperature Profiles'!Q46+0.1245)*1000,0)</f>
        <v>0</v>
      </c>
      <c r="BU47" s="110">
        <v>0.4375</v>
      </c>
      <c r="BV47" s="211">
        <f>IF('Temperature Profiles'!Q46&lt;16,(-0.01*'Temperature Profiles'!Q46+0.167)*1000,0)</f>
        <v>0</v>
      </c>
      <c r="BW47" s="21"/>
      <c r="BX47" s="110">
        <v>0.4375</v>
      </c>
      <c r="BY47" s="211">
        <f>IF('Temperature Profiles'!V46&lt;16,(-0.0037*'Temperature Profiles'!V46+0.0664)*1000,0)</f>
        <v>0</v>
      </c>
      <c r="BZ47" s="110">
        <v>0.4375</v>
      </c>
      <c r="CA47" s="211">
        <f>IF('Temperature Profiles'!V46&lt;16,(-0.0076*'Temperature Profiles'!V46+0.1245)*1000,0)</f>
        <v>0</v>
      </c>
      <c r="CB47" s="110">
        <v>0.4375</v>
      </c>
      <c r="CC47" s="211">
        <f>IF('Temperature Profiles'!V46&lt;16,(-0.01*'Temperature Profiles'!V46+0.167)*1000,0)</f>
        <v>0</v>
      </c>
      <c r="CD47" s="21"/>
      <c r="CE47" s="110">
        <v>0.4375</v>
      </c>
      <c r="CF47" s="211">
        <f>IF('Temperature Profiles'!AA46&lt;16,(-0.0037*'Temperature Profiles'!AA46+0.0664)*1000,0)</f>
        <v>104.38666666666667</v>
      </c>
      <c r="CG47" s="110">
        <v>0.4375</v>
      </c>
      <c r="CH47" s="178">
        <f>IF('Temperature Profiles'!AA46&lt;16,(-0.0076*'Temperature Profiles'!AA46+0.1245)*1000,0)</f>
        <v>202.5266666666667</v>
      </c>
      <c r="CI47" s="110">
        <v>0.4375</v>
      </c>
      <c r="CJ47" s="211">
        <f>IF('Temperature Profiles'!AA46&lt;16,(-0.01*'Temperature Profiles'!AA46+0.167)*1000,0)</f>
        <v>269.66666666666674</v>
      </c>
      <c r="CK47" s="21"/>
      <c r="CL47" s="110">
        <v>0.4375</v>
      </c>
      <c r="CM47" s="211">
        <f>IF('Temperature Profiles'!AF46&lt;16,(-0.0037*'Temperature Profiles'!AF46+0.0664)*1000,0)</f>
        <v>0</v>
      </c>
      <c r="CN47" s="110">
        <v>0.4375</v>
      </c>
      <c r="CO47" s="178">
        <f>IF('Temperature Profiles'!AF46&lt;16,(-0.0076*'Temperature Profiles'!AF46+0.1245)*1000,0)</f>
        <v>0</v>
      </c>
      <c r="CP47" s="110">
        <v>0.4375</v>
      </c>
      <c r="CQ47" s="211">
        <f>IF('Temperature Profiles'!AF46&lt;16,(-0.01*'Temperature Profiles'!AF46+0.167)*1000,0)</f>
        <v>0</v>
      </c>
      <c r="CR47" s="21"/>
      <c r="CS47" s="110">
        <v>0.4375</v>
      </c>
      <c r="CT47" s="211"/>
      <c r="CU47" s="21"/>
      <c r="CV47" s="110">
        <v>0.4375</v>
      </c>
      <c r="CW47" s="264"/>
      <c r="CY47" s="260">
        <v>0.4375</v>
      </c>
      <c r="CZ47" s="178">
        <f>IF('Temperature Profiles'!G46&gt;18,(0.0024*('Temperature Profiles'!G46^2)-0.0581*'Temperature Profiles'!G46+0.3293)*1000,IF('Temperature Profiles'!G46&lt;17,(0.0022*('Temperature Profiles'!G46^2)-0.0874*'Temperature Profiles'!G46+0.9301)*1000,0))</f>
        <v>70.799999999999912</v>
      </c>
      <c r="DA47" s="110">
        <v>0.4375</v>
      </c>
      <c r="DB47" s="263">
        <f>IF('Temperature Profiles'!G46&gt;18,(0.0043*('Temperature Profiles'!G46^2)-0.1116*'Temperature Profiles'!G46+0.6576)*1000,IF('Temperature Profiles'!G46&lt;17,(0.0053*('Temperature Profiles'!G46^2)-0.1876*'Temperature Profiles'!G46+1.7649)*1000,0))</f>
        <v>56.877777777777808</v>
      </c>
      <c r="DC47" s="110">
        <v>0.4375</v>
      </c>
      <c r="DD47" s="211">
        <f>IF('Temperature Profiles'!G46&gt;18,(0.0057*('Temperature Profiles'!G46^2)-0.1509*'Temperature Profiles'!G46+0.8935)*1000,IF('Temperature Profiles'!G46&lt;17,(0.0072*('Temperature Profiles'!G46^2)-0.254*'Temperature Profiles'!G46+2.3952)*1000,0))</f>
        <v>42.833333333333279</v>
      </c>
      <c r="DE47" s="21"/>
      <c r="DF47" s="110">
        <v>0.4375</v>
      </c>
      <c r="DG47" s="209">
        <f>IF('Temperature Profiles'!L46&gt;18,(0.0024*('Temperature Profiles'!L46^2)-0.0581*'Temperature Profiles'!L46+0.3293)*1000,IF('Temperature Profiles'!L46&lt;17,(0.0022*('Temperature Profiles'!L46^2)-0.0874*'Temperature Profiles'!L46+0.9301)*1000,0))</f>
        <v>424.029333333333</v>
      </c>
      <c r="DH47" s="110">
        <v>0.4375</v>
      </c>
      <c r="DI47" s="209">
        <f>IF('Temperature Profiles'!L46&gt;18,(0.0043*('Temperature Profiles'!L46^2)-0.1116*'Temperature Profiles'!L46+0.6576)*1000,IF('Temperature Profiles'!L46&lt;17,(0.0053*('Temperature Profiles'!L46^2)-0.1876*'Temperature Profiles'!L46+1.7649)*1000,0))</f>
        <v>634.15363194444433</v>
      </c>
      <c r="DJ47" s="110">
        <v>0.4375</v>
      </c>
      <c r="DK47" s="211">
        <f>IF('Temperature Profiles'!L46&gt;18,(0.0057*('Temperature Profiles'!L46^2)-0.1509*'Temperature Profiles'!L46+0.8935)*1000,IF('Temperature Profiles'!L46&lt;17,(0.0072*('Temperature Profiles'!L46^2)-0.254*'Temperature Profiles'!L46+2.3952)*1000,0))</f>
        <v>786.09289583333282</v>
      </c>
      <c r="DL47" s="21"/>
      <c r="DM47" s="110">
        <v>0.4375</v>
      </c>
      <c r="DN47" s="209">
        <f>IF('Temperature Profiles'!Q46&gt;18,(0.0024*('Temperature Profiles'!Q46^2)-0.0581*'Temperature Profiles'!Q46+0.3293)*1000,IF('Temperature Profiles'!Q46&lt;17,(0.0022*('Temperature Profiles'!Q46^2)-0.0874*'Temperature Profiles'!Q46+0.9301)*1000,0))</f>
        <v>749.16599999999983</v>
      </c>
      <c r="DO47" s="110">
        <v>0.4375</v>
      </c>
      <c r="DP47" s="209">
        <f>IF('Temperature Profiles'!Q46&gt;18,(0.0043*('Temperature Profiles'!Q46^2)-0.1116*'Temperature Profiles'!Q46+0.6576)*1000,IF('Temperature Profiles'!Q46&lt;17,(0.0053*('Temperature Profiles'!Q46^2)-0.1876*'Temperature Profiles'!Q46+1.7649)*1000,0))</f>
        <v>1184.4847777777777</v>
      </c>
      <c r="DQ47" s="110">
        <v>0.4375</v>
      </c>
      <c r="DR47" s="211">
        <f>IF('Temperature Profiles'!Q46&gt;18,(0.0057*('Temperature Profiles'!Q46^2)-0.1509*'Temperature Profiles'!Q46+0.8935)*1000,IF('Temperature Profiles'!Q46&lt;17,(0.0072*('Temperature Profiles'!Q46^2)-0.254*'Temperature Profiles'!Q46+2.3952)*1000,0))</f>
        <v>1502.8763333333334</v>
      </c>
      <c r="DS47" s="21"/>
      <c r="DT47" s="110">
        <v>0.4375</v>
      </c>
      <c r="DU47" s="209">
        <f>IF('Temperature Profiles'!V46&gt;18,(0.0024*('Temperature Profiles'!V46^2)-0.0581*'Temperature Profiles'!V46+0.3293)*1000,IF('Temperature Profiles'!V46&lt;17,(0.0022*('Temperature Profiles'!V46^2)-0.0874*'Temperature Profiles'!V46+0.9301)*1000,0))</f>
        <v>69.805999999999869</v>
      </c>
      <c r="DV47" s="110">
        <v>0.4375</v>
      </c>
      <c r="DW47" s="209">
        <f>IF('Temperature Profiles'!V46&gt;18,(0.0043*('Temperature Profiles'!V46^2)-0.1116*'Temperature Profiles'!V46+0.6576)*1000,IF('Temperature Profiles'!V46&lt;17,(0.0053*('Temperature Profiles'!V46^2)-0.1876*'Temperature Profiles'!V46+1.7649)*1000,0))</f>
        <v>55.346999999999809</v>
      </c>
      <c r="DX47" s="110">
        <v>0.4375</v>
      </c>
      <c r="DY47" s="211">
        <f>IF('Temperature Profiles'!V46&gt;18,(0.0057*('Temperature Profiles'!V46^2)-0.1509*'Temperature Profiles'!V46+0.8935)*1000,IF('Temperature Profiles'!V46&lt;17,(0.0072*('Temperature Profiles'!V46^2)-0.254*'Temperature Profiles'!V46+2.3952)*1000,0))</f>
        <v>40.903000000000134</v>
      </c>
      <c r="DZ47" s="21"/>
      <c r="EA47" s="110">
        <v>0.4375</v>
      </c>
      <c r="EB47" s="209">
        <f>IF('Temperature Profiles'!AA145&gt;18,(0.0024*('Temperature Profiles'!AA145^2)-0.0581*'Temperature Profiles'!AA145+0.3293)*1000,IF('Temperature Profiles'!AA145&lt;17,(0.0022*('Temperature Profiles'!AA145^2)-0.0874*'Temperature Profiles'!AA145+0.9301)*1000,0))</f>
        <v>531.35181944444435</v>
      </c>
      <c r="EC47" s="110">
        <v>0.4375</v>
      </c>
      <c r="ED47" s="209">
        <f>IF('Temperature Profiles'!AA145&gt;18,(0.0043*('Temperature Profiles'!AA145^2)-0.1116*'Temperature Profiles'!AA145+0.6576)*1000,IF('Temperature Profiles'!AA145&lt;17,(0.0053*('Temperature Profiles'!AA145^2)-0.1876*'Temperature Profiles'!AA145+1.7649)*1000,0))</f>
        <v>924.98203472222201</v>
      </c>
      <c r="EE47" s="110">
        <v>0.4375</v>
      </c>
      <c r="EF47" s="211">
        <f>IF('Temperature Profiles'!AA145&gt;18,(0.0057*('Temperature Profiles'!AA145^2)-0.1509*'Temperature Profiles'!AA145+0.8935)*1000,IF('Temperature Profiles'!AA145&lt;17,(0.0072*('Temperature Profiles'!AA145^2)-0.254*'Temperature Profiles'!AA145+2.3952)*1000,0))</f>
        <v>1258.6638333333328</v>
      </c>
      <c r="EG47" s="21"/>
      <c r="EH47" s="110">
        <v>0.4375</v>
      </c>
      <c r="EI47" s="211">
        <f>IF('Temperature Profiles'!AF46&gt;18,(0.0024*('Temperature Profiles'!AF46^2)-0.0581*'Temperature Profiles'!AF46+0.3293)*1000,IF('Temperature Profiles'!AF46&lt;17,(0.0022*('Temperature Profiles'!AF46^2)-0.0874*'Temperature Profiles'!AF46+0.9301)*1000,0))</f>
        <v>811.32933333333267</v>
      </c>
      <c r="EJ47" s="110">
        <v>0.4375</v>
      </c>
      <c r="EK47" s="211">
        <f>IF('Temperature Profiles'!AF46&gt;18,(0.0043*('Temperature Profiles'!AF46^2)-0.1116*'Temperature Profiles'!AF46+0.6576)*1000,IF('Temperature Profiles'!AF46&lt;17,(0.0053*('Temperature Profiles'!AF46^2)-0.1876*'Temperature Profiles'!AF46+1.7649)*1000,0))</f>
        <v>1290.5452986111104</v>
      </c>
      <c r="EL47" s="110">
        <v>0.4375</v>
      </c>
      <c r="EM47" s="211">
        <f>IF('Temperature Profiles'!AF46&gt;18,(0.0057*('Temperature Profiles'!AF46^2)-0.1509*'Temperature Profiles'!AF46+0.8935)*1000,IF('Temperature Profiles'!AF46&lt;17,(0.0072*('Temperature Profiles'!AF46^2)-0.254*'Temperature Profiles'!AF46+2.3952)*1000,0))</f>
        <v>1641.3678958333321</v>
      </c>
      <c r="EN47" s="21"/>
      <c r="EO47" s="110">
        <v>0.4375</v>
      </c>
      <c r="EP47" s="211"/>
      <c r="EQ47" s="21"/>
      <c r="ER47" s="110">
        <v>0.4375</v>
      </c>
      <c r="ES47" s="264"/>
      <c r="EU47" s="260">
        <v>0.4375</v>
      </c>
      <c r="EV47" s="209">
        <f>IF('Temperature Profiles'!AA145&gt;18,(0.0024*('Temperature Profiles'!AA145^2)-0.0581*'Temperature Profiles'!AA145+0.3293)*1000,IF('Temperature Profiles'!AA145&lt;17,(0.0022*('Temperature Profiles'!AA145^2)-0.0874*'Temperature Profiles'!AA145+0.9301)*1000,0))</f>
        <v>531.35181944444435</v>
      </c>
      <c r="EW47" s="110">
        <v>0.4375</v>
      </c>
      <c r="EX47" s="209">
        <f>IF('Temperature Profiles'!AA145&gt;18,(0.0043*('Temperature Profiles'!AA145^2)-0.1116*'Temperature Profiles'!AA145+0.6576)*1000,IF('Temperature Profiles'!AA145&lt;17,(0.0053*('Temperature Profiles'!AA145^2)-0.1876*'Temperature Profiles'!AA145+1.7649)*1000,0))</f>
        <v>924.98203472222201</v>
      </c>
      <c r="EY47" s="110">
        <v>0.4375</v>
      </c>
      <c r="EZ47" s="264">
        <f>IF('Temperature Profiles'!AA145&gt;18,(0.0057*('Temperature Profiles'!AA145^2)-0.1509*'Temperature Profiles'!AA145+0.8935)*1000,IF('Temperature Profiles'!AA145&lt;17,(0.0072*('Temperature Profiles'!AA145^2)-0.254*'Temperature Profiles'!AA145+2.3952)*1000,0))</f>
        <v>1258.6638333333328</v>
      </c>
    </row>
    <row r="48" spans="1:156" x14ac:dyDescent="0.3">
      <c r="A48" s="108">
        <v>0.4375</v>
      </c>
      <c r="B48" s="226">
        <f t="shared" si="0"/>
        <v>0</v>
      </c>
      <c r="C48" s="21">
        <f t="shared" si="1"/>
        <v>269.66666666666674</v>
      </c>
      <c r="D48" s="20">
        <f t="shared" si="2"/>
        <v>1258.6638333333328</v>
      </c>
      <c r="E48" s="20">
        <f t="shared" si="3"/>
        <v>1258.6638333333328</v>
      </c>
      <c r="G48" s="260">
        <v>0.44791666666666702</v>
      </c>
      <c r="H48" s="211">
        <f>IF('Temperature Profiles'!G47&gt;17,(0.0029*('Temperature Profiles'!G47^2) - 0.0863*'Temperature Profiles'!G47 + 0.6808)*1000,0)</f>
        <v>73.355555555555398</v>
      </c>
      <c r="I48" s="110">
        <v>0.44791666666666702</v>
      </c>
      <c r="J48" s="211">
        <f>IF('Temperature Profiles'!G47&gt;17,(0.005*('Temperature Profiles'!G47^2) - 0.1517*'Temperature Profiles'!G47 + 1.1702)*1000,0)</f>
        <v>69.588888888888917</v>
      </c>
      <c r="K48" s="110">
        <v>0.44791666666666702</v>
      </c>
      <c r="L48" s="211">
        <f>IF('Temperature Profiles'!G47&gt;17,(0.0068*('Temperature Profiles'!G47^2) - 0.2129*'Temperature Profiles'!G47 + 1.6904)*1000,0)</f>
        <v>72.788888888888792</v>
      </c>
      <c r="M48" s="21"/>
      <c r="N48" s="110">
        <v>0.44791666666666702</v>
      </c>
      <c r="O48" s="211">
        <f>IF('Temperature Profiles'!L47&gt;17,(0.0029*('Temperature Profiles'!L47^2) - 0.0863*'Temperature Profiles'!L47 + 0.6808)*1000,0)</f>
        <v>380.9310347222218</v>
      </c>
      <c r="P48" s="110">
        <v>0.44791666666666702</v>
      </c>
      <c r="Q48" s="211">
        <f>IF('Temperature Profiles'!L47&gt;17,(0.005*('Temperature Profiles'!L47^2) - 0.1517*'Temperature Profiles'!L47 + 1.1702)*1000,0)</f>
        <v>578.35618055555528</v>
      </c>
      <c r="R48" s="110">
        <v>0.44791666666666702</v>
      </c>
      <c r="S48" s="211">
        <f>IF('Temperature Profiles'!L47&gt;17,(0.0068*('Temperature Profiles'!L47^2) - 0.2129*'Temperature Profiles'!L47 + 1.6904)*1000,0)</f>
        <v>715.90630555555504</v>
      </c>
      <c r="T48" s="21"/>
      <c r="U48" s="110">
        <v>0.44791666666666702</v>
      </c>
      <c r="V48" s="211">
        <f>IF('Temperature Profiles'!Q47&gt;17,(0.0029*('Temperature Profiles'!Q47^2) - 0.0863*'Temperature Profiles'!Q47 + 0.6808)*1000,0)</f>
        <v>704.72655555555514</v>
      </c>
      <c r="W48" s="110">
        <v>0.44791666666666702</v>
      </c>
      <c r="X48" s="211">
        <f>IF('Temperature Profiles'!Q47&gt;17,(0.005*('Temperature Profiles'!Q47^2) - 0.1517*'Temperature Profiles'!Q47 + 1.1702)*1000,0)</f>
        <v>1124.1488888888891</v>
      </c>
      <c r="Y48" s="110">
        <v>0.44791666666666702</v>
      </c>
      <c r="Z48" s="211">
        <f>IF('Temperature Profiles'!Q47&gt;17,(0.0068*('Temperature Profiles'!Q47^2) - 0.2129*'Temperature Profiles'!Q47 + 1.6904)*1000,0)</f>
        <v>1429.9108888888886</v>
      </c>
      <c r="AA48" s="21"/>
      <c r="AB48" s="110">
        <v>0.44791666666666702</v>
      </c>
      <c r="AC48" s="211">
        <f>IF('Temperature Profiles'!V47&gt;17,(0.0029*('Temperature Profiles'!V47^2) - 0.0863*'Temperature Profiles'!V47 + 0.6808)*1000,0)</f>
        <v>72.690999999999946</v>
      </c>
      <c r="AD48" s="110">
        <v>0.44791666666666702</v>
      </c>
      <c r="AE48" s="211">
        <f>IF('Temperature Profiles'!V47&gt;17,(0.005*('Temperature Profiles'!V47^2) - 0.1517*'Temperature Profiles'!V47 + 1.1702)*1000,0)</f>
        <v>68.540000000000049</v>
      </c>
      <c r="AF48" s="110">
        <v>0.44791666666666702</v>
      </c>
      <c r="AG48" s="211">
        <f>IF('Temperature Profiles'!V47&gt;17,(0.0068*('Temperature Profiles'!V47^2) - 0.2129*'Temperature Profiles'!V47 + 1.6904)*1000,0)</f>
        <v>71.581999999999809</v>
      </c>
      <c r="AH48" s="21"/>
      <c r="AI48" s="110">
        <v>0.44791666666666702</v>
      </c>
      <c r="AJ48" s="211">
        <f>IF('Temperature Profiles'!AA47&gt;17,(0.0029*('Temperature Profiles'!AA47^2) - 0.0863*'Temperature Profiles'!AA47 + 0.6808)*1000,0)</f>
        <v>0</v>
      </c>
      <c r="AK48" s="110">
        <v>0.44791666666666702</v>
      </c>
      <c r="AL48" s="211">
        <f>IF('Temperature Profiles'!AA47&gt;17,(0.005*('Temperature Profiles'!AA47^2) - 0.1517*'Temperature Profiles'!AA47 + 1.1701)*1000,0)</f>
        <v>0</v>
      </c>
      <c r="AM48" s="110">
        <v>0.44791666666666702</v>
      </c>
      <c r="AN48" s="211">
        <f>IF('Temperature Profiles'!AA47&gt;17,(0.0068*('Temperature Profiles'!AA47^2) - 0.2129*'Temperature Profiles'!AA47 + 1.6904)*1000,0)</f>
        <v>0</v>
      </c>
      <c r="AO48" s="21"/>
      <c r="AP48" s="110">
        <v>0.44791666666666702</v>
      </c>
      <c r="AQ48" s="211">
        <f>IF('Temperature Profiles'!AF47&gt;17,(0.0029*('Temperature Profiles'!AF47^2) - 0.0863*'Temperature Profiles'!AF47 + 0.6808)*1000,0)</f>
        <v>768.43936805555472</v>
      </c>
      <c r="AR48" s="110">
        <v>0.44791666666666702</v>
      </c>
      <c r="AS48" s="183">
        <f>IF('Temperature Profiles'!AF47&gt;17,(0.005*('Temperature Profiles'!AF47^2) - 0.1517*'Temperature Profiles'!AF47 + 1.1702)*1000,0)</f>
        <v>1231.939513888889</v>
      </c>
      <c r="AT48" s="110">
        <v>0.44791666666666702</v>
      </c>
      <c r="AU48" s="211">
        <f>IF('Temperature Profiles'!AF47&gt;17,(0.0068*('Temperature Profiles'!AF47^2) - 0.2129*'Temperature Profiles'!AF47 + 1.6904)*1000,0)</f>
        <v>1571.8396388888877</v>
      </c>
      <c r="AV48" s="21"/>
      <c r="AW48" s="110">
        <v>0.44791666666666702</v>
      </c>
      <c r="AX48" s="211"/>
      <c r="AY48" s="21"/>
      <c r="AZ48" s="110">
        <v>0.44791666666666702</v>
      </c>
      <c r="BA48" s="264"/>
      <c r="BC48" s="260">
        <v>0.44791666666666702</v>
      </c>
      <c r="BD48" s="211">
        <f>IF('Temperature Profiles'!G47&lt;16,(-0.0037*'Temperature Profiles'!G47+0.0664)*1000,0)</f>
        <v>0</v>
      </c>
      <c r="BE48" s="110">
        <v>0.44791666666666702</v>
      </c>
      <c r="BF48" s="211">
        <f>IF('Temperature Profiles'!G47&lt;16,(-0.0076*'Temperature Profiles'!G47+0.1245)*1000,0)</f>
        <v>0</v>
      </c>
      <c r="BG48" s="110">
        <v>0.44791666666666702</v>
      </c>
      <c r="BH48" s="211">
        <f>IF('Temperature Profiles'!G47&lt;16,(-0.01*'Temperature Profiles'!G47+0.167)*1000,0)</f>
        <v>0</v>
      </c>
      <c r="BI48" s="21"/>
      <c r="BJ48" s="110">
        <v>0.44791666666666702</v>
      </c>
      <c r="BK48" s="211">
        <f>IF('Temperature Profiles'!L47&lt;16,(-0.0037*'Temperature Profiles'!L47+0.0664)*1000,0)</f>
        <v>0</v>
      </c>
      <c r="BL48" s="110">
        <v>0.44791666666666702</v>
      </c>
      <c r="BM48" s="211">
        <f>IF('Temperature Profiles'!L47&lt;16,(-0.0076*'Temperature Profiles'!L47+0.1245)*1000,0)</f>
        <v>0</v>
      </c>
      <c r="BN48" s="110">
        <v>0.44791666666666702</v>
      </c>
      <c r="BO48" s="211">
        <f>IF('Temperature Profiles'!L47&lt;16,(-0.01*'Temperature Profiles'!L47+0.167)*1000,0)</f>
        <v>0</v>
      </c>
      <c r="BP48" s="21"/>
      <c r="BQ48" s="110">
        <v>0.44791666666666702</v>
      </c>
      <c r="BR48" s="211">
        <f>IF('Temperature Profiles'!Q47&lt;16,(-0.0037*'Temperature Profiles'!Q47+0.0664)*1000,0)</f>
        <v>0</v>
      </c>
      <c r="BS48" s="110">
        <v>0.44791666666666702</v>
      </c>
      <c r="BT48" s="211">
        <f>IF('Temperature Profiles'!Q47&lt;16,(-0.0076*'Temperature Profiles'!Q47+0.1245)*1000,0)</f>
        <v>0</v>
      </c>
      <c r="BU48" s="110">
        <v>0.44791666666666702</v>
      </c>
      <c r="BV48" s="211">
        <f>IF('Temperature Profiles'!Q47&lt;16,(-0.01*'Temperature Profiles'!Q47+0.167)*1000,0)</f>
        <v>0</v>
      </c>
      <c r="BW48" s="21"/>
      <c r="BX48" s="110">
        <v>0.44791666666666702</v>
      </c>
      <c r="BY48" s="211">
        <f>IF('Temperature Profiles'!V47&lt;16,(-0.0037*'Temperature Profiles'!V47+0.0664)*1000,0)</f>
        <v>0</v>
      </c>
      <c r="BZ48" s="110">
        <v>0.44791666666666702</v>
      </c>
      <c r="CA48" s="211">
        <f>IF('Temperature Profiles'!V47&lt;16,(-0.0076*'Temperature Profiles'!V47+0.1245)*1000,0)</f>
        <v>0</v>
      </c>
      <c r="CB48" s="110">
        <v>0.44791666666666702</v>
      </c>
      <c r="CC48" s="211">
        <f>IF('Temperature Profiles'!V47&lt;16,(-0.01*'Temperature Profiles'!V47+0.167)*1000,0)</f>
        <v>0</v>
      </c>
      <c r="CD48" s="21"/>
      <c r="CE48" s="110">
        <v>0.44791666666666702</v>
      </c>
      <c r="CF48" s="211">
        <f>IF('Temperature Profiles'!AA47&lt;16,(-0.0037*'Temperature Profiles'!AA47+0.0664)*1000,0)</f>
        <v>104.38666666666667</v>
      </c>
      <c r="CG48" s="110">
        <v>0.44791666666666702</v>
      </c>
      <c r="CH48" s="178">
        <f>IF('Temperature Profiles'!AA47&lt;16,(-0.0076*'Temperature Profiles'!AA47+0.1245)*1000,0)</f>
        <v>202.5266666666667</v>
      </c>
      <c r="CI48" s="110">
        <v>0.44791666666666702</v>
      </c>
      <c r="CJ48" s="211">
        <f>IF('Temperature Profiles'!AA47&lt;16,(-0.01*'Temperature Profiles'!AA47+0.167)*1000,0)</f>
        <v>269.66666666666674</v>
      </c>
      <c r="CK48" s="21"/>
      <c r="CL48" s="110">
        <v>0.44791666666666702</v>
      </c>
      <c r="CM48" s="211">
        <f>IF('Temperature Profiles'!AF47&lt;16,(-0.0037*'Temperature Profiles'!AF47+0.0664)*1000,0)</f>
        <v>0</v>
      </c>
      <c r="CN48" s="110">
        <v>0.44791666666666702</v>
      </c>
      <c r="CO48" s="178">
        <f>IF('Temperature Profiles'!AF47&lt;16,(-0.0076*'Temperature Profiles'!AF47+0.1245)*1000,0)</f>
        <v>0</v>
      </c>
      <c r="CP48" s="110">
        <v>0.44791666666666702</v>
      </c>
      <c r="CQ48" s="211">
        <f>IF('Temperature Profiles'!AF47&lt;16,(-0.01*'Temperature Profiles'!AF47+0.167)*1000,0)</f>
        <v>0</v>
      </c>
      <c r="CR48" s="21"/>
      <c r="CS48" s="110">
        <v>0.44791666666666702</v>
      </c>
      <c r="CT48" s="211"/>
      <c r="CU48" s="21"/>
      <c r="CV48" s="110">
        <v>0.44791666666666702</v>
      </c>
      <c r="CW48" s="264"/>
      <c r="CY48" s="260">
        <v>0.44791666666666702</v>
      </c>
      <c r="CZ48" s="178">
        <f>IF('Temperature Profiles'!G47&gt;18,(0.0024*('Temperature Profiles'!G47^2)-0.0581*'Temperature Profiles'!G47+0.3293)*1000,IF('Temperature Profiles'!G47&lt;17,(0.0022*('Temperature Profiles'!G47^2)-0.0874*'Temperature Profiles'!G47+0.9301)*1000,0))</f>
        <v>70.799999999999912</v>
      </c>
      <c r="DA48" s="110">
        <v>0.44791666666666702</v>
      </c>
      <c r="DB48" s="263">
        <f>IF('Temperature Profiles'!G47&gt;18,(0.0043*('Temperature Profiles'!G47^2)-0.1116*'Temperature Profiles'!G47+0.6576)*1000,IF('Temperature Profiles'!G47&lt;17,(0.0053*('Temperature Profiles'!G47^2)-0.1876*'Temperature Profiles'!G47+1.7649)*1000,0))</f>
        <v>56.877777777777808</v>
      </c>
      <c r="DC48" s="110">
        <v>0.44791666666666702</v>
      </c>
      <c r="DD48" s="211">
        <f>IF('Temperature Profiles'!G47&gt;18,(0.0057*('Temperature Profiles'!G47^2)-0.1509*'Temperature Profiles'!G47+0.8935)*1000,IF('Temperature Profiles'!G47&lt;17,(0.0072*('Temperature Profiles'!G47^2)-0.254*'Temperature Profiles'!G47+2.3952)*1000,0))</f>
        <v>42.833333333333279</v>
      </c>
      <c r="DE48" s="21"/>
      <c r="DF48" s="110">
        <v>0.44791666666666702</v>
      </c>
      <c r="DG48" s="209">
        <f>IF('Temperature Profiles'!L47&gt;18,(0.0024*('Temperature Profiles'!L47^2)-0.0581*'Temperature Profiles'!L47+0.3293)*1000,IF('Temperature Profiles'!L47&lt;17,(0.0022*('Temperature Profiles'!L47^2)-0.0874*'Temperature Profiles'!L47+0.9301)*1000,0))</f>
        <v>424.029333333333</v>
      </c>
      <c r="DH48" s="110">
        <v>0.44791666666666702</v>
      </c>
      <c r="DI48" s="209">
        <f>IF('Temperature Profiles'!L47&gt;18,(0.0043*('Temperature Profiles'!L47^2)-0.1116*'Temperature Profiles'!L47+0.6576)*1000,IF('Temperature Profiles'!L47&lt;17,(0.0053*('Temperature Profiles'!L47^2)-0.1876*'Temperature Profiles'!L47+1.7649)*1000,0))</f>
        <v>634.15363194444433</v>
      </c>
      <c r="DJ48" s="110">
        <v>0.44791666666666702</v>
      </c>
      <c r="DK48" s="211">
        <f>IF('Temperature Profiles'!L47&gt;18,(0.0057*('Temperature Profiles'!L47^2)-0.1509*'Temperature Profiles'!L47+0.8935)*1000,IF('Temperature Profiles'!L47&lt;17,(0.0072*('Temperature Profiles'!L47^2)-0.254*'Temperature Profiles'!L47+2.3952)*1000,0))</f>
        <v>786.09289583333282</v>
      </c>
      <c r="DL48" s="21"/>
      <c r="DM48" s="110">
        <v>0.44791666666666702</v>
      </c>
      <c r="DN48" s="209">
        <f>IF('Temperature Profiles'!Q47&gt;18,(0.0024*('Temperature Profiles'!Q47^2)-0.0581*'Temperature Profiles'!Q47+0.3293)*1000,IF('Temperature Profiles'!Q47&lt;17,(0.0022*('Temperature Profiles'!Q47^2)-0.0874*'Temperature Profiles'!Q47+0.9301)*1000,0))</f>
        <v>749.16599999999983</v>
      </c>
      <c r="DO48" s="110">
        <v>0.44791666666666702</v>
      </c>
      <c r="DP48" s="209">
        <f>IF('Temperature Profiles'!Q47&gt;18,(0.0043*('Temperature Profiles'!Q47^2)-0.1116*'Temperature Profiles'!Q47+0.6576)*1000,IF('Temperature Profiles'!Q47&lt;17,(0.0053*('Temperature Profiles'!Q47^2)-0.1876*'Temperature Profiles'!Q47+1.7649)*1000,0))</f>
        <v>1184.4847777777777</v>
      </c>
      <c r="DQ48" s="110">
        <v>0.44791666666666702</v>
      </c>
      <c r="DR48" s="211">
        <f>IF('Temperature Profiles'!Q47&gt;18,(0.0057*('Temperature Profiles'!Q47^2)-0.1509*'Temperature Profiles'!Q47+0.8935)*1000,IF('Temperature Profiles'!Q47&lt;17,(0.0072*('Temperature Profiles'!Q47^2)-0.254*'Temperature Profiles'!Q47+2.3952)*1000,0))</f>
        <v>1502.8763333333334</v>
      </c>
      <c r="DS48" s="21"/>
      <c r="DT48" s="110">
        <v>0.44791666666666702</v>
      </c>
      <c r="DU48" s="209">
        <f>IF('Temperature Profiles'!V47&gt;18,(0.0024*('Temperature Profiles'!V47^2)-0.0581*'Temperature Profiles'!V47+0.3293)*1000,IF('Temperature Profiles'!V47&lt;17,(0.0022*('Temperature Profiles'!V47^2)-0.0874*'Temperature Profiles'!V47+0.9301)*1000,0))</f>
        <v>69.805999999999869</v>
      </c>
      <c r="DV48" s="110">
        <v>0.44791666666666702</v>
      </c>
      <c r="DW48" s="209">
        <f>IF('Temperature Profiles'!V47&gt;18,(0.0043*('Temperature Profiles'!V47^2)-0.1116*'Temperature Profiles'!V47+0.6576)*1000,IF('Temperature Profiles'!V47&lt;17,(0.0053*('Temperature Profiles'!V47^2)-0.1876*'Temperature Profiles'!V47+1.7649)*1000,0))</f>
        <v>55.346999999999809</v>
      </c>
      <c r="DX48" s="110">
        <v>0.44791666666666702</v>
      </c>
      <c r="DY48" s="211">
        <f>IF('Temperature Profiles'!V47&gt;18,(0.0057*('Temperature Profiles'!V47^2)-0.1509*'Temperature Profiles'!V47+0.8935)*1000,IF('Temperature Profiles'!V47&lt;17,(0.0072*('Temperature Profiles'!V47^2)-0.254*'Temperature Profiles'!V47+2.3952)*1000,0))</f>
        <v>40.903000000000134</v>
      </c>
      <c r="DZ48" s="21"/>
      <c r="EA48" s="110">
        <v>0.44791666666666702</v>
      </c>
      <c r="EB48" s="209">
        <f>IF('Temperature Profiles'!AA146&gt;18,(0.0024*('Temperature Profiles'!AA146^2)-0.0581*'Temperature Profiles'!AA146+0.3293)*1000,IF('Temperature Profiles'!AA146&lt;17,(0.0022*('Temperature Profiles'!AA146^2)-0.0874*'Temperature Profiles'!AA146+0.9301)*1000,0))</f>
        <v>531.35181944444435</v>
      </c>
      <c r="EC48" s="110">
        <v>0.44791666666666702</v>
      </c>
      <c r="ED48" s="209">
        <f>IF('Temperature Profiles'!AA146&gt;18,(0.0043*('Temperature Profiles'!AA146^2)-0.1116*'Temperature Profiles'!AA146+0.6576)*1000,IF('Temperature Profiles'!AA146&lt;17,(0.0053*('Temperature Profiles'!AA146^2)-0.1876*'Temperature Profiles'!AA146+1.7649)*1000,0))</f>
        <v>924.98203472222201</v>
      </c>
      <c r="EE48" s="110">
        <v>0.44791666666666702</v>
      </c>
      <c r="EF48" s="211">
        <f>IF('Temperature Profiles'!AA146&gt;18,(0.0057*('Temperature Profiles'!AA146^2)-0.1509*'Temperature Profiles'!AA146+0.8935)*1000,IF('Temperature Profiles'!AA146&lt;17,(0.0072*('Temperature Profiles'!AA146^2)-0.254*'Temperature Profiles'!AA146+2.3952)*1000,0))</f>
        <v>1258.6638333333328</v>
      </c>
      <c r="EG48" s="21"/>
      <c r="EH48" s="110">
        <v>0.44791666666666702</v>
      </c>
      <c r="EI48" s="211">
        <f>IF('Temperature Profiles'!AF47&gt;18,(0.0024*('Temperature Profiles'!AF47^2)-0.0581*'Temperature Profiles'!AF47+0.3293)*1000,IF('Temperature Profiles'!AF47&lt;17,(0.0022*('Temperature Profiles'!AF47^2)-0.0874*'Temperature Profiles'!AF47+0.9301)*1000,0))</f>
        <v>811.32933333333267</v>
      </c>
      <c r="EJ48" s="110">
        <v>0.44791666666666702</v>
      </c>
      <c r="EK48" s="211">
        <f>IF('Temperature Profiles'!AF47&gt;18,(0.0043*('Temperature Profiles'!AF47^2)-0.1116*'Temperature Profiles'!AF47+0.6576)*1000,IF('Temperature Profiles'!AF47&lt;17,(0.0053*('Temperature Profiles'!AF47^2)-0.1876*'Temperature Profiles'!AF47+1.7649)*1000,0))</f>
        <v>1290.5452986111104</v>
      </c>
      <c r="EL48" s="110">
        <v>0.44791666666666702</v>
      </c>
      <c r="EM48" s="211">
        <f>IF('Temperature Profiles'!AF47&gt;18,(0.0057*('Temperature Profiles'!AF47^2)-0.1509*'Temperature Profiles'!AF47+0.8935)*1000,IF('Temperature Profiles'!AF47&lt;17,(0.0072*('Temperature Profiles'!AF47^2)-0.254*'Temperature Profiles'!AF47+2.3952)*1000,0))</f>
        <v>1641.3678958333321</v>
      </c>
      <c r="EN48" s="21"/>
      <c r="EO48" s="110">
        <v>0.44791666666666702</v>
      </c>
      <c r="EP48" s="211"/>
      <c r="EQ48" s="21"/>
      <c r="ER48" s="110">
        <v>0.44791666666666702</v>
      </c>
      <c r="ES48" s="264"/>
      <c r="EU48" s="260">
        <v>0.44791666666666702</v>
      </c>
      <c r="EV48" s="209">
        <f>IF('Temperature Profiles'!AA146&gt;18,(0.0024*('Temperature Profiles'!AA146^2)-0.0581*'Temperature Profiles'!AA146+0.3293)*1000,IF('Temperature Profiles'!AA146&lt;17,(0.0022*('Temperature Profiles'!AA146^2)-0.0874*'Temperature Profiles'!AA146+0.9301)*1000,0))</f>
        <v>531.35181944444435</v>
      </c>
      <c r="EW48" s="110">
        <v>0.44791666666666702</v>
      </c>
      <c r="EX48" s="209">
        <f>IF('Temperature Profiles'!AA146&gt;18,(0.0043*('Temperature Profiles'!AA146^2)-0.1116*'Temperature Profiles'!AA146+0.6576)*1000,IF('Temperature Profiles'!AA146&lt;17,(0.0053*('Temperature Profiles'!AA146^2)-0.1876*'Temperature Profiles'!AA146+1.7649)*1000,0))</f>
        <v>924.98203472222201</v>
      </c>
      <c r="EY48" s="110">
        <v>0.44791666666666702</v>
      </c>
      <c r="EZ48" s="264">
        <f>IF('Temperature Profiles'!AA146&gt;18,(0.0057*('Temperature Profiles'!AA146^2)-0.1509*'Temperature Profiles'!AA146+0.8935)*1000,IF('Temperature Profiles'!AA146&lt;17,(0.0072*('Temperature Profiles'!AA146^2)-0.254*'Temperature Profiles'!AA146+2.3952)*1000,0))</f>
        <v>1258.6638333333328</v>
      </c>
    </row>
    <row r="49" spans="1:156" x14ac:dyDescent="0.3">
      <c r="A49" s="108">
        <v>0.44791666666666702</v>
      </c>
      <c r="B49" s="226">
        <f t="shared" si="0"/>
        <v>0</v>
      </c>
      <c r="C49" s="21">
        <f t="shared" si="1"/>
        <v>269.66666666666674</v>
      </c>
      <c r="D49" s="20">
        <f t="shared" si="2"/>
        <v>1258.6638333333328</v>
      </c>
      <c r="E49" s="20">
        <f t="shared" si="3"/>
        <v>1258.6638333333328</v>
      </c>
      <c r="G49" s="260">
        <v>0.45833333333333298</v>
      </c>
      <c r="H49" s="211">
        <f>IF('Temperature Profiles'!G48&gt;17,(0.0029*('Temperature Profiles'!G48^2) - 0.0863*'Temperature Profiles'!G48 + 0.6808)*1000,0)</f>
        <v>102.92847222222201</v>
      </c>
      <c r="I49" s="110">
        <v>0.45833333333333298</v>
      </c>
      <c r="J49" s="211">
        <f>IF('Temperature Profiles'!G48&gt;17,(0.005*('Temperature Profiles'!G48^2) - 0.1517*'Temperature Profiles'!G48 + 1.1702)*1000,0)</f>
        <v>116.9430555555555</v>
      </c>
      <c r="K49" s="110">
        <v>0.45833333333333298</v>
      </c>
      <c r="L49" s="211">
        <f>IF('Temperature Profiles'!G48&gt;17,(0.0068*('Temperature Profiles'!G48^2) - 0.2129*'Temperature Profiles'!G48 + 1.6904)*1000,0)</f>
        <v>128.95555555555526</v>
      </c>
      <c r="M49" s="21"/>
      <c r="N49" s="110">
        <v>0.45833333333333298</v>
      </c>
      <c r="O49" s="211">
        <f>IF('Temperature Profiles'!L48&gt;17,(0.0029*('Temperature Profiles'!L48^2) - 0.0863*'Temperature Profiles'!L48 + 0.6808)*1000,0)</f>
        <v>429.81353472222258</v>
      </c>
      <c r="P49" s="110">
        <v>0.45833333333333298</v>
      </c>
      <c r="Q49" s="211">
        <f>IF('Temperature Profiles'!L48&gt;17,(0.005*('Temperature Profiles'!L48^2) - 0.1517*'Temperature Profiles'!L48 + 1.1702)*1000,0)</f>
        <v>660.45618055555622</v>
      </c>
      <c r="R49" s="110">
        <v>0.45833333333333298</v>
      </c>
      <c r="S49" s="211">
        <f>IF('Temperature Profiles'!L48&gt;17,(0.0068*('Temperature Profiles'!L48^2) - 0.2129*'Temperature Profiles'!L48 + 1.6904)*1000,0)</f>
        <v>822.62130555555621</v>
      </c>
      <c r="T49" s="21"/>
      <c r="U49" s="110">
        <v>0.45833333333333298</v>
      </c>
      <c r="V49" s="211">
        <f>IF('Temperature Profiles'!Q48&gt;17,(0.0029*('Temperature Profiles'!Q48^2) - 0.0863*'Temperature Profiles'!Q48 + 0.6808)*1000,0)</f>
        <v>791.62103472222157</v>
      </c>
      <c r="W49" s="110">
        <v>0.45833333333333298</v>
      </c>
      <c r="X49" s="211">
        <f>IF('Temperature Profiles'!Q48&gt;17,(0.005*('Temperature Profiles'!Q48^2) - 0.1517*'Temperature Profiles'!Q48 + 1.1702)*1000,0)</f>
        <v>1271.1811805555562</v>
      </c>
      <c r="Y49" s="110">
        <v>0.45833333333333298</v>
      </c>
      <c r="Z49" s="211">
        <f>IF('Temperature Profiles'!Q48&gt;17,(0.0068*('Temperature Profiles'!Q48^2) - 0.2129*'Temperature Profiles'!Q48 + 1.6904)*1000,0)</f>
        <v>1623.561305555555</v>
      </c>
      <c r="AA49" s="21"/>
      <c r="AB49" s="110">
        <v>0.45833333333333298</v>
      </c>
      <c r="AC49" s="211">
        <f>IF('Temperature Profiles'!V48&gt;17,(0.0029*('Temperature Profiles'!V48^2) - 0.0863*'Temperature Profiles'!V48 + 0.6808)*1000,0)</f>
        <v>61.154368055555409</v>
      </c>
      <c r="AD49" s="110">
        <v>0.45833333333333298</v>
      </c>
      <c r="AE49" s="211">
        <f>IF('Temperature Profiles'!V48&gt;17,(0.005*('Temperature Profiles'!V48^2) - 0.1517*'Temperature Profiles'!V48 + 1.1702)*1000,0)</f>
        <v>50.514513888888942</v>
      </c>
      <c r="AF49" s="110">
        <v>0.45833333333333298</v>
      </c>
      <c r="AG49" s="211">
        <f>IF('Temperature Profiles'!V48&gt;17,(0.0068*('Temperature Profiles'!V48^2) - 0.2129*'Temperature Profiles'!V48 + 1.6904)*1000,0)</f>
        <v>51.294638888888414</v>
      </c>
      <c r="AH49" s="21"/>
      <c r="AI49" s="110">
        <v>0.45833333333333298</v>
      </c>
      <c r="AJ49" s="211">
        <f>IF('Temperature Profiles'!AA48&gt;17,(0.0029*('Temperature Profiles'!AA48^2) - 0.0863*'Temperature Profiles'!AA48 + 0.6808)*1000,0)</f>
        <v>0</v>
      </c>
      <c r="AK49" s="110">
        <v>0.45833333333333298</v>
      </c>
      <c r="AL49" s="211">
        <f>IF('Temperature Profiles'!AA48&gt;17,(0.005*('Temperature Profiles'!AA48^2) - 0.1517*'Temperature Profiles'!AA48 + 1.1701)*1000,0)</f>
        <v>0</v>
      </c>
      <c r="AM49" s="110">
        <v>0.45833333333333298</v>
      </c>
      <c r="AN49" s="211">
        <f>IF('Temperature Profiles'!AA48&gt;17,(0.0068*('Temperature Profiles'!AA48^2) - 0.2129*'Temperature Profiles'!AA48 + 1.6904)*1000,0)</f>
        <v>0</v>
      </c>
      <c r="AO49" s="21"/>
      <c r="AP49" s="110">
        <v>0.45833333333333298</v>
      </c>
      <c r="AQ49" s="211">
        <f>IF('Temperature Profiles'!AF48&gt;17,(0.0029*('Temperature Profiles'!AF48^2) - 0.0863*'Temperature Profiles'!AF48 + 0.6808)*1000,0)</f>
        <v>873.15020138888883</v>
      </c>
      <c r="AR49" s="110">
        <v>0.45833333333333298</v>
      </c>
      <c r="AS49" s="183">
        <f>IF('Temperature Profiles'!AF48&gt;17,(0.005*('Temperature Profiles'!AF48^2) - 0.1517*'Temperature Profiles'!AF48 + 1.1702)*1000,0)</f>
        <v>1409.2778472222221</v>
      </c>
      <c r="AT49" s="110">
        <v>0.45833333333333298</v>
      </c>
      <c r="AU49" s="211">
        <f>IF('Temperature Profiles'!AF48&gt;17,(0.0068*('Temperature Profiles'!AF48^2) - 0.2129*'Temperature Profiles'!AF48 + 1.6904)*1000,0)</f>
        <v>1805.7729722222216</v>
      </c>
      <c r="AV49" s="21"/>
      <c r="AW49" s="110">
        <v>0.45833333333333298</v>
      </c>
      <c r="AX49" s="211"/>
      <c r="AY49" s="21"/>
      <c r="AZ49" s="110">
        <v>0.45833333333333298</v>
      </c>
      <c r="BA49" s="264"/>
      <c r="BC49" s="260">
        <v>0.45833333333333298</v>
      </c>
      <c r="BD49" s="211">
        <f>IF('Temperature Profiles'!G48&lt;16,(-0.0037*'Temperature Profiles'!G48+0.0664)*1000,0)</f>
        <v>0</v>
      </c>
      <c r="BE49" s="110">
        <v>0.45833333333333298</v>
      </c>
      <c r="BF49" s="211">
        <f>IF('Temperature Profiles'!G48&lt;16,(-0.0076*'Temperature Profiles'!G48+0.1245)*1000,0)</f>
        <v>0</v>
      </c>
      <c r="BG49" s="110">
        <v>0.45833333333333298</v>
      </c>
      <c r="BH49" s="211">
        <f>IF('Temperature Profiles'!G48&lt;16,(-0.01*'Temperature Profiles'!G48+0.167)*1000,0)</f>
        <v>0</v>
      </c>
      <c r="BI49" s="21"/>
      <c r="BJ49" s="110">
        <v>0.45833333333333298</v>
      </c>
      <c r="BK49" s="211">
        <f>IF('Temperature Profiles'!L48&lt;16,(-0.0037*'Temperature Profiles'!L48+0.0664)*1000,0)</f>
        <v>0</v>
      </c>
      <c r="BL49" s="110">
        <v>0.45833333333333298</v>
      </c>
      <c r="BM49" s="211">
        <f>IF('Temperature Profiles'!L48&lt;16,(-0.0076*'Temperature Profiles'!L48+0.1245)*1000,0)</f>
        <v>0</v>
      </c>
      <c r="BN49" s="110">
        <v>0.45833333333333298</v>
      </c>
      <c r="BO49" s="211">
        <f>IF('Temperature Profiles'!L48&lt;16,(-0.01*'Temperature Profiles'!L48+0.167)*1000,0)</f>
        <v>0</v>
      </c>
      <c r="BP49" s="21"/>
      <c r="BQ49" s="110">
        <v>0.45833333333333298</v>
      </c>
      <c r="BR49" s="211">
        <f>IF('Temperature Profiles'!Q48&lt;16,(-0.0037*'Temperature Profiles'!Q48+0.0664)*1000,0)</f>
        <v>0</v>
      </c>
      <c r="BS49" s="110">
        <v>0.45833333333333298</v>
      </c>
      <c r="BT49" s="211">
        <f>IF('Temperature Profiles'!Q48&lt;16,(-0.0076*'Temperature Profiles'!Q48+0.1245)*1000,0)</f>
        <v>0</v>
      </c>
      <c r="BU49" s="110">
        <v>0.45833333333333298</v>
      </c>
      <c r="BV49" s="211">
        <f>IF('Temperature Profiles'!Q48&lt;16,(-0.01*'Temperature Profiles'!Q48+0.167)*1000,0)</f>
        <v>0</v>
      </c>
      <c r="BW49" s="21"/>
      <c r="BX49" s="110">
        <v>0.45833333333333298</v>
      </c>
      <c r="BY49" s="211">
        <f>IF('Temperature Profiles'!V48&lt;16,(-0.0037*'Temperature Profiles'!V48+0.0664)*1000,0)</f>
        <v>0</v>
      </c>
      <c r="BZ49" s="110">
        <v>0.45833333333333298</v>
      </c>
      <c r="CA49" s="211">
        <f>IF('Temperature Profiles'!V48&lt;16,(-0.0076*'Temperature Profiles'!V48+0.1245)*1000,0)</f>
        <v>0</v>
      </c>
      <c r="CB49" s="110">
        <v>0.45833333333333298</v>
      </c>
      <c r="CC49" s="211">
        <f>IF('Temperature Profiles'!V48&lt;16,(-0.01*'Temperature Profiles'!V48+0.167)*1000,0)</f>
        <v>0</v>
      </c>
      <c r="CD49" s="21"/>
      <c r="CE49" s="110">
        <v>0.45833333333333298</v>
      </c>
      <c r="CF49" s="211">
        <f>IF('Temperature Profiles'!AA48&lt;16,(-0.0037*'Temperature Profiles'!AA48+0.0664)*1000,0)</f>
        <v>95.96916666666668</v>
      </c>
      <c r="CG49" s="110">
        <v>0.45833333333333298</v>
      </c>
      <c r="CH49" s="178">
        <f>IF('Temperature Profiles'!AA48&lt;16,(-0.0076*'Temperature Profiles'!AA48+0.1245)*1000,0)</f>
        <v>185.23666666666665</v>
      </c>
      <c r="CI49" s="110">
        <v>0.45833333333333298</v>
      </c>
      <c r="CJ49" s="211">
        <f>IF('Temperature Profiles'!AA48&lt;16,(-0.01*'Temperature Profiles'!AA48+0.167)*1000,0)</f>
        <v>246.91666666666669</v>
      </c>
      <c r="CK49" s="21"/>
      <c r="CL49" s="110">
        <v>0.45833333333333298</v>
      </c>
      <c r="CM49" s="211">
        <f>IF('Temperature Profiles'!AF48&lt;16,(-0.0037*'Temperature Profiles'!AF48+0.0664)*1000,0)</f>
        <v>0</v>
      </c>
      <c r="CN49" s="110">
        <v>0.45833333333333298</v>
      </c>
      <c r="CO49" s="178">
        <f>IF('Temperature Profiles'!AF48&lt;16,(-0.0076*'Temperature Profiles'!AF48+0.1245)*1000,0)</f>
        <v>0</v>
      </c>
      <c r="CP49" s="110">
        <v>0.45833333333333298</v>
      </c>
      <c r="CQ49" s="211">
        <f>IF('Temperature Profiles'!AF48&lt;16,(-0.01*'Temperature Profiles'!AF48+0.167)*1000,0)</f>
        <v>0</v>
      </c>
      <c r="CR49" s="21"/>
      <c r="CS49" s="110">
        <v>0.45833333333333298</v>
      </c>
      <c r="CT49" s="211"/>
      <c r="CU49" s="21"/>
      <c r="CV49" s="110">
        <v>0.45833333333333298</v>
      </c>
      <c r="CW49" s="264"/>
      <c r="CY49" s="260">
        <v>0.45833333333333298</v>
      </c>
      <c r="CZ49" s="178">
        <f>IF('Temperature Profiles'!G48&gt;18,(0.0024*('Temperature Profiles'!G48^2)-0.0581*'Temperature Profiles'!G48+0.3293)*1000,IF('Temperature Profiles'!G48&lt;17,(0.0022*('Temperature Profiles'!G48^2)-0.0874*'Temperature Profiles'!G48+0.9301)*1000,0))</f>
        <v>111.925</v>
      </c>
      <c r="DA49" s="110">
        <v>0.45833333333333298</v>
      </c>
      <c r="DB49" s="263">
        <f>IF('Temperature Profiles'!G48&gt;18,(0.0043*('Temperature Profiles'!G48^2)-0.1116*'Temperature Profiles'!G48+0.6576)*1000,IF('Temperature Profiles'!G48&lt;17,(0.0053*('Temperature Profiles'!G48^2)-0.1876*'Temperature Profiles'!G48+1.7649)*1000,0))</f>
        <v>121.17986111111124</v>
      </c>
      <c r="DC49" s="110">
        <v>0.45833333333333298</v>
      </c>
      <c r="DD49" s="211">
        <f>IF('Temperature Profiles'!G48&gt;18,(0.0057*('Temperature Profiles'!G48^2)-0.1509*'Temperature Profiles'!G48+0.8935)*1000,IF('Temperature Profiles'!G48&lt;17,(0.0072*('Temperature Profiles'!G48^2)-0.254*'Temperature Profiles'!G48+2.3952)*1000,0))</f>
        <v>124.36458333333312</v>
      </c>
      <c r="DE49" s="21"/>
      <c r="DF49" s="110">
        <v>0.45833333333333298</v>
      </c>
      <c r="DG49" s="209">
        <f>IF('Temperature Profiles'!L48&gt;18,(0.0024*('Temperature Profiles'!L48^2)-0.0581*'Temperature Profiles'!L48+0.3293)*1000,IF('Temperature Profiles'!L48&lt;17,(0.0022*('Temperature Profiles'!L48^2)-0.0874*'Temperature Profiles'!L48+0.9301)*1000,0))</f>
        <v>474.4743333333335</v>
      </c>
      <c r="DH49" s="110">
        <v>0.45833333333333298</v>
      </c>
      <c r="DI49" s="209">
        <f>IF('Temperature Profiles'!L48&gt;18,(0.0043*('Temperature Profiles'!L48^2)-0.1116*'Temperature Profiles'!L48+0.6576)*1000,IF('Temperature Profiles'!L48&lt;17,(0.0053*('Temperature Profiles'!L48^2)-0.1876*'Temperature Profiles'!L48+1.7649)*1000,0))</f>
        <v>718.90613194444518</v>
      </c>
      <c r="DJ49" s="110">
        <v>0.45833333333333298</v>
      </c>
      <c r="DK49" s="211">
        <f>IF('Temperature Profiles'!L48&gt;18,(0.0057*('Temperature Profiles'!L48^2)-0.1509*'Temperature Profiles'!L48+0.8935)*1000,IF('Temperature Profiles'!L48&lt;17,(0.0072*('Temperature Profiles'!L48^2)-0.254*'Temperature Profiles'!L48+2.3952)*1000,0))</f>
        <v>896.2153958333339</v>
      </c>
      <c r="DL49" s="21"/>
      <c r="DM49" s="110">
        <v>0.45833333333333298</v>
      </c>
      <c r="DN49" s="209">
        <f>IF('Temperature Profiles'!Q48&gt;18,(0.0024*('Temperature Profiles'!Q48^2)-0.0581*'Temperature Profiles'!Q48+0.3293)*1000,IF('Temperature Profiles'!Q48&lt;17,(0.0022*('Temperature Profiles'!Q48^2)-0.0874*'Temperature Profiles'!Q48+0.9301)*1000,0))</f>
        <v>833.84433333333322</v>
      </c>
      <c r="DO49" s="110">
        <v>0.45833333333333298</v>
      </c>
      <c r="DP49" s="209">
        <f>IF('Temperature Profiles'!Q48&gt;18,(0.0043*('Temperature Profiles'!Q48^2)-0.1116*'Temperature Profiles'!Q48+0.6576)*1000,IF('Temperature Profiles'!Q48&lt;17,(0.0053*('Temperature Profiles'!Q48^2)-0.1876*'Temperature Profiles'!Q48+1.7649)*1000,0))</f>
        <v>1329.0086319444442</v>
      </c>
      <c r="DQ49" s="110">
        <v>0.45833333333333298</v>
      </c>
      <c r="DR49" s="211">
        <f>IF('Temperature Profiles'!Q48&gt;18,(0.0057*('Temperature Profiles'!Q48^2)-0.1509*'Temperature Profiles'!Q48+0.8935)*1000,IF('Temperature Profiles'!Q48&lt;17,(0.0072*('Temperature Profiles'!Q48^2)-0.254*'Temperature Profiles'!Q48+2.3952)*1000,0))</f>
        <v>1691.6128958333325</v>
      </c>
      <c r="DS49" s="21"/>
      <c r="DT49" s="110">
        <v>0.45833333333333298</v>
      </c>
      <c r="DU49" s="209">
        <f>IF('Temperature Profiles'!V48&gt;18,(0.0024*('Temperature Profiles'!V48^2)-0.0581*'Temperature Profiles'!V48+0.3293)*1000,IF('Temperature Profiles'!V48&lt;17,(0.0022*('Temperature Profiles'!V48^2)-0.0874*'Temperature Profiles'!V48+0.9301)*1000,0))</f>
        <v>0</v>
      </c>
      <c r="DV49" s="110">
        <v>0.45833333333333298</v>
      </c>
      <c r="DW49" s="209">
        <f>IF('Temperature Profiles'!V48&gt;18,(0.0043*('Temperature Profiles'!V48^2)-0.1116*'Temperature Profiles'!V48+0.6576)*1000,IF('Temperature Profiles'!V48&lt;17,(0.0053*('Temperature Profiles'!V48^2)-0.1876*'Temperature Profiles'!V48+1.7649)*1000,0))</f>
        <v>0</v>
      </c>
      <c r="DX49" s="110">
        <v>0.45833333333333298</v>
      </c>
      <c r="DY49" s="211">
        <f>IF('Temperature Profiles'!V48&gt;18,(0.0057*('Temperature Profiles'!V48^2)-0.1509*'Temperature Profiles'!V48+0.8935)*1000,IF('Temperature Profiles'!V48&lt;17,(0.0072*('Temperature Profiles'!V48^2)-0.254*'Temperature Profiles'!V48+2.3952)*1000,0))</f>
        <v>0</v>
      </c>
      <c r="DZ49" s="21"/>
      <c r="EA49" s="110">
        <v>0.45833333333333298</v>
      </c>
      <c r="EB49" s="209">
        <f>IF('Temperature Profiles'!AA147&gt;18,(0.0024*('Temperature Profiles'!AA147^2)-0.0581*'Temperature Profiles'!AA147+0.3293)*1000,IF('Temperature Profiles'!AA147&lt;17,(0.0022*('Temperature Profiles'!AA147^2)-0.0874*'Temperature Profiles'!AA147+0.9301)*1000,0))</f>
        <v>465.30737500000004</v>
      </c>
      <c r="EC49" s="110">
        <v>0.45833333333333298</v>
      </c>
      <c r="ED49" s="209">
        <f>IF('Temperature Profiles'!AA147&gt;18,(0.0043*('Temperature Profiles'!AA147^2)-0.1116*'Temperature Profiles'!AA147+0.6576)*1000,IF('Temperature Profiles'!AA147&lt;17,(0.0053*('Temperature Profiles'!AA147^2)-0.1876*'Temperature Profiles'!AA147+1.7649)*1000,0))</f>
        <v>790.35981249999998</v>
      </c>
      <c r="EE49" s="110">
        <v>0.45833333333333298</v>
      </c>
      <c r="EF49" s="211">
        <f>IF('Temperature Profiles'!AA147&gt;18,(0.0057*('Temperature Profiles'!AA147^2)-0.1509*'Temperature Profiles'!AA147+0.8935)*1000,IF('Temperature Profiles'!AA147&lt;17,(0.0072*('Temperature Profiles'!AA147^2)-0.254*'Temperature Profiles'!AA147+2.3952)*1000,0))</f>
        <v>1076.6904999999999</v>
      </c>
      <c r="EG49" s="21"/>
      <c r="EH49" s="110">
        <v>0.45833333333333298</v>
      </c>
      <c r="EI49" s="211">
        <f>IF('Temperature Profiles'!AF48&gt;18,(0.0024*('Temperature Profiles'!AF48^2)-0.0581*'Temperature Profiles'!AF48+0.3293)*1000,IF('Temperature Profiles'!AF48&lt;17,(0.0022*('Temperature Profiles'!AF48^2)-0.0874*'Temperature Profiles'!AF48+0.9301)*1000,0))</f>
        <v>912.63933333333318</v>
      </c>
      <c r="EJ49" s="110">
        <v>0.45833333333333298</v>
      </c>
      <c r="EK49" s="211">
        <f>IF('Temperature Profiles'!AF48&gt;18,(0.0043*('Temperature Profiles'!AF48^2)-0.1116*'Temperature Profiles'!AF48+0.6576)*1000,IF('Temperature Profiles'!AF48&lt;17,(0.0053*('Temperature Profiles'!AF48^2)-0.1876*'Temperature Profiles'!AF48+1.7649)*1000,0))</f>
        <v>1463.8044652777783</v>
      </c>
      <c r="EL49" s="110">
        <v>0.45833333333333298</v>
      </c>
      <c r="EM49" s="211">
        <f>IF('Temperature Profiles'!AF48&gt;18,(0.0057*('Temperature Profiles'!AF48^2)-0.1509*'Temperature Profiles'!AF48+0.8935)*1000,IF('Temperature Profiles'!AF48&lt;17,(0.0072*('Temperature Profiles'!AF48^2)-0.254*'Temperature Profiles'!AF48+2.3952)*1000,0))</f>
        <v>1867.7753958333337</v>
      </c>
      <c r="EN49" s="21"/>
      <c r="EO49" s="110">
        <v>0.45833333333333298</v>
      </c>
      <c r="EP49" s="211"/>
      <c r="EQ49" s="21"/>
      <c r="ER49" s="110">
        <v>0.45833333333333298</v>
      </c>
      <c r="ES49" s="264"/>
      <c r="EU49" s="260">
        <v>0.45833333333333298</v>
      </c>
      <c r="EV49" s="209">
        <f>IF('Temperature Profiles'!AA147&gt;18,(0.0024*('Temperature Profiles'!AA147^2)-0.0581*'Temperature Profiles'!AA147+0.3293)*1000,IF('Temperature Profiles'!AA147&lt;17,(0.0022*('Temperature Profiles'!AA147^2)-0.0874*'Temperature Profiles'!AA147+0.9301)*1000,0))</f>
        <v>465.30737500000004</v>
      </c>
      <c r="EW49" s="110">
        <v>0.45833333333333298</v>
      </c>
      <c r="EX49" s="209">
        <f>IF('Temperature Profiles'!AA147&gt;18,(0.0043*('Temperature Profiles'!AA147^2)-0.1116*'Temperature Profiles'!AA147+0.6576)*1000,IF('Temperature Profiles'!AA147&lt;17,(0.0053*('Temperature Profiles'!AA147^2)-0.1876*'Temperature Profiles'!AA147+1.7649)*1000,0))</f>
        <v>790.35981249999998</v>
      </c>
      <c r="EY49" s="110">
        <v>0.45833333333333298</v>
      </c>
      <c r="EZ49" s="264">
        <f>IF('Temperature Profiles'!AA147&gt;18,(0.0057*('Temperature Profiles'!AA147^2)-0.1509*'Temperature Profiles'!AA147+0.8935)*1000,IF('Temperature Profiles'!AA147&lt;17,(0.0072*('Temperature Profiles'!AA147^2)-0.254*'Temperature Profiles'!AA147+2.3952)*1000,0))</f>
        <v>1076.6904999999999</v>
      </c>
    </row>
    <row r="50" spans="1:156" x14ac:dyDescent="0.3">
      <c r="A50" s="108">
        <v>0.45833333333333298</v>
      </c>
      <c r="B50" s="226">
        <f t="shared" si="0"/>
        <v>0</v>
      </c>
      <c r="C50" s="21">
        <f t="shared" si="1"/>
        <v>246.91666666666669</v>
      </c>
      <c r="D50" s="20">
        <f t="shared" si="2"/>
        <v>1076.6904999999999</v>
      </c>
      <c r="E50" s="20">
        <f t="shared" si="3"/>
        <v>1076.6904999999999</v>
      </c>
      <c r="G50" s="260">
        <v>0.46875</v>
      </c>
      <c r="H50" s="211">
        <f>IF('Temperature Profiles'!G49&gt;17,(0.0029*('Temperature Profiles'!G49^2) - 0.0863*'Temperature Profiles'!G49 + 0.6808)*1000,0)</f>
        <v>102.92847222222201</v>
      </c>
      <c r="I50" s="110">
        <v>0.46875</v>
      </c>
      <c r="J50" s="211">
        <f>IF('Temperature Profiles'!G49&gt;17,(0.005*('Temperature Profiles'!G49^2) - 0.1517*'Temperature Profiles'!G49 + 1.1702)*1000,0)</f>
        <v>116.9430555555555</v>
      </c>
      <c r="K50" s="110">
        <v>0.46875</v>
      </c>
      <c r="L50" s="211">
        <f>IF('Temperature Profiles'!G49&gt;17,(0.0068*('Temperature Profiles'!G49^2) - 0.2129*'Temperature Profiles'!G49 + 1.6904)*1000,0)</f>
        <v>128.95555555555526</v>
      </c>
      <c r="M50" s="21"/>
      <c r="N50" s="110">
        <v>0.46875</v>
      </c>
      <c r="O50" s="211">
        <f>IF('Temperature Profiles'!L49&gt;17,(0.0029*('Temperature Profiles'!L49^2) - 0.0863*'Temperature Profiles'!L49 + 0.6808)*1000,0)</f>
        <v>429.81353472222258</v>
      </c>
      <c r="P50" s="110">
        <v>0.46875</v>
      </c>
      <c r="Q50" s="211">
        <f>IF('Temperature Profiles'!L49&gt;17,(0.005*('Temperature Profiles'!L49^2) - 0.1517*'Temperature Profiles'!L49 + 1.1702)*1000,0)</f>
        <v>660.45618055555622</v>
      </c>
      <c r="R50" s="110">
        <v>0.46875</v>
      </c>
      <c r="S50" s="211">
        <f>IF('Temperature Profiles'!L49&gt;17,(0.0068*('Temperature Profiles'!L49^2) - 0.2129*'Temperature Profiles'!L49 + 1.6904)*1000,0)</f>
        <v>822.62130555555621</v>
      </c>
      <c r="T50" s="21"/>
      <c r="U50" s="110">
        <v>0.46875</v>
      </c>
      <c r="V50" s="211">
        <f>IF('Temperature Profiles'!Q49&gt;17,(0.0029*('Temperature Profiles'!Q49^2) - 0.0863*'Temperature Profiles'!Q49 + 0.6808)*1000,0)</f>
        <v>791.62103472222157</v>
      </c>
      <c r="W50" s="110">
        <v>0.46875</v>
      </c>
      <c r="X50" s="211">
        <f>IF('Temperature Profiles'!Q49&gt;17,(0.005*('Temperature Profiles'!Q49^2) - 0.1517*'Temperature Profiles'!Q49 + 1.1702)*1000,0)</f>
        <v>1271.1811805555562</v>
      </c>
      <c r="Y50" s="110">
        <v>0.46875</v>
      </c>
      <c r="Z50" s="211">
        <f>IF('Temperature Profiles'!Q49&gt;17,(0.0068*('Temperature Profiles'!Q49^2) - 0.2129*'Temperature Profiles'!Q49 + 1.6904)*1000,0)</f>
        <v>1623.561305555555</v>
      </c>
      <c r="AA50" s="21"/>
      <c r="AB50" s="110">
        <v>0.46875</v>
      </c>
      <c r="AC50" s="211">
        <f>IF('Temperature Profiles'!V49&gt;17,(0.0029*('Temperature Profiles'!V49^2) - 0.0863*'Temperature Profiles'!V49 + 0.6808)*1000,0)</f>
        <v>61.154368055555409</v>
      </c>
      <c r="AD50" s="110">
        <v>0.46875</v>
      </c>
      <c r="AE50" s="211">
        <f>IF('Temperature Profiles'!V49&gt;17,(0.005*('Temperature Profiles'!V49^2) - 0.1517*'Temperature Profiles'!V49 + 1.1702)*1000,0)</f>
        <v>50.514513888888942</v>
      </c>
      <c r="AF50" s="110">
        <v>0.46875</v>
      </c>
      <c r="AG50" s="211">
        <f>IF('Temperature Profiles'!V49&gt;17,(0.0068*('Temperature Profiles'!V49^2) - 0.2129*'Temperature Profiles'!V49 + 1.6904)*1000,0)</f>
        <v>51.294638888888414</v>
      </c>
      <c r="AH50" s="21"/>
      <c r="AI50" s="110">
        <v>0.46875</v>
      </c>
      <c r="AJ50" s="211">
        <f>IF('Temperature Profiles'!AA49&gt;17,(0.0029*('Temperature Profiles'!AA49^2) - 0.0863*'Temperature Profiles'!AA49 + 0.6808)*1000,0)</f>
        <v>0</v>
      </c>
      <c r="AK50" s="110">
        <v>0.46875</v>
      </c>
      <c r="AL50" s="211">
        <f>IF('Temperature Profiles'!AA49&gt;17,(0.005*('Temperature Profiles'!AA49^2) - 0.1517*'Temperature Profiles'!AA49 + 1.1701)*1000,0)</f>
        <v>0</v>
      </c>
      <c r="AM50" s="110">
        <v>0.46875</v>
      </c>
      <c r="AN50" s="211">
        <f>IF('Temperature Profiles'!AA49&gt;17,(0.0068*('Temperature Profiles'!AA49^2) - 0.2129*'Temperature Profiles'!AA49 + 1.6904)*1000,0)</f>
        <v>0</v>
      </c>
      <c r="AO50" s="21"/>
      <c r="AP50" s="110">
        <v>0.46875</v>
      </c>
      <c r="AQ50" s="211">
        <f>IF('Temperature Profiles'!AF49&gt;17,(0.0029*('Temperature Profiles'!AF49^2) - 0.0863*'Temperature Profiles'!AF49 + 0.6808)*1000,0)</f>
        <v>873.15020138888883</v>
      </c>
      <c r="AR50" s="110">
        <v>0.46875</v>
      </c>
      <c r="AS50" s="183">
        <f>IF('Temperature Profiles'!AF49&gt;17,(0.005*('Temperature Profiles'!AF49^2) - 0.1517*'Temperature Profiles'!AF49 + 1.1702)*1000,0)</f>
        <v>1409.2778472222221</v>
      </c>
      <c r="AT50" s="110">
        <v>0.46875</v>
      </c>
      <c r="AU50" s="211">
        <f>IF('Temperature Profiles'!AF49&gt;17,(0.0068*('Temperature Profiles'!AF49^2) - 0.2129*'Temperature Profiles'!AF49 + 1.6904)*1000,0)</f>
        <v>1805.7729722222216</v>
      </c>
      <c r="AV50" s="21"/>
      <c r="AW50" s="110">
        <v>0.46875</v>
      </c>
      <c r="AX50" s="211"/>
      <c r="AY50" s="21"/>
      <c r="AZ50" s="110">
        <v>0.46875</v>
      </c>
      <c r="BA50" s="264"/>
      <c r="BC50" s="260">
        <v>0.46875</v>
      </c>
      <c r="BD50" s="211">
        <f>IF('Temperature Profiles'!G49&lt;16,(-0.0037*'Temperature Profiles'!G49+0.0664)*1000,0)</f>
        <v>0</v>
      </c>
      <c r="BE50" s="110">
        <v>0.46875</v>
      </c>
      <c r="BF50" s="211">
        <f>IF('Temperature Profiles'!G49&lt;16,(-0.0076*'Temperature Profiles'!G49+0.1245)*1000,0)</f>
        <v>0</v>
      </c>
      <c r="BG50" s="110">
        <v>0.46875</v>
      </c>
      <c r="BH50" s="211">
        <f>IF('Temperature Profiles'!G49&lt;16,(-0.01*'Temperature Profiles'!G49+0.167)*1000,0)</f>
        <v>0</v>
      </c>
      <c r="BI50" s="21"/>
      <c r="BJ50" s="110">
        <v>0.46875</v>
      </c>
      <c r="BK50" s="211">
        <f>IF('Temperature Profiles'!L49&lt;16,(-0.0037*'Temperature Profiles'!L49+0.0664)*1000,0)</f>
        <v>0</v>
      </c>
      <c r="BL50" s="110">
        <v>0.46875</v>
      </c>
      <c r="BM50" s="211">
        <f>IF('Temperature Profiles'!L49&lt;16,(-0.0076*'Temperature Profiles'!L49+0.1245)*1000,0)</f>
        <v>0</v>
      </c>
      <c r="BN50" s="110">
        <v>0.46875</v>
      </c>
      <c r="BO50" s="211">
        <f>IF('Temperature Profiles'!L49&lt;16,(-0.01*'Temperature Profiles'!L49+0.167)*1000,0)</f>
        <v>0</v>
      </c>
      <c r="BP50" s="21"/>
      <c r="BQ50" s="110">
        <v>0.46875</v>
      </c>
      <c r="BR50" s="211">
        <f>IF('Temperature Profiles'!Q49&lt;16,(-0.0037*'Temperature Profiles'!Q49+0.0664)*1000,0)</f>
        <v>0</v>
      </c>
      <c r="BS50" s="110">
        <v>0.46875</v>
      </c>
      <c r="BT50" s="211">
        <f>IF('Temperature Profiles'!Q49&lt;16,(-0.0076*'Temperature Profiles'!Q49+0.1245)*1000,0)</f>
        <v>0</v>
      </c>
      <c r="BU50" s="110">
        <v>0.46875</v>
      </c>
      <c r="BV50" s="211">
        <f>IF('Temperature Profiles'!Q49&lt;16,(-0.01*'Temperature Profiles'!Q49+0.167)*1000,0)</f>
        <v>0</v>
      </c>
      <c r="BW50" s="21"/>
      <c r="BX50" s="110">
        <v>0.46875</v>
      </c>
      <c r="BY50" s="211">
        <f>IF('Temperature Profiles'!V49&lt;16,(-0.0037*'Temperature Profiles'!V49+0.0664)*1000,0)</f>
        <v>0</v>
      </c>
      <c r="BZ50" s="110">
        <v>0.46875</v>
      </c>
      <c r="CA50" s="211">
        <f>IF('Temperature Profiles'!V49&lt;16,(-0.0076*'Temperature Profiles'!V49+0.1245)*1000,0)</f>
        <v>0</v>
      </c>
      <c r="CB50" s="110">
        <v>0.46875</v>
      </c>
      <c r="CC50" s="211">
        <f>IF('Temperature Profiles'!V49&lt;16,(-0.01*'Temperature Profiles'!V49+0.167)*1000,0)</f>
        <v>0</v>
      </c>
      <c r="CD50" s="21"/>
      <c r="CE50" s="110">
        <v>0.46875</v>
      </c>
      <c r="CF50" s="211">
        <f>IF('Temperature Profiles'!AA49&lt;16,(-0.0037*'Temperature Profiles'!AA49+0.0664)*1000,0)</f>
        <v>95.96916666666668</v>
      </c>
      <c r="CG50" s="110">
        <v>0.46875</v>
      </c>
      <c r="CH50" s="178">
        <f>IF('Temperature Profiles'!AA49&lt;16,(-0.0076*'Temperature Profiles'!AA49+0.1245)*1000,0)</f>
        <v>185.23666666666665</v>
      </c>
      <c r="CI50" s="110">
        <v>0.46875</v>
      </c>
      <c r="CJ50" s="211">
        <f>IF('Temperature Profiles'!AA49&lt;16,(-0.01*'Temperature Profiles'!AA49+0.167)*1000,0)</f>
        <v>246.91666666666669</v>
      </c>
      <c r="CK50" s="21"/>
      <c r="CL50" s="110">
        <v>0.46875</v>
      </c>
      <c r="CM50" s="211">
        <f>IF('Temperature Profiles'!AF49&lt;16,(-0.0037*'Temperature Profiles'!AF49+0.0664)*1000,0)</f>
        <v>0</v>
      </c>
      <c r="CN50" s="110">
        <v>0.46875</v>
      </c>
      <c r="CO50" s="178">
        <f>IF('Temperature Profiles'!AF49&lt;16,(-0.0076*'Temperature Profiles'!AF49+0.1245)*1000,0)</f>
        <v>0</v>
      </c>
      <c r="CP50" s="110">
        <v>0.46875</v>
      </c>
      <c r="CQ50" s="211">
        <f>IF('Temperature Profiles'!AF49&lt;16,(-0.01*'Temperature Profiles'!AF49+0.167)*1000,0)</f>
        <v>0</v>
      </c>
      <c r="CR50" s="21"/>
      <c r="CS50" s="110">
        <v>0.46875</v>
      </c>
      <c r="CT50" s="211"/>
      <c r="CU50" s="21"/>
      <c r="CV50" s="110">
        <v>0.46875</v>
      </c>
      <c r="CW50" s="264"/>
      <c r="CY50" s="260">
        <v>0.46875</v>
      </c>
      <c r="CZ50" s="178">
        <f>IF('Temperature Profiles'!G49&gt;18,(0.0024*('Temperature Profiles'!G49^2)-0.0581*'Temperature Profiles'!G49+0.3293)*1000,IF('Temperature Profiles'!G49&lt;17,(0.0022*('Temperature Profiles'!G49^2)-0.0874*'Temperature Profiles'!G49+0.9301)*1000,0))</f>
        <v>111.925</v>
      </c>
      <c r="DA50" s="110">
        <v>0.46875</v>
      </c>
      <c r="DB50" s="263">
        <f>IF('Temperature Profiles'!G49&gt;18,(0.0043*('Temperature Profiles'!G49^2)-0.1116*'Temperature Profiles'!G49+0.6576)*1000,IF('Temperature Profiles'!G49&lt;17,(0.0053*('Temperature Profiles'!G49^2)-0.1876*'Temperature Profiles'!G49+1.7649)*1000,0))</f>
        <v>121.17986111111124</v>
      </c>
      <c r="DC50" s="110">
        <v>0.46875</v>
      </c>
      <c r="DD50" s="211">
        <f>IF('Temperature Profiles'!G49&gt;18,(0.0057*('Temperature Profiles'!G49^2)-0.1509*'Temperature Profiles'!G49+0.8935)*1000,IF('Temperature Profiles'!G49&lt;17,(0.0072*('Temperature Profiles'!G49^2)-0.254*'Temperature Profiles'!G49+2.3952)*1000,0))</f>
        <v>124.36458333333312</v>
      </c>
      <c r="DE50" s="21"/>
      <c r="DF50" s="110">
        <v>0.46875</v>
      </c>
      <c r="DG50" s="209">
        <f>IF('Temperature Profiles'!L49&gt;18,(0.0024*('Temperature Profiles'!L49^2)-0.0581*'Temperature Profiles'!L49+0.3293)*1000,IF('Temperature Profiles'!L49&lt;17,(0.0022*('Temperature Profiles'!L49^2)-0.0874*'Temperature Profiles'!L49+0.9301)*1000,0))</f>
        <v>474.4743333333335</v>
      </c>
      <c r="DH50" s="110">
        <v>0.46875</v>
      </c>
      <c r="DI50" s="209">
        <f>IF('Temperature Profiles'!L49&gt;18,(0.0043*('Temperature Profiles'!L49^2)-0.1116*'Temperature Profiles'!L49+0.6576)*1000,IF('Temperature Profiles'!L49&lt;17,(0.0053*('Temperature Profiles'!L49^2)-0.1876*'Temperature Profiles'!L49+1.7649)*1000,0))</f>
        <v>718.90613194444518</v>
      </c>
      <c r="DJ50" s="110">
        <v>0.46875</v>
      </c>
      <c r="DK50" s="211">
        <f>IF('Temperature Profiles'!L49&gt;18,(0.0057*('Temperature Profiles'!L49^2)-0.1509*'Temperature Profiles'!L49+0.8935)*1000,IF('Temperature Profiles'!L49&lt;17,(0.0072*('Temperature Profiles'!L49^2)-0.254*'Temperature Profiles'!L49+2.3952)*1000,0))</f>
        <v>896.2153958333339</v>
      </c>
      <c r="DL50" s="21"/>
      <c r="DM50" s="110">
        <v>0.46875</v>
      </c>
      <c r="DN50" s="209">
        <f>IF('Temperature Profiles'!Q49&gt;18,(0.0024*('Temperature Profiles'!Q49^2)-0.0581*'Temperature Profiles'!Q49+0.3293)*1000,IF('Temperature Profiles'!Q49&lt;17,(0.0022*('Temperature Profiles'!Q49^2)-0.0874*'Temperature Profiles'!Q49+0.9301)*1000,0))</f>
        <v>833.84433333333322</v>
      </c>
      <c r="DO50" s="110">
        <v>0.46875</v>
      </c>
      <c r="DP50" s="209">
        <f>IF('Temperature Profiles'!Q49&gt;18,(0.0043*('Temperature Profiles'!Q49^2)-0.1116*'Temperature Profiles'!Q49+0.6576)*1000,IF('Temperature Profiles'!Q49&lt;17,(0.0053*('Temperature Profiles'!Q49^2)-0.1876*'Temperature Profiles'!Q49+1.7649)*1000,0))</f>
        <v>1329.0086319444442</v>
      </c>
      <c r="DQ50" s="110">
        <v>0.46875</v>
      </c>
      <c r="DR50" s="211">
        <f>IF('Temperature Profiles'!Q49&gt;18,(0.0057*('Temperature Profiles'!Q49^2)-0.1509*'Temperature Profiles'!Q49+0.8935)*1000,IF('Temperature Profiles'!Q49&lt;17,(0.0072*('Temperature Profiles'!Q49^2)-0.254*'Temperature Profiles'!Q49+2.3952)*1000,0))</f>
        <v>1691.6128958333325</v>
      </c>
      <c r="DS50" s="21"/>
      <c r="DT50" s="110">
        <v>0.46875</v>
      </c>
      <c r="DU50" s="209">
        <f>IF('Temperature Profiles'!V49&gt;18,(0.0024*('Temperature Profiles'!V49^2)-0.0581*'Temperature Profiles'!V49+0.3293)*1000,IF('Temperature Profiles'!V49&lt;17,(0.0022*('Temperature Profiles'!V49^2)-0.0874*'Temperature Profiles'!V49+0.9301)*1000,0))</f>
        <v>0</v>
      </c>
      <c r="DV50" s="110">
        <v>0.46875</v>
      </c>
      <c r="DW50" s="209">
        <f>IF('Temperature Profiles'!V49&gt;18,(0.0043*('Temperature Profiles'!V49^2)-0.1116*'Temperature Profiles'!V49+0.6576)*1000,IF('Temperature Profiles'!V49&lt;17,(0.0053*('Temperature Profiles'!V49^2)-0.1876*'Temperature Profiles'!V49+1.7649)*1000,0))</f>
        <v>0</v>
      </c>
      <c r="DX50" s="110">
        <v>0.46875</v>
      </c>
      <c r="DY50" s="211">
        <f>IF('Temperature Profiles'!V49&gt;18,(0.0057*('Temperature Profiles'!V49^2)-0.1509*'Temperature Profiles'!V49+0.8935)*1000,IF('Temperature Profiles'!V49&lt;17,(0.0072*('Temperature Profiles'!V49^2)-0.254*'Temperature Profiles'!V49+2.3952)*1000,0))</f>
        <v>0</v>
      </c>
      <c r="DZ50" s="21"/>
      <c r="EA50" s="110">
        <v>0.46875</v>
      </c>
      <c r="EB50" s="209">
        <f>IF('Temperature Profiles'!AA148&gt;18,(0.0024*('Temperature Profiles'!AA148^2)-0.0581*'Temperature Profiles'!AA148+0.3293)*1000,IF('Temperature Profiles'!AA148&lt;17,(0.0022*('Temperature Profiles'!AA148^2)-0.0874*'Temperature Profiles'!AA148+0.9301)*1000,0))</f>
        <v>465.30737500000004</v>
      </c>
      <c r="EC50" s="110">
        <v>0.46875</v>
      </c>
      <c r="ED50" s="209">
        <f>IF('Temperature Profiles'!AA148&gt;18,(0.0043*('Temperature Profiles'!AA148^2)-0.1116*'Temperature Profiles'!AA148+0.6576)*1000,IF('Temperature Profiles'!AA148&lt;17,(0.0053*('Temperature Profiles'!AA148^2)-0.1876*'Temperature Profiles'!AA148+1.7649)*1000,0))</f>
        <v>790.35981249999998</v>
      </c>
      <c r="EE50" s="110">
        <v>0.46875</v>
      </c>
      <c r="EF50" s="211">
        <f>IF('Temperature Profiles'!AA148&gt;18,(0.0057*('Temperature Profiles'!AA148^2)-0.1509*'Temperature Profiles'!AA148+0.8935)*1000,IF('Temperature Profiles'!AA148&lt;17,(0.0072*('Temperature Profiles'!AA148^2)-0.254*'Temperature Profiles'!AA148+2.3952)*1000,0))</f>
        <v>1076.6904999999999</v>
      </c>
      <c r="EG50" s="21"/>
      <c r="EH50" s="110">
        <v>0.46875</v>
      </c>
      <c r="EI50" s="211">
        <f>IF('Temperature Profiles'!AF49&gt;18,(0.0024*('Temperature Profiles'!AF49^2)-0.0581*'Temperature Profiles'!AF49+0.3293)*1000,IF('Temperature Profiles'!AF49&lt;17,(0.0022*('Temperature Profiles'!AF49^2)-0.0874*'Temperature Profiles'!AF49+0.9301)*1000,0))</f>
        <v>912.63933333333318</v>
      </c>
      <c r="EJ50" s="110">
        <v>0.46875</v>
      </c>
      <c r="EK50" s="211">
        <f>IF('Temperature Profiles'!AF49&gt;18,(0.0043*('Temperature Profiles'!AF49^2)-0.1116*'Temperature Profiles'!AF49+0.6576)*1000,IF('Temperature Profiles'!AF49&lt;17,(0.0053*('Temperature Profiles'!AF49^2)-0.1876*'Temperature Profiles'!AF49+1.7649)*1000,0))</f>
        <v>1463.8044652777783</v>
      </c>
      <c r="EL50" s="110">
        <v>0.46875</v>
      </c>
      <c r="EM50" s="211">
        <f>IF('Temperature Profiles'!AF49&gt;18,(0.0057*('Temperature Profiles'!AF49^2)-0.1509*'Temperature Profiles'!AF49+0.8935)*1000,IF('Temperature Profiles'!AF49&lt;17,(0.0072*('Temperature Profiles'!AF49^2)-0.254*'Temperature Profiles'!AF49+2.3952)*1000,0))</f>
        <v>1867.7753958333337</v>
      </c>
      <c r="EN50" s="21"/>
      <c r="EO50" s="110">
        <v>0.46875</v>
      </c>
      <c r="EP50" s="211"/>
      <c r="EQ50" s="21"/>
      <c r="ER50" s="110">
        <v>0.46875</v>
      </c>
      <c r="ES50" s="264"/>
      <c r="EU50" s="260">
        <v>0.46875</v>
      </c>
      <c r="EV50" s="209">
        <f>IF('Temperature Profiles'!AA148&gt;18,(0.0024*('Temperature Profiles'!AA148^2)-0.0581*'Temperature Profiles'!AA148+0.3293)*1000,IF('Temperature Profiles'!AA148&lt;17,(0.0022*('Temperature Profiles'!AA148^2)-0.0874*'Temperature Profiles'!AA148+0.9301)*1000,0))</f>
        <v>465.30737500000004</v>
      </c>
      <c r="EW50" s="110">
        <v>0.46875</v>
      </c>
      <c r="EX50" s="209">
        <f>IF('Temperature Profiles'!AA148&gt;18,(0.0043*('Temperature Profiles'!AA148^2)-0.1116*'Temperature Profiles'!AA148+0.6576)*1000,IF('Temperature Profiles'!AA148&lt;17,(0.0053*('Temperature Profiles'!AA148^2)-0.1876*'Temperature Profiles'!AA148+1.7649)*1000,0))</f>
        <v>790.35981249999998</v>
      </c>
      <c r="EY50" s="110">
        <v>0.46875</v>
      </c>
      <c r="EZ50" s="264">
        <f>IF('Temperature Profiles'!AA148&gt;18,(0.0057*('Temperature Profiles'!AA148^2)-0.1509*'Temperature Profiles'!AA148+0.8935)*1000,IF('Temperature Profiles'!AA148&lt;17,(0.0072*('Temperature Profiles'!AA148^2)-0.254*'Temperature Profiles'!AA148+2.3952)*1000,0))</f>
        <v>1076.6904999999999</v>
      </c>
    </row>
    <row r="51" spans="1:156" x14ac:dyDescent="0.3">
      <c r="A51" s="108">
        <v>0.46875</v>
      </c>
      <c r="B51" s="226">
        <f t="shared" si="0"/>
        <v>0</v>
      </c>
      <c r="C51" s="21">
        <f t="shared" si="1"/>
        <v>246.91666666666669</v>
      </c>
      <c r="D51" s="20">
        <f t="shared" si="2"/>
        <v>1076.6904999999999</v>
      </c>
      <c r="E51" s="20">
        <f t="shared" si="3"/>
        <v>1076.6904999999999</v>
      </c>
      <c r="G51" s="260">
        <v>0.47916666666666702</v>
      </c>
      <c r="H51" s="211">
        <f>IF('Temperature Profiles'!G50&gt;17,(0.0029*('Temperature Profiles'!G50^2) - 0.0863*'Temperature Profiles'!G50 + 0.6808)*1000,0)</f>
        <v>102.92847222222201</v>
      </c>
      <c r="I51" s="110">
        <v>0.47916666666666702</v>
      </c>
      <c r="J51" s="211">
        <f>IF('Temperature Profiles'!G50&gt;17,(0.005*('Temperature Profiles'!G50^2) - 0.1517*'Temperature Profiles'!G50 + 1.1702)*1000,0)</f>
        <v>116.9430555555555</v>
      </c>
      <c r="K51" s="110">
        <v>0.47916666666666702</v>
      </c>
      <c r="L51" s="211">
        <f>IF('Temperature Profiles'!G50&gt;17,(0.0068*('Temperature Profiles'!G50^2) - 0.2129*'Temperature Profiles'!G50 + 1.6904)*1000,0)</f>
        <v>128.95555555555526</v>
      </c>
      <c r="M51" s="21"/>
      <c r="N51" s="110">
        <v>0.47916666666666702</v>
      </c>
      <c r="O51" s="211">
        <f>IF('Temperature Profiles'!L50&gt;17,(0.0029*('Temperature Profiles'!L50^2) - 0.0863*'Temperature Profiles'!L50 + 0.6808)*1000,0)</f>
        <v>429.81353472222258</v>
      </c>
      <c r="P51" s="110">
        <v>0.47916666666666702</v>
      </c>
      <c r="Q51" s="211">
        <f>IF('Temperature Profiles'!L50&gt;17,(0.005*('Temperature Profiles'!L50^2) - 0.1517*'Temperature Profiles'!L50 + 1.1702)*1000,0)</f>
        <v>660.45618055555622</v>
      </c>
      <c r="R51" s="110">
        <v>0.47916666666666702</v>
      </c>
      <c r="S51" s="211">
        <f>IF('Temperature Profiles'!L50&gt;17,(0.0068*('Temperature Profiles'!L50^2) - 0.2129*'Temperature Profiles'!L50 + 1.6904)*1000,0)</f>
        <v>822.62130555555621</v>
      </c>
      <c r="T51" s="21"/>
      <c r="U51" s="110">
        <v>0.47916666666666702</v>
      </c>
      <c r="V51" s="211">
        <f>IF('Temperature Profiles'!Q50&gt;17,(0.0029*('Temperature Profiles'!Q50^2) - 0.0863*'Temperature Profiles'!Q50 + 0.6808)*1000,0)</f>
        <v>791.62103472222157</v>
      </c>
      <c r="W51" s="110">
        <v>0.47916666666666702</v>
      </c>
      <c r="X51" s="211">
        <f>IF('Temperature Profiles'!Q50&gt;17,(0.005*('Temperature Profiles'!Q50^2) - 0.1517*'Temperature Profiles'!Q50 + 1.1702)*1000,0)</f>
        <v>1271.1811805555562</v>
      </c>
      <c r="Y51" s="110">
        <v>0.47916666666666702</v>
      </c>
      <c r="Z51" s="211">
        <f>IF('Temperature Profiles'!Q50&gt;17,(0.0068*('Temperature Profiles'!Q50^2) - 0.2129*'Temperature Profiles'!Q50 + 1.6904)*1000,0)</f>
        <v>1623.561305555555</v>
      </c>
      <c r="AA51" s="21"/>
      <c r="AB51" s="110">
        <v>0.47916666666666702</v>
      </c>
      <c r="AC51" s="211">
        <f>IF('Temperature Profiles'!V50&gt;17,(0.0029*('Temperature Profiles'!V50^2) - 0.0863*'Temperature Profiles'!V50 + 0.6808)*1000,0)</f>
        <v>61.154368055555409</v>
      </c>
      <c r="AD51" s="110">
        <v>0.47916666666666702</v>
      </c>
      <c r="AE51" s="211">
        <f>IF('Temperature Profiles'!V50&gt;17,(0.005*('Temperature Profiles'!V50^2) - 0.1517*'Temperature Profiles'!V50 + 1.1702)*1000,0)</f>
        <v>50.514513888888942</v>
      </c>
      <c r="AF51" s="110">
        <v>0.47916666666666702</v>
      </c>
      <c r="AG51" s="211">
        <f>IF('Temperature Profiles'!V50&gt;17,(0.0068*('Temperature Profiles'!V50^2) - 0.2129*'Temperature Profiles'!V50 + 1.6904)*1000,0)</f>
        <v>51.294638888888414</v>
      </c>
      <c r="AH51" s="21"/>
      <c r="AI51" s="110">
        <v>0.47916666666666702</v>
      </c>
      <c r="AJ51" s="211">
        <f>IF('Temperature Profiles'!AA50&gt;17,(0.0029*('Temperature Profiles'!AA50^2) - 0.0863*'Temperature Profiles'!AA50 + 0.6808)*1000,0)</f>
        <v>0</v>
      </c>
      <c r="AK51" s="110">
        <v>0.47916666666666702</v>
      </c>
      <c r="AL51" s="211">
        <f>IF('Temperature Profiles'!AA50&gt;17,(0.005*('Temperature Profiles'!AA50^2) - 0.1517*'Temperature Profiles'!AA50 + 1.1701)*1000,0)</f>
        <v>0</v>
      </c>
      <c r="AM51" s="110">
        <v>0.47916666666666702</v>
      </c>
      <c r="AN51" s="211">
        <f>IF('Temperature Profiles'!AA50&gt;17,(0.0068*('Temperature Profiles'!AA50^2) - 0.2129*'Temperature Profiles'!AA50 + 1.6904)*1000,0)</f>
        <v>0</v>
      </c>
      <c r="AO51" s="21"/>
      <c r="AP51" s="110">
        <v>0.47916666666666702</v>
      </c>
      <c r="AQ51" s="211">
        <f>IF('Temperature Profiles'!AF50&gt;17,(0.0029*('Temperature Profiles'!AF50^2) - 0.0863*'Temperature Profiles'!AF50 + 0.6808)*1000,0)</f>
        <v>873.15020138888883</v>
      </c>
      <c r="AR51" s="110">
        <v>0.47916666666666702</v>
      </c>
      <c r="AS51" s="183">
        <f>IF('Temperature Profiles'!AF50&gt;17,(0.005*('Temperature Profiles'!AF50^2) - 0.1517*'Temperature Profiles'!AF50 + 1.1702)*1000,0)</f>
        <v>1409.2778472222221</v>
      </c>
      <c r="AT51" s="110">
        <v>0.47916666666666702</v>
      </c>
      <c r="AU51" s="211">
        <f>IF('Temperature Profiles'!AF50&gt;17,(0.0068*('Temperature Profiles'!AF50^2) - 0.2129*'Temperature Profiles'!AF50 + 1.6904)*1000,0)</f>
        <v>1805.7729722222216</v>
      </c>
      <c r="AV51" s="21"/>
      <c r="AW51" s="110">
        <v>0.47916666666666702</v>
      </c>
      <c r="AX51" s="211"/>
      <c r="AY51" s="21"/>
      <c r="AZ51" s="110">
        <v>0.47916666666666702</v>
      </c>
      <c r="BA51" s="264"/>
      <c r="BC51" s="260">
        <v>0.47916666666666702</v>
      </c>
      <c r="BD51" s="211">
        <f>IF('Temperature Profiles'!G50&lt;16,(-0.0037*'Temperature Profiles'!G50+0.0664)*1000,0)</f>
        <v>0</v>
      </c>
      <c r="BE51" s="110">
        <v>0.47916666666666702</v>
      </c>
      <c r="BF51" s="211">
        <f>IF('Temperature Profiles'!G50&lt;16,(-0.0076*'Temperature Profiles'!G50+0.1245)*1000,0)</f>
        <v>0</v>
      </c>
      <c r="BG51" s="110">
        <v>0.47916666666666702</v>
      </c>
      <c r="BH51" s="211">
        <f>IF('Temperature Profiles'!G50&lt;16,(-0.01*'Temperature Profiles'!G50+0.167)*1000,0)</f>
        <v>0</v>
      </c>
      <c r="BI51" s="21"/>
      <c r="BJ51" s="110">
        <v>0.47916666666666702</v>
      </c>
      <c r="BK51" s="211">
        <f>IF('Temperature Profiles'!L50&lt;16,(-0.0037*'Temperature Profiles'!L50+0.0664)*1000,0)</f>
        <v>0</v>
      </c>
      <c r="BL51" s="110">
        <v>0.47916666666666702</v>
      </c>
      <c r="BM51" s="211">
        <f>IF('Temperature Profiles'!L50&lt;16,(-0.0076*'Temperature Profiles'!L50+0.1245)*1000,0)</f>
        <v>0</v>
      </c>
      <c r="BN51" s="110">
        <v>0.47916666666666702</v>
      </c>
      <c r="BO51" s="211">
        <f>IF('Temperature Profiles'!L50&lt;16,(-0.01*'Temperature Profiles'!L50+0.167)*1000,0)</f>
        <v>0</v>
      </c>
      <c r="BP51" s="21"/>
      <c r="BQ51" s="110">
        <v>0.47916666666666702</v>
      </c>
      <c r="BR51" s="211">
        <f>IF('Temperature Profiles'!Q50&lt;16,(-0.0037*'Temperature Profiles'!Q50+0.0664)*1000,0)</f>
        <v>0</v>
      </c>
      <c r="BS51" s="110">
        <v>0.47916666666666702</v>
      </c>
      <c r="BT51" s="211">
        <f>IF('Temperature Profiles'!Q50&lt;16,(-0.0076*'Temperature Profiles'!Q50+0.1245)*1000,0)</f>
        <v>0</v>
      </c>
      <c r="BU51" s="110">
        <v>0.47916666666666702</v>
      </c>
      <c r="BV51" s="211">
        <f>IF('Temperature Profiles'!Q50&lt;16,(-0.01*'Temperature Profiles'!Q50+0.167)*1000,0)</f>
        <v>0</v>
      </c>
      <c r="BW51" s="21"/>
      <c r="BX51" s="110">
        <v>0.47916666666666702</v>
      </c>
      <c r="BY51" s="211">
        <f>IF('Temperature Profiles'!V50&lt;16,(-0.0037*'Temperature Profiles'!V50+0.0664)*1000,0)</f>
        <v>0</v>
      </c>
      <c r="BZ51" s="110">
        <v>0.47916666666666702</v>
      </c>
      <c r="CA51" s="211">
        <f>IF('Temperature Profiles'!V50&lt;16,(-0.0076*'Temperature Profiles'!V50+0.1245)*1000,0)</f>
        <v>0</v>
      </c>
      <c r="CB51" s="110">
        <v>0.47916666666666702</v>
      </c>
      <c r="CC51" s="211">
        <f>IF('Temperature Profiles'!V50&lt;16,(-0.01*'Temperature Profiles'!V50+0.167)*1000,0)</f>
        <v>0</v>
      </c>
      <c r="CD51" s="21"/>
      <c r="CE51" s="110">
        <v>0.47916666666666702</v>
      </c>
      <c r="CF51" s="211">
        <f>IF('Temperature Profiles'!AA50&lt;16,(-0.0037*'Temperature Profiles'!AA50+0.0664)*1000,0)</f>
        <v>95.96916666666668</v>
      </c>
      <c r="CG51" s="110">
        <v>0.47916666666666702</v>
      </c>
      <c r="CH51" s="178">
        <f>IF('Temperature Profiles'!AA50&lt;16,(-0.0076*'Temperature Profiles'!AA50+0.1245)*1000,0)</f>
        <v>185.23666666666665</v>
      </c>
      <c r="CI51" s="110">
        <v>0.47916666666666702</v>
      </c>
      <c r="CJ51" s="211">
        <f>IF('Temperature Profiles'!AA50&lt;16,(-0.01*'Temperature Profiles'!AA50+0.167)*1000,0)</f>
        <v>246.91666666666669</v>
      </c>
      <c r="CK51" s="21"/>
      <c r="CL51" s="110">
        <v>0.47916666666666702</v>
      </c>
      <c r="CM51" s="211">
        <f>IF('Temperature Profiles'!AF50&lt;16,(-0.0037*'Temperature Profiles'!AF50+0.0664)*1000,0)</f>
        <v>0</v>
      </c>
      <c r="CN51" s="110">
        <v>0.47916666666666702</v>
      </c>
      <c r="CO51" s="178">
        <f>IF('Temperature Profiles'!AF50&lt;16,(-0.0076*'Temperature Profiles'!AF50+0.1245)*1000,0)</f>
        <v>0</v>
      </c>
      <c r="CP51" s="110">
        <v>0.47916666666666702</v>
      </c>
      <c r="CQ51" s="211">
        <f>IF('Temperature Profiles'!AF50&lt;16,(-0.01*'Temperature Profiles'!AF50+0.167)*1000,0)</f>
        <v>0</v>
      </c>
      <c r="CR51" s="21"/>
      <c r="CS51" s="110">
        <v>0.47916666666666702</v>
      </c>
      <c r="CT51" s="211"/>
      <c r="CU51" s="21"/>
      <c r="CV51" s="110">
        <v>0.47916666666666702</v>
      </c>
      <c r="CW51" s="264"/>
      <c r="CY51" s="260">
        <v>0.47916666666666702</v>
      </c>
      <c r="CZ51" s="178">
        <f>IF('Temperature Profiles'!G50&gt;18,(0.0024*('Temperature Profiles'!G50^2)-0.0581*'Temperature Profiles'!G50+0.3293)*1000,IF('Temperature Profiles'!G50&lt;17,(0.0022*('Temperature Profiles'!G50^2)-0.0874*'Temperature Profiles'!G50+0.9301)*1000,0))</f>
        <v>111.925</v>
      </c>
      <c r="DA51" s="110">
        <v>0.47916666666666702</v>
      </c>
      <c r="DB51" s="263">
        <f>IF('Temperature Profiles'!G50&gt;18,(0.0043*('Temperature Profiles'!G50^2)-0.1116*'Temperature Profiles'!G50+0.6576)*1000,IF('Temperature Profiles'!G50&lt;17,(0.0053*('Temperature Profiles'!G50^2)-0.1876*'Temperature Profiles'!G50+1.7649)*1000,0))</f>
        <v>121.17986111111124</v>
      </c>
      <c r="DC51" s="110">
        <v>0.47916666666666702</v>
      </c>
      <c r="DD51" s="211">
        <f>IF('Temperature Profiles'!G50&gt;18,(0.0057*('Temperature Profiles'!G50^2)-0.1509*'Temperature Profiles'!G50+0.8935)*1000,IF('Temperature Profiles'!G50&lt;17,(0.0072*('Temperature Profiles'!G50^2)-0.254*'Temperature Profiles'!G50+2.3952)*1000,0))</f>
        <v>124.36458333333312</v>
      </c>
      <c r="DE51" s="21"/>
      <c r="DF51" s="110">
        <v>0.47916666666666702</v>
      </c>
      <c r="DG51" s="209">
        <f>IF('Temperature Profiles'!L50&gt;18,(0.0024*('Temperature Profiles'!L50^2)-0.0581*'Temperature Profiles'!L50+0.3293)*1000,IF('Temperature Profiles'!L50&lt;17,(0.0022*('Temperature Profiles'!L50^2)-0.0874*'Temperature Profiles'!L50+0.9301)*1000,0))</f>
        <v>474.4743333333335</v>
      </c>
      <c r="DH51" s="110">
        <v>0.47916666666666702</v>
      </c>
      <c r="DI51" s="209">
        <f>IF('Temperature Profiles'!L50&gt;18,(0.0043*('Temperature Profiles'!L50^2)-0.1116*'Temperature Profiles'!L50+0.6576)*1000,IF('Temperature Profiles'!L50&lt;17,(0.0053*('Temperature Profiles'!L50^2)-0.1876*'Temperature Profiles'!L50+1.7649)*1000,0))</f>
        <v>718.90613194444518</v>
      </c>
      <c r="DJ51" s="110">
        <v>0.47916666666666702</v>
      </c>
      <c r="DK51" s="211">
        <f>IF('Temperature Profiles'!L50&gt;18,(0.0057*('Temperature Profiles'!L50^2)-0.1509*'Temperature Profiles'!L50+0.8935)*1000,IF('Temperature Profiles'!L50&lt;17,(0.0072*('Temperature Profiles'!L50^2)-0.254*'Temperature Profiles'!L50+2.3952)*1000,0))</f>
        <v>896.2153958333339</v>
      </c>
      <c r="DL51" s="21"/>
      <c r="DM51" s="110">
        <v>0.47916666666666702</v>
      </c>
      <c r="DN51" s="209">
        <f>IF('Temperature Profiles'!Q50&gt;18,(0.0024*('Temperature Profiles'!Q50^2)-0.0581*'Temperature Profiles'!Q50+0.3293)*1000,IF('Temperature Profiles'!Q50&lt;17,(0.0022*('Temperature Profiles'!Q50^2)-0.0874*'Temperature Profiles'!Q50+0.9301)*1000,0))</f>
        <v>833.84433333333322</v>
      </c>
      <c r="DO51" s="110">
        <v>0.47916666666666702</v>
      </c>
      <c r="DP51" s="209">
        <f>IF('Temperature Profiles'!Q50&gt;18,(0.0043*('Temperature Profiles'!Q50^2)-0.1116*'Temperature Profiles'!Q50+0.6576)*1000,IF('Temperature Profiles'!Q50&lt;17,(0.0053*('Temperature Profiles'!Q50^2)-0.1876*'Temperature Profiles'!Q50+1.7649)*1000,0))</f>
        <v>1329.0086319444442</v>
      </c>
      <c r="DQ51" s="110">
        <v>0.47916666666666702</v>
      </c>
      <c r="DR51" s="211">
        <f>IF('Temperature Profiles'!Q50&gt;18,(0.0057*('Temperature Profiles'!Q50^2)-0.1509*'Temperature Profiles'!Q50+0.8935)*1000,IF('Temperature Profiles'!Q50&lt;17,(0.0072*('Temperature Profiles'!Q50^2)-0.254*'Temperature Profiles'!Q50+2.3952)*1000,0))</f>
        <v>1691.6128958333325</v>
      </c>
      <c r="DS51" s="21"/>
      <c r="DT51" s="110">
        <v>0.47916666666666702</v>
      </c>
      <c r="DU51" s="209">
        <f>IF('Temperature Profiles'!V50&gt;18,(0.0024*('Temperature Profiles'!V50^2)-0.0581*'Temperature Profiles'!V50+0.3293)*1000,IF('Temperature Profiles'!V50&lt;17,(0.0022*('Temperature Profiles'!V50^2)-0.0874*'Temperature Profiles'!V50+0.9301)*1000,0))</f>
        <v>0</v>
      </c>
      <c r="DV51" s="110">
        <v>0.47916666666666702</v>
      </c>
      <c r="DW51" s="209">
        <f>IF('Temperature Profiles'!V50&gt;18,(0.0043*('Temperature Profiles'!V50^2)-0.1116*'Temperature Profiles'!V50+0.6576)*1000,IF('Temperature Profiles'!V50&lt;17,(0.0053*('Temperature Profiles'!V50^2)-0.1876*'Temperature Profiles'!V50+1.7649)*1000,0))</f>
        <v>0</v>
      </c>
      <c r="DX51" s="110">
        <v>0.47916666666666702</v>
      </c>
      <c r="DY51" s="211">
        <f>IF('Temperature Profiles'!V50&gt;18,(0.0057*('Temperature Profiles'!V50^2)-0.1509*'Temperature Profiles'!V50+0.8935)*1000,IF('Temperature Profiles'!V50&lt;17,(0.0072*('Temperature Profiles'!V50^2)-0.254*'Temperature Profiles'!V50+2.3952)*1000,0))</f>
        <v>0</v>
      </c>
      <c r="DZ51" s="21"/>
      <c r="EA51" s="110">
        <v>0.47916666666666702</v>
      </c>
      <c r="EB51" s="209">
        <f>IF('Temperature Profiles'!AA149&gt;18,(0.0024*('Temperature Profiles'!AA149^2)-0.0581*'Temperature Profiles'!AA149+0.3293)*1000,IF('Temperature Profiles'!AA149&lt;17,(0.0022*('Temperature Profiles'!AA149^2)-0.0874*'Temperature Profiles'!AA149+0.9301)*1000,0))</f>
        <v>465.30737500000004</v>
      </c>
      <c r="EC51" s="110">
        <v>0.47916666666666702</v>
      </c>
      <c r="ED51" s="209">
        <f>IF('Temperature Profiles'!AA149&gt;18,(0.0043*('Temperature Profiles'!AA149^2)-0.1116*'Temperature Profiles'!AA149+0.6576)*1000,IF('Temperature Profiles'!AA149&lt;17,(0.0053*('Temperature Profiles'!AA149^2)-0.1876*'Temperature Profiles'!AA149+1.7649)*1000,0))</f>
        <v>790.35981249999998</v>
      </c>
      <c r="EE51" s="110">
        <v>0.47916666666666702</v>
      </c>
      <c r="EF51" s="211">
        <f>IF('Temperature Profiles'!AA149&gt;18,(0.0057*('Temperature Profiles'!AA149^2)-0.1509*'Temperature Profiles'!AA149+0.8935)*1000,IF('Temperature Profiles'!AA149&lt;17,(0.0072*('Temperature Profiles'!AA149^2)-0.254*'Temperature Profiles'!AA149+2.3952)*1000,0))</f>
        <v>1076.6904999999999</v>
      </c>
      <c r="EG51" s="21"/>
      <c r="EH51" s="110">
        <v>0.47916666666666702</v>
      </c>
      <c r="EI51" s="211">
        <f>IF('Temperature Profiles'!AF50&gt;18,(0.0024*('Temperature Profiles'!AF50^2)-0.0581*'Temperature Profiles'!AF50+0.3293)*1000,IF('Temperature Profiles'!AF50&lt;17,(0.0022*('Temperature Profiles'!AF50^2)-0.0874*'Temperature Profiles'!AF50+0.9301)*1000,0))</f>
        <v>912.63933333333318</v>
      </c>
      <c r="EJ51" s="110">
        <v>0.47916666666666702</v>
      </c>
      <c r="EK51" s="211">
        <f>IF('Temperature Profiles'!AF50&gt;18,(0.0043*('Temperature Profiles'!AF50^2)-0.1116*'Temperature Profiles'!AF50+0.6576)*1000,IF('Temperature Profiles'!AF50&lt;17,(0.0053*('Temperature Profiles'!AF50^2)-0.1876*'Temperature Profiles'!AF50+1.7649)*1000,0))</f>
        <v>1463.8044652777783</v>
      </c>
      <c r="EL51" s="110">
        <v>0.47916666666666702</v>
      </c>
      <c r="EM51" s="211">
        <f>IF('Temperature Profiles'!AF50&gt;18,(0.0057*('Temperature Profiles'!AF50^2)-0.1509*'Temperature Profiles'!AF50+0.8935)*1000,IF('Temperature Profiles'!AF50&lt;17,(0.0072*('Temperature Profiles'!AF50^2)-0.254*'Temperature Profiles'!AF50+2.3952)*1000,0))</f>
        <v>1867.7753958333337</v>
      </c>
      <c r="EN51" s="21"/>
      <c r="EO51" s="110">
        <v>0.47916666666666702</v>
      </c>
      <c r="EP51" s="211"/>
      <c r="EQ51" s="21"/>
      <c r="ER51" s="110">
        <v>0.47916666666666702</v>
      </c>
      <c r="ES51" s="264"/>
      <c r="EU51" s="260">
        <v>0.47916666666666702</v>
      </c>
      <c r="EV51" s="209">
        <f>IF('Temperature Profiles'!AA149&gt;18,(0.0024*('Temperature Profiles'!AA149^2)-0.0581*'Temperature Profiles'!AA149+0.3293)*1000,IF('Temperature Profiles'!AA149&lt;17,(0.0022*('Temperature Profiles'!AA149^2)-0.0874*'Temperature Profiles'!AA149+0.9301)*1000,0))</f>
        <v>465.30737500000004</v>
      </c>
      <c r="EW51" s="110">
        <v>0.47916666666666702</v>
      </c>
      <c r="EX51" s="209">
        <f>IF('Temperature Profiles'!AA149&gt;18,(0.0043*('Temperature Profiles'!AA149^2)-0.1116*'Temperature Profiles'!AA149+0.6576)*1000,IF('Temperature Profiles'!AA149&lt;17,(0.0053*('Temperature Profiles'!AA149^2)-0.1876*'Temperature Profiles'!AA149+1.7649)*1000,0))</f>
        <v>790.35981249999998</v>
      </c>
      <c r="EY51" s="110">
        <v>0.47916666666666702</v>
      </c>
      <c r="EZ51" s="264">
        <f>IF('Temperature Profiles'!AA149&gt;18,(0.0057*('Temperature Profiles'!AA149^2)-0.1509*'Temperature Profiles'!AA149+0.8935)*1000,IF('Temperature Profiles'!AA149&lt;17,(0.0072*('Temperature Profiles'!AA149^2)-0.254*'Temperature Profiles'!AA149+2.3952)*1000,0))</f>
        <v>1076.6904999999999</v>
      </c>
    </row>
    <row r="52" spans="1:156" x14ac:dyDescent="0.3">
      <c r="A52" s="108">
        <v>0.47916666666666702</v>
      </c>
      <c r="B52" s="226">
        <f t="shared" si="0"/>
        <v>0</v>
      </c>
      <c r="C52" s="21">
        <f t="shared" si="1"/>
        <v>246.91666666666669</v>
      </c>
      <c r="D52" s="20">
        <f t="shared" si="2"/>
        <v>1076.6904999999999</v>
      </c>
      <c r="E52" s="20">
        <f t="shared" si="3"/>
        <v>1076.6904999999999</v>
      </c>
      <c r="G52" s="260">
        <v>0.48958333333333298</v>
      </c>
      <c r="H52" s="211">
        <f>IF('Temperature Profiles'!G51&gt;17,(0.0029*('Temperature Profiles'!G51^2) - 0.0863*'Temperature Profiles'!G51 + 0.6808)*1000,0)</f>
        <v>102.92847222222201</v>
      </c>
      <c r="I52" s="110">
        <v>0.48958333333333298</v>
      </c>
      <c r="J52" s="211">
        <f>IF('Temperature Profiles'!G51&gt;17,(0.005*('Temperature Profiles'!G51^2) - 0.1517*'Temperature Profiles'!G51 + 1.1702)*1000,0)</f>
        <v>116.9430555555555</v>
      </c>
      <c r="K52" s="110">
        <v>0.48958333333333298</v>
      </c>
      <c r="L52" s="211">
        <f>IF('Temperature Profiles'!G51&gt;17,(0.0068*('Temperature Profiles'!G51^2) - 0.2129*'Temperature Profiles'!G51 + 1.6904)*1000,0)</f>
        <v>128.95555555555526</v>
      </c>
      <c r="M52" s="21"/>
      <c r="N52" s="110">
        <v>0.48958333333333298</v>
      </c>
      <c r="O52" s="211">
        <f>IF('Temperature Profiles'!L51&gt;17,(0.0029*('Temperature Profiles'!L51^2) - 0.0863*'Temperature Profiles'!L51 + 0.6808)*1000,0)</f>
        <v>429.81353472222258</v>
      </c>
      <c r="P52" s="110">
        <v>0.48958333333333298</v>
      </c>
      <c r="Q52" s="211">
        <f>IF('Temperature Profiles'!L51&gt;17,(0.005*('Temperature Profiles'!L51^2) - 0.1517*'Temperature Profiles'!L51 + 1.1702)*1000,0)</f>
        <v>660.45618055555622</v>
      </c>
      <c r="R52" s="110">
        <v>0.48958333333333298</v>
      </c>
      <c r="S52" s="211">
        <f>IF('Temperature Profiles'!L51&gt;17,(0.0068*('Temperature Profiles'!L51^2) - 0.2129*'Temperature Profiles'!L51 + 1.6904)*1000,0)</f>
        <v>822.62130555555621</v>
      </c>
      <c r="T52" s="21"/>
      <c r="U52" s="110">
        <v>0.48958333333333298</v>
      </c>
      <c r="V52" s="211">
        <f>IF('Temperature Profiles'!Q51&gt;17,(0.0029*('Temperature Profiles'!Q51^2) - 0.0863*'Temperature Profiles'!Q51 + 0.6808)*1000,0)</f>
        <v>791.62103472222157</v>
      </c>
      <c r="W52" s="110">
        <v>0.48958333333333298</v>
      </c>
      <c r="X52" s="211">
        <f>IF('Temperature Profiles'!Q51&gt;17,(0.005*('Temperature Profiles'!Q51^2) - 0.1517*'Temperature Profiles'!Q51 + 1.1702)*1000,0)</f>
        <v>1271.1811805555562</v>
      </c>
      <c r="Y52" s="110">
        <v>0.48958333333333298</v>
      </c>
      <c r="Z52" s="211">
        <f>IF('Temperature Profiles'!Q51&gt;17,(0.0068*('Temperature Profiles'!Q51^2) - 0.2129*'Temperature Profiles'!Q51 + 1.6904)*1000,0)</f>
        <v>1623.561305555555</v>
      </c>
      <c r="AA52" s="21"/>
      <c r="AB52" s="110">
        <v>0.48958333333333298</v>
      </c>
      <c r="AC52" s="211">
        <f>IF('Temperature Profiles'!V51&gt;17,(0.0029*('Temperature Profiles'!V51^2) - 0.0863*'Temperature Profiles'!V51 + 0.6808)*1000,0)</f>
        <v>61.154368055555409</v>
      </c>
      <c r="AD52" s="110">
        <v>0.48958333333333298</v>
      </c>
      <c r="AE52" s="211">
        <f>IF('Temperature Profiles'!V51&gt;17,(0.005*('Temperature Profiles'!V51^2) - 0.1517*'Temperature Profiles'!V51 + 1.1702)*1000,0)</f>
        <v>50.514513888888942</v>
      </c>
      <c r="AF52" s="110">
        <v>0.48958333333333298</v>
      </c>
      <c r="AG52" s="211">
        <f>IF('Temperature Profiles'!V51&gt;17,(0.0068*('Temperature Profiles'!V51^2) - 0.2129*'Temperature Profiles'!V51 + 1.6904)*1000,0)</f>
        <v>51.294638888888414</v>
      </c>
      <c r="AH52" s="21"/>
      <c r="AI52" s="110">
        <v>0.48958333333333298</v>
      </c>
      <c r="AJ52" s="211">
        <f>IF('Temperature Profiles'!AA51&gt;17,(0.0029*('Temperature Profiles'!AA51^2) - 0.0863*'Temperature Profiles'!AA51 + 0.6808)*1000,0)</f>
        <v>0</v>
      </c>
      <c r="AK52" s="110">
        <v>0.48958333333333298</v>
      </c>
      <c r="AL52" s="211">
        <f>IF('Temperature Profiles'!AA51&gt;17,(0.005*('Temperature Profiles'!AA51^2) - 0.1517*'Temperature Profiles'!AA51 + 1.1701)*1000,0)</f>
        <v>0</v>
      </c>
      <c r="AM52" s="110">
        <v>0.48958333333333298</v>
      </c>
      <c r="AN52" s="211">
        <f>IF('Temperature Profiles'!AA51&gt;17,(0.0068*('Temperature Profiles'!AA51^2) - 0.2129*'Temperature Profiles'!AA51 + 1.6904)*1000,0)</f>
        <v>0</v>
      </c>
      <c r="AO52" s="21"/>
      <c r="AP52" s="110">
        <v>0.48958333333333298</v>
      </c>
      <c r="AQ52" s="211">
        <f>IF('Temperature Profiles'!AF51&gt;17,(0.0029*('Temperature Profiles'!AF51^2) - 0.0863*'Temperature Profiles'!AF51 + 0.6808)*1000,0)</f>
        <v>873.15020138888883</v>
      </c>
      <c r="AR52" s="110">
        <v>0.48958333333333298</v>
      </c>
      <c r="AS52" s="183">
        <f>IF('Temperature Profiles'!AF51&gt;17,(0.005*('Temperature Profiles'!AF51^2) - 0.1517*'Temperature Profiles'!AF51 + 1.1702)*1000,0)</f>
        <v>1409.2778472222221</v>
      </c>
      <c r="AT52" s="110">
        <v>0.48958333333333298</v>
      </c>
      <c r="AU52" s="211">
        <f>IF('Temperature Profiles'!AF51&gt;17,(0.0068*('Temperature Profiles'!AF51^2) - 0.2129*'Temperature Profiles'!AF51 + 1.6904)*1000,0)</f>
        <v>1805.7729722222216</v>
      </c>
      <c r="AV52" s="21"/>
      <c r="AW52" s="110">
        <v>0.48958333333333298</v>
      </c>
      <c r="AX52" s="211"/>
      <c r="AY52" s="21"/>
      <c r="AZ52" s="110">
        <v>0.48958333333333298</v>
      </c>
      <c r="BA52" s="264"/>
      <c r="BC52" s="260">
        <v>0.48958333333333298</v>
      </c>
      <c r="BD52" s="211">
        <f>IF('Temperature Profiles'!G51&lt;16,(-0.0037*'Temperature Profiles'!G51+0.0664)*1000,0)</f>
        <v>0</v>
      </c>
      <c r="BE52" s="110">
        <v>0.48958333333333298</v>
      </c>
      <c r="BF52" s="211">
        <f>IF('Temperature Profiles'!G51&lt;16,(-0.0076*'Temperature Profiles'!G51+0.1245)*1000,0)</f>
        <v>0</v>
      </c>
      <c r="BG52" s="110">
        <v>0.48958333333333298</v>
      </c>
      <c r="BH52" s="211">
        <f>IF('Temperature Profiles'!G51&lt;16,(-0.01*'Temperature Profiles'!G51+0.167)*1000,0)</f>
        <v>0</v>
      </c>
      <c r="BI52" s="21"/>
      <c r="BJ52" s="110">
        <v>0.48958333333333298</v>
      </c>
      <c r="BK52" s="211">
        <f>IF('Temperature Profiles'!L51&lt;16,(-0.0037*'Temperature Profiles'!L51+0.0664)*1000,0)</f>
        <v>0</v>
      </c>
      <c r="BL52" s="110">
        <v>0.48958333333333298</v>
      </c>
      <c r="BM52" s="211">
        <f>IF('Temperature Profiles'!L51&lt;16,(-0.0076*'Temperature Profiles'!L51+0.1245)*1000,0)</f>
        <v>0</v>
      </c>
      <c r="BN52" s="110">
        <v>0.48958333333333298</v>
      </c>
      <c r="BO52" s="211">
        <f>IF('Temperature Profiles'!L51&lt;16,(-0.01*'Temperature Profiles'!L51+0.167)*1000,0)</f>
        <v>0</v>
      </c>
      <c r="BP52" s="21"/>
      <c r="BQ52" s="110">
        <v>0.48958333333333298</v>
      </c>
      <c r="BR52" s="211">
        <f>IF('Temperature Profiles'!Q51&lt;16,(-0.0037*'Temperature Profiles'!Q51+0.0664)*1000,0)</f>
        <v>0</v>
      </c>
      <c r="BS52" s="110">
        <v>0.48958333333333298</v>
      </c>
      <c r="BT52" s="211">
        <f>IF('Temperature Profiles'!Q51&lt;16,(-0.0076*'Temperature Profiles'!Q51+0.1245)*1000,0)</f>
        <v>0</v>
      </c>
      <c r="BU52" s="110">
        <v>0.48958333333333298</v>
      </c>
      <c r="BV52" s="211">
        <f>IF('Temperature Profiles'!Q51&lt;16,(-0.01*'Temperature Profiles'!Q51+0.167)*1000,0)</f>
        <v>0</v>
      </c>
      <c r="BW52" s="21"/>
      <c r="BX52" s="110">
        <v>0.48958333333333298</v>
      </c>
      <c r="BY52" s="211">
        <f>IF('Temperature Profiles'!V51&lt;16,(-0.0037*'Temperature Profiles'!V51+0.0664)*1000,0)</f>
        <v>0</v>
      </c>
      <c r="BZ52" s="110">
        <v>0.48958333333333298</v>
      </c>
      <c r="CA52" s="211">
        <f>IF('Temperature Profiles'!V51&lt;16,(-0.0076*'Temperature Profiles'!V51+0.1245)*1000,0)</f>
        <v>0</v>
      </c>
      <c r="CB52" s="110">
        <v>0.48958333333333298</v>
      </c>
      <c r="CC52" s="211">
        <f>IF('Temperature Profiles'!V51&lt;16,(-0.01*'Temperature Profiles'!V51+0.167)*1000,0)</f>
        <v>0</v>
      </c>
      <c r="CD52" s="21"/>
      <c r="CE52" s="110">
        <v>0.48958333333333298</v>
      </c>
      <c r="CF52" s="211">
        <f>IF('Temperature Profiles'!AA51&lt;16,(-0.0037*'Temperature Profiles'!AA51+0.0664)*1000,0)</f>
        <v>95.96916666666668</v>
      </c>
      <c r="CG52" s="110">
        <v>0.48958333333333298</v>
      </c>
      <c r="CH52" s="178">
        <f>IF('Temperature Profiles'!AA51&lt;16,(-0.0076*'Temperature Profiles'!AA51+0.1245)*1000,0)</f>
        <v>185.23666666666665</v>
      </c>
      <c r="CI52" s="110">
        <v>0.48958333333333298</v>
      </c>
      <c r="CJ52" s="211">
        <f>IF('Temperature Profiles'!AA51&lt;16,(-0.01*'Temperature Profiles'!AA51+0.167)*1000,0)</f>
        <v>246.91666666666669</v>
      </c>
      <c r="CK52" s="21"/>
      <c r="CL52" s="110">
        <v>0.48958333333333298</v>
      </c>
      <c r="CM52" s="211">
        <f>IF('Temperature Profiles'!AF51&lt;16,(-0.0037*'Temperature Profiles'!AF51+0.0664)*1000,0)</f>
        <v>0</v>
      </c>
      <c r="CN52" s="110">
        <v>0.48958333333333298</v>
      </c>
      <c r="CO52" s="178">
        <f>IF('Temperature Profiles'!AF51&lt;16,(-0.0076*'Temperature Profiles'!AF51+0.1245)*1000,0)</f>
        <v>0</v>
      </c>
      <c r="CP52" s="110">
        <v>0.48958333333333298</v>
      </c>
      <c r="CQ52" s="211">
        <f>IF('Temperature Profiles'!AF51&lt;16,(-0.01*'Temperature Profiles'!AF51+0.167)*1000,0)</f>
        <v>0</v>
      </c>
      <c r="CR52" s="21"/>
      <c r="CS52" s="110">
        <v>0.48958333333333298</v>
      </c>
      <c r="CT52" s="211"/>
      <c r="CU52" s="21"/>
      <c r="CV52" s="110">
        <v>0.48958333333333298</v>
      </c>
      <c r="CW52" s="264"/>
      <c r="CY52" s="260">
        <v>0.48958333333333298</v>
      </c>
      <c r="CZ52" s="178">
        <f>IF('Temperature Profiles'!G51&gt;18,(0.0024*('Temperature Profiles'!G51^2)-0.0581*'Temperature Profiles'!G51+0.3293)*1000,IF('Temperature Profiles'!G51&lt;17,(0.0022*('Temperature Profiles'!G51^2)-0.0874*'Temperature Profiles'!G51+0.9301)*1000,0))</f>
        <v>111.925</v>
      </c>
      <c r="DA52" s="110">
        <v>0.48958333333333298</v>
      </c>
      <c r="DB52" s="263">
        <f>IF('Temperature Profiles'!G51&gt;18,(0.0043*('Temperature Profiles'!G51^2)-0.1116*'Temperature Profiles'!G51+0.6576)*1000,IF('Temperature Profiles'!G51&lt;17,(0.0053*('Temperature Profiles'!G51^2)-0.1876*'Temperature Profiles'!G51+1.7649)*1000,0))</f>
        <v>121.17986111111124</v>
      </c>
      <c r="DC52" s="110">
        <v>0.48958333333333298</v>
      </c>
      <c r="DD52" s="211">
        <f>IF('Temperature Profiles'!G51&gt;18,(0.0057*('Temperature Profiles'!G51^2)-0.1509*'Temperature Profiles'!G51+0.8935)*1000,IF('Temperature Profiles'!G51&lt;17,(0.0072*('Temperature Profiles'!G51^2)-0.254*'Temperature Profiles'!G51+2.3952)*1000,0))</f>
        <v>124.36458333333312</v>
      </c>
      <c r="DE52" s="21"/>
      <c r="DF52" s="110">
        <v>0.48958333333333298</v>
      </c>
      <c r="DG52" s="209">
        <f>IF('Temperature Profiles'!L51&gt;18,(0.0024*('Temperature Profiles'!L51^2)-0.0581*'Temperature Profiles'!L51+0.3293)*1000,IF('Temperature Profiles'!L51&lt;17,(0.0022*('Temperature Profiles'!L51^2)-0.0874*'Temperature Profiles'!L51+0.9301)*1000,0))</f>
        <v>474.4743333333335</v>
      </c>
      <c r="DH52" s="110">
        <v>0.48958333333333298</v>
      </c>
      <c r="DI52" s="209">
        <f>IF('Temperature Profiles'!L51&gt;18,(0.0043*('Temperature Profiles'!L51^2)-0.1116*'Temperature Profiles'!L51+0.6576)*1000,IF('Temperature Profiles'!L51&lt;17,(0.0053*('Temperature Profiles'!L51^2)-0.1876*'Temperature Profiles'!L51+1.7649)*1000,0))</f>
        <v>718.90613194444518</v>
      </c>
      <c r="DJ52" s="110">
        <v>0.48958333333333298</v>
      </c>
      <c r="DK52" s="211">
        <f>IF('Temperature Profiles'!L51&gt;18,(0.0057*('Temperature Profiles'!L51^2)-0.1509*'Temperature Profiles'!L51+0.8935)*1000,IF('Temperature Profiles'!L51&lt;17,(0.0072*('Temperature Profiles'!L51^2)-0.254*'Temperature Profiles'!L51+2.3952)*1000,0))</f>
        <v>896.2153958333339</v>
      </c>
      <c r="DL52" s="21"/>
      <c r="DM52" s="110">
        <v>0.48958333333333298</v>
      </c>
      <c r="DN52" s="209">
        <f>IF('Temperature Profiles'!Q51&gt;18,(0.0024*('Temperature Profiles'!Q51^2)-0.0581*'Temperature Profiles'!Q51+0.3293)*1000,IF('Temperature Profiles'!Q51&lt;17,(0.0022*('Temperature Profiles'!Q51^2)-0.0874*'Temperature Profiles'!Q51+0.9301)*1000,0))</f>
        <v>833.84433333333322</v>
      </c>
      <c r="DO52" s="110">
        <v>0.48958333333333298</v>
      </c>
      <c r="DP52" s="209">
        <f>IF('Temperature Profiles'!Q51&gt;18,(0.0043*('Temperature Profiles'!Q51^2)-0.1116*'Temperature Profiles'!Q51+0.6576)*1000,IF('Temperature Profiles'!Q51&lt;17,(0.0053*('Temperature Profiles'!Q51^2)-0.1876*'Temperature Profiles'!Q51+1.7649)*1000,0))</f>
        <v>1329.0086319444442</v>
      </c>
      <c r="DQ52" s="110">
        <v>0.48958333333333298</v>
      </c>
      <c r="DR52" s="211">
        <f>IF('Temperature Profiles'!Q51&gt;18,(0.0057*('Temperature Profiles'!Q51^2)-0.1509*'Temperature Profiles'!Q51+0.8935)*1000,IF('Temperature Profiles'!Q51&lt;17,(0.0072*('Temperature Profiles'!Q51^2)-0.254*'Temperature Profiles'!Q51+2.3952)*1000,0))</f>
        <v>1691.6128958333325</v>
      </c>
      <c r="DS52" s="21"/>
      <c r="DT52" s="110">
        <v>0.48958333333333298</v>
      </c>
      <c r="DU52" s="209">
        <f>IF('Temperature Profiles'!V51&gt;18,(0.0024*('Temperature Profiles'!V51^2)-0.0581*'Temperature Profiles'!V51+0.3293)*1000,IF('Temperature Profiles'!V51&lt;17,(0.0022*('Temperature Profiles'!V51^2)-0.0874*'Temperature Profiles'!V51+0.9301)*1000,0))</f>
        <v>0</v>
      </c>
      <c r="DV52" s="110">
        <v>0.48958333333333298</v>
      </c>
      <c r="DW52" s="209">
        <f>IF('Temperature Profiles'!V51&gt;18,(0.0043*('Temperature Profiles'!V51^2)-0.1116*'Temperature Profiles'!V51+0.6576)*1000,IF('Temperature Profiles'!V51&lt;17,(0.0053*('Temperature Profiles'!V51^2)-0.1876*'Temperature Profiles'!V51+1.7649)*1000,0))</f>
        <v>0</v>
      </c>
      <c r="DX52" s="110">
        <v>0.48958333333333298</v>
      </c>
      <c r="DY52" s="211">
        <f>IF('Temperature Profiles'!V51&gt;18,(0.0057*('Temperature Profiles'!V51^2)-0.1509*'Temperature Profiles'!V51+0.8935)*1000,IF('Temperature Profiles'!V51&lt;17,(0.0072*('Temperature Profiles'!V51^2)-0.254*'Temperature Profiles'!V51+2.3952)*1000,0))</f>
        <v>0</v>
      </c>
      <c r="DZ52" s="21"/>
      <c r="EA52" s="110">
        <v>0.48958333333333298</v>
      </c>
      <c r="EB52" s="209">
        <f>IF('Temperature Profiles'!AA150&gt;18,(0.0024*('Temperature Profiles'!AA150^2)-0.0581*'Temperature Profiles'!AA150+0.3293)*1000,IF('Temperature Profiles'!AA150&lt;17,(0.0022*('Temperature Profiles'!AA150^2)-0.0874*'Temperature Profiles'!AA150+0.9301)*1000,0))</f>
        <v>465.30737500000004</v>
      </c>
      <c r="EC52" s="110">
        <v>0.48958333333333298</v>
      </c>
      <c r="ED52" s="209">
        <f>IF('Temperature Profiles'!AA150&gt;18,(0.0043*('Temperature Profiles'!AA150^2)-0.1116*'Temperature Profiles'!AA150+0.6576)*1000,IF('Temperature Profiles'!AA150&lt;17,(0.0053*('Temperature Profiles'!AA150^2)-0.1876*'Temperature Profiles'!AA150+1.7649)*1000,0))</f>
        <v>790.35981249999998</v>
      </c>
      <c r="EE52" s="110">
        <v>0.48958333333333298</v>
      </c>
      <c r="EF52" s="211">
        <f>IF('Temperature Profiles'!AA150&gt;18,(0.0057*('Temperature Profiles'!AA150^2)-0.1509*'Temperature Profiles'!AA150+0.8935)*1000,IF('Temperature Profiles'!AA150&lt;17,(0.0072*('Temperature Profiles'!AA150^2)-0.254*'Temperature Profiles'!AA150+2.3952)*1000,0))</f>
        <v>1076.6904999999999</v>
      </c>
      <c r="EG52" s="21"/>
      <c r="EH52" s="110">
        <v>0.48958333333333298</v>
      </c>
      <c r="EI52" s="211">
        <f>IF('Temperature Profiles'!AF51&gt;18,(0.0024*('Temperature Profiles'!AF51^2)-0.0581*'Temperature Profiles'!AF51+0.3293)*1000,IF('Temperature Profiles'!AF51&lt;17,(0.0022*('Temperature Profiles'!AF51^2)-0.0874*'Temperature Profiles'!AF51+0.9301)*1000,0))</f>
        <v>912.63933333333318</v>
      </c>
      <c r="EJ52" s="110">
        <v>0.48958333333333298</v>
      </c>
      <c r="EK52" s="211">
        <f>IF('Temperature Profiles'!AF51&gt;18,(0.0043*('Temperature Profiles'!AF51^2)-0.1116*'Temperature Profiles'!AF51+0.6576)*1000,IF('Temperature Profiles'!AF51&lt;17,(0.0053*('Temperature Profiles'!AF51^2)-0.1876*'Temperature Profiles'!AF51+1.7649)*1000,0))</f>
        <v>1463.8044652777783</v>
      </c>
      <c r="EL52" s="110">
        <v>0.48958333333333298</v>
      </c>
      <c r="EM52" s="211">
        <f>IF('Temperature Profiles'!AF51&gt;18,(0.0057*('Temperature Profiles'!AF51^2)-0.1509*'Temperature Profiles'!AF51+0.8935)*1000,IF('Temperature Profiles'!AF51&lt;17,(0.0072*('Temperature Profiles'!AF51^2)-0.254*'Temperature Profiles'!AF51+2.3952)*1000,0))</f>
        <v>1867.7753958333337</v>
      </c>
      <c r="EN52" s="21"/>
      <c r="EO52" s="110">
        <v>0.48958333333333298</v>
      </c>
      <c r="EP52" s="211"/>
      <c r="EQ52" s="21"/>
      <c r="ER52" s="110">
        <v>0.48958333333333298</v>
      </c>
      <c r="ES52" s="264"/>
      <c r="EU52" s="260">
        <v>0.48958333333333298</v>
      </c>
      <c r="EV52" s="209">
        <f>IF('Temperature Profiles'!AA150&gt;18,(0.0024*('Temperature Profiles'!AA150^2)-0.0581*'Temperature Profiles'!AA150+0.3293)*1000,IF('Temperature Profiles'!AA150&lt;17,(0.0022*('Temperature Profiles'!AA150^2)-0.0874*'Temperature Profiles'!AA150+0.9301)*1000,0))</f>
        <v>465.30737500000004</v>
      </c>
      <c r="EW52" s="110">
        <v>0.48958333333333298</v>
      </c>
      <c r="EX52" s="209">
        <f>IF('Temperature Profiles'!AA150&gt;18,(0.0043*('Temperature Profiles'!AA150^2)-0.1116*'Temperature Profiles'!AA150+0.6576)*1000,IF('Temperature Profiles'!AA150&lt;17,(0.0053*('Temperature Profiles'!AA150^2)-0.1876*'Temperature Profiles'!AA150+1.7649)*1000,0))</f>
        <v>790.35981249999998</v>
      </c>
      <c r="EY52" s="110">
        <v>0.48958333333333298</v>
      </c>
      <c r="EZ52" s="264">
        <f>IF('Temperature Profiles'!AA150&gt;18,(0.0057*('Temperature Profiles'!AA150^2)-0.1509*'Temperature Profiles'!AA150+0.8935)*1000,IF('Temperature Profiles'!AA150&lt;17,(0.0072*('Temperature Profiles'!AA150^2)-0.254*'Temperature Profiles'!AA150+2.3952)*1000,0))</f>
        <v>1076.6904999999999</v>
      </c>
    </row>
    <row r="53" spans="1:156" x14ac:dyDescent="0.3">
      <c r="A53" s="108">
        <v>0.48958333333333298</v>
      </c>
      <c r="B53" s="226">
        <f t="shared" si="0"/>
        <v>0</v>
      </c>
      <c r="C53" s="21">
        <f t="shared" si="1"/>
        <v>246.91666666666669</v>
      </c>
      <c r="D53" s="20">
        <f t="shared" si="2"/>
        <v>1076.6904999999999</v>
      </c>
      <c r="E53" s="20">
        <f t="shared" si="3"/>
        <v>1076.6904999999999</v>
      </c>
      <c r="G53" s="260">
        <v>0.5</v>
      </c>
      <c r="H53" s="211">
        <f>IF('Temperature Profiles'!G52&gt;17,(0.0029*('Temperature Profiles'!G52^2) - 0.0863*'Temperature Profiles'!G52 + 0.6808)*1000,0)</f>
        <v>137.01099999999988</v>
      </c>
      <c r="I53" s="110">
        <v>0.5</v>
      </c>
      <c r="J53" s="211">
        <f>IF('Temperature Profiles'!G52&gt;17,(0.005*('Temperature Profiles'!G52^2) - 0.1517*'Temperature Profiles'!G52 + 1.1702)*1000,0)</f>
        <v>172.46000000000006</v>
      </c>
      <c r="K53" s="110">
        <v>0.5</v>
      </c>
      <c r="L53" s="211">
        <f>IF('Temperature Profiles'!G52&gt;17,(0.0068*('Temperature Profiles'!G52^2) - 0.2129*'Temperature Profiles'!G52 + 1.6904)*1000,0)</f>
        <v>197.10200000000012</v>
      </c>
      <c r="M53" s="21"/>
      <c r="N53" s="110">
        <v>0.5</v>
      </c>
      <c r="O53" s="211">
        <f>IF('Temperature Profiles'!L52&gt;17,(0.0029*('Temperature Profiles'!L52^2) - 0.0863*'Temperature Profiles'!L52 + 0.6808)*1000,0)</f>
        <v>493.38399999999973</v>
      </c>
      <c r="P53" s="110">
        <v>0.5</v>
      </c>
      <c r="Q53" s="211">
        <f>IF('Temperature Profiles'!L52&gt;17,(0.005*('Temperature Profiles'!L52^2) - 0.1517*'Temperature Profiles'!L52 + 1.1702)*1000,0)</f>
        <v>767.4199999999995</v>
      </c>
      <c r="R53" s="110">
        <v>0.5</v>
      </c>
      <c r="S53" s="211">
        <f>IF('Temperature Profiles'!L52&gt;17,(0.0068*('Temperature Profiles'!L52^2) - 0.2129*'Temperature Profiles'!L52 + 1.6904)*1000,0)</f>
        <v>962.10799999999927</v>
      </c>
      <c r="T53" s="21"/>
      <c r="U53" s="110">
        <v>0.5</v>
      </c>
      <c r="V53" s="211">
        <f>IF('Temperature Profiles'!Q52&gt;17,(0.0029*('Temperature Profiles'!Q52^2) - 0.0863*'Temperature Profiles'!Q52 + 0.6808)*1000,0)</f>
        <v>839.07186805555546</v>
      </c>
      <c r="W53" s="110">
        <v>0.5</v>
      </c>
      <c r="X53" s="211">
        <f>IF('Temperature Profiles'!Q52&gt;17,(0.005*('Temperature Profiles'!Q52^2) - 0.1517*'Temperature Profiles'!Q52 + 1.1702)*1000,0)</f>
        <v>1351.5395138888891</v>
      </c>
      <c r="Y53" s="110">
        <v>0.5</v>
      </c>
      <c r="Z53" s="211">
        <f>IF('Temperature Profiles'!Q52&gt;17,(0.0068*('Temperature Profiles'!Q52^2) - 0.2129*'Temperature Profiles'!Q52 + 1.6904)*1000,0)</f>
        <v>1729.5546388888893</v>
      </c>
      <c r="AA53" s="21"/>
      <c r="AB53" s="110">
        <v>0.5</v>
      </c>
      <c r="AC53" s="211">
        <f>IF('Temperature Profiles'!V52&gt;17,(0.0029*('Temperature Profiles'!V52^2) - 0.0863*'Temperature Profiles'!V52 + 0.6808)*1000,0)</f>
        <v>64.206868055555418</v>
      </c>
      <c r="AD53" s="110">
        <v>0.5</v>
      </c>
      <c r="AE53" s="211">
        <f>IF('Temperature Profiles'!V52&gt;17,(0.005*('Temperature Profiles'!V52^2) - 0.1517*'Temperature Profiles'!V52 + 1.1702)*1000,0)</f>
        <v>55.244513888888847</v>
      </c>
      <c r="AF53" s="110">
        <v>0.5</v>
      </c>
      <c r="AG53" s="211">
        <f>IF('Temperature Profiles'!V52&gt;17,(0.0068*('Temperature Profiles'!V52^2) - 0.2129*'Temperature Profiles'!V52 + 1.6904)*1000,0)</f>
        <v>56.519638888888664</v>
      </c>
      <c r="AH53" s="21"/>
      <c r="AI53" s="110">
        <v>0.5</v>
      </c>
      <c r="AJ53" s="211">
        <f>IF('Temperature Profiles'!AA52&gt;17,(0.0029*('Temperature Profiles'!AA52^2) - 0.0863*'Temperature Profiles'!AA52 + 0.6808)*1000,0)</f>
        <v>0</v>
      </c>
      <c r="AK53" s="110">
        <v>0.5</v>
      </c>
      <c r="AL53" s="211">
        <f>IF('Temperature Profiles'!AA52&gt;17,(0.005*('Temperature Profiles'!AA52^2) - 0.1517*'Temperature Profiles'!AA52 + 1.1701)*1000,0)</f>
        <v>0</v>
      </c>
      <c r="AM53" s="110">
        <v>0.5</v>
      </c>
      <c r="AN53" s="211">
        <f>IF('Temperature Profiles'!AA52&gt;17,(0.0068*('Temperature Profiles'!AA52^2) - 0.2129*'Temperature Profiles'!AA52 + 1.6904)*1000,0)</f>
        <v>0</v>
      </c>
      <c r="AO53" s="21"/>
      <c r="AP53" s="110">
        <v>0.5</v>
      </c>
      <c r="AQ53" s="211">
        <f>IF('Temperature Profiles'!AF52&gt;17,(0.0029*('Temperature Profiles'!AF52^2) - 0.0863*'Temperature Profiles'!AF52 + 0.6808)*1000,0)</f>
        <v>1085.1828124999997</v>
      </c>
      <c r="AR53" s="110">
        <v>0.5</v>
      </c>
      <c r="AS53" s="183">
        <f>IF('Temperature Profiles'!AF52&gt;17,(0.005*('Temperature Profiles'!AF52^2) - 0.1517*'Temperature Profiles'!AF52 + 1.1702)*1000,0)</f>
        <v>1768.9406249999995</v>
      </c>
      <c r="AT53" s="110">
        <v>0.5</v>
      </c>
      <c r="AU53" s="211">
        <f>IF('Temperature Profiles'!AF52&gt;17,(0.0068*('Temperature Profiles'!AF52^2) - 0.2129*'Temperature Profiles'!AF52 + 1.6904)*1000,0)</f>
        <v>2281.5187499999997</v>
      </c>
      <c r="AV53" s="21"/>
      <c r="AW53" s="110">
        <v>0.5</v>
      </c>
      <c r="AX53" s="211"/>
      <c r="AY53" s="21"/>
      <c r="AZ53" s="110">
        <v>0.5</v>
      </c>
      <c r="BA53" s="264"/>
      <c r="BC53" s="260">
        <v>0.5</v>
      </c>
      <c r="BD53" s="211">
        <f>IF('Temperature Profiles'!G52&lt;16,(-0.0037*'Temperature Profiles'!G52+0.0664)*1000,0)</f>
        <v>0</v>
      </c>
      <c r="BE53" s="110">
        <v>0.5</v>
      </c>
      <c r="BF53" s="211">
        <f>IF('Temperature Profiles'!G52&lt;16,(-0.0076*'Temperature Profiles'!G52+0.1245)*1000,0)</f>
        <v>0</v>
      </c>
      <c r="BG53" s="110">
        <v>0.5</v>
      </c>
      <c r="BH53" s="211">
        <f>IF('Temperature Profiles'!G52&lt;16,(-0.01*'Temperature Profiles'!G52+0.167)*1000,0)</f>
        <v>0</v>
      </c>
      <c r="BI53" s="21"/>
      <c r="BJ53" s="110">
        <v>0.5</v>
      </c>
      <c r="BK53" s="211">
        <f>IF('Temperature Profiles'!L52&lt;16,(-0.0037*'Temperature Profiles'!L52+0.0664)*1000,0)</f>
        <v>0</v>
      </c>
      <c r="BL53" s="110">
        <v>0.5</v>
      </c>
      <c r="BM53" s="211">
        <f>IF('Temperature Profiles'!L52&lt;16,(-0.0076*'Temperature Profiles'!L52+0.1245)*1000,0)</f>
        <v>0</v>
      </c>
      <c r="BN53" s="110">
        <v>0.5</v>
      </c>
      <c r="BO53" s="211">
        <f>IF('Temperature Profiles'!L52&lt;16,(-0.01*'Temperature Profiles'!L52+0.167)*1000,0)</f>
        <v>0</v>
      </c>
      <c r="BP53" s="21"/>
      <c r="BQ53" s="110">
        <v>0.5</v>
      </c>
      <c r="BR53" s="211">
        <f>IF('Temperature Profiles'!Q52&lt;16,(-0.0037*'Temperature Profiles'!Q52+0.0664)*1000,0)</f>
        <v>0</v>
      </c>
      <c r="BS53" s="110">
        <v>0.5</v>
      </c>
      <c r="BT53" s="211">
        <f>IF('Temperature Profiles'!Q52&lt;16,(-0.0076*'Temperature Profiles'!Q52+0.1245)*1000,0)</f>
        <v>0</v>
      </c>
      <c r="BU53" s="110">
        <v>0.5</v>
      </c>
      <c r="BV53" s="211">
        <f>IF('Temperature Profiles'!Q52&lt;16,(-0.01*'Temperature Profiles'!Q52+0.167)*1000,0)</f>
        <v>0</v>
      </c>
      <c r="BW53" s="21"/>
      <c r="BX53" s="110">
        <v>0.5</v>
      </c>
      <c r="BY53" s="211">
        <f>IF('Temperature Profiles'!V52&lt;16,(-0.0037*'Temperature Profiles'!V52+0.0664)*1000,0)</f>
        <v>0</v>
      </c>
      <c r="BZ53" s="110">
        <v>0.5</v>
      </c>
      <c r="CA53" s="211">
        <f>IF('Temperature Profiles'!V52&lt;16,(-0.0076*'Temperature Profiles'!V52+0.1245)*1000,0)</f>
        <v>0</v>
      </c>
      <c r="CB53" s="110">
        <v>0.5</v>
      </c>
      <c r="CC53" s="211">
        <f>IF('Temperature Profiles'!V52&lt;16,(-0.01*'Temperature Profiles'!V52+0.167)*1000,0)</f>
        <v>0</v>
      </c>
      <c r="CD53" s="21"/>
      <c r="CE53" s="110">
        <v>0.5</v>
      </c>
      <c r="CF53" s="211">
        <f>IF('Temperature Profiles'!AA52&lt;16,(-0.0037*'Temperature Profiles'!AA52+0.0664)*1000,0)</f>
        <v>89.370833333333337</v>
      </c>
      <c r="CG53" s="110">
        <v>0.5</v>
      </c>
      <c r="CH53" s="178">
        <f>IF('Temperature Profiles'!AA52&lt;16,(-0.0076*'Temperature Profiles'!AA52+0.1245)*1000,0)</f>
        <v>171.68333333333337</v>
      </c>
      <c r="CI53" s="110">
        <v>0.5</v>
      </c>
      <c r="CJ53" s="211">
        <f>IF('Temperature Profiles'!AA52&lt;16,(-0.01*'Temperature Profiles'!AA52+0.167)*1000,0)</f>
        <v>229.08333333333337</v>
      </c>
      <c r="CK53" s="21"/>
      <c r="CL53" s="110">
        <v>0.5</v>
      </c>
      <c r="CM53" s="211">
        <f>IF('Temperature Profiles'!AF52&lt;16,(-0.0037*'Temperature Profiles'!AF52+0.0664)*1000,0)</f>
        <v>0</v>
      </c>
      <c r="CN53" s="110">
        <v>0.5</v>
      </c>
      <c r="CO53" s="178">
        <f>IF('Temperature Profiles'!AF52&lt;16,(-0.0076*'Temperature Profiles'!AF52+0.1245)*1000,0)</f>
        <v>0</v>
      </c>
      <c r="CP53" s="110">
        <v>0.5</v>
      </c>
      <c r="CQ53" s="211">
        <f>IF('Temperature Profiles'!AF52&lt;16,(-0.01*'Temperature Profiles'!AF52+0.167)*1000,0)</f>
        <v>0</v>
      </c>
      <c r="CR53" s="21"/>
      <c r="CS53" s="110">
        <v>0.5</v>
      </c>
      <c r="CT53" s="211"/>
      <c r="CU53" s="21"/>
      <c r="CV53" s="110">
        <v>0.5</v>
      </c>
      <c r="CW53" s="264"/>
      <c r="CY53" s="260">
        <v>0.5</v>
      </c>
      <c r="CZ53" s="178">
        <f>IF('Temperature Profiles'!G52&gt;18,(0.0024*('Temperature Profiles'!G52^2)-0.0581*'Temperature Profiles'!G52+0.3293)*1000,IF('Temperature Profiles'!G52&lt;17,(0.0022*('Temperature Profiles'!G52^2)-0.0874*'Temperature Profiles'!G52+0.9301)*1000,0))</f>
        <v>155.00600000000003</v>
      </c>
      <c r="DA53" s="110">
        <v>0.5</v>
      </c>
      <c r="DB53" s="263">
        <f>IF('Temperature Profiles'!G52&gt;18,(0.0043*('Temperature Profiles'!G52^2)-0.1116*'Temperature Profiles'!G52+0.6576)*1000,IF('Temperature Profiles'!G52&lt;17,(0.0053*('Temperature Profiles'!G52^2)-0.1876*'Temperature Profiles'!G52+1.7649)*1000,0))</f>
        <v>189.98700000000014</v>
      </c>
      <c r="DC53" s="110">
        <v>0.5</v>
      </c>
      <c r="DD53" s="211">
        <f>IF('Temperature Profiles'!G52&gt;18,(0.0057*('Temperature Profiles'!G52^2)-0.1509*'Temperature Profiles'!G52+0.8935)*1000,IF('Temperature Profiles'!G52&lt;17,(0.0072*('Temperature Profiles'!G52^2)-0.254*'Temperature Profiles'!G52+2.3952)*1000,0))</f>
        <v>212.26300000000055</v>
      </c>
      <c r="DE53" s="21"/>
      <c r="DF53" s="110">
        <v>0.5</v>
      </c>
      <c r="DG53" s="209">
        <f>IF('Temperature Profiles'!L52&gt;18,(0.0024*('Temperature Profiles'!L52^2)-0.0581*'Temperature Profiles'!L52+0.3293)*1000,IF('Temperature Profiles'!L52&lt;17,(0.0022*('Temperature Profiles'!L52^2)-0.0874*'Temperature Profiles'!L52+0.9301)*1000,0))</f>
        <v>539.18399999999963</v>
      </c>
      <c r="DH53" s="110">
        <v>0.5</v>
      </c>
      <c r="DI53" s="209">
        <f>IF('Temperature Profiles'!L52&gt;18,(0.0043*('Temperature Profiles'!L52^2)-0.1116*'Temperature Profiles'!L52+0.6576)*1000,IF('Temperature Profiles'!L52&lt;17,(0.0053*('Temperature Profiles'!L52^2)-0.1876*'Temperature Profiles'!L52+1.7649)*1000,0))</f>
        <v>828.02799999999934</v>
      </c>
      <c r="DJ53" s="110">
        <v>0.5</v>
      </c>
      <c r="DK53" s="211">
        <f>IF('Temperature Profiles'!L52&gt;18,(0.0057*('Temperature Profiles'!L52^2)-0.1509*'Temperature Profiles'!L52+0.8935)*1000,IF('Temperature Profiles'!L52&lt;17,(0.0072*('Temperature Profiles'!L52^2)-0.254*'Temperature Profiles'!L52+2.3952)*1000,0))</f>
        <v>1038.1719999999989</v>
      </c>
      <c r="DL53" s="21"/>
      <c r="DM53" s="110">
        <v>0.5</v>
      </c>
      <c r="DN53" s="209">
        <f>IF('Temperature Profiles'!Q52&gt;18,(0.0024*('Temperature Profiles'!Q52^2)-0.0581*'Temperature Profiles'!Q52+0.3293)*1000,IF('Temperature Profiles'!Q52&lt;17,(0.0022*('Temperature Profiles'!Q52^2)-0.0874*'Temperature Profiles'!Q52+0.9301)*1000,0))</f>
        <v>879.7743333333334</v>
      </c>
      <c r="DO53" s="110">
        <v>0.5</v>
      </c>
      <c r="DP53" s="209">
        <f>IF('Temperature Profiles'!Q52&gt;18,(0.0043*('Temperature Profiles'!Q52^2)-0.1116*'Temperature Profiles'!Q52+0.6576)*1000,IF('Temperature Profiles'!Q52&lt;17,(0.0053*('Temperature Profiles'!Q52^2)-0.1876*'Temperature Profiles'!Q52+1.7649)*1000,0))</f>
        <v>1407.5477986111116</v>
      </c>
      <c r="DQ53" s="110">
        <v>0.5</v>
      </c>
      <c r="DR53" s="211">
        <f>IF('Temperature Profiles'!Q52&gt;18,(0.0057*('Temperature Profiles'!Q52^2)-0.1509*'Temperature Profiles'!Q52+0.8935)*1000,IF('Temperature Profiles'!Q52&lt;17,(0.0072*('Temperature Profiles'!Q52^2)-0.254*'Temperature Profiles'!Q52+2.3952)*1000,0))</f>
        <v>1794.2403958333339</v>
      </c>
      <c r="DS53" s="21"/>
      <c r="DT53" s="110">
        <v>0.5</v>
      </c>
      <c r="DU53" s="209">
        <f>IF('Temperature Profiles'!V52&gt;18,(0.0024*('Temperature Profiles'!V52^2)-0.0581*'Temperature Profiles'!V52+0.3293)*1000,IF('Temperature Profiles'!V52&lt;17,(0.0022*('Temperature Profiles'!V52^2)-0.0874*'Temperature Profiles'!V52+0.9301)*1000,0))</f>
        <v>0</v>
      </c>
      <c r="DV53" s="110">
        <v>0.5</v>
      </c>
      <c r="DW53" s="209">
        <f>IF('Temperature Profiles'!V52&gt;18,(0.0043*('Temperature Profiles'!V52^2)-0.1116*'Temperature Profiles'!V52+0.6576)*1000,IF('Temperature Profiles'!V52&lt;17,(0.0053*('Temperature Profiles'!V52^2)-0.1876*'Temperature Profiles'!V52+1.7649)*1000,0))</f>
        <v>0</v>
      </c>
      <c r="DX53" s="110">
        <v>0.5</v>
      </c>
      <c r="DY53" s="211">
        <f>IF('Temperature Profiles'!V52&gt;18,(0.0057*('Temperature Profiles'!V52^2)-0.1509*'Temperature Profiles'!V52+0.8935)*1000,IF('Temperature Profiles'!V52&lt;17,(0.0072*('Temperature Profiles'!V52^2)-0.254*'Temperature Profiles'!V52+2.3952)*1000,0))</f>
        <v>0</v>
      </c>
      <c r="DZ53" s="21"/>
      <c r="EA53" s="110">
        <v>0.5</v>
      </c>
      <c r="EB53" s="209">
        <f>IF('Temperature Profiles'!AA151&gt;18,(0.0024*('Temperature Profiles'!AA151^2)-0.0581*'Temperature Profiles'!AA151+0.3293)*1000,IF('Temperature Profiles'!AA151&lt;17,(0.0022*('Temperature Profiles'!AA151^2)-0.0874*'Temperature Profiles'!AA151+0.9301)*1000,0))</f>
        <v>388.00415277777779</v>
      </c>
      <c r="EC53" s="110">
        <v>0.5</v>
      </c>
      <c r="ED53" s="209">
        <f>IF('Temperature Profiles'!AA151&gt;18,(0.0043*('Temperature Profiles'!AA151^2)-0.1116*'Temperature Profiles'!AA151+0.6576)*1000,IF('Temperature Profiles'!AA151&lt;17,(0.0053*('Temperature Profiles'!AA151^2)-0.1876*'Temperature Profiles'!AA151+1.7649)*1000,0))</f>
        <v>635.50053472222248</v>
      </c>
      <c r="EE53" s="110">
        <v>0.5</v>
      </c>
      <c r="EF53" s="211">
        <f>IF('Temperature Profiles'!AA151&gt;18,(0.0057*('Temperature Profiles'!AA151^2)-0.1509*'Temperature Profiles'!AA151+0.8935)*1000,IF('Temperature Profiles'!AA151&lt;17,(0.0072*('Temperature Profiles'!AA151^2)-0.254*'Temperature Profiles'!AA151+2.3952)*1000,0))</f>
        <v>867.48116666666681</v>
      </c>
      <c r="EG53" s="21"/>
      <c r="EH53" s="110">
        <v>0.5</v>
      </c>
      <c r="EI53" s="211">
        <f>IF('Temperature Profiles'!AF52&gt;18,(0.0024*('Temperature Profiles'!AF52^2)-0.0581*'Temperature Profiles'!AF52+0.3293)*1000,IF('Temperature Profiles'!AF52&lt;17,(0.0022*('Temperature Profiles'!AF52^2)-0.0874*'Temperature Profiles'!AF52+0.9301)*1000,0))</f>
        <v>1115.2</v>
      </c>
      <c r="EJ53" s="110">
        <v>0.5</v>
      </c>
      <c r="EK53" s="211">
        <f>IF('Temperature Profiles'!AF52&gt;18,(0.0043*('Temperature Profiles'!AF52^2)-0.1116*'Temperature Profiles'!AF52+0.6576)*1000,IF('Temperature Profiles'!AF52&lt;17,(0.0053*('Temperature Profiles'!AF52^2)-0.1876*'Temperature Profiles'!AF52+1.7649)*1000,0))</f>
        <v>1811.4671874999995</v>
      </c>
      <c r="EL53" s="110">
        <v>0.5</v>
      </c>
      <c r="EM53" s="211">
        <f>IF('Temperature Profiles'!AF52&gt;18,(0.0057*('Temperature Profiles'!AF52^2)-0.1509*'Temperature Profiles'!AF52+0.8935)*1000,IF('Temperature Profiles'!AF52&lt;17,(0.0072*('Temperature Profiles'!AF52^2)-0.254*'Temperature Profiles'!AF52+2.3952)*1000,0))</f>
        <v>2322.6015624999995</v>
      </c>
      <c r="EN53" s="21"/>
      <c r="EO53" s="110">
        <v>0.5</v>
      </c>
      <c r="EP53" s="211"/>
      <c r="EQ53" s="21"/>
      <c r="ER53" s="110">
        <v>0.5</v>
      </c>
      <c r="ES53" s="264"/>
      <c r="EU53" s="260">
        <v>0.5</v>
      </c>
      <c r="EV53" s="209">
        <f>IF('Temperature Profiles'!AA151&gt;18,(0.0024*('Temperature Profiles'!AA151^2)-0.0581*'Temperature Profiles'!AA151+0.3293)*1000,IF('Temperature Profiles'!AA151&lt;17,(0.0022*('Temperature Profiles'!AA151^2)-0.0874*'Temperature Profiles'!AA151+0.9301)*1000,0))</f>
        <v>388.00415277777779</v>
      </c>
      <c r="EW53" s="110">
        <v>0.5</v>
      </c>
      <c r="EX53" s="209">
        <f>IF('Temperature Profiles'!AA151&gt;18,(0.0043*('Temperature Profiles'!AA151^2)-0.1116*'Temperature Profiles'!AA151+0.6576)*1000,IF('Temperature Profiles'!AA151&lt;17,(0.0053*('Temperature Profiles'!AA151^2)-0.1876*'Temperature Profiles'!AA151+1.7649)*1000,0))</f>
        <v>635.50053472222248</v>
      </c>
      <c r="EY53" s="110">
        <v>0.5</v>
      </c>
      <c r="EZ53" s="264">
        <f>IF('Temperature Profiles'!AA151&gt;18,(0.0057*('Temperature Profiles'!AA151^2)-0.1509*'Temperature Profiles'!AA151+0.8935)*1000,IF('Temperature Profiles'!AA151&lt;17,(0.0072*('Temperature Profiles'!AA151^2)-0.254*'Temperature Profiles'!AA151+2.3952)*1000,0))</f>
        <v>867.48116666666681</v>
      </c>
    </row>
    <row r="54" spans="1:156" x14ac:dyDescent="0.3">
      <c r="A54" s="108">
        <v>0.5</v>
      </c>
      <c r="B54" s="226">
        <f t="shared" si="0"/>
        <v>0</v>
      </c>
      <c r="C54" s="21">
        <f t="shared" si="1"/>
        <v>229.08333333333337</v>
      </c>
      <c r="D54" s="20">
        <f t="shared" si="2"/>
        <v>867.48116666666681</v>
      </c>
      <c r="E54" s="20">
        <f t="shared" si="3"/>
        <v>867.48116666666681</v>
      </c>
      <c r="G54" s="260">
        <v>0.51041666666666696</v>
      </c>
      <c r="H54" s="211">
        <f>IF('Temperature Profiles'!G53&gt;17,(0.0029*('Temperature Profiles'!G53^2) - 0.0863*'Temperature Profiles'!G53 + 0.6808)*1000,0)</f>
        <v>137.01099999999988</v>
      </c>
      <c r="I54" s="110">
        <v>0.51041666666666696</v>
      </c>
      <c r="J54" s="211">
        <f>IF('Temperature Profiles'!G53&gt;17,(0.005*('Temperature Profiles'!G53^2) - 0.1517*'Temperature Profiles'!G53 + 1.1702)*1000,0)</f>
        <v>172.46000000000006</v>
      </c>
      <c r="K54" s="110">
        <v>0.51041666666666696</v>
      </c>
      <c r="L54" s="211">
        <f>IF('Temperature Profiles'!G53&gt;17,(0.0068*('Temperature Profiles'!G53^2) - 0.2129*'Temperature Profiles'!G53 + 1.6904)*1000,0)</f>
        <v>197.10200000000012</v>
      </c>
      <c r="M54" s="21"/>
      <c r="N54" s="110">
        <v>0.51041666666666696</v>
      </c>
      <c r="O54" s="211">
        <f>IF('Temperature Profiles'!L53&gt;17,(0.0029*('Temperature Profiles'!L53^2) - 0.0863*'Temperature Profiles'!L53 + 0.6808)*1000,0)</f>
        <v>493.38399999999973</v>
      </c>
      <c r="P54" s="110">
        <v>0.51041666666666696</v>
      </c>
      <c r="Q54" s="211">
        <f>IF('Temperature Profiles'!L53&gt;17,(0.005*('Temperature Profiles'!L53^2) - 0.1517*'Temperature Profiles'!L53 + 1.1702)*1000,0)</f>
        <v>767.4199999999995</v>
      </c>
      <c r="R54" s="110">
        <v>0.51041666666666696</v>
      </c>
      <c r="S54" s="211">
        <f>IF('Temperature Profiles'!L53&gt;17,(0.0068*('Temperature Profiles'!L53^2) - 0.2129*'Temperature Profiles'!L53 + 1.6904)*1000,0)</f>
        <v>962.10799999999927</v>
      </c>
      <c r="T54" s="21"/>
      <c r="U54" s="110">
        <v>0.51041666666666696</v>
      </c>
      <c r="V54" s="211">
        <f>IF('Temperature Profiles'!Q53&gt;17,(0.0029*('Temperature Profiles'!Q53^2) - 0.0863*'Temperature Profiles'!Q53 + 0.6808)*1000,0)</f>
        <v>839.07186805555546</v>
      </c>
      <c r="W54" s="110">
        <v>0.51041666666666696</v>
      </c>
      <c r="X54" s="211">
        <f>IF('Temperature Profiles'!Q53&gt;17,(0.005*('Temperature Profiles'!Q53^2) - 0.1517*'Temperature Profiles'!Q53 + 1.1702)*1000,0)</f>
        <v>1351.5395138888891</v>
      </c>
      <c r="Y54" s="110">
        <v>0.51041666666666696</v>
      </c>
      <c r="Z54" s="211">
        <f>IF('Temperature Profiles'!Q53&gt;17,(0.0068*('Temperature Profiles'!Q53^2) - 0.2129*'Temperature Profiles'!Q53 + 1.6904)*1000,0)</f>
        <v>1729.5546388888893</v>
      </c>
      <c r="AA54" s="21"/>
      <c r="AB54" s="110">
        <v>0.51041666666666696</v>
      </c>
      <c r="AC54" s="211">
        <f>IF('Temperature Profiles'!V53&gt;17,(0.0029*('Temperature Profiles'!V53^2) - 0.0863*'Temperature Profiles'!V53 + 0.6808)*1000,0)</f>
        <v>64.206868055555418</v>
      </c>
      <c r="AD54" s="110">
        <v>0.51041666666666696</v>
      </c>
      <c r="AE54" s="211">
        <f>IF('Temperature Profiles'!V53&gt;17,(0.005*('Temperature Profiles'!V53^2) - 0.1517*'Temperature Profiles'!V53 + 1.1702)*1000,0)</f>
        <v>55.244513888888847</v>
      </c>
      <c r="AF54" s="110">
        <v>0.51041666666666696</v>
      </c>
      <c r="AG54" s="211">
        <f>IF('Temperature Profiles'!V53&gt;17,(0.0068*('Temperature Profiles'!V53^2) - 0.2129*'Temperature Profiles'!V53 + 1.6904)*1000,0)</f>
        <v>56.519638888888664</v>
      </c>
      <c r="AH54" s="21"/>
      <c r="AI54" s="110">
        <v>0.51041666666666696</v>
      </c>
      <c r="AJ54" s="211">
        <f>IF('Temperature Profiles'!AA53&gt;17,(0.0029*('Temperature Profiles'!AA53^2) - 0.0863*'Temperature Profiles'!AA53 + 0.6808)*1000,0)</f>
        <v>0</v>
      </c>
      <c r="AK54" s="110">
        <v>0.51041666666666696</v>
      </c>
      <c r="AL54" s="211">
        <f>IF('Temperature Profiles'!AA53&gt;17,(0.005*('Temperature Profiles'!AA53^2) - 0.1517*'Temperature Profiles'!AA53 + 1.1701)*1000,0)</f>
        <v>0</v>
      </c>
      <c r="AM54" s="110">
        <v>0.51041666666666696</v>
      </c>
      <c r="AN54" s="211">
        <f>IF('Temperature Profiles'!AA53&gt;17,(0.0068*('Temperature Profiles'!AA53^2) - 0.2129*'Temperature Profiles'!AA53 + 1.6904)*1000,0)</f>
        <v>0</v>
      </c>
      <c r="AO54" s="21"/>
      <c r="AP54" s="110">
        <v>0.51041666666666696</v>
      </c>
      <c r="AQ54" s="211">
        <f>IF('Temperature Profiles'!AF53&gt;17,(0.0029*('Temperature Profiles'!AF53^2) - 0.0863*'Temperature Profiles'!AF53 + 0.6808)*1000,0)</f>
        <v>1085.1828124999997</v>
      </c>
      <c r="AR54" s="110">
        <v>0.51041666666666696</v>
      </c>
      <c r="AS54" s="183">
        <f>IF('Temperature Profiles'!AF53&gt;17,(0.005*('Temperature Profiles'!AF53^2) - 0.1517*'Temperature Profiles'!AF53 + 1.1702)*1000,0)</f>
        <v>1768.9406249999995</v>
      </c>
      <c r="AT54" s="110">
        <v>0.51041666666666696</v>
      </c>
      <c r="AU54" s="211">
        <f>IF('Temperature Profiles'!AF53&gt;17,(0.0068*('Temperature Profiles'!AF53^2) - 0.2129*'Temperature Profiles'!AF53 + 1.6904)*1000,0)</f>
        <v>2281.5187499999997</v>
      </c>
      <c r="AV54" s="21"/>
      <c r="AW54" s="110">
        <v>0.51041666666666696</v>
      </c>
      <c r="AX54" s="211"/>
      <c r="AY54" s="21"/>
      <c r="AZ54" s="110">
        <v>0.51041666666666696</v>
      </c>
      <c r="BA54" s="264"/>
      <c r="BC54" s="260">
        <v>0.51041666666666696</v>
      </c>
      <c r="BD54" s="211">
        <f>IF('Temperature Profiles'!G53&lt;16,(-0.0037*'Temperature Profiles'!G53+0.0664)*1000,0)</f>
        <v>0</v>
      </c>
      <c r="BE54" s="110">
        <v>0.51041666666666696</v>
      </c>
      <c r="BF54" s="211">
        <f>IF('Temperature Profiles'!G53&lt;16,(-0.0076*'Temperature Profiles'!G53+0.1245)*1000,0)</f>
        <v>0</v>
      </c>
      <c r="BG54" s="110">
        <v>0.51041666666666696</v>
      </c>
      <c r="BH54" s="211">
        <f>IF('Temperature Profiles'!G53&lt;16,(-0.01*'Temperature Profiles'!G53+0.167)*1000,0)</f>
        <v>0</v>
      </c>
      <c r="BI54" s="21"/>
      <c r="BJ54" s="110">
        <v>0.51041666666666696</v>
      </c>
      <c r="BK54" s="211">
        <f>IF('Temperature Profiles'!L53&lt;16,(-0.0037*'Temperature Profiles'!L53+0.0664)*1000,0)</f>
        <v>0</v>
      </c>
      <c r="BL54" s="110">
        <v>0.51041666666666696</v>
      </c>
      <c r="BM54" s="211">
        <f>IF('Temperature Profiles'!L53&lt;16,(-0.0076*'Temperature Profiles'!L53+0.1245)*1000,0)</f>
        <v>0</v>
      </c>
      <c r="BN54" s="110">
        <v>0.51041666666666696</v>
      </c>
      <c r="BO54" s="211">
        <f>IF('Temperature Profiles'!L53&lt;16,(-0.01*'Temperature Profiles'!L53+0.167)*1000,0)</f>
        <v>0</v>
      </c>
      <c r="BP54" s="21"/>
      <c r="BQ54" s="110">
        <v>0.51041666666666696</v>
      </c>
      <c r="BR54" s="211">
        <f>IF('Temperature Profiles'!Q53&lt;16,(-0.0037*'Temperature Profiles'!Q53+0.0664)*1000,0)</f>
        <v>0</v>
      </c>
      <c r="BS54" s="110">
        <v>0.51041666666666696</v>
      </c>
      <c r="BT54" s="211">
        <f>IF('Temperature Profiles'!Q53&lt;16,(-0.0076*'Temperature Profiles'!Q53+0.1245)*1000,0)</f>
        <v>0</v>
      </c>
      <c r="BU54" s="110">
        <v>0.51041666666666696</v>
      </c>
      <c r="BV54" s="211">
        <f>IF('Temperature Profiles'!Q53&lt;16,(-0.01*'Temperature Profiles'!Q53+0.167)*1000,0)</f>
        <v>0</v>
      </c>
      <c r="BW54" s="21"/>
      <c r="BX54" s="110">
        <v>0.51041666666666696</v>
      </c>
      <c r="BY54" s="211">
        <f>IF('Temperature Profiles'!V53&lt;16,(-0.0037*'Temperature Profiles'!V53+0.0664)*1000,0)</f>
        <v>0</v>
      </c>
      <c r="BZ54" s="110">
        <v>0.51041666666666696</v>
      </c>
      <c r="CA54" s="211">
        <f>IF('Temperature Profiles'!V53&lt;16,(-0.0076*'Temperature Profiles'!V53+0.1245)*1000,0)</f>
        <v>0</v>
      </c>
      <c r="CB54" s="110">
        <v>0.51041666666666696</v>
      </c>
      <c r="CC54" s="211">
        <f>IF('Temperature Profiles'!V53&lt;16,(-0.01*'Temperature Profiles'!V53+0.167)*1000,0)</f>
        <v>0</v>
      </c>
      <c r="CD54" s="21"/>
      <c r="CE54" s="110">
        <v>0.51041666666666696</v>
      </c>
      <c r="CF54" s="211">
        <f>IF('Temperature Profiles'!AA53&lt;16,(-0.0037*'Temperature Profiles'!AA53+0.0664)*1000,0)</f>
        <v>89.370833333333337</v>
      </c>
      <c r="CG54" s="110">
        <v>0.51041666666666696</v>
      </c>
      <c r="CH54" s="178">
        <f>IF('Temperature Profiles'!AA53&lt;16,(-0.0076*'Temperature Profiles'!AA53+0.1245)*1000,0)</f>
        <v>171.68333333333337</v>
      </c>
      <c r="CI54" s="110">
        <v>0.51041666666666696</v>
      </c>
      <c r="CJ54" s="211">
        <f>IF('Temperature Profiles'!AA53&lt;16,(-0.01*'Temperature Profiles'!AA53+0.167)*1000,0)</f>
        <v>229.08333333333337</v>
      </c>
      <c r="CK54" s="21"/>
      <c r="CL54" s="110">
        <v>0.51041666666666696</v>
      </c>
      <c r="CM54" s="211">
        <f>IF('Temperature Profiles'!AF53&lt;16,(-0.0037*'Temperature Profiles'!AF53+0.0664)*1000,0)</f>
        <v>0</v>
      </c>
      <c r="CN54" s="110">
        <v>0.51041666666666696</v>
      </c>
      <c r="CO54" s="178">
        <f>IF('Temperature Profiles'!AF53&lt;16,(-0.0076*'Temperature Profiles'!AF53+0.1245)*1000,0)</f>
        <v>0</v>
      </c>
      <c r="CP54" s="110">
        <v>0.51041666666666696</v>
      </c>
      <c r="CQ54" s="211">
        <f>IF('Temperature Profiles'!AF53&lt;16,(-0.01*'Temperature Profiles'!AF53+0.167)*1000,0)</f>
        <v>0</v>
      </c>
      <c r="CR54" s="21"/>
      <c r="CS54" s="110">
        <v>0.51041666666666696</v>
      </c>
      <c r="CT54" s="211"/>
      <c r="CU54" s="21"/>
      <c r="CV54" s="110">
        <v>0.51041666666666696</v>
      </c>
      <c r="CW54" s="264"/>
      <c r="CY54" s="260">
        <v>0.51041666666666696</v>
      </c>
      <c r="CZ54" s="178">
        <f>IF('Temperature Profiles'!G53&gt;18,(0.0024*('Temperature Profiles'!G53^2)-0.0581*'Temperature Profiles'!G53+0.3293)*1000,IF('Temperature Profiles'!G53&lt;17,(0.0022*('Temperature Profiles'!G53^2)-0.0874*'Temperature Profiles'!G53+0.9301)*1000,0))</f>
        <v>155.00600000000003</v>
      </c>
      <c r="DA54" s="110">
        <v>0.51041666666666696</v>
      </c>
      <c r="DB54" s="263">
        <f>IF('Temperature Profiles'!G53&gt;18,(0.0043*('Temperature Profiles'!G53^2)-0.1116*'Temperature Profiles'!G53+0.6576)*1000,IF('Temperature Profiles'!G53&lt;17,(0.0053*('Temperature Profiles'!G53^2)-0.1876*'Temperature Profiles'!G53+1.7649)*1000,0))</f>
        <v>189.98700000000014</v>
      </c>
      <c r="DC54" s="110">
        <v>0.51041666666666696</v>
      </c>
      <c r="DD54" s="211">
        <f>IF('Temperature Profiles'!G53&gt;18,(0.0057*('Temperature Profiles'!G53^2)-0.1509*'Temperature Profiles'!G53+0.8935)*1000,IF('Temperature Profiles'!G53&lt;17,(0.0072*('Temperature Profiles'!G53^2)-0.254*'Temperature Profiles'!G53+2.3952)*1000,0))</f>
        <v>212.26300000000055</v>
      </c>
      <c r="DE54" s="21"/>
      <c r="DF54" s="110">
        <v>0.51041666666666696</v>
      </c>
      <c r="DG54" s="209">
        <f>IF('Temperature Profiles'!L53&gt;18,(0.0024*('Temperature Profiles'!L53^2)-0.0581*'Temperature Profiles'!L53+0.3293)*1000,IF('Temperature Profiles'!L53&lt;17,(0.0022*('Temperature Profiles'!L53^2)-0.0874*'Temperature Profiles'!L53+0.9301)*1000,0))</f>
        <v>539.18399999999963</v>
      </c>
      <c r="DH54" s="110">
        <v>0.51041666666666696</v>
      </c>
      <c r="DI54" s="209">
        <f>IF('Temperature Profiles'!L53&gt;18,(0.0043*('Temperature Profiles'!L53^2)-0.1116*'Temperature Profiles'!L53+0.6576)*1000,IF('Temperature Profiles'!L53&lt;17,(0.0053*('Temperature Profiles'!L53^2)-0.1876*'Temperature Profiles'!L53+1.7649)*1000,0))</f>
        <v>828.02799999999934</v>
      </c>
      <c r="DJ54" s="110">
        <v>0.51041666666666696</v>
      </c>
      <c r="DK54" s="211">
        <f>IF('Temperature Profiles'!L53&gt;18,(0.0057*('Temperature Profiles'!L53^2)-0.1509*'Temperature Profiles'!L53+0.8935)*1000,IF('Temperature Profiles'!L53&lt;17,(0.0072*('Temperature Profiles'!L53^2)-0.254*'Temperature Profiles'!L53+2.3952)*1000,0))</f>
        <v>1038.1719999999989</v>
      </c>
      <c r="DL54" s="21"/>
      <c r="DM54" s="110">
        <v>0.51041666666666696</v>
      </c>
      <c r="DN54" s="209">
        <f>IF('Temperature Profiles'!Q53&gt;18,(0.0024*('Temperature Profiles'!Q53^2)-0.0581*'Temperature Profiles'!Q53+0.3293)*1000,IF('Temperature Profiles'!Q53&lt;17,(0.0022*('Temperature Profiles'!Q53^2)-0.0874*'Temperature Profiles'!Q53+0.9301)*1000,0))</f>
        <v>879.7743333333334</v>
      </c>
      <c r="DO54" s="110">
        <v>0.51041666666666696</v>
      </c>
      <c r="DP54" s="209">
        <f>IF('Temperature Profiles'!Q53&gt;18,(0.0043*('Temperature Profiles'!Q53^2)-0.1116*'Temperature Profiles'!Q53+0.6576)*1000,IF('Temperature Profiles'!Q53&lt;17,(0.0053*('Temperature Profiles'!Q53^2)-0.1876*'Temperature Profiles'!Q53+1.7649)*1000,0))</f>
        <v>1407.5477986111116</v>
      </c>
      <c r="DQ54" s="110">
        <v>0.51041666666666696</v>
      </c>
      <c r="DR54" s="211">
        <f>IF('Temperature Profiles'!Q53&gt;18,(0.0057*('Temperature Profiles'!Q53^2)-0.1509*'Temperature Profiles'!Q53+0.8935)*1000,IF('Temperature Profiles'!Q53&lt;17,(0.0072*('Temperature Profiles'!Q53^2)-0.254*'Temperature Profiles'!Q53+2.3952)*1000,0))</f>
        <v>1794.2403958333339</v>
      </c>
      <c r="DS54" s="21"/>
      <c r="DT54" s="110">
        <v>0.51041666666666696</v>
      </c>
      <c r="DU54" s="209">
        <f>IF('Temperature Profiles'!V53&gt;18,(0.0024*('Temperature Profiles'!V53^2)-0.0581*'Temperature Profiles'!V53+0.3293)*1000,IF('Temperature Profiles'!V53&lt;17,(0.0022*('Temperature Profiles'!V53^2)-0.0874*'Temperature Profiles'!V53+0.9301)*1000,0))</f>
        <v>0</v>
      </c>
      <c r="DV54" s="110">
        <v>0.51041666666666696</v>
      </c>
      <c r="DW54" s="209">
        <f>IF('Temperature Profiles'!V53&gt;18,(0.0043*('Temperature Profiles'!V53^2)-0.1116*'Temperature Profiles'!V53+0.6576)*1000,IF('Temperature Profiles'!V53&lt;17,(0.0053*('Temperature Profiles'!V53^2)-0.1876*'Temperature Profiles'!V53+1.7649)*1000,0))</f>
        <v>0</v>
      </c>
      <c r="DX54" s="110">
        <v>0.51041666666666696</v>
      </c>
      <c r="DY54" s="211">
        <f>IF('Temperature Profiles'!V53&gt;18,(0.0057*('Temperature Profiles'!V53^2)-0.1509*'Temperature Profiles'!V53+0.8935)*1000,IF('Temperature Profiles'!V53&lt;17,(0.0072*('Temperature Profiles'!V53^2)-0.254*'Temperature Profiles'!V53+2.3952)*1000,0))</f>
        <v>0</v>
      </c>
      <c r="DZ54" s="21"/>
      <c r="EA54" s="110">
        <v>0.51041666666666696</v>
      </c>
      <c r="EB54" s="209">
        <f>IF('Temperature Profiles'!AA152&gt;18,(0.0024*('Temperature Profiles'!AA152^2)-0.0581*'Temperature Profiles'!AA152+0.3293)*1000,IF('Temperature Profiles'!AA152&lt;17,(0.0022*('Temperature Profiles'!AA152^2)-0.0874*'Temperature Profiles'!AA152+0.9301)*1000,0))</f>
        <v>388.00415277777779</v>
      </c>
      <c r="EC54" s="110">
        <v>0.51041666666666696</v>
      </c>
      <c r="ED54" s="209">
        <f>IF('Temperature Profiles'!AA152&gt;18,(0.0043*('Temperature Profiles'!AA152^2)-0.1116*'Temperature Profiles'!AA152+0.6576)*1000,IF('Temperature Profiles'!AA152&lt;17,(0.0053*('Temperature Profiles'!AA152^2)-0.1876*'Temperature Profiles'!AA152+1.7649)*1000,0))</f>
        <v>635.50053472222248</v>
      </c>
      <c r="EE54" s="110">
        <v>0.51041666666666696</v>
      </c>
      <c r="EF54" s="211">
        <f>IF('Temperature Profiles'!AA152&gt;18,(0.0057*('Temperature Profiles'!AA152^2)-0.1509*'Temperature Profiles'!AA152+0.8935)*1000,IF('Temperature Profiles'!AA152&lt;17,(0.0072*('Temperature Profiles'!AA152^2)-0.254*'Temperature Profiles'!AA152+2.3952)*1000,0))</f>
        <v>867.48116666666681</v>
      </c>
      <c r="EG54" s="21"/>
      <c r="EH54" s="110">
        <v>0.51041666666666696</v>
      </c>
      <c r="EI54" s="211">
        <f>IF('Temperature Profiles'!AF53&gt;18,(0.0024*('Temperature Profiles'!AF53^2)-0.0581*'Temperature Profiles'!AF53+0.3293)*1000,IF('Temperature Profiles'!AF53&lt;17,(0.0022*('Temperature Profiles'!AF53^2)-0.0874*'Temperature Profiles'!AF53+0.9301)*1000,0))</f>
        <v>1115.2</v>
      </c>
      <c r="EJ54" s="110">
        <v>0.51041666666666696</v>
      </c>
      <c r="EK54" s="211">
        <f>IF('Temperature Profiles'!AF53&gt;18,(0.0043*('Temperature Profiles'!AF53^2)-0.1116*'Temperature Profiles'!AF53+0.6576)*1000,IF('Temperature Profiles'!AF53&lt;17,(0.0053*('Temperature Profiles'!AF53^2)-0.1876*'Temperature Profiles'!AF53+1.7649)*1000,0))</f>
        <v>1811.4671874999995</v>
      </c>
      <c r="EL54" s="110">
        <v>0.51041666666666696</v>
      </c>
      <c r="EM54" s="211">
        <f>IF('Temperature Profiles'!AF53&gt;18,(0.0057*('Temperature Profiles'!AF53^2)-0.1509*'Temperature Profiles'!AF53+0.8935)*1000,IF('Temperature Profiles'!AF53&lt;17,(0.0072*('Temperature Profiles'!AF53^2)-0.254*'Temperature Profiles'!AF53+2.3952)*1000,0))</f>
        <v>2322.6015624999995</v>
      </c>
      <c r="EN54" s="21"/>
      <c r="EO54" s="110">
        <v>0.51041666666666696</v>
      </c>
      <c r="EP54" s="211"/>
      <c r="EQ54" s="21"/>
      <c r="ER54" s="110">
        <v>0.51041666666666696</v>
      </c>
      <c r="ES54" s="264"/>
      <c r="EU54" s="260">
        <v>0.51041666666666696</v>
      </c>
      <c r="EV54" s="209">
        <f>IF('Temperature Profiles'!AA152&gt;18,(0.0024*('Temperature Profiles'!AA152^2)-0.0581*'Temperature Profiles'!AA152+0.3293)*1000,IF('Temperature Profiles'!AA152&lt;17,(0.0022*('Temperature Profiles'!AA152^2)-0.0874*'Temperature Profiles'!AA152+0.9301)*1000,0))</f>
        <v>388.00415277777779</v>
      </c>
      <c r="EW54" s="110">
        <v>0.51041666666666696</v>
      </c>
      <c r="EX54" s="209">
        <f>IF('Temperature Profiles'!AA152&gt;18,(0.0043*('Temperature Profiles'!AA152^2)-0.1116*'Temperature Profiles'!AA152+0.6576)*1000,IF('Temperature Profiles'!AA152&lt;17,(0.0053*('Temperature Profiles'!AA152^2)-0.1876*'Temperature Profiles'!AA152+1.7649)*1000,0))</f>
        <v>635.50053472222248</v>
      </c>
      <c r="EY54" s="110">
        <v>0.51041666666666696</v>
      </c>
      <c r="EZ54" s="264">
        <f>IF('Temperature Profiles'!AA152&gt;18,(0.0057*('Temperature Profiles'!AA152^2)-0.1509*'Temperature Profiles'!AA152+0.8935)*1000,IF('Temperature Profiles'!AA152&lt;17,(0.0072*('Temperature Profiles'!AA152^2)-0.254*'Temperature Profiles'!AA152+2.3952)*1000,0))</f>
        <v>867.48116666666681</v>
      </c>
    </row>
    <row r="55" spans="1:156" x14ac:dyDescent="0.3">
      <c r="A55" s="108">
        <v>0.51041666666666696</v>
      </c>
      <c r="B55" s="226">
        <f t="shared" si="0"/>
        <v>0</v>
      </c>
      <c r="C55" s="21">
        <f t="shared" si="1"/>
        <v>229.08333333333337</v>
      </c>
      <c r="D55" s="20">
        <f t="shared" si="2"/>
        <v>867.48116666666681</v>
      </c>
      <c r="E55" s="20">
        <f t="shared" si="3"/>
        <v>867.48116666666681</v>
      </c>
      <c r="G55" s="260">
        <v>0.52083333333333304</v>
      </c>
      <c r="H55" s="211">
        <f>IF('Temperature Profiles'!G54&gt;17,(0.0029*('Temperature Profiles'!G54^2) - 0.0863*'Temperature Profiles'!G54 + 0.6808)*1000,0)</f>
        <v>137.01099999999988</v>
      </c>
      <c r="I55" s="110">
        <v>0.52083333333333304</v>
      </c>
      <c r="J55" s="211">
        <f>IF('Temperature Profiles'!G54&gt;17,(0.005*('Temperature Profiles'!G54^2) - 0.1517*'Temperature Profiles'!G54 + 1.1702)*1000,0)</f>
        <v>172.46000000000006</v>
      </c>
      <c r="K55" s="110">
        <v>0.52083333333333304</v>
      </c>
      <c r="L55" s="211">
        <f>IF('Temperature Profiles'!G54&gt;17,(0.0068*('Temperature Profiles'!G54^2) - 0.2129*'Temperature Profiles'!G54 + 1.6904)*1000,0)</f>
        <v>197.10200000000012</v>
      </c>
      <c r="M55" s="21"/>
      <c r="N55" s="110">
        <v>0.52083333333333304</v>
      </c>
      <c r="O55" s="211">
        <f>IF('Temperature Profiles'!L54&gt;17,(0.0029*('Temperature Profiles'!L54^2) - 0.0863*'Temperature Profiles'!L54 + 0.6808)*1000,0)</f>
        <v>493.38399999999973</v>
      </c>
      <c r="P55" s="110">
        <v>0.52083333333333304</v>
      </c>
      <c r="Q55" s="211">
        <f>IF('Temperature Profiles'!L54&gt;17,(0.005*('Temperature Profiles'!L54^2) - 0.1517*'Temperature Profiles'!L54 + 1.1702)*1000,0)</f>
        <v>767.4199999999995</v>
      </c>
      <c r="R55" s="110">
        <v>0.52083333333333304</v>
      </c>
      <c r="S55" s="211">
        <f>IF('Temperature Profiles'!L54&gt;17,(0.0068*('Temperature Profiles'!L54^2) - 0.2129*'Temperature Profiles'!L54 + 1.6904)*1000,0)</f>
        <v>962.10799999999927</v>
      </c>
      <c r="T55" s="21"/>
      <c r="U55" s="110">
        <v>0.52083333333333304</v>
      </c>
      <c r="V55" s="211">
        <f>IF('Temperature Profiles'!Q54&gt;17,(0.0029*('Temperature Profiles'!Q54^2) - 0.0863*'Temperature Profiles'!Q54 + 0.6808)*1000,0)</f>
        <v>839.07186805555546</v>
      </c>
      <c r="W55" s="110">
        <v>0.52083333333333304</v>
      </c>
      <c r="X55" s="211">
        <f>IF('Temperature Profiles'!Q54&gt;17,(0.005*('Temperature Profiles'!Q54^2) - 0.1517*'Temperature Profiles'!Q54 + 1.1702)*1000,0)</f>
        <v>1351.5395138888891</v>
      </c>
      <c r="Y55" s="110">
        <v>0.52083333333333304</v>
      </c>
      <c r="Z55" s="211">
        <f>IF('Temperature Profiles'!Q54&gt;17,(0.0068*('Temperature Profiles'!Q54^2) - 0.2129*'Temperature Profiles'!Q54 + 1.6904)*1000,0)</f>
        <v>1729.5546388888893</v>
      </c>
      <c r="AA55" s="21"/>
      <c r="AB55" s="110">
        <v>0.52083333333333304</v>
      </c>
      <c r="AC55" s="211">
        <f>IF('Temperature Profiles'!V54&gt;17,(0.0029*('Temperature Profiles'!V54^2) - 0.0863*'Temperature Profiles'!V54 + 0.6808)*1000,0)</f>
        <v>64.206868055555418</v>
      </c>
      <c r="AD55" s="110">
        <v>0.52083333333333304</v>
      </c>
      <c r="AE55" s="211">
        <f>IF('Temperature Profiles'!V54&gt;17,(0.005*('Temperature Profiles'!V54^2) - 0.1517*'Temperature Profiles'!V54 + 1.1702)*1000,0)</f>
        <v>55.244513888888847</v>
      </c>
      <c r="AF55" s="110">
        <v>0.52083333333333304</v>
      </c>
      <c r="AG55" s="211">
        <f>IF('Temperature Profiles'!V54&gt;17,(0.0068*('Temperature Profiles'!V54^2) - 0.2129*'Temperature Profiles'!V54 + 1.6904)*1000,0)</f>
        <v>56.519638888888664</v>
      </c>
      <c r="AH55" s="21"/>
      <c r="AI55" s="110">
        <v>0.52083333333333304</v>
      </c>
      <c r="AJ55" s="211">
        <f>IF('Temperature Profiles'!AA54&gt;17,(0.0029*('Temperature Profiles'!AA54^2) - 0.0863*'Temperature Profiles'!AA54 + 0.6808)*1000,0)</f>
        <v>0</v>
      </c>
      <c r="AK55" s="110">
        <v>0.52083333333333304</v>
      </c>
      <c r="AL55" s="211">
        <f>IF('Temperature Profiles'!AA54&gt;17,(0.005*('Temperature Profiles'!AA54^2) - 0.1517*'Temperature Profiles'!AA54 + 1.1701)*1000,0)</f>
        <v>0</v>
      </c>
      <c r="AM55" s="110">
        <v>0.52083333333333304</v>
      </c>
      <c r="AN55" s="211">
        <f>IF('Temperature Profiles'!AA54&gt;17,(0.0068*('Temperature Profiles'!AA54^2) - 0.2129*'Temperature Profiles'!AA54 + 1.6904)*1000,0)</f>
        <v>0</v>
      </c>
      <c r="AO55" s="21"/>
      <c r="AP55" s="110">
        <v>0.52083333333333304</v>
      </c>
      <c r="AQ55" s="211">
        <f>IF('Temperature Profiles'!AF54&gt;17,(0.0029*('Temperature Profiles'!AF54^2) - 0.0863*'Temperature Profiles'!AF54 + 0.6808)*1000,0)</f>
        <v>1085.1828124999997</v>
      </c>
      <c r="AR55" s="110">
        <v>0.52083333333333304</v>
      </c>
      <c r="AS55" s="183">
        <f>IF('Temperature Profiles'!AF54&gt;17,(0.005*('Temperature Profiles'!AF54^2) - 0.1517*'Temperature Profiles'!AF54 + 1.1702)*1000,0)</f>
        <v>1768.9406249999995</v>
      </c>
      <c r="AT55" s="110">
        <v>0.52083333333333304</v>
      </c>
      <c r="AU55" s="211">
        <f>IF('Temperature Profiles'!AF54&gt;17,(0.0068*('Temperature Profiles'!AF54^2) - 0.2129*'Temperature Profiles'!AF54 + 1.6904)*1000,0)</f>
        <v>2281.5187499999997</v>
      </c>
      <c r="AV55" s="21"/>
      <c r="AW55" s="110">
        <v>0.52083333333333304</v>
      </c>
      <c r="AX55" s="211"/>
      <c r="AY55" s="21"/>
      <c r="AZ55" s="110">
        <v>0.52083333333333304</v>
      </c>
      <c r="BA55" s="264"/>
      <c r="BC55" s="260">
        <v>0.52083333333333304</v>
      </c>
      <c r="BD55" s="211">
        <f>IF('Temperature Profiles'!G54&lt;16,(-0.0037*'Temperature Profiles'!G54+0.0664)*1000,0)</f>
        <v>0</v>
      </c>
      <c r="BE55" s="110">
        <v>0.52083333333333304</v>
      </c>
      <c r="BF55" s="211">
        <f>IF('Temperature Profiles'!G54&lt;16,(-0.0076*'Temperature Profiles'!G54+0.1245)*1000,0)</f>
        <v>0</v>
      </c>
      <c r="BG55" s="110">
        <v>0.52083333333333304</v>
      </c>
      <c r="BH55" s="211">
        <f>IF('Temperature Profiles'!G54&lt;16,(-0.01*'Temperature Profiles'!G54+0.167)*1000,0)</f>
        <v>0</v>
      </c>
      <c r="BI55" s="21"/>
      <c r="BJ55" s="110">
        <v>0.52083333333333304</v>
      </c>
      <c r="BK55" s="211">
        <f>IF('Temperature Profiles'!L54&lt;16,(-0.0037*'Temperature Profiles'!L54+0.0664)*1000,0)</f>
        <v>0</v>
      </c>
      <c r="BL55" s="110">
        <v>0.52083333333333304</v>
      </c>
      <c r="BM55" s="211">
        <f>IF('Temperature Profiles'!L54&lt;16,(-0.0076*'Temperature Profiles'!L54+0.1245)*1000,0)</f>
        <v>0</v>
      </c>
      <c r="BN55" s="110">
        <v>0.52083333333333304</v>
      </c>
      <c r="BO55" s="211">
        <f>IF('Temperature Profiles'!L54&lt;16,(-0.01*'Temperature Profiles'!L54+0.167)*1000,0)</f>
        <v>0</v>
      </c>
      <c r="BP55" s="21"/>
      <c r="BQ55" s="110">
        <v>0.52083333333333304</v>
      </c>
      <c r="BR55" s="211">
        <f>IF('Temperature Profiles'!Q54&lt;16,(-0.0037*'Temperature Profiles'!Q54+0.0664)*1000,0)</f>
        <v>0</v>
      </c>
      <c r="BS55" s="110">
        <v>0.52083333333333304</v>
      </c>
      <c r="BT55" s="211">
        <f>IF('Temperature Profiles'!Q54&lt;16,(-0.0076*'Temperature Profiles'!Q54+0.1245)*1000,0)</f>
        <v>0</v>
      </c>
      <c r="BU55" s="110">
        <v>0.52083333333333304</v>
      </c>
      <c r="BV55" s="211">
        <f>IF('Temperature Profiles'!Q54&lt;16,(-0.01*'Temperature Profiles'!Q54+0.167)*1000,0)</f>
        <v>0</v>
      </c>
      <c r="BW55" s="21"/>
      <c r="BX55" s="110">
        <v>0.52083333333333304</v>
      </c>
      <c r="BY55" s="211">
        <f>IF('Temperature Profiles'!V54&lt;16,(-0.0037*'Temperature Profiles'!V54+0.0664)*1000,0)</f>
        <v>0</v>
      </c>
      <c r="BZ55" s="110">
        <v>0.52083333333333304</v>
      </c>
      <c r="CA55" s="211">
        <f>IF('Temperature Profiles'!V54&lt;16,(-0.0076*'Temperature Profiles'!V54+0.1245)*1000,0)</f>
        <v>0</v>
      </c>
      <c r="CB55" s="110">
        <v>0.52083333333333304</v>
      </c>
      <c r="CC55" s="211">
        <f>IF('Temperature Profiles'!V54&lt;16,(-0.01*'Temperature Profiles'!V54+0.167)*1000,0)</f>
        <v>0</v>
      </c>
      <c r="CD55" s="21"/>
      <c r="CE55" s="110">
        <v>0.52083333333333304</v>
      </c>
      <c r="CF55" s="211">
        <f>IF('Temperature Profiles'!AA54&lt;16,(-0.0037*'Temperature Profiles'!AA54+0.0664)*1000,0)</f>
        <v>89.370833333333337</v>
      </c>
      <c r="CG55" s="110">
        <v>0.52083333333333304</v>
      </c>
      <c r="CH55" s="178">
        <f>IF('Temperature Profiles'!AA54&lt;16,(-0.0076*'Temperature Profiles'!AA54+0.1245)*1000,0)</f>
        <v>171.68333333333337</v>
      </c>
      <c r="CI55" s="110">
        <v>0.52083333333333304</v>
      </c>
      <c r="CJ55" s="211">
        <f>IF('Temperature Profiles'!AA54&lt;16,(-0.01*'Temperature Profiles'!AA54+0.167)*1000,0)</f>
        <v>229.08333333333337</v>
      </c>
      <c r="CK55" s="21"/>
      <c r="CL55" s="110">
        <v>0.52083333333333304</v>
      </c>
      <c r="CM55" s="211">
        <f>IF('Temperature Profiles'!AF54&lt;16,(-0.0037*'Temperature Profiles'!AF54+0.0664)*1000,0)</f>
        <v>0</v>
      </c>
      <c r="CN55" s="110">
        <v>0.52083333333333304</v>
      </c>
      <c r="CO55" s="178">
        <f>IF('Temperature Profiles'!AF54&lt;16,(-0.0076*'Temperature Profiles'!AF54+0.1245)*1000,0)</f>
        <v>0</v>
      </c>
      <c r="CP55" s="110">
        <v>0.52083333333333304</v>
      </c>
      <c r="CQ55" s="211">
        <f>IF('Temperature Profiles'!AF54&lt;16,(-0.01*'Temperature Profiles'!AF54+0.167)*1000,0)</f>
        <v>0</v>
      </c>
      <c r="CR55" s="21"/>
      <c r="CS55" s="110">
        <v>0.52083333333333304</v>
      </c>
      <c r="CT55" s="211"/>
      <c r="CU55" s="21"/>
      <c r="CV55" s="110">
        <v>0.52083333333333304</v>
      </c>
      <c r="CW55" s="264"/>
      <c r="CY55" s="260">
        <v>0.52083333333333304</v>
      </c>
      <c r="CZ55" s="178">
        <f>IF('Temperature Profiles'!G54&gt;18,(0.0024*('Temperature Profiles'!G54^2)-0.0581*'Temperature Profiles'!G54+0.3293)*1000,IF('Temperature Profiles'!G54&lt;17,(0.0022*('Temperature Profiles'!G54^2)-0.0874*'Temperature Profiles'!G54+0.9301)*1000,0))</f>
        <v>155.00600000000003</v>
      </c>
      <c r="DA55" s="110">
        <v>0.52083333333333304</v>
      </c>
      <c r="DB55" s="263">
        <f>IF('Temperature Profiles'!G54&gt;18,(0.0043*('Temperature Profiles'!G54^2)-0.1116*'Temperature Profiles'!G54+0.6576)*1000,IF('Temperature Profiles'!G54&lt;17,(0.0053*('Temperature Profiles'!G54^2)-0.1876*'Temperature Profiles'!G54+1.7649)*1000,0))</f>
        <v>189.98700000000014</v>
      </c>
      <c r="DC55" s="110">
        <v>0.52083333333333304</v>
      </c>
      <c r="DD55" s="211">
        <f>IF('Temperature Profiles'!G54&gt;18,(0.0057*('Temperature Profiles'!G54^2)-0.1509*'Temperature Profiles'!G54+0.8935)*1000,IF('Temperature Profiles'!G54&lt;17,(0.0072*('Temperature Profiles'!G54^2)-0.254*'Temperature Profiles'!G54+2.3952)*1000,0))</f>
        <v>212.26300000000055</v>
      </c>
      <c r="DE55" s="21"/>
      <c r="DF55" s="110">
        <v>0.52083333333333304</v>
      </c>
      <c r="DG55" s="209">
        <f>IF('Temperature Profiles'!L54&gt;18,(0.0024*('Temperature Profiles'!L54^2)-0.0581*'Temperature Profiles'!L54+0.3293)*1000,IF('Temperature Profiles'!L54&lt;17,(0.0022*('Temperature Profiles'!L54^2)-0.0874*'Temperature Profiles'!L54+0.9301)*1000,0))</f>
        <v>539.18399999999963</v>
      </c>
      <c r="DH55" s="110">
        <v>0.52083333333333304</v>
      </c>
      <c r="DI55" s="209">
        <f>IF('Temperature Profiles'!L54&gt;18,(0.0043*('Temperature Profiles'!L54^2)-0.1116*'Temperature Profiles'!L54+0.6576)*1000,IF('Temperature Profiles'!L54&lt;17,(0.0053*('Temperature Profiles'!L54^2)-0.1876*'Temperature Profiles'!L54+1.7649)*1000,0))</f>
        <v>828.02799999999934</v>
      </c>
      <c r="DJ55" s="110">
        <v>0.52083333333333304</v>
      </c>
      <c r="DK55" s="211">
        <f>IF('Temperature Profiles'!L54&gt;18,(0.0057*('Temperature Profiles'!L54^2)-0.1509*'Temperature Profiles'!L54+0.8935)*1000,IF('Temperature Profiles'!L54&lt;17,(0.0072*('Temperature Profiles'!L54^2)-0.254*'Temperature Profiles'!L54+2.3952)*1000,0))</f>
        <v>1038.1719999999989</v>
      </c>
      <c r="DL55" s="21"/>
      <c r="DM55" s="110">
        <v>0.52083333333333304</v>
      </c>
      <c r="DN55" s="209">
        <f>IF('Temperature Profiles'!Q54&gt;18,(0.0024*('Temperature Profiles'!Q54^2)-0.0581*'Temperature Profiles'!Q54+0.3293)*1000,IF('Temperature Profiles'!Q54&lt;17,(0.0022*('Temperature Profiles'!Q54^2)-0.0874*'Temperature Profiles'!Q54+0.9301)*1000,0))</f>
        <v>879.7743333333334</v>
      </c>
      <c r="DO55" s="110">
        <v>0.52083333333333304</v>
      </c>
      <c r="DP55" s="209">
        <f>IF('Temperature Profiles'!Q54&gt;18,(0.0043*('Temperature Profiles'!Q54^2)-0.1116*'Temperature Profiles'!Q54+0.6576)*1000,IF('Temperature Profiles'!Q54&lt;17,(0.0053*('Temperature Profiles'!Q54^2)-0.1876*'Temperature Profiles'!Q54+1.7649)*1000,0))</f>
        <v>1407.5477986111116</v>
      </c>
      <c r="DQ55" s="110">
        <v>0.52083333333333304</v>
      </c>
      <c r="DR55" s="211">
        <f>IF('Temperature Profiles'!Q54&gt;18,(0.0057*('Temperature Profiles'!Q54^2)-0.1509*'Temperature Profiles'!Q54+0.8935)*1000,IF('Temperature Profiles'!Q54&lt;17,(0.0072*('Temperature Profiles'!Q54^2)-0.254*'Temperature Profiles'!Q54+2.3952)*1000,0))</f>
        <v>1794.2403958333339</v>
      </c>
      <c r="DS55" s="21"/>
      <c r="DT55" s="110">
        <v>0.52083333333333304</v>
      </c>
      <c r="DU55" s="209">
        <f>IF('Temperature Profiles'!V54&gt;18,(0.0024*('Temperature Profiles'!V54^2)-0.0581*'Temperature Profiles'!V54+0.3293)*1000,IF('Temperature Profiles'!V54&lt;17,(0.0022*('Temperature Profiles'!V54^2)-0.0874*'Temperature Profiles'!V54+0.9301)*1000,0))</f>
        <v>0</v>
      </c>
      <c r="DV55" s="110">
        <v>0.52083333333333304</v>
      </c>
      <c r="DW55" s="209">
        <f>IF('Temperature Profiles'!V54&gt;18,(0.0043*('Temperature Profiles'!V54^2)-0.1116*'Temperature Profiles'!V54+0.6576)*1000,IF('Temperature Profiles'!V54&lt;17,(0.0053*('Temperature Profiles'!V54^2)-0.1876*'Temperature Profiles'!V54+1.7649)*1000,0))</f>
        <v>0</v>
      </c>
      <c r="DX55" s="110">
        <v>0.52083333333333304</v>
      </c>
      <c r="DY55" s="211">
        <f>IF('Temperature Profiles'!V54&gt;18,(0.0057*('Temperature Profiles'!V54^2)-0.1509*'Temperature Profiles'!V54+0.8935)*1000,IF('Temperature Profiles'!V54&lt;17,(0.0072*('Temperature Profiles'!V54^2)-0.254*'Temperature Profiles'!V54+2.3952)*1000,0))</f>
        <v>0</v>
      </c>
      <c r="DZ55" s="21"/>
      <c r="EA55" s="110">
        <v>0.52083333333333304</v>
      </c>
      <c r="EB55" s="209">
        <f>IF('Temperature Profiles'!AA153&gt;18,(0.0024*('Temperature Profiles'!AA153^2)-0.0581*'Temperature Profiles'!AA153+0.3293)*1000,IF('Temperature Profiles'!AA153&lt;17,(0.0022*('Temperature Profiles'!AA153^2)-0.0874*'Temperature Profiles'!AA153+0.9301)*1000,0))</f>
        <v>388.00415277777779</v>
      </c>
      <c r="EC55" s="110">
        <v>0.52083333333333304</v>
      </c>
      <c r="ED55" s="209">
        <f>IF('Temperature Profiles'!AA153&gt;18,(0.0043*('Temperature Profiles'!AA153^2)-0.1116*'Temperature Profiles'!AA153+0.6576)*1000,IF('Temperature Profiles'!AA153&lt;17,(0.0053*('Temperature Profiles'!AA153^2)-0.1876*'Temperature Profiles'!AA153+1.7649)*1000,0))</f>
        <v>635.50053472222248</v>
      </c>
      <c r="EE55" s="110">
        <v>0.52083333333333304</v>
      </c>
      <c r="EF55" s="211">
        <f>IF('Temperature Profiles'!AA153&gt;18,(0.0057*('Temperature Profiles'!AA153^2)-0.1509*'Temperature Profiles'!AA153+0.8935)*1000,IF('Temperature Profiles'!AA153&lt;17,(0.0072*('Temperature Profiles'!AA153^2)-0.254*'Temperature Profiles'!AA153+2.3952)*1000,0))</f>
        <v>867.48116666666681</v>
      </c>
      <c r="EG55" s="21"/>
      <c r="EH55" s="110">
        <v>0.52083333333333304</v>
      </c>
      <c r="EI55" s="211">
        <f>IF('Temperature Profiles'!AF54&gt;18,(0.0024*('Temperature Profiles'!AF54^2)-0.0581*'Temperature Profiles'!AF54+0.3293)*1000,IF('Temperature Profiles'!AF54&lt;17,(0.0022*('Temperature Profiles'!AF54^2)-0.0874*'Temperature Profiles'!AF54+0.9301)*1000,0))</f>
        <v>1115.2</v>
      </c>
      <c r="EJ55" s="110">
        <v>0.52083333333333304</v>
      </c>
      <c r="EK55" s="211">
        <f>IF('Temperature Profiles'!AF54&gt;18,(0.0043*('Temperature Profiles'!AF54^2)-0.1116*'Temperature Profiles'!AF54+0.6576)*1000,IF('Temperature Profiles'!AF54&lt;17,(0.0053*('Temperature Profiles'!AF54^2)-0.1876*'Temperature Profiles'!AF54+1.7649)*1000,0))</f>
        <v>1811.4671874999995</v>
      </c>
      <c r="EL55" s="110">
        <v>0.52083333333333304</v>
      </c>
      <c r="EM55" s="211">
        <f>IF('Temperature Profiles'!AF54&gt;18,(0.0057*('Temperature Profiles'!AF54^2)-0.1509*'Temperature Profiles'!AF54+0.8935)*1000,IF('Temperature Profiles'!AF54&lt;17,(0.0072*('Temperature Profiles'!AF54^2)-0.254*'Temperature Profiles'!AF54+2.3952)*1000,0))</f>
        <v>2322.6015624999995</v>
      </c>
      <c r="EN55" s="21"/>
      <c r="EO55" s="110">
        <v>0.52083333333333304</v>
      </c>
      <c r="EP55" s="211"/>
      <c r="EQ55" s="21"/>
      <c r="ER55" s="110">
        <v>0.52083333333333304</v>
      </c>
      <c r="ES55" s="264"/>
      <c r="EU55" s="260">
        <v>0.52083333333333304</v>
      </c>
      <c r="EV55" s="209">
        <f>IF('Temperature Profiles'!AA153&gt;18,(0.0024*('Temperature Profiles'!AA153^2)-0.0581*'Temperature Profiles'!AA153+0.3293)*1000,IF('Temperature Profiles'!AA153&lt;17,(0.0022*('Temperature Profiles'!AA153^2)-0.0874*'Temperature Profiles'!AA153+0.9301)*1000,0))</f>
        <v>388.00415277777779</v>
      </c>
      <c r="EW55" s="110">
        <v>0.52083333333333304</v>
      </c>
      <c r="EX55" s="209">
        <f>IF('Temperature Profiles'!AA153&gt;18,(0.0043*('Temperature Profiles'!AA153^2)-0.1116*'Temperature Profiles'!AA153+0.6576)*1000,IF('Temperature Profiles'!AA153&lt;17,(0.0053*('Temperature Profiles'!AA153^2)-0.1876*'Temperature Profiles'!AA153+1.7649)*1000,0))</f>
        <v>635.50053472222248</v>
      </c>
      <c r="EY55" s="110">
        <v>0.52083333333333304</v>
      </c>
      <c r="EZ55" s="264">
        <f>IF('Temperature Profiles'!AA153&gt;18,(0.0057*('Temperature Profiles'!AA153^2)-0.1509*'Temperature Profiles'!AA153+0.8935)*1000,IF('Temperature Profiles'!AA153&lt;17,(0.0072*('Temperature Profiles'!AA153^2)-0.254*'Temperature Profiles'!AA153+2.3952)*1000,0))</f>
        <v>867.48116666666681</v>
      </c>
    </row>
    <row r="56" spans="1:156" x14ac:dyDescent="0.3">
      <c r="A56" s="108">
        <v>0.52083333333333304</v>
      </c>
      <c r="B56" s="226">
        <f t="shared" si="0"/>
        <v>0</v>
      </c>
      <c r="C56" s="21">
        <f t="shared" si="1"/>
        <v>229.08333333333337</v>
      </c>
      <c r="D56" s="20">
        <f t="shared" si="2"/>
        <v>867.48116666666681</v>
      </c>
      <c r="E56" s="20">
        <f t="shared" si="3"/>
        <v>867.48116666666681</v>
      </c>
      <c r="G56" s="260">
        <v>0.53125</v>
      </c>
      <c r="H56" s="211">
        <f>IF('Temperature Profiles'!G55&gt;17,(0.0029*('Temperature Profiles'!G55^2) - 0.0863*'Temperature Profiles'!G55 + 0.6808)*1000,0)</f>
        <v>137.01099999999988</v>
      </c>
      <c r="I56" s="110">
        <v>0.53125</v>
      </c>
      <c r="J56" s="211">
        <f>IF('Temperature Profiles'!G55&gt;17,(0.005*('Temperature Profiles'!G55^2) - 0.1517*'Temperature Profiles'!G55 + 1.1702)*1000,0)</f>
        <v>172.46000000000006</v>
      </c>
      <c r="K56" s="110">
        <v>0.53125</v>
      </c>
      <c r="L56" s="211">
        <f>IF('Temperature Profiles'!G55&gt;17,(0.0068*('Temperature Profiles'!G55^2) - 0.2129*'Temperature Profiles'!G55 + 1.6904)*1000,0)</f>
        <v>197.10200000000012</v>
      </c>
      <c r="M56" s="21"/>
      <c r="N56" s="110">
        <v>0.53125</v>
      </c>
      <c r="O56" s="211">
        <f>IF('Temperature Profiles'!L55&gt;17,(0.0029*('Temperature Profiles'!L55^2) - 0.0863*'Temperature Profiles'!L55 + 0.6808)*1000,0)</f>
        <v>493.38399999999973</v>
      </c>
      <c r="P56" s="110">
        <v>0.53125</v>
      </c>
      <c r="Q56" s="211">
        <f>IF('Temperature Profiles'!L55&gt;17,(0.005*('Temperature Profiles'!L55^2) - 0.1517*'Temperature Profiles'!L55 + 1.1702)*1000,0)</f>
        <v>767.4199999999995</v>
      </c>
      <c r="R56" s="110">
        <v>0.53125</v>
      </c>
      <c r="S56" s="211">
        <f>IF('Temperature Profiles'!L55&gt;17,(0.0068*('Temperature Profiles'!L55^2) - 0.2129*'Temperature Profiles'!L55 + 1.6904)*1000,0)</f>
        <v>962.10799999999927</v>
      </c>
      <c r="T56" s="21"/>
      <c r="U56" s="110">
        <v>0.53125</v>
      </c>
      <c r="V56" s="211">
        <f>IF('Temperature Profiles'!Q55&gt;17,(0.0029*('Temperature Profiles'!Q55^2) - 0.0863*'Temperature Profiles'!Q55 + 0.6808)*1000,0)</f>
        <v>839.07186805555546</v>
      </c>
      <c r="W56" s="110">
        <v>0.53125</v>
      </c>
      <c r="X56" s="211">
        <f>IF('Temperature Profiles'!Q55&gt;17,(0.005*('Temperature Profiles'!Q55^2) - 0.1517*'Temperature Profiles'!Q55 + 1.1702)*1000,0)</f>
        <v>1351.5395138888891</v>
      </c>
      <c r="Y56" s="110">
        <v>0.53125</v>
      </c>
      <c r="Z56" s="211">
        <f>IF('Temperature Profiles'!Q55&gt;17,(0.0068*('Temperature Profiles'!Q55^2) - 0.2129*'Temperature Profiles'!Q55 + 1.6904)*1000,0)</f>
        <v>1729.5546388888893</v>
      </c>
      <c r="AA56" s="21"/>
      <c r="AB56" s="110">
        <v>0.53125</v>
      </c>
      <c r="AC56" s="211">
        <f>IF('Temperature Profiles'!V55&gt;17,(0.0029*('Temperature Profiles'!V55^2) - 0.0863*'Temperature Profiles'!V55 + 0.6808)*1000,0)</f>
        <v>64.206868055555418</v>
      </c>
      <c r="AD56" s="110">
        <v>0.53125</v>
      </c>
      <c r="AE56" s="211">
        <f>IF('Temperature Profiles'!V55&gt;17,(0.005*('Temperature Profiles'!V55^2) - 0.1517*'Temperature Profiles'!V55 + 1.1702)*1000,0)</f>
        <v>55.244513888888847</v>
      </c>
      <c r="AF56" s="110">
        <v>0.53125</v>
      </c>
      <c r="AG56" s="211">
        <f>IF('Temperature Profiles'!V55&gt;17,(0.0068*('Temperature Profiles'!V55^2) - 0.2129*'Temperature Profiles'!V55 + 1.6904)*1000,0)</f>
        <v>56.519638888888664</v>
      </c>
      <c r="AH56" s="21"/>
      <c r="AI56" s="110">
        <v>0.53125</v>
      </c>
      <c r="AJ56" s="211">
        <f>IF('Temperature Profiles'!AA55&gt;17,(0.0029*('Temperature Profiles'!AA55^2) - 0.0863*'Temperature Profiles'!AA55 + 0.6808)*1000,0)</f>
        <v>0</v>
      </c>
      <c r="AK56" s="110">
        <v>0.53125</v>
      </c>
      <c r="AL56" s="211">
        <f>IF('Temperature Profiles'!AA55&gt;17,(0.005*('Temperature Profiles'!AA55^2) - 0.1517*'Temperature Profiles'!AA55 + 1.1701)*1000,0)</f>
        <v>0</v>
      </c>
      <c r="AM56" s="110">
        <v>0.53125</v>
      </c>
      <c r="AN56" s="211">
        <f>IF('Temperature Profiles'!AA55&gt;17,(0.0068*('Temperature Profiles'!AA55^2) - 0.2129*'Temperature Profiles'!AA55 + 1.6904)*1000,0)</f>
        <v>0</v>
      </c>
      <c r="AO56" s="21"/>
      <c r="AP56" s="110">
        <v>0.53125</v>
      </c>
      <c r="AQ56" s="211">
        <f>IF('Temperature Profiles'!AF55&gt;17,(0.0029*('Temperature Profiles'!AF55^2) - 0.0863*'Temperature Profiles'!AF55 + 0.6808)*1000,0)</f>
        <v>1085.1828124999997</v>
      </c>
      <c r="AR56" s="110">
        <v>0.53125</v>
      </c>
      <c r="AS56" s="183">
        <f>IF('Temperature Profiles'!AF55&gt;17,(0.005*('Temperature Profiles'!AF55^2) - 0.1517*'Temperature Profiles'!AF55 + 1.1702)*1000,0)</f>
        <v>1768.9406249999995</v>
      </c>
      <c r="AT56" s="110">
        <v>0.53125</v>
      </c>
      <c r="AU56" s="211">
        <f>IF('Temperature Profiles'!AF55&gt;17,(0.0068*('Temperature Profiles'!AF55^2) - 0.2129*'Temperature Profiles'!AF55 + 1.6904)*1000,0)</f>
        <v>2281.5187499999997</v>
      </c>
      <c r="AV56" s="21"/>
      <c r="AW56" s="110">
        <v>0.53125</v>
      </c>
      <c r="AX56" s="211"/>
      <c r="AY56" s="21"/>
      <c r="AZ56" s="110">
        <v>0.53125</v>
      </c>
      <c r="BA56" s="264"/>
      <c r="BC56" s="260">
        <v>0.53125</v>
      </c>
      <c r="BD56" s="211">
        <f>IF('Temperature Profiles'!G55&lt;16,(-0.0037*'Temperature Profiles'!G55+0.0664)*1000,0)</f>
        <v>0</v>
      </c>
      <c r="BE56" s="110">
        <v>0.53125</v>
      </c>
      <c r="BF56" s="211">
        <f>IF('Temperature Profiles'!G55&lt;16,(-0.0076*'Temperature Profiles'!G55+0.1245)*1000,0)</f>
        <v>0</v>
      </c>
      <c r="BG56" s="110">
        <v>0.53125</v>
      </c>
      <c r="BH56" s="211">
        <f>IF('Temperature Profiles'!G55&lt;16,(-0.01*'Temperature Profiles'!G55+0.167)*1000,0)</f>
        <v>0</v>
      </c>
      <c r="BI56" s="21"/>
      <c r="BJ56" s="110">
        <v>0.53125</v>
      </c>
      <c r="BK56" s="211">
        <f>IF('Temperature Profiles'!L55&lt;16,(-0.0037*'Temperature Profiles'!L55+0.0664)*1000,0)</f>
        <v>0</v>
      </c>
      <c r="BL56" s="110">
        <v>0.53125</v>
      </c>
      <c r="BM56" s="211">
        <f>IF('Temperature Profiles'!L55&lt;16,(-0.0076*'Temperature Profiles'!L55+0.1245)*1000,0)</f>
        <v>0</v>
      </c>
      <c r="BN56" s="110">
        <v>0.53125</v>
      </c>
      <c r="BO56" s="211">
        <f>IF('Temperature Profiles'!L55&lt;16,(-0.01*'Temperature Profiles'!L55+0.167)*1000,0)</f>
        <v>0</v>
      </c>
      <c r="BP56" s="21"/>
      <c r="BQ56" s="110">
        <v>0.53125</v>
      </c>
      <c r="BR56" s="211">
        <f>IF('Temperature Profiles'!Q55&lt;16,(-0.0037*'Temperature Profiles'!Q55+0.0664)*1000,0)</f>
        <v>0</v>
      </c>
      <c r="BS56" s="110">
        <v>0.53125</v>
      </c>
      <c r="BT56" s="211">
        <f>IF('Temperature Profiles'!Q55&lt;16,(-0.0076*'Temperature Profiles'!Q55+0.1245)*1000,0)</f>
        <v>0</v>
      </c>
      <c r="BU56" s="110">
        <v>0.53125</v>
      </c>
      <c r="BV56" s="211">
        <f>IF('Temperature Profiles'!Q55&lt;16,(-0.01*'Temperature Profiles'!Q55+0.167)*1000,0)</f>
        <v>0</v>
      </c>
      <c r="BW56" s="21"/>
      <c r="BX56" s="110">
        <v>0.53125</v>
      </c>
      <c r="BY56" s="211">
        <f>IF('Temperature Profiles'!V55&lt;16,(-0.0037*'Temperature Profiles'!V55+0.0664)*1000,0)</f>
        <v>0</v>
      </c>
      <c r="BZ56" s="110">
        <v>0.53125</v>
      </c>
      <c r="CA56" s="211">
        <f>IF('Temperature Profiles'!V55&lt;16,(-0.0076*'Temperature Profiles'!V55+0.1245)*1000,0)</f>
        <v>0</v>
      </c>
      <c r="CB56" s="110">
        <v>0.53125</v>
      </c>
      <c r="CC56" s="211">
        <f>IF('Temperature Profiles'!V55&lt;16,(-0.01*'Temperature Profiles'!V55+0.167)*1000,0)</f>
        <v>0</v>
      </c>
      <c r="CD56" s="21"/>
      <c r="CE56" s="110">
        <v>0.53125</v>
      </c>
      <c r="CF56" s="211">
        <f>IF('Temperature Profiles'!AA55&lt;16,(-0.0037*'Temperature Profiles'!AA55+0.0664)*1000,0)</f>
        <v>89.370833333333337</v>
      </c>
      <c r="CG56" s="110">
        <v>0.53125</v>
      </c>
      <c r="CH56" s="178">
        <f>IF('Temperature Profiles'!AA55&lt;16,(-0.0076*'Temperature Profiles'!AA55+0.1245)*1000,0)</f>
        <v>171.68333333333337</v>
      </c>
      <c r="CI56" s="110">
        <v>0.53125</v>
      </c>
      <c r="CJ56" s="211">
        <f>IF('Temperature Profiles'!AA55&lt;16,(-0.01*'Temperature Profiles'!AA55+0.167)*1000,0)</f>
        <v>229.08333333333337</v>
      </c>
      <c r="CK56" s="21"/>
      <c r="CL56" s="110">
        <v>0.53125</v>
      </c>
      <c r="CM56" s="211">
        <f>IF('Temperature Profiles'!AF55&lt;16,(-0.0037*'Temperature Profiles'!AF55+0.0664)*1000,0)</f>
        <v>0</v>
      </c>
      <c r="CN56" s="110">
        <v>0.53125</v>
      </c>
      <c r="CO56" s="178">
        <f>IF('Temperature Profiles'!AF55&lt;16,(-0.0076*'Temperature Profiles'!AF55+0.1245)*1000,0)</f>
        <v>0</v>
      </c>
      <c r="CP56" s="110">
        <v>0.53125</v>
      </c>
      <c r="CQ56" s="211">
        <f>IF('Temperature Profiles'!AF55&lt;16,(-0.01*'Temperature Profiles'!AF55+0.167)*1000,0)</f>
        <v>0</v>
      </c>
      <c r="CR56" s="21"/>
      <c r="CS56" s="110">
        <v>0.53125</v>
      </c>
      <c r="CT56" s="211"/>
      <c r="CU56" s="21"/>
      <c r="CV56" s="110">
        <v>0.53125</v>
      </c>
      <c r="CW56" s="264"/>
      <c r="CY56" s="260">
        <v>0.53125</v>
      </c>
      <c r="CZ56" s="178">
        <f>IF('Temperature Profiles'!G55&gt;18,(0.0024*('Temperature Profiles'!G55^2)-0.0581*'Temperature Profiles'!G55+0.3293)*1000,IF('Temperature Profiles'!G55&lt;17,(0.0022*('Temperature Profiles'!G55^2)-0.0874*'Temperature Profiles'!G55+0.9301)*1000,0))</f>
        <v>155.00600000000003</v>
      </c>
      <c r="DA56" s="110">
        <v>0.53125</v>
      </c>
      <c r="DB56" s="263">
        <f>IF('Temperature Profiles'!G55&gt;18,(0.0043*('Temperature Profiles'!G55^2)-0.1116*'Temperature Profiles'!G55+0.6576)*1000,IF('Temperature Profiles'!G55&lt;17,(0.0053*('Temperature Profiles'!G55^2)-0.1876*'Temperature Profiles'!G55+1.7649)*1000,0))</f>
        <v>189.98700000000014</v>
      </c>
      <c r="DC56" s="110">
        <v>0.53125</v>
      </c>
      <c r="DD56" s="211">
        <f>IF('Temperature Profiles'!G55&gt;18,(0.0057*('Temperature Profiles'!G55^2)-0.1509*'Temperature Profiles'!G55+0.8935)*1000,IF('Temperature Profiles'!G55&lt;17,(0.0072*('Temperature Profiles'!G55^2)-0.254*'Temperature Profiles'!G55+2.3952)*1000,0))</f>
        <v>212.26300000000055</v>
      </c>
      <c r="DE56" s="21"/>
      <c r="DF56" s="110">
        <v>0.53125</v>
      </c>
      <c r="DG56" s="209">
        <f>IF('Temperature Profiles'!L55&gt;18,(0.0024*('Temperature Profiles'!L55^2)-0.0581*'Temperature Profiles'!L55+0.3293)*1000,IF('Temperature Profiles'!L55&lt;17,(0.0022*('Temperature Profiles'!L55^2)-0.0874*'Temperature Profiles'!L55+0.9301)*1000,0))</f>
        <v>539.18399999999963</v>
      </c>
      <c r="DH56" s="110">
        <v>0.53125</v>
      </c>
      <c r="DI56" s="209">
        <f>IF('Temperature Profiles'!L55&gt;18,(0.0043*('Temperature Profiles'!L55^2)-0.1116*'Temperature Profiles'!L55+0.6576)*1000,IF('Temperature Profiles'!L55&lt;17,(0.0053*('Temperature Profiles'!L55^2)-0.1876*'Temperature Profiles'!L55+1.7649)*1000,0))</f>
        <v>828.02799999999934</v>
      </c>
      <c r="DJ56" s="110">
        <v>0.53125</v>
      </c>
      <c r="DK56" s="211">
        <f>IF('Temperature Profiles'!L55&gt;18,(0.0057*('Temperature Profiles'!L55^2)-0.1509*'Temperature Profiles'!L55+0.8935)*1000,IF('Temperature Profiles'!L55&lt;17,(0.0072*('Temperature Profiles'!L55^2)-0.254*'Temperature Profiles'!L55+2.3952)*1000,0))</f>
        <v>1038.1719999999989</v>
      </c>
      <c r="DL56" s="21"/>
      <c r="DM56" s="110">
        <v>0.53125</v>
      </c>
      <c r="DN56" s="209">
        <f>IF('Temperature Profiles'!Q55&gt;18,(0.0024*('Temperature Profiles'!Q55^2)-0.0581*'Temperature Profiles'!Q55+0.3293)*1000,IF('Temperature Profiles'!Q55&lt;17,(0.0022*('Temperature Profiles'!Q55^2)-0.0874*'Temperature Profiles'!Q55+0.9301)*1000,0))</f>
        <v>879.7743333333334</v>
      </c>
      <c r="DO56" s="110">
        <v>0.53125</v>
      </c>
      <c r="DP56" s="209">
        <f>IF('Temperature Profiles'!Q55&gt;18,(0.0043*('Temperature Profiles'!Q55^2)-0.1116*'Temperature Profiles'!Q55+0.6576)*1000,IF('Temperature Profiles'!Q55&lt;17,(0.0053*('Temperature Profiles'!Q55^2)-0.1876*'Temperature Profiles'!Q55+1.7649)*1000,0))</f>
        <v>1407.5477986111116</v>
      </c>
      <c r="DQ56" s="110">
        <v>0.53125</v>
      </c>
      <c r="DR56" s="211">
        <f>IF('Temperature Profiles'!Q55&gt;18,(0.0057*('Temperature Profiles'!Q55^2)-0.1509*'Temperature Profiles'!Q55+0.8935)*1000,IF('Temperature Profiles'!Q55&lt;17,(0.0072*('Temperature Profiles'!Q55^2)-0.254*'Temperature Profiles'!Q55+2.3952)*1000,0))</f>
        <v>1794.2403958333339</v>
      </c>
      <c r="DS56" s="21"/>
      <c r="DT56" s="110">
        <v>0.53125</v>
      </c>
      <c r="DU56" s="209">
        <f>IF('Temperature Profiles'!V55&gt;18,(0.0024*('Temperature Profiles'!V55^2)-0.0581*'Temperature Profiles'!V55+0.3293)*1000,IF('Temperature Profiles'!V55&lt;17,(0.0022*('Temperature Profiles'!V55^2)-0.0874*'Temperature Profiles'!V55+0.9301)*1000,0))</f>
        <v>0</v>
      </c>
      <c r="DV56" s="110">
        <v>0.53125</v>
      </c>
      <c r="DW56" s="209">
        <f>IF('Temperature Profiles'!V55&gt;18,(0.0043*('Temperature Profiles'!V55^2)-0.1116*'Temperature Profiles'!V55+0.6576)*1000,IF('Temperature Profiles'!V55&lt;17,(0.0053*('Temperature Profiles'!V55^2)-0.1876*'Temperature Profiles'!V55+1.7649)*1000,0))</f>
        <v>0</v>
      </c>
      <c r="DX56" s="110">
        <v>0.53125</v>
      </c>
      <c r="DY56" s="211">
        <f>IF('Temperature Profiles'!V55&gt;18,(0.0057*('Temperature Profiles'!V55^2)-0.1509*'Temperature Profiles'!V55+0.8935)*1000,IF('Temperature Profiles'!V55&lt;17,(0.0072*('Temperature Profiles'!V55^2)-0.254*'Temperature Profiles'!V55+2.3952)*1000,0))</f>
        <v>0</v>
      </c>
      <c r="DZ56" s="21"/>
      <c r="EA56" s="110">
        <v>0.53125</v>
      </c>
      <c r="EB56" s="209">
        <f>IF('Temperature Profiles'!AA154&gt;18,(0.0024*('Temperature Profiles'!AA154^2)-0.0581*'Temperature Profiles'!AA154+0.3293)*1000,IF('Temperature Profiles'!AA154&lt;17,(0.0022*('Temperature Profiles'!AA154^2)-0.0874*'Temperature Profiles'!AA154+0.9301)*1000,0))</f>
        <v>388.00415277777779</v>
      </c>
      <c r="EC56" s="110">
        <v>0.53125</v>
      </c>
      <c r="ED56" s="209">
        <f>IF('Temperature Profiles'!AA154&gt;18,(0.0043*('Temperature Profiles'!AA154^2)-0.1116*'Temperature Profiles'!AA154+0.6576)*1000,IF('Temperature Profiles'!AA154&lt;17,(0.0053*('Temperature Profiles'!AA154^2)-0.1876*'Temperature Profiles'!AA154+1.7649)*1000,0))</f>
        <v>635.50053472222248</v>
      </c>
      <c r="EE56" s="110">
        <v>0.53125</v>
      </c>
      <c r="EF56" s="211">
        <f>IF('Temperature Profiles'!AA154&gt;18,(0.0057*('Temperature Profiles'!AA154^2)-0.1509*'Temperature Profiles'!AA154+0.8935)*1000,IF('Temperature Profiles'!AA154&lt;17,(0.0072*('Temperature Profiles'!AA154^2)-0.254*'Temperature Profiles'!AA154+2.3952)*1000,0))</f>
        <v>867.48116666666681</v>
      </c>
      <c r="EG56" s="21"/>
      <c r="EH56" s="110">
        <v>0.53125</v>
      </c>
      <c r="EI56" s="211">
        <f>IF('Temperature Profiles'!AF55&gt;18,(0.0024*('Temperature Profiles'!AF55^2)-0.0581*'Temperature Profiles'!AF55+0.3293)*1000,IF('Temperature Profiles'!AF55&lt;17,(0.0022*('Temperature Profiles'!AF55^2)-0.0874*'Temperature Profiles'!AF55+0.9301)*1000,0))</f>
        <v>1115.2</v>
      </c>
      <c r="EJ56" s="110">
        <v>0.53125</v>
      </c>
      <c r="EK56" s="211">
        <f>IF('Temperature Profiles'!AF55&gt;18,(0.0043*('Temperature Profiles'!AF55^2)-0.1116*'Temperature Profiles'!AF55+0.6576)*1000,IF('Temperature Profiles'!AF55&lt;17,(0.0053*('Temperature Profiles'!AF55^2)-0.1876*'Temperature Profiles'!AF55+1.7649)*1000,0))</f>
        <v>1811.4671874999995</v>
      </c>
      <c r="EL56" s="110">
        <v>0.53125</v>
      </c>
      <c r="EM56" s="211">
        <f>IF('Temperature Profiles'!AF55&gt;18,(0.0057*('Temperature Profiles'!AF55^2)-0.1509*'Temperature Profiles'!AF55+0.8935)*1000,IF('Temperature Profiles'!AF55&lt;17,(0.0072*('Temperature Profiles'!AF55^2)-0.254*'Temperature Profiles'!AF55+2.3952)*1000,0))</f>
        <v>2322.6015624999995</v>
      </c>
      <c r="EN56" s="21"/>
      <c r="EO56" s="110">
        <v>0.53125</v>
      </c>
      <c r="EP56" s="211"/>
      <c r="EQ56" s="21"/>
      <c r="ER56" s="110">
        <v>0.53125</v>
      </c>
      <c r="ES56" s="264"/>
      <c r="EU56" s="260">
        <v>0.53125</v>
      </c>
      <c r="EV56" s="209">
        <f>IF('Temperature Profiles'!AA154&gt;18,(0.0024*('Temperature Profiles'!AA154^2)-0.0581*'Temperature Profiles'!AA154+0.3293)*1000,IF('Temperature Profiles'!AA154&lt;17,(0.0022*('Temperature Profiles'!AA154^2)-0.0874*'Temperature Profiles'!AA154+0.9301)*1000,0))</f>
        <v>388.00415277777779</v>
      </c>
      <c r="EW56" s="110">
        <v>0.53125</v>
      </c>
      <c r="EX56" s="209">
        <f>IF('Temperature Profiles'!AA154&gt;18,(0.0043*('Temperature Profiles'!AA154^2)-0.1116*'Temperature Profiles'!AA154+0.6576)*1000,IF('Temperature Profiles'!AA154&lt;17,(0.0053*('Temperature Profiles'!AA154^2)-0.1876*'Temperature Profiles'!AA154+1.7649)*1000,0))</f>
        <v>635.50053472222248</v>
      </c>
      <c r="EY56" s="110">
        <v>0.53125</v>
      </c>
      <c r="EZ56" s="264">
        <f>IF('Temperature Profiles'!AA154&gt;18,(0.0057*('Temperature Profiles'!AA154^2)-0.1509*'Temperature Profiles'!AA154+0.8935)*1000,IF('Temperature Profiles'!AA154&lt;17,(0.0072*('Temperature Profiles'!AA154^2)-0.254*'Temperature Profiles'!AA154+2.3952)*1000,0))</f>
        <v>867.48116666666681</v>
      </c>
    </row>
    <row r="57" spans="1:156" x14ac:dyDescent="0.3">
      <c r="A57" s="108">
        <v>0.53125</v>
      </c>
      <c r="B57" s="226">
        <f t="shared" si="0"/>
        <v>0</v>
      </c>
      <c r="C57" s="21">
        <f t="shared" si="1"/>
        <v>229.08333333333337</v>
      </c>
      <c r="D57" s="20">
        <f t="shared" si="2"/>
        <v>867.48116666666681</v>
      </c>
      <c r="E57" s="20">
        <f t="shared" si="3"/>
        <v>867.48116666666681</v>
      </c>
      <c r="G57" s="260">
        <v>0.54166666666666696</v>
      </c>
      <c r="H57" s="211">
        <f>IF('Temperature Profiles'!G56&gt;17,(0.0029*('Temperature Profiles'!G56^2) - 0.0863*'Temperature Profiles'!G56 + 0.6808)*1000,0)</f>
        <v>184.08420138888891</v>
      </c>
      <c r="I57" s="110">
        <v>0.54166666666666696</v>
      </c>
      <c r="J57" s="211">
        <f>IF('Temperature Profiles'!G56&gt;17,(0.005*('Temperature Profiles'!G56^2) - 0.1517*'Temperature Profiles'!G56 + 1.1702)*1000,0)</f>
        <v>249.96284722222217</v>
      </c>
      <c r="K57" s="110">
        <v>0.54166666666666696</v>
      </c>
      <c r="L57" s="211">
        <f>IF('Temperature Profiles'!G56&gt;17,(0.0068*('Temperature Profiles'!G56^2) - 0.2129*'Temperature Profiles'!G56 + 1.6904)*1000,0)</f>
        <v>294.21597222222175</v>
      </c>
      <c r="M57" s="21"/>
      <c r="N57" s="110">
        <v>0.54166666666666696</v>
      </c>
      <c r="O57" s="211">
        <f>IF('Temperature Profiles'!L56&gt;17,(0.0029*('Temperature Profiles'!L56^2) - 0.0863*'Temperature Profiles'!L56 + 0.6808)*1000,0)</f>
        <v>552.69236805555568</v>
      </c>
      <c r="P57" s="110">
        <v>0.54166666666666696</v>
      </c>
      <c r="Q57" s="211">
        <f>IF('Temperature Profiles'!L56&gt;17,(0.005*('Temperature Profiles'!L56^2) - 0.1517*'Temperature Profiles'!L56 + 1.1702)*1000,0)</f>
        <v>867.37451388888906</v>
      </c>
      <c r="R57" s="110">
        <v>0.54166666666666696</v>
      </c>
      <c r="S57" s="211">
        <f>IF('Temperature Profiles'!L56&gt;17,(0.0068*('Temperature Profiles'!L56^2) - 0.2129*'Temperature Profiles'!L56 + 1.6904)*1000,0)</f>
        <v>1092.8306388888891</v>
      </c>
      <c r="T57" s="21"/>
      <c r="U57" s="110">
        <v>0.54166666666666696</v>
      </c>
      <c r="V57" s="211">
        <f>IF('Temperature Profiles'!Q56&gt;17,(0.0029*('Temperature Profiles'!Q56^2) - 0.0863*'Temperature Profiles'!Q56 + 0.6808)*1000,0)</f>
        <v>952.85322222222158</v>
      </c>
      <c r="W57" s="110">
        <v>0.54166666666666696</v>
      </c>
      <c r="X57" s="211">
        <f>IF('Temperature Profiles'!Q56&gt;17,(0.005*('Temperature Profiles'!Q56^2) - 0.1517*'Temperature Profiles'!Q56 + 1.1702)*1000,0)</f>
        <v>1544.3955555555547</v>
      </c>
      <c r="Y57" s="110">
        <v>0.54166666666666696</v>
      </c>
      <c r="Z57" s="211">
        <f>IF('Temperature Profiles'!Q56&gt;17,(0.0068*('Temperature Profiles'!Q56^2) - 0.2129*'Temperature Profiles'!Q56 + 1.6904)*1000,0)</f>
        <v>1984.3175555555538</v>
      </c>
      <c r="AA57" s="21"/>
      <c r="AB57" s="110">
        <v>0.54166666666666696</v>
      </c>
      <c r="AC57" s="211">
        <f>IF('Temperature Profiles'!V56&gt;17,(0.0029*('Temperature Profiles'!V56^2) - 0.0863*'Temperature Profiles'!V56 + 0.6808)*1000,0)</f>
        <v>73.858201388888773</v>
      </c>
      <c r="AD57" s="110">
        <v>0.54166666666666696</v>
      </c>
      <c r="AE57" s="211">
        <f>IF('Temperature Profiles'!V56&gt;17,(0.005*('Temperature Profiles'!V56^2) - 0.1517*'Temperature Profiles'!V56 + 1.1702)*1000,0)</f>
        <v>70.382847222222097</v>
      </c>
      <c r="AF57" s="110">
        <v>0.54166666666666696</v>
      </c>
      <c r="AG57" s="211">
        <f>IF('Temperature Profiles'!V56&gt;17,(0.0068*('Temperature Profiles'!V56^2) - 0.2129*'Temperature Profiles'!V56 + 1.6904)*1000,0)</f>
        <v>73.703972222221921</v>
      </c>
      <c r="AH57" s="21"/>
      <c r="AI57" s="110">
        <v>0.54166666666666696</v>
      </c>
      <c r="AJ57" s="211">
        <f>IF('Temperature Profiles'!AA56&gt;17,(0.0029*('Temperature Profiles'!AA56^2) - 0.0863*'Temperature Profiles'!AA56 + 0.6808)*1000,0)</f>
        <v>0</v>
      </c>
      <c r="AK57" s="110">
        <v>0.54166666666666696</v>
      </c>
      <c r="AL57" s="211">
        <f>IF('Temperature Profiles'!AA56&gt;17,(0.005*('Temperature Profiles'!AA56^2) - 0.1517*'Temperature Profiles'!AA56 + 1.1701)*1000,0)</f>
        <v>0</v>
      </c>
      <c r="AM57" s="110">
        <v>0.54166666666666696</v>
      </c>
      <c r="AN57" s="211">
        <f>IF('Temperature Profiles'!AA56&gt;17,(0.0068*('Temperature Profiles'!AA56^2) - 0.2129*'Temperature Profiles'!AA56 + 1.6904)*1000,0)</f>
        <v>0</v>
      </c>
      <c r="AO57" s="21"/>
      <c r="AP57" s="110">
        <v>0.54166666666666696</v>
      </c>
      <c r="AQ57" s="211">
        <f>IF('Temperature Profiles'!AF56&gt;17,(0.0029*('Temperature Profiles'!AF56^2) - 0.0863*'Temperature Profiles'!AF56 + 0.6808)*1000,0)</f>
        <v>1152.3318125000008</v>
      </c>
      <c r="AR57" s="110">
        <v>0.54166666666666696</v>
      </c>
      <c r="AS57" s="183">
        <f>IF('Temperature Profiles'!AF56&gt;17,(0.005*('Temperature Profiles'!AF56^2) - 0.1517*'Temperature Profiles'!AF56 + 1.1702)*1000,0)</f>
        <v>1882.9706250000017</v>
      </c>
      <c r="AT57" s="110">
        <v>0.54166666666666696</v>
      </c>
      <c r="AU57" s="211">
        <f>IF('Temperature Profiles'!AF56&gt;17,(0.0068*('Temperature Profiles'!AF56^2) - 0.2129*'Temperature Profiles'!AF56 + 1.6904)*1000,0)</f>
        <v>2432.6467500000012</v>
      </c>
      <c r="AV57" s="21"/>
      <c r="AW57" s="110">
        <v>0.54166666666666696</v>
      </c>
      <c r="AX57" s="211"/>
      <c r="AY57" s="21"/>
      <c r="AZ57" s="110">
        <v>0.54166666666666696</v>
      </c>
      <c r="BA57" s="264"/>
      <c r="BC57" s="260">
        <v>0.54166666666666696</v>
      </c>
      <c r="BD57" s="211">
        <f>IF('Temperature Profiles'!G56&lt;16,(-0.0037*'Temperature Profiles'!G56+0.0664)*1000,0)</f>
        <v>0</v>
      </c>
      <c r="BE57" s="110">
        <v>0.54166666666666696</v>
      </c>
      <c r="BF57" s="211">
        <f>IF('Temperature Profiles'!G56&lt;16,(-0.0076*'Temperature Profiles'!G56+0.1245)*1000,0)</f>
        <v>0</v>
      </c>
      <c r="BG57" s="110">
        <v>0.54166666666666696</v>
      </c>
      <c r="BH57" s="211">
        <f>IF('Temperature Profiles'!G56&lt;16,(-0.01*'Temperature Profiles'!G56+0.167)*1000,0)</f>
        <v>0</v>
      </c>
      <c r="BI57" s="21"/>
      <c r="BJ57" s="110">
        <v>0.54166666666666696</v>
      </c>
      <c r="BK57" s="211">
        <f>IF('Temperature Profiles'!L56&lt;16,(-0.0037*'Temperature Profiles'!L56+0.0664)*1000,0)</f>
        <v>0</v>
      </c>
      <c r="BL57" s="110">
        <v>0.54166666666666696</v>
      </c>
      <c r="BM57" s="211">
        <f>IF('Temperature Profiles'!L56&lt;16,(-0.0076*'Temperature Profiles'!L56+0.1245)*1000,0)</f>
        <v>0</v>
      </c>
      <c r="BN57" s="110">
        <v>0.54166666666666696</v>
      </c>
      <c r="BO57" s="211">
        <f>IF('Temperature Profiles'!L56&lt;16,(-0.01*'Temperature Profiles'!L56+0.167)*1000,0)</f>
        <v>0</v>
      </c>
      <c r="BP57" s="21"/>
      <c r="BQ57" s="110">
        <v>0.54166666666666696</v>
      </c>
      <c r="BR57" s="211">
        <f>IF('Temperature Profiles'!Q56&lt;16,(-0.0037*'Temperature Profiles'!Q56+0.0664)*1000,0)</f>
        <v>0</v>
      </c>
      <c r="BS57" s="110">
        <v>0.54166666666666696</v>
      </c>
      <c r="BT57" s="211">
        <f>IF('Temperature Profiles'!Q56&lt;16,(-0.0076*'Temperature Profiles'!Q56+0.1245)*1000,0)</f>
        <v>0</v>
      </c>
      <c r="BU57" s="110">
        <v>0.54166666666666696</v>
      </c>
      <c r="BV57" s="211">
        <f>IF('Temperature Profiles'!Q56&lt;16,(-0.01*'Temperature Profiles'!Q56+0.167)*1000,0)</f>
        <v>0</v>
      </c>
      <c r="BW57" s="21"/>
      <c r="BX57" s="110">
        <v>0.54166666666666696</v>
      </c>
      <c r="BY57" s="211">
        <f>IF('Temperature Profiles'!V56&lt;16,(-0.0037*'Temperature Profiles'!V56+0.0664)*1000,0)</f>
        <v>0</v>
      </c>
      <c r="BZ57" s="110">
        <v>0.54166666666666696</v>
      </c>
      <c r="CA57" s="211">
        <f>IF('Temperature Profiles'!V56&lt;16,(-0.0076*'Temperature Profiles'!V56+0.1245)*1000,0)</f>
        <v>0</v>
      </c>
      <c r="CB57" s="110">
        <v>0.54166666666666696</v>
      </c>
      <c r="CC57" s="211">
        <f>IF('Temperature Profiles'!V56&lt;16,(-0.01*'Temperature Profiles'!V56+0.167)*1000,0)</f>
        <v>0</v>
      </c>
      <c r="CD57" s="21"/>
      <c r="CE57" s="110">
        <v>0.54166666666666696</v>
      </c>
      <c r="CF57" s="211">
        <f>IF('Temperature Profiles'!AA56&lt;16,(-0.0037*'Temperature Profiles'!AA56+0.0664)*1000,0)</f>
        <v>84.160000000000011</v>
      </c>
      <c r="CG57" s="110">
        <v>0.54166666666666696</v>
      </c>
      <c r="CH57" s="178">
        <f>IF('Temperature Profiles'!AA56&lt;16,(-0.0076*'Temperature Profiles'!AA56+0.1245)*1000,0)</f>
        <v>160.98000000000002</v>
      </c>
      <c r="CI57" s="110">
        <v>0.54166666666666696</v>
      </c>
      <c r="CJ57" s="211">
        <f>IF('Temperature Profiles'!AA56&lt;16,(-0.01*'Temperature Profiles'!AA56+0.167)*1000,0)</f>
        <v>215.00000000000003</v>
      </c>
      <c r="CK57" s="21"/>
      <c r="CL57" s="110">
        <v>0.54166666666666696</v>
      </c>
      <c r="CM57" s="211">
        <f>IF('Temperature Profiles'!AF56&lt;16,(-0.0037*'Temperature Profiles'!AF56+0.0664)*1000,0)</f>
        <v>0</v>
      </c>
      <c r="CN57" s="110">
        <v>0.54166666666666696</v>
      </c>
      <c r="CO57" s="178">
        <f>IF('Temperature Profiles'!AF56&lt;16,(-0.0076*'Temperature Profiles'!AF56+0.1245)*1000,0)</f>
        <v>0</v>
      </c>
      <c r="CP57" s="110">
        <v>0.54166666666666696</v>
      </c>
      <c r="CQ57" s="211">
        <f>IF('Temperature Profiles'!AF56&lt;16,(-0.01*'Temperature Profiles'!AF56+0.167)*1000,0)</f>
        <v>0</v>
      </c>
      <c r="CR57" s="21"/>
      <c r="CS57" s="110">
        <v>0.54166666666666696</v>
      </c>
      <c r="CT57" s="211"/>
      <c r="CU57" s="21"/>
      <c r="CV57" s="110">
        <v>0.54166666666666696</v>
      </c>
      <c r="CW57" s="264"/>
      <c r="CY57" s="260">
        <v>0.54166666666666696</v>
      </c>
      <c r="CZ57" s="178">
        <f>IF('Temperature Profiles'!G56&gt;18,(0.0024*('Temperature Profiles'!G56^2)-0.0581*'Temperature Profiles'!G56+0.3293)*1000,IF('Temperature Profiles'!G56&lt;17,(0.0022*('Temperature Profiles'!G56^2)-0.0874*'Temperature Profiles'!G56+0.9301)*1000,0))</f>
        <v>210.72500000000011</v>
      </c>
      <c r="DA57" s="110">
        <v>0.54166666666666696</v>
      </c>
      <c r="DB57" s="263">
        <f>IF('Temperature Profiles'!G56&gt;18,(0.0043*('Temperature Profiles'!G56^2)-0.1116*'Temperature Profiles'!G56+0.6576)*1000,IF('Temperature Profiles'!G56&lt;17,(0.0053*('Temperature Profiles'!G56^2)-0.1876*'Temperature Profiles'!G56+1.7649)*1000,0))</f>
        <v>280.3741319444448</v>
      </c>
      <c r="DC57" s="110">
        <v>0.54166666666666696</v>
      </c>
      <c r="DD57" s="211">
        <f>IF('Temperature Profiles'!G56&gt;18,(0.0057*('Temperature Profiles'!G56^2)-0.1509*'Temperature Profiles'!G56+0.8935)*1000,IF('Temperature Profiles'!G56&lt;17,(0.0072*('Temperature Profiles'!G56^2)-0.254*'Temperature Profiles'!G56+2.3952)*1000,0))</f>
        <v>328.34739583333362</v>
      </c>
      <c r="DE57" s="21"/>
      <c r="DF57" s="110">
        <v>0.54166666666666696</v>
      </c>
      <c r="DG57" s="209">
        <f>IF('Temperature Profiles'!L56&gt;18,(0.0024*('Temperature Profiles'!L56^2)-0.0581*'Temperature Profiles'!L56+0.3293)*1000,IF('Temperature Profiles'!L56&lt;17,(0.0022*('Temperature Profiles'!L56^2)-0.0874*'Temperature Profiles'!L56+0.9301)*1000,0))</f>
        <v>598.8123333333333</v>
      </c>
      <c r="DH57" s="110">
        <v>0.54166666666666696</v>
      </c>
      <c r="DI57" s="209">
        <f>IF('Temperature Profiles'!L56&gt;18,(0.0043*('Temperature Profiles'!L56^2)-0.1116*'Temperature Profiles'!L56+0.6576)*1000,IF('Temperature Profiles'!L56&lt;17,(0.0053*('Temperature Profiles'!L56^2)-0.1876*'Temperature Profiles'!L56+1.7649)*1000,0))</f>
        <v>928.9212986111113</v>
      </c>
      <c r="DJ57" s="110">
        <v>0.54166666666666696</v>
      </c>
      <c r="DK57" s="211">
        <f>IF('Temperature Profiles'!L56&gt;18,(0.0057*('Temperature Profiles'!L56^2)-0.1509*'Temperature Profiles'!L56+0.8935)*1000,IF('Temperature Profiles'!L56&lt;17,(0.0072*('Temperature Profiles'!L56^2)-0.254*'Temperature Profiles'!L56+2.3952)*1000,0))</f>
        <v>1169.5668958333338</v>
      </c>
      <c r="DL57" s="21"/>
      <c r="DM57" s="110">
        <v>0.54166666666666696</v>
      </c>
      <c r="DN57" s="209">
        <f>IF('Temperature Profiles'!Q56&gt;18,(0.0024*('Temperature Profiles'!Q56^2)-0.0581*'Temperature Profiles'!Q56+0.3293)*1000,IF('Temperature Profiles'!Q56&lt;17,(0.0022*('Temperature Profiles'!Q56^2)-0.0874*'Temperature Profiles'!Q56+0.9301)*1000,0))</f>
        <v>989.14599999999939</v>
      </c>
      <c r="DO57" s="110">
        <v>0.54166666666666696</v>
      </c>
      <c r="DP57" s="209">
        <f>IF('Temperature Profiles'!Q56&gt;18,(0.0043*('Temperature Profiles'!Q56^2)-0.1116*'Temperature Profiles'!Q56+0.6576)*1000,IF('Temperature Profiles'!Q56&lt;17,(0.0053*('Temperature Profiles'!Q56^2)-0.1876*'Temperature Profiles'!Q56+1.7649)*1000,0))</f>
        <v>1594.9381111111104</v>
      </c>
      <c r="DQ57" s="110">
        <v>0.54166666666666696</v>
      </c>
      <c r="DR57" s="211">
        <f>IF('Temperature Profiles'!Q56&gt;18,(0.0057*('Temperature Profiles'!Q56^2)-0.1509*'Temperature Profiles'!Q56+0.8935)*1000,IF('Temperature Profiles'!Q56&lt;17,(0.0072*('Temperature Profiles'!Q56^2)-0.254*'Temperature Profiles'!Q56+2.3952)*1000,0))</f>
        <v>2039.2563333333328</v>
      </c>
      <c r="DS57" s="21"/>
      <c r="DT57" s="110">
        <v>0.54166666666666696</v>
      </c>
      <c r="DU57" s="209">
        <f>IF('Temperature Profiles'!V56&gt;18,(0.0024*('Temperature Profiles'!V56^2)-0.0581*'Temperature Profiles'!V56+0.3293)*1000,IF('Temperature Profiles'!V56&lt;17,(0.0022*('Temperature Profiles'!V56^2)-0.0874*'Temperature Profiles'!V56+0.9301)*1000,0))</f>
        <v>71.548999999999921</v>
      </c>
      <c r="DV57" s="110">
        <v>0.54166666666666696</v>
      </c>
      <c r="DW57" s="209">
        <f>IF('Temperature Profiles'!V56&gt;18,(0.0043*('Temperature Profiles'!V56^2)-0.1116*'Temperature Profiles'!V56+0.6576)*1000,IF('Temperature Profiles'!V56&lt;17,(0.0053*('Temperature Profiles'!V56^2)-0.1876*'Temperature Profiles'!V56+1.7649)*1000,0))</f>
        <v>58.032131944444117</v>
      </c>
      <c r="DX57" s="110">
        <v>0.54166666666666696</v>
      </c>
      <c r="DY57" s="211">
        <f>IF('Temperature Profiles'!V56&gt;18,(0.0057*('Temperature Profiles'!V56^2)-0.1509*'Temperature Profiles'!V56+0.8935)*1000,IF('Temperature Profiles'!V56&lt;17,(0.0072*('Temperature Profiles'!V56^2)-0.254*'Temperature Profiles'!V56+2.3952)*1000,0))</f>
        <v>44.289395833333025</v>
      </c>
      <c r="DZ57" s="21"/>
      <c r="EA57" s="110">
        <v>0.54166666666666696</v>
      </c>
      <c r="EB57" s="209">
        <f>IF('Temperature Profiles'!AA155&gt;18,(0.0024*('Temperature Profiles'!AA155^2)-0.0581*'Temperature Profiles'!AA155+0.3293)*1000,IF('Temperature Profiles'!AA155&lt;17,(0.0022*('Temperature Profiles'!AA155^2)-0.0874*'Temperature Profiles'!AA155+0.9301)*1000,0))</f>
        <v>333.78750000000002</v>
      </c>
      <c r="EC57" s="110">
        <v>0.54166666666666696</v>
      </c>
      <c r="ED57" s="209">
        <f>IF('Temperature Profiles'!AA155&gt;18,(0.0043*('Temperature Profiles'!AA155^2)-0.1116*'Temperature Profiles'!AA155+0.6576)*1000,IF('Temperature Profiles'!AA155&lt;17,(0.0053*('Temperature Profiles'!AA155^2)-0.1876*'Temperature Profiles'!AA155+1.7649)*1000,0))</f>
        <v>529.18124999999998</v>
      </c>
      <c r="EE57" s="110">
        <v>0.54166666666666696</v>
      </c>
      <c r="EF57" s="211">
        <f>IF('Temperature Profiles'!AA155&gt;18,(0.0057*('Temperature Profiles'!AA155^2)-0.1509*'Temperature Profiles'!AA155+0.8935)*1000,IF('Temperature Profiles'!AA155&lt;17,(0.0072*('Temperature Profiles'!AA155^2)-0.254*'Temperature Profiles'!AA155+2.3952)*1000,0))</f>
        <v>723.94999999999982</v>
      </c>
      <c r="EG57" s="21"/>
      <c r="EH57" s="110">
        <v>0.54166666666666696</v>
      </c>
      <c r="EI57" s="211">
        <f>IF('Temperature Profiles'!AF56&gt;18,(0.0024*('Temperature Profiles'!AF56^2)-0.0581*'Temperature Profiles'!AF56+0.3293)*1000,IF('Temperature Profiles'!AF56&lt;17,(0.0022*('Temperature Profiles'!AF56^2)-0.0874*'Temperature Profiles'!AF56+0.9301)*1000,0))</f>
        <v>1178.7640000000006</v>
      </c>
      <c r="EJ57" s="110">
        <v>0.54166666666666696</v>
      </c>
      <c r="EK57" s="211">
        <f>IF('Temperature Profiles'!AF56&gt;18,(0.0043*('Temperature Profiles'!AF56^2)-0.1116*'Temperature Profiles'!AF56+0.6576)*1000,IF('Temperature Profiles'!AF56&lt;17,(0.0053*('Temperature Profiles'!AF56^2)-0.1876*'Temperature Profiles'!AF56+1.7649)*1000,0))</f>
        <v>1920.850187500002</v>
      </c>
      <c r="EL57" s="110">
        <v>0.54166666666666696</v>
      </c>
      <c r="EM57" s="211">
        <f>IF('Temperature Profiles'!AF56&gt;18,(0.0057*('Temperature Profiles'!AF56^2)-0.1509*'Temperature Profiles'!AF56+0.8935)*1000,IF('Temperature Profiles'!AF56&lt;17,(0.0072*('Temperature Profiles'!AF56^2)-0.254*'Temperature Profiles'!AF56+2.3952)*1000,0))</f>
        <v>2465.8185625000024</v>
      </c>
      <c r="EN57" s="21"/>
      <c r="EO57" s="110">
        <v>0.54166666666666696</v>
      </c>
      <c r="EP57" s="211"/>
      <c r="EQ57" s="21"/>
      <c r="ER57" s="110">
        <v>0.54166666666666696</v>
      </c>
      <c r="ES57" s="264"/>
      <c r="EU57" s="260">
        <v>0.54166666666666696</v>
      </c>
      <c r="EV57" s="209">
        <f>IF('Temperature Profiles'!AA155&gt;18,(0.0024*('Temperature Profiles'!AA155^2)-0.0581*'Temperature Profiles'!AA155+0.3293)*1000,IF('Temperature Profiles'!AA155&lt;17,(0.0022*('Temperature Profiles'!AA155^2)-0.0874*'Temperature Profiles'!AA155+0.9301)*1000,0))</f>
        <v>333.78750000000002</v>
      </c>
      <c r="EW57" s="110">
        <v>0.54166666666666696</v>
      </c>
      <c r="EX57" s="209">
        <f>IF('Temperature Profiles'!AA155&gt;18,(0.0043*('Temperature Profiles'!AA155^2)-0.1116*'Temperature Profiles'!AA155+0.6576)*1000,IF('Temperature Profiles'!AA155&lt;17,(0.0053*('Temperature Profiles'!AA155^2)-0.1876*'Temperature Profiles'!AA155+1.7649)*1000,0))</f>
        <v>529.18124999999998</v>
      </c>
      <c r="EY57" s="110">
        <v>0.54166666666666696</v>
      </c>
      <c r="EZ57" s="264">
        <f>IF('Temperature Profiles'!AA155&gt;18,(0.0057*('Temperature Profiles'!AA155^2)-0.1509*'Temperature Profiles'!AA155+0.8935)*1000,IF('Temperature Profiles'!AA155&lt;17,(0.0072*('Temperature Profiles'!AA155^2)-0.254*'Temperature Profiles'!AA155+2.3952)*1000,0))</f>
        <v>723.94999999999982</v>
      </c>
    </row>
    <row r="58" spans="1:156" x14ac:dyDescent="0.3">
      <c r="A58" s="108">
        <v>0.54166666666666696</v>
      </c>
      <c r="B58" s="226">
        <f t="shared" si="0"/>
        <v>0</v>
      </c>
      <c r="C58" s="21">
        <f t="shared" si="1"/>
        <v>215.00000000000003</v>
      </c>
      <c r="D58" s="20">
        <f t="shared" si="2"/>
        <v>723.94999999999982</v>
      </c>
      <c r="E58" s="20">
        <f t="shared" si="3"/>
        <v>723.94999999999982</v>
      </c>
      <c r="G58" s="260">
        <v>0.55208333333333304</v>
      </c>
      <c r="H58" s="211">
        <f>IF('Temperature Profiles'!G57&gt;17,(0.0029*('Temperature Profiles'!G57^2) - 0.0863*'Temperature Profiles'!G57 + 0.6808)*1000,0)</f>
        <v>184.08420138888891</v>
      </c>
      <c r="I58" s="110">
        <v>0.55208333333333304</v>
      </c>
      <c r="J58" s="211">
        <f>IF('Temperature Profiles'!G57&gt;17,(0.005*('Temperature Profiles'!G57^2) - 0.1517*'Temperature Profiles'!G57 + 1.1702)*1000,0)</f>
        <v>249.96284722222217</v>
      </c>
      <c r="K58" s="110">
        <v>0.55208333333333304</v>
      </c>
      <c r="L58" s="211">
        <f>IF('Temperature Profiles'!G57&gt;17,(0.0068*('Temperature Profiles'!G57^2) - 0.2129*'Temperature Profiles'!G57 + 1.6904)*1000,0)</f>
        <v>294.21597222222175</v>
      </c>
      <c r="M58" s="21"/>
      <c r="N58" s="110">
        <v>0.55208333333333304</v>
      </c>
      <c r="O58" s="211">
        <f>IF('Temperature Profiles'!L57&gt;17,(0.0029*('Temperature Profiles'!L57^2) - 0.0863*'Temperature Profiles'!L57 + 0.6808)*1000,0)</f>
        <v>552.69236805555568</v>
      </c>
      <c r="P58" s="110">
        <v>0.55208333333333304</v>
      </c>
      <c r="Q58" s="211">
        <f>IF('Temperature Profiles'!L57&gt;17,(0.005*('Temperature Profiles'!L57^2) - 0.1517*'Temperature Profiles'!L57 + 1.1702)*1000,0)</f>
        <v>867.37451388888906</v>
      </c>
      <c r="R58" s="110">
        <v>0.55208333333333304</v>
      </c>
      <c r="S58" s="211">
        <f>IF('Temperature Profiles'!L57&gt;17,(0.0068*('Temperature Profiles'!L57^2) - 0.2129*'Temperature Profiles'!L57 + 1.6904)*1000,0)</f>
        <v>1092.8306388888891</v>
      </c>
      <c r="T58" s="21"/>
      <c r="U58" s="110">
        <v>0.55208333333333304</v>
      </c>
      <c r="V58" s="211">
        <f>IF('Temperature Profiles'!Q57&gt;17,(0.0029*('Temperature Profiles'!Q57^2) - 0.0863*'Temperature Profiles'!Q57 + 0.6808)*1000,0)</f>
        <v>952.85322222222158</v>
      </c>
      <c r="W58" s="110">
        <v>0.55208333333333304</v>
      </c>
      <c r="X58" s="211">
        <f>IF('Temperature Profiles'!Q57&gt;17,(0.005*('Temperature Profiles'!Q57^2) - 0.1517*'Temperature Profiles'!Q57 + 1.1702)*1000,0)</f>
        <v>1544.3955555555547</v>
      </c>
      <c r="Y58" s="110">
        <v>0.55208333333333304</v>
      </c>
      <c r="Z58" s="211">
        <f>IF('Temperature Profiles'!Q57&gt;17,(0.0068*('Temperature Profiles'!Q57^2) - 0.2129*'Temperature Profiles'!Q57 + 1.6904)*1000,0)</f>
        <v>1984.3175555555538</v>
      </c>
      <c r="AA58" s="21"/>
      <c r="AB58" s="110">
        <v>0.55208333333333304</v>
      </c>
      <c r="AC58" s="211">
        <f>IF('Temperature Profiles'!V57&gt;17,(0.0029*('Temperature Profiles'!V57^2) - 0.0863*'Temperature Profiles'!V57 + 0.6808)*1000,0)</f>
        <v>73.858201388888773</v>
      </c>
      <c r="AD58" s="110">
        <v>0.55208333333333304</v>
      </c>
      <c r="AE58" s="211">
        <f>IF('Temperature Profiles'!V57&gt;17,(0.005*('Temperature Profiles'!V57^2) - 0.1517*'Temperature Profiles'!V57 + 1.1702)*1000,0)</f>
        <v>70.382847222222097</v>
      </c>
      <c r="AF58" s="110">
        <v>0.55208333333333304</v>
      </c>
      <c r="AG58" s="211">
        <f>IF('Temperature Profiles'!V57&gt;17,(0.0068*('Temperature Profiles'!V57^2) - 0.2129*'Temperature Profiles'!V57 + 1.6904)*1000,0)</f>
        <v>73.703972222221921</v>
      </c>
      <c r="AH58" s="21"/>
      <c r="AI58" s="110">
        <v>0.55208333333333304</v>
      </c>
      <c r="AJ58" s="211">
        <f>IF('Temperature Profiles'!AA57&gt;17,(0.0029*('Temperature Profiles'!AA57^2) - 0.0863*'Temperature Profiles'!AA57 + 0.6808)*1000,0)</f>
        <v>0</v>
      </c>
      <c r="AK58" s="110">
        <v>0.55208333333333304</v>
      </c>
      <c r="AL58" s="211">
        <f>IF('Temperature Profiles'!AA57&gt;17,(0.005*('Temperature Profiles'!AA57^2) - 0.1517*'Temperature Profiles'!AA57 + 1.1701)*1000,0)</f>
        <v>0</v>
      </c>
      <c r="AM58" s="110">
        <v>0.55208333333333304</v>
      </c>
      <c r="AN58" s="211">
        <f>IF('Temperature Profiles'!AA57&gt;17,(0.0068*('Temperature Profiles'!AA57^2) - 0.2129*'Temperature Profiles'!AA57 + 1.6904)*1000,0)</f>
        <v>0</v>
      </c>
      <c r="AO58" s="21"/>
      <c r="AP58" s="110">
        <v>0.55208333333333304</v>
      </c>
      <c r="AQ58" s="211">
        <f>IF('Temperature Profiles'!AF57&gt;17,(0.0029*('Temperature Profiles'!AF57^2) - 0.0863*'Temperature Profiles'!AF57 + 0.6808)*1000,0)</f>
        <v>1152.3318125000008</v>
      </c>
      <c r="AR58" s="110">
        <v>0.55208333333333304</v>
      </c>
      <c r="AS58" s="183">
        <f>IF('Temperature Profiles'!AF57&gt;17,(0.005*('Temperature Profiles'!AF57^2) - 0.1517*'Temperature Profiles'!AF57 + 1.1702)*1000,0)</f>
        <v>1882.9706250000017</v>
      </c>
      <c r="AT58" s="110">
        <v>0.55208333333333304</v>
      </c>
      <c r="AU58" s="211">
        <f>IF('Temperature Profiles'!AF57&gt;17,(0.0068*('Temperature Profiles'!AF57^2) - 0.2129*'Temperature Profiles'!AF57 + 1.6904)*1000,0)</f>
        <v>2432.6467500000012</v>
      </c>
      <c r="AV58" s="21"/>
      <c r="AW58" s="110">
        <v>0.55208333333333304</v>
      </c>
      <c r="AX58" s="211"/>
      <c r="AY58" s="21"/>
      <c r="AZ58" s="110">
        <v>0.55208333333333304</v>
      </c>
      <c r="BA58" s="264"/>
      <c r="BC58" s="260">
        <v>0.55208333333333304</v>
      </c>
      <c r="BD58" s="211">
        <f>IF('Temperature Profiles'!G57&lt;16,(-0.0037*'Temperature Profiles'!G57+0.0664)*1000,0)</f>
        <v>0</v>
      </c>
      <c r="BE58" s="110">
        <v>0.55208333333333304</v>
      </c>
      <c r="BF58" s="211">
        <f>IF('Temperature Profiles'!G57&lt;16,(-0.0076*'Temperature Profiles'!G57+0.1245)*1000,0)</f>
        <v>0</v>
      </c>
      <c r="BG58" s="110">
        <v>0.55208333333333304</v>
      </c>
      <c r="BH58" s="211">
        <f>IF('Temperature Profiles'!G57&lt;16,(-0.01*'Temperature Profiles'!G57+0.167)*1000,0)</f>
        <v>0</v>
      </c>
      <c r="BI58" s="21"/>
      <c r="BJ58" s="110">
        <v>0.55208333333333304</v>
      </c>
      <c r="BK58" s="211">
        <f>IF('Temperature Profiles'!L57&lt;16,(-0.0037*'Temperature Profiles'!L57+0.0664)*1000,0)</f>
        <v>0</v>
      </c>
      <c r="BL58" s="110">
        <v>0.55208333333333304</v>
      </c>
      <c r="BM58" s="211">
        <f>IF('Temperature Profiles'!L57&lt;16,(-0.0076*'Temperature Profiles'!L57+0.1245)*1000,0)</f>
        <v>0</v>
      </c>
      <c r="BN58" s="110">
        <v>0.55208333333333304</v>
      </c>
      <c r="BO58" s="211">
        <f>IF('Temperature Profiles'!L57&lt;16,(-0.01*'Temperature Profiles'!L57+0.167)*1000,0)</f>
        <v>0</v>
      </c>
      <c r="BP58" s="21"/>
      <c r="BQ58" s="110">
        <v>0.55208333333333304</v>
      </c>
      <c r="BR58" s="211">
        <f>IF('Temperature Profiles'!Q57&lt;16,(-0.0037*'Temperature Profiles'!Q57+0.0664)*1000,0)</f>
        <v>0</v>
      </c>
      <c r="BS58" s="110">
        <v>0.55208333333333304</v>
      </c>
      <c r="BT58" s="211">
        <f>IF('Temperature Profiles'!Q57&lt;16,(-0.0076*'Temperature Profiles'!Q57+0.1245)*1000,0)</f>
        <v>0</v>
      </c>
      <c r="BU58" s="110">
        <v>0.55208333333333304</v>
      </c>
      <c r="BV58" s="211">
        <f>IF('Temperature Profiles'!Q57&lt;16,(-0.01*'Temperature Profiles'!Q57+0.167)*1000,0)</f>
        <v>0</v>
      </c>
      <c r="BW58" s="21"/>
      <c r="BX58" s="110">
        <v>0.55208333333333304</v>
      </c>
      <c r="BY58" s="211">
        <f>IF('Temperature Profiles'!V57&lt;16,(-0.0037*'Temperature Profiles'!V57+0.0664)*1000,0)</f>
        <v>0</v>
      </c>
      <c r="BZ58" s="110">
        <v>0.55208333333333304</v>
      </c>
      <c r="CA58" s="211">
        <f>IF('Temperature Profiles'!V57&lt;16,(-0.0076*'Temperature Profiles'!V57+0.1245)*1000,0)</f>
        <v>0</v>
      </c>
      <c r="CB58" s="110">
        <v>0.55208333333333304</v>
      </c>
      <c r="CC58" s="211">
        <f>IF('Temperature Profiles'!V57&lt;16,(-0.01*'Temperature Profiles'!V57+0.167)*1000,0)</f>
        <v>0</v>
      </c>
      <c r="CD58" s="21"/>
      <c r="CE58" s="110">
        <v>0.55208333333333304</v>
      </c>
      <c r="CF58" s="211">
        <f>IF('Temperature Profiles'!AA57&lt;16,(-0.0037*'Temperature Profiles'!AA57+0.0664)*1000,0)</f>
        <v>84.160000000000011</v>
      </c>
      <c r="CG58" s="110">
        <v>0.55208333333333304</v>
      </c>
      <c r="CH58" s="178">
        <f>IF('Temperature Profiles'!AA57&lt;16,(-0.0076*'Temperature Profiles'!AA57+0.1245)*1000,0)</f>
        <v>160.98000000000002</v>
      </c>
      <c r="CI58" s="110">
        <v>0.55208333333333304</v>
      </c>
      <c r="CJ58" s="211">
        <f>IF('Temperature Profiles'!AA57&lt;16,(-0.01*'Temperature Profiles'!AA57+0.167)*1000,0)</f>
        <v>215.00000000000003</v>
      </c>
      <c r="CK58" s="21"/>
      <c r="CL58" s="110">
        <v>0.55208333333333304</v>
      </c>
      <c r="CM58" s="211">
        <f>IF('Temperature Profiles'!AF57&lt;16,(-0.0037*'Temperature Profiles'!AF57+0.0664)*1000,0)</f>
        <v>0</v>
      </c>
      <c r="CN58" s="110">
        <v>0.55208333333333304</v>
      </c>
      <c r="CO58" s="178">
        <f>IF('Temperature Profiles'!AF57&lt;16,(-0.0076*'Temperature Profiles'!AF57+0.1245)*1000,0)</f>
        <v>0</v>
      </c>
      <c r="CP58" s="110">
        <v>0.55208333333333304</v>
      </c>
      <c r="CQ58" s="211">
        <f>IF('Temperature Profiles'!AF57&lt;16,(-0.01*'Temperature Profiles'!AF57+0.167)*1000,0)</f>
        <v>0</v>
      </c>
      <c r="CR58" s="21"/>
      <c r="CS58" s="110">
        <v>0.55208333333333304</v>
      </c>
      <c r="CT58" s="211"/>
      <c r="CU58" s="21"/>
      <c r="CV58" s="110">
        <v>0.55208333333333304</v>
      </c>
      <c r="CW58" s="264"/>
      <c r="CY58" s="260">
        <v>0.55208333333333304</v>
      </c>
      <c r="CZ58" s="178">
        <f>IF('Temperature Profiles'!G57&gt;18,(0.0024*('Temperature Profiles'!G57^2)-0.0581*'Temperature Profiles'!G57+0.3293)*1000,IF('Temperature Profiles'!G57&lt;17,(0.0022*('Temperature Profiles'!G57^2)-0.0874*'Temperature Profiles'!G57+0.9301)*1000,0))</f>
        <v>210.72500000000011</v>
      </c>
      <c r="DA58" s="110">
        <v>0.55208333333333304</v>
      </c>
      <c r="DB58" s="263">
        <f>IF('Temperature Profiles'!G57&gt;18,(0.0043*('Temperature Profiles'!G57^2)-0.1116*'Temperature Profiles'!G57+0.6576)*1000,IF('Temperature Profiles'!G57&lt;17,(0.0053*('Temperature Profiles'!G57^2)-0.1876*'Temperature Profiles'!G57+1.7649)*1000,0))</f>
        <v>280.3741319444448</v>
      </c>
      <c r="DC58" s="110">
        <v>0.55208333333333304</v>
      </c>
      <c r="DD58" s="211">
        <f>IF('Temperature Profiles'!G57&gt;18,(0.0057*('Temperature Profiles'!G57^2)-0.1509*'Temperature Profiles'!G57+0.8935)*1000,IF('Temperature Profiles'!G57&lt;17,(0.0072*('Temperature Profiles'!G57^2)-0.254*'Temperature Profiles'!G57+2.3952)*1000,0))</f>
        <v>328.34739583333362</v>
      </c>
      <c r="DE58" s="21"/>
      <c r="DF58" s="110">
        <v>0.55208333333333304</v>
      </c>
      <c r="DG58" s="209">
        <f>IF('Temperature Profiles'!L57&gt;18,(0.0024*('Temperature Profiles'!L57^2)-0.0581*'Temperature Profiles'!L57+0.3293)*1000,IF('Temperature Profiles'!L57&lt;17,(0.0022*('Temperature Profiles'!L57^2)-0.0874*'Temperature Profiles'!L57+0.9301)*1000,0))</f>
        <v>598.8123333333333</v>
      </c>
      <c r="DH58" s="110">
        <v>0.55208333333333304</v>
      </c>
      <c r="DI58" s="209">
        <f>IF('Temperature Profiles'!L57&gt;18,(0.0043*('Temperature Profiles'!L57^2)-0.1116*'Temperature Profiles'!L57+0.6576)*1000,IF('Temperature Profiles'!L57&lt;17,(0.0053*('Temperature Profiles'!L57^2)-0.1876*'Temperature Profiles'!L57+1.7649)*1000,0))</f>
        <v>928.9212986111113</v>
      </c>
      <c r="DJ58" s="110">
        <v>0.55208333333333304</v>
      </c>
      <c r="DK58" s="211">
        <f>IF('Temperature Profiles'!L57&gt;18,(0.0057*('Temperature Profiles'!L57^2)-0.1509*'Temperature Profiles'!L57+0.8935)*1000,IF('Temperature Profiles'!L57&lt;17,(0.0072*('Temperature Profiles'!L57^2)-0.254*'Temperature Profiles'!L57+2.3952)*1000,0))</f>
        <v>1169.5668958333338</v>
      </c>
      <c r="DL58" s="21"/>
      <c r="DM58" s="110">
        <v>0.55208333333333304</v>
      </c>
      <c r="DN58" s="209">
        <f>IF('Temperature Profiles'!Q57&gt;18,(0.0024*('Temperature Profiles'!Q57^2)-0.0581*'Temperature Profiles'!Q57+0.3293)*1000,IF('Temperature Profiles'!Q57&lt;17,(0.0022*('Temperature Profiles'!Q57^2)-0.0874*'Temperature Profiles'!Q57+0.9301)*1000,0))</f>
        <v>989.14599999999939</v>
      </c>
      <c r="DO58" s="110">
        <v>0.55208333333333304</v>
      </c>
      <c r="DP58" s="209">
        <f>IF('Temperature Profiles'!Q57&gt;18,(0.0043*('Temperature Profiles'!Q57^2)-0.1116*'Temperature Profiles'!Q57+0.6576)*1000,IF('Temperature Profiles'!Q57&lt;17,(0.0053*('Temperature Profiles'!Q57^2)-0.1876*'Temperature Profiles'!Q57+1.7649)*1000,0))</f>
        <v>1594.9381111111104</v>
      </c>
      <c r="DQ58" s="110">
        <v>0.55208333333333304</v>
      </c>
      <c r="DR58" s="211">
        <f>IF('Temperature Profiles'!Q57&gt;18,(0.0057*('Temperature Profiles'!Q57^2)-0.1509*'Temperature Profiles'!Q57+0.8935)*1000,IF('Temperature Profiles'!Q57&lt;17,(0.0072*('Temperature Profiles'!Q57^2)-0.254*'Temperature Profiles'!Q57+2.3952)*1000,0))</f>
        <v>2039.2563333333328</v>
      </c>
      <c r="DS58" s="21"/>
      <c r="DT58" s="110">
        <v>0.55208333333333304</v>
      </c>
      <c r="DU58" s="209">
        <f>IF('Temperature Profiles'!V57&gt;18,(0.0024*('Temperature Profiles'!V57^2)-0.0581*'Temperature Profiles'!V57+0.3293)*1000,IF('Temperature Profiles'!V57&lt;17,(0.0022*('Temperature Profiles'!V57^2)-0.0874*'Temperature Profiles'!V57+0.9301)*1000,0))</f>
        <v>71.548999999999921</v>
      </c>
      <c r="DV58" s="110">
        <v>0.55208333333333304</v>
      </c>
      <c r="DW58" s="209">
        <f>IF('Temperature Profiles'!V57&gt;18,(0.0043*('Temperature Profiles'!V57^2)-0.1116*'Temperature Profiles'!V57+0.6576)*1000,IF('Temperature Profiles'!V57&lt;17,(0.0053*('Temperature Profiles'!V57^2)-0.1876*'Temperature Profiles'!V57+1.7649)*1000,0))</f>
        <v>58.032131944444117</v>
      </c>
      <c r="DX58" s="110">
        <v>0.55208333333333304</v>
      </c>
      <c r="DY58" s="211">
        <f>IF('Temperature Profiles'!V57&gt;18,(0.0057*('Temperature Profiles'!V57^2)-0.1509*'Temperature Profiles'!V57+0.8935)*1000,IF('Temperature Profiles'!V57&lt;17,(0.0072*('Temperature Profiles'!V57^2)-0.254*'Temperature Profiles'!V57+2.3952)*1000,0))</f>
        <v>44.289395833333025</v>
      </c>
      <c r="DZ58" s="21"/>
      <c r="EA58" s="110">
        <v>0.55208333333333304</v>
      </c>
      <c r="EB58" s="209">
        <f>IF('Temperature Profiles'!AA156&gt;18,(0.0024*('Temperature Profiles'!AA156^2)-0.0581*'Temperature Profiles'!AA156+0.3293)*1000,IF('Temperature Profiles'!AA156&lt;17,(0.0022*('Temperature Profiles'!AA156^2)-0.0874*'Temperature Profiles'!AA156+0.9301)*1000,0))</f>
        <v>333.78750000000002</v>
      </c>
      <c r="EC58" s="110">
        <v>0.55208333333333304</v>
      </c>
      <c r="ED58" s="209">
        <f>IF('Temperature Profiles'!AA156&gt;18,(0.0043*('Temperature Profiles'!AA156^2)-0.1116*'Temperature Profiles'!AA156+0.6576)*1000,IF('Temperature Profiles'!AA156&lt;17,(0.0053*('Temperature Profiles'!AA156^2)-0.1876*'Temperature Profiles'!AA156+1.7649)*1000,0))</f>
        <v>529.18124999999998</v>
      </c>
      <c r="EE58" s="110">
        <v>0.55208333333333304</v>
      </c>
      <c r="EF58" s="211">
        <f>IF('Temperature Profiles'!AA156&gt;18,(0.0057*('Temperature Profiles'!AA156^2)-0.1509*'Temperature Profiles'!AA156+0.8935)*1000,IF('Temperature Profiles'!AA156&lt;17,(0.0072*('Temperature Profiles'!AA156^2)-0.254*'Temperature Profiles'!AA156+2.3952)*1000,0))</f>
        <v>723.94999999999982</v>
      </c>
      <c r="EG58" s="21"/>
      <c r="EH58" s="110">
        <v>0.55208333333333304</v>
      </c>
      <c r="EI58" s="211">
        <f>IF('Temperature Profiles'!AF57&gt;18,(0.0024*('Temperature Profiles'!AF57^2)-0.0581*'Temperature Profiles'!AF57+0.3293)*1000,IF('Temperature Profiles'!AF57&lt;17,(0.0022*('Temperature Profiles'!AF57^2)-0.0874*'Temperature Profiles'!AF57+0.9301)*1000,0))</f>
        <v>1178.7640000000006</v>
      </c>
      <c r="EJ58" s="110">
        <v>0.55208333333333304</v>
      </c>
      <c r="EK58" s="211">
        <f>IF('Temperature Profiles'!AF57&gt;18,(0.0043*('Temperature Profiles'!AF57^2)-0.1116*'Temperature Profiles'!AF57+0.6576)*1000,IF('Temperature Profiles'!AF57&lt;17,(0.0053*('Temperature Profiles'!AF57^2)-0.1876*'Temperature Profiles'!AF57+1.7649)*1000,0))</f>
        <v>1920.850187500002</v>
      </c>
      <c r="EL58" s="110">
        <v>0.55208333333333304</v>
      </c>
      <c r="EM58" s="211">
        <f>IF('Temperature Profiles'!AF57&gt;18,(0.0057*('Temperature Profiles'!AF57^2)-0.1509*'Temperature Profiles'!AF57+0.8935)*1000,IF('Temperature Profiles'!AF57&lt;17,(0.0072*('Temperature Profiles'!AF57^2)-0.254*'Temperature Profiles'!AF57+2.3952)*1000,0))</f>
        <v>2465.8185625000024</v>
      </c>
      <c r="EN58" s="21"/>
      <c r="EO58" s="110">
        <v>0.55208333333333304</v>
      </c>
      <c r="EP58" s="211"/>
      <c r="EQ58" s="21"/>
      <c r="ER58" s="110">
        <v>0.55208333333333304</v>
      </c>
      <c r="ES58" s="264"/>
      <c r="EU58" s="260">
        <v>0.55208333333333304</v>
      </c>
      <c r="EV58" s="209">
        <f>IF('Temperature Profiles'!AA156&gt;18,(0.0024*('Temperature Profiles'!AA156^2)-0.0581*'Temperature Profiles'!AA156+0.3293)*1000,IF('Temperature Profiles'!AA156&lt;17,(0.0022*('Temperature Profiles'!AA156^2)-0.0874*'Temperature Profiles'!AA156+0.9301)*1000,0))</f>
        <v>333.78750000000002</v>
      </c>
      <c r="EW58" s="110">
        <v>0.55208333333333304</v>
      </c>
      <c r="EX58" s="209">
        <f>IF('Temperature Profiles'!AA156&gt;18,(0.0043*('Temperature Profiles'!AA156^2)-0.1116*'Temperature Profiles'!AA156+0.6576)*1000,IF('Temperature Profiles'!AA156&lt;17,(0.0053*('Temperature Profiles'!AA156^2)-0.1876*'Temperature Profiles'!AA156+1.7649)*1000,0))</f>
        <v>529.18124999999998</v>
      </c>
      <c r="EY58" s="110">
        <v>0.55208333333333304</v>
      </c>
      <c r="EZ58" s="264">
        <f>IF('Temperature Profiles'!AA156&gt;18,(0.0057*('Temperature Profiles'!AA156^2)-0.1509*'Temperature Profiles'!AA156+0.8935)*1000,IF('Temperature Profiles'!AA156&lt;17,(0.0072*('Temperature Profiles'!AA156^2)-0.254*'Temperature Profiles'!AA156+2.3952)*1000,0))</f>
        <v>723.94999999999982</v>
      </c>
    </row>
    <row r="59" spans="1:156" x14ac:dyDescent="0.3">
      <c r="A59" s="108">
        <v>0.55208333333333304</v>
      </c>
      <c r="B59" s="226">
        <f t="shared" si="0"/>
        <v>0</v>
      </c>
      <c r="C59" s="21">
        <f t="shared" si="1"/>
        <v>215.00000000000003</v>
      </c>
      <c r="D59" s="20">
        <f t="shared" si="2"/>
        <v>723.94999999999982</v>
      </c>
      <c r="E59" s="20">
        <f t="shared" si="3"/>
        <v>723.94999999999982</v>
      </c>
      <c r="G59" s="260">
        <v>0.5625</v>
      </c>
      <c r="H59" s="211">
        <f>IF('Temperature Profiles'!G58&gt;17,(0.0029*('Temperature Profiles'!G58^2) - 0.0863*'Temperature Profiles'!G58 + 0.6808)*1000,0)</f>
        <v>184.08420138888891</v>
      </c>
      <c r="I59" s="110">
        <v>0.5625</v>
      </c>
      <c r="J59" s="211">
        <f>IF('Temperature Profiles'!G58&gt;17,(0.005*('Temperature Profiles'!G58^2) - 0.1517*'Temperature Profiles'!G58 + 1.1702)*1000,0)</f>
        <v>249.96284722222217</v>
      </c>
      <c r="K59" s="110">
        <v>0.5625</v>
      </c>
      <c r="L59" s="211">
        <f>IF('Temperature Profiles'!G58&gt;17,(0.0068*('Temperature Profiles'!G58^2) - 0.2129*'Temperature Profiles'!G58 + 1.6904)*1000,0)</f>
        <v>294.21597222222175</v>
      </c>
      <c r="M59" s="21"/>
      <c r="N59" s="110">
        <v>0.5625</v>
      </c>
      <c r="O59" s="211">
        <f>IF('Temperature Profiles'!L58&gt;17,(0.0029*('Temperature Profiles'!L58^2) - 0.0863*'Temperature Profiles'!L58 + 0.6808)*1000,0)</f>
        <v>552.69236805555568</v>
      </c>
      <c r="P59" s="110">
        <v>0.5625</v>
      </c>
      <c r="Q59" s="211">
        <f>IF('Temperature Profiles'!L58&gt;17,(0.005*('Temperature Profiles'!L58^2) - 0.1517*'Temperature Profiles'!L58 + 1.1702)*1000,0)</f>
        <v>867.37451388888906</v>
      </c>
      <c r="R59" s="110">
        <v>0.5625</v>
      </c>
      <c r="S59" s="211">
        <f>IF('Temperature Profiles'!L58&gt;17,(0.0068*('Temperature Profiles'!L58^2) - 0.2129*'Temperature Profiles'!L58 + 1.6904)*1000,0)</f>
        <v>1092.8306388888891</v>
      </c>
      <c r="T59" s="21"/>
      <c r="U59" s="110">
        <v>0.5625</v>
      </c>
      <c r="V59" s="211">
        <f>IF('Temperature Profiles'!Q58&gt;17,(0.0029*('Temperature Profiles'!Q58^2) - 0.0863*'Temperature Profiles'!Q58 + 0.6808)*1000,0)</f>
        <v>952.85322222222158</v>
      </c>
      <c r="W59" s="110">
        <v>0.5625</v>
      </c>
      <c r="X59" s="211">
        <f>IF('Temperature Profiles'!Q58&gt;17,(0.005*('Temperature Profiles'!Q58^2) - 0.1517*'Temperature Profiles'!Q58 + 1.1702)*1000,0)</f>
        <v>1544.3955555555547</v>
      </c>
      <c r="Y59" s="110">
        <v>0.5625</v>
      </c>
      <c r="Z59" s="211">
        <f>IF('Temperature Profiles'!Q58&gt;17,(0.0068*('Temperature Profiles'!Q58^2) - 0.2129*'Temperature Profiles'!Q58 + 1.6904)*1000,0)</f>
        <v>1984.3175555555538</v>
      </c>
      <c r="AA59" s="21"/>
      <c r="AB59" s="110">
        <v>0.5625</v>
      </c>
      <c r="AC59" s="211">
        <f>IF('Temperature Profiles'!V58&gt;17,(0.0029*('Temperature Profiles'!V58^2) - 0.0863*'Temperature Profiles'!V58 + 0.6808)*1000,0)</f>
        <v>73.858201388888773</v>
      </c>
      <c r="AD59" s="110">
        <v>0.5625</v>
      </c>
      <c r="AE59" s="211">
        <f>IF('Temperature Profiles'!V58&gt;17,(0.005*('Temperature Profiles'!V58^2) - 0.1517*'Temperature Profiles'!V58 + 1.1702)*1000,0)</f>
        <v>70.382847222222097</v>
      </c>
      <c r="AF59" s="110">
        <v>0.5625</v>
      </c>
      <c r="AG59" s="211">
        <f>IF('Temperature Profiles'!V58&gt;17,(0.0068*('Temperature Profiles'!V58^2) - 0.2129*'Temperature Profiles'!V58 + 1.6904)*1000,0)</f>
        <v>73.703972222221921</v>
      </c>
      <c r="AH59" s="21"/>
      <c r="AI59" s="110">
        <v>0.5625</v>
      </c>
      <c r="AJ59" s="211">
        <f>IF('Temperature Profiles'!AA58&gt;17,(0.0029*('Temperature Profiles'!AA58^2) - 0.0863*'Temperature Profiles'!AA58 + 0.6808)*1000,0)</f>
        <v>0</v>
      </c>
      <c r="AK59" s="110">
        <v>0.5625</v>
      </c>
      <c r="AL59" s="211">
        <f>IF('Temperature Profiles'!AA58&gt;17,(0.005*('Temperature Profiles'!AA58^2) - 0.1517*'Temperature Profiles'!AA58 + 1.1701)*1000,0)</f>
        <v>0</v>
      </c>
      <c r="AM59" s="110">
        <v>0.5625</v>
      </c>
      <c r="AN59" s="211">
        <f>IF('Temperature Profiles'!AA58&gt;17,(0.0068*('Temperature Profiles'!AA58^2) - 0.2129*'Temperature Profiles'!AA58 + 1.6904)*1000,0)</f>
        <v>0</v>
      </c>
      <c r="AO59" s="21"/>
      <c r="AP59" s="110">
        <v>0.5625</v>
      </c>
      <c r="AQ59" s="211">
        <f>IF('Temperature Profiles'!AF58&gt;17,(0.0029*('Temperature Profiles'!AF58^2) - 0.0863*'Temperature Profiles'!AF58 + 0.6808)*1000,0)</f>
        <v>1152.3318125000008</v>
      </c>
      <c r="AR59" s="110">
        <v>0.5625</v>
      </c>
      <c r="AS59" s="183">
        <f>IF('Temperature Profiles'!AF58&gt;17,(0.005*('Temperature Profiles'!AF58^2) - 0.1517*'Temperature Profiles'!AF58 + 1.1702)*1000,0)</f>
        <v>1882.9706250000017</v>
      </c>
      <c r="AT59" s="110">
        <v>0.5625</v>
      </c>
      <c r="AU59" s="211">
        <f>IF('Temperature Profiles'!AF58&gt;17,(0.0068*('Temperature Profiles'!AF58^2) - 0.2129*'Temperature Profiles'!AF58 + 1.6904)*1000,0)</f>
        <v>2432.6467500000012</v>
      </c>
      <c r="AV59" s="21"/>
      <c r="AW59" s="110">
        <v>0.5625</v>
      </c>
      <c r="AX59" s="211"/>
      <c r="AY59" s="21"/>
      <c r="AZ59" s="110">
        <v>0.5625</v>
      </c>
      <c r="BA59" s="264"/>
      <c r="BC59" s="260">
        <v>0.5625</v>
      </c>
      <c r="BD59" s="211">
        <f>IF('Temperature Profiles'!G58&lt;16,(-0.0037*'Temperature Profiles'!G58+0.0664)*1000,0)</f>
        <v>0</v>
      </c>
      <c r="BE59" s="110">
        <v>0.5625</v>
      </c>
      <c r="BF59" s="211">
        <f>IF('Temperature Profiles'!G58&lt;16,(-0.0076*'Temperature Profiles'!G58+0.1245)*1000,0)</f>
        <v>0</v>
      </c>
      <c r="BG59" s="110">
        <v>0.5625</v>
      </c>
      <c r="BH59" s="211">
        <f>IF('Temperature Profiles'!G58&lt;16,(-0.01*'Temperature Profiles'!G58+0.167)*1000,0)</f>
        <v>0</v>
      </c>
      <c r="BI59" s="21"/>
      <c r="BJ59" s="110">
        <v>0.5625</v>
      </c>
      <c r="BK59" s="211">
        <f>IF('Temperature Profiles'!L58&lt;16,(-0.0037*'Temperature Profiles'!L58+0.0664)*1000,0)</f>
        <v>0</v>
      </c>
      <c r="BL59" s="110">
        <v>0.5625</v>
      </c>
      <c r="BM59" s="211">
        <f>IF('Temperature Profiles'!L58&lt;16,(-0.0076*'Temperature Profiles'!L58+0.1245)*1000,0)</f>
        <v>0</v>
      </c>
      <c r="BN59" s="110">
        <v>0.5625</v>
      </c>
      <c r="BO59" s="211">
        <f>IF('Temperature Profiles'!L58&lt;16,(-0.01*'Temperature Profiles'!L58+0.167)*1000,0)</f>
        <v>0</v>
      </c>
      <c r="BP59" s="21"/>
      <c r="BQ59" s="110">
        <v>0.5625</v>
      </c>
      <c r="BR59" s="211">
        <f>IF('Temperature Profiles'!Q58&lt;16,(-0.0037*'Temperature Profiles'!Q58+0.0664)*1000,0)</f>
        <v>0</v>
      </c>
      <c r="BS59" s="110">
        <v>0.5625</v>
      </c>
      <c r="BT59" s="211">
        <f>IF('Temperature Profiles'!Q58&lt;16,(-0.0076*'Temperature Profiles'!Q58+0.1245)*1000,0)</f>
        <v>0</v>
      </c>
      <c r="BU59" s="110">
        <v>0.5625</v>
      </c>
      <c r="BV59" s="211">
        <f>IF('Temperature Profiles'!Q58&lt;16,(-0.01*'Temperature Profiles'!Q58+0.167)*1000,0)</f>
        <v>0</v>
      </c>
      <c r="BW59" s="21"/>
      <c r="BX59" s="110">
        <v>0.5625</v>
      </c>
      <c r="BY59" s="211">
        <f>IF('Temperature Profiles'!V58&lt;16,(-0.0037*'Temperature Profiles'!V58+0.0664)*1000,0)</f>
        <v>0</v>
      </c>
      <c r="BZ59" s="110">
        <v>0.5625</v>
      </c>
      <c r="CA59" s="211">
        <f>IF('Temperature Profiles'!V58&lt;16,(-0.0076*'Temperature Profiles'!V58+0.1245)*1000,0)</f>
        <v>0</v>
      </c>
      <c r="CB59" s="110">
        <v>0.5625</v>
      </c>
      <c r="CC59" s="211">
        <f>IF('Temperature Profiles'!V58&lt;16,(-0.01*'Temperature Profiles'!V58+0.167)*1000,0)</f>
        <v>0</v>
      </c>
      <c r="CD59" s="21"/>
      <c r="CE59" s="110">
        <v>0.5625</v>
      </c>
      <c r="CF59" s="211">
        <f>IF('Temperature Profiles'!AA58&lt;16,(-0.0037*'Temperature Profiles'!AA58+0.0664)*1000,0)</f>
        <v>84.160000000000011</v>
      </c>
      <c r="CG59" s="110">
        <v>0.5625</v>
      </c>
      <c r="CH59" s="178">
        <f>IF('Temperature Profiles'!AA58&lt;16,(-0.0076*'Temperature Profiles'!AA58+0.1245)*1000,0)</f>
        <v>160.98000000000002</v>
      </c>
      <c r="CI59" s="110">
        <v>0.5625</v>
      </c>
      <c r="CJ59" s="211">
        <f>IF('Temperature Profiles'!AA58&lt;16,(-0.01*'Temperature Profiles'!AA58+0.167)*1000,0)</f>
        <v>215.00000000000003</v>
      </c>
      <c r="CK59" s="21"/>
      <c r="CL59" s="110">
        <v>0.5625</v>
      </c>
      <c r="CM59" s="211">
        <f>IF('Temperature Profiles'!AF58&lt;16,(-0.0037*'Temperature Profiles'!AF58+0.0664)*1000,0)</f>
        <v>0</v>
      </c>
      <c r="CN59" s="110">
        <v>0.5625</v>
      </c>
      <c r="CO59" s="178">
        <f>IF('Temperature Profiles'!AF58&lt;16,(-0.0076*'Temperature Profiles'!AF58+0.1245)*1000,0)</f>
        <v>0</v>
      </c>
      <c r="CP59" s="110">
        <v>0.5625</v>
      </c>
      <c r="CQ59" s="211">
        <f>IF('Temperature Profiles'!AF58&lt;16,(-0.01*'Temperature Profiles'!AF58+0.167)*1000,0)</f>
        <v>0</v>
      </c>
      <c r="CR59" s="21"/>
      <c r="CS59" s="110">
        <v>0.5625</v>
      </c>
      <c r="CT59" s="211"/>
      <c r="CU59" s="21"/>
      <c r="CV59" s="110">
        <v>0.5625</v>
      </c>
      <c r="CW59" s="264"/>
      <c r="CY59" s="260">
        <v>0.5625</v>
      </c>
      <c r="CZ59" s="178">
        <f>IF('Temperature Profiles'!G58&gt;18,(0.0024*('Temperature Profiles'!G58^2)-0.0581*'Temperature Profiles'!G58+0.3293)*1000,IF('Temperature Profiles'!G58&lt;17,(0.0022*('Temperature Profiles'!G58^2)-0.0874*'Temperature Profiles'!G58+0.9301)*1000,0))</f>
        <v>210.72500000000011</v>
      </c>
      <c r="DA59" s="110">
        <v>0.5625</v>
      </c>
      <c r="DB59" s="263">
        <f>IF('Temperature Profiles'!G58&gt;18,(0.0043*('Temperature Profiles'!G58^2)-0.1116*'Temperature Profiles'!G58+0.6576)*1000,IF('Temperature Profiles'!G58&lt;17,(0.0053*('Temperature Profiles'!G58^2)-0.1876*'Temperature Profiles'!G58+1.7649)*1000,0))</f>
        <v>280.3741319444448</v>
      </c>
      <c r="DC59" s="110">
        <v>0.5625</v>
      </c>
      <c r="DD59" s="211">
        <f>IF('Temperature Profiles'!G58&gt;18,(0.0057*('Temperature Profiles'!G58^2)-0.1509*'Temperature Profiles'!G58+0.8935)*1000,IF('Temperature Profiles'!G58&lt;17,(0.0072*('Temperature Profiles'!G58^2)-0.254*'Temperature Profiles'!G58+2.3952)*1000,0))</f>
        <v>328.34739583333362</v>
      </c>
      <c r="DE59" s="21"/>
      <c r="DF59" s="110">
        <v>0.5625</v>
      </c>
      <c r="DG59" s="209">
        <f>IF('Temperature Profiles'!L58&gt;18,(0.0024*('Temperature Profiles'!L58^2)-0.0581*'Temperature Profiles'!L58+0.3293)*1000,IF('Temperature Profiles'!L58&lt;17,(0.0022*('Temperature Profiles'!L58^2)-0.0874*'Temperature Profiles'!L58+0.9301)*1000,0))</f>
        <v>598.8123333333333</v>
      </c>
      <c r="DH59" s="110">
        <v>0.5625</v>
      </c>
      <c r="DI59" s="209">
        <f>IF('Temperature Profiles'!L58&gt;18,(0.0043*('Temperature Profiles'!L58^2)-0.1116*'Temperature Profiles'!L58+0.6576)*1000,IF('Temperature Profiles'!L58&lt;17,(0.0053*('Temperature Profiles'!L58^2)-0.1876*'Temperature Profiles'!L58+1.7649)*1000,0))</f>
        <v>928.9212986111113</v>
      </c>
      <c r="DJ59" s="110">
        <v>0.5625</v>
      </c>
      <c r="DK59" s="211">
        <f>IF('Temperature Profiles'!L58&gt;18,(0.0057*('Temperature Profiles'!L58^2)-0.1509*'Temperature Profiles'!L58+0.8935)*1000,IF('Temperature Profiles'!L58&lt;17,(0.0072*('Temperature Profiles'!L58^2)-0.254*'Temperature Profiles'!L58+2.3952)*1000,0))</f>
        <v>1169.5668958333338</v>
      </c>
      <c r="DL59" s="21"/>
      <c r="DM59" s="110">
        <v>0.5625</v>
      </c>
      <c r="DN59" s="209">
        <f>IF('Temperature Profiles'!Q58&gt;18,(0.0024*('Temperature Profiles'!Q58^2)-0.0581*'Temperature Profiles'!Q58+0.3293)*1000,IF('Temperature Profiles'!Q58&lt;17,(0.0022*('Temperature Profiles'!Q58^2)-0.0874*'Temperature Profiles'!Q58+0.9301)*1000,0))</f>
        <v>989.14599999999939</v>
      </c>
      <c r="DO59" s="110">
        <v>0.5625</v>
      </c>
      <c r="DP59" s="209">
        <f>IF('Temperature Profiles'!Q58&gt;18,(0.0043*('Temperature Profiles'!Q58^2)-0.1116*'Temperature Profiles'!Q58+0.6576)*1000,IF('Temperature Profiles'!Q58&lt;17,(0.0053*('Temperature Profiles'!Q58^2)-0.1876*'Temperature Profiles'!Q58+1.7649)*1000,0))</f>
        <v>1594.9381111111104</v>
      </c>
      <c r="DQ59" s="110">
        <v>0.5625</v>
      </c>
      <c r="DR59" s="211">
        <f>IF('Temperature Profiles'!Q58&gt;18,(0.0057*('Temperature Profiles'!Q58^2)-0.1509*'Temperature Profiles'!Q58+0.8935)*1000,IF('Temperature Profiles'!Q58&lt;17,(0.0072*('Temperature Profiles'!Q58^2)-0.254*'Temperature Profiles'!Q58+2.3952)*1000,0))</f>
        <v>2039.2563333333328</v>
      </c>
      <c r="DS59" s="21"/>
      <c r="DT59" s="110">
        <v>0.5625</v>
      </c>
      <c r="DU59" s="209">
        <f>IF('Temperature Profiles'!V58&gt;18,(0.0024*('Temperature Profiles'!V58^2)-0.0581*'Temperature Profiles'!V58+0.3293)*1000,IF('Temperature Profiles'!V58&lt;17,(0.0022*('Temperature Profiles'!V58^2)-0.0874*'Temperature Profiles'!V58+0.9301)*1000,0))</f>
        <v>71.548999999999921</v>
      </c>
      <c r="DV59" s="110">
        <v>0.5625</v>
      </c>
      <c r="DW59" s="209">
        <f>IF('Temperature Profiles'!V58&gt;18,(0.0043*('Temperature Profiles'!V58^2)-0.1116*'Temperature Profiles'!V58+0.6576)*1000,IF('Temperature Profiles'!V58&lt;17,(0.0053*('Temperature Profiles'!V58^2)-0.1876*'Temperature Profiles'!V58+1.7649)*1000,0))</f>
        <v>58.032131944444117</v>
      </c>
      <c r="DX59" s="110">
        <v>0.5625</v>
      </c>
      <c r="DY59" s="211">
        <f>IF('Temperature Profiles'!V58&gt;18,(0.0057*('Temperature Profiles'!V58^2)-0.1509*'Temperature Profiles'!V58+0.8935)*1000,IF('Temperature Profiles'!V58&lt;17,(0.0072*('Temperature Profiles'!V58^2)-0.254*'Temperature Profiles'!V58+2.3952)*1000,0))</f>
        <v>44.289395833333025</v>
      </c>
      <c r="DZ59" s="21"/>
      <c r="EA59" s="110">
        <v>0.5625</v>
      </c>
      <c r="EB59" s="209">
        <f>IF('Temperature Profiles'!AA157&gt;18,(0.0024*('Temperature Profiles'!AA157^2)-0.0581*'Temperature Profiles'!AA157+0.3293)*1000,IF('Temperature Profiles'!AA157&lt;17,(0.0022*('Temperature Profiles'!AA157^2)-0.0874*'Temperature Profiles'!AA157+0.9301)*1000,0))</f>
        <v>333.78750000000002</v>
      </c>
      <c r="EC59" s="110">
        <v>0.5625</v>
      </c>
      <c r="ED59" s="209">
        <f>IF('Temperature Profiles'!AA157&gt;18,(0.0043*('Temperature Profiles'!AA157^2)-0.1116*'Temperature Profiles'!AA157+0.6576)*1000,IF('Temperature Profiles'!AA157&lt;17,(0.0053*('Temperature Profiles'!AA157^2)-0.1876*'Temperature Profiles'!AA157+1.7649)*1000,0))</f>
        <v>529.18124999999998</v>
      </c>
      <c r="EE59" s="110">
        <v>0.5625</v>
      </c>
      <c r="EF59" s="211">
        <f>IF('Temperature Profiles'!AA157&gt;18,(0.0057*('Temperature Profiles'!AA157^2)-0.1509*'Temperature Profiles'!AA157+0.8935)*1000,IF('Temperature Profiles'!AA157&lt;17,(0.0072*('Temperature Profiles'!AA157^2)-0.254*'Temperature Profiles'!AA157+2.3952)*1000,0))</f>
        <v>723.94999999999982</v>
      </c>
      <c r="EG59" s="21"/>
      <c r="EH59" s="110">
        <v>0.5625</v>
      </c>
      <c r="EI59" s="211">
        <f>IF('Temperature Profiles'!AF58&gt;18,(0.0024*('Temperature Profiles'!AF58^2)-0.0581*'Temperature Profiles'!AF58+0.3293)*1000,IF('Temperature Profiles'!AF58&lt;17,(0.0022*('Temperature Profiles'!AF58^2)-0.0874*'Temperature Profiles'!AF58+0.9301)*1000,0))</f>
        <v>1178.7640000000006</v>
      </c>
      <c r="EJ59" s="110">
        <v>0.5625</v>
      </c>
      <c r="EK59" s="211">
        <f>IF('Temperature Profiles'!AF58&gt;18,(0.0043*('Temperature Profiles'!AF58^2)-0.1116*'Temperature Profiles'!AF58+0.6576)*1000,IF('Temperature Profiles'!AF58&lt;17,(0.0053*('Temperature Profiles'!AF58^2)-0.1876*'Temperature Profiles'!AF58+1.7649)*1000,0))</f>
        <v>1920.850187500002</v>
      </c>
      <c r="EL59" s="110">
        <v>0.5625</v>
      </c>
      <c r="EM59" s="211">
        <f>IF('Temperature Profiles'!AF58&gt;18,(0.0057*('Temperature Profiles'!AF58^2)-0.1509*'Temperature Profiles'!AF58+0.8935)*1000,IF('Temperature Profiles'!AF58&lt;17,(0.0072*('Temperature Profiles'!AF58^2)-0.254*'Temperature Profiles'!AF58+2.3952)*1000,0))</f>
        <v>2465.8185625000024</v>
      </c>
      <c r="EN59" s="21"/>
      <c r="EO59" s="110">
        <v>0.5625</v>
      </c>
      <c r="EP59" s="211"/>
      <c r="EQ59" s="21"/>
      <c r="ER59" s="110">
        <v>0.5625</v>
      </c>
      <c r="ES59" s="264"/>
      <c r="EU59" s="260">
        <v>0.5625</v>
      </c>
      <c r="EV59" s="209">
        <f>IF('Temperature Profiles'!AA157&gt;18,(0.0024*('Temperature Profiles'!AA157^2)-0.0581*'Temperature Profiles'!AA157+0.3293)*1000,IF('Temperature Profiles'!AA157&lt;17,(0.0022*('Temperature Profiles'!AA157^2)-0.0874*'Temperature Profiles'!AA157+0.9301)*1000,0))</f>
        <v>333.78750000000002</v>
      </c>
      <c r="EW59" s="110">
        <v>0.5625</v>
      </c>
      <c r="EX59" s="209">
        <f>IF('Temperature Profiles'!AA157&gt;18,(0.0043*('Temperature Profiles'!AA157^2)-0.1116*'Temperature Profiles'!AA157+0.6576)*1000,IF('Temperature Profiles'!AA157&lt;17,(0.0053*('Temperature Profiles'!AA157^2)-0.1876*'Temperature Profiles'!AA157+1.7649)*1000,0))</f>
        <v>529.18124999999998</v>
      </c>
      <c r="EY59" s="110">
        <v>0.5625</v>
      </c>
      <c r="EZ59" s="264">
        <f>IF('Temperature Profiles'!AA157&gt;18,(0.0057*('Temperature Profiles'!AA157^2)-0.1509*'Temperature Profiles'!AA157+0.8935)*1000,IF('Temperature Profiles'!AA157&lt;17,(0.0072*('Temperature Profiles'!AA157^2)-0.254*'Temperature Profiles'!AA157+2.3952)*1000,0))</f>
        <v>723.94999999999982</v>
      </c>
    </row>
    <row r="60" spans="1:156" x14ac:dyDescent="0.3">
      <c r="A60" s="108">
        <v>0.5625</v>
      </c>
      <c r="B60" s="226">
        <f t="shared" si="0"/>
        <v>0</v>
      </c>
      <c r="C60" s="21">
        <f t="shared" si="1"/>
        <v>215.00000000000003</v>
      </c>
      <c r="D60" s="20">
        <f t="shared" si="2"/>
        <v>723.94999999999982</v>
      </c>
      <c r="E60" s="20">
        <f t="shared" si="3"/>
        <v>723.94999999999982</v>
      </c>
      <c r="G60" s="260">
        <v>0.57291666666666696</v>
      </c>
      <c r="H60" s="211">
        <f>IF('Temperature Profiles'!G59&gt;17,(0.0029*('Temperature Profiles'!G59^2) - 0.0863*'Temperature Profiles'!G59 + 0.6808)*1000,0)</f>
        <v>184.08420138888891</v>
      </c>
      <c r="I60" s="110">
        <v>0.57291666666666696</v>
      </c>
      <c r="J60" s="211">
        <f>IF('Temperature Profiles'!G59&gt;17,(0.005*('Temperature Profiles'!G59^2) - 0.1517*'Temperature Profiles'!G59 + 1.1702)*1000,0)</f>
        <v>249.96284722222217</v>
      </c>
      <c r="K60" s="110">
        <v>0.57291666666666696</v>
      </c>
      <c r="L60" s="211">
        <f>IF('Temperature Profiles'!G59&gt;17,(0.0068*('Temperature Profiles'!G59^2) - 0.2129*'Temperature Profiles'!G59 + 1.6904)*1000,0)</f>
        <v>294.21597222222175</v>
      </c>
      <c r="M60" s="21"/>
      <c r="N60" s="110">
        <v>0.57291666666666696</v>
      </c>
      <c r="O60" s="211">
        <f>IF('Temperature Profiles'!L59&gt;17,(0.0029*('Temperature Profiles'!L59^2) - 0.0863*'Temperature Profiles'!L59 + 0.6808)*1000,0)</f>
        <v>552.69236805555568</v>
      </c>
      <c r="P60" s="110">
        <v>0.57291666666666696</v>
      </c>
      <c r="Q60" s="211">
        <f>IF('Temperature Profiles'!L59&gt;17,(0.005*('Temperature Profiles'!L59^2) - 0.1517*'Temperature Profiles'!L59 + 1.1702)*1000,0)</f>
        <v>867.37451388888906</v>
      </c>
      <c r="R60" s="110">
        <v>0.57291666666666696</v>
      </c>
      <c r="S60" s="211">
        <f>IF('Temperature Profiles'!L59&gt;17,(0.0068*('Temperature Profiles'!L59^2) - 0.2129*'Temperature Profiles'!L59 + 1.6904)*1000,0)</f>
        <v>1092.8306388888891</v>
      </c>
      <c r="T60" s="21"/>
      <c r="U60" s="110">
        <v>0.57291666666666696</v>
      </c>
      <c r="V60" s="211">
        <f>IF('Temperature Profiles'!Q59&gt;17,(0.0029*('Temperature Profiles'!Q59^2) - 0.0863*'Temperature Profiles'!Q59 + 0.6808)*1000,0)</f>
        <v>952.85322222222158</v>
      </c>
      <c r="W60" s="110">
        <v>0.57291666666666696</v>
      </c>
      <c r="X60" s="211">
        <f>IF('Temperature Profiles'!Q59&gt;17,(0.005*('Temperature Profiles'!Q59^2) - 0.1517*'Temperature Profiles'!Q59 + 1.1702)*1000,0)</f>
        <v>1544.3955555555547</v>
      </c>
      <c r="Y60" s="110">
        <v>0.57291666666666696</v>
      </c>
      <c r="Z60" s="211">
        <f>IF('Temperature Profiles'!Q59&gt;17,(0.0068*('Temperature Profiles'!Q59^2) - 0.2129*'Temperature Profiles'!Q59 + 1.6904)*1000,0)</f>
        <v>1984.3175555555538</v>
      </c>
      <c r="AA60" s="21"/>
      <c r="AB60" s="110">
        <v>0.57291666666666696</v>
      </c>
      <c r="AC60" s="211">
        <f>IF('Temperature Profiles'!V59&gt;17,(0.0029*('Temperature Profiles'!V59^2) - 0.0863*'Temperature Profiles'!V59 + 0.6808)*1000,0)</f>
        <v>73.858201388888773</v>
      </c>
      <c r="AD60" s="110">
        <v>0.57291666666666696</v>
      </c>
      <c r="AE60" s="211">
        <f>IF('Temperature Profiles'!V59&gt;17,(0.005*('Temperature Profiles'!V59^2) - 0.1517*'Temperature Profiles'!V59 + 1.1702)*1000,0)</f>
        <v>70.382847222222097</v>
      </c>
      <c r="AF60" s="110">
        <v>0.57291666666666696</v>
      </c>
      <c r="AG60" s="211">
        <f>IF('Temperature Profiles'!V59&gt;17,(0.0068*('Temperature Profiles'!V59^2) - 0.2129*'Temperature Profiles'!V59 + 1.6904)*1000,0)</f>
        <v>73.703972222221921</v>
      </c>
      <c r="AH60" s="21"/>
      <c r="AI60" s="110">
        <v>0.57291666666666696</v>
      </c>
      <c r="AJ60" s="211">
        <f>IF('Temperature Profiles'!AA59&gt;17,(0.0029*('Temperature Profiles'!AA59^2) - 0.0863*'Temperature Profiles'!AA59 + 0.6808)*1000,0)</f>
        <v>0</v>
      </c>
      <c r="AK60" s="110">
        <v>0.57291666666666696</v>
      </c>
      <c r="AL60" s="211">
        <f>IF('Temperature Profiles'!AA59&gt;17,(0.005*('Temperature Profiles'!AA59^2) - 0.1517*'Temperature Profiles'!AA59 + 1.1701)*1000,0)</f>
        <v>0</v>
      </c>
      <c r="AM60" s="110">
        <v>0.57291666666666696</v>
      </c>
      <c r="AN60" s="211">
        <f>IF('Temperature Profiles'!AA59&gt;17,(0.0068*('Temperature Profiles'!AA59^2) - 0.2129*'Temperature Profiles'!AA59 + 1.6904)*1000,0)</f>
        <v>0</v>
      </c>
      <c r="AO60" s="21"/>
      <c r="AP60" s="110">
        <v>0.57291666666666696</v>
      </c>
      <c r="AQ60" s="211">
        <f>IF('Temperature Profiles'!AF59&gt;17,(0.0029*('Temperature Profiles'!AF59^2) - 0.0863*'Temperature Profiles'!AF59 + 0.6808)*1000,0)</f>
        <v>1152.3318125000008</v>
      </c>
      <c r="AR60" s="110">
        <v>0.57291666666666696</v>
      </c>
      <c r="AS60" s="183">
        <f>IF('Temperature Profiles'!AF59&gt;17,(0.005*('Temperature Profiles'!AF59^2) - 0.1517*'Temperature Profiles'!AF59 + 1.1702)*1000,0)</f>
        <v>1882.9706250000017</v>
      </c>
      <c r="AT60" s="110">
        <v>0.57291666666666696</v>
      </c>
      <c r="AU60" s="211">
        <f>IF('Temperature Profiles'!AF59&gt;17,(0.0068*('Temperature Profiles'!AF59^2) - 0.2129*'Temperature Profiles'!AF59 + 1.6904)*1000,0)</f>
        <v>2432.6467500000012</v>
      </c>
      <c r="AV60" s="21"/>
      <c r="AW60" s="110">
        <v>0.57291666666666696</v>
      </c>
      <c r="AX60" s="211"/>
      <c r="AY60" s="21"/>
      <c r="AZ60" s="110">
        <v>0.57291666666666696</v>
      </c>
      <c r="BA60" s="264"/>
      <c r="BC60" s="260">
        <v>0.57291666666666696</v>
      </c>
      <c r="BD60" s="211">
        <f>IF('Temperature Profiles'!G59&lt;16,(-0.0037*'Temperature Profiles'!G59+0.0664)*1000,0)</f>
        <v>0</v>
      </c>
      <c r="BE60" s="110">
        <v>0.57291666666666696</v>
      </c>
      <c r="BF60" s="211">
        <f>IF('Temperature Profiles'!G59&lt;16,(-0.0076*'Temperature Profiles'!G59+0.1245)*1000,0)</f>
        <v>0</v>
      </c>
      <c r="BG60" s="110">
        <v>0.57291666666666696</v>
      </c>
      <c r="BH60" s="211">
        <f>IF('Temperature Profiles'!G59&lt;16,(-0.01*'Temperature Profiles'!G59+0.167)*1000,0)</f>
        <v>0</v>
      </c>
      <c r="BI60" s="21"/>
      <c r="BJ60" s="110">
        <v>0.57291666666666696</v>
      </c>
      <c r="BK60" s="211">
        <f>IF('Temperature Profiles'!L59&lt;16,(-0.0037*'Temperature Profiles'!L59+0.0664)*1000,0)</f>
        <v>0</v>
      </c>
      <c r="BL60" s="110">
        <v>0.57291666666666696</v>
      </c>
      <c r="BM60" s="211">
        <f>IF('Temperature Profiles'!L59&lt;16,(-0.0076*'Temperature Profiles'!L59+0.1245)*1000,0)</f>
        <v>0</v>
      </c>
      <c r="BN60" s="110">
        <v>0.57291666666666696</v>
      </c>
      <c r="BO60" s="211">
        <f>IF('Temperature Profiles'!L59&lt;16,(-0.01*'Temperature Profiles'!L59+0.167)*1000,0)</f>
        <v>0</v>
      </c>
      <c r="BP60" s="21"/>
      <c r="BQ60" s="110">
        <v>0.57291666666666696</v>
      </c>
      <c r="BR60" s="211">
        <f>IF('Temperature Profiles'!Q59&lt;16,(-0.0037*'Temperature Profiles'!Q59+0.0664)*1000,0)</f>
        <v>0</v>
      </c>
      <c r="BS60" s="110">
        <v>0.57291666666666696</v>
      </c>
      <c r="BT60" s="211">
        <f>IF('Temperature Profiles'!Q59&lt;16,(-0.0076*'Temperature Profiles'!Q59+0.1245)*1000,0)</f>
        <v>0</v>
      </c>
      <c r="BU60" s="110">
        <v>0.57291666666666696</v>
      </c>
      <c r="BV60" s="211">
        <f>IF('Temperature Profiles'!Q59&lt;16,(-0.01*'Temperature Profiles'!Q59+0.167)*1000,0)</f>
        <v>0</v>
      </c>
      <c r="BW60" s="21"/>
      <c r="BX60" s="110">
        <v>0.57291666666666696</v>
      </c>
      <c r="BY60" s="211">
        <f>IF('Temperature Profiles'!V59&lt;16,(-0.0037*'Temperature Profiles'!V59+0.0664)*1000,0)</f>
        <v>0</v>
      </c>
      <c r="BZ60" s="110">
        <v>0.57291666666666696</v>
      </c>
      <c r="CA60" s="211">
        <f>IF('Temperature Profiles'!V59&lt;16,(-0.0076*'Temperature Profiles'!V59+0.1245)*1000,0)</f>
        <v>0</v>
      </c>
      <c r="CB60" s="110">
        <v>0.57291666666666696</v>
      </c>
      <c r="CC60" s="211">
        <f>IF('Temperature Profiles'!V59&lt;16,(-0.01*'Temperature Profiles'!V59+0.167)*1000,0)</f>
        <v>0</v>
      </c>
      <c r="CD60" s="21"/>
      <c r="CE60" s="110">
        <v>0.57291666666666696</v>
      </c>
      <c r="CF60" s="211">
        <f>IF('Temperature Profiles'!AA59&lt;16,(-0.0037*'Temperature Profiles'!AA59+0.0664)*1000,0)</f>
        <v>84.160000000000011</v>
      </c>
      <c r="CG60" s="110">
        <v>0.57291666666666696</v>
      </c>
      <c r="CH60" s="178">
        <f>IF('Temperature Profiles'!AA59&lt;16,(-0.0076*'Temperature Profiles'!AA59+0.1245)*1000,0)</f>
        <v>160.98000000000002</v>
      </c>
      <c r="CI60" s="110">
        <v>0.57291666666666696</v>
      </c>
      <c r="CJ60" s="211">
        <f>IF('Temperature Profiles'!AA59&lt;16,(-0.01*'Temperature Profiles'!AA59+0.167)*1000,0)</f>
        <v>215.00000000000003</v>
      </c>
      <c r="CK60" s="21"/>
      <c r="CL60" s="110">
        <v>0.57291666666666696</v>
      </c>
      <c r="CM60" s="211">
        <f>IF('Temperature Profiles'!AF59&lt;16,(-0.0037*'Temperature Profiles'!AF59+0.0664)*1000,0)</f>
        <v>0</v>
      </c>
      <c r="CN60" s="110">
        <v>0.57291666666666696</v>
      </c>
      <c r="CO60" s="178">
        <f>IF('Temperature Profiles'!AF59&lt;16,(-0.0076*'Temperature Profiles'!AF59+0.1245)*1000,0)</f>
        <v>0</v>
      </c>
      <c r="CP60" s="110">
        <v>0.57291666666666696</v>
      </c>
      <c r="CQ60" s="211">
        <f>IF('Temperature Profiles'!AF59&lt;16,(-0.01*'Temperature Profiles'!AF59+0.167)*1000,0)</f>
        <v>0</v>
      </c>
      <c r="CR60" s="21"/>
      <c r="CS60" s="110">
        <v>0.57291666666666696</v>
      </c>
      <c r="CT60" s="211"/>
      <c r="CU60" s="21"/>
      <c r="CV60" s="110">
        <v>0.57291666666666696</v>
      </c>
      <c r="CW60" s="264"/>
      <c r="CY60" s="260">
        <v>0.57291666666666696</v>
      </c>
      <c r="CZ60" s="178">
        <f>IF('Temperature Profiles'!G59&gt;18,(0.0024*('Temperature Profiles'!G59^2)-0.0581*'Temperature Profiles'!G59+0.3293)*1000,IF('Temperature Profiles'!G59&lt;17,(0.0022*('Temperature Profiles'!G59^2)-0.0874*'Temperature Profiles'!G59+0.9301)*1000,0))</f>
        <v>210.72500000000011</v>
      </c>
      <c r="DA60" s="110">
        <v>0.57291666666666696</v>
      </c>
      <c r="DB60" s="263">
        <f>IF('Temperature Profiles'!G59&gt;18,(0.0043*('Temperature Profiles'!G59^2)-0.1116*'Temperature Profiles'!G59+0.6576)*1000,IF('Temperature Profiles'!G59&lt;17,(0.0053*('Temperature Profiles'!G59^2)-0.1876*'Temperature Profiles'!G59+1.7649)*1000,0))</f>
        <v>280.3741319444448</v>
      </c>
      <c r="DC60" s="110">
        <v>0.57291666666666696</v>
      </c>
      <c r="DD60" s="211">
        <f>IF('Temperature Profiles'!G59&gt;18,(0.0057*('Temperature Profiles'!G59^2)-0.1509*'Temperature Profiles'!G59+0.8935)*1000,IF('Temperature Profiles'!G59&lt;17,(0.0072*('Temperature Profiles'!G59^2)-0.254*'Temperature Profiles'!G59+2.3952)*1000,0))</f>
        <v>328.34739583333362</v>
      </c>
      <c r="DE60" s="21"/>
      <c r="DF60" s="110">
        <v>0.57291666666666696</v>
      </c>
      <c r="DG60" s="209">
        <f>IF('Temperature Profiles'!L59&gt;18,(0.0024*('Temperature Profiles'!L59^2)-0.0581*'Temperature Profiles'!L59+0.3293)*1000,IF('Temperature Profiles'!L59&lt;17,(0.0022*('Temperature Profiles'!L59^2)-0.0874*'Temperature Profiles'!L59+0.9301)*1000,0))</f>
        <v>598.8123333333333</v>
      </c>
      <c r="DH60" s="110">
        <v>0.57291666666666696</v>
      </c>
      <c r="DI60" s="209">
        <f>IF('Temperature Profiles'!L59&gt;18,(0.0043*('Temperature Profiles'!L59^2)-0.1116*'Temperature Profiles'!L59+0.6576)*1000,IF('Temperature Profiles'!L59&lt;17,(0.0053*('Temperature Profiles'!L59^2)-0.1876*'Temperature Profiles'!L59+1.7649)*1000,0))</f>
        <v>928.9212986111113</v>
      </c>
      <c r="DJ60" s="110">
        <v>0.57291666666666696</v>
      </c>
      <c r="DK60" s="211">
        <f>IF('Temperature Profiles'!L59&gt;18,(0.0057*('Temperature Profiles'!L59^2)-0.1509*'Temperature Profiles'!L59+0.8935)*1000,IF('Temperature Profiles'!L59&lt;17,(0.0072*('Temperature Profiles'!L59^2)-0.254*'Temperature Profiles'!L59+2.3952)*1000,0))</f>
        <v>1169.5668958333338</v>
      </c>
      <c r="DL60" s="21"/>
      <c r="DM60" s="110">
        <v>0.57291666666666696</v>
      </c>
      <c r="DN60" s="209">
        <f>IF('Temperature Profiles'!Q59&gt;18,(0.0024*('Temperature Profiles'!Q59^2)-0.0581*'Temperature Profiles'!Q59+0.3293)*1000,IF('Temperature Profiles'!Q59&lt;17,(0.0022*('Temperature Profiles'!Q59^2)-0.0874*'Temperature Profiles'!Q59+0.9301)*1000,0))</f>
        <v>989.14599999999939</v>
      </c>
      <c r="DO60" s="110">
        <v>0.57291666666666696</v>
      </c>
      <c r="DP60" s="209">
        <f>IF('Temperature Profiles'!Q59&gt;18,(0.0043*('Temperature Profiles'!Q59^2)-0.1116*'Temperature Profiles'!Q59+0.6576)*1000,IF('Temperature Profiles'!Q59&lt;17,(0.0053*('Temperature Profiles'!Q59^2)-0.1876*'Temperature Profiles'!Q59+1.7649)*1000,0))</f>
        <v>1594.9381111111104</v>
      </c>
      <c r="DQ60" s="110">
        <v>0.57291666666666696</v>
      </c>
      <c r="DR60" s="211">
        <f>IF('Temperature Profiles'!Q59&gt;18,(0.0057*('Temperature Profiles'!Q59^2)-0.1509*'Temperature Profiles'!Q59+0.8935)*1000,IF('Temperature Profiles'!Q59&lt;17,(0.0072*('Temperature Profiles'!Q59^2)-0.254*'Temperature Profiles'!Q59+2.3952)*1000,0))</f>
        <v>2039.2563333333328</v>
      </c>
      <c r="DS60" s="21"/>
      <c r="DT60" s="110">
        <v>0.57291666666666696</v>
      </c>
      <c r="DU60" s="209">
        <f>IF('Temperature Profiles'!V59&gt;18,(0.0024*('Temperature Profiles'!V59^2)-0.0581*'Temperature Profiles'!V59+0.3293)*1000,IF('Temperature Profiles'!V59&lt;17,(0.0022*('Temperature Profiles'!V59^2)-0.0874*'Temperature Profiles'!V59+0.9301)*1000,0))</f>
        <v>71.548999999999921</v>
      </c>
      <c r="DV60" s="110">
        <v>0.57291666666666696</v>
      </c>
      <c r="DW60" s="209">
        <f>IF('Temperature Profiles'!V59&gt;18,(0.0043*('Temperature Profiles'!V59^2)-0.1116*'Temperature Profiles'!V59+0.6576)*1000,IF('Temperature Profiles'!V59&lt;17,(0.0053*('Temperature Profiles'!V59^2)-0.1876*'Temperature Profiles'!V59+1.7649)*1000,0))</f>
        <v>58.032131944444117</v>
      </c>
      <c r="DX60" s="110">
        <v>0.57291666666666696</v>
      </c>
      <c r="DY60" s="211">
        <f>IF('Temperature Profiles'!V59&gt;18,(0.0057*('Temperature Profiles'!V59^2)-0.1509*'Temperature Profiles'!V59+0.8935)*1000,IF('Temperature Profiles'!V59&lt;17,(0.0072*('Temperature Profiles'!V59^2)-0.254*'Temperature Profiles'!V59+2.3952)*1000,0))</f>
        <v>44.289395833333025</v>
      </c>
      <c r="DZ60" s="21"/>
      <c r="EA60" s="110">
        <v>0.57291666666666696</v>
      </c>
      <c r="EB60" s="209">
        <f>IF('Temperature Profiles'!AA158&gt;18,(0.0024*('Temperature Profiles'!AA158^2)-0.0581*'Temperature Profiles'!AA158+0.3293)*1000,IF('Temperature Profiles'!AA158&lt;17,(0.0022*('Temperature Profiles'!AA158^2)-0.0874*'Temperature Profiles'!AA158+0.9301)*1000,0))</f>
        <v>333.78750000000002</v>
      </c>
      <c r="EC60" s="110">
        <v>0.57291666666666696</v>
      </c>
      <c r="ED60" s="209">
        <f>IF('Temperature Profiles'!AA158&gt;18,(0.0043*('Temperature Profiles'!AA158^2)-0.1116*'Temperature Profiles'!AA158+0.6576)*1000,IF('Temperature Profiles'!AA158&lt;17,(0.0053*('Temperature Profiles'!AA158^2)-0.1876*'Temperature Profiles'!AA158+1.7649)*1000,0))</f>
        <v>529.18124999999998</v>
      </c>
      <c r="EE60" s="110">
        <v>0.57291666666666696</v>
      </c>
      <c r="EF60" s="211">
        <f>IF('Temperature Profiles'!AA158&gt;18,(0.0057*('Temperature Profiles'!AA158^2)-0.1509*'Temperature Profiles'!AA158+0.8935)*1000,IF('Temperature Profiles'!AA158&lt;17,(0.0072*('Temperature Profiles'!AA158^2)-0.254*'Temperature Profiles'!AA158+2.3952)*1000,0))</f>
        <v>723.94999999999982</v>
      </c>
      <c r="EG60" s="21"/>
      <c r="EH60" s="110">
        <v>0.57291666666666696</v>
      </c>
      <c r="EI60" s="211">
        <f>IF('Temperature Profiles'!AF59&gt;18,(0.0024*('Temperature Profiles'!AF59^2)-0.0581*'Temperature Profiles'!AF59+0.3293)*1000,IF('Temperature Profiles'!AF59&lt;17,(0.0022*('Temperature Profiles'!AF59^2)-0.0874*'Temperature Profiles'!AF59+0.9301)*1000,0))</f>
        <v>1178.7640000000006</v>
      </c>
      <c r="EJ60" s="110">
        <v>0.57291666666666696</v>
      </c>
      <c r="EK60" s="211">
        <f>IF('Temperature Profiles'!AF59&gt;18,(0.0043*('Temperature Profiles'!AF59^2)-0.1116*'Temperature Profiles'!AF59+0.6576)*1000,IF('Temperature Profiles'!AF59&lt;17,(0.0053*('Temperature Profiles'!AF59^2)-0.1876*'Temperature Profiles'!AF59+1.7649)*1000,0))</f>
        <v>1920.850187500002</v>
      </c>
      <c r="EL60" s="110">
        <v>0.57291666666666696</v>
      </c>
      <c r="EM60" s="211">
        <f>IF('Temperature Profiles'!AF59&gt;18,(0.0057*('Temperature Profiles'!AF59^2)-0.1509*'Temperature Profiles'!AF59+0.8935)*1000,IF('Temperature Profiles'!AF59&lt;17,(0.0072*('Temperature Profiles'!AF59^2)-0.254*'Temperature Profiles'!AF59+2.3952)*1000,0))</f>
        <v>2465.8185625000024</v>
      </c>
      <c r="EN60" s="21"/>
      <c r="EO60" s="110">
        <v>0.57291666666666696</v>
      </c>
      <c r="EP60" s="211"/>
      <c r="EQ60" s="21"/>
      <c r="ER60" s="110">
        <v>0.57291666666666696</v>
      </c>
      <c r="ES60" s="264"/>
      <c r="EU60" s="260">
        <v>0.57291666666666696</v>
      </c>
      <c r="EV60" s="209">
        <f>IF('Temperature Profiles'!AA158&gt;18,(0.0024*('Temperature Profiles'!AA158^2)-0.0581*'Temperature Profiles'!AA158+0.3293)*1000,IF('Temperature Profiles'!AA158&lt;17,(0.0022*('Temperature Profiles'!AA158^2)-0.0874*'Temperature Profiles'!AA158+0.9301)*1000,0))</f>
        <v>333.78750000000002</v>
      </c>
      <c r="EW60" s="110">
        <v>0.57291666666666696</v>
      </c>
      <c r="EX60" s="209">
        <f>IF('Temperature Profiles'!AA158&gt;18,(0.0043*('Temperature Profiles'!AA158^2)-0.1116*'Temperature Profiles'!AA158+0.6576)*1000,IF('Temperature Profiles'!AA158&lt;17,(0.0053*('Temperature Profiles'!AA158^2)-0.1876*'Temperature Profiles'!AA158+1.7649)*1000,0))</f>
        <v>529.18124999999998</v>
      </c>
      <c r="EY60" s="110">
        <v>0.57291666666666696</v>
      </c>
      <c r="EZ60" s="264">
        <f>IF('Temperature Profiles'!AA158&gt;18,(0.0057*('Temperature Profiles'!AA158^2)-0.1509*'Temperature Profiles'!AA158+0.8935)*1000,IF('Temperature Profiles'!AA158&lt;17,(0.0072*('Temperature Profiles'!AA158^2)-0.254*'Temperature Profiles'!AA158+2.3952)*1000,0))</f>
        <v>723.94999999999982</v>
      </c>
    </row>
    <row r="61" spans="1:156" x14ac:dyDescent="0.3">
      <c r="A61" s="108">
        <v>0.57291666666666696</v>
      </c>
      <c r="B61" s="226">
        <f t="shared" si="0"/>
        <v>0</v>
      </c>
      <c r="C61" s="21">
        <f t="shared" si="1"/>
        <v>215.00000000000003</v>
      </c>
      <c r="D61" s="20">
        <f t="shared" si="2"/>
        <v>723.94999999999982</v>
      </c>
      <c r="E61" s="20">
        <f t="shared" si="3"/>
        <v>723.94999999999982</v>
      </c>
      <c r="G61" s="260">
        <v>0.58333333333333304</v>
      </c>
      <c r="H61" s="211">
        <f>IF('Temperature Profiles'!G60&gt;17,(0.0029*('Temperature Profiles'!G60^2) - 0.0863*'Temperature Profiles'!G60 + 0.6808)*1000,0)</f>
        <v>262.68888888888841</v>
      </c>
      <c r="I61" s="110">
        <v>0.58333333333333304</v>
      </c>
      <c r="J61" s="211">
        <f>IF('Temperature Profiles'!G60&gt;17,(0.005*('Temperature Profiles'!G60^2) - 0.1517*'Temperature Profiles'!G60 + 1.1702)*1000,0)</f>
        <v>380.52222222222201</v>
      </c>
      <c r="K61" s="110">
        <v>0.58333333333333304</v>
      </c>
      <c r="L61" s="211">
        <f>IF('Temperature Profiles'!G60&gt;17,(0.0068*('Temperature Profiles'!G60^2) - 0.2129*'Temperature Profiles'!G60 + 1.6904)*1000,0)</f>
        <v>460.52222222222116</v>
      </c>
      <c r="M61" s="21"/>
      <c r="N61" s="110">
        <v>0.58333333333333304</v>
      </c>
      <c r="O61" s="211">
        <f>IF('Temperature Profiles'!L60&gt;17,(0.0029*('Temperature Profiles'!L60^2) - 0.0863*'Temperature Profiles'!L60 + 0.6808)*1000,0)</f>
        <v>610.87381249999942</v>
      </c>
      <c r="P61" s="110">
        <v>0.58333333333333304</v>
      </c>
      <c r="Q61" s="211">
        <f>IF('Temperature Profiles'!L60&gt;17,(0.005*('Temperature Profiles'!L60^2) - 0.1517*'Temperature Profiles'!L60 + 1.1702)*1000,0)</f>
        <v>965.55562499999996</v>
      </c>
      <c r="R61" s="110">
        <v>0.58333333333333304</v>
      </c>
      <c r="S61" s="211">
        <f>IF('Temperature Profiles'!L60&gt;17,(0.0068*('Temperature Profiles'!L60^2) - 0.2129*'Temperature Profiles'!L60 + 1.6904)*1000,0)</f>
        <v>1221.5257499999991</v>
      </c>
      <c r="T61" s="21"/>
      <c r="U61" s="110">
        <v>0.58333333333333304</v>
      </c>
      <c r="V61" s="211">
        <f>IF('Temperature Profiles'!Q60&gt;17,(0.0029*('Temperature Profiles'!Q60^2) - 0.0863*'Temperature Profiles'!Q60 + 0.6808)*1000,0)</f>
        <v>1029.0332013888883</v>
      </c>
      <c r="W61" s="110">
        <v>0.58333333333333304</v>
      </c>
      <c r="X61" s="211">
        <f>IF('Temperature Profiles'!Q60&gt;17,(0.005*('Temperature Profiles'!Q60^2) - 0.1517*'Temperature Profiles'!Q60 + 1.1702)*1000,0)</f>
        <v>1673.6328472222212</v>
      </c>
      <c r="Y61" s="110">
        <v>0.58333333333333304</v>
      </c>
      <c r="Z61" s="211">
        <f>IF('Temperature Profiles'!Q60&gt;17,(0.0068*('Temperature Profiles'!Q60^2) - 0.2129*'Temperature Profiles'!Q60 + 1.6904)*1000,0)</f>
        <v>2155.3039722222215</v>
      </c>
      <c r="AA61" s="21"/>
      <c r="AB61" s="110">
        <v>0.58333333333333304</v>
      </c>
      <c r="AC61" s="211">
        <f>IF('Temperature Profiles'!V60&gt;17,(0.0029*('Temperature Profiles'!V60^2) - 0.0863*'Temperature Profiles'!V60 + 0.6808)*1000,0)</f>
        <v>79.62655555555564</v>
      </c>
      <c r="AD61" s="110">
        <v>0.58333333333333304</v>
      </c>
      <c r="AE61" s="211">
        <f>IF('Temperature Profiles'!V60&gt;17,(0.005*('Temperature Profiles'!V60^2) - 0.1517*'Temperature Profiles'!V60 + 1.1702)*1000,0)</f>
        <v>79.528888888888986</v>
      </c>
      <c r="AF61" s="110">
        <v>0.58333333333333304</v>
      </c>
      <c r="AG61" s="211">
        <f>IF('Temperature Profiles'!V60&gt;17,(0.0068*('Temperature Profiles'!V60^2) - 0.2129*'Temperature Profiles'!V60 + 1.6904)*1000,0)</f>
        <v>84.330888888888737</v>
      </c>
      <c r="AH61" s="21"/>
      <c r="AI61" s="110">
        <v>0.58333333333333304</v>
      </c>
      <c r="AJ61" s="211">
        <f>IF('Temperature Profiles'!AA60&gt;17,(0.0029*('Temperature Profiles'!AA60^2) - 0.0863*'Temperature Profiles'!AA60 + 0.6808)*1000,0)</f>
        <v>0</v>
      </c>
      <c r="AK61" s="110">
        <v>0.58333333333333304</v>
      </c>
      <c r="AL61" s="211">
        <f>IF('Temperature Profiles'!AA60&gt;17,(0.005*('Temperature Profiles'!AA60^2) - 0.1517*'Temperature Profiles'!AA60 + 1.1701)*1000,0)</f>
        <v>0</v>
      </c>
      <c r="AM61" s="110">
        <v>0.58333333333333304</v>
      </c>
      <c r="AN61" s="211">
        <f>IF('Temperature Profiles'!AA60&gt;17,(0.0068*('Temperature Profiles'!AA60^2) - 0.2129*'Temperature Profiles'!AA60 + 1.6904)*1000,0)</f>
        <v>0</v>
      </c>
      <c r="AO61" s="21"/>
      <c r="AP61" s="110">
        <v>0.58333333333333304</v>
      </c>
      <c r="AQ61" s="211">
        <f>IF('Temperature Profiles'!AF60&gt;17,(0.0029*('Temperature Profiles'!AF60^2) - 0.0863*'Temperature Profiles'!AF60 + 0.6808)*1000,0)</f>
        <v>1216.6932222222231</v>
      </c>
      <c r="AR61" s="110">
        <v>0.58333333333333304</v>
      </c>
      <c r="AS61" s="183">
        <f>IF('Temperature Profiles'!AF60&gt;17,(0.005*('Temperature Profiles'!AF60^2) - 0.1517*'Temperature Profiles'!AF60 + 1.1702)*1000,0)</f>
        <v>1992.3155555555572</v>
      </c>
      <c r="AT61" s="110">
        <v>0.58333333333333304</v>
      </c>
      <c r="AU61" s="211">
        <f>IF('Temperature Profiles'!AF60&gt;17,(0.0068*('Temperature Profiles'!AF60^2) - 0.2129*'Temperature Profiles'!AF60 + 1.6904)*1000,0)</f>
        <v>2577.6775555555573</v>
      </c>
      <c r="AV61" s="21"/>
      <c r="AW61" s="110">
        <v>0.58333333333333304</v>
      </c>
      <c r="AX61" s="211"/>
      <c r="AY61" s="21"/>
      <c r="AZ61" s="110">
        <v>0.58333333333333304</v>
      </c>
      <c r="BA61" s="264"/>
      <c r="BC61" s="260">
        <v>0.58333333333333304</v>
      </c>
      <c r="BD61" s="211">
        <f>IF('Temperature Profiles'!G60&lt;16,(-0.0037*'Temperature Profiles'!G60+0.0664)*1000,0)</f>
        <v>0</v>
      </c>
      <c r="BE61" s="110">
        <v>0.58333333333333304</v>
      </c>
      <c r="BF61" s="211">
        <f>IF('Temperature Profiles'!G60&lt;16,(-0.0076*'Temperature Profiles'!G60+0.1245)*1000,0)</f>
        <v>0</v>
      </c>
      <c r="BG61" s="110">
        <v>0.58333333333333304</v>
      </c>
      <c r="BH61" s="211">
        <f>IF('Temperature Profiles'!G60&lt;16,(-0.01*'Temperature Profiles'!G60+0.167)*1000,0)</f>
        <v>0</v>
      </c>
      <c r="BI61" s="21"/>
      <c r="BJ61" s="110">
        <v>0.58333333333333304</v>
      </c>
      <c r="BK61" s="211">
        <f>IF('Temperature Profiles'!L60&lt;16,(-0.0037*'Temperature Profiles'!L60+0.0664)*1000,0)</f>
        <v>0</v>
      </c>
      <c r="BL61" s="110">
        <v>0.58333333333333304</v>
      </c>
      <c r="BM61" s="211">
        <f>IF('Temperature Profiles'!L60&lt;16,(-0.0076*'Temperature Profiles'!L60+0.1245)*1000,0)</f>
        <v>0</v>
      </c>
      <c r="BN61" s="110">
        <v>0.58333333333333304</v>
      </c>
      <c r="BO61" s="211">
        <f>IF('Temperature Profiles'!L60&lt;16,(-0.01*'Temperature Profiles'!L60+0.167)*1000,0)</f>
        <v>0</v>
      </c>
      <c r="BP61" s="21"/>
      <c r="BQ61" s="110">
        <v>0.58333333333333304</v>
      </c>
      <c r="BR61" s="211">
        <f>IF('Temperature Profiles'!Q60&lt;16,(-0.0037*'Temperature Profiles'!Q60+0.0664)*1000,0)</f>
        <v>0</v>
      </c>
      <c r="BS61" s="110">
        <v>0.58333333333333304</v>
      </c>
      <c r="BT61" s="211">
        <f>IF('Temperature Profiles'!Q60&lt;16,(-0.0076*'Temperature Profiles'!Q60+0.1245)*1000,0)</f>
        <v>0</v>
      </c>
      <c r="BU61" s="110">
        <v>0.58333333333333304</v>
      </c>
      <c r="BV61" s="211">
        <f>IF('Temperature Profiles'!Q60&lt;16,(-0.01*'Temperature Profiles'!Q60+0.167)*1000,0)</f>
        <v>0</v>
      </c>
      <c r="BW61" s="21"/>
      <c r="BX61" s="110">
        <v>0.58333333333333304</v>
      </c>
      <c r="BY61" s="211">
        <f>IF('Temperature Profiles'!V60&lt;16,(-0.0037*'Temperature Profiles'!V60+0.0664)*1000,0)</f>
        <v>0</v>
      </c>
      <c r="BZ61" s="110">
        <v>0.58333333333333304</v>
      </c>
      <c r="CA61" s="211">
        <f>IF('Temperature Profiles'!V60&lt;16,(-0.0076*'Temperature Profiles'!V60+0.1245)*1000,0)</f>
        <v>0</v>
      </c>
      <c r="CB61" s="110">
        <v>0.58333333333333304</v>
      </c>
      <c r="CC61" s="211">
        <f>IF('Temperature Profiles'!V60&lt;16,(-0.01*'Temperature Profiles'!V60+0.167)*1000,0)</f>
        <v>0</v>
      </c>
      <c r="CD61" s="21"/>
      <c r="CE61" s="110">
        <v>0.58333333333333304</v>
      </c>
      <c r="CF61" s="211">
        <f>IF('Temperature Profiles'!AA60&lt;16,(-0.0037*'Temperature Profiles'!AA60+0.0664)*1000,0)</f>
        <v>81.446666666666673</v>
      </c>
      <c r="CG61" s="110">
        <v>0.58333333333333304</v>
      </c>
      <c r="CH61" s="178">
        <f>IF('Temperature Profiles'!AA60&lt;16,(-0.0076*'Temperature Profiles'!AA60+0.1245)*1000,0)</f>
        <v>155.40666666666667</v>
      </c>
      <c r="CI61" s="110">
        <v>0.58333333333333304</v>
      </c>
      <c r="CJ61" s="211">
        <f>IF('Temperature Profiles'!AA60&lt;16,(-0.01*'Temperature Profiles'!AA60+0.167)*1000,0)</f>
        <v>207.66666666666669</v>
      </c>
      <c r="CK61" s="21"/>
      <c r="CL61" s="110">
        <v>0.58333333333333304</v>
      </c>
      <c r="CM61" s="211">
        <f>IF('Temperature Profiles'!AF60&lt;16,(-0.0037*'Temperature Profiles'!AF60+0.0664)*1000,0)</f>
        <v>0</v>
      </c>
      <c r="CN61" s="110">
        <v>0.58333333333333304</v>
      </c>
      <c r="CO61" s="178">
        <f>IF('Temperature Profiles'!AF60&lt;16,(-0.0076*'Temperature Profiles'!AF60+0.1245)*1000,0)</f>
        <v>0</v>
      </c>
      <c r="CP61" s="110">
        <v>0.58333333333333304</v>
      </c>
      <c r="CQ61" s="211">
        <f>IF('Temperature Profiles'!AF60&lt;16,(-0.01*'Temperature Profiles'!AF60+0.167)*1000,0)</f>
        <v>0</v>
      </c>
      <c r="CR61" s="21"/>
      <c r="CS61" s="110">
        <v>0.58333333333333304</v>
      </c>
      <c r="CT61" s="211"/>
      <c r="CU61" s="21"/>
      <c r="CV61" s="110">
        <v>0.58333333333333304</v>
      </c>
      <c r="CW61" s="264"/>
      <c r="CY61" s="260">
        <v>0.58333333333333304</v>
      </c>
      <c r="CZ61" s="178">
        <f>IF('Temperature Profiles'!G60&gt;18,(0.0024*('Temperature Profiles'!G60^2)-0.0581*'Temperature Profiles'!G60+0.3293)*1000,IF('Temperature Profiles'!G60&lt;17,(0.0022*('Temperature Profiles'!G60^2)-0.0874*'Temperature Profiles'!G60+0.9301)*1000,0))</f>
        <v>298.53333333333313</v>
      </c>
      <c r="DA61" s="110">
        <v>0.58333333333333304</v>
      </c>
      <c r="DB61" s="263">
        <f>IF('Temperature Profiles'!G60&gt;18,(0.0043*('Temperature Profiles'!G60^2)-0.1116*'Temperature Profiles'!G60+0.6576)*1000,IF('Temperature Profiles'!G60&lt;17,(0.0053*('Temperature Profiles'!G60^2)-0.1876*'Temperature Profiles'!G60+1.7649)*1000,0))</f>
        <v>424.87777777777723</v>
      </c>
      <c r="DC61" s="110">
        <v>0.58333333333333304</v>
      </c>
      <c r="DD61" s="211">
        <f>IF('Temperature Profiles'!G60&gt;18,(0.0057*('Temperature Profiles'!G60^2)-0.1509*'Temperature Profiles'!G60+0.8935)*1000,IF('Temperature Profiles'!G60&lt;17,(0.0072*('Temperature Profiles'!G60^2)-0.254*'Temperature Profiles'!G60+2.3952)*1000,0))</f>
        <v>514.8333333333328</v>
      </c>
      <c r="DE61" s="21"/>
      <c r="DF61" s="110">
        <v>0.58333333333333304</v>
      </c>
      <c r="DG61" s="209">
        <f>IF('Temperature Profiles'!L60&gt;18,(0.0024*('Temperature Profiles'!L60^2)-0.0581*'Temperature Profiles'!L60+0.3293)*1000,IF('Temperature Profiles'!L60&lt;17,(0.0022*('Temperature Profiles'!L60^2)-0.0874*'Temperature Profiles'!L60+0.9301)*1000,0))</f>
        <v>656.73099999999977</v>
      </c>
      <c r="DH61" s="110">
        <v>0.58333333333333304</v>
      </c>
      <c r="DI61" s="209">
        <f>IF('Temperature Profiles'!L60&gt;18,(0.0043*('Temperature Profiles'!L60^2)-0.1116*'Temperature Profiles'!L60+0.6576)*1000,IF('Temperature Profiles'!L60&lt;17,(0.0053*('Temperature Profiles'!L60^2)-0.1876*'Temperature Profiles'!L60+1.7649)*1000,0))</f>
        <v>1027.1891874999994</v>
      </c>
      <c r="DJ61" s="110">
        <v>0.58333333333333304</v>
      </c>
      <c r="DK61" s="211">
        <f>IF('Temperature Profiles'!L60&gt;18,(0.0057*('Temperature Profiles'!L60^2)-0.1509*'Temperature Profiles'!L60+0.8935)*1000,IF('Temperature Profiles'!L60&lt;17,(0.0072*('Temperature Profiles'!L60^2)-0.254*'Temperature Profiles'!L60+2.3952)*1000,0))</f>
        <v>1297.6545624999997</v>
      </c>
      <c r="DL61" s="21"/>
      <c r="DM61" s="110">
        <v>0.58333333333333304</v>
      </c>
      <c r="DN61" s="209">
        <f>IF('Temperature Profiles'!Q60&gt;18,(0.0024*('Temperature Profiles'!Q60^2)-0.0581*'Temperature Profiles'!Q60+0.3293)*1000,IF('Temperature Profiles'!Q60&lt;17,(0.0022*('Temperature Profiles'!Q60^2)-0.0874*'Temperature Profiles'!Q60+0.9301)*1000,0))</f>
        <v>1061.8489999999997</v>
      </c>
      <c r="DO61" s="110">
        <v>0.58333333333333304</v>
      </c>
      <c r="DP61" s="209">
        <f>IF('Temperature Profiles'!Q60&gt;18,(0.0043*('Temperature Profiles'!Q60^2)-0.1116*'Temperature Profiles'!Q60+0.6576)*1000,IF('Temperature Profiles'!Q60&lt;17,(0.0053*('Temperature Profiles'!Q60^2)-0.1876*'Temperature Profiles'!Q60+1.7649)*1000,0))</f>
        <v>1719.7571319444442</v>
      </c>
      <c r="DQ61" s="110">
        <v>0.58333333333333304</v>
      </c>
      <c r="DR61" s="211">
        <f>IF('Temperature Profiles'!Q60&gt;18,(0.0057*('Temperature Profiles'!Q60^2)-0.1509*'Temperature Profiles'!Q60+0.8935)*1000,IF('Temperature Profiles'!Q60&lt;17,(0.0072*('Temperature Profiles'!Q60^2)-0.254*'Temperature Profiles'!Q60+2.3952)*1000,0))</f>
        <v>2202.5643958333326</v>
      </c>
      <c r="DS61" s="21"/>
      <c r="DT61" s="110">
        <v>0.58333333333333304</v>
      </c>
      <c r="DU61" s="209">
        <f>IF('Temperature Profiles'!V60&gt;18,(0.0024*('Temperature Profiles'!V60^2)-0.0581*'Temperature Profiles'!V60+0.3293)*1000,IF('Temperature Profiles'!V60&lt;17,(0.0022*('Temperature Profiles'!V60^2)-0.0874*'Temperature Profiles'!V60+0.9301)*1000,0))</f>
        <v>79.985999999999947</v>
      </c>
      <c r="DV61" s="110">
        <v>0.58333333333333304</v>
      </c>
      <c r="DW61" s="209">
        <f>IF('Temperature Profiles'!V60&gt;18,(0.0043*('Temperature Profiles'!V60^2)-0.1116*'Temperature Profiles'!V60+0.6576)*1000,IF('Temperature Profiles'!V60&lt;17,(0.0053*('Temperature Profiles'!V60^2)-0.1876*'Temperature Profiles'!V60+1.7649)*1000,0))</f>
        <v>71.0847777777781</v>
      </c>
      <c r="DX61" s="110">
        <v>0.58333333333333304</v>
      </c>
      <c r="DY61" s="211">
        <f>IF('Temperature Profiles'!V60&gt;18,(0.0057*('Temperature Profiles'!V60^2)-0.1509*'Temperature Profiles'!V60+0.8935)*1000,IF('Temperature Profiles'!V60&lt;17,(0.0072*('Temperature Profiles'!V60^2)-0.254*'Temperature Profiles'!V60+2.3952)*1000,0))</f>
        <v>60.77633333333354</v>
      </c>
      <c r="DZ61" s="21"/>
      <c r="EA61" s="110">
        <v>0.58333333333333304</v>
      </c>
      <c r="EB61" s="209">
        <f>IF('Temperature Profiles'!AA159&gt;18,(0.0024*('Temperature Profiles'!AA159^2)-0.0581*'Temperature Profiles'!AA159+0.3293)*1000,IF('Temperature Profiles'!AA159&lt;17,(0.0022*('Temperature Profiles'!AA159^2)-0.0874*'Temperature Profiles'!AA159+0.9301)*1000,0))</f>
        <v>310.66644444444449</v>
      </c>
      <c r="EC61" s="110">
        <v>0.58333333333333304</v>
      </c>
      <c r="ED61" s="209">
        <f>IF('Temperature Profiles'!AA159&gt;18,(0.0043*('Temperature Profiles'!AA159^2)-0.1116*'Temperature Profiles'!AA159+0.6576)*1000,IF('Temperature Profiles'!AA159&lt;17,(0.0053*('Temperature Profiles'!AA159^2)-0.1876*'Temperature Profiles'!AA159+1.7649)*1000,0))</f>
        <v>484.57522222222235</v>
      </c>
      <c r="EE61" s="110">
        <v>0.58333333333333304</v>
      </c>
      <c r="EF61" s="211">
        <f>IF('Temperature Profiles'!AA159&gt;18,(0.0057*('Temperature Profiles'!AA159^2)-0.1509*'Temperature Profiles'!AA159+0.8935)*1000,IF('Temperature Profiles'!AA159&lt;17,(0.0072*('Temperature Profiles'!AA159^2)-0.254*'Temperature Profiles'!AA159+2.3952)*1000,0))</f>
        <v>663.7653333333335</v>
      </c>
      <c r="EG61" s="21"/>
      <c r="EH61" s="110">
        <v>0.58333333333333304</v>
      </c>
      <c r="EI61" s="211">
        <f>IF('Temperature Profiles'!AF60&gt;18,(0.0024*('Temperature Profiles'!AF60^2)-0.0581*'Temperature Profiles'!AF60+0.3293)*1000,IF('Temperature Profiles'!AF60&lt;17,(0.0022*('Temperature Profiles'!AF60^2)-0.0874*'Temperature Profiles'!AF60+0.9301)*1000,0))</f>
        <v>1239.4660000000006</v>
      </c>
      <c r="EJ61" s="110">
        <v>0.58333333333333304</v>
      </c>
      <c r="EK61" s="211">
        <f>IF('Temperature Profiles'!AF60&gt;18,(0.0043*('Temperature Profiles'!AF60^2)-0.1116*'Temperature Profiles'!AF60+0.6576)*1000,IF('Temperature Profiles'!AF60&lt;17,(0.0053*('Temperature Profiles'!AF60^2)-0.1876*'Temperature Profiles'!AF60+1.7649)*1000,0))</f>
        <v>2025.4181111111125</v>
      </c>
      <c r="EL61" s="110">
        <v>0.58333333333333304</v>
      </c>
      <c r="EM61" s="211">
        <f>IF('Temperature Profiles'!AF60&gt;18,(0.0057*('Temperature Profiles'!AF60^2)-0.1509*'Temperature Profiles'!AF60+0.8935)*1000,IF('Temperature Profiles'!AF60&lt;17,(0.0072*('Temperature Profiles'!AF60^2)-0.254*'Temperature Profiles'!AF60+2.3952)*1000,0))</f>
        <v>2602.7763333333351</v>
      </c>
      <c r="EN61" s="21"/>
      <c r="EO61" s="110">
        <v>0.58333333333333304</v>
      </c>
      <c r="EP61" s="211"/>
      <c r="EQ61" s="21"/>
      <c r="ER61" s="110">
        <v>0.58333333333333304</v>
      </c>
      <c r="ES61" s="264"/>
      <c r="EU61" s="260">
        <v>0.58333333333333304</v>
      </c>
      <c r="EV61" s="209">
        <f>IF('Temperature Profiles'!AA159&gt;18,(0.0024*('Temperature Profiles'!AA159^2)-0.0581*'Temperature Profiles'!AA159+0.3293)*1000,IF('Temperature Profiles'!AA159&lt;17,(0.0022*('Temperature Profiles'!AA159^2)-0.0874*'Temperature Profiles'!AA159+0.9301)*1000,0))</f>
        <v>310.66644444444449</v>
      </c>
      <c r="EW61" s="110">
        <v>0.58333333333333304</v>
      </c>
      <c r="EX61" s="209">
        <f>IF('Temperature Profiles'!AA159&gt;18,(0.0043*('Temperature Profiles'!AA159^2)-0.1116*'Temperature Profiles'!AA159+0.6576)*1000,IF('Temperature Profiles'!AA159&lt;17,(0.0053*('Temperature Profiles'!AA159^2)-0.1876*'Temperature Profiles'!AA159+1.7649)*1000,0))</f>
        <v>484.57522222222235</v>
      </c>
      <c r="EY61" s="110">
        <v>0.58333333333333304</v>
      </c>
      <c r="EZ61" s="264">
        <f>IF('Temperature Profiles'!AA159&gt;18,(0.0057*('Temperature Profiles'!AA159^2)-0.1509*'Temperature Profiles'!AA159+0.8935)*1000,IF('Temperature Profiles'!AA159&lt;17,(0.0072*('Temperature Profiles'!AA159^2)-0.254*'Temperature Profiles'!AA159+2.3952)*1000,0))</f>
        <v>663.7653333333335</v>
      </c>
    </row>
    <row r="62" spans="1:156" x14ac:dyDescent="0.3">
      <c r="A62" s="108">
        <v>0.58333333333333304</v>
      </c>
      <c r="B62" s="226">
        <f t="shared" si="0"/>
        <v>0</v>
      </c>
      <c r="C62" s="21">
        <f t="shared" si="1"/>
        <v>207.66666666666669</v>
      </c>
      <c r="D62" s="20">
        <f t="shared" si="2"/>
        <v>663.7653333333335</v>
      </c>
      <c r="E62" s="20">
        <f t="shared" si="3"/>
        <v>663.7653333333335</v>
      </c>
      <c r="G62" s="260">
        <v>0.59375</v>
      </c>
      <c r="H62" s="211">
        <f>IF('Temperature Profiles'!G61&gt;17,(0.0029*('Temperature Profiles'!G61^2) - 0.0863*'Temperature Profiles'!G61 + 0.6808)*1000,0)</f>
        <v>262.68888888888841</v>
      </c>
      <c r="I62" s="110">
        <v>0.59375</v>
      </c>
      <c r="J62" s="211">
        <f>IF('Temperature Profiles'!G61&gt;17,(0.005*('Temperature Profiles'!G61^2) - 0.1517*'Temperature Profiles'!G61 + 1.1702)*1000,0)</f>
        <v>380.52222222222201</v>
      </c>
      <c r="K62" s="110">
        <v>0.59375</v>
      </c>
      <c r="L62" s="211">
        <f>IF('Temperature Profiles'!G61&gt;17,(0.0068*('Temperature Profiles'!G61^2) - 0.2129*'Temperature Profiles'!G61 + 1.6904)*1000,0)</f>
        <v>460.52222222222116</v>
      </c>
      <c r="M62" s="21"/>
      <c r="N62" s="110">
        <v>0.59375</v>
      </c>
      <c r="O62" s="211">
        <f>IF('Temperature Profiles'!L61&gt;17,(0.0029*('Temperature Profiles'!L61^2) - 0.0863*'Temperature Profiles'!L61 + 0.6808)*1000,0)</f>
        <v>610.87381249999942</v>
      </c>
      <c r="P62" s="110">
        <v>0.59375</v>
      </c>
      <c r="Q62" s="211">
        <f>IF('Temperature Profiles'!L61&gt;17,(0.005*('Temperature Profiles'!L61^2) - 0.1517*'Temperature Profiles'!L61 + 1.1702)*1000,0)</f>
        <v>965.55562499999996</v>
      </c>
      <c r="R62" s="110">
        <v>0.59375</v>
      </c>
      <c r="S62" s="211">
        <f>IF('Temperature Profiles'!L61&gt;17,(0.0068*('Temperature Profiles'!L61^2) - 0.2129*'Temperature Profiles'!L61 + 1.6904)*1000,0)</f>
        <v>1221.5257499999991</v>
      </c>
      <c r="T62" s="21"/>
      <c r="U62" s="110">
        <v>0.59375</v>
      </c>
      <c r="V62" s="211">
        <f>IF('Temperature Profiles'!Q61&gt;17,(0.0029*('Temperature Profiles'!Q61^2) - 0.0863*'Temperature Profiles'!Q61 + 0.6808)*1000,0)</f>
        <v>1029.0332013888883</v>
      </c>
      <c r="W62" s="110">
        <v>0.59375</v>
      </c>
      <c r="X62" s="211">
        <f>IF('Temperature Profiles'!Q61&gt;17,(0.005*('Temperature Profiles'!Q61^2) - 0.1517*'Temperature Profiles'!Q61 + 1.1702)*1000,0)</f>
        <v>1673.6328472222212</v>
      </c>
      <c r="Y62" s="110">
        <v>0.59375</v>
      </c>
      <c r="Z62" s="211">
        <f>IF('Temperature Profiles'!Q61&gt;17,(0.0068*('Temperature Profiles'!Q61^2) - 0.2129*'Temperature Profiles'!Q61 + 1.6904)*1000,0)</f>
        <v>2155.3039722222215</v>
      </c>
      <c r="AA62" s="21"/>
      <c r="AB62" s="110">
        <v>0.59375</v>
      </c>
      <c r="AC62" s="211">
        <f>IF('Temperature Profiles'!V61&gt;17,(0.0029*('Temperature Profiles'!V61^2) - 0.0863*'Temperature Profiles'!V61 + 0.6808)*1000,0)</f>
        <v>79.62655555555564</v>
      </c>
      <c r="AD62" s="110">
        <v>0.59375</v>
      </c>
      <c r="AE62" s="211">
        <f>IF('Temperature Profiles'!V61&gt;17,(0.005*('Temperature Profiles'!V61^2) - 0.1517*'Temperature Profiles'!V61 + 1.1702)*1000,0)</f>
        <v>79.528888888888986</v>
      </c>
      <c r="AF62" s="110">
        <v>0.59375</v>
      </c>
      <c r="AG62" s="211">
        <f>IF('Temperature Profiles'!V61&gt;17,(0.0068*('Temperature Profiles'!V61^2) - 0.2129*'Temperature Profiles'!V61 + 1.6904)*1000,0)</f>
        <v>84.330888888888737</v>
      </c>
      <c r="AH62" s="21"/>
      <c r="AI62" s="110">
        <v>0.59375</v>
      </c>
      <c r="AJ62" s="211">
        <f>IF('Temperature Profiles'!AA61&gt;17,(0.0029*('Temperature Profiles'!AA61^2) - 0.0863*'Temperature Profiles'!AA61 + 0.6808)*1000,0)</f>
        <v>0</v>
      </c>
      <c r="AK62" s="110">
        <v>0.59375</v>
      </c>
      <c r="AL62" s="211">
        <f>IF('Temperature Profiles'!AA61&gt;17,(0.005*('Temperature Profiles'!AA61^2) - 0.1517*'Temperature Profiles'!AA61 + 1.1701)*1000,0)</f>
        <v>0</v>
      </c>
      <c r="AM62" s="110">
        <v>0.59375</v>
      </c>
      <c r="AN62" s="211">
        <f>IF('Temperature Profiles'!AA61&gt;17,(0.0068*('Temperature Profiles'!AA61^2) - 0.2129*'Temperature Profiles'!AA61 + 1.6904)*1000,0)</f>
        <v>0</v>
      </c>
      <c r="AO62" s="21"/>
      <c r="AP62" s="110">
        <v>0.59375</v>
      </c>
      <c r="AQ62" s="211">
        <f>IF('Temperature Profiles'!AF61&gt;17,(0.0029*('Temperature Profiles'!AF61^2) - 0.0863*'Temperature Profiles'!AF61 + 0.6808)*1000,0)</f>
        <v>1216.6932222222231</v>
      </c>
      <c r="AR62" s="110">
        <v>0.59375</v>
      </c>
      <c r="AS62" s="183">
        <f>IF('Temperature Profiles'!AF61&gt;17,(0.005*('Temperature Profiles'!AF61^2) - 0.1517*'Temperature Profiles'!AF61 + 1.1702)*1000,0)</f>
        <v>1992.3155555555572</v>
      </c>
      <c r="AT62" s="110">
        <v>0.59375</v>
      </c>
      <c r="AU62" s="211">
        <f>IF('Temperature Profiles'!AF61&gt;17,(0.0068*('Temperature Profiles'!AF61^2) - 0.2129*'Temperature Profiles'!AF61 + 1.6904)*1000,0)</f>
        <v>2577.6775555555573</v>
      </c>
      <c r="AV62" s="21"/>
      <c r="AW62" s="110">
        <v>0.59375</v>
      </c>
      <c r="AX62" s="211"/>
      <c r="AY62" s="21"/>
      <c r="AZ62" s="110">
        <v>0.59375</v>
      </c>
      <c r="BA62" s="264"/>
      <c r="BC62" s="260">
        <v>0.59375</v>
      </c>
      <c r="BD62" s="211">
        <f>IF('Temperature Profiles'!G61&lt;16,(-0.0037*'Temperature Profiles'!G61+0.0664)*1000,0)</f>
        <v>0</v>
      </c>
      <c r="BE62" s="110">
        <v>0.59375</v>
      </c>
      <c r="BF62" s="211">
        <f>IF('Temperature Profiles'!G61&lt;16,(-0.0076*'Temperature Profiles'!G61+0.1245)*1000,0)</f>
        <v>0</v>
      </c>
      <c r="BG62" s="110">
        <v>0.59375</v>
      </c>
      <c r="BH62" s="211">
        <f>IF('Temperature Profiles'!G61&lt;16,(-0.01*'Temperature Profiles'!G61+0.167)*1000,0)</f>
        <v>0</v>
      </c>
      <c r="BI62" s="21"/>
      <c r="BJ62" s="110">
        <v>0.59375</v>
      </c>
      <c r="BK62" s="211">
        <f>IF('Temperature Profiles'!L61&lt;16,(-0.0037*'Temperature Profiles'!L61+0.0664)*1000,0)</f>
        <v>0</v>
      </c>
      <c r="BL62" s="110">
        <v>0.59375</v>
      </c>
      <c r="BM62" s="211">
        <f>IF('Temperature Profiles'!L61&lt;16,(-0.0076*'Temperature Profiles'!L61+0.1245)*1000,0)</f>
        <v>0</v>
      </c>
      <c r="BN62" s="110">
        <v>0.59375</v>
      </c>
      <c r="BO62" s="211">
        <f>IF('Temperature Profiles'!L61&lt;16,(-0.01*'Temperature Profiles'!L61+0.167)*1000,0)</f>
        <v>0</v>
      </c>
      <c r="BP62" s="21"/>
      <c r="BQ62" s="110">
        <v>0.59375</v>
      </c>
      <c r="BR62" s="211">
        <f>IF('Temperature Profiles'!Q61&lt;16,(-0.0037*'Temperature Profiles'!Q61+0.0664)*1000,0)</f>
        <v>0</v>
      </c>
      <c r="BS62" s="110">
        <v>0.59375</v>
      </c>
      <c r="BT62" s="211">
        <f>IF('Temperature Profiles'!Q61&lt;16,(-0.0076*'Temperature Profiles'!Q61+0.1245)*1000,0)</f>
        <v>0</v>
      </c>
      <c r="BU62" s="110">
        <v>0.59375</v>
      </c>
      <c r="BV62" s="211">
        <f>IF('Temperature Profiles'!Q61&lt;16,(-0.01*'Temperature Profiles'!Q61+0.167)*1000,0)</f>
        <v>0</v>
      </c>
      <c r="BW62" s="21"/>
      <c r="BX62" s="110">
        <v>0.59375</v>
      </c>
      <c r="BY62" s="211">
        <f>IF('Temperature Profiles'!V61&lt;16,(-0.0037*'Temperature Profiles'!V61+0.0664)*1000,0)</f>
        <v>0</v>
      </c>
      <c r="BZ62" s="110">
        <v>0.59375</v>
      </c>
      <c r="CA62" s="211">
        <f>IF('Temperature Profiles'!V61&lt;16,(-0.0076*'Temperature Profiles'!V61+0.1245)*1000,0)</f>
        <v>0</v>
      </c>
      <c r="CB62" s="110">
        <v>0.59375</v>
      </c>
      <c r="CC62" s="211">
        <f>IF('Temperature Profiles'!V61&lt;16,(-0.01*'Temperature Profiles'!V61+0.167)*1000,0)</f>
        <v>0</v>
      </c>
      <c r="CD62" s="21"/>
      <c r="CE62" s="110">
        <v>0.59375</v>
      </c>
      <c r="CF62" s="211">
        <f>IF('Temperature Profiles'!AA61&lt;16,(-0.0037*'Temperature Profiles'!AA61+0.0664)*1000,0)</f>
        <v>81.446666666666673</v>
      </c>
      <c r="CG62" s="110">
        <v>0.59375</v>
      </c>
      <c r="CH62" s="178">
        <f>IF('Temperature Profiles'!AA61&lt;16,(-0.0076*'Temperature Profiles'!AA61+0.1245)*1000,0)</f>
        <v>155.40666666666667</v>
      </c>
      <c r="CI62" s="110">
        <v>0.59375</v>
      </c>
      <c r="CJ62" s="211">
        <f>IF('Temperature Profiles'!AA61&lt;16,(-0.01*'Temperature Profiles'!AA61+0.167)*1000,0)</f>
        <v>207.66666666666669</v>
      </c>
      <c r="CK62" s="21"/>
      <c r="CL62" s="110">
        <v>0.59375</v>
      </c>
      <c r="CM62" s="211">
        <f>IF('Temperature Profiles'!AF61&lt;16,(-0.0037*'Temperature Profiles'!AF61+0.0664)*1000,0)</f>
        <v>0</v>
      </c>
      <c r="CN62" s="110">
        <v>0.59375</v>
      </c>
      <c r="CO62" s="178">
        <f>IF('Temperature Profiles'!AF61&lt;16,(-0.0076*'Temperature Profiles'!AF61+0.1245)*1000,0)</f>
        <v>0</v>
      </c>
      <c r="CP62" s="110">
        <v>0.59375</v>
      </c>
      <c r="CQ62" s="211">
        <f>IF('Temperature Profiles'!AF61&lt;16,(-0.01*'Temperature Profiles'!AF61+0.167)*1000,0)</f>
        <v>0</v>
      </c>
      <c r="CR62" s="21"/>
      <c r="CS62" s="110">
        <v>0.59375</v>
      </c>
      <c r="CT62" s="211"/>
      <c r="CU62" s="21"/>
      <c r="CV62" s="110">
        <v>0.59375</v>
      </c>
      <c r="CW62" s="264"/>
      <c r="CY62" s="260">
        <v>0.59375</v>
      </c>
      <c r="CZ62" s="178">
        <f>IF('Temperature Profiles'!G61&gt;18,(0.0024*('Temperature Profiles'!G61^2)-0.0581*'Temperature Profiles'!G61+0.3293)*1000,IF('Temperature Profiles'!G61&lt;17,(0.0022*('Temperature Profiles'!G61^2)-0.0874*'Temperature Profiles'!G61+0.9301)*1000,0))</f>
        <v>298.53333333333313</v>
      </c>
      <c r="DA62" s="110">
        <v>0.59375</v>
      </c>
      <c r="DB62" s="263">
        <f>IF('Temperature Profiles'!G61&gt;18,(0.0043*('Temperature Profiles'!G61^2)-0.1116*'Temperature Profiles'!G61+0.6576)*1000,IF('Temperature Profiles'!G61&lt;17,(0.0053*('Temperature Profiles'!G61^2)-0.1876*'Temperature Profiles'!G61+1.7649)*1000,0))</f>
        <v>424.87777777777723</v>
      </c>
      <c r="DC62" s="110">
        <v>0.59375</v>
      </c>
      <c r="DD62" s="211">
        <f>IF('Temperature Profiles'!G61&gt;18,(0.0057*('Temperature Profiles'!G61^2)-0.1509*'Temperature Profiles'!G61+0.8935)*1000,IF('Temperature Profiles'!G61&lt;17,(0.0072*('Temperature Profiles'!G61^2)-0.254*'Temperature Profiles'!G61+2.3952)*1000,0))</f>
        <v>514.8333333333328</v>
      </c>
      <c r="DE62" s="21"/>
      <c r="DF62" s="110">
        <v>0.59375</v>
      </c>
      <c r="DG62" s="209">
        <f>IF('Temperature Profiles'!L61&gt;18,(0.0024*('Temperature Profiles'!L61^2)-0.0581*'Temperature Profiles'!L61+0.3293)*1000,IF('Temperature Profiles'!L61&lt;17,(0.0022*('Temperature Profiles'!L61^2)-0.0874*'Temperature Profiles'!L61+0.9301)*1000,0))</f>
        <v>656.73099999999977</v>
      </c>
      <c r="DH62" s="110">
        <v>0.59375</v>
      </c>
      <c r="DI62" s="209">
        <f>IF('Temperature Profiles'!L61&gt;18,(0.0043*('Temperature Profiles'!L61^2)-0.1116*'Temperature Profiles'!L61+0.6576)*1000,IF('Temperature Profiles'!L61&lt;17,(0.0053*('Temperature Profiles'!L61^2)-0.1876*'Temperature Profiles'!L61+1.7649)*1000,0))</f>
        <v>1027.1891874999994</v>
      </c>
      <c r="DJ62" s="110">
        <v>0.59375</v>
      </c>
      <c r="DK62" s="211">
        <f>IF('Temperature Profiles'!L61&gt;18,(0.0057*('Temperature Profiles'!L61^2)-0.1509*'Temperature Profiles'!L61+0.8935)*1000,IF('Temperature Profiles'!L61&lt;17,(0.0072*('Temperature Profiles'!L61^2)-0.254*'Temperature Profiles'!L61+2.3952)*1000,0))</f>
        <v>1297.6545624999997</v>
      </c>
      <c r="DL62" s="21"/>
      <c r="DM62" s="110">
        <v>0.59375</v>
      </c>
      <c r="DN62" s="209">
        <f>IF('Temperature Profiles'!Q61&gt;18,(0.0024*('Temperature Profiles'!Q61^2)-0.0581*'Temperature Profiles'!Q61+0.3293)*1000,IF('Temperature Profiles'!Q61&lt;17,(0.0022*('Temperature Profiles'!Q61^2)-0.0874*'Temperature Profiles'!Q61+0.9301)*1000,0))</f>
        <v>1061.8489999999997</v>
      </c>
      <c r="DO62" s="110">
        <v>0.59375</v>
      </c>
      <c r="DP62" s="209">
        <f>IF('Temperature Profiles'!Q61&gt;18,(0.0043*('Temperature Profiles'!Q61^2)-0.1116*'Temperature Profiles'!Q61+0.6576)*1000,IF('Temperature Profiles'!Q61&lt;17,(0.0053*('Temperature Profiles'!Q61^2)-0.1876*'Temperature Profiles'!Q61+1.7649)*1000,0))</f>
        <v>1719.7571319444442</v>
      </c>
      <c r="DQ62" s="110">
        <v>0.59375</v>
      </c>
      <c r="DR62" s="211">
        <f>IF('Temperature Profiles'!Q61&gt;18,(0.0057*('Temperature Profiles'!Q61^2)-0.1509*'Temperature Profiles'!Q61+0.8935)*1000,IF('Temperature Profiles'!Q61&lt;17,(0.0072*('Temperature Profiles'!Q61^2)-0.254*'Temperature Profiles'!Q61+2.3952)*1000,0))</f>
        <v>2202.5643958333326</v>
      </c>
      <c r="DS62" s="21"/>
      <c r="DT62" s="110">
        <v>0.59375</v>
      </c>
      <c r="DU62" s="209">
        <f>IF('Temperature Profiles'!V61&gt;18,(0.0024*('Temperature Profiles'!V61^2)-0.0581*'Temperature Profiles'!V61+0.3293)*1000,IF('Temperature Profiles'!V61&lt;17,(0.0022*('Temperature Profiles'!V61^2)-0.0874*'Temperature Profiles'!V61+0.9301)*1000,0))</f>
        <v>79.985999999999947</v>
      </c>
      <c r="DV62" s="110">
        <v>0.59375</v>
      </c>
      <c r="DW62" s="209">
        <f>IF('Temperature Profiles'!V61&gt;18,(0.0043*('Temperature Profiles'!V61^2)-0.1116*'Temperature Profiles'!V61+0.6576)*1000,IF('Temperature Profiles'!V61&lt;17,(0.0053*('Temperature Profiles'!V61^2)-0.1876*'Temperature Profiles'!V61+1.7649)*1000,0))</f>
        <v>71.0847777777781</v>
      </c>
      <c r="DX62" s="110">
        <v>0.59375</v>
      </c>
      <c r="DY62" s="211">
        <f>IF('Temperature Profiles'!V61&gt;18,(0.0057*('Temperature Profiles'!V61^2)-0.1509*'Temperature Profiles'!V61+0.8935)*1000,IF('Temperature Profiles'!V61&lt;17,(0.0072*('Temperature Profiles'!V61^2)-0.254*'Temperature Profiles'!V61+2.3952)*1000,0))</f>
        <v>60.77633333333354</v>
      </c>
      <c r="DZ62" s="21"/>
      <c r="EA62" s="110">
        <v>0.59375</v>
      </c>
      <c r="EB62" s="209">
        <f>IF('Temperature Profiles'!AA160&gt;18,(0.0024*('Temperature Profiles'!AA160^2)-0.0581*'Temperature Profiles'!AA160+0.3293)*1000,IF('Temperature Profiles'!AA160&lt;17,(0.0022*('Temperature Profiles'!AA160^2)-0.0874*'Temperature Profiles'!AA160+0.9301)*1000,0))</f>
        <v>310.66644444444449</v>
      </c>
      <c r="EC62" s="110">
        <v>0.59375</v>
      </c>
      <c r="ED62" s="209">
        <f>IF('Temperature Profiles'!AA160&gt;18,(0.0043*('Temperature Profiles'!AA160^2)-0.1116*'Temperature Profiles'!AA160+0.6576)*1000,IF('Temperature Profiles'!AA160&lt;17,(0.0053*('Temperature Profiles'!AA160^2)-0.1876*'Temperature Profiles'!AA160+1.7649)*1000,0))</f>
        <v>484.57522222222235</v>
      </c>
      <c r="EE62" s="110">
        <v>0.59375</v>
      </c>
      <c r="EF62" s="211">
        <f>IF('Temperature Profiles'!AA160&gt;18,(0.0057*('Temperature Profiles'!AA160^2)-0.1509*'Temperature Profiles'!AA160+0.8935)*1000,IF('Temperature Profiles'!AA160&lt;17,(0.0072*('Temperature Profiles'!AA160^2)-0.254*'Temperature Profiles'!AA160+2.3952)*1000,0))</f>
        <v>663.7653333333335</v>
      </c>
      <c r="EG62" s="21"/>
      <c r="EH62" s="110">
        <v>0.59375</v>
      </c>
      <c r="EI62" s="211">
        <f>IF('Temperature Profiles'!AF61&gt;18,(0.0024*('Temperature Profiles'!AF61^2)-0.0581*'Temperature Profiles'!AF61+0.3293)*1000,IF('Temperature Profiles'!AF61&lt;17,(0.0022*('Temperature Profiles'!AF61^2)-0.0874*'Temperature Profiles'!AF61+0.9301)*1000,0))</f>
        <v>1239.4660000000006</v>
      </c>
      <c r="EJ62" s="110">
        <v>0.59375</v>
      </c>
      <c r="EK62" s="211">
        <f>IF('Temperature Profiles'!AF61&gt;18,(0.0043*('Temperature Profiles'!AF61^2)-0.1116*'Temperature Profiles'!AF61+0.6576)*1000,IF('Temperature Profiles'!AF61&lt;17,(0.0053*('Temperature Profiles'!AF61^2)-0.1876*'Temperature Profiles'!AF61+1.7649)*1000,0))</f>
        <v>2025.4181111111125</v>
      </c>
      <c r="EL62" s="110">
        <v>0.59375</v>
      </c>
      <c r="EM62" s="211">
        <f>IF('Temperature Profiles'!AF61&gt;18,(0.0057*('Temperature Profiles'!AF61^2)-0.1509*'Temperature Profiles'!AF61+0.8935)*1000,IF('Temperature Profiles'!AF61&lt;17,(0.0072*('Temperature Profiles'!AF61^2)-0.254*'Temperature Profiles'!AF61+2.3952)*1000,0))</f>
        <v>2602.7763333333351</v>
      </c>
      <c r="EN62" s="21"/>
      <c r="EO62" s="110">
        <v>0.59375</v>
      </c>
      <c r="EP62" s="211"/>
      <c r="EQ62" s="21"/>
      <c r="ER62" s="110">
        <v>0.59375</v>
      </c>
      <c r="ES62" s="264"/>
      <c r="EU62" s="260">
        <v>0.59375</v>
      </c>
      <c r="EV62" s="209">
        <f>IF('Temperature Profiles'!AA160&gt;18,(0.0024*('Temperature Profiles'!AA160^2)-0.0581*'Temperature Profiles'!AA160+0.3293)*1000,IF('Temperature Profiles'!AA160&lt;17,(0.0022*('Temperature Profiles'!AA160^2)-0.0874*'Temperature Profiles'!AA160+0.9301)*1000,0))</f>
        <v>310.66644444444449</v>
      </c>
      <c r="EW62" s="110">
        <v>0.59375</v>
      </c>
      <c r="EX62" s="209">
        <f>IF('Temperature Profiles'!AA160&gt;18,(0.0043*('Temperature Profiles'!AA160^2)-0.1116*'Temperature Profiles'!AA160+0.6576)*1000,IF('Temperature Profiles'!AA160&lt;17,(0.0053*('Temperature Profiles'!AA160^2)-0.1876*'Temperature Profiles'!AA160+1.7649)*1000,0))</f>
        <v>484.57522222222235</v>
      </c>
      <c r="EY62" s="110">
        <v>0.59375</v>
      </c>
      <c r="EZ62" s="264">
        <f>IF('Temperature Profiles'!AA160&gt;18,(0.0057*('Temperature Profiles'!AA160^2)-0.1509*'Temperature Profiles'!AA160+0.8935)*1000,IF('Temperature Profiles'!AA160&lt;17,(0.0072*('Temperature Profiles'!AA160^2)-0.254*'Temperature Profiles'!AA160+2.3952)*1000,0))</f>
        <v>663.7653333333335</v>
      </c>
    </row>
    <row r="63" spans="1:156" x14ac:dyDescent="0.3">
      <c r="A63" s="108">
        <v>0.59375</v>
      </c>
      <c r="B63" s="226">
        <f t="shared" si="0"/>
        <v>0</v>
      </c>
      <c r="C63" s="21">
        <f t="shared" si="1"/>
        <v>207.66666666666669</v>
      </c>
      <c r="D63" s="20">
        <f t="shared" si="2"/>
        <v>663.7653333333335</v>
      </c>
      <c r="E63" s="20">
        <f t="shared" si="3"/>
        <v>663.7653333333335</v>
      </c>
      <c r="G63" s="260">
        <v>0.60416666666666696</v>
      </c>
      <c r="H63" s="211">
        <f>IF('Temperature Profiles'!G62&gt;17,(0.0029*('Temperature Profiles'!G62^2) - 0.0863*'Temperature Profiles'!G62 + 0.6808)*1000,0)</f>
        <v>262.68888888888841</v>
      </c>
      <c r="I63" s="110">
        <v>0.60416666666666696</v>
      </c>
      <c r="J63" s="211">
        <f>IF('Temperature Profiles'!G62&gt;17,(0.005*('Temperature Profiles'!G62^2) - 0.1517*'Temperature Profiles'!G62 + 1.1702)*1000,0)</f>
        <v>380.52222222222201</v>
      </c>
      <c r="K63" s="110">
        <v>0.60416666666666696</v>
      </c>
      <c r="L63" s="211">
        <f>IF('Temperature Profiles'!G62&gt;17,(0.0068*('Temperature Profiles'!G62^2) - 0.2129*'Temperature Profiles'!G62 + 1.6904)*1000,0)</f>
        <v>460.52222222222116</v>
      </c>
      <c r="M63" s="21"/>
      <c r="N63" s="110">
        <v>0.60416666666666696</v>
      </c>
      <c r="O63" s="211">
        <f>IF('Temperature Profiles'!L62&gt;17,(0.0029*('Temperature Profiles'!L62^2) - 0.0863*'Temperature Profiles'!L62 + 0.6808)*1000,0)</f>
        <v>610.87381249999942</v>
      </c>
      <c r="P63" s="110">
        <v>0.60416666666666696</v>
      </c>
      <c r="Q63" s="211">
        <f>IF('Temperature Profiles'!L62&gt;17,(0.005*('Temperature Profiles'!L62^2) - 0.1517*'Temperature Profiles'!L62 + 1.1702)*1000,0)</f>
        <v>965.55562499999996</v>
      </c>
      <c r="R63" s="110">
        <v>0.60416666666666696</v>
      </c>
      <c r="S63" s="211">
        <f>IF('Temperature Profiles'!L62&gt;17,(0.0068*('Temperature Profiles'!L62^2) - 0.2129*'Temperature Profiles'!L62 + 1.6904)*1000,0)</f>
        <v>1221.5257499999991</v>
      </c>
      <c r="T63" s="21"/>
      <c r="U63" s="110">
        <v>0.60416666666666696</v>
      </c>
      <c r="V63" s="211">
        <f>IF('Temperature Profiles'!Q62&gt;17,(0.0029*('Temperature Profiles'!Q62^2) - 0.0863*'Temperature Profiles'!Q62 + 0.6808)*1000,0)</f>
        <v>1029.0332013888883</v>
      </c>
      <c r="W63" s="110">
        <v>0.60416666666666696</v>
      </c>
      <c r="X63" s="211">
        <f>IF('Temperature Profiles'!Q62&gt;17,(0.005*('Temperature Profiles'!Q62^2) - 0.1517*'Temperature Profiles'!Q62 + 1.1702)*1000,0)</f>
        <v>1673.6328472222212</v>
      </c>
      <c r="Y63" s="110">
        <v>0.60416666666666696</v>
      </c>
      <c r="Z63" s="211">
        <f>IF('Temperature Profiles'!Q62&gt;17,(0.0068*('Temperature Profiles'!Q62^2) - 0.2129*'Temperature Profiles'!Q62 + 1.6904)*1000,0)</f>
        <v>2155.3039722222215</v>
      </c>
      <c r="AA63" s="21"/>
      <c r="AB63" s="110">
        <v>0.60416666666666696</v>
      </c>
      <c r="AC63" s="211">
        <f>IF('Temperature Profiles'!V62&gt;17,(0.0029*('Temperature Profiles'!V62^2) - 0.0863*'Temperature Profiles'!V62 + 0.6808)*1000,0)</f>
        <v>79.62655555555564</v>
      </c>
      <c r="AD63" s="110">
        <v>0.60416666666666696</v>
      </c>
      <c r="AE63" s="211">
        <f>IF('Temperature Profiles'!V62&gt;17,(0.005*('Temperature Profiles'!V62^2) - 0.1517*'Temperature Profiles'!V62 + 1.1702)*1000,0)</f>
        <v>79.528888888888986</v>
      </c>
      <c r="AF63" s="110">
        <v>0.60416666666666696</v>
      </c>
      <c r="AG63" s="211">
        <f>IF('Temperature Profiles'!V62&gt;17,(0.0068*('Temperature Profiles'!V62^2) - 0.2129*'Temperature Profiles'!V62 + 1.6904)*1000,0)</f>
        <v>84.330888888888737</v>
      </c>
      <c r="AH63" s="21"/>
      <c r="AI63" s="110">
        <v>0.60416666666666696</v>
      </c>
      <c r="AJ63" s="211">
        <f>IF('Temperature Profiles'!AA62&gt;17,(0.0029*('Temperature Profiles'!AA62^2) - 0.0863*'Temperature Profiles'!AA62 + 0.6808)*1000,0)</f>
        <v>0</v>
      </c>
      <c r="AK63" s="110">
        <v>0.60416666666666696</v>
      </c>
      <c r="AL63" s="211">
        <f>IF('Temperature Profiles'!AA62&gt;17,(0.005*('Temperature Profiles'!AA62^2) - 0.1517*'Temperature Profiles'!AA62 + 1.1701)*1000,0)</f>
        <v>0</v>
      </c>
      <c r="AM63" s="110">
        <v>0.60416666666666696</v>
      </c>
      <c r="AN63" s="211">
        <f>IF('Temperature Profiles'!AA62&gt;17,(0.0068*('Temperature Profiles'!AA62^2) - 0.2129*'Temperature Profiles'!AA62 + 1.6904)*1000,0)</f>
        <v>0</v>
      </c>
      <c r="AO63" s="21"/>
      <c r="AP63" s="110">
        <v>0.60416666666666696</v>
      </c>
      <c r="AQ63" s="211">
        <f>IF('Temperature Profiles'!AF62&gt;17,(0.0029*('Temperature Profiles'!AF62^2) - 0.0863*'Temperature Profiles'!AF62 + 0.6808)*1000,0)</f>
        <v>1216.6932222222231</v>
      </c>
      <c r="AR63" s="110">
        <v>0.60416666666666696</v>
      </c>
      <c r="AS63" s="183">
        <f>IF('Temperature Profiles'!AF62&gt;17,(0.005*('Temperature Profiles'!AF62^2) - 0.1517*'Temperature Profiles'!AF62 + 1.1702)*1000,0)</f>
        <v>1992.3155555555572</v>
      </c>
      <c r="AT63" s="110">
        <v>0.60416666666666696</v>
      </c>
      <c r="AU63" s="211">
        <f>IF('Temperature Profiles'!AF62&gt;17,(0.0068*('Temperature Profiles'!AF62^2) - 0.2129*'Temperature Profiles'!AF62 + 1.6904)*1000,0)</f>
        <v>2577.6775555555573</v>
      </c>
      <c r="AV63" s="21"/>
      <c r="AW63" s="110">
        <v>0.60416666666666696</v>
      </c>
      <c r="AX63" s="211"/>
      <c r="AY63" s="21"/>
      <c r="AZ63" s="110">
        <v>0.60416666666666696</v>
      </c>
      <c r="BA63" s="264"/>
      <c r="BC63" s="260">
        <v>0.60416666666666696</v>
      </c>
      <c r="BD63" s="211">
        <f>IF('Temperature Profiles'!G62&lt;16,(-0.0037*'Temperature Profiles'!G62+0.0664)*1000,0)</f>
        <v>0</v>
      </c>
      <c r="BE63" s="110">
        <v>0.60416666666666696</v>
      </c>
      <c r="BF63" s="211">
        <f>IF('Temperature Profiles'!G62&lt;16,(-0.0076*'Temperature Profiles'!G62+0.1245)*1000,0)</f>
        <v>0</v>
      </c>
      <c r="BG63" s="110">
        <v>0.60416666666666696</v>
      </c>
      <c r="BH63" s="211">
        <f>IF('Temperature Profiles'!G62&lt;16,(-0.01*'Temperature Profiles'!G62+0.167)*1000,0)</f>
        <v>0</v>
      </c>
      <c r="BI63" s="21"/>
      <c r="BJ63" s="110">
        <v>0.60416666666666696</v>
      </c>
      <c r="BK63" s="211">
        <f>IF('Temperature Profiles'!L62&lt;16,(-0.0037*'Temperature Profiles'!L62+0.0664)*1000,0)</f>
        <v>0</v>
      </c>
      <c r="BL63" s="110">
        <v>0.60416666666666696</v>
      </c>
      <c r="BM63" s="211">
        <f>IF('Temperature Profiles'!L62&lt;16,(-0.0076*'Temperature Profiles'!L62+0.1245)*1000,0)</f>
        <v>0</v>
      </c>
      <c r="BN63" s="110">
        <v>0.60416666666666696</v>
      </c>
      <c r="BO63" s="211">
        <f>IF('Temperature Profiles'!L62&lt;16,(-0.01*'Temperature Profiles'!L62+0.167)*1000,0)</f>
        <v>0</v>
      </c>
      <c r="BP63" s="21"/>
      <c r="BQ63" s="110">
        <v>0.60416666666666696</v>
      </c>
      <c r="BR63" s="211">
        <f>IF('Temperature Profiles'!Q62&lt;16,(-0.0037*'Temperature Profiles'!Q62+0.0664)*1000,0)</f>
        <v>0</v>
      </c>
      <c r="BS63" s="110">
        <v>0.60416666666666696</v>
      </c>
      <c r="BT63" s="211">
        <f>IF('Temperature Profiles'!Q62&lt;16,(-0.0076*'Temperature Profiles'!Q62+0.1245)*1000,0)</f>
        <v>0</v>
      </c>
      <c r="BU63" s="110">
        <v>0.60416666666666696</v>
      </c>
      <c r="BV63" s="211">
        <f>IF('Temperature Profiles'!Q62&lt;16,(-0.01*'Temperature Profiles'!Q62+0.167)*1000,0)</f>
        <v>0</v>
      </c>
      <c r="BW63" s="21"/>
      <c r="BX63" s="110">
        <v>0.60416666666666696</v>
      </c>
      <c r="BY63" s="211">
        <f>IF('Temperature Profiles'!V62&lt;16,(-0.0037*'Temperature Profiles'!V62+0.0664)*1000,0)</f>
        <v>0</v>
      </c>
      <c r="BZ63" s="110">
        <v>0.60416666666666696</v>
      </c>
      <c r="CA63" s="211">
        <f>IF('Temperature Profiles'!V62&lt;16,(-0.0076*'Temperature Profiles'!V62+0.1245)*1000,0)</f>
        <v>0</v>
      </c>
      <c r="CB63" s="110">
        <v>0.60416666666666696</v>
      </c>
      <c r="CC63" s="211">
        <f>IF('Temperature Profiles'!V62&lt;16,(-0.01*'Temperature Profiles'!V62+0.167)*1000,0)</f>
        <v>0</v>
      </c>
      <c r="CD63" s="21"/>
      <c r="CE63" s="110">
        <v>0.60416666666666696</v>
      </c>
      <c r="CF63" s="211">
        <f>IF('Temperature Profiles'!AA62&lt;16,(-0.0037*'Temperature Profiles'!AA62+0.0664)*1000,0)</f>
        <v>81.446666666666673</v>
      </c>
      <c r="CG63" s="110">
        <v>0.60416666666666696</v>
      </c>
      <c r="CH63" s="178">
        <f>IF('Temperature Profiles'!AA62&lt;16,(-0.0076*'Temperature Profiles'!AA62+0.1245)*1000,0)</f>
        <v>155.40666666666667</v>
      </c>
      <c r="CI63" s="110">
        <v>0.60416666666666696</v>
      </c>
      <c r="CJ63" s="211">
        <f>IF('Temperature Profiles'!AA62&lt;16,(-0.01*'Temperature Profiles'!AA62+0.167)*1000,0)</f>
        <v>207.66666666666669</v>
      </c>
      <c r="CK63" s="21"/>
      <c r="CL63" s="110">
        <v>0.60416666666666696</v>
      </c>
      <c r="CM63" s="211">
        <f>IF('Temperature Profiles'!AF62&lt;16,(-0.0037*'Temperature Profiles'!AF62+0.0664)*1000,0)</f>
        <v>0</v>
      </c>
      <c r="CN63" s="110">
        <v>0.60416666666666696</v>
      </c>
      <c r="CO63" s="178">
        <f>IF('Temperature Profiles'!AF62&lt;16,(-0.0076*'Temperature Profiles'!AF62+0.1245)*1000,0)</f>
        <v>0</v>
      </c>
      <c r="CP63" s="110">
        <v>0.60416666666666696</v>
      </c>
      <c r="CQ63" s="211">
        <f>IF('Temperature Profiles'!AF62&lt;16,(-0.01*'Temperature Profiles'!AF62+0.167)*1000,0)</f>
        <v>0</v>
      </c>
      <c r="CR63" s="21"/>
      <c r="CS63" s="110">
        <v>0.60416666666666696</v>
      </c>
      <c r="CT63" s="211"/>
      <c r="CU63" s="21"/>
      <c r="CV63" s="110">
        <v>0.60416666666666696</v>
      </c>
      <c r="CW63" s="264"/>
      <c r="CY63" s="260">
        <v>0.60416666666666696</v>
      </c>
      <c r="CZ63" s="178">
        <f>IF('Temperature Profiles'!G62&gt;18,(0.0024*('Temperature Profiles'!G62^2)-0.0581*'Temperature Profiles'!G62+0.3293)*1000,IF('Temperature Profiles'!G62&lt;17,(0.0022*('Temperature Profiles'!G62^2)-0.0874*'Temperature Profiles'!G62+0.9301)*1000,0))</f>
        <v>298.53333333333313</v>
      </c>
      <c r="DA63" s="110">
        <v>0.60416666666666696</v>
      </c>
      <c r="DB63" s="263">
        <f>IF('Temperature Profiles'!G62&gt;18,(0.0043*('Temperature Profiles'!G62^2)-0.1116*'Temperature Profiles'!G62+0.6576)*1000,IF('Temperature Profiles'!G62&lt;17,(0.0053*('Temperature Profiles'!G62^2)-0.1876*'Temperature Profiles'!G62+1.7649)*1000,0))</f>
        <v>424.87777777777723</v>
      </c>
      <c r="DC63" s="110">
        <v>0.60416666666666696</v>
      </c>
      <c r="DD63" s="211">
        <f>IF('Temperature Profiles'!G62&gt;18,(0.0057*('Temperature Profiles'!G62^2)-0.1509*'Temperature Profiles'!G62+0.8935)*1000,IF('Temperature Profiles'!G62&lt;17,(0.0072*('Temperature Profiles'!G62^2)-0.254*'Temperature Profiles'!G62+2.3952)*1000,0))</f>
        <v>514.8333333333328</v>
      </c>
      <c r="DE63" s="21"/>
      <c r="DF63" s="110">
        <v>0.60416666666666696</v>
      </c>
      <c r="DG63" s="209">
        <f>IF('Temperature Profiles'!L62&gt;18,(0.0024*('Temperature Profiles'!L62^2)-0.0581*'Temperature Profiles'!L62+0.3293)*1000,IF('Temperature Profiles'!L62&lt;17,(0.0022*('Temperature Profiles'!L62^2)-0.0874*'Temperature Profiles'!L62+0.9301)*1000,0))</f>
        <v>656.73099999999977</v>
      </c>
      <c r="DH63" s="110">
        <v>0.60416666666666696</v>
      </c>
      <c r="DI63" s="209">
        <f>IF('Temperature Profiles'!L62&gt;18,(0.0043*('Temperature Profiles'!L62^2)-0.1116*'Temperature Profiles'!L62+0.6576)*1000,IF('Temperature Profiles'!L62&lt;17,(0.0053*('Temperature Profiles'!L62^2)-0.1876*'Temperature Profiles'!L62+1.7649)*1000,0))</f>
        <v>1027.1891874999994</v>
      </c>
      <c r="DJ63" s="110">
        <v>0.60416666666666696</v>
      </c>
      <c r="DK63" s="211">
        <f>IF('Temperature Profiles'!L62&gt;18,(0.0057*('Temperature Profiles'!L62^2)-0.1509*'Temperature Profiles'!L62+0.8935)*1000,IF('Temperature Profiles'!L62&lt;17,(0.0072*('Temperature Profiles'!L62^2)-0.254*'Temperature Profiles'!L62+2.3952)*1000,0))</f>
        <v>1297.6545624999997</v>
      </c>
      <c r="DL63" s="21"/>
      <c r="DM63" s="110">
        <v>0.60416666666666696</v>
      </c>
      <c r="DN63" s="209">
        <f>IF('Temperature Profiles'!Q62&gt;18,(0.0024*('Temperature Profiles'!Q62^2)-0.0581*'Temperature Profiles'!Q62+0.3293)*1000,IF('Temperature Profiles'!Q62&lt;17,(0.0022*('Temperature Profiles'!Q62^2)-0.0874*'Temperature Profiles'!Q62+0.9301)*1000,0))</f>
        <v>1061.8489999999997</v>
      </c>
      <c r="DO63" s="110">
        <v>0.60416666666666696</v>
      </c>
      <c r="DP63" s="209">
        <f>IF('Temperature Profiles'!Q62&gt;18,(0.0043*('Temperature Profiles'!Q62^2)-0.1116*'Temperature Profiles'!Q62+0.6576)*1000,IF('Temperature Profiles'!Q62&lt;17,(0.0053*('Temperature Profiles'!Q62^2)-0.1876*'Temperature Profiles'!Q62+1.7649)*1000,0))</f>
        <v>1719.7571319444442</v>
      </c>
      <c r="DQ63" s="110">
        <v>0.60416666666666696</v>
      </c>
      <c r="DR63" s="211">
        <f>IF('Temperature Profiles'!Q62&gt;18,(0.0057*('Temperature Profiles'!Q62^2)-0.1509*'Temperature Profiles'!Q62+0.8935)*1000,IF('Temperature Profiles'!Q62&lt;17,(0.0072*('Temperature Profiles'!Q62^2)-0.254*'Temperature Profiles'!Q62+2.3952)*1000,0))</f>
        <v>2202.5643958333326</v>
      </c>
      <c r="DS63" s="21"/>
      <c r="DT63" s="110">
        <v>0.60416666666666696</v>
      </c>
      <c r="DU63" s="209">
        <f>IF('Temperature Profiles'!V62&gt;18,(0.0024*('Temperature Profiles'!V62^2)-0.0581*'Temperature Profiles'!V62+0.3293)*1000,IF('Temperature Profiles'!V62&lt;17,(0.0022*('Temperature Profiles'!V62^2)-0.0874*'Temperature Profiles'!V62+0.9301)*1000,0))</f>
        <v>79.985999999999947</v>
      </c>
      <c r="DV63" s="110">
        <v>0.60416666666666696</v>
      </c>
      <c r="DW63" s="209">
        <f>IF('Temperature Profiles'!V62&gt;18,(0.0043*('Temperature Profiles'!V62^2)-0.1116*'Temperature Profiles'!V62+0.6576)*1000,IF('Temperature Profiles'!V62&lt;17,(0.0053*('Temperature Profiles'!V62^2)-0.1876*'Temperature Profiles'!V62+1.7649)*1000,0))</f>
        <v>71.0847777777781</v>
      </c>
      <c r="DX63" s="110">
        <v>0.60416666666666696</v>
      </c>
      <c r="DY63" s="211">
        <f>IF('Temperature Profiles'!V62&gt;18,(0.0057*('Temperature Profiles'!V62^2)-0.1509*'Temperature Profiles'!V62+0.8935)*1000,IF('Temperature Profiles'!V62&lt;17,(0.0072*('Temperature Profiles'!V62^2)-0.254*'Temperature Profiles'!V62+2.3952)*1000,0))</f>
        <v>60.77633333333354</v>
      </c>
      <c r="DZ63" s="21"/>
      <c r="EA63" s="110">
        <v>0.60416666666666696</v>
      </c>
      <c r="EB63" s="209">
        <f>IF('Temperature Profiles'!AA161&gt;18,(0.0024*('Temperature Profiles'!AA161^2)-0.0581*'Temperature Profiles'!AA161+0.3293)*1000,IF('Temperature Profiles'!AA161&lt;17,(0.0022*('Temperature Profiles'!AA161^2)-0.0874*'Temperature Profiles'!AA161+0.9301)*1000,0))</f>
        <v>310.66644444444449</v>
      </c>
      <c r="EC63" s="110">
        <v>0.60416666666666696</v>
      </c>
      <c r="ED63" s="209">
        <f>IF('Temperature Profiles'!AA161&gt;18,(0.0043*('Temperature Profiles'!AA161^2)-0.1116*'Temperature Profiles'!AA161+0.6576)*1000,IF('Temperature Profiles'!AA161&lt;17,(0.0053*('Temperature Profiles'!AA161^2)-0.1876*'Temperature Profiles'!AA161+1.7649)*1000,0))</f>
        <v>484.57522222222235</v>
      </c>
      <c r="EE63" s="110">
        <v>0.60416666666666696</v>
      </c>
      <c r="EF63" s="211">
        <f>IF('Temperature Profiles'!AA161&gt;18,(0.0057*('Temperature Profiles'!AA161^2)-0.1509*'Temperature Profiles'!AA161+0.8935)*1000,IF('Temperature Profiles'!AA161&lt;17,(0.0072*('Temperature Profiles'!AA161^2)-0.254*'Temperature Profiles'!AA161+2.3952)*1000,0))</f>
        <v>663.7653333333335</v>
      </c>
      <c r="EG63" s="21"/>
      <c r="EH63" s="110">
        <v>0.60416666666666696</v>
      </c>
      <c r="EI63" s="211">
        <f>IF('Temperature Profiles'!AF62&gt;18,(0.0024*('Temperature Profiles'!AF62^2)-0.0581*'Temperature Profiles'!AF62+0.3293)*1000,IF('Temperature Profiles'!AF62&lt;17,(0.0022*('Temperature Profiles'!AF62^2)-0.0874*'Temperature Profiles'!AF62+0.9301)*1000,0))</f>
        <v>1239.4660000000006</v>
      </c>
      <c r="EJ63" s="110">
        <v>0.60416666666666696</v>
      </c>
      <c r="EK63" s="211">
        <f>IF('Temperature Profiles'!AF62&gt;18,(0.0043*('Temperature Profiles'!AF62^2)-0.1116*'Temperature Profiles'!AF62+0.6576)*1000,IF('Temperature Profiles'!AF62&lt;17,(0.0053*('Temperature Profiles'!AF62^2)-0.1876*'Temperature Profiles'!AF62+1.7649)*1000,0))</f>
        <v>2025.4181111111125</v>
      </c>
      <c r="EL63" s="110">
        <v>0.60416666666666696</v>
      </c>
      <c r="EM63" s="211">
        <f>IF('Temperature Profiles'!AF62&gt;18,(0.0057*('Temperature Profiles'!AF62^2)-0.1509*'Temperature Profiles'!AF62+0.8935)*1000,IF('Temperature Profiles'!AF62&lt;17,(0.0072*('Temperature Profiles'!AF62^2)-0.254*'Temperature Profiles'!AF62+2.3952)*1000,0))</f>
        <v>2602.7763333333351</v>
      </c>
      <c r="EN63" s="21"/>
      <c r="EO63" s="110">
        <v>0.60416666666666696</v>
      </c>
      <c r="EP63" s="211"/>
      <c r="EQ63" s="21"/>
      <c r="ER63" s="110">
        <v>0.60416666666666696</v>
      </c>
      <c r="ES63" s="264"/>
      <c r="EU63" s="260">
        <v>0.60416666666666696</v>
      </c>
      <c r="EV63" s="209">
        <f>IF('Temperature Profiles'!AA161&gt;18,(0.0024*('Temperature Profiles'!AA161^2)-0.0581*'Temperature Profiles'!AA161+0.3293)*1000,IF('Temperature Profiles'!AA161&lt;17,(0.0022*('Temperature Profiles'!AA161^2)-0.0874*'Temperature Profiles'!AA161+0.9301)*1000,0))</f>
        <v>310.66644444444449</v>
      </c>
      <c r="EW63" s="110">
        <v>0.60416666666666696</v>
      </c>
      <c r="EX63" s="209">
        <f>IF('Temperature Profiles'!AA161&gt;18,(0.0043*('Temperature Profiles'!AA161^2)-0.1116*'Temperature Profiles'!AA161+0.6576)*1000,IF('Temperature Profiles'!AA161&lt;17,(0.0053*('Temperature Profiles'!AA161^2)-0.1876*'Temperature Profiles'!AA161+1.7649)*1000,0))</f>
        <v>484.57522222222235</v>
      </c>
      <c r="EY63" s="110">
        <v>0.60416666666666696</v>
      </c>
      <c r="EZ63" s="264">
        <f>IF('Temperature Profiles'!AA161&gt;18,(0.0057*('Temperature Profiles'!AA161^2)-0.1509*'Temperature Profiles'!AA161+0.8935)*1000,IF('Temperature Profiles'!AA161&lt;17,(0.0072*('Temperature Profiles'!AA161^2)-0.254*'Temperature Profiles'!AA161+2.3952)*1000,0))</f>
        <v>663.7653333333335</v>
      </c>
    </row>
    <row r="64" spans="1:156" x14ac:dyDescent="0.3">
      <c r="A64" s="108">
        <v>0.60416666666666696</v>
      </c>
      <c r="B64" s="226">
        <f t="shared" si="0"/>
        <v>0</v>
      </c>
      <c r="C64" s="21">
        <f t="shared" si="1"/>
        <v>207.66666666666669</v>
      </c>
      <c r="D64" s="20">
        <f t="shared" si="2"/>
        <v>663.7653333333335</v>
      </c>
      <c r="E64" s="20">
        <f t="shared" si="3"/>
        <v>663.7653333333335</v>
      </c>
      <c r="G64" s="260">
        <v>0.61458333333333304</v>
      </c>
      <c r="H64" s="211">
        <f>IF('Temperature Profiles'!G63&gt;17,(0.0029*('Temperature Profiles'!G63^2) - 0.0863*'Temperature Profiles'!G63 + 0.6808)*1000,0)</f>
        <v>262.68888888888841</v>
      </c>
      <c r="I64" s="110">
        <v>0.61458333333333304</v>
      </c>
      <c r="J64" s="211">
        <f>IF('Temperature Profiles'!G63&gt;17,(0.005*('Temperature Profiles'!G63^2) - 0.1517*'Temperature Profiles'!G63 + 1.1702)*1000,0)</f>
        <v>380.52222222222201</v>
      </c>
      <c r="K64" s="110">
        <v>0.61458333333333304</v>
      </c>
      <c r="L64" s="211">
        <f>IF('Temperature Profiles'!G63&gt;17,(0.0068*('Temperature Profiles'!G63^2) - 0.2129*'Temperature Profiles'!G63 + 1.6904)*1000,0)</f>
        <v>460.52222222222116</v>
      </c>
      <c r="M64" s="21"/>
      <c r="N64" s="110">
        <v>0.61458333333333304</v>
      </c>
      <c r="O64" s="211">
        <f>IF('Temperature Profiles'!L63&gt;17,(0.0029*('Temperature Profiles'!L63^2) - 0.0863*'Temperature Profiles'!L63 + 0.6808)*1000,0)</f>
        <v>610.87381249999942</v>
      </c>
      <c r="P64" s="110">
        <v>0.61458333333333304</v>
      </c>
      <c r="Q64" s="211">
        <f>IF('Temperature Profiles'!L63&gt;17,(0.005*('Temperature Profiles'!L63^2) - 0.1517*'Temperature Profiles'!L63 + 1.1702)*1000,0)</f>
        <v>965.55562499999996</v>
      </c>
      <c r="R64" s="110">
        <v>0.61458333333333304</v>
      </c>
      <c r="S64" s="211">
        <f>IF('Temperature Profiles'!L63&gt;17,(0.0068*('Temperature Profiles'!L63^2) - 0.2129*'Temperature Profiles'!L63 + 1.6904)*1000,0)</f>
        <v>1221.5257499999991</v>
      </c>
      <c r="T64" s="21"/>
      <c r="U64" s="110">
        <v>0.61458333333333304</v>
      </c>
      <c r="V64" s="211">
        <f>IF('Temperature Profiles'!Q63&gt;17,(0.0029*('Temperature Profiles'!Q63^2) - 0.0863*'Temperature Profiles'!Q63 + 0.6808)*1000,0)</f>
        <v>1029.0332013888883</v>
      </c>
      <c r="W64" s="110">
        <v>0.61458333333333304</v>
      </c>
      <c r="X64" s="211">
        <f>IF('Temperature Profiles'!Q63&gt;17,(0.005*('Temperature Profiles'!Q63^2) - 0.1517*'Temperature Profiles'!Q63 + 1.1702)*1000,0)</f>
        <v>1673.6328472222212</v>
      </c>
      <c r="Y64" s="110">
        <v>0.61458333333333304</v>
      </c>
      <c r="Z64" s="211">
        <f>IF('Temperature Profiles'!Q63&gt;17,(0.0068*('Temperature Profiles'!Q63^2) - 0.2129*'Temperature Profiles'!Q63 + 1.6904)*1000,0)</f>
        <v>2155.3039722222215</v>
      </c>
      <c r="AA64" s="21"/>
      <c r="AB64" s="110">
        <v>0.61458333333333304</v>
      </c>
      <c r="AC64" s="211">
        <f>IF('Temperature Profiles'!V63&gt;17,(0.0029*('Temperature Profiles'!V63^2) - 0.0863*'Temperature Profiles'!V63 + 0.6808)*1000,0)</f>
        <v>79.62655555555564</v>
      </c>
      <c r="AD64" s="110">
        <v>0.61458333333333304</v>
      </c>
      <c r="AE64" s="211">
        <f>IF('Temperature Profiles'!V63&gt;17,(0.005*('Temperature Profiles'!V63^2) - 0.1517*'Temperature Profiles'!V63 + 1.1702)*1000,0)</f>
        <v>79.528888888888986</v>
      </c>
      <c r="AF64" s="110">
        <v>0.61458333333333304</v>
      </c>
      <c r="AG64" s="211">
        <f>IF('Temperature Profiles'!V63&gt;17,(0.0068*('Temperature Profiles'!V63^2) - 0.2129*'Temperature Profiles'!V63 + 1.6904)*1000,0)</f>
        <v>84.330888888888737</v>
      </c>
      <c r="AH64" s="21"/>
      <c r="AI64" s="110">
        <v>0.61458333333333304</v>
      </c>
      <c r="AJ64" s="211">
        <f>IF('Temperature Profiles'!AA63&gt;17,(0.0029*('Temperature Profiles'!AA63^2) - 0.0863*'Temperature Profiles'!AA63 + 0.6808)*1000,0)</f>
        <v>0</v>
      </c>
      <c r="AK64" s="110">
        <v>0.61458333333333304</v>
      </c>
      <c r="AL64" s="211">
        <f>IF('Temperature Profiles'!AA63&gt;17,(0.005*('Temperature Profiles'!AA63^2) - 0.1517*'Temperature Profiles'!AA63 + 1.1701)*1000,0)</f>
        <v>0</v>
      </c>
      <c r="AM64" s="110">
        <v>0.61458333333333304</v>
      </c>
      <c r="AN64" s="211">
        <f>IF('Temperature Profiles'!AA63&gt;17,(0.0068*('Temperature Profiles'!AA63^2) - 0.2129*'Temperature Profiles'!AA63 + 1.6904)*1000,0)</f>
        <v>0</v>
      </c>
      <c r="AO64" s="21"/>
      <c r="AP64" s="110">
        <v>0.61458333333333304</v>
      </c>
      <c r="AQ64" s="211">
        <f>IF('Temperature Profiles'!AF63&gt;17,(0.0029*('Temperature Profiles'!AF63^2) - 0.0863*'Temperature Profiles'!AF63 + 0.6808)*1000,0)</f>
        <v>1216.6932222222231</v>
      </c>
      <c r="AR64" s="110">
        <v>0.61458333333333304</v>
      </c>
      <c r="AS64" s="183">
        <f>IF('Temperature Profiles'!AF63&gt;17,(0.005*('Temperature Profiles'!AF63^2) - 0.1517*'Temperature Profiles'!AF63 + 1.1702)*1000,0)</f>
        <v>1992.3155555555572</v>
      </c>
      <c r="AT64" s="110">
        <v>0.61458333333333304</v>
      </c>
      <c r="AU64" s="211">
        <f>IF('Temperature Profiles'!AF63&gt;17,(0.0068*('Temperature Profiles'!AF63^2) - 0.2129*'Temperature Profiles'!AF63 + 1.6904)*1000,0)</f>
        <v>2577.6775555555573</v>
      </c>
      <c r="AV64" s="21"/>
      <c r="AW64" s="110">
        <v>0.61458333333333304</v>
      </c>
      <c r="AX64" s="211"/>
      <c r="AY64" s="21"/>
      <c r="AZ64" s="110">
        <v>0.61458333333333304</v>
      </c>
      <c r="BA64" s="264"/>
      <c r="BC64" s="260">
        <v>0.61458333333333304</v>
      </c>
      <c r="BD64" s="211">
        <f>IF('Temperature Profiles'!G63&lt;16,(-0.0037*'Temperature Profiles'!G63+0.0664)*1000,0)</f>
        <v>0</v>
      </c>
      <c r="BE64" s="110">
        <v>0.61458333333333304</v>
      </c>
      <c r="BF64" s="211">
        <f>IF('Temperature Profiles'!G63&lt;16,(-0.0076*'Temperature Profiles'!G63+0.1245)*1000,0)</f>
        <v>0</v>
      </c>
      <c r="BG64" s="110">
        <v>0.61458333333333304</v>
      </c>
      <c r="BH64" s="211">
        <f>IF('Temperature Profiles'!G63&lt;16,(-0.01*'Temperature Profiles'!G63+0.167)*1000,0)</f>
        <v>0</v>
      </c>
      <c r="BI64" s="21"/>
      <c r="BJ64" s="110">
        <v>0.61458333333333304</v>
      </c>
      <c r="BK64" s="211">
        <f>IF('Temperature Profiles'!L63&lt;16,(-0.0037*'Temperature Profiles'!L63+0.0664)*1000,0)</f>
        <v>0</v>
      </c>
      <c r="BL64" s="110">
        <v>0.61458333333333304</v>
      </c>
      <c r="BM64" s="211">
        <f>IF('Temperature Profiles'!L63&lt;16,(-0.0076*'Temperature Profiles'!L63+0.1245)*1000,0)</f>
        <v>0</v>
      </c>
      <c r="BN64" s="110">
        <v>0.61458333333333304</v>
      </c>
      <c r="BO64" s="211">
        <f>IF('Temperature Profiles'!L63&lt;16,(-0.01*'Temperature Profiles'!L63+0.167)*1000,0)</f>
        <v>0</v>
      </c>
      <c r="BP64" s="21"/>
      <c r="BQ64" s="110">
        <v>0.61458333333333304</v>
      </c>
      <c r="BR64" s="211">
        <f>IF('Temperature Profiles'!Q63&lt;16,(-0.0037*'Temperature Profiles'!Q63+0.0664)*1000,0)</f>
        <v>0</v>
      </c>
      <c r="BS64" s="110">
        <v>0.61458333333333304</v>
      </c>
      <c r="BT64" s="211">
        <f>IF('Temperature Profiles'!Q63&lt;16,(-0.0076*'Temperature Profiles'!Q63+0.1245)*1000,0)</f>
        <v>0</v>
      </c>
      <c r="BU64" s="110">
        <v>0.61458333333333304</v>
      </c>
      <c r="BV64" s="211">
        <f>IF('Temperature Profiles'!Q63&lt;16,(-0.01*'Temperature Profiles'!Q63+0.167)*1000,0)</f>
        <v>0</v>
      </c>
      <c r="BW64" s="21"/>
      <c r="BX64" s="110">
        <v>0.61458333333333304</v>
      </c>
      <c r="BY64" s="211">
        <f>IF('Temperature Profiles'!V63&lt;16,(-0.0037*'Temperature Profiles'!V63+0.0664)*1000,0)</f>
        <v>0</v>
      </c>
      <c r="BZ64" s="110">
        <v>0.61458333333333304</v>
      </c>
      <c r="CA64" s="211">
        <f>IF('Temperature Profiles'!V63&lt;16,(-0.0076*'Temperature Profiles'!V63+0.1245)*1000,0)</f>
        <v>0</v>
      </c>
      <c r="CB64" s="110">
        <v>0.61458333333333304</v>
      </c>
      <c r="CC64" s="211">
        <f>IF('Temperature Profiles'!V63&lt;16,(-0.01*'Temperature Profiles'!V63+0.167)*1000,0)</f>
        <v>0</v>
      </c>
      <c r="CD64" s="21"/>
      <c r="CE64" s="110">
        <v>0.61458333333333304</v>
      </c>
      <c r="CF64" s="211">
        <f>IF('Temperature Profiles'!AA63&lt;16,(-0.0037*'Temperature Profiles'!AA63+0.0664)*1000,0)</f>
        <v>81.446666666666673</v>
      </c>
      <c r="CG64" s="110">
        <v>0.61458333333333304</v>
      </c>
      <c r="CH64" s="178">
        <f>IF('Temperature Profiles'!AA63&lt;16,(-0.0076*'Temperature Profiles'!AA63+0.1245)*1000,0)</f>
        <v>155.40666666666667</v>
      </c>
      <c r="CI64" s="110">
        <v>0.61458333333333304</v>
      </c>
      <c r="CJ64" s="211">
        <f>IF('Temperature Profiles'!AA63&lt;16,(-0.01*'Temperature Profiles'!AA63+0.167)*1000,0)</f>
        <v>207.66666666666669</v>
      </c>
      <c r="CK64" s="21"/>
      <c r="CL64" s="110">
        <v>0.61458333333333304</v>
      </c>
      <c r="CM64" s="211">
        <f>IF('Temperature Profiles'!AF63&lt;16,(-0.0037*'Temperature Profiles'!AF63+0.0664)*1000,0)</f>
        <v>0</v>
      </c>
      <c r="CN64" s="110">
        <v>0.61458333333333304</v>
      </c>
      <c r="CO64" s="178">
        <f>IF('Temperature Profiles'!AF63&lt;16,(-0.0076*'Temperature Profiles'!AF63+0.1245)*1000,0)</f>
        <v>0</v>
      </c>
      <c r="CP64" s="110">
        <v>0.61458333333333304</v>
      </c>
      <c r="CQ64" s="211">
        <f>IF('Temperature Profiles'!AF63&lt;16,(-0.01*'Temperature Profiles'!AF63+0.167)*1000,0)</f>
        <v>0</v>
      </c>
      <c r="CR64" s="21"/>
      <c r="CS64" s="110">
        <v>0.61458333333333304</v>
      </c>
      <c r="CT64" s="211"/>
      <c r="CU64" s="21"/>
      <c r="CV64" s="110">
        <v>0.61458333333333304</v>
      </c>
      <c r="CW64" s="264"/>
      <c r="CY64" s="260">
        <v>0.61458333333333304</v>
      </c>
      <c r="CZ64" s="178">
        <f>IF('Temperature Profiles'!G63&gt;18,(0.0024*('Temperature Profiles'!G63^2)-0.0581*'Temperature Profiles'!G63+0.3293)*1000,IF('Temperature Profiles'!G63&lt;17,(0.0022*('Temperature Profiles'!G63^2)-0.0874*'Temperature Profiles'!G63+0.9301)*1000,0))</f>
        <v>298.53333333333313</v>
      </c>
      <c r="DA64" s="110">
        <v>0.61458333333333304</v>
      </c>
      <c r="DB64" s="263">
        <f>IF('Temperature Profiles'!G63&gt;18,(0.0043*('Temperature Profiles'!G63^2)-0.1116*'Temperature Profiles'!G63+0.6576)*1000,IF('Temperature Profiles'!G63&lt;17,(0.0053*('Temperature Profiles'!G63^2)-0.1876*'Temperature Profiles'!G63+1.7649)*1000,0))</f>
        <v>424.87777777777723</v>
      </c>
      <c r="DC64" s="110">
        <v>0.61458333333333304</v>
      </c>
      <c r="DD64" s="211">
        <f>IF('Temperature Profiles'!G63&gt;18,(0.0057*('Temperature Profiles'!G63^2)-0.1509*'Temperature Profiles'!G63+0.8935)*1000,IF('Temperature Profiles'!G63&lt;17,(0.0072*('Temperature Profiles'!G63^2)-0.254*'Temperature Profiles'!G63+2.3952)*1000,0))</f>
        <v>514.8333333333328</v>
      </c>
      <c r="DE64" s="21"/>
      <c r="DF64" s="110">
        <v>0.61458333333333304</v>
      </c>
      <c r="DG64" s="209">
        <f>IF('Temperature Profiles'!L63&gt;18,(0.0024*('Temperature Profiles'!L63^2)-0.0581*'Temperature Profiles'!L63+0.3293)*1000,IF('Temperature Profiles'!L63&lt;17,(0.0022*('Temperature Profiles'!L63^2)-0.0874*'Temperature Profiles'!L63+0.9301)*1000,0))</f>
        <v>656.73099999999977</v>
      </c>
      <c r="DH64" s="110">
        <v>0.61458333333333304</v>
      </c>
      <c r="DI64" s="209">
        <f>IF('Temperature Profiles'!L63&gt;18,(0.0043*('Temperature Profiles'!L63^2)-0.1116*'Temperature Profiles'!L63+0.6576)*1000,IF('Temperature Profiles'!L63&lt;17,(0.0053*('Temperature Profiles'!L63^2)-0.1876*'Temperature Profiles'!L63+1.7649)*1000,0))</f>
        <v>1027.1891874999994</v>
      </c>
      <c r="DJ64" s="110">
        <v>0.61458333333333304</v>
      </c>
      <c r="DK64" s="211">
        <f>IF('Temperature Profiles'!L63&gt;18,(0.0057*('Temperature Profiles'!L63^2)-0.1509*'Temperature Profiles'!L63+0.8935)*1000,IF('Temperature Profiles'!L63&lt;17,(0.0072*('Temperature Profiles'!L63^2)-0.254*'Temperature Profiles'!L63+2.3952)*1000,0))</f>
        <v>1297.6545624999997</v>
      </c>
      <c r="DL64" s="21"/>
      <c r="DM64" s="110">
        <v>0.61458333333333304</v>
      </c>
      <c r="DN64" s="209">
        <f>IF('Temperature Profiles'!Q63&gt;18,(0.0024*('Temperature Profiles'!Q63^2)-0.0581*'Temperature Profiles'!Q63+0.3293)*1000,IF('Temperature Profiles'!Q63&lt;17,(0.0022*('Temperature Profiles'!Q63^2)-0.0874*'Temperature Profiles'!Q63+0.9301)*1000,0))</f>
        <v>1061.8489999999997</v>
      </c>
      <c r="DO64" s="110">
        <v>0.61458333333333304</v>
      </c>
      <c r="DP64" s="209">
        <f>IF('Temperature Profiles'!Q63&gt;18,(0.0043*('Temperature Profiles'!Q63^2)-0.1116*'Temperature Profiles'!Q63+0.6576)*1000,IF('Temperature Profiles'!Q63&lt;17,(0.0053*('Temperature Profiles'!Q63^2)-0.1876*'Temperature Profiles'!Q63+1.7649)*1000,0))</f>
        <v>1719.7571319444442</v>
      </c>
      <c r="DQ64" s="110">
        <v>0.61458333333333304</v>
      </c>
      <c r="DR64" s="211">
        <f>IF('Temperature Profiles'!Q63&gt;18,(0.0057*('Temperature Profiles'!Q63^2)-0.1509*'Temperature Profiles'!Q63+0.8935)*1000,IF('Temperature Profiles'!Q63&lt;17,(0.0072*('Temperature Profiles'!Q63^2)-0.254*'Temperature Profiles'!Q63+2.3952)*1000,0))</f>
        <v>2202.5643958333326</v>
      </c>
      <c r="DS64" s="21"/>
      <c r="DT64" s="110">
        <v>0.61458333333333304</v>
      </c>
      <c r="DU64" s="209">
        <f>IF('Temperature Profiles'!V63&gt;18,(0.0024*('Temperature Profiles'!V63^2)-0.0581*'Temperature Profiles'!V63+0.3293)*1000,IF('Temperature Profiles'!V63&lt;17,(0.0022*('Temperature Profiles'!V63^2)-0.0874*'Temperature Profiles'!V63+0.9301)*1000,0))</f>
        <v>79.985999999999947</v>
      </c>
      <c r="DV64" s="110">
        <v>0.61458333333333304</v>
      </c>
      <c r="DW64" s="209">
        <f>IF('Temperature Profiles'!V63&gt;18,(0.0043*('Temperature Profiles'!V63^2)-0.1116*'Temperature Profiles'!V63+0.6576)*1000,IF('Temperature Profiles'!V63&lt;17,(0.0053*('Temperature Profiles'!V63^2)-0.1876*'Temperature Profiles'!V63+1.7649)*1000,0))</f>
        <v>71.0847777777781</v>
      </c>
      <c r="DX64" s="110">
        <v>0.61458333333333304</v>
      </c>
      <c r="DY64" s="211">
        <f>IF('Temperature Profiles'!V63&gt;18,(0.0057*('Temperature Profiles'!V63^2)-0.1509*'Temperature Profiles'!V63+0.8935)*1000,IF('Temperature Profiles'!V63&lt;17,(0.0072*('Temperature Profiles'!V63^2)-0.254*'Temperature Profiles'!V63+2.3952)*1000,0))</f>
        <v>60.77633333333354</v>
      </c>
      <c r="DZ64" s="21"/>
      <c r="EA64" s="110">
        <v>0.61458333333333304</v>
      </c>
      <c r="EB64" s="209">
        <f>IF('Temperature Profiles'!AA162&gt;18,(0.0024*('Temperature Profiles'!AA162^2)-0.0581*'Temperature Profiles'!AA162+0.3293)*1000,IF('Temperature Profiles'!AA162&lt;17,(0.0022*('Temperature Profiles'!AA162^2)-0.0874*'Temperature Profiles'!AA162+0.9301)*1000,0))</f>
        <v>310.66644444444449</v>
      </c>
      <c r="EC64" s="110">
        <v>0.61458333333333304</v>
      </c>
      <c r="ED64" s="209">
        <f>IF('Temperature Profiles'!AA162&gt;18,(0.0043*('Temperature Profiles'!AA162^2)-0.1116*'Temperature Profiles'!AA162+0.6576)*1000,IF('Temperature Profiles'!AA162&lt;17,(0.0053*('Temperature Profiles'!AA162^2)-0.1876*'Temperature Profiles'!AA162+1.7649)*1000,0))</f>
        <v>484.57522222222235</v>
      </c>
      <c r="EE64" s="110">
        <v>0.61458333333333304</v>
      </c>
      <c r="EF64" s="211">
        <f>IF('Temperature Profiles'!AA162&gt;18,(0.0057*('Temperature Profiles'!AA162^2)-0.1509*'Temperature Profiles'!AA162+0.8935)*1000,IF('Temperature Profiles'!AA162&lt;17,(0.0072*('Temperature Profiles'!AA162^2)-0.254*'Temperature Profiles'!AA162+2.3952)*1000,0))</f>
        <v>663.7653333333335</v>
      </c>
      <c r="EG64" s="21"/>
      <c r="EH64" s="110">
        <v>0.61458333333333304</v>
      </c>
      <c r="EI64" s="211">
        <f>IF('Temperature Profiles'!AF63&gt;18,(0.0024*('Temperature Profiles'!AF63^2)-0.0581*'Temperature Profiles'!AF63+0.3293)*1000,IF('Temperature Profiles'!AF63&lt;17,(0.0022*('Temperature Profiles'!AF63^2)-0.0874*'Temperature Profiles'!AF63+0.9301)*1000,0))</f>
        <v>1239.4660000000006</v>
      </c>
      <c r="EJ64" s="110">
        <v>0.61458333333333304</v>
      </c>
      <c r="EK64" s="211">
        <f>IF('Temperature Profiles'!AF63&gt;18,(0.0043*('Temperature Profiles'!AF63^2)-0.1116*'Temperature Profiles'!AF63+0.6576)*1000,IF('Temperature Profiles'!AF63&lt;17,(0.0053*('Temperature Profiles'!AF63^2)-0.1876*'Temperature Profiles'!AF63+1.7649)*1000,0))</f>
        <v>2025.4181111111125</v>
      </c>
      <c r="EL64" s="110">
        <v>0.61458333333333304</v>
      </c>
      <c r="EM64" s="211">
        <f>IF('Temperature Profiles'!AF63&gt;18,(0.0057*('Temperature Profiles'!AF63^2)-0.1509*'Temperature Profiles'!AF63+0.8935)*1000,IF('Temperature Profiles'!AF63&lt;17,(0.0072*('Temperature Profiles'!AF63^2)-0.254*'Temperature Profiles'!AF63+2.3952)*1000,0))</f>
        <v>2602.7763333333351</v>
      </c>
      <c r="EN64" s="21"/>
      <c r="EO64" s="110">
        <v>0.61458333333333304</v>
      </c>
      <c r="EP64" s="211"/>
      <c r="EQ64" s="21"/>
      <c r="ER64" s="110">
        <v>0.61458333333333304</v>
      </c>
      <c r="ES64" s="264"/>
      <c r="EU64" s="260">
        <v>0.61458333333333304</v>
      </c>
      <c r="EV64" s="209">
        <f>IF('Temperature Profiles'!AA162&gt;18,(0.0024*('Temperature Profiles'!AA162^2)-0.0581*'Temperature Profiles'!AA162+0.3293)*1000,IF('Temperature Profiles'!AA162&lt;17,(0.0022*('Temperature Profiles'!AA162^2)-0.0874*'Temperature Profiles'!AA162+0.9301)*1000,0))</f>
        <v>310.66644444444449</v>
      </c>
      <c r="EW64" s="110">
        <v>0.61458333333333304</v>
      </c>
      <c r="EX64" s="209">
        <f>IF('Temperature Profiles'!AA162&gt;18,(0.0043*('Temperature Profiles'!AA162^2)-0.1116*'Temperature Profiles'!AA162+0.6576)*1000,IF('Temperature Profiles'!AA162&lt;17,(0.0053*('Temperature Profiles'!AA162^2)-0.1876*'Temperature Profiles'!AA162+1.7649)*1000,0))</f>
        <v>484.57522222222235</v>
      </c>
      <c r="EY64" s="110">
        <v>0.61458333333333304</v>
      </c>
      <c r="EZ64" s="264">
        <f>IF('Temperature Profiles'!AA162&gt;18,(0.0057*('Temperature Profiles'!AA162^2)-0.1509*'Temperature Profiles'!AA162+0.8935)*1000,IF('Temperature Profiles'!AA162&lt;17,(0.0072*('Temperature Profiles'!AA162^2)-0.254*'Temperature Profiles'!AA162+2.3952)*1000,0))</f>
        <v>663.7653333333335</v>
      </c>
    </row>
    <row r="65" spans="1:156" x14ac:dyDescent="0.3">
      <c r="A65" s="108">
        <v>0.61458333333333304</v>
      </c>
      <c r="B65" s="226">
        <f t="shared" si="0"/>
        <v>0</v>
      </c>
      <c r="C65" s="21">
        <f t="shared" si="1"/>
        <v>207.66666666666669</v>
      </c>
      <c r="D65" s="20">
        <f t="shared" si="2"/>
        <v>663.7653333333335</v>
      </c>
      <c r="E65" s="20">
        <f t="shared" si="3"/>
        <v>663.7653333333335</v>
      </c>
      <c r="G65" s="260">
        <v>0.625</v>
      </c>
      <c r="H65" s="211">
        <f>IF('Temperature Profiles'!G64&gt;17,(0.0029*('Temperature Profiles'!G64^2) - 0.0863*'Temperature Profiles'!G64 + 0.6808)*1000,0)</f>
        <v>344.1740347222223</v>
      </c>
      <c r="I65" s="110">
        <v>0.625</v>
      </c>
      <c r="J65" s="211">
        <f>IF('Temperature Profiles'!G64&gt;17,(0.005*('Temperature Profiles'!G64^2) - 0.1517*'Temperature Profiles'!G64 + 1.1702)*1000,0)</f>
        <v>516.72618055555517</v>
      </c>
      <c r="K65" s="110">
        <v>0.625</v>
      </c>
      <c r="L65" s="211">
        <f>IF('Temperature Profiles'!G64&gt;17,(0.0068*('Temperature Profiles'!G64^2) - 0.2129*'Temperature Profiles'!G64 + 1.6904)*1000,0)</f>
        <v>636.04230555555534</v>
      </c>
      <c r="M65" s="21"/>
      <c r="N65" s="110">
        <v>0.625</v>
      </c>
      <c r="O65" s="211">
        <f>IF('Temperature Profiles'!L64&gt;17,(0.0029*('Temperature Profiles'!L64^2) - 0.0863*'Temperature Profiles'!L64 + 0.6808)*1000,0)</f>
        <v>617.68270138888897</v>
      </c>
      <c r="P65" s="110">
        <v>0.625</v>
      </c>
      <c r="Q65" s="211">
        <f>IF('Temperature Profiles'!L64&gt;17,(0.005*('Temperature Profiles'!L64^2) - 0.1517*'Temperature Profiles'!L64 + 1.1702)*1000,0)</f>
        <v>977.05284722222302</v>
      </c>
      <c r="R65" s="110">
        <v>0.625</v>
      </c>
      <c r="S65" s="211">
        <f>IF('Temperature Profiles'!L64&gt;17,(0.0068*('Temperature Profiles'!L64^2) - 0.2129*'Temperature Profiles'!L64 + 1.6904)*1000,0)</f>
        <v>1236.6129722222224</v>
      </c>
      <c r="T65" s="21"/>
      <c r="U65" s="110">
        <v>0.625</v>
      </c>
      <c r="V65" s="211">
        <f>IF('Temperature Profiles'!Q64&gt;17,(0.0029*('Temperature Profiles'!Q64^2) - 0.0863*'Temperature Profiles'!Q64 + 0.6808)*1000,0)</f>
        <v>1097.1524722222216</v>
      </c>
      <c r="W65" s="110">
        <v>0.625</v>
      </c>
      <c r="X65" s="211">
        <f>IF('Temperature Profiles'!Q64&gt;17,(0.005*('Temperature Profiles'!Q64^2) - 0.1517*'Temperature Profiles'!Q64 + 1.1702)*1000,0)</f>
        <v>1789.2630555555554</v>
      </c>
      <c r="Y65" s="110">
        <v>0.625</v>
      </c>
      <c r="Z65" s="211">
        <f>IF('Temperature Profiles'!Q64&gt;17,(0.0068*('Temperature Profiles'!Q64^2) - 0.2129*'Temperature Profiles'!Q64 + 1.6904)*1000,0)</f>
        <v>2308.4435555555547</v>
      </c>
      <c r="AA65" s="21"/>
      <c r="AB65" s="110">
        <v>0.625</v>
      </c>
      <c r="AC65" s="211">
        <f>IF('Temperature Profiles'!V64&gt;17,(0.0029*('Temperature Profiles'!V64^2) - 0.0863*'Temperature Profiles'!V64 + 0.6808)*1000,0)</f>
        <v>75.732249999999837</v>
      </c>
      <c r="AD65" s="110">
        <v>0.625</v>
      </c>
      <c r="AE65" s="211">
        <f>IF('Temperature Profiles'!V64&gt;17,(0.005*('Temperature Profiles'!V64^2) - 0.1517*'Temperature Profiles'!V64 + 1.1702)*1000,0)</f>
        <v>73.347499999999897</v>
      </c>
      <c r="AF65" s="110">
        <v>0.625</v>
      </c>
      <c r="AG65" s="211">
        <f>IF('Temperature Profiles'!V64&gt;17,(0.0068*('Temperature Profiles'!V64^2) - 0.2129*'Temperature Profiles'!V64 + 1.6904)*1000,0)</f>
        <v>77.131999999999309</v>
      </c>
      <c r="AH65" s="21"/>
      <c r="AI65" s="110">
        <v>0.625</v>
      </c>
      <c r="AJ65" s="211">
        <f>IF('Temperature Profiles'!AA64&gt;17,(0.0029*('Temperature Profiles'!AA64^2) - 0.0863*'Temperature Profiles'!AA64 + 0.6808)*1000,0)</f>
        <v>0</v>
      </c>
      <c r="AK65" s="110">
        <v>0.625</v>
      </c>
      <c r="AL65" s="211">
        <f>IF('Temperature Profiles'!AA64&gt;17,(0.005*('Temperature Profiles'!AA64^2) - 0.1517*'Temperature Profiles'!AA64 + 1.1701)*1000,0)</f>
        <v>0</v>
      </c>
      <c r="AM65" s="110">
        <v>0.625</v>
      </c>
      <c r="AN65" s="211">
        <f>IF('Temperature Profiles'!AA64&gt;17,(0.0068*('Temperature Profiles'!AA64^2) - 0.2129*'Temperature Profiles'!AA64 + 1.6904)*1000,0)</f>
        <v>0</v>
      </c>
      <c r="AO65" s="21"/>
      <c r="AP65" s="110">
        <v>0.625</v>
      </c>
      <c r="AQ65" s="211">
        <f>IF('Temperature Profiles'!AF64&gt;17,(0.0029*('Temperature Profiles'!AF64^2) - 0.0863*'Temperature Profiles'!AF64 + 0.6808)*1000,0)</f>
        <v>1331.379368055555</v>
      </c>
      <c r="AR65" s="110">
        <v>0.625</v>
      </c>
      <c r="AS65" s="183">
        <f>IF('Temperature Profiles'!AF64&gt;17,(0.005*('Temperature Profiles'!AF64^2) - 0.1517*'Temperature Profiles'!AF64 + 1.1702)*1000,0)</f>
        <v>2187.2645138888884</v>
      </c>
      <c r="AT65" s="110">
        <v>0.625</v>
      </c>
      <c r="AU65" s="211">
        <f>IF('Temperature Profiles'!AF64&gt;17,(0.0068*('Temperature Profiles'!AF64^2) - 0.2129*'Temperature Profiles'!AF64 + 1.6904)*1000,0)</f>
        <v>2836.4946388888879</v>
      </c>
      <c r="AV65" s="21"/>
      <c r="AW65" s="110">
        <v>0.625</v>
      </c>
      <c r="AX65" s="211"/>
      <c r="AY65" s="21"/>
      <c r="AZ65" s="110">
        <v>0.625</v>
      </c>
      <c r="BA65" s="264"/>
      <c r="BC65" s="260">
        <v>0.625</v>
      </c>
      <c r="BD65" s="211">
        <f>IF('Temperature Profiles'!G64&lt;16,(-0.0037*'Temperature Profiles'!G64+0.0664)*1000,0)</f>
        <v>0</v>
      </c>
      <c r="BE65" s="110">
        <v>0.625</v>
      </c>
      <c r="BF65" s="211">
        <f>IF('Temperature Profiles'!G64&lt;16,(-0.0076*'Temperature Profiles'!G64+0.1245)*1000,0)</f>
        <v>0</v>
      </c>
      <c r="BG65" s="110">
        <v>0.625</v>
      </c>
      <c r="BH65" s="211">
        <f>IF('Temperature Profiles'!G64&lt;16,(-0.01*'Temperature Profiles'!G64+0.167)*1000,0)</f>
        <v>0</v>
      </c>
      <c r="BI65" s="21"/>
      <c r="BJ65" s="110">
        <v>0.625</v>
      </c>
      <c r="BK65" s="211">
        <f>IF('Temperature Profiles'!L64&lt;16,(-0.0037*'Temperature Profiles'!L64+0.0664)*1000,0)</f>
        <v>0</v>
      </c>
      <c r="BL65" s="110">
        <v>0.625</v>
      </c>
      <c r="BM65" s="211">
        <f>IF('Temperature Profiles'!L64&lt;16,(-0.0076*'Temperature Profiles'!L64+0.1245)*1000,0)</f>
        <v>0</v>
      </c>
      <c r="BN65" s="110">
        <v>0.625</v>
      </c>
      <c r="BO65" s="211">
        <f>IF('Temperature Profiles'!L64&lt;16,(-0.01*'Temperature Profiles'!L64+0.167)*1000,0)</f>
        <v>0</v>
      </c>
      <c r="BP65" s="21"/>
      <c r="BQ65" s="110">
        <v>0.625</v>
      </c>
      <c r="BR65" s="211">
        <f>IF('Temperature Profiles'!Q64&lt;16,(-0.0037*'Temperature Profiles'!Q64+0.0664)*1000,0)</f>
        <v>0</v>
      </c>
      <c r="BS65" s="110">
        <v>0.625</v>
      </c>
      <c r="BT65" s="211">
        <f>IF('Temperature Profiles'!Q64&lt;16,(-0.0076*'Temperature Profiles'!Q64+0.1245)*1000,0)</f>
        <v>0</v>
      </c>
      <c r="BU65" s="110">
        <v>0.625</v>
      </c>
      <c r="BV65" s="211">
        <f>IF('Temperature Profiles'!Q64&lt;16,(-0.01*'Temperature Profiles'!Q64+0.167)*1000,0)</f>
        <v>0</v>
      </c>
      <c r="BW65" s="21"/>
      <c r="BX65" s="110">
        <v>0.625</v>
      </c>
      <c r="BY65" s="211">
        <f>IF('Temperature Profiles'!V64&lt;16,(-0.0037*'Temperature Profiles'!V64+0.0664)*1000,0)</f>
        <v>0</v>
      </c>
      <c r="BZ65" s="110">
        <v>0.625</v>
      </c>
      <c r="CA65" s="211">
        <f>IF('Temperature Profiles'!V64&lt;16,(-0.0076*'Temperature Profiles'!V64+0.1245)*1000,0)</f>
        <v>0</v>
      </c>
      <c r="CB65" s="110">
        <v>0.625</v>
      </c>
      <c r="CC65" s="211">
        <f>IF('Temperature Profiles'!V64&lt;16,(-0.01*'Temperature Profiles'!V64+0.167)*1000,0)</f>
        <v>0</v>
      </c>
      <c r="CD65" s="21"/>
      <c r="CE65" s="110">
        <v>0.625</v>
      </c>
      <c r="CF65" s="211">
        <f>IF('Temperature Profiles'!AA64&lt;16,(-0.0037*'Temperature Profiles'!AA64+0.0664)*1000,0)</f>
        <v>79.750833333333347</v>
      </c>
      <c r="CG65" s="110">
        <v>0.625</v>
      </c>
      <c r="CH65" s="178">
        <f>IF('Temperature Profiles'!AA64&lt;16,(-0.0076*'Temperature Profiles'!AA64+0.1245)*1000,0)</f>
        <v>151.92333333333332</v>
      </c>
      <c r="CI65" s="110">
        <v>0.625</v>
      </c>
      <c r="CJ65" s="211">
        <f>IF('Temperature Profiles'!AA64&lt;16,(-0.01*'Temperature Profiles'!AA64+0.167)*1000,0)</f>
        <v>203.08333333333334</v>
      </c>
      <c r="CK65" s="21"/>
      <c r="CL65" s="110">
        <v>0.625</v>
      </c>
      <c r="CM65" s="211">
        <f>IF('Temperature Profiles'!AF64&lt;16,(-0.0037*'Temperature Profiles'!AF64+0.0664)*1000,0)</f>
        <v>0</v>
      </c>
      <c r="CN65" s="110">
        <v>0.625</v>
      </c>
      <c r="CO65" s="178">
        <f>IF('Temperature Profiles'!AF64&lt;16,(-0.0076*'Temperature Profiles'!AF64+0.1245)*1000,0)</f>
        <v>0</v>
      </c>
      <c r="CP65" s="110">
        <v>0.625</v>
      </c>
      <c r="CQ65" s="211">
        <f>IF('Temperature Profiles'!AF64&lt;16,(-0.01*'Temperature Profiles'!AF64+0.167)*1000,0)</f>
        <v>0</v>
      </c>
      <c r="CR65" s="21"/>
      <c r="CS65" s="110">
        <v>0.625</v>
      </c>
      <c r="CT65" s="211"/>
      <c r="CU65" s="21"/>
      <c r="CV65" s="110">
        <v>0.625</v>
      </c>
      <c r="CW65" s="264"/>
      <c r="CY65" s="260">
        <v>0.625</v>
      </c>
      <c r="CZ65" s="178">
        <f>IF('Temperature Profiles'!G64&gt;18,(0.0024*('Temperature Profiles'!G64^2)-0.0581*'Temperature Profiles'!G64+0.3293)*1000,IF('Temperature Profiles'!G64&lt;17,(0.0022*('Temperature Profiles'!G64^2)-0.0874*'Temperature Profiles'!G64+0.9301)*1000,0))</f>
        <v>385.61733333333308</v>
      </c>
      <c r="DA65" s="110">
        <v>0.625</v>
      </c>
      <c r="DB65" s="263">
        <f>IF('Temperature Profiles'!G64&gt;18,(0.0043*('Temperature Profiles'!G64^2)-0.1116*'Temperature Profiles'!G64+0.6576)*1000,IF('Temperature Profiles'!G64&lt;17,(0.0053*('Temperature Profiles'!G64^2)-0.1876*'Temperature Profiles'!G64+1.7649)*1000,0))</f>
        <v>569.83463194444403</v>
      </c>
      <c r="DC65" s="110">
        <v>0.625</v>
      </c>
      <c r="DD65" s="211">
        <f>IF('Temperature Profiles'!G64&gt;18,(0.0057*('Temperature Profiles'!G64^2)-0.1509*'Temperature Profiles'!G64+0.8935)*1000,IF('Temperature Profiles'!G64&lt;17,(0.0072*('Temperature Profiles'!G64^2)-0.254*'Temperature Profiles'!G64+2.3952)*1000,0))</f>
        <v>702.61189583333294</v>
      </c>
      <c r="DE65" s="21"/>
      <c r="DF65" s="110">
        <v>0.625</v>
      </c>
      <c r="DG65" s="209">
        <f>IF('Temperature Profiles'!L64&gt;18,(0.0024*('Temperature Profiles'!L64^2)-0.0581*'Temperature Profiles'!L64+0.3293)*1000,IF('Temperature Profiles'!L64&lt;17,(0.0022*('Temperature Profiles'!L64^2)-0.0874*'Temperature Profiles'!L64+0.9301)*1000,0))</f>
        <v>663.476</v>
      </c>
      <c r="DH65" s="110">
        <v>0.625</v>
      </c>
      <c r="DI65" s="209">
        <f>IF('Temperature Profiles'!L64&gt;18,(0.0043*('Temperature Profiles'!L64^2)-0.1116*'Temperature Profiles'!L64+0.6576)*1000,IF('Temperature Profiles'!L64&lt;17,(0.0053*('Temperature Profiles'!L64^2)-0.1876*'Temperature Profiles'!L64+1.7649)*1000,0))</f>
        <v>1038.648631944445</v>
      </c>
      <c r="DJ65" s="110">
        <v>0.625</v>
      </c>
      <c r="DK65" s="211">
        <f>IF('Temperature Profiles'!L64&gt;18,(0.0057*('Temperature Profiles'!L64^2)-0.1509*'Temperature Profiles'!L64+0.8935)*1000,IF('Temperature Profiles'!L64&lt;17,(0.0072*('Temperature Profiles'!L64^2)-0.254*'Temperature Profiles'!L64+2.3952)*1000,0))</f>
        <v>1312.5978958333344</v>
      </c>
      <c r="DL65" s="21"/>
      <c r="DM65" s="110">
        <v>0.625</v>
      </c>
      <c r="DN65" s="209">
        <f>IF('Temperature Profiles'!Q64&gt;18,(0.0024*('Temperature Profiles'!Q64^2)-0.0581*'Temperature Profiles'!Q64+0.3293)*1000,IF('Temperature Profiles'!Q64&lt;17,(0.0022*('Temperature Profiles'!Q64^2)-0.0874*'Temperature Profiles'!Q64+0.9301)*1000,0))</f>
        <v>1126.549</v>
      </c>
      <c r="DO65" s="110">
        <v>0.625</v>
      </c>
      <c r="DP65" s="209">
        <f>IF('Temperature Profiles'!Q64&gt;18,(0.0043*('Temperature Profiles'!Q64^2)-0.1116*'Temperature Profiles'!Q64+0.6576)*1000,IF('Temperature Profiles'!Q64&lt;17,(0.0053*('Temperature Profiles'!Q64^2)-0.1876*'Temperature Profiles'!Q64+1.7649)*1000,0))</f>
        <v>1830.9878611111108</v>
      </c>
      <c r="DQ65" s="110">
        <v>0.625</v>
      </c>
      <c r="DR65" s="211">
        <f>IF('Temperature Profiles'!Q64&gt;18,(0.0057*('Temperature Profiles'!Q64^2)-0.1509*'Temperature Profiles'!Q64+0.8935)*1000,IF('Temperature Profiles'!Q64&lt;17,(0.0072*('Temperature Profiles'!Q64^2)-0.254*'Temperature Profiles'!Q64+2.3952)*1000,0))</f>
        <v>2348.1565833333334</v>
      </c>
      <c r="DS65" s="21"/>
      <c r="DT65" s="110">
        <v>0.625</v>
      </c>
      <c r="DU65" s="209">
        <f>IF('Temperature Profiles'!V64&gt;18,(0.0024*('Temperature Profiles'!V64^2)-0.0581*'Temperature Profiles'!V64+0.3293)*1000,IF('Temperature Profiles'!V64&lt;17,(0.0022*('Temperature Profiles'!V64^2)-0.0874*'Temperature Profiles'!V64+0.9301)*1000,0))</f>
        <v>74.320999999999913</v>
      </c>
      <c r="DV65" s="110">
        <v>0.625</v>
      </c>
      <c r="DW65" s="209">
        <f>IF('Temperature Profiles'!V64&gt;18,(0.0043*('Temperature Profiles'!V64^2)-0.1116*'Temperature Profiles'!V64+0.6576)*1000,IF('Temperature Profiles'!V64&lt;17,(0.0053*('Temperature Profiles'!V64^2)-0.1876*'Temperature Profiles'!V64+1.7649)*1000,0))</f>
        <v>62.31074999999997</v>
      </c>
      <c r="DX65" s="110">
        <v>0.625</v>
      </c>
      <c r="DY65" s="211">
        <f>IF('Temperature Profiles'!V64&gt;18,(0.0057*('Temperature Profiles'!V64^2)-0.1509*'Temperature Profiles'!V64+0.8935)*1000,IF('Temperature Profiles'!V64&lt;17,(0.0072*('Temperature Profiles'!V64^2)-0.254*'Temperature Profiles'!V64+2.3952)*1000,0))</f>
        <v>49.689249999999909</v>
      </c>
      <c r="DZ65" s="21"/>
      <c r="EA65" s="110">
        <v>0.625</v>
      </c>
      <c r="EB65" s="209">
        <f>IF('Temperature Profiles'!AA163&gt;18,(0.0024*('Temperature Profiles'!AA163^2)-0.0581*'Temperature Profiles'!AA163+0.3293)*1000,IF('Temperature Profiles'!AA163&lt;17,(0.0022*('Temperature Profiles'!AA163^2)-0.0874*'Temperature Profiles'!AA163+0.9301)*1000,0))</f>
        <v>305.62515277777788</v>
      </c>
      <c r="EC65" s="110">
        <v>0.625</v>
      </c>
      <c r="ED65" s="209">
        <f>IF('Temperature Profiles'!AA163&gt;18,(0.0043*('Temperature Profiles'!AA163^2)-0.1116*'Temperature Profiles'!AA163+0.6576)*1000,IF('Temperature Profiles'!AA163&lt;17,(0.0053*('Temperature Profiles'!AA163^2)-0.1876*'Temperature Profiles'!AA163+1.7649)*1000,0))</f>
        <v>474.91703472222247</v>
      </c>
      <c r="EE65" s="110">
        <v>0.625</v>
      </c>
      <c r="EF65" s="211">
        <f>IF('Temperature Profiles'!AA163&gt;18,(0.0057*('Temperature Profiles'!AA163^2)-0.1509*'Temperature Profiles'!AA163+0.8935)*1000,IF('Temperature Profiles'!AA163&lt;17,(0.0072*('Temperature Profiles'!AA163^2)-0.254*'Temperature Profiles'!AA163+2.3952)*1000,0))</f>
        <v>650.73716666666678</v>
      </c>
      <c r="EG65" s="21"/>
      <c r="EH65" s="110">
        <v>0.625</v>
      </c>
      <c r="EI65" s="211">
        <f>IF('Temperature Profiles'!AF64&gt;18,(0.0024*('Temperature Profiles'!AF64^2)-0.0581*'Temperature Profiles'!AF64+0.3293)*1000,IF('Temperature Profiles'!AF64&lt;17,(0.0022*('Temperature Profiles'!AF64^2)-0.0874*'Temperature Profiles'!AF64+0.9301)*1000,0))</f>
        <v>1347.144333333333</v>
      </c>
      <c r="EJ65" s="110">
        <v>0.625</v>
      </c>
      <c r="EK65" s="211">
        <f>IF('Temperature Profiles'!AF64&gt;18,(0.0043*('Temperature Profiles'!AF64^2)-0.1116*'Temperature Profiles'!AF64+0.6576)*1000,IF('Temperature Profiles'!AF64&lt;17,(0.0053*('Temperature Profiles'!AF64^2)-0.1876*'Temperature Profiles'!AF64+1.7649)*1000,0))</f>
        <v>2211.1502986111104</v>
      </c>
      <c r="EL65" s="110">
        <v>0.625</v>
      </c>
      <c r="EM65" s="211">
        <f>IF('Temperature Profiles'!AF64&gt;18,(0.0057*('Temperature Profiles'!AF64^2)-0.1509*'Temperature Profiles'!AF64+0.8935)*1000,IF('Temperature Profiles'!AF64&lt;17,(0.0072*('Temperature Profiles'!AF64^2)-0.254*'Temperature Profiles'!AF64+2.3952)*1000,0))</f>
        <v>2846.137895833333</v>
      </c>
      <c r="EN65" s="21"/>
      <c r="EO65" s="110">
        <v>0.625</v>
      </c>
      <c r="EP65" s="211"/>
      <c r="EQ65" s="21"/>
      <c r="ER65" s="110">
        <v>0.625</v>
      </c>
      <c r="ES65" s="264"/>
      <c r="EU65" s="260">
        <v>0.625</v>
      </c>
      <c r="EV65" s="209">
        <f>IF('Temperature Profiles'!AA163&gt;18,(0.0024*('Temperature Profiles'!AA163^2)-0.0581*'Temperature Profiles'!AA163+0.3293)*1000,IF('Temperature Profiles'!AA163&lt;17,(0.0022*('Temperature Profiles'!AA163^2)-0.0874*'Temperature Profiles'!AA163+0.9301)*1000,0))</f>
        <v>305.62515277777788</v>
      </c>
      <c r="EW65" s="110">
        <v>0.625</v>
      </c>
      <c r="EX65" s="209">
        <f>IF('Temperature Profiles'!AA163&gt;18,(0.0043*('Temperature Profiles'!AA163^2)-0.1116*'Temperature Profiles'!AA163+0.6576)*1000,IF('Temperature Profiles'!AA163&lt;17,(0.0053*('Temperature Profiles'!AA163^2)-0.1876*'Temperature Profiles'!AA163+1.7649)*1000,0))</f>
        <v>474.91703472222247</v>
      </c>
      <c r="EY65" s="110">
        <v>0.625</v>
      </c>
      <c r="EZ65" s="264">
        <f>IF('Temperature Profiles'!AA163&gt;18,(0.0057*('Temperature Profiles'!AA163^2)-0.1509*'Temperature Profiles'!AA163+0.8935)*1000,IF('Temperature Profiles'!AA163&lt;17,(0.0072*('Temperature Profiles'!AA163^2)-0.254*'Temperature Profiles'!AA163+2.3952)*1000,0))</f>
        <v>650.73716666666678</v>
      </c>
    </row>
    <row r="66" spans="1:156" x14ac:dyDescent="0.3">
      <c r="A66" s="108">
        <v>0.625</v>
      </c>
      <c r="B66" s="226">
        <f t="shared" si="0"/>
        <v>0</v>
      </c>
      <c r="C66" s="21">
        <f t="shared" si="1"/>
        <v>203.08333333333334</v>
      </c>
      <c r="D66" s="20">
        <f t="shared" si="2"/>
        <v>650.73716666666678</v>
      </c>
      <c r="E66" s="20">
        <f t="shared" si="3"/>
        <v>650.73716666666678</v>
      </c>
      <c r="G66" s="260">
        <v>0.63541666666666696</v>
      </c>
      <c r="H66" s="211">
        <f>IF('Temperature Profiles'!G65&gt;17,(0.0029*('Temperature Profiles'!G65^2) - 0.0863*'Temperature Profiles'!G65 + 0.6808)*1000,0)</f>
        <v>344.1740347222223</v>
      </c>
      <c r="I66" s="110">
        <v>0.63541666666666696</v>
      </c>
      <c r="J66" s="211">
        <f>IF('Temperature Profiles'!G65&gt;17,(0.005*('Temperature Profiles'!G65^2) - 0.1517*'Temperature Profiles'!G65 + 1.1702)*1000,0)</f>
        <v>516.72618055555517</v>
      </c>
      <c r="K66" s="110">
        <v>0.63541666666666696</v>
      </c>
      <c r="L66" s="211">
        <f>IF('Temperature Profiles'!G65&gt;17,(0.0068*('Temperature Profiles'!G65^2) - 0.2129*'Temperature Profiles'!G65 + 1.6904)*1000,0)</f>
        <v>636.04230555555534</v>
      </c>
      <c r="M66" s="21"/>
      <c r="N66" s="110">
        <v>0.63541666666666696</v>
      </c>
      <c r="O66" s="211">
        <f>IF('Temperature Profiles'!L65&gt;17,(0.0029*('Temperature Profiles'!L65^2) - 0.0863*'Temperature Profiles'!L65 + 0.6808)*1000,0)</f>
        <v>617.68270138888897</v>
      </c>
      <c r="P66" s="110">
        <v>0.63541666666666696</v>
      </c>
      <c r="Q66" s="211">
        <f>IF('Temperature Profiles'!L65&gt;17,(0.005*('Temperature Profiles'!L65^2) - 0.1517*'Temperature Profiles'!L65 + 1.1702)*1000,0)</f>
        <v>977.05284722222302</v>
      </c>
      <c r="R66" s="110">
        <v>0.63541666666666696</v>
      </c>
      <c r="S66" s="211">
        <f>IF('Temperature Profiles'!L65&gt;17,(0.0068*('Temperature Profiles'!L65^2) - 0.2129*'Temperature Profiles'!L65 + 1.6904)*1000,0)</f>
        <v>1236.6129722222224</v>
      </c>
      <c r="T66" s="21"/>
      <c r="U66" s="110">
        <v>0.63541666666666696</v>
      </c>
      <c r="V66" s="211">
        <f>IF('Temperature Profiles'!Q65&gt;17,(0.0029*('Temperature Profiles'!Q65^2) - 0.0863*'Temperature Profiles'!Q65 + 0.6808)*1000,0)</f>
        <v>1097.1524722222216</v>
      </c>
      <c r="W66" s="110">
        <v>0.63541666666666696</v>
      </c>
      <c r="X66" s="211">
        <f>IF('Temperature Profiles'!Q65&gt;17,(0.005*('Temperature Profiles'!Q65^2) - 0.1517*'Temperature Profiles'!Q65 + 1.1702)*1000,0)</f>
        <v>1789.2630555555554</v>
      </c>
      <c r="Y66" s="110">
        <v>0.63541666666666696</v>
      </c>
      <c r="Z66" s="211">
        <f>IF('Temperature Profiles'!Q65&gt;17,(0.0068*('Temperature Profiles'!Q65^2) - 0.2129*'Temperature Profiles'!Q65 + 1.6904)*1000,0)</f>
        <v>2308.4435555555547</v>
      </c>
      <c r="AA66" s="21"/>
      <c r="AB66" s="110">
        <v>0.63541666666666696</v>
      </c>
      <c r="AC66" s="211">
        <f>IF('Temperature Profiles'!V65&gt;17,(0.0029*('Temperature Profiles'!V65^2) - 0.0863*'Temperature Profiles'!V65 + 0.6808)*1000,0)</f>
        <v>75.732249999999837</v>
      </c>
      <c r="AD66" s="110">
        <v>0.63541666666666696</v>
      </c>
      <c r="AE66" s="211">
        <f>IF('Temperature Profiles'!V65&gt;17,(0.005*('Temperature Profiles'!V65^2) - 0.1517*'Temperature Profiles'!V65 + 1.1702)*1000,0)</f>
        <v>73.347499999999897</v>
      </c>
      <c r="AF66" s="110">
        <v>0.63541666666666696</v>
      </c>
      <c r="AG66" s="211">
        <f>IF('Temperature Profiles'!V65&gt;17,(0.0068*('Temperature Profiles'!V65^2) - 0.2129*'Temperature Profiles'!V65 + 1.6904)*1000,0)</f>
        <v>77.131999999999309</v>
      </c>
      <c r="AH66" s="21"/>
      <c r="AI66" s="110">
        <v>0.63541666666666696</v>
      </c>
      <c r="AJ66" s="211">
        <f>IF('Temperature Profiles'!AA65&gt;17,(0.0029*('Temperature Profiles'!AA65^2) - 0.0863*'Temperature Profiles'!AA65 + 0.6808)*1000,0)</f>
        <v>0</v>
      </c>
      <c r="AK66" s="110">
        <v>0.63541666666666696</v>
      </c>
      <c r="AL66" s="211">
        <f>IF('Temperature Profiles'!AA65&gt;17,(0.005*('Temperature Profiles'!AA65^2) - 0.1517*'Temperature Profiles'!AA65 + 1.1701)*1000,0)</f>
        <v>0</v>
      </c>
      <c r="AM66" s="110">
        <v>0.63541666666666696</v>
      </c>
      <c r="AN66" s="211">
        <f>IF('Temperature Profiles'!AA65&gt;17,(0.0068*('Temperature Profiles'!AA65^2) - 0.2129*'Temperature Profiles'!AA65 + 1.6904)*1000,0)</f>
        <v>0</v>
      </c>
      <c r="AO66" s="21"/>
      <c r="AP66" s="110">
        <v>0.63541666666666696</v>
      </c>
      <c r="AQ66" s="211">
        <f>IF('Temperature Profiles'!AF65&gt;17,(0.0029*('Temperature Profiles'!AF65^2) - 0.0863*'Temperature Profiles'!AF65 + 0.6808)*1000,0)</f>
        <v>1331.379368055555</v>
      </c>
      <c r="AR66" s="110">
        <v>0.63541666666666696</v>
      </c>
      <c r="AS66" s="183">
        <f>IF('Temperature Profiles'!AF65&gt;17,(0.005*('Temperature Profiles'!AF65^2) - 0.1517*'Temperature Profiles'!AF65 + 1.1702)*1000,0)</f>
        <v>2187.2645138888884</v>
      </c>
      <c r="AT66" s="110">
        <v>0.63541666666666696</v>
      </c>
      <c r="AU66" s="211">
        <f>IF('Temperature Profiles'!AF65&gt;17,(0.0068*('Temperature Profiles'!AF65^2) - 0.2129*'Temperature Profiles'!AF65 + 1.6904)*1000,0)</f>
        <v>2836.4946388888879</v>
      </c>
      <c r="AV66" s="21"/>
      <c r="AW66" s="110">
        <v>0.63541666666666696</v>
      </c>
      <c r="AX66" s="211"/>
      <c r="AY66" s="21"/>
      <c r="AZ66" s="110">
        <v>0.63541666666666696</v>
      </c>
      <c r="BA66" s="264"/>
      <c r="BC66" s="260">
        <v>0.63541666666666696</v>
      </c>
      <c r="BD66" s="211">
        <f>IF('Temperature Profiles'!G65&lt;16,(-0.0037*'Temperature Profiles'!G65+0.0664)*1000,0)</f>
        <v>0</v>
      </c>
      <c r="BE66" s="110">
        <v>0.63541666666666696</v>
      </c>
      <c r="BF66" s="211">
        <f>IF('Temperature Profiles'!G65&lt;16,(-0.0076*'Temperature Profiles'!G65+0.1245)*1000,0)</f>
        <v>0</v>
      </c>
      <c r="BG66" s="110">
        <v>0.63541666666666696</v>
      </c>
      <c r="BH66" s="211">
        <f>IF('Temperature Profiles'!G65&lt;16,(-0.01*'Temperature Profiles'!G65+0.167)*1000,0)</f>
        <v>0</v>
      </c>
      <c r="BI66" s="21"/>
      <c r="BJ66" s="110">
        <v>0.63541666666666696</v>
      </c>
      <c r="BK66" s="211">
        <f>IF('Temperature Profiles'!L65&lt;16,(-0.0037*'Temperature Profiles'!L65+0.0664)*1000,0)</f>
        <v>0</v>
      </c>
      <c r="BL66" s="110">
        <v>0.63541666666666696</v>
      </c>
      <c r="BM66" s="211">
        <f>IF('Temperature Profiles'!L65&lt;16,(-0.0076*'Temperature Profiles'!L65+0.1245)*1000,0)</f>
        <v>0</v>
      </c>
      <c r="BN66" s="110">
        <v>0.63541666666666696</v>
      </c>
      <c r="BO66" s="211">
        <f>IF('Temperature Profiles'!L65&lt;16,(-0.01*'Temperature Profiles'!L65+0.167)*1000,0)</f>
        <v>0</v>
      </c>
      <c r="BP66" s="21"/>
      <c r="BQ66" s="110">
        <v>0.63541666666666696</v>
      </c>
      <c r="BR66" s="211">
        <f>IF('Temperature Profiles'!Q65&lt;16,(-0.0037*'Temperature Profiles'!Q65+0.0664)*1000,0)</f>
        <v>0</v>
      </c>
      <c r="BS66" s="110">
        <v>0.63541666666666696</v>
      </c>
      <c r="BT66" s="211">
        <f>IF('Temperature Profiles'!Q65&lt;16,(-0.0076*'Temperature Profiles'!Q65+0.1245)*1000,0)</f>
        <v>0</v>
      </c>
      <c r="BU66" s="110">
        <v>0.63541666666666696</v>
      </c>
      <c r="BV66" s="211">
        <f>IF('Temperature Profiles'!Q65&lt;16,(-0.01*'Temperature Profiles'!Q65+0.167)*1000,0)</f>
        <v>0</v>
      </c>
      <c r="BW66" s="21"/>
      <c r="BX66" s="110">
        <v>0.63541666666666696</v>
      </c>
      <c r="BY66" s="211">
        <f>IF('Temperature Profiles'!V65&lt;16,(-0.0037*'Temperature Profiles'!V65+0.0664)*1000,0)</f>
        <v>0</v>
      </c>
      <c r="BZ66" s="110">
        <v>0.63541666666666696</v>
      </c>
      <c r="CA66" s="211">
        <f>IF('Temperature Profiles'!V65&lt;16,(-0.0076*'Temperature Profiles'!V65+0.1245)*1000,0)</f>
        <v>0</v>
      </c>
      <c r="CB66" s="110">
        <v>0.63541666666666696</v>
      </c>
      <c r="CC66" s="211">
        <f>IF('Temperature Profiles'!V65&lt;16,(-0.01*'Temperature Profiles'!V65+0.167)*1000,0)</f>
        <v>0</v>
      </c>
      <c r="CD66" s="21"/>
      <c r="CE66" s="110">
        <v>0.63541666666666696</v>
      </c>
      <c r="CF66" s="211">
        <f>IF('Temperature Profiles'!AA65&lt;16,(-0.0037*'Temperature Profiles'!AA65+0.0664)*1000,0)</f>
        <v>79.750833333333347</v>
      </c>
      <c r="CG66" s="110">
        <v>0.63541666666666696</v>
      </c>
      <c r="CH66" s="178">
        <f>IF('Temperature Profiles'!AA65&lt;16,(-0.0076*'Temperature Profiles'!AA65+0.1245)*1000,0)</f>
        <v>151.92333333333332</v>
      </c>
      <c r="CI66" s="110">
        <v>0.63541666666666696</v>
      </c>
      <c r="CJ66" s="211">
        <f>IF('Temperature Profiles'!AA65&lt;16,(-0.01*'Temperature Profiles'!AA65+0.167)*1000,0)</f>
        <v>203.08333333333334</v>
      </c>
      <c r="CK66" s="21"/>
      <c r="CL66" s="110">
        <v>0.63541666666666696</v>
      </c>
      <c r="CM66" s="211">
        <f>IF('Temperature Profiles'!AF65&lt;16,(-0.0037*'Temperature Profiles'!AF65+0.0664)*1000,0)</f>
        <v>0</v>
      </c>
      <c r="CN66" s="110">
        <v>0.63541666666666696</v>
      </c>
      <c r="CO66" s="178">
        <f>IF('Temperature Profiles'!AF65&lt;16,(-0.0076*'Temperature Profiles'!AF65+0.1245)*1000,0)</f>
        <v>0</v>
      </c>
      <c r="CP66" s="110">
        <v>0.63541666666666696</v>
      </c>
      <c r="CQ66" s="211">
        <f>IF('Temperature Profiles'!AF65&lt;16,(-0.01*'Temperature Profiles'!AF65+0.167)*1000,0)</f>
        <v>0</v>
      </c>
      <c r="CR66" s="21"/>
      <c r="CS66" s="110">
        <v>0.63541666666666696</v>
      </c>
      <c r="CT66" s="211"/>
      <c r="CU66" s="21"/>
      <c r="CV66" s="110">
        <v>0.63541666666666696</v>
      </c>
      <c r="CW66" s="264"/>
      <c r="CY66" s="260">
        <v>0.63541666666666696</v>
      </c>
      <c r="CZ66" s="178">
        <f>IF('Temperature Profiles'!G65&gt;18,(0.0024*('Temperature Profiles'!G65^2)-0.0581*'Temperature Profiles'!G65+0.3293)*1000,IF('Temperature Profiles'!G65&lt;17,(0.0022*('Temperature Profiles'!G65^2)-0.0874*'Temperature Profiles'!G65+0.9301)*1000,0))</f>
        <v>385.61733333333308</v>
      </c>
      <c r="DA66" s="110">
        <v>0.63541666666666696</v>
      </c>
      <c r="DB66" s="263">
        <f>IF('Temperature Profiles'!G65&gt;18,(0.0043*('Temperature Profiles'!G65^2)-0.1116*'Temperature Profiles'!G65+0.6576)*1000,IF('Temperature Profiles'!G65&lt;17,(0.0053*('Temperature Profiles'!G65^2)-0.1876*'Temperature Profiles'!G65+1.7649)*1000,0))</f>
        <v>569.83463194444403</v>
      </c>
      <c r="DC66" s="110">
        <v>0.63541666666666696</v>
      </c>
      <c r="DD66" s="211">
        <f>IF('Temperature Profiles'!G65&gt;18,(0.0057*('Temperature Profiles'!G65^2)-0.1509*'Temperature Profiles'!G65+0.8935)*1000,IF('Temperature Profiles'!G65&lt;17,(0.0072*('Temperature Profiles'!G65^2)-0.254*'Temperature Profiles'!G65+2.3952)*1000,0))</f>
        <v>702.61189583333294</v>
      </c>
      <c r="DE66" s="21"/>
      <c r="DF66" s="110">
        <v>0.63541666666666696</v>
      </c>
      <c r="DG66" s="209">
        <f>IF('Temperature Profiles'!L65&gt;18,(0.0024*('Temperature Profiles'!L65^2)-0.0581*'Temperature Profiles'!L65+0.3293)*1000,IF('Temperature Profiles'!L65&lt;17,(0.0022*('Temperature Profiles'!L65^2)-0.0874*'Temperature Profiles'!L65+0.9301)*1000,0))</f>
        <v>663.476</v>
      </c>
      <c r="DH66" s="110">
        <v>0.63541666666666696</v>
      </c>
      <c r="DI66" s="209">
        <f>IF('Temperature Profiles'!L65&gt;18,(0.0043*('Temperature Profiles'!L65^2)-0.1116*'Temperature Profiles'!L65+0.6576)*1000,IF('Temperature Profiles'!L65&lt;17,(0.0053*('Temperature Profiles'!L65^2)-0.1876*'Temperature Profiles'!L65+1.7649)*1000,0))</f>
        <v>1038.648631944445</v>
      </c>
      <c r="DJ66" s="110">
        <v>0.63541666666666696</v>
      </c>
      <c r="DK66" s="211">
        <f>IF('Temperature Profiles'!L65&gt;18,(0.0057*('Temperature Profiles'!L65^2)-0.1509*'Temperature Profiles'!L65+0.8935)*1000,IF('Temperature Profiles'!L65&lt;17,(0.0072*('Temperature Profiles'!L65^2)-0.254*'Temperature Profiles'!L65+2.3952)*1000,0))</f>
        <v>1312.5978958333344</v>
      </c>
      <c r="DL66" s="21"/>
      <c r="DM66" s="110">
        <v>0.63541666666666696</v>
      </c>
      <c r="DN66" s="209">
        <f>IF('Temperature Profiles'!Q65&gt;18,(0.0024*('Temperature Profiles'!Q65^2)-0.0581*'Temperature Profiles'!Q65+0.3293)*1000,IF('Temperature Profiles'!Q65&lt;17,(0.0022*('Temperature Profiles'!Q65^2)-0.0874*'Temperature Profiles'!Q65+0.9301)*1000,0))</f>
        <v>1126.549</v>
      </c>
      <c r="DO66" s="110">
        <v>0.63541666666666696</v>
      </c>
      <c r="DP66" s="209">
        <f>IF('Temperature Profiles'!Q65&gt;18,(0.0043*('Temperature Profiles'!Q65^2)-0.1116*'Temperature Profiles'!Q65+0.6576)*1000,IF('Temperature Profiles'!Q65&lt;17,(0.0053*('Temperature Profiles'!Q65^2)-0.1876*'Temperature Profiles'!Q65+1.7649)*1000,0))</f>
        <v>1830.9878611111108</v>
      </c>
      <c r="DQ66" s="110">
        <v>0.63541666666666696</v>
      </c>
      <c r="DR66" s="211">
        <f>IF('Temperature Profiles'!Q65&gt;18,(0.0057*('Temperature Profiles'!Q65^2)-0.1509*'Temperature Profiles'!Q65+0.8935)*1000,IF('Temperature Profiles'!Q65&lt;17,(0.0072*('Temperature Profiles'!Q65^2)-0.254*'Temperature Profiles'!Q65+2.3952)*1000,0))</f>
        <v>2348.1565833333334</v>
      </c>
      <c r="DS66" s="21"/>
      <c r="DT66" s="110">
        <v>0.63541666666666696</v>
      </c>
      <c r="DU66" s="209">
        <f>IF('Temperature Profiles'!V65&gt;18,(0.0024*('Temperature Profiles'!V65^2)-0.0581*'Temperature Profiles'!V65+0.3293)*1000,IF('Temperature Profiles'!V65&lt;17,(0.0022*('Temperature Profiles'!V65^2)-0.0874*'Temperature Profiles'!V65+0.9301)*1000,0))</f>
        <v>74.320999999999913</v>
      </c>
      <c r="DV66" s="110">
        <v>0.63541666666666696</v>
      </c>
      <c r="DW66" s="209">
        <f>IF('Temperature Profiles'!V65&gt;18,(0.0043*('Temperature Profiles'!V65^2)-0.1116*'Temperature Profiles'!V65+0.6576)*1000,IF('Temperature Profiles'!V65&lt;17,(0.0053*('Temperature Profiles'!V65^2)-0.1876*'Temperature Profiles'!V65+1.7649)*1000,0))</f>
        <v>62.31074999999997</v>
      </c>
      <c r="DX66" s="110">
        <v>0.63541666666666696</v>
      </c>
      <c r="DY66" s="211">
        <f>IF('Temperature Profiles'!V65&gt;18,(0.0057*('Temperature Profiles'!V65^2)-0.1509*'Temperature Profiles'!V65+0.8935)*1000,IF('Temperature Profiles'!V65&lt;17,(0.0072*('Temperature Profiles'!V65^2)-0.254*'Temperature Profiles'!V65+2.3952)*1000,0))</f>
        <v>49.689249999999909</v>
      </c>
      <c r="DZ66" s="21"/>
      <c r="EA66" s="110">
        <v>0.63541666666666696</v>
      </c>
      <c r="EB66" s="209">
        <f>IF('Temperature Profiles'!AA164&gt;18,(0.0024*('Temperature Profiles'!AA164^2)-0.0581*'Temperature Profiles'!AA164+0.3293)*1000,IF('Temperature Profiles'!AA164&lt;17,(0.0022*('Temperature Profiles'!AA164^2)-0.0874*'Temperature Profiles'!AA164+0.9301)*1000,0))</f>
        <v>305.62515277777788</v>
      </c>
      <c r="EC66" s="110">
        <v>0.63541666666666696</v>
      </c>
      <c r="ED66" s="209">
        <f>IF('Temperature Profiles'!AA164&gt;18,(0.0043*('Temperature Profiles'!AA164^2)-0.1116*'Temperature Profiles'!AA164+0.6576)*1000,IF('Temperature Profiles'!AA164&lt;17,(0.0053*('Temperature Profiles'!AA164^2)-0.1876*'Temperature Profiles'!AA164+1.7649)*1000,0))</f>
        <v>474.91703472222247</v>
      </c>
      <c r="EE66" s="110">
        <v>0.63541666666666696</v>
      </c>
      <c r="EF66" s="211">
        <f>IF('Temperature Profiles'!AA164&gt;18,(0.0057*('Temperature Profiles'!AA164^2)-0.1509*'Temperature Profiles'!AA164+0.8935)*1000,IF('Temperature Profiles'!AA164&lt;17,(0.0072*('Temperature Profiles'!AA164^2)-0.254*'Temperature Profiles'!AA164+2.3952)*1000,0))</f>
        <v>650.73716666666678</v>
      </c>
      <c r="EG66" s="21"/>
      <c r="EH66" s="110">
        <v>0.63541666666666696</v>
      </c>
      <c r="EI66" s="211">
        <f>IF('Temperature Profiles'!AF65&gt;18,(0.0024*('Temperature Profiles'!AF65^2)-0.0581*'Temperature Profiles'!AF65+0.3293)*1000,IF('Temperature Profiles'!AF65&lt;17,(0.0022*('Temperature Profiles'!AF65^2)-0.0874*'Temperature Profiles'!AF65+0.9301)*1000,0))</f>
        <v>1347.144333333333</v>
      </c>
      <c r="EJ66" s="110">
        <v>0.63541666666666696</v>
      </c>
      <c r="EK66" s="211">
        <f>IF('Temperature Profiles'!AF65&gt;18,(0.0043*('Temperature Profiles'!AF65^2)-0.1116*'Temperature Profiles'!AF65+0.6576)*1000,IF('Temperature Profiles'!AF65&lt;17,(0.0053*('Temperature Profiles'!AF65^2)-0.1876*'Temperature Profiles'!AF65+1.7649)*1000,0))</f>
        <v>2211.1502986111104</v>
      </c>
      <c r="EL66" s="110">
        <v>0.63541666666666696</v>
      </c>
      <c r="EM66" s="211">
        <f>IF('Temperature Profiles'!AF65&gt;18,(0.0057*('Temperature Profiles'!AF65^2)-0.1509*'Temperature Profiles'!AF65+0.8935)*1000,IF('Temperature Profiles'!AF65&lt;17,(0.0072*('Temperature Profiles'!AF65^2)-0.254*'Temperature Profiles'!AF65+2.3952)*1000,0))</f>
        <v>2846.137895833333</v>
      </c>
      <c r="EN66" s="21"/>
      <c r="EO66" s="110">
        <v>0.63541666666666696</v>
      </c>
      <c r="EP66" s="211"/>
      <c r="EQ66" s="21"/>
      <c r="ER66" s="110">
        <v>0.63541666666666696</v>
      </c>
      <c r="ES66" s="264"/>
      <c r="EU66" s="260">
        <v>0.63541666666666696</v>
      </c>
      <c r="EV66" s="209">
        <f>IF('Temperature Profiles'!AA164&gt;18,(0.0024*('Temperature Profiles'!AA164^2)-0.0581*'Temperature Profiles'!AA164+0.3293)*1000,IF('Temperature Profiles'!AA164&lt;17,(0.0022*('Temperature Profiles'!AA164^2)-0.0874*'Temperature Profiles'!AA164+0.9301)*1000,0))</f>
        <v>305.62515277777788</v>
      </c>
      <c r="EW66" s="110">
        <v>0.63541666666666696</v>
      </c>
      <c r="EX66" s="209">
        <f>IF('Temperature Profiles'!AA164&gt;18,(0.0043*('Temperature Profiles'!AA164^2)-0.1116*'Temperature Profiles'!AA164+0.6576)*1000,IF('Temperature Profiles'!AA164&lt;17,(0.0053*('Temperature Profiles'!AA164^2)-0.1876*'Temperature Profiles'!AA164+1.7649)*1000,0))</f>
        <v>474.91703472222247</v>
      </c>
      <c r="EY66" s="110">
        <v>0.63541666666666696</v>
      </c>
      <c r="EZ66" s="264">
        <f>IF('Temperature Profiles'!AA164&gt;18,(0.0057*('Temperature Profiles'!AA164^2)-0.1509*'Temperature Profiles'!AA164+0.8935)*1000,IF('Temperature Profiles'!AA164&lt;17,(0.0072*('Temperature Profiles'!AA164^2)-0.254*'Temperature Profiles'!AA164+2.3952)*1000,0))</f>
        <v>650.73716666666678</v>
      </c>
    </row>
    <row r="67" spans="1:156" x14ac:dyDescent="0.3">
      <c r="A67" s="108">
        <v>0.63541666666666696</v>
      </c>
      <c r="B67" s="226">
        <f t="shared" si="0"/>
        <v>0</v>
      </c>
      <c r="C67" s="21">
        <f t="shared" si="1"/>
        <v>203.08333333333334</v>
      </c>
      <c r="D67" s="20">
        <f t="shared" si="2"/>
        <v>650.73716666666678</v>
      </c>
      <c r="E67" s="20">
        <f t="shared" si="3"/>
        <v>650.73716666666678</v>
      </c>
      <c r="G67" s="260">
        <v>0.64583333333333304</v>
      </c>
      <c r="H67" s="211">
        <f>IF('Temperature Profiles'!G66&gt;17,(0.0029*('Temperature Profiles'!G66^2) - 0.0863*'Temperature Profiles'!G66 + 0.6808)*1000,0)</f>
        <v>344.1740347222223</v>
      </c>
      <c r="I67" s="110">
        <v>0.64583333333333304</v>
      </c>
      <c r="J67" s="211">
        <f>IF('Temperature Profiles'!G66&gt;17,(0.005*('Temperature Profiles'!G66^2) - 0.1517*'Temperature Profiles'!G66 + 1.1702)*1000,0)</f>
        <v>516.72618055555517</v>
      </c>
      <c r="K67" s="110">
        <v>0.64583333333333304</v>
      </c>
      <c r="L67" s="211">
        <f>IF('Temperature Profiles'!G66&gt;17,(0.0068*('Temperature Profiles'!G66^2) - 0.2129*'Temperature Profiles'!G66 + 1.6904)*1000,0)</f>
        <v>636.04230555555534</v>
      </c>
      <c r="M67" s="21"/>
      <c r="N67" s="110">
        <v>0.64583333333333304</v>
      </c>
      <c r="O67" s="211">
        <f>IF('Temperature Profiles'!L66&gt;17,(0.0029*('Temperature Profiles'!L66^2) - 0.0863*'Temperature Profiles'!L66 + 0.6808)*1000,0)</f>
        <v>617.68270138888897</v>
      </c>
      <c r="P67" s="110">
        <v>0.64583333333333304</v>
      </c>
      <c r="Q67" s="211">
        <f>IF('Temperature Profiles'!L66&gt;17,(0.005*('Temperature Profiles'!L66^2) - 0.1517*'Temperature Profiles'!L66 + 1.1702)*1000,0)</f>
        <v>977.05284722222302</v>
      </c>
      <c r="R67" s="110">
        <v>0.64583333333333304</v>
      </c>
      <c r="S67" s="211">
        <f>IF('Temperature Profiles'!L66&gt;17,(0.0068*('Temperature Profiles'!L66^2) - 0.2129*'Temperature Profiles'!L66 + 1.6904)*1000,0)</f>
        <v>1236.6129722222224</v>
      </c>
      <c r="T67" s="21"/>
      <c r="U67" s="110">
        <v>0.64583333333333304</v>
      </c>
      <c r="V67" s="211">
        <f>IF('Temperature Profiles'!Q66&gt;17,(0.0029*('Temperature Profiles'!Q66^2) - 0.0863*'Temperature Profiles'!Q66 + 0.6808)*1000,0)</f>
        <v>1097.1524722222216</v>
      </c>
      <c r="W67" s="110">
        <v>0.64583333333333304</v>
      </c>
      <c r="X67" s="211">
        <f>IF('Temperature Profiles'!Q66&gt;17,(0.005*('Temperature Profiles'!Q66^2) - 0.1517*'Temperature Profiles'!Q66 + 1.1702)*1000,0)</f>
        <v>1789.2630555555554</v>
      </c>
      <c r="Y67" s="110">
        <v>0.64583333333333304</v>
      </c>
      <c r="Z67" s="211">
        <f>IF('Temperature Profiles'!Q66&gt;17,(0.0068*('Temperature Profiles'!Q66^2) - 0.2129*'Temperature Profiles'!Q66 + 1.6904)*1000,0)</f>
        <v>2308.4435555555547</v>
      </c>
      <c r="AA67" s="21"/>
      <c r="AB67" s="110">
        <v>0.64583333333333304</v>
      </c>
      <c r="AC67" s="211">
        <f>IF('Temperature Profiles'!V66&gt;17,(0.0029*('Temperature Profiles'!V66^2) - 0.0863*'Temperature Profiles'!V66 + 0.6808)*1000,0)</f>
        <v>75.732249999999837</v>
      </c>
      <c r="AD67" s="110">
        <v>0.64583333333333304</v>
      </c>
      <c r="AE67" s="211">
        <f>IF('Temperature Profiles'!V66&gt;17,(0.005*('Temperature Profiles'!V66^2) - 0.1517*'Temperature Profiles'!V66 + 1.1702)*1000,0)</f>
        <v>73.347499999999897</v>
      </c>
      <c r="AF67" s="110">
        <v>0.64583333333333304</v>
      </c>
      <c r="AG67" s="211">
        <f>IF('Temperature Profiles'!V66&gt;17,(0.0068*('Temperature Profiles'!V66^2) - 0.2129*'Temperature Profiles'!V66 + 1.6904)*1000,0)</f>
        <v>77.131999999999309</v>
      </c>
      <c r="AH67" s="21"/>
      <c r="AI67" s="110">
        <v>0.64583333333333304</v>
      </c>
      <c r="AJ67" s="211">
        <f>IF('Temperature Profiles'!AA66&gt;17,(0.0029*('Temperature Profiles'!AA66^2) - 0.0863*'Temperature Profiles'!AA66 + 0.6808)*1000,0)</f>
        <v>0</v>
      </c>
      <c r="AK67" s="110">
        <v>0.64583333333333304</v>
      </c>
      <c r="AL67" s="211">
        <f>IF('Temperature Profiles'!AA66&gt;17,(0.005*('Temperature Profiles'!AA66^2) - 0.1517*'Temperature Profiles'!AA66 + 1.1701)*1000,0)</f>
        <v>0</v>
      </c>
      <c r="AM67" s="110">
        <v>0.64583333333333304</v>
      </c>
      <c r="AN67" s="211">
        <f>IF('Temperature Profiles'!AA66&gt;17,(0.0068*('Temperature Profiles'!AA66^2) - 0.2129*'Temperature Profiles'!AA66 + 1.6904)*1000,0)</f>
        <v>0</v>
      </c>
      <c r="AO67" s="21"/>
      <c r="AP67" s="110">
        <v>0.64583333333333304</v>
      </c>
      <c r="AQ67" s="211">
        <f>IF('Temperature Profiles'!AF66&gt;17,(0.0029*('Temperature Profiles'!AF66^2) - 0.0863*'Temperature Profiles'!AF66 + 0.6808)*1000,0)</f>
        <v>1331.379368055555</v>
      </c>
      <c r="AR67" s="110">
        <v>0.64583333333333304</v>
      </c>
      <c r="AS67" s="183">
        <f>IF('Temperature Profiles'!AF66&gt;17,(0.005*('Temperature Profiles'!AF66^2) - 0.1517*'Temperature Profiles'!AF66 + 1.1702)*1000,0)</f>
        <v>2187.2645138888884</v>
      </c>
      <c r="AT67" s="110">
        <v>0.64583333333333304</v>
      </c>
      <c r="AU67" s="211">
        <f>IF('Temperature Profiles'!AF66&gt;17,(0.0068*('Temperature Profiles'!AF66^2) - 0.2129*'Temperature Profiles'!AF66 + 1.6904)*1000,0)</f>
        <v>2836.4946388888879</v>
      </c>
      <c r="AV67" s="21"/>
      <c r="AW67" s="110">
        <v>0.64583333333333304</v>
      </c>
      <c r="AX67" s="211"/>
      <c r="AY67" s="21"/>
      <c r="AZ67" s="110">
        <v>0.64583333333333304</v>
      </c>
      <c r="BA67" s="264"/>
      <c r="BC67" s="260">
        <v>0.64583333333333304</v>
      </c>
      <c r="BD67" s="211">
        <f>IF('Temperature Profiles'!G66&lt;16,(-0.0037*'Temperature Profiles'!G66+0.0664)*1000,0)</f>
        <v>0</v>
      </c>
      <c r="BE67" s="110">
        <v>0.64583333333333304</v>
      </c>
      <c r="BF67" s="211">
        <f>IF('Temperature Profiles'!G66&lt;16,(-0.0076*'Temperature Profiles'!G66+0.1245)*1000,0)</f>
        <v>0</v>
      </c>
      <c r="BG67" s="110">
        <v>0.64583333333333304</v>
      </c>
      <c r="BH67" s="211">
        <f>IF('Temperature Profiles'!G66&lt;16,(-0.01*'Temperature Profiles'!G66+0.167)*1000,0)</f>
        <v>0</v>
      </c>
      <c r="BI67" s="21"/>
      <c r="BJ67" s="110">
        <v>0.64583333333333304</v>
      </c>
      <c r="BK67" s="211">
        <f>IF('Temperature Profiles'!L66&lt;16,(-0.0037*'Temperature Profiles'!L66+0.0664)*1000,0)</f>
        <v>0</v>
      </c>
      <c r="BL67" s="110">
        <v>0.64583333333333304</v>
      </c>
      <c r="BM67" s="211">
        <f>IF('Temperature Profiles'!L66&lt;16,(-0.0076*'Temperature Profiles'!L66+0.1245)*1000,0)</f>
        <v>0</v>
      </c>
      <c r="BN67" s="110">
        <v>0.64583333333333304</v>
      </c>
      <c r="BO67" s="211">
        <f>IF('Temperature Profiles'!L66&lt;16,(-0.01*'Temperature Profiles'!L66+0.167)*1000,0)</f>
        <v>0</v>
      </c>
      <c r="BP67" s="21"/>
      <c r="BQ67" s="110">
        <v>0.64583333333333304</v>
      </c>
      <c r="BR67" s="211">
        <f>IF('Temperature Profiles'!Q66&lt;16,(-0.0037*'Temperature Profiles'!Q66+0.0664)*1000,0)</f>
        <v>0</v>
      </c>
      <c r="BS67" s="110">
        <v>0.64583333333333304</v>
      </c>
      <c r="BT67" s="211">
        <f>IF('Temperature Profiles'!Q66&lt;16,(-0.0076*'Temperature Profiles'!Q66+0.1245)*1000,0)</f>
        <v>0</v>
      </c>
      <c r="BU67" s="110">
        <v>0.64583333333333304</v>
      </c>
      <c r="BV67" s="211">
        <f>IF('Temperature Profiles'!Q66&lt;16,(-0.01*'Temperature Profiles'!Q66+0.167)*1000,0)</f>
        <v>0</v>
      </c>
      <c r="BW67" s="21"/>
      <c r="BX67" s="110">
        <v>0.64583333333333304</v>
      </c>
      <c r="BY67" s="211">
        <f>IF('Temperature Profiles'!V66&lt;16,(-0.0037*'Temperature Profiles'!V66+0.0664)*1000,0)</f>
        <v>0</v>
      </c>
      <c r="BZ67" s="110">
        <v>0.64583333333333304</v>
      </c>
      <c r="CA67" s="211">
        <f>IF('Temperature Profiles'!V66&lt;16,(-0.0076*'Temperature Profiles'!V66+0.1245)*1000,0)</f>
        <v>0</v>
      </c>
      <c r="CB67" s="110">
        <v>0.64583333333333304</v>
      </c>
      <c r="CC67" s="211">
        <f>IF('Temperature Profiles'!V66&lt;16,(-0.01*'Temperature Profiles'!V66+0.167)*1000,0)</f>
        <v>0</v>
      </c>
      <c r="CD67" s="21"/>
      <c r="CE67" s="110">
        <v>0.64583333333333304</v>
      </c>
      <c r="CF67" s="211">
        <f>IF('Temperature Profiles'!AA66&lt;16,(-0.0037*'Temperature Profiles'!AA66+0.0664)*1000,0)</f>
        <v>79.750833333333347</v>
      </c>
      <c r="CG67" s="110">
        <v>0.64583333333333304</v>
      </c>
      <c r="CH67" s="178">
        <f>IF('Temperature Profiles'!AA66&lt;16,(-0.0076*'Temperature Profiles'!AA66+0.1245)*1000,0)</f>
        <v>151.92333333333332</v>
      </c>
      <c r="CI67" s="110">
        <v>0.64583333333333304</v>
      </c>
      <c r="CJ67" s="211">
        <f>IF('Temperature Profiles'!AA66&lt;16,(-0.01*'Temperature Profiles'!AA66+0.167)*1000,0)</f>
        <v>203.08333333333334</v>
      </c>
      <c r="CK67" s="21"/>
      <c r="CL67" s="110">
        <v>0.64583333333333304</v>
      </c>
      <c r="CM67" s="211">
        <f>IF('Temperature Profiles'!AF66&lt;16,(-0.0037*'Temperature Profiles'!AF66+0.0664)*1000,0)</f>
        <v>0</v>
      </c>
      <c r="CN67" s="110">
        <v>0.64583333333333304</v>
      </c>
      <c r="CO67" s="178">
        <f>IF('Temperature Profiles'!AF66&lt;16,(-0.0076*'Temperature Profiles'!AF66+0.1245)*1000,0)</f>
        <v>0</v>
      </c>
      <c r="CP67" s="110">
        <v>0.64583333333333304</v>
      </c>
      <c r="CQ67" s="211">
        <f>IF('Temperature Profiles'!AF66&lt;16,(-0.01*'Temperature Profiles'!AF66+0.167)*1000,0)</f>
        <v>0</v>
      </c>
      <c r="CR67" s="21"/>
      <c r="CS67" s="110">
        <v>0.64583333333333304</v>
      </c>
      <c r="CT67" s="211"/>
      <c r="CU67" s="21"/>
      <c r="CV67" s="110">
        <v>0.64583333333333304</v>
      </c>
      <c r="CW67" s="264"/>
      <c r="CY67" s="260">
        <v>0.64583333333333304</v>
      </c>
      <c r="CZ67" s="178">
        <f>IF('Temperature Profiles'!G66&gt;18,(0.0024*('Temperature Profiles'!G66^2)-0.0581*'Temperature Profiles'!G66+0.3293)*1000,IF('Temperature Profiles'!G66&lt;17,(0.0022*('Temperature Profiles'!G66^2)-0.0874*'Temperature Profiles'!G66+0.9301)*1000,0))</f>
        <v>385.61733333333308</v>
      </c>
      <c r="DA67" s="110">
        <v>0.64583333333333304</v>
      </c>
      <c r="DB67" s="263">
        <f>IF('Temperature Profiles'!G66&gt;18,(0.0043*('Temperature Profiles'!G66^2)-0.1116*'Temperature Profiles'!G66+0.6576)*1000,IF('Temperature Profiles'!G66&lt;17,(0.0053*('Temperature Profiles'!G66^2)-0.1876*'Temperature Profiles'!G66+1.7649)*1000,0))</f>
        <v>569.83463194444403</v>
      </c>
      <c r="DC67" s="110">
        <v>0.64583333333333304</v>
      </c>
      <c r="DD67" s="211">
        <f>IF('Temperature Profiles'!G66&gt;18,(0.0057*('Temperature Profiles'!G66^2)-0.1509*'Temperature Profiles'!G66+0.8935)*1000,IF('Temperature Profiles'!G66&lt;17,(0.0072*('Temperature Profiles'!G66^2)-0.254*'Temperature Profiles'!G66+2.3952)*1000,0))</f>
        <v>702.61189583333294</v>
      </c>
      <c r="DE67" s="21"/>
      <c r="DF67" s="110">
        <v>0.64583333333333304</v>
      </c>
      <c r="DG67" s="209">
        <f>IF('Temperature Profiles'!L66&gt;18,(0.0024*('Temperature Profiles'!L66^2)-0.0581*'Temperature Profiles'!L66+0.3293)*1000,IF('Temperature Profiles'!L66&lt;17,(0.0022*('Temperature Profiles'!L66^2)-0.0874*'Temperature Profiles'!L66+0.9301)*1000,0))</f>
        <v>663.476</v>
      </c>
      <c r="DH67" s="110">
        <v>0.64583333333333304</v>
      </c>
      <c r="DI67" s="209">
        <f>IF('Temperature Profiles'!L66&gt;18,(0.0043*('Temperature Profiles'!L66^2)-0.1116*'Temperature Profiles'!L66+0.6576)*1000,IF('Temperature Profiles'!L66&lt;17,(0.0053*('Temperature Profiles'!L66^2)-0.1876*'Temperature Profiles'!L66+1.7649)*1000,0))</f>
        <v>1038.648631944445</v>
      </c>
      <c r="DJ67" s="110">
        <v>0.64583333333333304</v>
      </c>
      <c r="DK67" s="211">
        <f>IF('Temperature Profiles'!L66&gt;18,(0.0057*('Temperature Profiles'!L66^2)-0.1509*'Temperature Profiles'!L66+0.8935)*1000,IF('Temperature Profiles'!L66&lt;17,(0.0072*('Temperature Profiles'!L66^2)-0.254*'Temperature Profiles'!L66+2.3952)*1000,0))</f>
        <v>1312.5978958333344</v>
      </c>
      <c r="DL67" s="21"/>
      <c r="DM67" s="110">
        <v>0.64583333333333304</v>
      </c>
      <c r="DN67" s="209">
        <f>IF('Temperature Profiles'!Q66&gt;18,(0.0024*('Temperature Profiles'!Q66^2)-0.0581*'Temperature Profiles'!Q66+0.3293)*1000,IF('Temperature Profiles'!Q66&lt;17,(0.0022*('Temperature Profiles'!Q66^2)-0.0874*'Temperature Profiles'!Q66+0.9301)*1000,0))</f>
        <v>1126.549</v>
      </c>
      <c r="DO67" s="110">
        <v>0.64583333333333304</v>
      </c>
      <c r="DP67" s="209">
        <f>IF('Temperature Profiles'!Q66&gt;18,(0.0043*('Temperature Profiles'!Q66^2)-0.1116*'Temperature Profiles'!Q66+0.6576)*1000,IF('Temperature Profiles'!Q66&lt;17,(0.0053*('Temperature Profiles'!Q66^2)-0.1876*'Temperature Profiles'!Q66+1.7649)*1000,0))</f>
        <v>1830.9878611111108</v>
      </c>
      <c r="DQ67" s="110">
        <v>0.64583333333333304</v>
      </c>
      <c r="DR67" s="211">
        <f>IF('Temperature Profiles'!Q66&gt;18,(0.0057*('Temperature Profiles'!Q66^2)-0.1509*'Temperature Profiles'!Q66+0.8935)*1000,IF('Temperature Profiles'!Q66&lt;17,(0.0072*('Temperature Profiles'!Q66^2)-0.254*'Temperature Profiles'!Q66+2.3952)*1000,0))</f>
        <v>2348.1565833333334</v>
      </c>
      <c r="DS67" s="21"/>
      <c r="DT67" s="110">
        <v>0.64583333333333304</v>
      </c>
      <c r="DU67" s="209">
        <f>IF('Temperature Profiles'!V66&gt;18,(0.0024*('Temperature Profiles'!V66^2)-0.0581*'Temperature Profiles'!V66+0.3293)*1000,IF('Temperature Profiles'!V66&lt;17,(0.0022*('Temperature Profiles'!V66^2)-0.0874*'Temperature Profiles'!V66+0.9301)*1000,0))</f>
        <v>74.320999999999913</v>
      </c>
      <c r="DV67" s="110">
        <v>0.64583333333333304</v>
      </c>
      <c r="DW67" s="209">
        <f>IF('Temperature Profiles'!V66&gt;18,(0.0043*('Temperature Profiles'!V66^2)-0.1116*'Temperature Profiles'!V66+0.6576)*1000,IF('Temperature Profiles'!V66&lt;17,(0.0053*('Temperature Profiles'!V66^2)-0.1876*'Temperature Profiles'!V66+1.7649)*1000,0))</f>
        <v>62.31074999999997</v>
      </c>
      <c r="DX67" s="110">
        <v>0.64583333333333304</v>
      </c>
      <c r="DY67" s="211">
        <f>IF('Temperature Profiles'!V66&gt;18,(0.0057*('Temperature Profiles'!V66^2)-0.1509*'Temperature Profiles'!V66+0.8935)*1000,IF('Temperature Profiles'!V66&lt;17,(0.0072*('Temperature Profiles'!V66^2)-0.254*'Temperature Profiles'!V66+2.3952)*1000,0))</f>
        <v>49.689249999999909</v>
      </c>
      <c r="DZ67" s="21"/>
      <c r="EA67" s="110">
        <v>0.64583333333333304</v>
      </c>
      <c r="EB67" s="209">
        <f>IF('Temperature Profiles'!AA165&gt;18,(0.0024*('Temperature Profiles'!AA165^2)-0.0581*'Temperature Profiles'!AA165+0.3293)*1000,IF('Temperature Profiles'!AA165&lt;17,(0.0022*('Temperature Profiles'!AA165^2)-0.0874*'Temperature Profiles'!AA165+0.9301)*1000,0))</f>
        <v>305.62515277777788</v>
      </c>
      <c r="EC67" s="110">
        <v>0.64583333333333304</v>
      </c>
      <c r="ED67" s="209">
        <f>IF('Temperature Profiles'!AA165&gt;18,(0.0043*('Temperature Profiles'!AA165^2)-0.1116*'Temperature Profiles'!AA165+0.6576)*1000,IF('Temperature Profiles'!AA165&lt;17,(0.0053*('Temperature Profiles'!AA165^2)-0.1876*'Temperature Profiles'!AA165+1.7649)*1000,0))</f>
        <v>474.91703472222247</v>
      </c>
      <c r="EE67" s="110">
        <v>0.64583333333333304</v>
      </c>
      <c r="EF67" s="211">
        <f>IF('Temperature Profiles'!AA165&gt;18,(0.0057*('Temperature Profiles'!AA165^2)-0.1509*'Temperature Profiles'!AA165+0.8935)*1000,IF('Temperature Profiles'!AA165&lt;17,(0.0072*('Temperature Profiles'!AA165^2)-0.254*'Temperature Profiles'!AA165+2.3952)*1000,0))</f>
        <v>650.73716666666678</v>
      </c>
      <c r="EG67" s="21"/>
      <c r="EH67" s="110">
        <v>0.64583333333333304</v>
      </c>
      <c r="EI67" s="211">
        <f>IF('Temperature Profiles'!AF66&gt;18,(0.0024*('Temperature Profiles'!AF66^2)-0.0581*'Temperature Profiles'!AF66+0.3293)*1000,IF('Temperature Profiles'!AF66&lt;17,(0.0022*('Temperature Profiles'!AF66^2)-0.0874*'Temperature Profiles'!AF66+0.9301)*1000,0))</f>
        <v>1347.144333333333</v>
      </c>
      <c r="EJ67" s="110">
        <v>0.64583333333333304</v>
      </c>
      <c r="EK67" s="211">
        <f>IF('Temperature Profiles'!AF66&gt;18,(0.0043*('Temperature Profiles'!AF66^2)-0.1116*'Temperature Profiles'!AF66+0.6576)*1000,IF('Temperature Profiles'!AF66&lt;17,(0.0053*('Temperature Profiles'!AF66^2)-0.1876*'Temperature Profiles'!AF66+1.7649)*1000,0))</f>
        <v>2211.1502986111104</v>
      </c>
      <c r="EL67" s="110">
        <v>0.64583333333333304</v>
      </c>
      <c r="EM67" s="211">
        <f>IF('Temperature Profiles'!AF66&gt;18,(0.0057*('Temperature Profiles'!AF66^2)-0.1509*'Temperature Profiles'!AF66+0.8935)*1000,IF('Temperature Profiles'!AF66&lt;17,(0.0072*('Temperature Profiles'!AF66^2)-0.254*'Temperature Profiles'!AF66+2.3952)*1000,0))</f>
        <v>2846.137895833333</v>
      </c>
      <c r="EN67" s="21"/>
      <c r="EO67" s="110">
        <v>0.64583333333333304</v>
      </c>
      <c r="EP67" s="211"/>
      <c r="EQ67" s="21"/>
      <c r="ER67" s="110">
        <v>0.64583333333333304</v>
      </c>
      <c r="ES67" s="264"/>
      <c r="EU67" s="260">
        <v>0.64583333333333304</v>
      </c>
      <c r="EV67" s="209">
        <f>IF('Temperature Profiles'!AA165&gt;18,(0.0024*('Temperature Profiles'!AA165^2)-0.0581*'Temperature Profiles'!AA165+0.3293)*1000,IF('Temperature Profiles'!AA165&lt;17,(0.0022*('Temperature Profiles'!AA165^2)-0.0874*'Temperature Profiles'!AA165+0.9301)*1000,0))</f>
        <v>305.62515277777788</v>
      </c>
      <c r="EW67" s="110">
        <v>0.64583333333333304</v>
      </c>
      <c r="EX67" s="209">
        <f>IF('Temperature Profiles'!AA165&gt;18,(0.0043*('Temperature Profiles'!AA165^2)-0.1116*'Temperature Profiles'!AA165+0.6576)*1000,IF('Temperature Profiles'!AA165&lt;17,(0.0053*('Temperature Profiles'!AA165^2)-0.1876*'Temperature Profiles'!AA165+1.7649)*1000,0))</f>
        <v>474.91703472222247</v>
      </c>
      <c r="EY67" s="110">
        <v>0.64583333333333304</v>
      </c>
      <c r="EZ67" s="264">
        <f>IF('Temperature Profiles'!AA165&gt;18,(0.0057*('Temperature Profiles'!AA165^2)-0.1509*'Temperature Profiles'!AA165+0.8935)*1000,IF('Temperature Profiles'!AA165&lt;17,(0.0072*('Temperature Profiles'!AA165^2)-0.254*'Temperature Profiles'!AA165+2.3952)*1000,0))</f>
        <v>650.73716666666678</v>
      </c>
    </row>
    <row r="68" spans="1:156" x14ac:dyDescent="0.3">
      <c r="A68" s="108">
        <v>0.64583333333333304</v>
      </c>
      <c r="B68" s="226">
        <f t="shared" si="0"/>
        <v>0</v>
      </c>
      <c r="C68" s="21">
        <f t="shared" si="1"/>
        <v>203.08333333333334</v>
      </c>
      <c r="D68" s="20">
        <f t="shared" si="2"/>
        <v>650.73716666666678</v>
      </c>
      <c r="E68" s="20">
        <f t="shared" si="3"/>
        <v>650.73716666666678</v>
      </c>
      <c r="G68" s="260">
        <v>0.65625</v>
      </c>
      <c r="H68" s="211">
        <f>IF('Temperature Profiles'!G67&gt;17,(0.0029*('Temperature Profiles'!G67^2) - 0.0863*'Temperature Profiles'!G67 + 0.6808)*1000,0)</f>
        <v>344.1740347222223</v>
      </c>
      <c r="I68" s="110">
        <v>0.65625</v>
      </c>
      <c r="J68" s="211">
        <f>IF('Temperature Profiles'!G67&gt;17,(0.005*('Temperature Profiles'!G67^2) - 0.1517*'Temperature Profiles'!G67 + 1.1702)*1000,0)</f>
        <v>516.72618055555517</v>
      </c>
      <c r="K68" s="110">
        <v>0.65625</v>
      </c>
      <c r="L68" s="211">
        <f>IF('Temperature Profiles'!G67&gt;17,(0.0068*('Temperature Profiles'!G67^2) - 0.2129*'Temperature Profiles'!G67 + 1.6904)*1000,0)</f>
        <v>636.04230555555534</v>
      </c>
      <c r="M68" s="21"/>
      <c r="N68" s="110">
        <v>0.65625</v>
      </c>
      <c r="O68" s="211">
        <f>IF('Temperature Profiles'!L67&gt;17,(0.0029*('Temperature Profiles'!L67^2) - 0.0863*'Temperature Profiles'!L67 + 0.6808)*1000,0)</f>
        <v>617.68270138888897</v>
      </c>
      <c r="P68" s="110">
        <v>0.65625</v>
      </c>
      <c r="Q68" s="211">
        <f>IF('Temperature Profiles'!L67&gt;17,(0.005*('Temperature Profiles'!L67^2) - 0.1517*'Temperature Profiles'!L67 + 1.1702)*1000,0)</f>
        <v>977.05284722222302</v>
      </c>
      <c r="R68" s="110">
        <v>0.65625</v>
      </c>
      <c r="S68" s="211">
        <f>IF('Temperature Profiles'!L67&gt;17,(0.0068*('Temperature Profiles'!L67^2) - 0.2129*'Temperature Profiles'!L67 + 1.6904)*1000,0)</f>
        <v>1236.6129722222224</v>
      </c>
      <c r="T68" s="21"/>
      <c r="U68" s="110">
        <v>0.65625</v>
      </c>
      <c r="V68" s="211">
        <f>IF('Temperature Profiles'!Q67&gt;17,(0.0029*('Temperature Profiles'!Q67^2) - 0.0863*'Temperature Profiles'!Q67 + 0.6808)*1000,0)</f>
        <v>1097.1524722222216</v>
      </c>
      <c r="W68" s="110">
        <v>0.65625</v>
      </c>
      <c r="X68" s="211">
        <f>IF('Temperature Profiles'!Q67&gt;17,(0.005*('Temperature Profiles'!Q67^2) - 0.1517*'Temperature Profiles'!Q67 + 1.1702)*1000,0)</f>
        <v>1789.2630555555554</v>
      </c>
      <c r="Y68" s="110">
        <v>0.65625</v>
      </c>
      <c r="Z68" s="211">
        <f>IF('Temperature Profiles'!Q67&gt;17,(0.0068*('Temperature Profiles'!Q67^2) - 0.2129*'Temperature Profiles'!Q67 + 1.6904)*1000,0)</f>
        <v>2308.4435555555547</v>
      </c>
      <c r="AA68" s="21"/>
      <c r="AB68" s="110">
        <v>0.65625</v>
      </c>
      <c r="AC68" s="211">
        <f>IF('Temperature Profiles'!V67&gt;17,(0.0029*('Temperature Profiles'!V67^2) - 0.0863*'Temperature Profiles'!V67 + 0.6808)*1000,0)</f>
        <v>75.732249999999837</v>
      </c>
      <c r="AD68" s="110">
        <v>0.65625</v>
      </c>
      <c r="AE68" s="211">
        <f>IF('Temperature Profiles'!V67&gt;17,(0.005*('Temperature Profiles'!V67^2) - 0.1517*'Temperature Profiles'!V67 + 1.1702)*1000,0)</f>
        <v>73.347499999999897</v>
      </c>
      <c r="AF68" s="110">
        <v>0.65625</v>
      </c>
      <c r="AG68" s="211">
        <f>IF('Temperature Profiles'!V67&gt;17,(0.0068*('Temperature Profiles'!V67^2) - 0.2129*'Temperature Profiles'!V67 + 1.6904)*1000,0)</f>
        <v>77.131999999999309</v>
      </c>
      <c r="AH68" s="21"/>
      <c r="AI68" s="110">
        <v>0.65625</v>
      </c>
      <c r="AJ68" s="211">
        <f>IF('Temperature Profiles'!AA67&gt;17,(0.0029*('Temperature Profiles'!AA67^2) - 0.0863*'Temperature Profiles'!AA67 + 0.6808)*1000,0)</f>
        <v>0</v>
      </c>
      <c r="AK68" s="110">
        <v>0.65625</v>
      </c>
      <c r="AL68" s="211">
        <f>IF('Temperature Profiles'!AA67&gt;17,(0.005*('Temperature Profiles'!AA67^2) - 0.1517*'Temperature Profiles'!AA67 + 1.1701)*1000,0)</f>
        <v>0</v>
      </c>
      <c r="AM68" s="110">
        <v>0.65625</v>
      </c>
      <c r="AN68" s="211">
        <f>IF('Temperature Profiles'!AA67&gt;17,(0.0068*('Temperature Profiles'!AA67^2) - 0.2129*'Temperature Profiles'!AA67 + 1.6904)*1000,0)</f>
        <v>0</v>
      </c>
      <c r="AO68" s="21"/>
      <c r="AP68" s="110">
        <v>0.65625</v>
      </c>
      <c r="AQ68" s="211">
        <f>IF('Temperature Profiles'!AF67&gt;17,(0.0029*('Temperature Profiles'!AF67^2) - 0.0863*'Temperature Profiles'!AF67 + 0.6808)*1000,0)</f>
        <v>1331.379368055555</v>
      </c>
      <c r="AR68" s="110">
        <v>0.65625</v>
      </c>
      <c r="AS68" s="183">
        <f>IF('Temperature Profiles'!AF67&gt;17,(0.005*('Temperature Profiles'!AF67^2) - 0.1517*'Temperature Profiles'!AF67 + 1.1702)*1000,0)</f>
        <v>2187.2645138888884</v>
      </c>
      <c r="AT68" s="110">
        <v>0.65625</v>
      </c>
      <c r="AU68" s="211">
        <f>IF('Temperature Profiles'!AF67&gt;17,(0.0068*('Temperature Profiles'!AF67^2) - 0.2129*'Temperature Profiles'!AF67 + 1.6904)*1000,0)</f>
        <v>2836.4946388888879</v>
      </c>
      <c r="AV68" s="21"/>
      <c r="AW68" s="110">
        <v>0.65625</v>
      </c>
      <c r="AX68" s="211"/>
      <c r="AY68" s="21"/>
      <c r="AZ68" s="110">
        <v>0.65625</v>
      </c>
      <c r="BA68" s="264"/>
      <c r="BC68" s="260">
        <v>0.65625</v>
      </c>
      <c r="BD68" s="211">
        <f>IF('Temperature Profiles'!G67&lt;16,(-0.0037*'Temperature Profiles'!G67+0.0664)*1000,0)</f>
        <v>0</v>
      </c>
      <c r="BE68" s="110">
        <v>0.65625</v>
      </c>
      <c r="BF68" s="211">
        <f>IF('Temperature Profiles'!G67&lt;16,(-0.0076*'Temperature Profiles'!G67+0.1245)*1000,0)</f>
        <v>0</v>
      </c>
      <c r="BG68" s="110">
        <v>0.65625</v>
      </c>
      <c r="BH68" s="211">
        <f>IF('Temperature Profiles'!G67&lt;16,(-0.01*'Temperature Profiles'!G67+0.167)*1000,0)</f>
        <v>0</v>
      </c>
      <c r="BI68" s="21"/>
      <c r="BJ68" s="110">
        <v>0.65625</v>
      </c>
      <c r="BK68" s="211">
        <f>IF('Temperature Profiles'!L67&lt;16,(-0.0037*'Temperature Profiles'!L67+0.0664)*1000,0)</f>
        <v>0</v>
      </c>
      <c r="BL68" s="110">
        <v>0.65625</v>
      </c>
      <c r="BM68" s="211">
        <f>IF('Temperature Profiles'!L67&lt;16,(-0.0076*'Temperature Profiles'!L67+0.1245)*1000,0)</f>
        <v>0</v>
      </c>
      <c r="BN68" s="110">
        <v>0.65625</v>
      </c>
      <c r="BO68" s="211">
        <f>IF('Temperature Profiles'!L67&lt;16,(-0.01*'Temperature Profiles'!L67+0.167)*1000,0)</f>
        <v>0</v>
      </c>
      <c r="BP68" s="21"/>
      <c r="BQ68" s="110">
        <v>0.65625</v>
      </c>
      <c r="BR68" s="211">
        <f>IF('Temperature Profiles'!Q67&lt;16,(-0.0037*'Temperature Profiles'!Q67+0.0664)*1000,0)</f>
        <v>0</v>
      </c>
      <c r="BS68" s="110">
        <v>0.65625</v>
      </c>
      <c r="BT68" s="211">
        <f>IF('Temperature Profiles'!Q67&lt;16,(-0.0076*'Temperature Profiles'!Q67+0.1245)*1000,0)</f>
        <v>0</v>
      </c>
      <c r="BU68" s="110">
        <v>0.65625</v>
      </c>
      <c r="BV68" s="211">
        <f>IF('Temperature Profiles'!Q67&lt;16,(-0.01*'Temperature Profiles'!Q67+0.167)*1000,0)</f>
        <v>0</v>
      </c>
      <c r="BW68" s="21"/>
      <c r="BX68" s="110">
        <v>0.65625</v>
      </c>
      <c r="BY68" s="211">
        <f>IF('Temperature Profiles'!V67&lt;16,(-0.0037*'Temperature Profiles'!V67+0.0664)*1000,0)</f>
        <v>0</v>
      </c>
      <c r="BZ68" s="110">
        <v>0.65625</v>
      </c>
      <c r="CA68" s="211">
        <f>IF('Temperature Profiles'!V67&lt;16,(-0.0076*'Temperature Profiles'!V67+0.1245)*1000,0)</f>
        <v>0</v>
      </c>
      <c r="CB68" s="110">
        <v>0.65625</v>
      </c>
      <c r="CC68" s="211">
        <f>IF('Temperature Profiles'!V67&lt;16,(-0.01*'Temperature Profiles'!V67+0.167)*1000,0)</f>
        <v>0</v>
      </c>
      <c r="CD68" s="21"/>
      <c r="CE68" s="110">
        <v>0.65625</v>
      </c>
      <c r="CF68" s="211">
        <f>IF('Temperature Profiles'!AA67&lt;16,(-0.0037*'Temperature Profiles'!AA67+0.0664)*1000,0)</f>
        <v>79.750833333333347</v>
      </c>
      <c r="CG68" s="110">
        <v>0.65625</v>
      </c>
      <c r="CH68" s="178">
        <f>IF('Temperature Profiles'!AA67&lt;16,(-0.0076*'Temperature Profiles'!AA67+0.1245)*1000,0)</f>
        <v>151.92333333333332</v>
      </c>
      <c r="CI68" s="110">
        <v>0.65625</v>
      </c>
      <c r="CJ68" s="211">
        <f>IF('Temperature Profiles'!AA67&lt;16,(-0.01*'Temperature Profiles'!AA67+0.167)*1000,0)</f>
        <v>203.08333333333334</v>
      </c>
      <c r="CK68" s="21"/>
      <c r="CL68" s="110">
        <v>0.65625</v>
      </c>
      <c r="CM68" s="211">
        <f>IF('Temperature Profiles'!AF67&lt;16,(-0.0037*'Temperature Profiles'!AF67+0.0664)*1000,0)</f>
        <v>0</v>
      </c>
      <c r="CN68" s="110">
        <v>0.65625</v>
      </c>
      <c r="CO68" s="178">
        <f>IF('Temperature Profiles'!AF67&lt;16,(-0.0076*'Temperature Profiles'!AF67+0.1245)*1000,0)</f>
        <v>0</v>
      </c>
      <c r="CP68" s="110">
        <v>0.65625</v>
      </c>
      <c r="CQ68" s="211">
        <f>IF('Temperature Profiles'!AF67&lt;16,(-0.01*'Temperature Profiles'!AF67+0.167)*1000,0)</f>
        <v>0</v>
      </c>
      <c r="CR68" s="21"/>
      <c r="CS68" s="110">
        <v>0.65625</v>
      </c>
      <c r="CT68" s="211"/>
      <c r="CU68" s="21"/>
      <c r="CV68" s="110">
        <v>0.65625</v>
      </c>
      <c r="CW68" s="264"/>
      <c r="CY68" s="260">
        <v>0.65625</v>
      </c>
      <c r="CZ68" s="178">
        <f>IF('Temperature Profiles'!G67&gt;18,(0.0024*('Temperature Profiles'!G67^2)-0.0581*'Temperature Profiles'!G67+0.3293)*1000,IF('Temperature Profiles'!G67&lt;17,(0.0022*('Temperature Profiles'!G67^2)-0.0874*'Temperature Profiles'!G67+0.9301)*1000,0))</f>
        <v>385.61733333333308</v>
      </c>
      <c r="DA68" s="110">
        <v>0.65625</v>
      </c>
      <c r="DB68" s="263">
        <f>IF('Temperature Profiles'!G67&gt;18,(0.0043*('Temperature Profiles'!G67^2)-0.1116*'Temperature Profiles'!G67+0.6576)*1000,IF('Temperature Profiles'!G67&lt;17,(0.0053*('Temperature Profiles'!G67^2)-0.1876*'Temperature Profiles'!G67+1.7649)*1000,0))</f>
        <v>569.83463194444403</v>
      </c>
      <c r="DC68" s="110">
        <v>0.65625</v>
      </c>
      <c r="DD68" s="211">
        <f>IF('Temperature Profiles'!G67&gt;18,(0.0057*('Temperature Profiles'!G67^2)-0.1509*'Temperature Profiles'!G67+0.8935)*1000,IF('Temperature Profiles'!G67&lt;17,(0.0072*('Temperature Profiles'!G67^2)-0.254*'Temperature Profiles'!G67+2.3952)*1000,0))</f>
        <v>702.61189583333294</v>
      </c>
      <c r="DE68" s="21"/>
      <c r="DF68" s="110">
        <v>0.65625</v>
      </c>
      <c r="DG68" s="209">
        <f>IF('Temperature Profiles'!L67&gt;18,(0.0024*('Temperature Profiles'!L67^2)-0.0581*'Temperature Profiles'!L67+0.3293)*1000,IF('Temperature Profiles'!L67&lt;17,(0.0022*('Temperature Profiles'!L67^2)-0.0874*'Temperature Profiles'!L67+0.9301)*1000,0))</f>
        <v>663.476</v>
      </c>
      <c r="DH68" s="110">
        <v>0.65625</v>
      </c>
      <c r="DI68" s="209">
        <f>IF('Temperature Profiles'!L67&gt;18,(0.0043*('Temperature Profiles'!L67^2)-0.1116*'Temperature Profiles'!L67+0.6576)*1000,IF('Temperature Profiles'!L67&lt;17,(0.0053*('Temperature Profiles'!L67^2)-0.1876*'Temperature Profiles'!L67+1.7649)*1000,0))</f>
        <v>1038.648631944445</v>
      </c>
      <c r="DJ68" s="110">
        <v>0.65625</v>
      </c>
      <c r="DK68" s="211">
        <f>IF('Temperature Profiles'!L67&gt;18,(0.0057*('Temperature Profiles'!L67^2)-0.1509*'Temperature Profiles'!L67+0.8935)*1000,IF('Temperature Profiles'!L67&lt;17,(0.0072*('Temperature Profiles'!L67^2)-0.254*'Temperature Profiles'!L67+2.3952)*1000,0))</f>
        <v>1312.5978958333344</v>
      </c>
      <c r="DL68" s="21"/>
      <c r="DM68" s="110">
        <v>0.65625</v>
      </c>
      <c r="DN68" s="209">
        <f>IF('Temperature Profiles'!Q67&gt;18,(0.0024*('Temperature Profiles'!Q67^2)-0.0581*'Temperature Profiles'!Q67+0.3293)*1000,IF('Temperature Profiles'!Q67&lt;17,(0.0022*('Temperature Profiles'!Q67^2)-0.0874*'Temperature Profiles'!Q67+0.9301)*1000,0))</f>
        <v>1126.549</v>
      </c>
      <c r="DO68" s="110">
        <v>0.65625</v>
      </c>
      <c r="DP68" s="209">
        <f>IF('Temperature Profiles'!Q67&gt;18,(0.0043*('Temperature Profiles'!Q67^2)-0.1116*'Temperature Profiles'!Q67+0.6576)*1000,IF('Temperature Profiles'!Q67&lt;17,(0.0053*('Temperature Profiles'!Q67^2)-0.1876*'Temperature Profiles'!Q67+1.7649)*1000,0))</f>
        <v>1830.9878611111108</v>
      </c>
      <c r="DQ68" s="110">
        <v>0.65625</v>
      </c>
      <c r="DR68" s="211">
        <f>IF('Temperature Profiles'!Q67&gt;18,(0.0057*('Temperature Profiles'!Q67^2)-0.1509*'Temperature Profiles'!Q67+0.8935)*1000,IF('Temperature Profiles'!Q67&lt;17,(0.0072*('Temperature Profiles'!Q67^2)-0.254*'Temperature Profiles'!Q67+2.3952)*1000,0))</f>
        <v>2348.1565833333334</v>
      </c>
      <c r="DS68" s="21"/>
      <c r="DT68" s="110">
        <v>0.65625</v>
      </c>
      <c r="DU68" s="209">
        <f>IF('Temperature Profiles'!V67&gt;18,(0.0024*('Temperature Profiles'!V67^2)-0.0581*'Temperature Profiles'!V67+0.3293)*1000,IF('Temperature Profiles'!V67&lt;17,(0.0022*('Temperature Profiles'!V67^2)-0.0874*'Temperature Profiles'!V67+0.9301)*1000,0))</f>
        <v>74.320999999999913</v>
      </c>
      <c r="DV68" s="110">
        <v>0.65625</v>
      </c>
      <c r="DW68" s="209">
        <f>IF('Temperature Profiles'!V67&gt;18,(0.0043*('Temperature Profiles'!V67^2)-0.1116*'Temperature Profiles'!V67+0.6576)*1000,IF('Temperature Profiles'!V67&lt;17,(0.0053*('Temperature Profiles'!V67^2)-0.1876*'Temperature Profiles'!V67+1.7649)*1000,0))</f>
        <v>62.31074999999997</v>
      </c>
      <c r="DX68" s="110">
        <v>0.65625</v>
      </c>
      <c r="DY68" s="211">
        <f>IF('Temperature Profiles'!V67&gt;18,(0.0057*('Temperature Profiles'!V67^2)-0.1509*'Temperature Profiles'!V67+0.8935)*1000,IF('Temperature Profiles'!V67&lt;17,(0.0072*('Temperature Profiles'!V67^2)-0.254*'Temperature Profiles'!V67+2.3952)*1000,0))</f>
        <v>49.689249999999909</v>
      </c>
      <c r="DZ68" s="21"/>
      <c r="EA68" s="110">
        <v>0.65625</v>
      </c>
      <c r="EB68" s="209">
        <f>IF('Temperature Profiles'!AA166&gt;18,(0.0024*('Temperature Profiles'!AA166^2)-0.0581*'Temperature Profiles'!AA166+0.3293)*1000,IF('Temperature Profiles'!AA166&lt;17,(0.0022*('Temperature Profiles'!AA166^2)-0.0874*'Temperature Profiles'!AA166+0.9301)*1000,0))</f>
        <v>305.62515277777788</v>
      </c>
      <c r="EC68" s="110">
        <v>0.65625</v>
      </c>
      <c r="ED68" s="209">
        <f>IF('Temperature Profiles'!AA166&gt;18,(0.0043*('Temperature Profiles'!AA166^2)-0.1116*'Temperature Profiles'!AA166+0.6576)*1000,IF('Temperature Profiles'!AA166&lt;17,(0.0053*('Temperature Profiles'!AA166^2)-0.1876*'Temperature Profiles'!AA166+1.7649)*1000,0))</f>
        <v>474.91703472222247</v>
      </c>
      <c r="EE68" s="110">
        <v>0.65625</v>
      </c>
      <c r="EF68" s="211">
        <f>IF('Temperature Profiles'!AA166&gt;18,(0.0057*('Temperature Profiles'!AA166^2)-0.1509*'Temperature Profiles'!AA166+0.8935)*1000,IF('Temperature Profiles'!AA166&lt;17,(0.0072*('Temperature Profiles'!AA166^2)-0.254*'Temperature Profiles'!AA166+2.3952)*1000,0))</f>
        <v>650.73716666666678</v>
      </c>
      <c r="EG68" s="21"/>
      <c r="EH68" s="110">
        <v>0.65625</v>
      </c>
      <c r="EI68" s="211">
        <f>IF('Temperature Profiles'!AF67&gt;18,(0.0024*('Temperature Profiles'!AF67^2)-0.0581*'Temperature Profiles'!AF67+0.3293)*1000,IF('Temperature Profiles'!AF67&lt;17,(0.0022*('Temperature Profiles'!AF67^2)-0.0874*'Temperature Profiles'!AF67+0.9301)*1000,0))</f>
        <v>1347.144333333333</v>
      </c>
      <c r="EJ68" s="110">
        <v>0.65625</v>
      </c>
      <c r="EK68" s="211">
        <f>IF('Temperature Profiles'!AF67&gt;18,(0.0043*('Temperature Profiles'!AF67^2)-0.1116*'Temperature Profiles'!AF67+0.6576)*1000,IF('Temperature Profiles'!AF67&lt;17,(0.0053*('Temperature Profiles'!AF67^2)-0.1876*'Temperature Profiles'!AF67+1.7649)*1000,0))</f>
        <v>2211.1502986111104</v>
      </c>
      <c r="EL68" s="110">
        <v>0.65625</v>
      </c>
      <c r="EM68" s="211">
        <f>IF('Temperature Profiles'!AF67&gt;18,(0.0057*('Temperature Profiles'!AF67^2)-0.1509*'Temperature Profiles'!AF67+0.8935)*1000,IF('Temperature Profiles'!AF67&lt;17,(0.0072*('Temperature Profiles'!AF67^2)-0.254*'Temperature Profiles'!AF67+2.3952)*1000,0))</f>
        <v>2846.137895833333</v>
      </c>
      <c r="EN68" s="21"/>
      <c r="EO68" s="110">
        <v>0.65625</v>
      </c>
      <c r="EP68" s="211"/>
      <c r="EQ68" s="21"/>
      <c r="ER68" s="110">
        <v>0.65625</v>
      </c>
      <c r="ES68" s="264"/>
      <c r="EU68" s="260">
        <v>0.65625</v>
      </c>
      <c r="EV68" s="209">
        <f>IF('Temperature Profiles'!AA166&gt;18,(0.0024*('Temperature Profiles'!AA166^2)-0.0581*'Temperature Profiles'!AA166+0.3293)*1000,IF('Temperature Profiles'!AA166&lt;17,(0.0022*('Temperature Profiles'!AA166^2)-0.0874*'Temperature Profiles'!AA166+0.9301)*1000,0))</f>
        <v>305.62515277777788</v>
      </c>
      <c r="EW68" s="110">
        <v>0.65625</v>
      </c>
      <c r="EX68" s="209">
        <f>IF('Temperature Profiles'!AA166&gt;18,(0.0043*('Temperature Profiles'!AA166^2)-0.1116*'Temperature Profiles'!AA166+0.6576)*1000,IF('Temperature Profiles'!AA166&lt;17,(0.0053*('Temperature Profiles'!AA166^2)-0.1876*'Temperature Profiles'!AA166+1.7649)*1000,0))</f>
        <v>474.91703472222247</v>
      </c>
      <c r="EY68" s="110">
        <v>0.65625</v>
      </c>
      <c r="EZ68" s="264">
        <f>IF('Temperature Profiles'!AA166&gt;18,(0.0057*('Temperature Profiles'!AA166^2)-0.1509*'Temperature Profiles'!AA166+0.8935)*1000,IF('Temperature Profiles'!AA166&lt;17,(0.0072*('Temperature Profiles'!AA166^2)-0.254*'Temperature Profiles'!AA166+2.3952)*1000,0))</f>
        <v>650.73716666666678</v>
      </c>
    </row>
    <row r="69" spans="1:156" x14ac:dyDescent="0.3">
      <c r="A69" s="108">
        <v>0.65625</v>
      </c>
      <c r="B69" s="226">
        <f t="shared" si="0"/>
        <v>0</v>
      </c>
      <c r="C69" s="21">
        <f t="shared" si="1"/>
        <v>203.08333333333334</v>
      </c>
      <c r="D69" s="20">
        <f t="shared" si="2"/>
        <v>650.73716666666678</v>
      </c>
      <c r="E69" s="20">
        <f t="shared" si="3"/>
        <v>650.73716666666678</v>
      </c>
      <c r="G69" s="260">
        <v>0.66666666666666696</v>
      </c>
      <c r="H69" s="211">
        <f>IF('Temperature Profiles'!G68&gt;17,(0.0029*('Temperature Profiles'!G68^2) - 0.0863*'Temperature Profiles'!G68 + 0.6808)*1000,0)</f>
        <v>361.27131250000014</v>
      </c>
      <c r="I69" s="110">
        <v>0.66666666666666696</v>
      </c>
      <c r="J69" s="211">
        <f>IF('Temperature Profiles'!G68&gt;17,(0.005*('Temperature Profiles'!G68^2) - 0.1517*'Temperature Profiles'!G68 + 1.1702)*1000,0)</f>
        <v>545.38062500000001</v>
      </c>
      <c r="K69" s="110">
        <v>0.66666666666666696</v>
      </c>
      <c r="L69" s="211">
        <f>IF('Temperature Profiles'!G68&gt;17,(0.0068*('Temperature Profiles'!G68^2) - 0.2129*'Temperature Profiles'!G68 + 1.6904)*1000,0)</f>
        <v>673.14575000000025</v>
      </c>
      <c r="M69" s="21"/>
      <c r="N69" s="110">
        <v>0.66666666666666696</v>
      </c>
      <c r="O69" s="211">
        <f>IF('Temperature Profiles'!L68&gt;17,(0.0029*('Temperature Profiles'!L68^2) - 0.0863*'Temperature Profiles'!L68 + 0.6808)*1000,0)</f>
        <v>568.2507013888885</v>
      </c>
      <c r="P69" s="110">
        <v>0.66666666666666696</v>
      </c>
      <c r="Q69" s="211">
        <f>IF('Temperature Profiles'!L68&gt;17,(0.005*('Temperature Profiles'!L68^2) - 0.1517*'Temperature Profiles'!L68 + 1.1702)*1000,0)</f>
        <v>893.61784722222251</v>
      </c>
      <c r="R69" s="110">
        <v>0.66666666666666696</v>
      </c>
      <c r="S69" s="211">
        <f>IF('Temperature Profiles'!L68&gt;17,(0.0068*('Temperature Profiles'!L68^2) - 0.2129*'Temperature Profiles'!L68 + 1.6904)*1000,0)</f>
        <v>1127.2039722222212</v>
      </c>
      <c r="T69" s="21"/>
      <c r="U69" s="110">
        <v>0.66666666666666696</v>
      </c>
      <c r="V69" s="211">
        <f>IF('Temperature Profiles'!Q68&gt;17,(0.0029*('Temperature Profiles'!Q68^2) - 0.0863*'Temperature Profiles'!Q68 + 0.6808)*1000,0)</f>
        <v>1143.8239999999998</v>
      </c>
      <c r="W69" s="110">
        <v>0.66666666666666696</v>
      </c>
      <c r="X69" s="211">
        <f>IF('Temperature Profiles'!Q68&gt;17,(0.005*('Temperature Profiles'!Q68^2) - 0.1517*'Temperature Profiles'!Q68 + 1.1702)*1000,0)</f>
        <v>1868.5200000000007</v>
      </c>
      <c r="Y69" s="110">
        <v>0.66666666666666696</v>
      </c>
      <c r="Z69" s="211">
        <f>IF('Temperature Profiles'!Q68&gt;17,(0.0068*('Temperature Profiles'!Q68^2) - 0.2129*'Temperature Profiles'!Q68 + 1.6904)*1000,0)</f>
        <v>2413.4880000000007</v>
      </c>
      <c r="AA69" s="21"/>
      <c r="AB69" s="110">
        <v>0.66666666666666696</v>
      </c>
      <c r="AC69" s="211">
        <f>IF('Temperature Profiles'!V68&gt;17,(0.0029*('Temperature Profiles'!V68^2) - 0.0863*'Temperature Profiles'!V68 + 0.6808)*1000,0)</f>
        <v>66.399888888888924</v>
      </c>
      <c r="AD69" s="110">
        <v>0.66666666666666696</v>
      </c>
      <c r="AE69" s="211">
        <f>IF('Temperature Profiles'!V68&gt;17,(0.005*('Temperature Profiles'!V68^2) - 0.1517*'Temperature Profiles'!V68 + 1.1702)*1000,0)</f>
        <v>58.662222222222397</v>
      </c>
      <c r="AF69" s="110">
        <v>0.66666666666666696</v>
      </c>
      <c r="AG69" s="211">
        <f>IF('Temperature Profiles'!V68&gt;17,(0.0068*('Temperature Profiles'!V68^2) - 0.2129*'Temperature Profiles'!V68 + 1.6904)*1000,0)</f>
        <v>60.344222222222129</v>
      </c>
      <c r="AH69" s="21"/>
      <c r="AI69" s="110">
        <v>0.66666666666666696</v>
      </c>
      <c r="AJ69" s="211">
        <f>IF('Temperature Profiles'!AA68&gt;17,(0.0029*('Temperature Profiles'!AA68^2) - 0.0863*'Temperature Profiles'!AA68 + 0.6808)*1000,0)</f>
        <v>0</v>
      </c>
      <c r="AK69" s="110">
        <v>0.66666666666666696</v>
      </c>
      <c r="AL69" s="211">
        <f>IF('Temperature Profiles'!AA68&gt;17,(0.005*('Temperature Profiles'!AA68^2) - 0.1517*'Temperature Profiles'!AA68 + 1.1701)*1000,0)</f>
        <v>0</v>
      </c>
      <c r="AM69" s="110">
        <v>0.66666666666666696</v>
      </c>
      <c r="AN69" s="211">
        <f>IF('Temperature Profiles'!AA68&gt;17,(0.0068*('Temperature Profiles'!AA68^2) - 0.2129*'Temperature Profiles'!AA68 + 1.6904)*1000,0)</f>
        <v>0</v>
      </c>
      <c r="AO69" s="21"/>
      <c r="AP69" s="110">
        <v>0.66666666666666696</v>
      </c>
      <c r="AQ69" s="211">
        <f>IF('Temperature Profiles'!AF68&gt;17,(0.0029*('Temperature Profiles'!AF68^2) - 0.0863*'Temperature Profiles'!AF68 + 0.6808)*1000,0)</f>
        <v>1393.3302013888883</v>
      </c>
      <c r="AR69" s="110">
        <v>0.66666666666666696</v>
      </c>
      <c r="AS69" s="183">
        <f>IF('Temperature Profiles'!AF68&gt;17,(0.005*('Temperature Profiles'!AF68^2) - 0.1517*'Temperature Profiles'!AF68 + 1.1702)*1000,0)</f>
        <v>2292.6228472222224</v>
      </c>
      <c r="AT69" s="110">
        <v>0.66666666666666696</v>
      </c>
      <c r="AU69" s="211">
        <f>IF('Temperature Profiles'!AF68&gt;17,(0.0068*('Temperature Profiles'!AF68^2) - 0.2129*'Temperature Profiles'!AF68 + 1.6904)*1000,0)</f>
        <v>2976.4879722222208</v>
      </c>
      <c r="AV69" s="21"/>
      <c r="AW69" s="110">
        <v>0.66666666666666696</v>
      </c>
      <c r="AX69" s="211"/>
      <c r="AY69" s="21"/>
      <c r="AZ69" s="110">
        <v>0.66666666666666696</v>
      </c>
      <c r="BA69" s="264"/>
      <c r="BC69" s="260">
        <v>0.66666666666666696</v>
      </c>
      <c r="BD69" s="211">
        <f>IF('Temperature Profiles'!G68&lt;16,(-0.0037*'Temperature Profiles'!G68+0.0664)*1000,0)</f>
        <v>0</v>
      </c>
      <c r="BE69" s="110">
        <v>0.66666666666666696</v>
      </c>
      <c r="BF69" s="211">
        <f>IF('Temperature Profiles'!G68&lt;16,(-0.0076*'Temperature Profiles'!G68+0.1245)*1000,0)</f>
        <v>0</v>
      </c>
      <c r="BG69" s="110">
        <v>0.66666666666666696</v>
      </c>
      <c r="BH69" s="211">
        <f>IF('Temperature Profiles'!G68&lt;16,(-0.01*'Temperature Profiles'!G68+0.167)*1000,0)</f>
        <v>0</v>
      </c>
      <c r="BI69" s="21"/>
      <c r="BJ69" s="110">
        <v>0.66666666666666696</v>
      </c>
      <c r="BK69" s="211">
        <f>IF('Temperature Profiles'!L68&lt;16,(-0.0037*'Temperature Profiles'!L68+0.0664)*1000,0)</f>
        <v>0</v>
      </c>
      <c r="BL69" s="110">
        <v>0.66666666666666696</v>
      </c>
      <c r="BM69" s="211">
        <f>IF('Temperature Profiles'!L68&lt;16,(-0.0076*'Temperature Profiles'!L68+0.1245)*1000,0)</f>
        <v>0</v>
      </c>
      <c r="BN69" s="110">
        <v>0.66666666666666696</v>
      </c>
      <c r="BO69" s="211">
        <f>IF('Temperature Profiles'!L68&lt;16,(-0.01*'Temperature Profiles'!L68+0.167)*1000,0)</f>
        <v>0</v>
      </c>
      <c r="BP69" s="21"/>
      <c r="BQ69" s="110">
        <v>0.66666666666666696</v>
      </c>
      <c r="BR69" s="211">
        <f>IF('Temperature Profiles'!Q68&lt;16,(-0.0037*'Temperature Profiles'!Q68+0.0664)*1000,0)</f>
        <v>0</v>
      </c>
      <c r="BS69" s="110">
        <v>0.66666666666666696</v>
      </c>
      <c r="BT69" s="211">
        <f>IF('Temperature Profiles'!Q68&lt;16,(-0.0076*'Temperature Profiles'!Q68+0.1245)*1000,0)</f>
        <v>0</v>
      </c>
      <c r="BU69" s="110">
        <v>0.66666666666666696</v>
      </c>
      <c r="BV69" s="211">
        <f>IF('Temperature Profiles'!Q68&lt;16,(-0.01*'Temperature Profiles'!Q68+0.167)*1000,0)</f>
        <v>0</v>
      </c>
      <c r="BW69" s="21"/>
      <c r="BX69" s="110">
        <v>0.66666666666666696</v>
      </c>
      <c r="BY69" s="211">
        <f>IF('Temperature Profiles'!V68&lt;16,(-0.0037*'Temperature Profiles'!V68+0.0664)*1000,0)</f>
        <v>0</v>
      </c>
      <c r="BZ69" s="110">
        <v>0.66666666666666696</v>
      </c>
      <c r="CA69" s="211">
        <f>IF('Temperature Profiles'!V68&lt;16,(-0.0076*'Temperature Profiles'!V68+0.1245)*1000,0)</f>
        <v>0</v>
      </c>
      <c r="CB69" s="110">
        <v>0.66666666666666696</v>
      </c>
      <c r="CC69" s="211">
        <f>IF('Temperature Profiles'!V68&lt;16,(-0.01*'Temperature Profiles'!V68+0.167)*1000,0)</f>
        <v>0</v>
      </c>
      <c r="CD69" s="21"/>
      <c r="CE69" s="110">
        <v>0.66666666666666696</v>
      </c>
      <c r="CF69" s="211">
        <f>IF('Temperature Profiles'!AA68&lt;16,(-0.0037*'Temperature Profiles'!AA68+0.0664)*1000,0)</f>
        <v>80.706666666666678</v>
      </c>
      <c r="CG69" s="110">
        <v>0.66666666666666696</v>
      </c>
      <c r="CH69" s="178">
        <f>IF('Temperature Profiles'!AA68&lt;16,(-0.0076*'Temperature Profiles'!AA68+0.1245)*1000,0)</f>
        <v>153.88666666666668</v>
      </c>
      <c r="CI69" s="110">
        <v>0.66666666666666696</v>
      </c>
      <c r="CJ69" s="211">
        <f>IF('Temperature Profiles'!AA68&lt;16,(-0.01*'Temperature Profiles'!AA68+0.167)*1000,0)</f>
        <v>205.66666666666669</v>
      </c>
      <c r="CK69" s="21"/>
      <c r="CL69" s="110">
        <v>0.66666666666666696</v>
      </c>
      <c r="CM69" s="211">
        <f>IF('Temperature Profiles'!AF68&lt;16,(-0.0037*'Temperature Profiles'!AF68+0.0664)*1000,0)</f>
        <v>0</v>
      </c>
      <c r="CN69" s="110">
        <v>0.66666666666666696</v>
      </c>
      <c r="CO69" s="178">
        <f>IF('Temperature Profiles'!AF68&lt;16,(-0.0076*'Temperature Profiles'!AF68+0.1245)*1000,0)</f>
        <v>0</v>
      </c>
      <c r="CP69" s="110">
        <v>0.66666666666666696</v>
      </c>
      <c r="CQ69" s="211">
        <f>IF('Temperature Profiles'!AF68&lt;16,(-0.01*'Temperature Profiles'!AF68+0.167)*1000,0)</f>
        <v>0</v>
      </c>
      <c r="CR69" s="21"/>
      <c r="CS69" s="110">
        <v>0.66666666666666696</v>
      </c>
      <c r="CT69" s="211"/>
      <c r="CU69" s="21"/>
      <c r="CV69" s="110">
        <v>0.66666666666666696</v>
      </c>
      <c r="CW69" s="264"/>
      <c r="CY69" s="260">
        <v>0.66666666666666696</v>
      </c>
      <c r="CZ69" s="178">
        <f>IF('Temperature Profiles'!G68&gt;18,(0.0024*('Temperature Profiles'!G68^2)-0.0581*'Temperature Profiles'!G68+0.3293)*1000,IF('Temperature Profiles'!G68&lt;17,(0.0022*('Temperature Profiles'!G68^2)-0.0874*'Temperature Profiles'!G68+0.9301)*1000,0))</f>
        <v>403.54100000000022</v>
      </c>
      <c r="DA69" s="110">
        <v>0.66666666666666696</v>
      </c>
      <c r="DB69" s="263">
        <f>IF('Temperature Profiles'!G68&gt;18,(0.0043*('Temperature Profiles'!G68^2)-0.1116*'Temperature Profiles'!G68+0.6576)*1000,IF('Temperature Profiles'!G68&lt;17,(0.0053*('Temperature Profiles'!G68^2)-0.1876*'Temperature Profiles'!G68+1.7649)*1000,0))</f>
        <v>599.82168749999994</v>
      </c>
      <c r="DC69" s="110">
        <v>0.66666666666666696</v>
      </c>
      <c r="DD69" s="211">
        <f>IF('Temperature Profiles'!G68&gt;18,(0.0057*('Temperature Profiles'!G68^2)-0.1509*'Temperature Profiles'!G68+0.8935)*1000,IF('Temperature Profiles'!G68&lt;17,(0.0072*('Temperature Profiles'!G68^2)-0.254*'Temperature Profiles'!G68+2.3952)*1000,0))</f>
        <v>741.52206250000006</v>
      </c>
      <c r="DE69" s="21"/>
      <c r="DF69" s="110">
        <v>0.66666666666666696</v>
      </c>
      <c r="DG69" s="209">
        <f>IF('Temperature Profiles'!L68&gt;18,(0.0024*('Temperature Profiles'!L68^2)-0.0581*'Temperature Profiles'!L68+0.3293)*1000,IF('Temperature Profiles'!L68&lt;17,(0.0022*('Temperature Profiles'!L68^2)-0.0874*'Temperature Profiles'!L68+0.9301)*1000,0))</f>
        <v>614.35233333333315</v>
      </c>
      <c r="DH69" s="110">
        <v>0.66666666666666696</v>
      </c>
      <c r="DI69" s="209">
        <f>IF('Temperature Profiles'!L68&gt;18,(0.0043*('Temperature Profiles'!L68^2)-0.1116*'Temperature Profiles'!L68+0.6576)*1000,IF('Temperature Profiles'!L68&lt;17,(0.0053*('Temperature Profiles'!L68^2)-0.1876*'Temperature Profiles'!L68+1.7649)*1000,0))</f>
        <v>955.26296527777799</v>
      </c>
      <c r="DJ69" s="110">
        <v>0.66666666666666696</v>
      </c>
      <c r="DK69" s="211">
        <f>IF('Temperature Profiles'!L68&gt;18,(0.0057*('Temperature Profiles'!L68^2)-0.1509*'Temperature Profiles'!L68+0.8935)*1000,IF('Temperature Profiles'!L68&lt;17,(0.0072*('Temperature Profiles'!L68^2)-0.254*'Temperature Profiles'!L68+2.3952)*1000,0))</f>
        <v>1203.8918958333338</v>
      </c>
      <c r="DL69" s="21"/>
      <c r="DM69" s="110">
        <v>0.66666666666666696</v>
      </c>
      <c r="DN69" s="209">
        <f>IF('Temperature Profiles'!Q68&gt;18,(0.0024*('Temperature Profiles'!Q68^2)-0.0581*'Temperature Profiles'!Q68+0.3293)*1000,IF('Temperature Profiles'!Q68&lt;17,(0.0022*('Temperature Profiles'!Q68^2)-0.0874*'Temperature Profiles'!Q68+0.9301)*1000,0))</f>
        <v>1170.7240000000006</v>
      </c>
      <c r="DO69" s="110">
        <v>0.66666666666666696</v>
      </c>
      <c r="DP69" s="209">
        <f>IF('Temperature Profiles'!Q68&gt;18,(0.0043*('Temperature Profiles'!Q68^2)-0.1116*'Temperature Profiles'!Q68+0.6576)*1000,IF('Temperature Profiles'!Q68&lt;17,(0.0053*('Temperature Profiles'!Q68^2)-0.1876*'Temperature Profiles'!Q68+1.7649)*1000,0))</f>
        <v>1907.0080000000007</v>
      </c>
      <c r="DQ69" s="110">
        <v>0.66666666666666696</v>
      </c>
      <c r="DR69" s="211">
        <f>IF('Temperature Profiles'!Q68&gt;18,(0.0057*('Temperature Profiles'!Q68^2)-0.1509*'Temperature Profiles'!Q68+0.8935)*1000,IF('Temperature Profiles'!Q68&lt;17,(0.0072*('Temperature Profiles'!Q68^2)-0.254*'Temperature Profiles'!Q68+2.3952)*1000,0))</f>
        <v>2447.6920000000014</v>
      </c>
      <c r="DS69" s="21"/>
      <c r="DT69" s="110">
        <v>0.66666666666666696</v>
      </c>
      <c r="DU69" s="209">
        <f>IF('Temperature Profiles'!V68&gt;18,(0.0024*('Temperature Profiles'!V68^2)-0.0581*'Temperature Profiles'!V68+0.3293)*1000,IF('Temperature Profiles'!V68&lt;17,(0.0022*('Temperature Profiles'!V68^2)-0.0874*'Temperature Profiles'!V68+0.9301)*1000,0))</f>
        <v>0</v>
      </c>
      <c r="DV69" s="110">
        <v>0.66666666666666696</v>
      </c>
      <c r="DW69" s="209">
        <f>IF('Temperature Profiles'!V68&gt;18,(0.0043*('Temperature Profiles'!V68^2)-0.1116*'Temperature Profiles'!V68+0.6576)*1000,IF('Temperature Profiles'!V68&lt;17,(0.0053*('Temperature Profiles'!V68^2)-0.1876*'Temperature Profiles'!V68+1.7649)*1000,0))</f>
        <v>0</v>
      </c>
      <c r="DX69" s="110">
        <v>0.66666666666666696</v>
      </c>
      <c r="DY69" s="211">
        <f>IF('Temperature Profiles'!V68&gt;18,(0.0057*('Temperature Profiles'!V68^2)-0.1509*'Temperature Profiles'!V68+0.8935)*1000,IF('Temperature Profiles'!V68&lt;17,(0.0072*('Temperature Profiles'!V68^2)-0.254*'Temperature Profiles'!V68+2.3952)*1000,0))</f>
        <v>0</v>
      </c>
      <c r="DZ69" s="21"/>
      <c r="EA69" s="110">
        <v>0.66666666666666696</v>
      </c>
      <c r="EB69" s="209">
        <f>IF('Temperature Profiles'!AA167&gt;18,(0.0024*('Temperature Profiles'!AA167^2)-0.0581*'Temperature Profiles'!AA167+0.3293)*1000,IF('Temperature Profiles'!AA167&lt;17,(0.0022*('Temperature Profiles'!AA167^2)-0.0874*'Temperature Profiles'!AA167+0.9301)*1000,0))</f>
        <v>341.17200000000014</v>
      </c>
      <c r="EC69" s="110">
        <v>0.66666666666666696</v>
      </c>
      <c r="ED69" s="209">
        <f>IF('Temperature Profiles'!AA167&gt;18,(0.0043*('Temperature Profiles'!AA167^2)-0.1116*'Temperature Profiles'!AA167+0.6576)*1000,IF('Temperature Profiles'!AA167&lt;17,(0.0053*('Temperature Profiles'!AA167^2)-0.1876*'Temperature Profiles'!AA167+1.7649)*1000,0))</f>
        <v>543.52800000000025</v>
      </c>
      <c r="EE69" s="110">
        <v>0.66666666666666696</v>
      </c>
      <c r="EF69" s="211">
        <f>IF('Temperature Profiles'!AA167&gt;18,(0.0057*('Temperature Profiles'!AA167^2)-0.1509*'Temperature Profiles'!AA167+0.8935)*1000,IF('Temperature Profiles'!AA167&lt;17,(0.0072*('Temperature Profiles'!AA167^2)-0.254*'Temperature Profiles'!AA167+2.3952)*1000,0))</f>
        <v>743.31200000000001</v>
      </c>
      <c r="EG69" s="21"/>
      <c r="EH69" s="110">
        <v>0.66666666666666696</v>
      </c>
      <c r="EI69" s="211">
        <f>IF('Temperature Profiles'!AF68&gt;18,(0.0024*('Temperature Profiles'!AF68^2)-0.0581*'Temperature Profiles'!AF68+0.3293)*1000,IF('Temperature Profiles'!AF68&lt;17,(0.0022*('Temperature Profiles'!AF68^2)-0.0874*'Temperature Profiles'!AF68+0.9301)*1000,0))</f>
        <v>1405.0743333333328</v>
      </c>
      <c r="EJ69" s="110">
        <v>0.66666666666666696</v>
      </c>
      <c r="EK69" s="211">
        <f>IF('Temperature Profiles'!AF68&gt;18,(0.0043*('Temperature Profiles'!AF68^2)-0.1116*'Temperature Profiles'!AF68+0.6576)*1000,IF('Temperature Profiles'!AF68&lt;17,(0.0053*('Temperature Profiles'!AF68^2)-0.1876*'Temperature Profiles'!AF68+1.7649)*1000,0))</f>
        <v>2311.1894652777783</v>
      </c>
      <c r="EL69" s="110">
        <v>0.66666666666666696</v>
      </c>
      <c r="EM69" s="211">
        <f>IF('Temperature Profiles'!AF68&gt;18,(0.0057*('Temperature Profiles'!AF68^2)-0.1509*'Temperature Profiles'!AF68+0.8935)*1000,IF('Temperature Profiles'!AF68&lt;17,(0.0072*('Temperature Profiles'!AF68^2)-0.254*'Temperature Profiles'!AF68+2.3952)*1000,0))</f>
        <v>2977.2653958333335</v>
      </c>
      <c r="EN69" s="21"/>
      <c r="EO69" s="110">
        <v>0.66666666666666696</v>
      </c>
      <c r="EP69" s="211"/>
      <c r="EQ69" s="21"/>
      <c r="ER69" s="110">
        <v>0.66666666666666696</v>
      </c>
      <c r="ES69" s="264"/>
      <c r="EU69" s="260">
        <v>0.66666666666666696</v>
      </c>
      <c r="EV69" s="209">
        <f>IF('Temperature Profiles'!AA167&gt;18,(0.0024*('Temperature Profiles'!AA167^2)-0.0581*'Temperature Profiles'!AA167+0.3293)*1000,IF('Temperature Profiles'!AA167&lt;17,(0.0022*('Temperature Profiles'!AA167^2)-0.0874*'Temperature Profiles'!AA167+0.9301)*1000,0))</f>
        <v>341.17200000000014</v>
      </c>
      <c r="EW69" s="110">
        <v>0.66666666666666696</v>
      </c>
      <c r="EX69" s="209">
        <f>IF('Temperature Profiles'!AA167&gt;18,(0.0043*('Temperature Profiles'!AA167^2)-0.1116*'Temperature Profiles'!AA167+0.6576)*1000,IF('Temperature Profiles'!AA167&lt;17,(0.0053*('Temperature Profiles'!AA167^2)-0.1876*'Temperature Profiles'!AA167+1.7649)*1000,0))</f>
        <v>543.52800000000025</v>
      </c>
      <c r="EY69" s="110">
        <v>0.66666666666666696</v>
      </c>
      <c r="EZ69" s="264">
        <f>IF('Temperature Profiles'!AA167&gt;18,(0.0057*('Temperature Profiles'!AA167^2)-0.1509*'Temperature Profiles'!AA167+0.8935)*1000,IF('Temperature Profiles'!AA167&lt;17,(0.0072*('Temperature Profiles'!AA167^2)-0.254*'Temperature Profiles'!AA167+2.3952)*1000,0))</f>
        <v>743.31200000000001</v>
      </c>
    </row>
    <row r="70" spans="1:156" x14ac:dyDescent="0.3">
      <c r="A70" s="108">
        <v>0.66666666666666696</v>
      </c>
      <c r="B70" s="226">
        <f t="shared" si="0"/>
        <v>0</v>
      </c>
      <c r="C70" s="21">
        <f t="shared" si="1"/>
        <v>205.66666666666669</v>
      </c>
      <c r="D70" s="20">
        <f t="shared" si="2"/>
        <v>743.31200000000001</v>
      </c>
      <c r="E70" s="20">
        <f t="shared" si="3"/>
        <v>743.31200000000001</v>
      </c>
      <c r="G70" s="260">
        <v>0.67708333333333304</v>
      </c>
      <c r="H70" s="211">
        <f>IF('Temperature Profiles'!G69&gt;17,(0.0029*('Temperature Profiles'!G69^2) - 0.0863*'Temperature Profiles'!G69 + 0.6808)*1000,0)</f>
        <v>361.27131250000014</v>
      </c>
      <c r="I70" s="110">
        <v>0.67708333333333304</v>
      </c>
      <c r="J70" s="211">
        <f>IF('Temperature Profiles'!G69&gt;17,(0.005*('Temperature Profiles'!G69^2) - 0.1517*'Temperature Profiles'!G69 + 1.1702)*1000,0)</f>
        <v>545.38062500000001</v>
      </c>
      <c r="K70" s="110">
        <v>0.67708333333333304</v>
      </c>
      <c r="L70" s="211">
        <f>IF('Temperature Profiles'!G69&gt;17,(0.0068*('Temperature Profiles'!G69^2) - 0.2129*'Temperature Profiles'!G69 + 1.6904)*1000,0)</f>
        <v>673.14575000000025</v>
      </c>
      <c r="M70" s="21"/>
      <c r="N70" s="110">
        <v>0.67708333333333304</v>
      </c>
      <c r="O70" s="211">
        <f>IF('Temperature Profiles'!L69&gt;17,(0.0029*('Temperature Profiles'!L69^2) - 0.0863*'Temperature Profiles'!L69 + 0.6808)*1000,0)</f>
        <v>568.2507013888885</v>
      </c>
      <c r="P70" s="110">
        <v>0.67708333333333304</v>
      </c>
      <c r="Q70" s="211">
        <f>IF('Temperature Profiles'!L69&gt;17,(0.005*('Temperature Profiles'!L69^2) - 0.1517*'Temperature Profiles'!L69 + 1.1702)*1000,0)</f>
        <v>893.61784722222251</v>
      </c>
      <c r="R70" s="110">
        <v>0.67708333333333304</v>
      </c>
      <c r="S70" s="211">
        <f>IF('Temperature Profiles'!L69&gt;17,(0.0068*('Temperature Profiles'!L69^2) - 0.2129*'Temperature Profiles'!L69 + 1.6904)*1000,0)</f>
        <v>1127.2039722222212</v>
      </c>
      <c r="T70" s="21"/>
      <c r="U70" s="110">
        <v>0.67708333333333304</v>
      </c>
      <c r="V70" s="211">
        <f>IF('Temperature Profiles'!Q69&gt;17,(0.0029*('Temperature Profiles'!Q69^2) - 0.0863*'Temperature Profiles'!Q69 + 0.6808)*1000,0)</f>
        <v>1143.8239999999998</v>
      </c>
      <c r="W70" s="110">
        <v>0.67708333333333304</v>
      </c>
      <c r="X70" s="211">
        <f>IF('Temperature Profiles'!Q69&gt;17,(0.005*('Temperature Profiles'!Q69^2) - 0.1517*'Temperature Profiles'!Q69 + 1.1702)*1000,0)</f>
        <v>1868.5200000000007</v>
      </c>
      <c r="Y70" s="110">
        <v>0.67708333333333304</v>
      </c>
      <c r="Z70" s="211">
        <f>IF('Temperature Profiles'!Q69&gt;17,(0.0068*('Temperature Profiles'!Q69^2) - 0.2129*'Temperature Profiles'!Q69 + 1.6904)*1000,0)</f>
        <v>2413.4880000000007</v>
      </c>
      <c r="AA70" s="21"/>
      <c r="AB70" s="110">
        <v>0.67708333333333304</v>
      </c>
      <c r="AC70" s="211">
        <f>IF('Temperature Profiles'!V69&gt;17,(0.0029*('Temperature Profiles'!V69^2) - 0.0863*'Temperature Profiles'!V69 + 0.6808)*1000,0)</f>
        <v>66.399888888888924</v>
      </c>
      <c r="AD70" s="110">
        <v>0.67708333333333304</v>
      </c>
      <c r="AE70" s="211">
        <f>IF('Temperature Profiles'!V69&gt;17,(0.005*('Temperature Profiles'!V69^2) - 0.1517*'Temperature Profiles'!V69 + 1.1702)*1000,0)</f>
        <v>58.662222222222397</v>
      </c>
      <c r="AF70" s="110">
        <v>0.67708333333333304</v>
      </c>
      <c r="AG70" s="211">
        <f>IF('Temperature Profiles'!V69&gt;17,(0.0068*('Temperature Profiles'!V69^2) - 0.2129*'Temperature Profiles'!V69 + 1.6904)*1000,0)</f>
        <v>60.344222222222129</v>
      </c>
      <c r="AH70" s="21"/>
      <c r="AI70" s="110">
        <v>0.67708333333333304</v>
      </c>
      <c r="AJ70" s="211">
        <f>IF('Temperature Profiles'!AA69&gt;17,(0.0029*('Temperature Profiles'!AA69^2) - 0.0863*'Temperature Profiles'!AA69 + 0.6808)*1000,0)</f>
        <v>0</v>
      </c>
      <c r="AK70" s="110">
        <v>0.67708333333333304</v>
      </c>
      <c r="AL70" s="211">
        <f>IF('Temperature Profiles'!AA69&gt;17,(0.005*('Temperature Profiles'!AA69^2) - 0.1517*'Temperature Profiles'!AA69 + 1.1701)*1000,0)</f>
        <v>0</v>
      </c>
      <c r="AM70" s="110">
        <v>0.67708333333333304</v>
      </c>
      <c r="AN70" s="211">
        <f>IF('Temperature Profiles'!AA69&gt;17,(0.0068*('Temperature Profiles'!AA69^2) - 0.2129*'Temperature Profiles'!AA69 + 1.6904)*1000,0)</f>
        <v>0</v>
      </c>
      <c r="AO70" s="21"/>
      <c r="AP70" s="110">
        <v>0.67708333333333304</v>
      </c>
      <c r="AQ70" s="211">
        <f>IF('Temperature Profiles'!AF69&gt;17,(0.0029*('Temperature Profiles'!AF69^2) - 0.0863*'Temperature Profiles'!AF69 + 0.6808)*1000,0)</f>
        <v>1393.3302013888883</v>
      </c>
      <c r="AR70" s="110">
        <v>0.67708333333333304</v>
      </c>
      <c r="AS70" s="183">
        <f>IF('Temperature Profiles'!AF69&gt;17,(0.005*('Temperature Profiles'!AF69^2) - 0.1517*'Temperature Profiles'!AF69 + 1.1702)*1000,0)</f>
        <v>2292.6228472222224</v>
      </c>
      <c r="AT70" s="110">
        <v>0.67708333333333304</v>
      </c>
      <c r="AU70" s="211">
        <f>IF('Temperature Profiles'!AF69&gt;17,(0.0068*('Temperature Profiles'!AF69^2) - 0.2129*'Temperature Profiles'!AF69 + 1.6904)*1000,0)</f>
        <v>2976.4879722222208</v>
      </c>
      <c r="AV70" s="21"/>
      <c r="AW70" s="110">
        <v>0.67708333333333304</v>
      </c>
      <c r="AX70" s="211"/>
      <c r="AY70" s="21"/>
      <c r="AZ70" s="110">
        <v>0.67708333333333304</v>
      </c>
      <c r="BA70" s="264"/>
      <c r="BC70" s="260">
        <v>0.67708333333333304</v>
      </c>
      <c r="BD70" s="211">
        <f>IF('Temperature Profiles'!G69&lt;16,(-0.0037*'Temperature Profiles'!G69+0.0664)*1000,0)</f>
        <v>0</v>
      </c>
      <c r="BE70" s="110">
        <v>0.67708333333333304</v>
      </c>
      <c r="BF70" s="211">
        <f>IF('Temperature Profiles'!G69&lt;16,(-0.0076*'Temperature Profiles'!G69+0.1245)*1000,0)</f>
        <v>0</v>
      </c>
      <c r="BG70" s="110">
        <v>0.67708333333333304</v>
      </c>
      <c r="BH70" s="211">
        <f>IF('Temperature Profiles'!G69&lt;16,(-0.01*'Temperature Profiles'!G69+0.167)*1000,0)</f>
        <v>0</v>
      </c>
      <c r="BI70" s="21"/>
      <c r="BJ70" s="110">
        <v>0.67708333333333304</v>
      </c>
      <c r="BK70" s="211">
        <f>IF('Temperature Profiles'!L69&lt;16,(-0.0037*'Temperature Profiles'!L69+0.0664)*1000,0)</f>
        <v>0</v>
      </c>
      <c r="BL70" s="110">
        <v>0.67708333333333304</v>
      </c>
      <c r="BM70" s="211">
        <f>IF('Temperature Profiles'!L69&lt;16,(-0.0076*'Temperature Profiles'!L69+0.1245)*1000,0)</f>
        <v>0</v>
      </c>
      <c r="BN70" s="110">
        <v>0.67708333333333304</v>
      </c>
      <c r="BO70" s="211">
        <f>IF('Temperature Profiles'!L69&lt;16,(-0.01*'Temperature Profiles'!L69+0.167)*1000,0)</f>
        <v>0</v>
      </c>
      <c r="BP70" s="21"/>
      <c r="BQ70" s="110">
        <v>0.67708333333333304</v>
      </c>
      <c r="BR70" s="211">
        <f>IF('Temperature Profiles'!Q69&lt;16,(-0.0037*'Temperature Profiles'!Q69+0.0664)*1000,0)</f>
        <v>0</v>
      </c>
      <c r="BS70" s="110">
        <v>0.67708333333333304</v>
      </c>
      <c r="BT70" s="211">
        <f>IF('Temperature Profiles'!Q69&lt;16,(-0.0076*'Temperature Profiles'!Q69+0.1245)*1000,0)</f>
        <v>0</v>
      </c>
      <c r="BU70" s="110">
        <v>0.67708333333333304</v>
      </c>
      <c r="BV70" s="211">
        <f>IF('Temperature Profiles'!Q69&lt;16,(-0.01*'Temperature Profiles'!Q69+0.167)*1000,0)</f>
        <v>0</v>
      </c>
      <c r="BW70" s="21"/>
      <c r="BX70" s="110">
        <v>0.67708333333333304</v>
      </c>
      <c r="BY70" s="211">
        <f>IF('Temperature Profiles'!V69&lt;16,(-0.0037*'Temperature Profiles'!V69+0.0664)*1000,0)</f>
        <v>0</v>
      </c>
      <c r="BZ70" s="110">
        <v>0.67708333333333304</v>
      </c>
      <c r="CA70" s="211">
        <f>IF('Temperature Profiles'!V69&lt;16,(-0.0076*'Temperature Profiles'!V69+0.1245)*1000,0)</f>
        <v>0</v>
      </c>
      <c r="CB70" s="110">
        <v>0.67708333333333304</v>
      </c>
      <c r="CC70" s="211">
        <f>IF('Temperature Profiles'!V69&lt;16,(-0.01*'Temperature Profiles'!V69+0.167)*1000,0)</f>
        <v>0</v>
      </c>
      <c r="CD70" s="21"/>
      <c r="CE70" s="110">
        <v>0.67708333333333304</v>
      </c>
      <c r="CF70" s="211">
        <f>IF('Temperature Profiles'!AA69&lt;16,(-0.0037*'Temperature Profiles'!AA69+0.0664)*1000,0)</f>
        <v>80.706666666666678</v>
      </c>
      <c r="CG70" s="110">
        <v>0.67708333333333304</v>
      </c>
      <c r="CH70" s="178">
        <f>IF('Temperature Profiles'!AA69&lt;16,(-0.0076*'Temperature Profiles'!AA69+0.1245)*1000,0)</f>
        <v>153.88666666666668</v>
      </c>
      <c r="CI70" s="110">
        <v>0.67708333333333304</v>
      </c>
      <c r="CJ70" s="211">
        <f>IF('Temperature Profiles'!AA69&lt;16,(-0.01*'Temperature Profiles'!AA69+0.167)*1000,0)</f>
        <v>205.66666666666669</v>
      </c>
      <c r="CK70" s="21"/>
      <c r="CL70" s="110">
        <v>0.67708333333333304</v>
      </c>
      <c r="CM70" s="211">
        <f>IF('Temperature Profiles'!AF69&lt;16,(-0.0037*'Temperature Profiles'!AF69+0.0664)*1000,0)</f>
        <v>0</v>
      </c>
      <c r="CN70" s="110">
        <v>0.67708333333333304</v>
      </c>
      <c r="CO70" s="178">
        <f>IF('Temperature Profiles'!AF69&lt;16,(-0.0076*'Temperature Profiles'!AF69+0.1245)*1000,0)</f>
        <v>0</v>
      </c>
      <c r="CP70" s="110">
        <v>0.67708333333333304</v>
      </c>
      <c r="CQ70" s="211">
        <f>IF('Temperature Profiles'!AF69&lt;16,(-0.01*'Temperature Profiles'!AF69+0.167)*1000,0)</f>
        <v>0</v>
      </c>
      <c r="CR70" s="21"/>
      <c r="CS70" s="110">
        <v>0.67708333333333304</v>
      </c>
      <c r="CT70" s="211"/>
      <c r="CU70" s="21"/>
      <c r="CV70" s="110">
        <v>0.67708333333333304</v>
      </c>
      <c r="CW70" s="264"/>
      <c r="CY70" s="260">
        <v>0.67708333333333304</v>
      </c>
      <c r="CZ70" s="178">
        <f>IF('Temperature Profiles'!G69&gt;18,(0.0024*('Temperature Profiles'!G69^2)-0.0581*'Temperature Profiles'!G69+0.3293)*1000,IF('Temperature Profiles'!G69&lt;17,(0.0022*('Temperature Profiles'!G69^2)-0.0874*'Temperature Profiles'!G69+0.9301)*1000,0))</f>
        <v>403.54100000000022</v>
      </c>
      <c r="DA70" s="110">
        <v>0.67708333333333304</v>
      </c>
      <c r="DB70" s="263">
        <f>IF('Temperature Profiles'!G69&gt;18,(0.0043*('Temperature Profiles'!G69^2)-0.1116*'Temperature Profiles'!G69+0.6576)*1000,IF('Temperature Profiles'!G69&lt;17,(0.0053*('Temperature Profiles'!G69^2)-0.1876*'Temperature Profiles'!G69+1.7649)*1000,0))</f>
        <v>599.82168749999994</v>
      </c>
      <c r="DC70" s="110">
        <v>0.67708333333333304</v>
      </c>
      <c r="DD70" s="211">
        <f>IF('Temperature Profiles'!G69&gt;18,(0.0057*('Temperature Profiles'!G69^2)-0.1509*'Temperature Profiles'!G69+0.8935)*1000,IF('Temperature Profiles'!G69&lt;17,(0.0072*('Temperature Profiles'!G69^2)-0.254*'Temperature Profiles'!G69+2.3952)*1000,0))</f>
        <v>741.52206250000006</v>
      </c>
      <c r="DE70" s="21"/>
      <c r="DF70" s="110">
        <v>0.67708333333333304</v>
      </c>
      <c r="DG70" s="209">
        <f>IF('Temperature Profiles'!L69&gt;18,(0.0024*('Temperature Profiles'!L69^2)-0.0581*'Temperature Profiles'!L69+0.3293)*1000,IF('Temperature Profiles'!L69&lt;17,(0.0022*('Temperature Profiles'!L69^2)-0.0874*'Temperature Profiles'!L69+0.9301)*1000,0))</f>
        <v>614.35233333333315</v>
      </c>
      <c r="DH70" s="110">
        <v>0.67708333333333304</v>
      </c>
      <c r="DI70" s="209">
        <f>IF('Temperature Profiles'!L69&gt;18,(0.0043*('Temperature Profiles'!L69^2)-0.1116*'Temperature Profiles'!L69+0.6576)*1000,IF('Temperature Profiles'!L69&lt;17,(0.0053*('Temperature Profiles'!L69^2)-0.1876*'Temperature Profiles'!L69+1.7649)*1000,0))</f>
        <v>955.26296527777799</v>
      </c>
      <c r="DJ70" s="110">
        <v>0.67708333333333304</v>
      </c>
      <c r="DK70" s="211">
        <f>IF('Temperature Profiles'!L69&gt;18,(0.0057*('Temperature Profiles'!L69^2)-0.1509*'Temperature Profiles'!L69+0.8935)*1000,IF('Temperature Profiles'!L69&lt;17,(0.0072*('Temperature Profiles'!L69^2)-0.254*'Temperature Profiles'!L69+2.3952)*1000,0))</f>
        <v>1203.8918958333338</v>
      </c>
      <c r="DL70" s="21"/>
      <c r="DM70" s="110">
        <v>0.67708333333333304</v>
      </c>
      <c r="DN70" s="209">
        <f>IF('Temperature Profiles'!Q69&gt;18,(0.0024*('Temperature Profiles'!Q69^2)-0.0581*'Temperature Profiles'!Q69+0.3293)*1000,IF('Temperature Profiles'!Q69&lt;17,(0.0022*('Temperature Profiles'!Q69^2)-0.0874*'Temperature Profiles'!Q69+0.9301)*1000,0))</f>
        <v>1170.7240000000006</v>
      </c>
      <c r="DO70" s="110">
        <v>0.67708333333333304</v>
      </c>
      <c r="DP70" s="209">
        <f>IF('Temperature Profiles'!Q69&gt;18,(0.0043*('Temperature Profiles'!Q69^2)-0.1116*'Temperature Profiles'!Q69+0.6576)*1000,IF('Temperature Profiles'!Q69&lt;17,(0.0053*('Temperature Profiles'!Q69^2)-0.1876*'Temperature Profiles'!Q69+1.7649)*1000,0))</f>
        <v>1907.0080000000007</v>
      </c>
      <c r="DQ70" s="110">
        <v>0.67708333333333304</v>
      </c>
      <c r="DR70" s="211">
        <f>IF('Temperature Profiles'!Q69&gt;18,(0.0057*('Temperature Profiles'!Q69^2)-0.1509*'Temperature Profiles'!Q69+0.8935)*1000,IF('Temperature Profiles'!Q69&lt;17,(0.0072*('Temperature Profiles'!Q69^2)-0.254*'Temperature Profiles'!Q69+2.3952)*1000,0))</f>
        <v>2447.6920000000014</v>
      </c>
      <c r="DS70" s="21"/>
      <c r="DT70" s="110">
        <v>0.67708333333333304</v>
      </c>
      <c r="DU70" s="209">
        <f>IF('Temperature Profiles'!V69&gt;18,(0.0024*('Temperature Profiles'!V69^2)-0.0581*'Temperature Profiles'!V69+0.3293)*1000,IF('Temperature Profiles'!V69&lt;17,(0.0022*('Temperature Profiles'!V69^2)-0.0874*'Temperature Profiles'!V69+0.9301)*1000,0))</f>
        <v>0</v>
      </c>
      <c r="DV70" s="110">
        <v>0.67708333333333304</v>
      </c>
      <c r="DW70" s="209">
        <f>IF('Temperature Profiles'!V69&gt;18,(0.0043*('Temperature Profiles'!V69^2)-0.1116*'Temperature Profiles'!V69+0.6576)*1000,IF('Temperature Profiles'!V69&lt;17,(0.0053*('Temperature Profiles'!V69^2)-0.1876*'Temperature Profiles'!V69+1.7649)*1000,0))</f>
        <v>0</v>
      </c>
      <c r="DX70" s="110">
        <v>0.67708333333333304</v>
      </c>
      <c r="DY70" s="211">
        <f>IF('Temperature Profiles'!V69&gt;18,(0.0057*('Temperature Profiles'!V69^2)-0.1509*'Temperature Profiles'!V69+0.8935)*1000,IF('Temperature Profiles'!V69&lt;17,(0.0072*('Temperature Profiles'!V69^2)-0.254*'Temperature Profiles'!V69+2.3952)*1000,0))</f>
        <v>0</v>
      </c>
      <c r="DZ70" s="21"/>
      <c r="EA70" s="110">
        <v>0.67708333333333304</v>
      </c>
      <c r="EB70" s="209">
        <f>IF('Temperature Profiles'!AA168&gt;18,(0.0024*('Temperature Profiles'!AA168^2)-0.0581*'Temperature Profiles'!AA168+0.3293)*1000,IF('Temperature Profiles'!AA168&lt;17,(0.0022*('Temperature Profiles'!AA168^2)-0.0874*'Temperature Profiles'!AA168+0.9301)*1000,0))</f>
        <v>341.17200000000014</v>
      </c>
      <c r="EC70" s="110">
        <v>0.67708333333333304</v>
      </c>
      <c r="ED70" s="209">
        <f>IF('Temperature Profiles'!AA168&gt;18,(0.0043*('Temperature Profiles'!AA168^2)-0.1116*'Temperature Profiles'!AA168+0.6576)*1000,IF('Temperature Profiles'!AA168&lt;17,(0.0053*('Temperature Profiles'!AA168^2)-0.1876*'Temperature Profiles'!AA168+1.7649)*1000,0))</f>
        <v>543.52800000000025</v>
      </c>
      <c r="EE70" s="110">
        <v>0.67708333333333304</v>
      </c>
      <c r="EF70" s="211">
        <f>IF('Temperature Profiles'!AA168&gt;18,(0.0057*('Temperature Profiles'!AA168^2)-0.1509*'Temperature Profiles'!AA168+0.8935)*1000,IF('Temperature Profiles'!AA168&lt;17,(0.0072*('Temperature Profiles'!AA168^2)-0.254*'Temperature Profiles'!AA168+2.3952)*1000,0))</f>
        <v>743.31200000000001</v>
      </c>
      <c r="EG70" s="21"/>
      <c r="EH70" s="110">
        <v>0.67708333333333304</v>
      </c>
      <c r="EI70" s="211">
        <f>IF('Temperature Profiles'!AF69&gt;18,(0.0024*('Temperature Profiles'!AF69^2)-0.0581*'Temperature Profiles'!AF69+0.3293)*1000,IF('Temperature Profiles'!AF69&lt;17,(0.0022*('Temperature Profiles'!AF69^2)-0.0874*'Temperature Profiles'!AF69+0.9301)*1000,0))</f>
        <v>1405.0743333333328</v>
      </c>
      <c r="EJ70" s="110">
        <v>0.67708333333333304</v>
      </c>
      <c r="EK70" s="211">
        <f>IF('Temperature Profiles'!AF69&gt;18,(0.0043*('Temperature Profiles'!AF69^2)-0.1116*'Temperature Profiles'!AF69+0.6576)*1000,IF('Temperature Profiles'!AF69&lt;17,(0.0053*('Temperature Profiles'!AF69^2)-0.1876*'Temperature Profiles'!AF69+1.7649)*1000,0))</f>
        <v>2311.1894652777783</v>
      </c>
      <c r="EL70" s="110">
        <v>0.67708333333333304</v>
      </c>
      <c r="EM70" s="211">
        <f>IF('Temperature Profiles'!AF69&gt;18,(0.0057*('Temperature Profiles'!AF69^2)-0.1509*'Temperature Profiles'!AF69+0.8935)*1000,IF('Temperature Profiles'!AF69&lt;17,(0.0072*('Temperature Profiles'!AF69^2)-0.254*'Temperature Profiles'!AF69+2.3952)*1000,0))</f>
        <v>2977.2653958333335</v>
      </c>
      <c r="EN70" s="21"/>
      <c r="EO70" s="110">
        <v>0.67708333333333304</v>
      </c>
      <c r="EP70" s="211"/>
      <c r="EQ70" s="21"/>
      <c r="ER70" s="110">
        <v>0.67708333333333304</v>
      </c>
      <c r="ES70" s="264"/>
      <c r="EU70" s="260">
        <v>0.67708333333333304</v>
      </c>
      <c r="EV70" s="209">
        <f>IF('Temperature Profiles'!AA168&gt;18,(0.0024*('Temperature Profiles'!AA168^2)-0.0581*'Temperature Profiles'!AA168+0.3293)*1000,IF('Temperature Profiles'!AA168&lt;17,(0.0022*('Temperature Profiles'!AA168^2)-0.0874*'Temperature Profiles'!AA168+0.9301)*1000,0))</f>
        <v>341.17200000000014</v>
      </c>
      <c r="EW70" s="110">
        <v>0.67708333333333304</v>
      </c>
      <c r="EX70" s="209">
        <f>IF('Temperature Profiles'!AA168&gt;18,(0.0043*('Temperature Profiles'!AA168^2)-0.1116*'Temperature Profiles'!AA168+0.6576)*1000,IF('Temperature Profiles'!AA168&lt;17,(0.0053*('Temperature Profiles'!AA168^2)-0.1876*'Temperature Profiles'!AA168+1.7649)*1000,0))</f>
        <v>543.52800000000025</v>
      </c>
      <c r="EY70" s="110">
        <v>0.67708333333333304</v>
      </c>
      <c r="EZ70" s="264">
        <f>IF('Temperature Profiles'!AA168&gt;18,(0.0057*('Temperature Profiles'!AA168^2)-0.1509*'Temperature Profiles'!AA168+0.8935)*1000,IF('Temperature Profiles'!AA168&lt;17,(0.0072*('Temperature Profiles'!AA168^2)-0.254*'Temperature Profiles'!AA168+2.3952)*1000,0))</f>
        <v>743.31200000000001</v>
      </c>
    </row>
    <row r="71" spans="1:156" x14ac:dyDescent="0.3">
      <c r="A71" s="108">
        <v>0.67708333333333304</v>
      </c>
      <c r="B71" s="226">
        <f t="shared" ref="B71:B101" si="4">IF(AND($B$3=$G$2,$D$3=$G$3),H70,IF(AND($B$3=$G$2,$D$3=$I$3),J70,IF(AND($B$3=$G$2,$D$3=$K$3),L70,IF(AND($B$3=$N$2,$D$3=$N$3),O70,IF(AND($B$3=$N$2,$D$3=$P$3),Q70,IF(AND($B$3=$N$2,$D$3=$R$3),S70,IF(AND($B$3=$U$2,$D$3=$U$3),V70,IF(AND($B$3=$U$2,$D$3=$W$3),X70,IF(AND($B$3=$U$2,$D$3=$Y$3),Z70,IF(AND($B$3=$AB$2,$D$3=$AB$3),AC70,IF(AND($B$3=$AB$2,$D$3=$AD$3),AE70,IF(AND($B$3=$AB$2,$D$3=$AF$3),AG70,IF(AND($B$3=$AI$2,$D$3=$AI$3),AJ70,IF(AND($B$3=$AI$2,$D$3=$AK$3),AL70,IF(AND($B$3=$AI$2,$D$3=$AM$3),AN70,IF(AND($B$3=$AP$2,$D$3=$AP$3),AQ70,IF(AND($B$3=$AP$2,$D$3=$AR$3),AS70,IF(AND($B$3=$AP$2,$D$3=$AT$3),AU70,IF($B$3=$AW$3,AX70,IF($B$3=$AZ$3,BA70,0))))))))))))))))))))</f>
        <v>0</v>
      </c>
      <c r="C71" s="21">
        <f t="shared" ref="C71:C101" si="5">IF(AND($B$3=$BC$2,$D$3=$BC$3),BD70,IF(AND($B$3=$BC$2,$D$3=$BE$3),BF70,IF(AND($B$3=$BC$2,$D$3=$BG$3),BH70,IF(AND($B$3=$BJ$2,$D$3=$BJ$3),BK70,IF(AND($B$3=$BJ$2,$D$3=$BL$3),BM70,IF(AND($B$3=$BJ$2,$D$3=$BN$3),BO70,IF(AND($B$3=$BQ$2,$D$3=$BQ$3),BR70,IF(AND($B$3=$BQ$2,$D$3=$BS$3),BT70,IF(AND($B$3=$BQ$2,$D$3=$BU$3),BV70,IF(AND($B$3=$BX$2,$D$3=$BX$3),BY70,IF(AND($B$3=$BX$2,$D$3=$BZ$3),CA70,IF(AND($B$3=$BX$2,$D$3=$CB$3),CC70,IF(AND($B$3=$CE$2,$D$3=$CE$3),CF70,IF(AND($B$3=$CE$2,$D$3=$CG$3),CH70,IF(AND($B$3=$CE$2,$D$3=$CI$3),CJ70,IF(AND($B$3=$CL$2,$D$3=$CL$3),CM70,IF(AND($B$3=$CL$2,$D$3=$CN$3),CO70,IF(AND($B$3=$CL$2,$D$3=$CP$3),CQ70,IF($B$3=$CS$3,CT70,IF($B$3=$CV$3,CW70,0))))))))))))))))))))</f>
        <v>205.66666666666669</v>
      </c>
      <c r="D71" s="20">
        <f t="shared" ref="D71:D101" si="6">IF(AND($B$3=$CY$2,$D$3=$CY$3),CZ70,IF(AND($B$3=$CY$2,$D$3=$DA$3),DB70,IF(AND($B$3=$CY$2,$D$3=$DC$3),DD70,IF(AND($B$3=$DF$2,$D$3=$DF$3),DG70,IF(AND($B$3=$DF$2,$D$3=$DH$3),DI70,IF(AND($B$3=$DF$2,$D$3=$DJ$3),DK70,IF(AND($B$3=$DM$2,$D$3=$DM$3),DN70,IF(AND($B$3=$DM$2,$D$3=$DO$3),DP70,IF(AND($B$3=$DM$2,$D$3=$DQ$3),DR70,IF(AND($B$3=$DT$2,$D$3=$DT$3),DU70,IF(AND($B$3=$DT$2,$D$3=$DV$3),DW70,IF(AND($B$3=$DT$2,$D$3=$DX$3),DY70,IF(AND($B$3=$EA$2,$D$3=$EA$3),EB70,IF(AND($B$3=$EA$2,$D$3=$EC$3),ED70,IF(AND($B$3=$EA$2,$D$3=$EE$3),EF70,IF(AND($B$3=$EH$2,$D$3=$EH$3),EI70,IF(AND($B$3=$EH$2,$D$3=$EJ$3),EK70,IF(AND($B$3=$EH$2,$D$3=$EL$3),EM70,IF($B$3=$EO$3,EP70,IF($B$3=$ER$3,ES70,0))))))))))))))))))))</f>
        <v>743.31200000000001</v>
      </c>
      <c r="E71" s="20">
        <f t="shared" ref="E71:E101" si="7">IF(AND($B$3=$EU$2,$D$3=$EU$3),EV70,IF(AND($B$3=$EU$2,$D$3=$EW$3),EX70,IF(AND($B$3=$EU$2,$D$3=$EY$3),EZ70,0)))</f>
        <v>743.31200000000001</v>
      </c>
      <c r="G71" s="260">
        <v>0.6875</v>
      </c>
      <c r="H71" s="211">
        <f>IF('Temperature Profiles'!G70&gt;17,(0.0029*('Temperature Profiles'!G70^2) - 0.0863*'Temperature Profiles'!G70 + 0.6808)*1000,0)</f>
        <v>361.27131250000014</v>
      </c>
      <c r="I71" s="110">
        <v>0.6875</v>
      </c>
      <c r="J71" s="211">
        <f>IF('Temperature Profiles'!G70&gt;17,(0.005*('Temperature Profiles'!G70^2) - 0.1517*'Temperature Profiles'!G70 + 1.1702)*1000,0)</f>
        <v>545.38062500000001</v>
      </c>
      <c r="K71" s="110">
        <v>0.6875</v>
      </c>
      <c r="L71" s="211">
        <f>IF('Temperature Profiles'!G70&gt;17,(0.0068*('Temperature Profiles'!G70^2) - 0.2129*'Temperature Profiles'!G70 + 1.6904)*1000,0)</f>
        <v>673.14575000000025</v>
      </c>
      <c r="M71" s="21"/>
      <c r="N71" s="110">
        <v>0.6875</v>
      </c>
      <c r="O71" s="211">
        <f>IF('Temperature Profiles'!L70&gt;17,(0.0029*('Temperature Profiles'!L70^2) - 0.0863*'Temperature Profiles'!L70 + 0.6808)*1000,0)</f>
        <v>568.2507013888885</v>
      </c>
      <c r="P71" s="110">
        <v>0.6875</v>
      </c>
      <c r="Q71" s="211">
        <f>IF('Temperature Profiles'!L70&gt;17,(0.005*('Temperature Profiles'!L70^2) - 0.1517*'Temperature Profiles'!L70 + 1.1702)*1000,0)</f>
        <v>893.61784722222251</v>
      </c>
      <c r="R71" s="110">
        <v>0.6875</v>
      </c>
      <c r="S71" s="211">
        <f>IF('Temperature Profiles'!L70&gt;17,(0.0068*('Temperature Profiles'!L70^2) - 0.2129*'Temperature Profiles'!L70 + 1.6904)*1000,0)</f>
        <v>1127.2039722222212</v>
      </c>
      <c r="T71" s="21"/>
      <c r="U71" s="110">
        <v>0.6875</v>
      </c>
      <c r="V71" s="211">
        <f>IF('Temperature Profiles'!Q70&gt;17,(0.0029*('Temperature Profiles'!Q70^2) - 0.0863*'Temperature Profiles'!Q70 + 0.6808)*1000,0)</f>
        <v>1143.8239999999998</v>
      </c>
      <c r="W71" s="110">
        <v>0.6875</v>
      </c>
      <c r="X71" s="211">
        <f>IF('Temperature Profiles'!Q70&gt;17,(0.005*('Temperature Profiles'!Q70^2) - 0.1517*'Temperature Profiles'!Q70 + 1.1702)*1000,0)</f>
        <v>1868.5200000000007</v>
      </c>
      <c r="Y71" s="110">
        <v>0.6875</v>
      </c>
      <c r="Z71" s="211">
        <f>IF('Temperature Profiles'!Q70&gt;17,(0.0068*('Temperature Profiles'!Q70^2) - 0.2129*'Temperature Profiles'!Q70 + 1.6904)*1000,0)</f>
        <v>2413.4880000000007</v>
      </c>
      <c r="AA71" s="21"/>
      <c r="AB71" s="110">
        <v>0.6875</v>
      </c>
      <c r="AC71" s="211">
        <f>IF('Temperature Profiles'!V70&gt;17,(0.0029*('Temperature Profiles'!V70^2) - 0.0863*'Temperature Profiles'!V70 + 0.6808)*1000,0)</f>
        <v>66.399888888888924</v>
      </c>
      <c r="AD71" s="110">
        <v>0.6875</v>
      </c>
      <c r="AE71" s="211">
        <f>IF('Temperature Profiles'!V70&gt;17,(0.005*('Temperature Profiles'!V70^2) - 0.1517*'Temperature Profiles'!V70 + 1.1702)*1000,0)</f>
        <v>58.662222222222397</v>
      </c>
      <c r="AF71" s="110">
        <v>0.6875</v>
      </c>
      <c r="AG71" s="211">
        <f>IF('Temperature Profiles'!V70&gt;17,(0.0068*('Temperature Profiles'!V70^2) - 0.2129*'Temperature Profiles'!V70 + 1.6904)*1000,0)</f>
        <v>60.344222222222129</v>
      </c>
      <c r="AH71" s="21"/>
      <c r="AI71" s="110">
        <v>0.6875</v>
      </c>
      <c r="AJ71" s="211">
        <f>IF('Temperature Profiles'!AA70&gt;17,(0.0029*('Temperature Profiles'!AA70^2) - 0.0863*'Temperature Profiles'!AA70 + 0.6808)*1000,0)</f>
        <v>0</v>
      </c>
      <c r="AK71" s="110">
        <v>0.6875</v>
      </c>
      <c r="AL71" s="211">
        <f>IF('Temperature Profiles'!AA70&gt;17,(0.005*('Temperature Profiles'!AA70^2) - 0.1517*'Temperature Profiles'!AA70 + 1.1701)*1000,0)</f>
        <v>0</v>
      </c>
      <c r="AM71" s="110">
        <v>0.6875</v>
      </c>
      <c r="AN71" s="211">
        <f>IF('Temperature Profiles'!AA70&gt;17,(0.0068*('Temperature Profiles'!AA70^2) - 0.2129*'Temperature Profiles'!AA70 + 1.6904)*1000,0)</f>
        <v>0</v>
      </c>
      <c r="AO71" s="21"/>
      <c r="AP71" s="110">
        <v>0.6875</v>
      </c>
      <c r="AQ71" s="211">
        <f>IF('Temperature Profiles'!AF70&gt;17,(0.0029*('Temperature Profiles'!AF70^2) - 0.0863*'Temperature Profiles'!AF70 + 0.6808)*1000,0)</f>
        <v>1393.3302013888883</v>
      </c>
      <c r="AR71" s="110">
        <v>0.6875</v>
      </c>
      <c r="AS71" s="183">
        <f>IF('Temperature Profiles'!AF70&gt;17,(0.005*('Temperature Profiles'!AF70^2) - 0.1517*'Temperature Profiles'!AF70 + 1.1702)*1000,0)</f>
        <v>2292.6228472222224</v>
      </c>
      <c r="AT71" s="110">
        <v>0.6875</v>
      </c>
      <c r="AU71" s="211">
        <f>IF('Temperature Profiles'!AF70&gt;17,(0.0068*('Temperature Profiles'!AF70^2) - 0.2129*'Temperature Profiles'!AF70 + 1.6904)*1000,0)</f>
        <v>2976.4879722222208</v>
      </c>
      <c r="AV71" s="21"/>
      <c r="AW71" s="110">
        <v>0.6875</v>
      </c>
      <c r="AX71" s="211"/>
      <c r="AY71" s="21"/>
      <c r="AZ71" s="110">
        <v>0.6875</v>
      </c>
      <c r="BA71" s="264"/>
      <c r="BC71" s="260">
        <v>0.6875</v>
      </c>
      <c r="BD71" s="211">
        <f>IF('Temperature Profiles'!G70&lt;16,(-0.0037*'Temperature Profiles'!G70+0.0664)*1000,0)</f>
        <v>0</v>
      </c>
      <c r="BE71" s="110">
        <v>0.6875</v>
      </c>
      <c r="BF71" s="211">
        <f>IF('Temperature Profiles'!G70&lt;16,(-0.0076*'Temperature Profiles'!G70+0.1245)*1000,0)</f>
        <v>0</v>
      </c>
      <c r="BG71" s="110">
        <v>0.6875</v>
      </c>
      <c r="BH71" s="211">
        <f>IF('Temperature Profiles'!G70&lt;16,(-0.01*'Temperature Profiles'!G70+0.167)*1000,0)</f>
        <v>0</v>
      </c>
      <c r="BI71" s="21"/>
      <c r="BJ71" s="110">
        <v>0.6875</v>
      </c>
      <c r="BK71" s="211">
        <f>IF('Temperature Profiles'!L70&lt;16,(-0.0037*'Temperature Profiles'!L70+0.0664)*1000,0)</f>
        <v>0</v>
      </c>
      <c r="BL71" s="110">
        <v>0.6875</v>
      </c>
      <c r="BM71" s="211">
        <f>IF('Temperature Profiles'!L70&lt;16,(-0.0076*'Temperature Profiles'!L70+0.1245)*1000,0)</f>
        <v>0</v>
      </c>
      <c r="BN71" s="110">
        <v>0.6875</v>
      </c>
      <c r="BO71" s="211">
        <f>IF('Temperature Profiles'!L70&lt;16,(-0.01*'Temperature Profiles'!L70+0.167)*1000,0)</f>
        <v>0</v>
      </c>
      <c r="BP71" s="21"/>
      <c r="BQ71" s="110">
        <v>0.6875</v>
      </c>
      <c r="BR71" s="211">
        <f>IF('Temperature Profiles'!Q70&lt;16,(-0.0037*'Temperature Profiles'!Q70+0.0664)*1000,0)</f>
        <v>0</v>
      </c>
      <c r="BS71" s="110">
        <v>0.6875</v>
      </c>
      <c r="BT71" s="211">
        <f>IF('Temperature Profiles'!Q70&lt;16,(-0.0076*'Temperature Profiles'!Q70+0.1245)*1000,0)</f>
        <v>0</v>
      </c>
      <c r="BU71" s="110">
        <v>0.6875</v>
      </c>
      <c r="BV71" s="211">
        <f>IF('Temperature Profiles'!Q70&lt;16,(-0.01*'Temperature Profiles'!Q70+0.167)*1000,0)</f>
        <v>0</v>
      </c>
      <c r="BW71" s="21"/>
      <c r="BX71" s="110">
        <v>0.6875</v>
      </c>
      <c r="BY71" s="211">
        <f>IF('Temperature Profiles'!V70&lt;16,(-0.0037*'Temperature Profiles'!V70+0.0664)*1000,0)</f>
        <v>0</v>
      </c>
      <c r="BZ71" s="110">
        <v>0.6875</v>
      </c>
      <c r="CA71" s="211">
        <f>IF('Temperature Profiles'!V70&lt;16,(-0.0076*'Temperature Profiles'!V70+0.1245)*1000,0)</f>
        <v>0</v>
      </c>
      <c r="CB71" s="110">
        <v>0.6875</v>
      </c>
      <c r="CC71" s="211">
        <f>IF('Temperature Profiles'!V70&lt;16,(-0.01*'Temperature Profiles'!V70+0.167)*1000,0)</f>
        <v>0</v>
      </c>
      <c r="CD71" s="21"/>
      <c r="CE71" s="110">
        <v>0.6875</v>
      </c>
      <c r="CF71" s="211">
        <f>IF('Temperature Profiles'!AA70&lt;16,(-0.0037*'Temperature Profiles'!AA70+0.0664)*1000,0)</f>
        <v>80.706666666666678</v>
      </c>
      <c r="CG71" s="110">
        <v>0.6875</v>
      </c>
      <c r="CH71" s="178">
        <f>IF('Temperature Profiles'!AA70&lt;16,(-0.0076*'Temperature Profiles'!AA70+0.1245)*1000,0)</f>
        <v>153.88666666666668</v>
      </c>
      <c r="CI71" s="110">
        <v>0.6875</v>
      </c>
      <c r="CJ71" s="211">
        <f>IF('Temperature Profiles'!AA70&lt;16,(-0.01*'Temperature Profiles'!AA70+0.167)*1000,0)</f>
        <v>205.66666666666669</v>
      </c>
      <c r="CK71" s="21"/>
      <c r="CL71" s="110">
        <v>0.6875</v>
      </c>
      <c r="CM71" s="211">
        <f>IF('Temperature Profiles'!AF70&lt;16,(-0.0037*'Temperature Profiles'!AF70+0.0664)*1000,0)</f>
        <v>0</v>
      </c>
      <c r="CN71" s="110">
        <v>0.6875</v>
      </c>
      <c r="CO71" s="178">
        <f>IF('Temperature Profiles'!AF70&lt;16,(-0.0076*'Temperature Profiles'!AF70+0.1245)*1000,0)</f>
        <v>0</v>
      </c>
      <c r="CP71" s="110">
        <v>0.6875</v>
      </c>
      <c r="CQ71" s="211">
        <f>IF('Temperature Profiles'!AF70&lt;16,(-0.01*'Temperature Profiles'!AF70+0.167)*1000,0)</f>
        <v>0</v>
      </c>
      <c r="CR71" s="21"/>
      <c r="CS71" s="110">
        <v>0.6875</v>
      </c>
      <c r="CT71" s="211"/>
      <c r="CU71" s="21"/>
      <c r="CV71" s="110">
        <v>0.6875</v>
      </c>
      <c r="CW71" s="264"/>
      <c r="CY71" s="260">
        <v>0.6875</v>
      </c>
      <c r="CZ71" s="178">
        <f>IF('Temperature Profiles'!G70&gt;18,(0.0024*('Temperature Profiles'!G70^2)-0.0581*'Temperature Profiles'!G70+0.3293)*1000,IF('Temperature Profiles'!G70&lt;17,(0.0022*('Temperature Profiles'!G70^2)-0.0874*'Temperature Profiles'!G70+0.9301)*1000,0))</f>
        <v>403.54100000000022</v>
      </c>
      <c r="DA71" s="110">
        <v>0.6875</v>
      </c>
      <c r="DB71" s="263">
        <f>IF('Temperature Profiles'!G70&gt;18,(0.0043*('Temperature Profiles'!G70^2)-0.1116*'Temperature Profiles'!G70+0.6576)*1000,IF('Temperature Profiles'!G70&lt;17,(0.0053*('Temperature Profiles'!G70^2)-0.1876*'Temperature Profiles'!G70+1.7649)*1000,0))</f>
        <v>599.82168749999994</v>
      </c>
      <c r="DC71" s="110">
        <v>0.6875</v>
      </c>
      <c r="DD71" s="211">
        <f>IF('Temperature Profiles'!G70&gt;18,(0.0057*('Temperature Profiles'!G70^2)-0.1509*'Temperature Profiles'!G70+0.8935)*1000,IF('Temperature Profiles'!G70&lt;17,(0.0072*('Temperature Profiles'!G70^2)-0.254*'Temperature Profiles'!G70+2.3952)*1000,0))</f>
        <v>741.52206250000006</v>
      </c>
      <c r="DE71" s="21"/>
      <c r="DF71" s="110">
        <v>0.6875</v>
      </c>
      <c r="DG71" s="209">
        <f>IF('Temperature Profiles'!L70&gt;18,(0.0024*('Temperature Profiles'!L70^2)-0.0581*'Temperature Profiles'!L70+0.3293)*1000,IF('Temperature Profiles'!L70&lt;17,(0.0022*('Temperature Profiles'!L70^2)-0.0874*'Temperature Profiles'!L70+0.9301)*1000,0))</f>
        <v>614.35233333333315</v>
      </c>
      <c r="DH71" s="110">
        <v>0.6875</v>
      </c>
      <c r="DI71" s="209">
        <f>IF('Temperature Profiles'!L70&gt;18,(0.0043*('Temperature Profiles'!L70^2)-0.1116*'Temperature Profiles'!L70+0.6576)*1000,IF('Temperature Profiles'!L70&lt;17,(0.0053*('Temperature Profiles'!L70^2)-0.1876*'Temperature Profiles'!L70+1.7649)*1000,0))</f>
        <v>955.26296527777799</v>
      </c>
      <c r="DJ71" s="110">
        <v>0.6875</v>
      </c>
      <c r="DK71" s="211">
        <f>IF('Temperature Profiles'!L70&gt;18,(0.0057*('Temperature Profiles'!L70^2)-0.1509*'Temperature Profiles'!L70+0.8935)*1000,IF('Temperature Profiles'!L70&lt;17,(0.0072*('Temperature Profiles'!L70^2)-0.254*'Temperature Profiles'!L70+2.3952)*1000,0))</f>
        <v>1203.8918958333338</v>
      </c>
      <c r="DL71" s="21"/>
      <c r="DM71" s="110">
        <v>0.6875</v>
      </c>
      <c r="DN71" s="209">
        <f>IF('Temperature Profiles'!Q70&gt;18,(0.0024*('Temperature Profiles'!Q70^2)-0.0581*'Temperature Profiles'!Q70+0.3293)*1000,IF('Temperature Profiles'!Q70&lt;17,(0.0022*('Temperature Profiles'!Q70^2)-0.0874*'Temperature Profiles'!Q70+0.9301)*1000,0))</f>
        <v>1170.7240000000006</v>
      </c>
      <c r="DO71" s="110">
        <v>0.6875</v>
      </c>
      <c r="DP71" s="209">
        <f>IF('Temperature Profiles'!Q70&gt;18,(0.0043*('Temperature Profiles'!Q70^2)-0.1116*'Temperature Profiles'!Q70+0.6576)*1000,IF('Temperature Profiles'!Q70&lt;17,(0.0053*('Temperature Profiles'!Q70^2)-0.1876*'Temperature Profiles'!Q70+1.7649)*1000,0))</f>
        <v>1907.0080000000007</v>
      </c>
      <c r="DQ71" s="110">
        <v>0.6875</v>
      </c>
      <c r="DR71" s="211">
        <f>IF('Temperature Profiles'!Q70&gt;18,(0.0057*('Temperature Profiles'!Q70^2)-0.1509*'Temperature Profiles'!Q70+0.8935)*1000,IF('Temperature Profiles'!Q70&lt;17,(0.0072*('Temperature Profiles'!Q70^2)-0.254*'Temperature Profiles'!Q70+2.3952)*1000,0))</f>
        <v>2447.6920000000014</v>
      </c>
      <c r="DS71" s="21"/>
      <c r="DT71" s="110">
        <v>0.6875</v>
      </c>
      <c r="DU71" s="209">
        <f>IF('Temperature Profiles'!V70&gt;18,(0.0024*('Temperature Profiles'!V70^2)-0.0581*'Temperature Profiles'!V70+0.3293)*1000,IF('Temperature Profiles'!V70&lt;17,(0.0022*('Temperature Profiles'!V70^2)-0.0874*'Temperature Profiles'!V70+0.9301)*1000,0))</f>
        <v>0</v>
      </c>
      <c r="DV71" s="110">
        <v>0.6875</v>
      </c>
      <c r="DW71" s="209">
        <f>IF('Temperature Profiles'!V70&gt;18,(0.0043*('Temperature Profiles'!V70^2)-0.1116*'Temperature Profiles'!V70+0.6576)*1000,IF('Temperature Profiles'!V70&lt;17,(0.0053*('Temperature Profiles'!V70^2)-0.1876*'Temperature Profiles'!V70+1.7649)*1000,0))</f>
        <v>0</v>
      </c>
      <c r="DX71" s="110">
        <v>0.6875</v>
      </c>
      <c r="DY71" s="211">
        <f>IF('Temperature Profiles'!V70&gt;18,(0.0057*('Temperature Profiles'!V70^2)-0.1509*'Temperature Profiles'!V70+0.8935)*1000,IF('Temperature Profiles'!V70&lt;17,(0.0072*('Temperature Profiles'!V70^2)-0.254*'Temperature Profiles'!V70+2.3952)*1000,0))</f>
        <v>0</v>
      </c>
      <c r="DZ71" s="21"/>
      <c r="EA71" s="110">
        <v>0.6875</v>
      </c>
      <c r="EB71" s="209">
        <f>IF('Temperature Profiles'!AA169&gt;18,(0.0024*('Temperature Profiles'!AA169^2)-0.0581*'Temperature Profiles'!AA169+0.3293)*1000,IF('Temperature Profiles'!AA169&lt;17,(0.0022*('Temperature Profiles'!AA169^2)-0.0874*'Temperature Profiles'!AA169+0.9301)*1000,0))</f>
        <v>341.17200000000014</v>
      </c>
      <c r="EC71" s="110">
        <v>0.6875</v>
      </c>
      <c r="ED71" s="209">
        <f>IF('Temperature Profiles'!AA169&gt;18,(0.0043*('Temperature Profiles'!AA169^2)-0.1116*'Temperature Profiles'!AA169+0.6576)*1000,IF('Temperature Profiles'!AA169&lt;17,(0.0053*('Temperature Profiles'!AA169^2)-0.1876*'Temperature Profiles'!AA169+1.7649)*1000,0))</f>
        <v>543.52800000000025</v>
      </c>
      <c r="EE71" s="110">
        <v>0.6875</v>
      </c>
      <c r="EF71" s="211">
        <f>IF('Temperature Profiles'!AA169&gt;18,(0.0057*('Temperature Profiles'!AA169^2)-0.1509*'Temperature Profiles'!AA169+0.8935)*1000,IF('Temperature Profiles'!AA169&lt;17,(0.0072*('Temperature Profiles'!AA169^2)-0.254*'Temperature Profiles'!AA169+2.3952)*1000,0))</f>
        <v>743.31200000000001</v>
      </c>
      <c r="EG71" s="21"/>
      <c r="EH71" s="110">
        <v>0.6875</v>
      </c>
      <c r="EI71" s="211">
        <f>IF('Temperature Profiles'!AF70&gt;18,(0.0024*('Temperature Profiles'!AF70^2)-0.0581*'Temperature Profiles'!AF70+0.3293)*1000,IF('Temperature Profiles'!AF70&lt;17,(0.0022*('Temperature Profiles'!AF70^2)-0.0874*'Temperature Profiles'!AF70+0.9301)*1000,0))</f>
        <v>1405.0743333333328</v>
      </c>
      <c r="EJ71" s="110">
        <v>0.6875</v>
      </c>
      <c r="EK71" s="211">
        <f>IF('Temperature Profiles'!AF70&gt;18,(0.0043*('Temperature Profiles'!AF70^2)-0.1116*'Temperature Profiles'!AF70+0.6576)*1000,IF('Temperature Profiles'!AF70&lt;17,(0.0053*('Temperature Profiles'!AF70^2)-0.1876*'Temperature Profiles'!AF70+1.7649)*1000,0))</f>
        <v>2311.1894652777783</v>
      </c>
      <c r="EL71" s="110">
        <v>0.6875</v>
      </c>
      <c r="EM71" s="211">
        <f>IF('Temperature Profiles'!AF70&gt;18,(0.0057*('Temperature Profiles'!AF70^2)-0.1509*'Temperature Profiles'!AF70+0.8935)*1000,IF('Temperature Profiles'!AF70&lt;17,(0.0072*('Temperature Profiles'!AF70^2)-0.254*'Temperature Profiles'!AF70+2.3952)*1000,0))</f>
        <v>2977.2653958333335</v>
      </c>
      <c r="EN71" s="21"/>
      <c r="EO71" s="110">
        <v>0.6875</v>
      </c>
      <c r="EP71" s="211"/>
      <c r="EQ71" s="21"/>
      <c r="ER71" s="110">
        <v>0.6875</v>
      </c>
      <c r="ES71" s="264"/>
      <c r="EU71" s="260">
        <v>0.6875</v>
      </c>
      <c r="EV71" s="209">
        <f>IF('Temperature Profiles'!AA169&gt;18,(0.0024*('Temperature Profiles'!AA169^2)-0.0581*'Temperature Profiles'!AA169+0.3293)*1000,IF('Temperature Profiles'!AA169&lt;17,(0.0022*('Temperature Profiles'!AA169^2)-0.0874*'Temperature Profiles'!AA169+0.9301)*1000,0))</f>
        <v>341.17200000000014</v>
      </c>
      <c r="EW71" s="110">
        <v>0.6875</v>
      </c>
      <c r="EX71" s="209">
        <f>IF('Temperature Profiles'!AA169&gt;18,(0.0043*('Temperature Profiles'!AA169^2)-0.1116*'Temperature Profiles'!AA169+0.6576)*1000,IF('Temperature Profiles'!AA169&lt;17,(0.0053*('Temperature Profiles'!AA169^2)-0.1876*'Temperature Profiles'!AA169+1.7649)*1000,0))</f>
        <v>543.52800000000025</v>
      </c>
      <c r="EY71" s="110">
        <v>0.6875</v>
      </c>
      <c r="EZ71" s="264">
        <f>IF('Temperature Profiles'!AA169&gt;18,(0.0057*('Temperature Profiles'!AA169^2)-0.1509*'Temperature Profiles'!AA169+0.8935)*1000,IF('Temperature Profiles'!AA169&lt;17,(0.0072*('Temperature Profiles'!AA169^2)-0.254*'Temperature Profiles'!AA169+2.3952)*1000,0))</f>
        <v>743.31200000000001</v>
      </c>
    </row>
    <row r="72" spans="1:156" x14ac:dyDescent="0.3">
      <c r="A72" s="108">
        <v>0.6875</v>
      </c>
      <c r="B72" s="226">
        <f t="shared" si="4"/>
        <v>0</v>
      </c>
      <c r="C72" s="21">
        <f t="shared" si="5"/>
        <v>205.66666666666669</v>
      </c>
      <c r="D72" s="20">
        <f t="shared" si="6"/>
        <v>743.31200000000001</v>
      </c>
      <c r="E72" s="20">
        <f t="shared" si="7"/>
        <v>743.31200000000001</v>
      </c>
      <c r="G72" s="260">
        <v>0.69791666666666696</v>
      </c>
      <c r="H72" s="211">
        <f>IF('Temperature Profiles'!G71&gt;17,(0.0029*('Temperature Profiles'!G71^2) - 0.0863*'Temperature Profiles'!G71 + 0.6808)*1000,0)</f>
        <v>361.27131250000014</v>
      </c>
      <c r="I72" s="110">
        <v>0.69791666666666696</v>
      </c>
      <c r="J72" s="211">
        <f>IF('Temperature Profiles'!G71&gt;17,(0.005*('Temperature Profiles'!G71^2) - 0.1517*'Temperature Profiles'!G71 + 1.1702)*1000,0)</f>
        <v>545.38062500000001</v>
      </c>
      <c r="K72" s="110">
        <v>0.69791666666666696</v>
      </c>
      <c r="L72" s="211">
        <f>IF('Temperature Profiles'!G71&gt;17,(0.0068*('Temperature Profiles'!G71^2) - 0.2129*'Temperature Profiles'!G71 + 1.6904)*1000,0)</f>
        <v>673.14575000000025</v>
      </c>
      <c r="M72" s="21"/>
      <c r="N72" s="110">
        <v>0.69791666666666696</v>
      </c>
      <c r="O72" s="211">
        <f>IF('Temperature Profiles'!L71&gt;17,(0.0029*('Temperature Profiles'!L71^2) - 0.0863*'Temperature Profiles'!L71 + 0.6808)*1000,0)</f>
        <v>568.2507013888885</v>
      </c>
      <c r="P72" s="110">
        <v>0.69791666666666696</v>
      </c>
      <c r="Q72" s="211">
        <f>IF('Temperature Profiles'!L71&gt;17,(0.005*('Temperature Profiles'!L71^2) - 0.1517*'Temperature Profiles'!L71 + 1.1702)*1000,0)</f>
        <v>893.61784722222251</v>
      </c>
      <c r="R72" s="110">
        <v>0.69791666666666696</v>
      </c>
      <c r="S72" s="211">
        <f>IF('Temperature Profiles'!L71&gt;17,(0.0068*('Temperature Profiles'!L71^2) - 0.2129*'Temperature Profiles'!L71 + 1.6904)*1000,0)</f>
        <v>1127.2039722222212</v>
      </c>
      <c r="T72" s="21"/>
      <c r="U72" s="110">
        <v>0.69791666666666696</v>
      </c>
      <c r="V72" s="211">
        <f>IF('Temperature Profiles'!Q71&gt;17,(0.0029*('Temperature Profiles'!Q71^2) - 0.0863*'Temperature Profiles'!Q71 + 0.6808)*1000,0)</f>
        <v>1143.8239999999998</v>
      </c>
      <c r="W72" s="110">
        <v>0.69791666666666696</v>
      </c>
      <c r="X72" s="211">
        <f>IF('Temperature Profiles'!Q71&gt;17,(0.005*('Temperature Profiles'!Q71^2) - 0.1517*'Temperature Profiles'!Q71 + 1.1702)*1000,0)</f>
        <v>1868.5200000000007</v>
      </c>
      <c r="Y72" s="110">
        <v>0.69791666666666696</v>
      </c>
      <c r="Z72" s="211">
        <f>IF('Temperature Profiles'!Q71&gt;17,(0.0068*('Temperature Profiles'!Q71^2) - 0.2129*'Temperature Profiles'!Q71 + 1.6904)*1000,0)</f>
        <v>2413.4880000000007</v>
      </c>
      <c r="AA72" s="21"/>
      <c r="AB72" s="110">
        <v>0.69791666666666696</v>
      </c>
      <c r="AC72" s="211">
        <f>IF('Temperature Profiles'!V71&gt;17,(0.0029*('Temperature Profiles'!V71^2) - 0.0863*'Temperature Profiles'!V71 + 0.6808)*1000,0)</f>
        <v>66.399888888888924</v>
      </c>
      <c r="AD72" s="110">
        <v>0.69791666666666696</v>
      </c>
      <c r="AE72" s="211">
        <f>IF('Temperature Profiles'!V71&gt;17,(0.005*('Temperature Profiles'!V71^2) - 0.1517*'Temperature Profiles'!V71 + 1.1702)*1000,0)</f>
        <v>58.662222222222397</v>
      </c>
      <c r="AF72" s="110">
        <v>0.69791666666666696</v>
      </c>
      <c r="AG72" s="211">
        <f>IF('Temperature Profiles'!V71&gt;17,(0.0068*('Temperature Profiles'!V71^2) - 0.2129*'Temperature Profiles'!V71 + 1.6904)*1000,0)</f>
        <v>60.344222222222129</v>
      </c>
      <c r="AH72" s="21"/>
      <c r="AI72" s="110">
        <v>0.69791666666666696</v>
      </c>
      <c r="AJ72" s="211">
        <f>IF('Temperature Profiles'!AA71&gt;17,(0.0029*('Temperature Profiles'!AA71^2) - 0.0863*'Temperature Profiles'!AA71 + 0.6808)*1000,0)</f>
        <v>0</v>
      </c>
      <c r="AK72" s="110">
        <v>0.69791666666666696</v>
      </c>
      <c r="AL72" s="211">
        <f>IF('Temperature Profiles'!AA71&gt;17,(0.005*('Temperature Profiles'!AA71^2) - 0.1517*'Temperature Profiles'!AA71 + 1.1701)*1000,0)</f>
        <v>0</v>
      </c>
      <c r="AM72" s="110">
        <v>0.69791666666666696</v>
      </c>
      <c r="AN72" s="211">
        <f>IF('Temperature Profiles'!AA71&gt;17,(0.0068*('Temperature Profiles'!AA71^2) - 0.2129*'Temperature Profiles'!AA71 + 1.6904)*1000,0)</f>
        <v>0</v>
      </c>
      <c r="AO72" s="21"/>
      <c r="AP72" s="110">
        <v>0.69791666666666696</v>
      </c>
      <c r="AQ72" s="211">
        <f>IF('Temperature Profiles'!AF71&gt;17,(0.0029*('Temperature Profiles'!AF71^2) - 0.0863*'Temperature Profiles'!AF71 + 0.6808)*1000,0)</f>
        <v>1393.3302013888883</v>
      </c>
      <c r="AR72" s="110">
        <v>0.69791666666666696</v>
      </c>
      <c r="AS72" s="183">
        <f>IF('Temperature Profiles'!AF71&gt;17,(0.005*('Temperature Profiles'!AF71^2) - 0.1517*'Temperature Profiles'!AF71 + 1.1702)*1000,0)</f>
        <v>2292.6228472222224</v>
      </c>
      <c r="AT72" s="110">
        <v>0.69791666666666696</v>
      </c>
      <c r="AU72" s="211">
        <f>IF('Temperature Profiles'!AF71&gt;17,(0.0068*('Temperature Profiles'!AF71^2) - 0.2129*'Temperature Profiles'!AF71 + 1.6904)*1000,0)</f>
        <v>2976.4879722222208</v>
      </c>
      <c r="AV72" s="21"/>
      <c r="AW72" s="110">
        <v>0.69791666666666696</v>
      </c>
      <c r="AX72" s="211"/>
      <c r="AY72" s="21"/>
      <c r="AZ72" s="110">
        <v>0.69791666666666696</v>
      </c>
      <c r="BA72" s="264"/>
      <c r="BC72" s="260">
        <v>0.69791666666666696</v>
      </c>
      <c r="BD72" s="211">
        <f>IF('Temperature Profiles'!G71&lt;16,(-0.0037*'Temperature Profiles'!G71+0.0664)*1000,0)</f>
        <v>0</v>
      </c>
      <c r="BE72" s="110">
        <v>0.69791666666666696</v>
      </c>
      <c r="BF72" s="211">
        <f>IF('Temperature Profiles'!G71&lt;16,(-0.0076*'Temperature Profiles'!G71+0.1245)*1000,0)</f>
        <v>0</v>
      </c>
      <c r="BG72" s="110">
        <v>0.69791666666666696</v>
      </c>
      <c r="BH72" s="211">
        <f>IF('Temperature Profiles'!G71&lt;16,(-0.01*'Temperature Profiles'!G71+0.167)*1000,0)</f>
        <v>0</v>
      </c>
      <c r="BI72" s="21"/>
      <c r="BJ72" s="110">
        <v>0.69791666666666696</v>
      </c>
      <c r="BK72" s="211">
        <f>IF('Temperature Profiles'!L71&lt;16,(-0.0037*'Temperature Profiles'!L71+0.0664)*1000,0)</f>
        <v>0</v>
      </c>
      <c r="BL72" s="110">
        <v>0.69791666666666696</v>
      </c>
      <c r="BM72" s="211">
        <f>IF('Temperature Profiles'!L71&lt;16,(-0.0076*'Temperature Profiles'!L71+0.1245)*1000,0)</f>
        <v>0</v>
      </c>
      <c r="BN72" s="110">
        <v>0.69791666666666696</v>
      </c>
      <c r="BO72" s="211">
        <f>IF('Temperature Profiles'!L71&lt;16,(-0.01*'Temperature Profiles'!L71+0.167)*1000,0)</f>
        <v>0</v>
      </c>
      <c r="BP72" s="21"/>
      <c r="BQ72" s="110">
        <v>0.69791666666666696</v>
      </c>
      <c r="BR72" s="211">
        <f>IF('Temperature Profiles'!Q71&lt;16,(-0.0037*'Temperature Profiles'!Q71+0.0664)*1000,0)</f>
        <v>0</v>
      </c>
      <c r="BS72" s="110">
        <v>0.69791666666666696</v>
      </c>
      <c r="BT72" s="211">
        <f>IF('Temperature Profiles'!Q71&lt;16,(-0.0076*'Temperature Profiles'!Q71+0.1245)*1000,0)</f>
        <v>0</v>
      </c>
      <c r="BU72" s="110">
        <v>0.69791666666666696</v>
      </c>
      <c r="BV72" s="211">
        <f>IF('Temperature Profiles'!Q71&lt;16,(-0.01*'Temperature Profiles'!Q71+0.167)*1000,0)</f>
        <v>0</v>
      </c>
      <c r="BW72" s="21"/>
      <c r="BX72" s="110">
        <v>0.69791666666666696</v>
      </c>
      <c r="BY72" s="211">
        <f>IF('Temperature Profiles'!V71&lt;16,(-0.0037*'Temperature Profiles'!V71+0.0664)*1000,0)</f>
        <v>0</v>
      </c>
      <c r="BZ72" s="110">
        <v>0.69791666666666696</v>
      </c>
      <c r="CA72" s="211">
        <f>IF('Temperature Profiles'!V71&lt;16,(-0.0076*'Temperature Profiles'!V71+0.1245)*1000,0)</f>
        <v>0</v>
      </c>
      <c r="CB72" s="110">
        <v>0.69791666666666696</v>
      </c>
      <c r="CC72" s="211">
        <f>IF('Temperature Profiles'!V71&lt;16,(-0.01*'Temperature Profiles'!V71+0.167)*1000,0)</f>
        <v>0</v>
      </c>
      <c r="CD72" s="21"/>
      <c r="CE72" s="110">
        <v>0.69791666666666696</v>
      </c>
      <c r="CF72" s="211">
        <f>IF('Temperature Profiles'!AA71&lt;16,(-0.0037*'Temperature Profiles'!AA71+0.0664)*1000,0)</f>
        <v>80.706666666666678</v>
      </c>
      <c r="CG72" s="110">
        <v>0.69791666666666696</v>
      </c>
      <c r="CH72" s="178">
        <f>IF('Temperature Profiles'!AA71&lt;16,(-0.0076*'Temperature Profiles'!AA71+0.1245)*1000,0)</f>
        <v>153.88666666666668</v>
      </c>
      <c r="CI72" s="110">
        <v>0.69791666666666696</v>
      </c>
      <c r="CJ72" s="211">
        <f>IF('Temperature Profiles'!AA71&lt;16,(-0.01*'Temperature Profiles'!AA71+0.167)*1000,0)</f>
        <v>205.66666666666669</v>
      </c>
      <c r="CK72" s="21"/>
      <c r="CL72" s="110">
        <v>0.69791666666666696</v>
      </c>
      <c r="CM72" s="211">
        <f>IF('Temperature Profiles'!AF71&lt;16,(-0.0037*'Temperature Profiles'!AF71+0.0664)*1000,0)</f>
        <v>0</v>
      </c>
      <c r="CN72" s="110">
        <v>0.69791666666666696</v>
      </c>
      <c r="CO72" s="178">
        <f>IF('Temperature Profiles'!AF71&lt;16,(-0.0076*'Temperature Profiles'!AF71+0.1245)*1000,0)</f>
        <v>0</v>
      </c>
      <c r="CP72" s="110">
        <v>0.69791666666666696</v>
      </c>
      <c r="CQ72" s="211">
        <f>IF('Temperature Profiles'!AF71&lt;16,(-0.01*'Temperature Profiles'!AF71+0.167)*1000,0)</f>
        <v>0</v>
      </c>
      <c r="CR72" s="21"/>
      <c r="CS72" s="110">
        <v>0.69791666666666696</v>
      </c>
      <c r="CT72" s="211"/>
      <c r="CU72" s="21"/>
      <c r="CV72" s="110">
        <v>0.69791666666666696</v>
      </c>
      <c r="CW72" s="264"/>
      <c r="CY72" s="260">
        <v>0.69791666666666696</v>
      </c>
      <c r="CZ72" s="178">
        <f>IF('Temperature Profiles'!G71&gt;18,(0.0024*('Temperature Profiles'!G71^2)-0.0581*'Temperature Profiles'!G71+0.3293)*1000,IF('Temperature Profiles'!G71&lt;17,(0.0022*('Temperature Profiles'!G71^2)-0.0874*'Temperature Profiles'!G71+0.9301)*1000,0))</f>
        <v>403.54100000000022</v>
      </c>
      <c r="DA72" s="110">
        <v>0.69791666666666696</v>
      </c>
      <c r="DB72" s="263">
        <f>IF('Temperature Profiles'!G71&gt;18,(0.0043*('Temperature Profiles'!G71^2)-0.1116*'Temperature Profiles'!G71+0.6576)*1000,IF('Temperature Profiles'!G71&lt;17,(0.0053*('Temperature Profiles'!G71^2)-0.1876*'Temperature Profiles'!G71+1.7649)*1000,0))</f>
        <v>599.82168749999994</v>
      </c>
      <c r="DC72" s="110">
        <v>0.69791666666666696</v>
      </c>
      <c r="DD72" s="211">
        <f>IF('Temperature Profiles'!G71&gt;18,(0.0057*('Temperature Profiles'!G71^2)-0.1509*'Temperature Profiles'!G71+0.8935)*1000,IF('Temperature Profiles'!G71&lt;17,(0.0072*('Temperature Profiles'!G71^2)-0.254*'Temperature Profiles'!G71+2.3952)*1000,0))</f>
        <v>741.52206250000006</v>
      </c>
      <c r="DE72" s="21"/>
      <c r="DF72" s="110">
        <v>0.69791666666666696</v>
      </c>
      <c r="DG72" s="209">
        <f>IF('Temperature Profiles'!L71&gt;18,(0.0024*('Temperature Profiles'!L71^2)-0.0581*'Temperature Profiles'!L71+0.3293)*1000,IF('Temperature Profiles'!L71&lt;17,(0.0022*('Temperature Profiles'!L71^2)-0.0874*'Temperature Profiles'!L71+0.9301)*1000,0))</f>
        <v>614.35233333333315</v>
      </c>
      <c r="DH72" s="110">
        <v>0.69791666666666696</v>
      </c>
      <c r="DI72" s="209">
        <f>IF('Temperature Profiles'!L71&gt;18,(0.0043*('Temperature Profiles'!L71^2)-0.1116*'Temperature Profiles'!L71+0.6576)*1000,IF('Temperature Profiles'!L71&lt;17,(0.0053*('Temperature Profiles'!L71^2)-0.1876*'Temperature Profiles'!L71+1.7649)*1000,0))</f>
        <v>955.26296527777799</v>
      </c>
      <c r="DJ72" s="110">
        <v>0.69791666666666696</v>
      </c>
      <c r="DK72" s="211">
        <f>IF('Temperature Profiles'!L71&gt;18,(0.0057*('Temperature Profiles'!L71^2)-0.1509*'Temperature Profiles'!L71+0.8935)*1000,IF('Temperature Profiles'!L71&lt;17,(0.0072*('Temperature Profiles'!L71^2)-0.254*'Temperature Profiles'!L71+2.3952)*1000,0))</f>
        <v>1203.8918958333338</v>
      </c>
      <c r="DL72" s="21"/>
      <c r="DM72" s="110">
        <v>0.69791666666666696</v>
      </c>
      <c r="DN72" s="209">
        <f>IF('Temperature Profiles'!Q71&gt;18,(0.0024*('Temperature Profiles'!Q71^2)-0.0581*'Temperature Profiles'!Q71+0.3293)*1000,IF('Temperature Profiles'!Q71&lt;17,(0.0022*('Temperature Profiles'!Q71^2)-0.0874*'Temperature Profiles'!Q71+0.9301)*1000,0))</f>
        <v>1170.7240000000006</v>
      </c>
      <c r="DO72" s="110">
        <v>0.69791666666666696</v>
      </c>
      <c r="DP72" s="209">
        <f>IF('Temperature Profiles'!Q71&gt;18,(0.0043*('Temperature Profiles'!Q71^2)-0.1116*'Temperature Profiles'!Q71+0.6576)*1000,IF('Temperature Profiles'!Q71&lt;17,(0.0053*('Temperature Profiles'!Q71^2)-0.1876*'Temperature Profiles'!Q71+1.7649)*1000,0))</f>
        <v>1907.0080000000007</v>
      </c>
      <c r="DQ72" s="110">
        <v>0.69791666666666696</v>
      </c>
      <c r="DR72" s="211">
        <f>IF('Temperature Profiles'!Q71&gt;18,(0.0057*('Temperature Profiles'!Q71^2)-0.1509*'Temperature Profiles'!Q71+0.8935)*1000,IF('Temperature Profiles'!Q71&lt;17,(0.0072*('Temperature Profiles'!Q71^2)-0.254*'Temperature Profiles'!Q71+2.3952)*1000,0))</f>
        <v>2447.6920000000014</v>
      </c>
      <c r="DS72" s="21"/>
      <c r="DT72" s="110">
        <v>0.69791666666666696</v>
      </c>
      <c r="DU72" s="209">
        <f>IF('Temperature Profiles'!V71&gt;18,(0.0024*('Temperature Profiles'!V71^2)-0.0581*'Temperature Profiles'!V71+0.3293)*1000,IF('Temperature Profiles'!V71&lt;17,(0.0022*('Temperature Profiles'!V71^2)-0.0874*'Temperature Profiles'!V71+0.9301)*1000,0))</f>
        <v>0</v>
      </c>
      <c r="DV72" s="110">
        <v>0.69791666666666696</v>
      </c>
      <c r="DW72" s="209">
        <f>IF('Temperature Profiles'!V71&gt;18,(0.0043*('Temperature Profiles'!V71^2)-0.1116*'Temperature Profiles'!V71+0.6576)*1000,IF('Temperature Profiles'!V71&lt;17,(0.0053*('Temperature Profiles'!V71^2)-0.1876*'Temperature Profiles'!V71+1.7649)*1000,0))</f>
        <v>0</v>
      </c>
      <c r="DX72" s="110">
        <v>0.69791666666666696</v>
      </c>
      <c r="DY72" s="211">
        <f>IF('Temperature Profiles'!V71&gt;18,(0.0057*('Temperature Profiles'!V71^2)-0.1509*'Temperature Profiles'!V71+0.8935)*1000,IF('Temperature Profiles'!V71&lt;17,(0.0072*('Temperature Profiles'!V71^2)-0.254*'Temperature Profiles'!V71+2.3952)*1000,0))</f>
        <v>0</v>
      </c>
      <c r="DZ72" s="21"/>
      <c r="EA72" s="110">
        <v>0.69791666666666696</v>
      </c>
      <c r="EB72" s="209">
        <f>IF('Temperature Profiles'!AA170&gt;18,(0.0024*('Temperature Profiles'!AA170^2)-0.0581*'Temperature Profiles'!AA170+0.3293)*1000,IF('Temperature Profiles'!AA170&lt;17,(0.0022*('Temperature Profiles'!AA170^2)-0.0874*'Temperature Profiles'!AA170+0.9301)*1000,0))</f>
        <v>341.17200000000014</v>
      </c>
      <c r="EC72" s="110">
        <v>0.69791666666666696</v>
      </c>
      <c r="ED72" s="209">
        <f>IF('Temperature Profiles'!AA170&gt;18,(0.0043*('Temperature Profiles'!AA170^2)-0.1116*'Temperature Profiles'!AA170+0.6576)*1000,IF('Temperature Profiles'!AA170&lt;17,(0.0053*('Temperature Profiles'!AA170^2)-0.1876*'Temperature Profiles'!AA170+1.7649)*1000,0))</f>
        <v>543.52800000000025</v>
      </c>
      <c r="EE72" s="110">
        <v>0.69791666666666696</v>
      </c>
      <c r="EF72" s="211">
        <f>IF('Temperature Profiles'!AA170&gt;18,(0.0057*('Temperature Profiles'!AA170^2)-0.1509*'Temperature Profiles'!AA170+0.8935)*1000,IF('Temperature Profiles'!AA170&lt;17,(0.0072*('Temperature Profiles'!AA170^2)-0.254*'Temperature Profiles'!AA170+2.3952)*1000,0))</f>
        <v>743.31200000000001</v>
      </c>
      <c r="EG72" s="21"/>
      <c r="EH72" s="110">
        <v>0.69791666666666696</v>
      </c>
      <c r="EI72" s="211">
        <f>IF('Temperature Profiles'!AF71&gt;18,(0.0024*('Temperature Profiles'!AF71^2)-0.0581*'Temperature Profiles'!AF71+0.3293)*1000,IF('Temperature Profiles'!AF71&lt;17,(0.0022*('Temperature Profiles'!AF71^2)-0.0874*'Temperature Profiles'!AF71+0.9301)*1000,0))</f>
        <v>1405.0743333333328</v>
      </c>
      <c r="EJ72" s="110">
        <v>0.69791666666666696</v>
      </c>
      <c r="EK72" s="211">
        <f>IF('Temperature Profiles'!AF71&gt;18,(0.0043*('Temperature Profiles'!AF71^2)-0.1116*'Temperature Profiles'!AF71+0.6576)*1000,IF('Temperature Profiles'!AF71&lt;17,(0.0053*('Temperature Profiles'!AF71^2)-0.1876*'Temperature Profiles'!AF71+1.7649)*1000,0))</f>
        <v>2311.1894652777783</v>
      </c>
      <c r="EL72" s="110">
        <v>0.69791666666666696</v>
      </c>
      <c r="EM72" s="211">
        <f>IF('Temperature Profiles'!AF71&gt;18,(0.0057*('Temperature Profiles'!AF71^2)-0.1509*'Temperature Profiles'!AF71+0.8935)*1000,IF('Temperature Profiles'!AF71&lt;17,(0.0072*('Temperature Profiles'!AF71^2)-0.254*'Temperature Profiles'!AF71+2.3952)*1000,0))</f>
        <v>2977.2653958333335</v>
      </c>
      <c r="EN72" s="21"/>
      <c r="EO72" s="110">
        <v>0.69791666666666696</v>
      </c>
      <c r="EP72" s="211"/>
      <c r="EQ72" s="21"/>
      <c r="ER72" s="110">
        <v>0.69791666666666696</v>
      </c>
      <c r="ES72" s="264"/>
      <c r="EU72" s="260">
        <v>0.69791666666666696</v>
      </c>
      <c r="EV72" s="209">
        <f>IF('Temperature Profiles'!AA170&gt;18,(0.0024*('Temperature Profiles'!AA170^2)-0.0581*'Temperature Profiles'!AA170+0.3293)*1000,IF('Temperature Profiles'!AA170&lt;17,(0.0022*('Temperature Profiles'!AA170^2)-0.0874*'Temperature Profiles'!AA170+0.9301)*1000,0))</f>
        <v>341.17200000000014</v>
      </c>
      <c r="EW72" s="110">
        <v>0.69791666666666696</v>
      </c>
      <c r="EX72" s="209">
        <f>IF('Temperature Profiles'!AA170&gt;18,(0.0043*('Temperature Profiles'!AA170^2)-0.1116*'Temperature Profiles'!AA170+0.6576)*1000,IF('Temperature Profiles'!AA170&lt;17,(0.0053*('Temperature Profiles'!AA170^2)-0.1876*'Temperature Profiles'!AA170+1.7649)*1000,0))</f>
        <v>543.52800000000025</v>
      </c>
      <c r="EY72" s="110">
        <v>0.69791666666666696</v>
      </c>
      <c r="EZ72" s="264">
        <f>IF('Temperature Profiles'!AA170&gt;18,(0.0057*('Temperature Profiles'!AA170^2)-0.1509*'Temperature Profiles'!AA170+0.8935)*1000,IF('Temperature Profiles'!AA170&lt;17,(0.0072*('Temperature Profiles'!AA170^2)-0.254*'Temperature Profiles'!AA170+2.3952)*1000,0))</f>
        <v>743.31200000000001</v>
      </c>
    </row>
    <row r="73" spans="1:156" x14ac:dyDescent="0.3">
      <c r="A73" s="108">
        <v>0.69791666666666696</v>
      </c>
      <c r="B73" s="226">
        <f t="shared" si="4"/>
        <v>0</v>
      </c>
      <c r="C73" s="21">
        <f t="shared" si="5"/>
        <v>205.66666666666669</v>
      </c>
      <c r="D73" s="20">
        <f t="shared" si="6"/>
        <v>743.31200000000001</v>
      </c>
      <c r="E73" s="20">
        <f t="shared" si="7"/>
        <v>743.31200000000001</v>
      </c>
      <c r="G73" s="260">
        <v>0.70833333333333304</v>
      </c>
      <c r="H73" s="211">
        <f>IF('Temperature Profiles'!G72&gt;17,(0.0029*('Temperature Profiles'!G72^2) - 0.0863*'Temperature Profiles'!G72 + 0.6808)*1000,0)</f>
        <v>306.24580555555536</v>
      </c>
      <c r="I73" s="110">
        <v>0.70833333333333304</v>
      </c>
      <c r="J73" s="211">
        <f>IF('Temperature Profiles'!G72&gt;17,(0.005*('Temperature Profiles'!G72^2) - 0.1517*'Temperature Profiles'!G72 + 1.1702)*1000,0)</f>
        <v>453.2463888888887</v>
      </c>
      <c r="K73" s="110">
        <v>0.70833333333333304</v>
      </c>
      <c r="L73" s="211">
        <f>IF('Temperature Profiles'!G72&gt;17,(0.0068*('Temperature Profiles'!G72^2) - 0.2129*'Temperature Profiles'!G72 + 1.6904)*1000,0)</f>
        <v>554.04688888888791</v>
      </c>
      <c r="M73" s="21"/>
      <c r="N73" s="110">
        <v>0.70833333333333304</v>
      </c>
      <c r="O73" s="211">
        <f>IF('Temperature Profiles'!L72&gt;17,(0.0029*('Temperature Profiles'!L72^2) - 0.0863*'Temperature Profiles'!L72 + 0.6808)*1000,0)</f>
        <v>484.95113888888886</v>
      </c>
      <c r="P73" s="110">
        <v>0.70833333333333304</v>
      </c>
      <c r="Q73" s="211">
        <f>IF('Temperature Profiles'!L72&gt;17,(0.005*('Temperature Profiles'!L72^2) - 0.1517*'Temperature Profiles'!L72 + 1.1702)*1000,0)</f>
        <v>753.21972222222212</v>
      </c>
      <c r="R73" s="110">
        <v>0.70833333333333304</v>
      </c>
      <c r="S73" s="211">
        <f>IF('Temperature Profiles'!L72&gt;17,(0.0068*('Temperature Profiles'!L72^2) - 0.2129*'Temperature Profiles'!L72 + 1.6904)*1000,0)</f>
        <v>943.56422222222182</v>
      </c>
      <c r="T73" s="21"/>
      <c r="U73" s="110">
        <v>0.70833333333333304</v>
      </c>
      <c r="V73" s="211">
        <f>IF('Temperature Profiles'!Q72&gt;17,(0.0029*('Temperature Profiles'!Q72^2) - 0.0863*'Temperature Profiles'!Q72 + 0.6808)*1000,0)</f>
        <v>1143.8239999999998</v>
      </c>
      <c r="W73" s="110">
        <v>0.70833333333333304</v>
      </c>
      <c r="X73" s="211">
        <f>IF('Temperature Profiles'!Q72&gt;17,(0.005*('Temperature Profiles'!Q72^2) - 0.1517*'Temperature Profiles'!Q72 + 1.1702)*1000,0)</f>
        <v>1868.5200000000007</v>
      </c>
      <c r="Y73" s="110">
        <v>0.70833333333333304</v>
      </c>
      <c r="Z73" s="211">
        <f>IF('Temperature Profiles'!Q72&gt;17,(0.0068*('Temperature Profiles'!Q72^2) - 0.2129*'Temperature Profiles'!Q72 + 1.6904)*1000,0)</f>
        <v>2413.4880000000007</v>
      </c>
      <c r="AA73" s="21"/>
      <c r="AB73" s="110">
        <v>0.70833333333333304</v>
      </c>
      <c r="AC73" s="211">
        <f>IF('Temperature Profiles'!V72&gt;17,(0.0029*('Temperature Profiles'!V72^2) - 0.0863*'Temperature Profiles'!V72 + 0.6808)*1000,0)</f>
        <v>63.495999999999775</v>
      </c>
      <c r="AD73" s="110">
        <v>0.70833333333333304</v>
      </c>
      <c r="AE73" s="211">
        <f>IF('Temperature Profiles'!V72&gt;17,(0.005*('Temperature Profiles'!V72^2) - 0.1517*'Temperature Profiles'!V72 + 1.1702)*1000,0)</f>
        <v>54.140000000000079</v>
      </c>
      <c r="AF73" s="110">
        <v>0.70833333333333304</v>
      </c>
      <c r="AG73" s="211">
        <f>IF('Temperature Profiles'!V72&gt;17,(0.0068*('Temperature Profiles'!V72^2) - 0.2129*'Temperature Profiles'!V72 + 1.6904)*1000,0)</f>
        <v>55.291999999999675</v>
      </c>
      <c r="AH73" s="21"/>
      <c r="AI73" s="110">
        <v>0.70833333333333304</v>
      </c>
      <c r="AJ73" s="211">
        <f>IF('Temperature Profiles'!AA72&gt;17,(0.0029*('Temperature Profiles'!AA72^2) - 0.0863*'Temperature Profiles'!AA72 + 0.6808)*1000,0)</f>
        <v>0</v>
      </c>
      <c r="AK73" s="110">
        <v>0.70833333333333304</v>
      </c>
      <c r="AL73" s="211">
        <f>IF('Temperature Profiles'!AA72&gt;17,(0.005*('Temperature Profiles'!AA72^2) - 0.1517*'Temperature Profiles'!AA72 + 1.1701)*1000,0)</f>
        <v>0</v>
      </c>
      <c r="AM73" s="110">
        <v>0.70833333333333304</v>
      </c>
      <c r="AN73" s="211">
        <f>IF('Temperature Profiles'!AA72&gt;17,(0.0068*('Temperature Profiles'!AA72^2) - 0.2129*'Temperature Profiles'!AA72 + 1.6904)*1000,0)</f>
        <v>0</v>
      </c>
      <c r="AO73" s="21"/>
      <c r="AP73" s="110">
        <v>0.70833333333333304</v>
      </c>
      <c r="AQ73" s="211">
        <f>IF('Temperature Profiles'!AF72&gt;17,(0.0029*('Temperature Profiles'!AF72^2) - 0.0863*'Temperature Profiles'!AF72 + 0.6808)*1000,0)</f>
        <v>1412.1982013888883</v>
      </c>
      <c r="AR73" s="110">
        <v>0.70833333333333304</v>
      </c>
      <c r="AS73" s="183">
        <f>IF('Temperature Profiles'!AF72&gt;17,(0.005*('Temperature Profiles'!AF72^2) - 0.1517*'Temperature Profiles'!AF72 + 1.1702)*1000,0)</f>
        <v>2324.7178472222222</v>
      </c>
      <c r="AT73" s="110">
        <v>0.70833333333333304</v>
      </c>
      <c r="AU73" s="211">
        <f>IF('Temperature Profiles'!AF72&gt;17,(0.0068*('Temperature Profiles'!AF72^2) - 0.2129*'Temperature Profiles'!AF72 + 1.6904)*1000,0)</f>
        <v>3019.1489722222209</v>
      </c>
      <c r="AV73" s="21"/>
      <c r="AW73" s="110">
        <v>0.70833333333333304</v>
      </c>
      <c r="AX73" s="211"/>
      <c r="AY73" s="21"/>
      <c r="AZ73" s="110">
        <v>0.70833333333333304</v>
      </c>
      <c r="BA73" s="264"/>
      <c r="BC73" s="260">
        <v>0.70833333333333304</v>
      </c>
      <c r="BD73" s="211">
        <f>IF('Temperature Profiles'!G72&lt;16,(-0.0037*'Temperature Profiles'!G72+0.0664)*1000,0)</f>
        <v>0</v>
      </c>
      <c r="BE73" s="110">
        <v>0.70833333333333304</v>
      </c>
      <c r="BF73" s="211">
        <f>IF('Temperature Profiles'!G72&lt;16,(-0.0076*'Temperature Profiles'!G72+0.1245)*1000,0)</f>
        <v>0</v>
      </c>
      <c r="BG73" s="110">
        <v>0.70833333333333304</v>
      </c>
      <c r="BH73" s="211">
        <f>IF('Temperature Profiles'!G72&lt;16,(-0.01*'Temperature Profiles'!G72+0.167)*1000,0)</f>
        <v>0</v>
      </c>
      <c r="BI73" s="21"/>
      <c r="BJ73" s="110">
        <v>0.70833333333333304</v>
      </c>
      <c r="BK73" s="211">
        <f>IF('Temperature Profiles'!L72&lt;16,(-0.0037*'Temperature Profiles'!L72+0.0664)*1000,0)</f>
        <v>0</v>
      </c>
      <c r="BL73" s="110">
        <v>0.70833333333333304</v>
      </c>
      <c r="BM73" s="211">
        <f>IF('Temperature Profiles'!L72&lt;16,(-0.0076*'Temperature Profiles'!L72+0.1245)*1000,0)</f>
        <v>0</v>
      </c>
      <c r="BN73" s="110">
        <v>0.70833333333333304</v>
      </c>
      <c r="BO73" s="211">
        <f>IF('Temperature Profiles'!L72&lt;16,(-0.01*'Temperature Profiles'!L72+0.167)*1000,0)</f>
        <v>0</v>
      </c>
      <c r="BP73" s="21"/>
      <c r="BQ73" s="110">
        <v>0.70833333333333304</v>
      </c>
      <c r="BR73" s="211">
        <f>IF('Temperature Profiles'!Q72&lt;16,(-0.0037*'Temperature Profiles'!Q72+0.0664)*1000,0)</f>
        <v>0</v>
      </c>
      <c r="BS73" s="110">
        <v>0.70833333333333304</v>
      </c>
      <c r="BT73" s="211">
        <f>IF('Temperature Profiles'!Q72&lt;16,(-0.0076*'Temperature Profiles'!Q72+0.1245)*1000,0)</f>
        <v>0</v>
      </c>
      <c r="BU73" s="110">
        <v>0.70833333333333304</v>
      </c>
      <c r="BV73" s="211">
        <f>IF('Temperature Profiles'!Q72&lt;16,(-0.01*'Temperature Profiles'!Q72+0.167)*1000,0)</f>
        <v>0</v>
      </c>
      <c r="BW73" s="21"/>
      <c r="BX73" s="110">
        <v>0.70833333333333304</v>
      </c>
      <c r="BY73" s="211">
        <f>IF('Temperature Profiles'!V72&lt;16,(-0.0037*'Temperature Profiles'!V72+0.0664)*1000,0)</f>
        <v>0</v>
      </c>
      <c r="BZ73" s="110">
        <v>0.70833333333333304</v>
      </c>
      <c r="CA73" s="211">
        <f>IF('Temperature Profiles'!V72&lt;16,(-0.0076*'Temperature Profiles'!V72+0.1245)*1000,0)</f>
        <v>0</v>
      </c>
      <c r="CB73" s="110">
        <v>0.70833333333333304</v>
      </c>
      <c r="CC73" s="211">
        <f>IF('Temperature Profiles'!V72&lt;16,(-0.01*'Temperature Profiles'!V72+0.167)*1000,0)</f>
        <v>0</v>
      </c>
      <c r="CD73" s="21"/>
      <c r="CE73" s="110">
        <v>0.70833333333333304</v>
      </c>
      <c r="CF73" s="211">
        <f>IF('Temperature Profiles'!AA72&lt;16,(-0.0037*'Temperature Profiles'!AA72+0.0664)*1000,0)</f>
        <v>86.040833333333339</v>
      </c>
      <c r="CG73" s="110">
        <v>0.70833333333333304</v>
      </c>
      <c r="CH73" s="178">
        <f>IF('Temperature Profiles'!AA72&lt;16,(-0.0076*'Temperature Profiles'!AA72+0.1245)*1000,0)</f>
        <v>164.84333333333333</v>
      </c>
      <c r="CI73" s="110">
        <v>0.70833333333333304</v>
      </c>
      <c r="CJ73" s="211">
        <f>IF('Temperature Profiles'!AA72&lt;16,(-0.01*'Temperature Profiles'!AA72+0.167)*1000,0)</f>
        <v>220.08333333333334</v>
      </c>
      <c r="CK73" s="21"/>
      <c r="CL73" s="110">
        <v>0.70833333333333304</v>
      </c>
      <c r="CM73" s="211">
        <f>IF('Temperature Profiles'!AF72&lt;16,(-0.0037*'Temperature Profiles'!AF72+0.0664)*1000,0)</f>
        <v>0</v>
      </c>
      <c r="CN73" s="110">
        <v>0.70833333333333304</v>
      </c>
      <c r="CO73" s="178">
        <f>IF('Temperature Profiles'!AF72&lt;16,(-0.0076*'Temperature Profiles'!AF72+0.1245)*1000,0)</f>
        <v>0</v>
      </c>
      <c r="CP73" s="110">
        <v>0.70833333333333304</v>
      </c>
      <c r="CQ73" s="211">
        <f>IF('Temperature Profiles'!AF72&lt;16,(-0.01*'Temperature Profiles'!AF72+0.167)*1000,0)</f>
        <v>0</v>
      </c>
      <c r="CR73" s="21"/>
      <c r="CS73" s="110">
        <v>0.70833333333333304</v>
      </c>
      <c r="CT73" s="211"/>
      <c r="CU73" s="21"/>
      <c r="CV73" s="110">
        <v>0.70833333333333304</v>
      </c>
      <c r="CW73" s="264"/>
      <c r="CY73" s="260">
        <v>0.70833333333333304</v>
      </c>
      <c r="CZ73" s="178">
        <f>IF('Temperature Profiles'!G72&gt;18,(0.0024*('Temperature Profiles'!G72^2)-0.0581*'Temperature Profiles'!G72+0.3293)*1000,IF('Temperature Profiles'!G72&lt;17,(0.0022*('Temperature Profiles'!G72^2)-0.0874*'Temperature Profiles'!G72+0.9301)*1000,0))</f>
        <v>345.45899999999978</v>
      </c>
      <c r="DA73" s="110">
        <v>0.70833333333333304</v>
      </c>
      <c r="DB73" s="263">
        <f>IF('Temperature Profiles'!G72&gt;18,(0.0043*('Temperature Profiles'!G72^2)-0.1116*'Temperature Profiles'!G72+0.6576)*1000,IF('Temperature Profiles'!G72&lt;17,(0.0053*('Temperature Profiles'!G72^2)-0.1876*'Temperature Profiles'!G72+1.7649)*1000,0))</f>
        <v>502.8245277777774</v>
      </c>
      <c r="DC73" s="110">
        <v>0.70833333333333304</v>
      </c>
      <c r="DD73" s="211">
        <f>IF('Temperature Profiles'!G72&gt;18,(0.0057*('Temperature Profiles'!G72^2)-0.1509*'Temperature Profiles'!G72+0.8935)*1000,IF('Temperature Profiles'!G72&lt;17,(0.0072*('Temperature Profiles'!G72^2)-0.254*'Temperature Profiles'!G72+2.3952)*1000,0))</f>
        <v>615.73658333333276</v>
      </c>
      <c r="DE73" s="21"/>
      <c r="DF73" s="110">
        <v>0.70833333333333304</v>
      </c>
      <c r="DG73" s="209">
        <f>IF('Temperature Profiles'!L72&gt;18,(0.0024*('Temperature Profiles'!L72^2)-0.0581*'Temperature Profiles'!L72+0.3293)*1000,IF('Temperature Profiles'!L72&lt;17,(0.0022*('Temperature Profiles'!L72^2)-0.0874*'Temperature Profiles'!L72+0.9301)*1000,0))</f>
        <v>530.65099999999995</v>
      </c>
      <c r="DH73" s="110">
        <v>0.70833333333333304</v>
      </c>
      <c r="DI73" s="209">
        <f>IF('Temperature Profiles'!L72&gt;18,(0.0043*('Temperature Profiles'!L72^2)-0.1116*'Temperature Profiles'!L72+0.6576)*1000,IF('Temperature Profiles'!L72&lt;17,(0.0053*('Temperature Profiles'!L72^2)-0.1876*'Temperature Profiles'!L72+1.7649)*1000,0))</f>
        <v>813.61519444444457</v>
      </c>
      <c r="DJ73" s="110">
        <v>0.70833333333333304</v>
      </c>
      <c r="DK73" s="211">
        <f>IF('Temperature Profiles'!L72&gt;18,(0.0057*('Temperature Profiles'!L72^2)-0.1509*'Temperature Profiles'!L72+0.8935)*1000,IF('Temperature Profiles'!L72&lt;17,(0.0072*('Temperature Profiles'!L72^2)-0.254*'Temperature Profiles'!L72+2.3952)*1000,0))</f>
        <v>1019.4125833333331</v>
      </c>
      <c r="DL73" s="21"/>
      <c r="DM73" s="110">
        <v>0.70833333333333304</v>
      </c>
      <c r="DN73" s="209">
        <f>IF('Temperature Profiles'!Q72&gt;18,(0.0024*('Temperature Profiles'!Q72^2)-0.0581*'Temperature Profiles'!Q72+0.3293)*1000,IF('Temperature Profiles'!Q72&lt;17,(0.0022*('Temperature Profiles'!Q72^2)-0.0874*'Temperature Profiles'!Q72+0.9301)*1000,0))</f>
        <v>1170.7240000000006</v>
      </c>
      <c r="DO73" s="110">
        <v>0.70833333333333304</v>
      </c>
      <c r="DP73" s="209">
        <f>IF('Temperature Profiles'!Q72&gt;18,(0.0043*('Temperature Profiles'!Q72^2)-0.1116*'Temperature Profiles'!Q72+0.6576)*1000,IF('Temperature Profiles'!Q72&lt;17,(0.0053*('Temperature Profiles'!Q72^2)-0.1876*'Temperature Profiles'!Q72+1.7649)*1000,0))</f>
        <v>1907.0080000000007</v>
      </c>
      <c r="DQ73" s="110">
        <v>0.70833333333333304</v>
      </c>
      <c r="DR73" s="211">
        <f>IF('Temperature Profiles'!Q72&gt;18,(0.0057*('Temperature Profiles'!Q72^2)-0.1509*'Temperature Profiles'!Q72+0.8935)*1000,IF('Temperature Profiles'!Q72&lt;17,(0.0072*('Temperature Profiles'!Q72^2)-0.254*'Temperature Profiles'!Q72+2.3952)*1000,0))</f>
        <v>2447.6920000000014</v>
      </c>
      <c r="DS73" s="21"/>
      <c r="DT73" s="110">
        <v>0.70833333333333304</v>
      </c>
      <c r="DU73" s="209">
        <f>IF('Temperature Profiles'!V72&gt;18,(0.0024*('Temperature Profiles'!V72^2)-0.0581*'Temperature Profiles'!V72+0.3293)*1000,IF('Temperature Profiles'!V72&lt;17,(0.0022*('Temperature Profiles'!V72^2)-0.0874*'Temperature Profiles'!V72+0.9301)*1000,0))</f>
        <v>0</v>
      </c>
      <c r="DV73" s="110">
        <v>0.70833333333333304</v>
      </c>
      <c r="DW73" s="209">
        <f>IF('Temperature Profiles'!V72&gt;18,(0.0043*('Temperature Profiles'!V72^2)-0.1116*'Temperature Profiles'!V72+0.6576)*1000,IF('Temperature Profiles'!V72&lt;17,(0.0053*('Temperature Profiles'!V72^2)-0.1876*'Temperature Profiles'!V72+1.7649)*1000,0))</f>
        <v>0</v>
      </c>
      <c r="DX73" s="110">
        <v>0.70833333333333304</v>
      </c>
      <c r="DY73" s="211">
        <f>IF('Temperature Profiles'!V72&gt;18,(0.0057*('Temperature Profiles'!V72^2)-0.1509*'Temperature Profiles'!V72+0.8935)*1000,IF('Temperature Profiles'!V72&lt;17,(0.0072*('Temperature Profiles'!V72^2)-0.254*'Temperature Profiles'!V72+2.3952)*1000,0))</f>
        <v>0</v>
      </c>
      <c r="DZ73" s="21"/>
      <c r="EA73" s="110">
        <v>0.70833333333333304</v>
      </c>
      <c r="EB73" s="209">
        <f>IF('Temperature Profiles'!AA171&gt;18,(0.0024*('Temperature Profiles'!AA171^2)-0.0581*'Temperature Profiles'!AA171+0.3293)*1000,IF('Temperature Profiles'!AA171&lt;17,(0.0022*('Temperature Profiles'!AA171^2)-0.0874*'Temperature Profiles'!AA171+0.9301)*1000,0))</f>
        <v>410.23994444444446</v>
      </c>
      <c r="EC73" s="110">
        <v>0.70833333333333304</v>
      </c>
      <c r="ED73" s="209">
        <f>IF('Temperature Profiles'!AA171&gt;18,(0.0043*('Temperature Profiles'!AA171^2)-0.1116*'Temperature Profiles'!AA171+0.6576)*1000,IF('Temperature Profiles'!AA171&lt;17,(0.0053*('Temperature Profiles'!AA171^2)-0.1876*'Temperature Profiles'!AA171+1.7649)*1000,0))</f>
        <v>679.69547222222218</v>
      </c>
      <c r="EE73" s="110">
        <v>0.70833333333333304</v>
      </c>
      <c r="EF73" s="211">
        <f>IF('Temperature Profiles'!AA171&gt;18,(0.0057*('Temperature Profiles'!AA171^2)-0.1509*'Temperature Profiles'!AA171+0.8935)*1000,IF('Temperature Profiles'!AA171&lt;17,(0.0072*('Temperature Profiles'!AA171^2)-0.254*'Temperature Profiles'!AA171+2.3952)*1000,0))</f>
        <v>927.17133333333334</v>
      </c>
      <c r="EG73" s="21"/>
      <c r="EH73" s="110">
        <v>0.70833333333333304</v>
      </c>
      <c r="EI73" s="211">
        <f>IF('Temperature Profiles'!AF72&gt;18,(0.0024*('Temperature Profiles'!AF72^2)-0.0581*'Temperature Profiles'!AF72+0.3293)*1000,IF('Temperature Profiles'!AF72&lt;17,(0.0022*('Temperature Profiles'!AF72^2)-0.0874*'Temperature Profiles'!AF72+0.9301)*1000,0))</f>
        <v>1422.6873333333328</v>
      </c>
      <c r="EJ73" s="110">
        <v>0.70833333333333304</v>
      </c>
      <c r="EK73" s="211">
        <f>IF('Temperature Profiles'!AF72&gt;18,(0.0043*('Temperature Profiles'!AF72^2)-0.1116*'Temperature Profiles'!AF72+0.6576)*1000,IF('Temperature Profiles'!AF72&lt;17,(0.0053*('Temperature Profiles'!AF72^2)-0.1876*'Temperature Profiles'!AF72+1.7649)*1000,0))</f>
        <v>2341.6204652777765</v>
      </c>
      <c r="EL73" s="110">
        <v>0.70833333333333304</v>
      </c>
      <c r="EM73" s="211">
        <f>IF('Temperature Profiles'!AF72&gt;18,(0.0057*('Temperature Profiles'!AF72^2)-0.1509*'Temperature Profiles'!AF72+0.8935)*1000,IF('Temperature Profiles'!AF72&lt;17,(0.0072*('Temperature Profiles'!AF72^2)-0.254*'Temperature Profiles'!AF72+2.3952)*1000,0))</f>
        <v>3017.1593958333324</v>
      </c>
      <c r="EN73" s="21"/>
      <c r="EO73" s="110">
        <v>0.70833333333333304</v>
      </c>
      <c r="EP73" s="211"/>
      <c r="EQ73" s="21"/>
      <c r="ER73" s="110">
        <v>0.70833333333333304</v>
      </c>
      <c r="ES73" s="264"/>
      <c r="EU73" s="260">
        <v>0.70833333333333304</v>
      </c>
      <c r="EV73" s="209">
        <f>IF('Temperature Profiles'!AA171&gt;18,(0.0024*('Temperature Profiles'!AA171^2)-0.0581*'Temperature Profiles'!AA171+0.3293)*1000,IF('Temperature Profiles'!AA171&lt;17,(0.0022*('Temperature Profiles'!AA171^2)-0.0874*'Temperature Profiles'!AA171+0.9301)*1000,0))</f>
        <v>410.23994444444446</v>
      </c>
      <c r="EW73" s="110">
        <v>0.70833333333333304</v>
      </c>
      <c r="EX73" s="209">
        <f>IF('Temperature Profiles'!AA171&gt;18,(0.0043*('Temperature Profiles'!AA171^2)-0.1116*'Temperature Profiles'!AA171+0.6576)*1000,IF('Temperature Profiles'!AA171&lt;17,(0.0053*('Temperature Profiles'!AA171^2)-0.1876*'Temperature Profiles'!AA171+1.7649)*1000,0))</f>
        <v>679.69547222222218</v>
      </c>
      <c r="EY73" s="110">
        <v>0.70833333333333304</v>
      </c>
      <c r="EZ73" s="264">
        <f>IF('Temperature Profiles'!AA171&gt;18,(0.0057*('Temperature Profiles'!AA171^2)-0.1509*'Temperature Profiles'!AA171+0.8935)*1000,IF('Temperature Profiles'!AA171&lt;17,(0.0072*('Temperature Profiles'!AA171^2)-0.254*'Temperature Profiles'!AA171+2.3952)*1000,0))</f>
        <v>927.17133333333334</v>
      </c>
    </row>
    <row r="74" spans="1:156" x14ac:dyDescent="0.3">
      <c r="A74" s="108">
        <v>0.70833333333333304</v>
      </c>
      <c r="B74" s="226">
        <f t="shared" si="4"/>
        <v>0</v>
      </c>
      <c r="C74" s="21">
        <f t="shared" si="5"/>
        <v>220.08333333333334</v>
      </c>
      <c r="D74" s="20">
        <f t="shared" si="6"/>
        <v>927.17133333333334</v>
      </c>
      <c r="E74" s="20">
        <f t="shared" si="7"/>
        <v>927.17133333333334</v>
      </c>
      <c r="G74" s="260">
        <v>0.71875</v>
      </c>
      <c r="H74" s="211">
        <f>IF('Temperature Profiles'!G73&gt;17,(0.0029*('Temperature Profiles'!G73^2) - 0.0863*'Temperature Profiles'!G73 + 0.6808)*1000,0)</f>
        <v>306.24580555555536</v>
      </c>
      <c r="I74" s="110">
        <v>0.71875</v>
      </c>
      <c r="J74" s="211">
        <f>IF('Temperature Profiles'!G73&gt;17,(0.005*('Temperature Profiles'!G73^2) - 0.1517*'Temperature Profiles'!G73 + 1.1702)*1000,0)</f>
        <v>453.2463888888887</v>
      </c>
      <c r="K74" s="110">
        <v>0.71875</v>
      </c>
      <c r="L74" s="211">
        <f>IF('Temperature Profiles'!G73&gt;17,(0.0068*('Temperature Profiles'!G73^2) - 0.2129*'Temperature Profiles'!G73 + 1.6904)*1000,0)</f>
        <v>554.04688888888791</v>
      </c>
      <c r="M74" s="21"/>
      <c r="N74" s="110">
        <v>0.71875</v>
      </c>
      <c r="O74" s="211">
        <f>IF('Temperature Profiles'!L73&gt;17,(0.0029*('Temperature Profiles'!L73^2) - 0.0863*'Temperature Profiles'!L73 + 0.6808)*1000,0)</f>
        <v>484.95113888888886</v>
      </c>
      <c r="P74" s="110">
        <v>0.71875</v>
      </c>
      <c r="Q74" s="211">
        <f>IF('Temperature Profiles'!L73&gt;17,(0.005*('Temperature Profiles'!L73^2) - 0.1517*'Temperature Profiles'!L73 + 1.1702)*1000,0)</f>
        <v>753.21972222222212</v>
      </c>
      <c r="R74" s="110">
        <v>0.71875</v>
      </c>
      <c r="S74" s="211">
        <f>IF('Temperature Profiles'!L73&gt;17,(0.0068*('Temperature Profiles'!L73^2) - 0.2129*'Temperature Profiles'!L73 + 1.6904)*1000,0)</f>
        <v>943.56422222222182</v>
      </c>
      <c r="T74" s="21"/>
      <c r="U74" s="110">
        <v>0.71875</v>
      </c>
      <c r="V74" s="211">
        <f>IF('Temperature Profiles'!Q73&gt;17,(0.0029*('Temperature Profiles'!Q73^2) - 0.0863*'Temperature Profiles'!Q73 + 0.6808)*1000,0)</f>
        <v>1143.8239999999998</v>
      </c>
      <c r="W74" s="110">
        <v>0.71875</v>
      </c>
      <c r="X74" s="211">
        <f>IF('Temperature Profiles'!Q73&gt;17,(0.005*('Temperature Profiles'!Q73^2) - 0.1517*'Temperature Profiles'!Q73 + 1.1702)*1000,0)</f>
        <v>1868.5200000000007</v>
      </c>
      <c r="Y74" s="110">
        <v>0.71875</v>
      </c>
      <c r="Z74" s="211">
        <f>IF('Temperature Profiles'!Q73&gt;17,(0.0068*('Temperature Profiles'!Q73^2) - 0.2129*'Temperature Profiles'!Q73 + 1.6904)*1000,0)</f>
        <v>2413.4880000000007</v>
      </c>
      <c r="AA74" s="21"/>
      <c r="AB74" s="110">
        <v>0.71875</v>
      </c>
      <c r="AC74" s="211">
        <f>IF('Temperature Profiles'!V73&gt;17,(0.0029*('Temperature Profiles'!V73^2) - 0.0863*'Temperature Profiles'!V73 + 0.6808)*1000,0)</f>
        <v>63.495999999999775</v>
      </c>
      <c r="AD74" s="110">
        <v>0.71875</v>
      </c>
      <c r="AE74" s="211">
        <f>IF('Temperature Profiles'!V73&gt;17,(0.005*('Temperature Profiles'!V73^2) - 0.1517*'Temperature Profiles'!V73 + 1.1702)*1000,0)</f>
        <v>54.140000000000079</v>
      </c>
      <c r="AF74" s="110">
        <v>0.71875</v>
      </c>
      <c r="AG74" s="211">
        <f>IF('Temperature Profiles'!V73&gt;17,(0.0068*('Temperature Profiles'!V73^2) - 0.2129*'Temperature Profiles'!V73 + 1.6904)*1000,0)</f>
        <v>55.291999999999675</v>
      </c>
      <c r="AH74" s="21"/>
      <c r="AI74" s="110">
        <v>0.71875</v>
      </c>
      <c r="AJ74" s="211">
        <f>IF('Temperature Profiles'!AA73&gt;17,(0.0029*('Temperature Profiles'!AA73^2) - 0.0863*'Temperature Profiles'!AA73 + 0.6808)*1000,0)</f>
        <v>0</v>
      </c>
      <c r="AK74" s="110">
        <v>0.71875</v>
      </c>
      <c r="AL74" s="211">
        <f>IF('Temperature Profiles'!AA73&gt;17,(0.005*('Temperature Profiles'!AA73^2) - 0.1517*'Temperature Profiles'!AA73 + 1.1701)*1000,0)</f>
        <v>0</v>
      </c>
      <c r="AM74" s="110">
        <v>0.71875</v>
      </c>
      <c r="AN74" s="211">
        <f>IF('Temperature Profiles'!AA73&gt;17,(0.0068*('Temperature Profiles'!AA73^2) - 0.2129*'Temperature Profiles'!AA73 + 1.6904)*1000,0)</f>
        <v>0</v>
      </c>
      <c r="AO74" s="21"/>
      <c r="AP74" s="110">
        <v>0.71875</v>
      </c>
      <c r="AQ74" s="211">
        <f>IF('Temperature Profiles'!AF73&gt;17,(0.0029*('Temperature Profiles'!AF73^2) - 0.0863*'Temperature Profiles'!AF73 + 0.6808)*1000,0)</f>
        <v>1412.1982013888883</v>
      </c>
      <c r="AR74" s="110">
        <v>0.71875</v>
      </c>
      <c r="AS74" s="183">
        <f>IF('Temperature Profiles'!AF73&gt;17,(0.005*('Temperature Profiles'!AF73^2) - 0.1517*'Temperature Profiles'!AF73 + 1.1702)*1000,0)</f>
        <v>2324.7178472222222</v>
      </c>
      <c r="AT74" s="110">
        <v>0.71875</v>
      </c>
      <c r="AU74" s="211">
        <f>IF('Temperature Profiles'!AF73&gt;17,(0.0068*('Temperature Profiles'!AF73^2) - 0.2129*'Temperature Profiles'!AF73 + 1.6904)*1000,0)</f>
        <v>3019.1489722222209</v>
      </c>
      <c r="AV74" s="21"/>
      <c r="AW74" s="110">
        <v>0.71875</v>
      </c>
      <c r="AX74" s="211"/>
      <c r="AY74" s="21"/>
      <c r="AZ74" s="110">
        <v>0.71875</v>
      </c>
      <c r="BA74" s="264"/>
      <c r="BC74" s="260">
        <v>0.71875</v>
      </c>
      <c r="BD74" s="211">
        <f>IF('Temperature Profiles'!G73&lt;16,(-0.0037*'Temperature Profiles'!G73+0.0664)*1000,0)</f>
        <v>0</v>
      </c>
      <c r="BE74" s="110">
        <v>0.71875</v>
      </c>
      <c r="BF74" s="211">
        <f>IF('Temperature Profiles'!G73&lt;16,(-0.0076*'Temperature Profiles'!G73+0.1245)*1000,0)</f>
        <v>0</v>
      </c>
      <c r="BG74" s="110">
        <v>0.71875</v>
      </c>
      <c r="BH74" s="211">
        <f>IF('Temperature Profiles'!G73&lt;16,(-0.01*'Temperature Profiles'!G73+0.167)*1000,0)</f>
        <v>0</v>
      </c>
      <c r="BI74" s="21"/>
      <c r="BJ74" s="110">
        <v>0.71875</v>
      </c>
      <c r="BK74" s="211">
        <f>IF('Temperature Profiles'!L73&lt;16,(-0.0037*'Temperature Profiles'!L73+0.0664)*1000,0)</f>
        <v>0</v>
      </c>
      <c r="BL74" s="110">
        <v>0.71875</v>
      </c>
      <c r="BM74" s="211">
        <f>IF('Temperature Profiles'!L73&lt;16,(-0.0076*'Temperature Profiles'!L73+0.1245)*1000,0)</f>
        <v>0</v>
      </c>
      <c r="BN74" s="110">
        <v>0.71875</v>
      </c>
      <c r="BO74" s="211">
        <f>IF('Temperature Profiles'!L73&lt;16,(-0.01*'Temperature Profiles'!L73+0.167)*1000,0)</f>
        <v>0</v>
      </c>
      <c r="BP74" s="21"/>
      <c r="BQ74" s="110">
        <v>0.71875</v>
      </c>
      <c r="BR74" s="211">
        <f>IF('Temperature Profiles'!Q73&lt;16,(-0.0037*'Temperature Profiles'!Q73+0.0664)*1000,0)</f>
        <v>0</v>
      </c>
      <c r="BS74" s="110">
        <v>0.71875</v>
      </c>
      <c r="BT74" s="211">
        <f>IF('Temperature Profiles'!Q73&lt;16,(-0.0076*'Temperature Profiles'!Q73+0.1245)*1000,0)</f>
        <v>0</v>
      </c>
      <c r="BU74" s="110">
        <v>0.71875</v>
      </c>
      <c r="BV74" s="211">
        <f>IF('Temperature Profiles'!Q73&lt;16,(-0.01*'Temperature Profiles'!Q73+0.167)*1000,0)</f>
        <v>0</v>
      </c>
      <c r="BW74" s="21"/>
      <c r="BX74" s="110">
        <v>0.71875</v>
      </c>
      <c r="BY74" s="211">
        <f>IF('Temperature Profiles'!V73&lt;16,(-0.0037*'Temperature Profiles'!V73+0.0664)*1000,0)</f>
        <v>0</v>
      </c>
      <c r="BZ74" s="110">
        <v>0.71875</v>
      </c>
      <c r="CA74" s="211">
        <f>IF('Temperature Profiles'!V73&lt;16,(-0.0076*'Temperature Profiles'!V73+0.1245)*1000,0)</f>
        <v>0</v>
      </c>
      <c r="CB74" s="110">
        <v>0.71875</v>
      </c>
      <c r="CC74" s="211">
        <f>IF('Temperature Profiles'!V73&lt;16,(-0.01*'Temperature Profiles'!V73+0.167)*1000,0)</f>
        <v>0</v>
      </c>
      <c r="CD74" s="21"/>
      <c r="CE74" s="110">
        <v>0.71875</v>
      </c>
      <c r="CF74" s="211">
        <f>IF('Temperature Profiles'!AA73&lt;16,(-0.0037*'Temperature Profiles'!AA73+0.0664)*1000,0)</f>
        <v>86.040833333333339</v>
      </c>
      <c r="CG74" s="110">
        <v>0.71875</v>
      </c>
      <c r="CH74" s="178">
        <f>IF('Temperature Profiles'!AA73&lt;16,(-0.0076*'Temperature Profiles'!AA73+0.1245)*1000,0)</f>
        <v>164.84333333333333</v>
      </c>
      <c r="CI74" s="110">
        <v>0.71875</v>
      </c>
      <c r="CJ74" s="211">
        <f>IF('Temperature Profiles'!AA73&lt;16,(-0.01*'Temperature Profiles'!AA73+0.167)*1000,0)</f>
        <v>220.08333333333334</v>
      </c>
      <c r="CK74" s="21"/>
      <c r="CL74" s="110">
        <v>0.71875</v>
      </c>
      <c r="CM74" s="211">
        <f>IF('Temperature Profiles'!AF73&lt;16,(-0.0037*'Temperature Profiles'!AF73+0.0664)*1000,0)</f>
        <v>0</v>
      </c>
      <c r="CN74" s="110">
        <v>0.71875</v>
      </c>
      <c r="CO74" s="178">
        <f>IF('Temperature Profiles'!AF73&lt;16,(-0.0076*'Temperature Profiles'!AF73+0.1245)*1000,0)</f>
        <v>0</v>
      </c>
      <c r="CP74" s="110">
        <v>0.71875</v>
      </c>
      <c r="CQ74" s="211">
        <f>IF('Temperature Profiles'!AF73&lt;16,(-0.01*'Temperature Profiles'!AF73+0.167)*1000,0)</f>
        <v>0</v>
      </c>
      <c r="CR74" s="21"/>
      <c r="CS74" s="110">
        <v>0.71875</v>
      </c>
      <c r="CT74" s="211"/>
      <c r="CU74" s="21"/>
      <c r="CV74" s="110">
        <v>0.71875</v>
      </c>
      <c r="CW74" s="264"/>
      <c r="CY74" s="260">
        <v>0.71875</v>
      </c>
      <c r="CZ74" s="178">
        <f>IF('Temperature Profiles'!G73&gt;18,(0.0024*('Temperature Profiles'!G73^2)-0.0581*'Temperature Profiles'!G73+0.3293)*1000,IF('Temperature Profiles'!G73&lt;17,(0.0022*('Temperature Profiles'!G73^2)-0.0874*'Temperature Profiles'!G73+0.9301)*1000,0))</f>
        <v>345.45899999999978</v>
      </c>
      <c r="DA74" s="110">
        <v>0.71875</v>
      </c>
      <c r="DB74" s="263">
        <f>IF('Temperature Profiles'!G73&gt;18,(0.0043*('Temperature Profiles'!G73^2)-0.1116*'Temperature Profiles'!G73+0.6576)*1000,IF('Temperature Profiles'!G73&lt;17,(0.0053*('Temperature Profiles'!G73^2)-0.1876*'Temperature Profiles'!G73+1.7649)*1000,0))</f>
        <v>502.8245277777774</v>
      </c>
      <c r="DC74" s="110">
        <v>0.71875</v>
      </c>
      <c r="DD74" s="211">
        <f>IF('Temperature Profiles'!G73&gt;18,(0.0057*('Temperature Profiles'!G73^2)-0.1509*'Temperature Profiles'!G73+0.8935)*1000,IF('Temperature Profiles'!G73&lt;17,(0.0072*('Temperature Profiles'!G73^2)-0.254*'Temperature Profiles'!G73+2.3952)*1000,0))</f>
        <v>615.73658333333276</v>
      </c>
      <c r="DE74" s="21"/>
      <c r="DF74" s="110">
        <v>0.71875</v>
      </c>
      <c r="DG74" s="209">
        <f>IF('Temperature Profiles'!L73&gt;18,(0.0024*('Temperature Profiles'!L73^2)-0.0581*'Temperature Profiles'!L73+0.3293)*1000,IF('Temperature Profiles'!L73&lt;17,(0.0022*('Temperature Profiles'!L73^2)-0.0874*'Temperature Profiles'!L73+0.9301)*1000,0))</f>
        <v>530.65099999999995</v>
      </c>
      <c r="DH74" s="110">
        <v>0.71875</v>
      </c>
      <c r="DI74" s="209">
        <f>IF('Temperature Profiles'!L73&gt;18,(0.0043*('Temperature Profiles'!L73^2)-0.1116*'Temperature Profiles'!L73+0.6576)*1000,IF('Temperature Profiles'!L73&lt;17,(0.0053*('Temperature Profiles'!L73^2)-0.1876*'Temperature Profiles'!L73+1.7649)*1000,0))</f>
        <v>813.61519444444457</v>
      </c>
      <c r="DJ74" s="110">
        <v>0.71875</v>
      </c>
      <c r="DK74" s="211">
        <f>IF('Temperature Profiles'!L73&gt;18,(0.0057*('Temperature Profiles'!L73^2)-0.1509*'Temperature Profiles'!L73+0.8935)*1000,IF('Temperature Profiles'!L73&lt;17,(0.0072*('Temperature Profiles'!L73^2)-0.254*'Temperature Profiles'!L73+2.3952)*1000,0))</f>
        <v>1019.4125833333331</v>
      </c>
      <c r="DL74" s="21"/>
      <c r="DM74" s="110">
        <v>0.71875</v>
      </c>
      <c r="DN74" s="209">
        <f>IF('Temperature Profiles'!Q73&gt;18,(0.0024*('Temperature Profiles'!Q73^2)-0.0581*'Temperature Profiles'!Q73+0.3293)*1000,IF('Temperature Profiles'!Q73&lt;17,(0.0022*('Temperature Profiles'!Q73^2)-0.0874*'Temperature Profiles'!Q73+0.9301)*1000,0))</f>
        <v>1170.7240000000006</v>
      </c>
      <c r="DO74" s="110">
        <v>0.71875</v>
      </c>
      <c r="DP74" s="209">
        <f>IF('Temperature Profiles'!Q73&gt;18,(0.0043*('Temperature Profiles'!Q73^2)-0.1116*'Temperature Profiles'!Q73+0.6576)*1000,IF('Temperature Profiles'!Q73&lt;17,(0.0053*('Temperature Profiles'!Q73^2)-0.1876*'Temperature Profiles'!Q73+1.7649)*1000,0))</f>
        <v>1907.0080000000007</v>
      </c>
      <c r="DQ74" s="110">
        <v>0.71875</v>
      </c>
      <c r="DR74" s="211">
        <f>IF('Temperature Profiles'!Q73&gt;18,(0.0057*('Temperature Profiles'!Q73^2)-0.1509*'Temperature Profiles'!Q73+0.8935)*1000,IF('Temperature Profiles'!Q73&lt;17,(0.0072*('Temperature Profiles'!Q73^2)-0.254*'Temperature Profiles'!Q73+2.3952)*1000,0))</f>
        <v>2447.6920000000014</v>
      </c>
      <c r="DS74" s="21"/>
      <c r="DT74" s="110">
        <v>0.71875</v>
      </c>
      <c r="DU74" s="209">
        <f>IF('Temperature Profiles'!V73&gt;18,(0.0024*('Temperature Profiles'!V73^2)-0.0581*'Temperature Profiles'!V73+0.3293)*1000,IF('Temperature Profiles'!V73&lt;17,(0.0022*('Temperature Profiles'!V73^2)-0.0874*'Temperature Profiles'!V73+0.9301)*1000,0))</f>
        <v>0</v>
      </c>
      <c r="DV74" s="110">
        <v>0.71875</v>
      </c>
      <c r="DW74" s="209">
        <f>IF('Temperature Profiles'!V73&gt;18,(0.0043*('Temperature Profiles'!V73^2)-0.1116*'Temperature Profiles'!V73+0.6576)*1000,IF('Temperature Profiles'!V73&lt;17,(0.0053*('Temperature Profiles'!V73^2)-0.1876*'Temperature Profiles'!V73+1.7649)*1000,0))</f>
        <v>0</v>
      </c>
      <c r="DX74" s="110">
        <v>0.71875</v>
      </c>
      <c r="DY74" s="211">
        <f>IF('Temperature Profiles'!V73&gt;18,(0.0057*('Temperature Profiles'!V73^2)-0.1509*'Temperature Profiles'!V73+0.8935)*1000,IF('Temperature Profiles'!V73&lt;17,(0.0072*('Temperature Profiles'!V73^2)-0.254*'Temperature Profiles'!V73+2.3952)*1000,0))</f>
        <v>0</v>
      </c>
      <c r="DZ74" s="21"/>
      <c r="EA74" s="110">
        <v>0.71875</v>
      </c>
      <c r="EB74" s="209">
        <f>IF('Temperature Profiles'!AA172&gt;18,(0.0024*('Temperature Profiles'!AA172^2)-0.0581*'Temperature Profiles'!AA172+0.3293)*1000,IF('Temperature Profiles'!AA172&lt;17,(0.0022*('Temperature Profiles'!AA172^2)-0.0874*'Temperature Profiles'!AA172+0.9301)*1000,0))</f>
        <v>410.23994444444446</v>
      </c>
      <c r="EC74" s="110">
        <v>0.71875</v>
      </c>
      <c r="ED74" s="209">
        <f>IF('Temperature Profiles'!AA172&gt;18,(0.0043*('Temperature Profiles'!AA172^2)-0.1116*'Temperature Profiles'!AA172+0.6576)*1000,IF('Temperature Profiles'!AA172&lt;17,(0.0053*('Temperature Profiles'!AA172^2)-0.1876*'Temperature Profiles'!AA172+1.7649)*1000,0))</f>
        <v>679.69547222222218</v>
      </c>
      <c r="EE74" s="110">
        <v>0.71875</v>
      </c>
      <c r="EF74" s="211">
        <f>IF('Temperature Profiles'!AA172&gt;18,(0.0057*('Temperature Profiles'!AA172^2)-0.1509*'Temperature Profiles'!AA172+0.8935)*1000,IF('Temperature Profiles'!AA172&lt;17,(0.0072*('Temperature Profiles'!AA172^2)-0.254*'Temperature Profiles'!AA172+2.3952)*1000,0))</f>
        <v>927.17133333333334</v>
      </c>
      <c r="EG74" s="21"/>
      <c r="EH74" s="110">
        <v>0.71875</v>
      </c>
      <c r="EI74" s="211">
        <f>IF('Temperature Profiles'!AF73&gt;18,(0.0024*('Temperature Profiles'!AF73^2)-0.0581*'Temperature Profiles'!AF73+0.3293)*1000,IF('Temperature Profiles'!AF73&lt;17,(0.0022*('Temperature Profiles'!AF73^2)-0.0874*'Temperature Profiles'!AF73+0.9301)*1000,0))</f>
        <v>1422.6873333333328</v>
      </c>
      <c r="EJ74" s="110">
        <v>0.71875</v>
      </c>
      <c r="EK74" s="211">
        <f>IF('Temperature Profiles'!AF73&gt;18,(0.0043*('Temperature Profiles'!AF73^2)-0.1116*'Temperature Profiles'!AF73+0.6576)*1000,IF('Temperature Profiles'!AF73&lt;17,(0.0053*('Temperature Profiles'!AF73^2)-0.1876*'Temperature Profiles'!AF73+1.7649)*1000,0))</f>
        <v>2341.6204652777765</v>
      </c>
      <c r="EL74" s="110">
        <v>0.71875</v>
      </c>
      <c r="EM74" s="211">
        <f>IF('Temperature Profiles'!AF73&gt;18,(0.0057*('Temperature Profiles'!AF73^2)-0.1509*'Temperature Profiles'!AF73+0.8935)*1000,IF('Temperature Profiles'!AF73&lt;17,(0.0072*('Temperature Profiles'!AF73^2)-0.254*'Temperature Profiles'!AF73+2.3952)*1000,0))</f>
        <v>3017.1593958333324</v>
      </c>
      <c r="EN74" s="21"/>
      <c r="EO74" s="110">
        <v>0.71875</v>
      </c>
      <c r="EP74" s="211"/>
      <c r="EQ74" s="21"/>
      <c r="ER74" s="110">
        <v>0.71875</v>
      </c>
      <c r="ES74" s="264"/>
      <c r="EU74" s="260">
        <v>0.71875</v>
      </c>
      <c r="EV74" s="209">
        <f>IF('Temperature Profiles'!AA172&gt;18,(0.0024*('Temperature Profiles'!AA172^2)-0.0581*'Temperature Profiles'!AA172+0.3293)*1000,IF('Temperature Profiles'!AA172&lt;17,(0.0022*('Temperature Profiles'!AA172^2)-0.0874*'Temperature Profiles'!AA172+0.9301)*1000,0))</f>
        <v>410.23994444444446</v>
      </c>
      <c r="EW74" s="110">
        <v>0.71875</v>
      </c>
      <c r="EX74" s="209">
        <f>IF('Temperature Profiles'!AA172&gt;18,(0.0043*('Temperature Profiles'!AA172^2)-0.1116*'Temperature Profiles'!AA172+0.6576)*1000,IF('Temperature Profiles'!AA172&lt;17,(0.0053*('Temperature Profiles'!AA172^2)-0.1876*'Temperature Profiles'!AA172+1.7649)*1000,0))</f>
        <v>679.69547222222218</v>
      </c>
      <c r="EY74" s="110">
        <v>0.71875</v>
      </c>
      <c r="EZ74" s="264">
        <f>IF('Temperature Profiles'!AA172&gt;18,(0.0057*('Temperature Profiles'!AA172^2)-0.1509*'Temperature Profiles'!AA172+0.8935)*1000,IF('Temperature Profiles'!AA172&lt;17,(0.0072*('Temperature Profiles'!AA172^2)-0.254*'Temperature Profiles'!AA172+2.3952)*1000,0))</f>
        <v>927.17133333333334</v>
      </c>
    </row>
    <row r="75" spans="1:156" x14ac:dyDescent="0.3">
      <c r="A75" s="108">
        <v>0.71875</v>
      </c>
      <c r="B75" s="226">
        <f t="shared" si="4"/>
        <v>0</v>
      </c>
      <c r="C75" s="21">
        <f t="shared" si="5"/>
        <v>220.08333333333334</v>
      </c>
      <c r="D75" s="20">
        <f t="shared" si="6"/>
        <v>927.17133333333334</v>
      </c>
      <c r="E75" s="20">
        <f t="shared" si="7"/>
        <v>927.17133333333334</v>
      </c>
      <c r="G75" s="260">
        <v>0.72916666666666696</v>
      </c>
      <c r="H75" s="211">
        <f>IF('Temperature Profiles'!G74&gt;17,(0.0029*('Temperature Profiles'!G74^2) - 0.0863*'Temperature Profiles'!G74 + 0.6808)*1000,0)</f>
        <v>306.24580555555536</v>
      </c>
      <c r="I75" s="110">
        <v>0.72916666666666696</v>
      </c>
      <c r="J75" s="211">
        <f>IF('Temperature Profiles'!G74&gt;17,(0.005*('Temperature Profiles'!G74^2) - 0.1517*'Temperature Profiles'!G74 + 1.1702)*1000,0)</f>
        <v>453.2463888888887</v>
      </c>
      <c r="K75" s="110">
        <v>0.72916666666666696</v>
      </c>
      <c r="L75" s="211">
        <f>IF('Temperature Profiles'!G74&gt;17,(0.0068*('Temperature Profiles'!G74^2) - 0.2129*'Temperature Profiles'!G74 + 1.6904)*1000,0)</f>
        <v>554.04688888888791</v>
      </c>
      <c r="M75" s="21"/>
      <c r="N75" s="110">
        <v>0.72916666666666696</v>
      </c>
      <c r="O75" s="211">
        <f>IF('Temperature Profiles'!L74&gt;17,(0.0029*('Temperature Profiles'!L74^2) - 0.0863*'Temperature Profiles'!L74 + 0.6808)*1000,0)</f>
        <v>484.95113888888886</v>
      </c>
      <c r="P75" s="110">
        <v>0.72916666666666696</v>
      </c>
      <c r="Q75" s="211">
        <f>IF('Temperature Profiles'!L74&gt;17,(0.005*('Temperature Profiles'!L74^2) - 0.1517*'Temperature Profiles'!L74 + 1.1702)*1000,0)</f>
        <v>753.21972222222212</v>
      </c>
      <c r="R75" s="110">
        <v>0.72916666666666696</v>
      </c>
      <c r="S75" s="211">
        <f>IF('Temperature Profiles'!L74&gt;17,(0.0068*('Temperature Profiles'!L74^2) - 0.2129*'Temperature Profiles'!L74 + 1.6904)*1000,0)</f>
        <v>943.56422222222182</v>
      </c>
      <c r="T75" s="21"/>
      <c r="U75" s="110">
        <v>0.72916666666666696</v>
      </c>
      <c r="V75" s="211">
        <f>IF('Temperature Profiles'!Q74&gt;17,(0.0029*('Temperature Profiles'!Q74^2) - 0.0863*'Temperature Profiles'!Q74 + 0.6808)*1000,0)</f>
        <v>1143.8239999999998</v>
      </c>
      <c r="W75" s="110">
        <v>0.72916666666666696</v>
      </c>
      <c r="X75" s="211">
        <f>IF('Temperature Profiles'!Q74&gt;17,(0.005*('Temperature Profiles'!Q74^2) - 0.1517*'Temperature Profiles'!Q74 + 1.1702)*1000,0)</f>
        <v>1868.5200000000007</v>
      </c>
      <c r="Y75" s="110">
        <v>0.72916666666666696</v>
      </c>
      <c r="Z75" s="211">
        <f>IF('Temperature Profiles'!Q74&gt;17,(0.0068*('Temperature Profiles'!Q74^2) - 0.2129*'Temperature Profiles'!Q74 + 1.6904)*1000,0)</f>
        <v>2413.4880000000007</v>
      </c>
      <c r="AA75" s="21"/>
      <c r="AB75" s="110">
        <v>0.72916666666666696</v>
      </c>
      <c r="AC75" s="211">
        <f>IF('Temperature Profiles'!V74&gt;17,(0.0029*('Temperature Profiles'!V74^2) - 0.0863*'Temperature Profiles'!V74 + 0.6808)*1000,0)</f>
        <v>63.495999999999775</v>
      </c>
      <c r="AD75" s="110">
        <v>0.72916666666666696</v>
      </c>
      <c r="AE75" s="211">
        <f>IF('Temperature Profiles'!V74&gt;17,(0.005*('Temperature Profiles'!V74^2) - 0.1517*'Temperature Profiles'!V74 + 1.1702)*1000,0)</f>
        <v>54.140000000000079</v>
      </c>
      <c r="AF75" s="110">
        <v>0.72916666666666696</v>
      </c>
      <c r="AG75" s="211">
        <f>IF('Temperature Profiles'!V74&gt;17,(0.0068*('Temperature Profiles'!V74^2) - 0.2129*'Temperature Profiles'!V74 + 1.6904)*1000,0)</f>
        <v>55.291999999999675</v>
      </c>
      <c r="AH75" s="21"/>
      <c r="AI75" s="110">
        <v>0.72916666666666696</v>
      </c>
      <c r="AJ75" s="211">
        <f>IF('Temperature Profiles'!AA74&gt;17,(0.0029*('Temperature Profiles'!AA74^2) - 0.0863*'Temperature Profiles'!AA74 + 0.6808)*1000,0)</f>
        <v>0</v>
      </c>
      <c r="AK75" s="110">
        <v>0.72916666666666696</v>
      </c>
      <c r="AL75" s="211">
        <f>IF('Temperature Profiles'!AA74&gt;17,(0.005*('Temperature Profiles'!AA74^2) - 0.1517*'Temperature Profiles'!AA74 + 1.1701)*1000,0)</f>
        <v>0</v>
      </c>
      <c r="AM75" s="110">
        <v>0.72916666666666696</v>
      </c>
      <c r="AN75" s="211">
        <f>IF('Temperature Profiles'!AA74&gt;17,(0.0068*('Temperature Profiles'!AA74^2) - 0.2129*'Temperature Profiles'!AA74 + 1.6904)*1000,0)</f>
        <v>0</v>
      </c>
      <c r="AO75" s="21"/>
      <c r="AP75" s="110">
        <v>0.72916666666666696</v>
      </c>
      <c r="AQ75" s="211">
        <f>IF('Temperature Profiles'!AF74&gt;17,(0.0029*('Temperature Profiles'!AF74^2) - 0.0863*'Temperature Profiles'!AF74 + 0.6808)*1000,0)</f>
        <v>1412.1982013888883</v>
      </c>
      <c r="AR75" s="110">
        <v>0.72916666666666696</v>
      </c>
      <c r="AS75" s="183">
        <f>IF('Temperature Profiles'!AF74&gt;17,(0.005*('Temperature Profiles'!AF74^2) - 0.1517*'Temperature Profiles'!AF74 + 1.1702)*1000,0)</f>
        <v>2324.7178472222222</v>
      </c>
      <c r="AT75" s="110">
        <v>0.72916666666666696</v>
      </c>
      <c r="AU75" s="211">
        <f>IF('Temperature Profiles'!AF74&gt;17,(0.0068*('Temperature Profiles'!AF74^2) - 0.2129*'Temperature Profiles'!AF74 + 1.6904)*1000,0)</f>
        <v>3019.1489722222209</v>
      </c>
      <c r="AV75" s="21"/>
      <c r="AW75" s="110">
        <v>0.72916666666666696</v>
      </c>
      <c r="AX75" s="211"/>
      <c r="AY75" s="21"/>
      <c r="AZ75" s="110">
        <v>0.72916666666666696</v>
      </c>
      <c r="BA75" s="264"/>
      <c r="BC75" s="260">
        <v>0.72916666666666696</v>
      </c>
      <c r="BD75" s="211">
        <f>IF('Temperature Profiles'!G74&lt;16,(-0.0037*'Temperature Profiles'!G74+0.0664)*1000,0)</f>
        <v>0</v>
      </c>
      <c r="BE75" s="110">
        <v>0.72916666666666696</v>
      </c>
      <c r="BF75" s="211">
        <f>IF('Temperature Profiles'!G74&lt;16,(-0.0076*'Temperature Profiles'!G74+0.1245)*1000,0)</f>
        <v>0</v>
      </c>
      <c r="BG75" s="110">
        <v>0.72916666666666696</v>
      </c>
      <c r="BH75" s="211">
        <f>IF('Temperature Profiles'!G74&lt;16,(-0.01*'Temperature Profiles'!G74+0.167)*1000,0)</f>
        <v>0</v>
      </c>
      <c r="BI75" s="21"/>
      <c r="BJ75" s="110">
        <v>0.72916666666666696</v>
      </c>
      <c r="BK75" s="211">
        <f>IF('Temperature Profiles'!L74&lt;16,(-0.0037*'Temperature Profiles'!L74+0.0664)*1000,0)</f>
        <v>0</v>
      </c>
      <c r="BL75" s="110">
        <v>0.72916666666666696</v>
      </c>
      <c r="BM75" s="211">
        <f>IF('Temperature Profiles'!L74&lt;16,(-0.0076*'Temperature Profiles'!L74+0.1245)*1000,0)</f>
        <v>0</v>
      </c>
      <c r="BN75" s="110">
        <v>0.72916666666666696</v>
      </c>
      <c r="BO75" s="211">
        <f>IF('Temperature Profiles'!L74&lt;16,(-0.01*'Temperature Profiles'!L74+0.167)*1000,0)</f>
        <v>0</v>
      </c>
      <c r="BP75" s="21"/>
      <c r="BQ75" s="110">
        <v>0.72916666666666696</v>
      </c>
      <c r="BR75" s="211">
        <f>IF('Temperature Profiles'!Q74&lt;16,(-0.0037*'Temperature Profiles'!Q74+0.0664)*1000,0)</f>
        <v>0</v>
      </c>
      <c r="BS75" s="110">
        <v>0.72916666666666696</v>
      </c>
      <c r="BT75" s="211">
        <f>IF('Temperature Profiles'!Q74&lt;16,(-0.0076*'Temperature Profiles'!Q74+0.1245)*1000,0)</f>
        <v>0</v>
      </c>
      <c r="BU75" s="110">
        <v>0.72916666666666696</v>
      </c>
      <c r="BV75" s="211">
        <f>IF('Temperature Profiles'!Q74&lt;16,(-0.01*'Temperature Profiles'!Q74+0.167)*1000,0)</f>
        <v>0</v>
      </c>
      <c r="BW75" s="21"/>
      <c r="BX75" s="110">
        <v>0.72916666666666696</v>
      </c>
      <c r="BY75" s="211">
        <f>IF('Temperature Profiles'!V74&lt;16,(-0.0037*'Temperature Profiles'!V74+0.0664)*1000,0)</f>
        <v>0</v>
      </c>
      <c r="BZ75" s="110">
        <v>0.72916666666666696</v>
      </c>
      <c r="CA75" s="211">
        <f>IF('Temperature Profiles'!V74&lt;16,(-0.0076*'Temperature Profiles'!V74+0.1245)*1000,0)</f>
        <v>0</v>
      </c>
      <c r="CB75" s="110">
        <v>0.72916666666666696</v>
      </c>
      <c r="CC75" s="211">
        <f>IF('Temperature Profiles'!V74&lt;16,(-0.01*'Temperature Profiles'!V74+0.167)*1000,0)</f>
        <v>0</v>
      </c>
      <c r="CD75" s="21"/>
      <c r="CE75" s="110">
        <v>0.72916666666666696</v>
      </c>
      <c r="CF75" s="211">
        <f>IF('Temperature Profiles'!AA74&lt;16,(-0.0037*'Temperature Profiles'!AA74+0.0664)*1000,0)</f>
        <v>86.040833333333339</v>
      </c>
      <c r="CG75" s="110">
        <v>0.72916666666666696</v>
      </c>
      <c r="CH75" s="178">
        <f>IF('Temperature Profiles'!AA74&lt;16,(-0.0076*'Temperature Profiles'!AA74+0.1245)*1000,0)</f>
        <v>164.84333333333333</v>
      </c>
      <c r="CI75" s="110">
        <v>0.72916666666666696</v>
      </c>
      <c r="CJ75" s="211">
        <f>IF('Temperature Profiles'!AA74&lt;16,(-0.01*'Temperature Profiles'!AA74+0.167)*1000,0)</f>
        <v>220.08333333333334</v>
      </c>
      <c r="CK75" s="21"/>
      <c r="CL75" s="110">
        <v>0.72916666666666696</v>
      </c>
      <c r="CM75" s="211">
        <f>IF('Temperature Profiles'!AF74&lt;16,(-0.0037*'Temperature Profiles'!AF74+0.0664)*1000,0)</f>
        <v>0</v>
      </c>
      <c r="CN75" s="110">
        <v>0.72916666666666696</v>
      </c>
      <c r="CO75" s="178">
        <f>IF('Temperature Profiles'!AF74&lt;16,(-0.0076*'Temperature Profiles'!AF74+0.1245)*1000,0)</f>
        <v>0</v>
      </c>
      <c r="CP75" s="110">
        <v>0.72916666666666696</v>
      </c>
      <c r="CQ75" s="211">
        <f>IF('Temperature Profiles'!AF74&lt;16,(-0.01*'Temperature Profiles'!AF74+0.167)*1000,0)</f>
        <v>0</v>
      </c>
      <c r="CR75" s="21"/>
      <c r="CS75" s="110">
        <v>0.72916666666666696</v>
      </c>
      <c r="CT75" s="211"/>
      <c r="CU75" s="21"/>
      <c r="CV75" s="110">
        <v>0.72916666666666696</v>
      </c>
      <c r="CW75" s="264"/>
      <c r="CY75" s="260">
        <v>0.72916666666666696</v>
      </c>
      <c r="CZ75" s="178">
        <f>IF('Temperature Profiles'!G74&gt;18,(0.0024*('Temperature Profiles'!G74^2)-0.0581*'Temperature Profiles'!G74+0.3293)*1000,IF('Temperature Profiles'!G74&lt;17,(0.0022*('Temperature Profiles'!G74^2)-0.0874*'Temperature Profiles'!G74+0.9301)*1000,0))</f>
        <v>345.45899999999978</v>
      </c>
      <c r="DA75" s="110">
        <v>0.72916666666666696</v>
      </c>
      <c r="DB75" s="263">
        <f>IF('Temperature Profiles'!G74&gt;18,(0.0043*('Temperature Profiles'!G74^2)-0.1116*'Temperature Profiles'!G74+0.6576)*1000,IF('Temperature Profiles'!G74&lt;17,(0.0053*('Temperature Profiles'!G74^2)-0.1876*'Temperature Profiles'!G74+1.7649)*1000,0))</f>
        <v>502.8245277777774</v>
      </c>
      <c r="DC75" s="110">
        <v>0.72916666666666696</v>
      </c>
      <c r="DD75" s="211">
        <f>IF('Temperature Profiles'!G74&gt;18,(0.0057*('Temperature Profiles'!G74^2)-0.1509*'Temperature Profiles'!G74+0.8935)*1000,IF('Temperature Profiles'!G74&lt;17,(0.0072*('Temperature Profiles'!G74^2)-0.254*'Temperature Profiles'!G74+2.3952)*1000,0))</f>
        <v>615.73658333333276</v>
      </c>
      <c r="DE75" s="21"/>
      <c r="DF75" s="110">
        <v>0.72916666666666696</v>
      </c>
      <c r="DG75" s="209">
        <f>IF('Temperature Profiles'!L74&gt;18,(0.0024*('Temperature Profiles'!L74^2)-0.0581*'Temperature Profiles'!L74+0.3293)*1000,IF('Temperature Profiles'!L74&lt;17,(0.0022*('Temperature Profiles'!L74^2)-0.0874*'Temperature Profiles'!L74+0.9301)*1000,0))</f>
        <v>530.65099999999995</v>
      </c>
      <c r="DH75" s="110">
        <v>0.72916666666666696</v>
      </c>
      <c r="DI75" s="209">
        <f>IF('Temperature Profiles'!L74&gt;18,(0.0043*('Temperature Profiles'!L74^2)-0.1116*'Temperature Profiles'!L74+0.6576)*1000,IF('Temperature Profiles'!L74&lt;17,(0.0053*('Temperature Profiles'!L74^2)-0.1876*'Temperature Profiles'!L74+1.7649)*1000,0))</f>
        <v>813.61519444444457</v>
      </c>
      <c r="DJ75" s="110">
        <v>0.72916666666666696</v>
      </c>
      <c r="DK75" s="211">
        <f>IF('Temperature Profiles'!L74&gt;18,(0.0057*('Temperature Profiles'!L74^2)-0.1509*'Temperature Profiles'!L74+0.8935)*1000,IF('Temperature Profiles'!L74&lt;17,(0.0072*('Temperature Profiles'!L74^2)-0.254*'Temperature Profiles'!L74+2.3952)*1000,0))</f>
        <v>1019.4125833333331</v>
      </c>
      <c r="DL75" s="21"/>
      <c r="DM75" s="110">
        <v>0.72916666666666696</v>
      </c>
      <c r="DN75" s="209">
        <f>IF('Temperature Profiles'!Q74&gt;18,(0.0024*('Temperature Profiles'!Q74^2)-0.0581*'Temperature Profiles'!Q74+0.3293)*1000,IF('Temperature Profiles'!Q74&lt;17,(0.0022*('Temperature Profiles'!Q74^2)-0.0874*'Temperature Profiles'!Q74+0.9301)*1000,0))</f>
        <v>1170.7240000000006</v>
      </c>
      <c r="DO75" s="110">
        <v>0.72916666666666696</v>
      </c>
      <c r="DP75" s="209">
        <f>IF('Temperature Profiles'!Q74&gt;18,(0.0043*('Temperature Profiles'!Q74^2)-0.1116*'Temperature Profiles'!Q74+0.6576)*1000,IF('Temperature Profiles'!Q74&lt;17,(0.0053*('Temperature Profiles'!Q74^2)-0.1876*'Temperature Profiles'!Q74+1.7649)*1000,0))</f>
        <v>1907.0080000000007</v>
      </c>
      <c r="DQ75" s="110">
        <v>0.72916666666666696</v>
      </c>
      <c r="DR75" s="211">
        <f>IF('Temperature Profiles'!Q74&gt;18,(0.0057*('Temperature Profiles'!Q74^2)-0.1509*'Temperature Profiles'!Q74+0.8935)*1000,IF('Temperature Profiles'!Q74&lt;17,(0.0072*('Temperature Profiles'!Q74^2)-0.254*'Temperature Profiles'!Q74+2.3952)*1000,0))</f>
        <v>2447.6920000000014</v>
      </c>
      <c r="DS75" s="21"/>
      <c r="DT75" s="110">
        <v>0.72916666666666696</v>
      </c>
      <c r="DU75" s="209">
        <f>IF('Temperature Profiles'!V74&gt;18,(0.0024*('Temperature Profiles'!V74^2)-0.0581*'Temperature Profiles'!V74+0.3293)*1000,IF('Temperature Profiles'!V74&lt;17,(0.0022*('Temperature Profiles'!V74^2)-0.0874*'Temperature Profiles'!V74+0.9301)*1000,0))</f>
        <v>0</v>
      </c>
      <c r="DV75" s="110">
        <v>0.72916666666666696</v>
      </c>
      <c r="DW75" s="209">
        <f>IF('Temperature Profiles'!V74&gt;18,(0.0043*('Temperature Profiles'!V74^2)-0.1116*'Temperature Profiles'!V74+0.6576)*1000,IF('Temperature Profiles'!V74&lt;17,(0.0053*('Temperature Profiles'!V74^2)-0.1876*'Temperature Profiles'!V74+1.7649)*1000,0))</f>
        <v>0</v>
      </c>
      <c r="DX75" s="110">
        <v>0.72916666666666696</v>
      </c>
      <c r="DY75" s="211">
        <f>IF('Temperature Profiles'!V74&gt;18,(0.0057*('Temperature Profiles'!V74^2)-0.1509*'Temperature Profiles'!V74+0.8935)*1000,IF('Temperature Profiles'!V74&lt;17,(0.0072*('Temperature Profiles'!V74^2)-0.254*'Temperature Profiles'!V74+2.3952)*1000,0))</f>
        <v>0</v>
      </c>
      <c r="DZ75" s="21"/>
      <c r="EA75" s="110">
        <v>0.72916666666666696</v>
      </c>
      <c r="EB75" s="209">
        <f>IF('Temperature Profiles'!AA173&gt;18,(0.0024*('Temperature Profiles'!AA173^2)-0.0581*'Temperature Profiles'!AA173+0.3293)*1000,IF('Temperature Profiles'!AA173&lt;17,(0.0022*('Temperature Profiles'!AA173^2)-0.0874*'Temperature Profiles'!AA173+0.9301)*1000,0))</f>
        <v>410.23994444444446</v>
      </c>
      <c r="EC75" s="110">
        <v>0.72916666666666696</v>
      </c>
      <c r="ED75" s="209">
        <f>IF('Temperature Profiles'!AA173&gt;18,(0.0043*('Temperature Profiles'!AA173^2)-0.1116*'Temperature Profiles'!AA173+0.6576)*1000,IF('Temperature Profiles'!AA173&lt;17,(0.0053*('Temperature Profiles'!AA173^2)-0.1876*'Temperature Profiles'!AA173+1.7649)*1000,0))</f>
        <v>679.69547222222218</v>
      </c>
      <c r="EE75" s="110">
        <v>0.72916666666666696</v>
      </c>
      <c r="EF75" s="211">
        <f>IF('Temperature Profiles'!AA173&gt;18,(0.0057*('Temperature Profiles'!AA173^2)-0.1509*'Temperature Profiles'!AA173+0.8935)*1000,IF('Temperature Profiles'!AA173&lt;17,(0.0072*('Temperature Profiles'!AA173^2)-0.254*'Temperature Profiles'!AA173+2.3952)*1000,0))</f>
        <v>927.17133333333334</v>
      </c>
      <c r="EG75" s="21"/>
      <c r="EH75" s="110">
        <v>0.72916666666666696</v>
      </c>
      <c r="EI75" s="211">
        <f>IF('Temperature Profiles'!AF74&gt;18,(0.0024*('Temperature Profiles'!AF74^2)-0.0581*'Temperature Profiles'!AF74+0.3293)*1000,IF('Temperature Profiles'!AF74&lt;17,(0.0022*('Temperature Profiles'!AF74^2)-0.0874*'Temperature Profiles'!AF74+0.9301)*1000,0))</f>
        <v>1422.6873333333328</v>
      </c>
      <c r="EJ75" s="110">
        <v>0.72916666666666696</v>
      </c>
      <c r="EK75" s="211">
        <f>IF('Temperature Profiles'!AF74&gt;18,(0.0043*('Temperature Profiles'!AF74^2)-0.1116*'Temperature Profiles'!AF74+0.6576)*1000,IF('Temperature Profiles'!AF74&lt;17,(0.0053*('Temperature Profiles'!AF74^2)-0.1876*'Temperature Profiles'!AF74+1.7649)*1000,0))</f>
        <v>2341.6204652777765</v>
      </c>
      <c r="EL75" s="110">
        <v>0.72916666666666696</v>
      </c>
      <c r="EM75" s="211">
        <f>IF('Temperature Profiles'!AF74&gt;18,(0.0057*('Temperature Profiles'!AF74^2)-0.1509*'Temperature Profiles'!AF74+0.8935)*1000,IF('Temperature Profiles'!AF74&lt;17,(0.0072*('Temperature Profiles'!AF74^2)-0.254*'Temperature Profiles'!AF74+2.3952)*1000,0))</f>
        <v>3017.1593958333324</v>
      </c>
      <c r="EN75" s="21"/>
      <c r="EO75" s="110">
        <v>0.72916666666666696</v>
      </c>
      <c r="EP75" s="211"/>
      <c r="EQ75" s="21"/>
      <c r="ER75" s="110">
        <v>0.72916666666666696</v>
      </c>
      <c r="ES75" s="264"/>
      <c r="EU75" s="260">
        <v>0.72916666666666696</v>
      </c>
      <c r="EV75" s="209">
        <f>IF('Temperature Profiles'!AA173&gt;18,(0.0024*('Temperature Profiles'!AA173^2)-0.0581*'Temperature Profiles'!AA173+0.3293)*1000,IF('Temperature Profiles'!AA173&lt;17,(0.0022*('Temperature Profiles'!AA173^2)-0.0874*'Temperature Profiles'!AA173+0.9301)*1000,0))</f>
        <v>410.23994444444446</v>
      </c>
      <c r="EW75" s="110">
        <v>0.72916666666666696</v>
      </c>
      <c r="EX75" s="209">
        <f>IF('Temperature Profiles'!AA173&gt;18,(0.0043*('Temperature Profiles'!AA173^2)-0.1116*'Temperature Profiles'!AA173+0.6576)*1000,IF('Temperature Profiles'!AA173&lt;17,(0.0053*('Temperature Profiles'!AA173^2)-0.1876*'Temperature Profiles'!AA173+1.7649)*1000,0))</f>
        <v>679.69547222222218</v>
      </c>
      <c r="EY75" s="110">
        <v>0.72916666666666696</v>
      </c>
      <c r="EZ75" s="264">
        <f>IF('Temperature Profiles'!AA173&gt;18,(0.0057*('Temperature Profiles'!AA173^2)-0.1509*'Temperature Profiles'!AA173+0.8935)*1000,IF('Temperature Profiles'!AA173&lt;17,(0.0072*('Temperature Profiles'!AA173^2)-0.254*'Temperature Profiles'!AA173+2.3952)*1000,0))</f>
        <v>927.17133333333334</v>
      </c>
    </row>
    <row r="76" spans="1:156" x14ac:dyDescent="0.3">
      <c r="A76" s="108">
        <v>0.72916666666666696</v>
      </c>
      <c r="B76" s="226">
        <f t="shared" si="4"/>
        <v>0</v>
      </c>
      <c r="C76" s="21">
        <f t="shared" si="5"/>
        <v>220.08333333333334</v>
      </c>
      <c r="D76" s="20">
        <f t="shared" si="6"/>
        <v>927.17133333333334</v>
      </c>
      <c r="E76" s="20">
        <f t="shared" si="7"/>
        <v>927.17133333333334</v>
      </c>
      <c r="G76" s="260">
        <v>0.73958333333333304</v>
      </c>
      <c r="H76" s="211">
        <f>IF('Temperature Profiles'!G75&gt;17,(0.0029*('Temperature Profiles'!G75^2) - 0.0863*'Temperature Profiles'!G75 + 0.6808)*1000,0)</f>
        <v>306.24580555555536</v>
      </c>
      <c r="I76" s="110">
        <v>0.73958333333333304</v>
      </c>
      <c r="J76" s="211">
        <f>IF('Temperature Profiles'!G75&gt;17,(0.005*('Temperature Profiles'!G75^2) - 0.1517*'Temperature Profiles'!G75 + 1.1702)*1000,0)</f>
        <v>453.2463888888887</v>
      </c>
      <c r="K76" s="110">
        <v>0.73958333333333304</v>
      </c>
      <c r="L76" s="211">
        <f>IF('Temperature Profiles'!G75&gt;17,(0.0068*('Temperature Profiles'!G75^2) - 0.2129*'Temperature Profiles'!G75 + 1.6904)*1000,0)</f>
        <v>554.04688888888791</v>
      </c>
      <c r="M76" s="21"/>
      <c r="N76" s="110">
        <v>0.73958333333333304</v>
      </c>
      <c r="O76" s="211">
        <f>IF('Temperature Profiles'!L75&gt;17,(0.0029*('Temperature Profiles'!L75^2) - 0.0863*'Temperature Profiles'!L75 + 0.6808)*1000,0)</f>
        <v>484.95113888888886</v>
      </c>
      <c r="P76" s="110">
        <v>0.73958333333333304</v>
      </c>
      <c r="Q76" s="211">
        <f>IF('Temperature Profiles'!L75&gt;17,(0.005*('Temperature Profiles'!L75^2) - 0.1517*'Temperature Profiles'!L75 + 1.1702)*1000,0)</f>
        <v>753.21972222222212</v>
      </c>
      <c r="R76" s="110">
        <v>0.73958333333333304</v>
      </c>
      <c r="S76" s="211">
        <f>IF('Temperature Profiles'!L75&gt;17,(0.0068*('Temperature Profiles'!L75^2) - 0.2129*'Temperature Profiles'!L75 + 1.6904)*1000,0)</f>
        <v>943.56422222222182</v>
      </c>
      <c r="T76" s="21"/>
      <c r="U76" s="110">
        <v>0.73958333333333304</v>
      </c>
      <c r="V76" s="211">
        <f>IF('Temperature Profiles'!Q75&gt;17,(0.0029*('Temperature Profiles'!Q75^2) - 0.0863*'Temperature Profiles'!Q75 + 0.6808)*1000,0)</f>
        <v>1143.8239999999998</v>
      </c>
      <c r="W76" s="110">
        <v>0.73958333333333304</v>
      </c>
      <c r="X76" s="211">
        <f>IF('Temperature Profiles'!Q75&gt;17,(0.005*('Temperature Profiles'!Q75^2) - 0.1517*'Temperature Profiles'!Q75 + 1.1702)*1000,0)</f>
        <v>1868.5200000000007</v>
      </c>
      <c r="Y76" s="110">
        <v>0.73958333333333304</v>
      </c>
      <c r="Z76" s="211">
        <f>IF('Temperature Profiles'!Q75&gt;17,(0.0068*('Temperature Profiles'!Q75^2) - 0.2129*'Temperature Profiles'!Q75 + 1.6904)*1000,0)</f>
        <v>2413.4880000000007</v>
      </c>
      <c r="AA76" s="21"/>
      <c r="AB76" s="110">
        <v>0.73958333333333304</v>
      </c>
      <c r="AC76" s="211">
        <f>IF('Temperature Profiles'!V75&gt;17,(0.0029*('Temperature Profiles'!V75^2) - 0.0863*'Temperature Profiles'!V75 + 0.6808)*1000,0)</f>
        <v>63.495999999999775</v>
      </c>
      <c r="AD76" s="110">
        <v>0.73958333333333304</v>
      </c>
      <c r="AE76" s="211">
        <f>IF('Temperature Profiles'!V75&gt;17,(0.005*('Temperature Profiles'!V75^2) - 0.1517*'Temperature Profiles'!V75 + 1.1702)*1000,0)</f>
        <v>54.140000000000079</v>
      </c>
      <c r="AF76" s="110">
        <v>0.73958333333333304</v>
      </c>
      <c r="AG76" s="211">
        <f>IF('Temperature Profiles'!V75&gt;17,(0.0068*('Temperature Profiles'!V75^2) - 0.2129*'Temperature Profiles'!V75 + 1.6904)*1000,0)</f>
        <v>55.291999999999675</v>
      </c>
      <c r="AH76" s="21"/>
      <c r="AI76" s="110">
        <v>0.73958333333333304</v>
      </c>
      <c r="AJ76" s="211">
        <f>IF('Temperature Profiles'!AA75&gt;17,(0.0029*('Temperature Profiles'!AA75^2) - 0.0863*'Temperature Profiles'!AA75 + 0.6808)*1000,0)</f>
        <v>0</v>
      </c>
      <c r="AK76" s="110">
        <v>0.73958333333333304</v>
      </c>
      <c r="AL76" s="211">
        <f>IF('Temperature Profiles'!AA75&gt;17,(0.005*('Temperature Profiles'!AA75^2) - 0.1517*'Temperature Profiles'!AA75 + 1.1701)*1000,0)</f>
        <v>0</v>
      </c>
      <c r="AM76" s="110">
        <v>0.73958333333333304</v>
      </c>
      <c r="AN76" s="211">
        <f>IF('Temperature Profiles'!AA75&gt;17,(0.0068*('Temperature Profiles'!AA75^2) - 0.2129*'Temperature Profiles'!AA75 + 1.6904)*1000,0)</f>
        <v>0</v>
      </c>
      <c r="AO76" s="21"/>
      <c r="AP76" s="110">
        <v>0.73958333333333304</v>
      </c>
      <c r="AQ76" s="211">
        <f>IF('Temperature Profiles'!AF75&gt;17,(0.0029*('Temperature Profiles'!AF75^2) - 0.0863*'Temperature Profiles'!AF75 + 0.6808)*1000,0)</f>
        <v>1412.1982013888883</v>
      </c>
      <c r="AR76" s="110">
        <v>0.73958333333333304</v>
      </c>
      <c r="AS76" s="183">
        <f>IF('Temperature Profiles'!AF75&gt;17,(0.005*('Temperature Profiles'!AF75^2) - 0.1517*'Temperature Profiles'!AF75 + 1.1702)*1000,0)</f>
        <v>2324.7178472222222</v>
      </c>
      <c r="AT76" s="110">
        <v>0.73958333333333304</v>
      </c>
      <c r="AU76" s="211">
        <f>IF('Temperature Profiles'!AF75&gt;17,(0.0068*('Temperature Profiles'!AF75^2) - 0.2129*'Temperature Profiles'!AF75 + 1.6904)*1000,0)</f>
        <v>3019.1489722222209</v>
      </c>
      <c r="AV76" s="21"/>
      <c r="AW76" s="110">
        <v>0.73958333333333304</v>
      </c>
      <c r="AX76" s="211"/>
      <c r="AY76" s="21"/>
      <c r="AZ76" s="110">
        <v>0.73958333333333304</v>
      </c>
      <c r="BA76" s="264"/>
      <c r="BC76" s="260">
        <v>0.73958333333333304</v>
      </c>
      <c r="BD76" s="211">
        <f>IF('Temperature Profiles'!G75&lt;16,(-0.0037*'Temperature Profiles'!G75+0.0664)*1000,0)</f>
        <v>0</v>
      </c>
      <c r="BE76" s="110">
        <v>0.73958333333333304</v>
      </c>
      <c r="BF76" s="211">
        <f>IF('Temperature Profiles'!G75&lt;16,(-0.0076*'Temperature Profiles'!G75+0.1245)*1000,0)</f>
        <v>0</v>
      </c>
      <c r="BG76" s="110">
        <v>0.73958333333333304</v>
      </c>
      <c r="BH76" s="211">
        <f>IF('Temperature Profiles'!G75&lt;16,(-0.01*'Temperature Profiles'!G75+0.167)*1000,0)</f>
        <v>0</v>
      </c>
      <c r="BI76" s="21"/>
      <c r="BJ76" s="110">
        <v>0.73958333333333304</v>
      </c>
      <c r="BK76" s="211">
        <f>IF('Temperature Profiles'!L75&lt;16,(-0.0037*'Temperature Profiles'!L75+0.0664)*1000,0)</f>
        <v>0</v>
      </c>
      <c r="BL76" s="110">
        <v>0.73958333333333304</v>
      </c>
      <c r="BM76" s="211">
        <f>IF('Temperature Profiles'!L75&lt;16,(-0.0076*'Temperature Profiles'!L75+0.1245)*1000,0)</f>
        <v>0</v>
      </c>
      <c r="BN76" s="110">
        <v>0.73958333333333304</v>
      </c>
      <c r="BO76" s="211">
        <f>IF('Temperature Profiles'!L75&lt;16,(-0.01*'Temperature Profiles'!L75+0.167)*1000,0)</f>
        <v>0</v>
      </c>
      <c r="BP76" s="21"/>
      <c r="BQ76" s="110">
        <v>0.73958333333333304</v>
      </c>
      <c r="BR76" s="211">
        <f>IF('Temperature Profiles'!Q75&lt;16,(-0.0037*'Temperature Profiles'!Q75+0.0664)*1000,0)</f>
        <v>0</v>
      </c>
      <c r="BS76" s="110">
        <v>0.73958333333333304</v>
      </c>
      <c r="BT76" s="211">
        <f>IF('Temperature Profiles'!Q75&lt;16,(-0.0076*'Temperature Profiles'!Q75+0.1245)*1000,0)</f>
        <v>0</v>
      </c>
      <c r="BU76" s="110">
        <v>0.73958333333333304</v>
      </c>
      <c r="BV76" s="211">
        <f>IF('Temperature Profiles'!Q75&lt;16,(-0.01*'Temperature Profiles'!Q75+0.167)*1000,0)</f>
        <v>0</v>
      </c>
      <c r="BW76" s="21"/>
      <c r="BX76" s="110">
        <v>0.73958333333333304</v>
      </c>
      <c r="BY76" s="211">
        <f>IF('Temperature Profiles'!V75&lt;16,(-0.0037*'Temperature Profiles'!V75+0.0664)*1000,0)</f>
        <v>0</v>
      </c>
      <c r="BZ76" s="110">
        <v>0.73958333333333304</v>
      </c>
      <c r="CA76" s="211">
        <f>IF('Temperature Profiles'!V75&lt;16,(-0.0076*'Temperature Profiles'!V75+0.1245)*1000,0)</f>
        <v>0</v>
      </c>
      <c r="CB76" s="110">
        <v>0.73958333333333304</v>
      </c>
      <c r="CC76" s="211">
        <f>IF('Temperature Profiles'!V75&lt;16,(-0.01*'Temperature Profiles'!V75+0.167)*1000,0)</f>
        <v>0</v>
      </c>
      <c r="CD76" s="21"/>
      <c r="CE76" s="110">
        <v>0.73958333333333304</v>
      </c>
      <c r="CF76" s="211">
        <f>IF('Temperature Profiles'!AA75&lt;16,(-0.0037*'Temperature Profiles'!AA75+0.0664)*1000,0)</f>
        <v>86.040833333333339</v>
      </c>
      <c r="CG76" s="110">
        <v>0.73958333333333304</v>
      </c>
      <c r="CH76" s="178">
        <f>IF('Temperature Profiles'!AA75&lt;16,(-0.0076*'Temperature Profiles'!AA75+0.1245)*1000,0)</f>
        <v>164.84333333333333</v>
      </c>
      <c r="CI76" s="110">
        <v>0.73958333333333304</v>
      </c>
      <c r="CJ76" s="211">
        <f>IF('Temperature Profiles'!AA75&lt;16,(-0.01*'Temperature Profiles'!AA75+0.167)*1000,0)</f>
        <v>220.08333333333334</v>
      </c>
      <c r="CK76" s="21"/>
      <c r="CL76" s="110">
        <v>0.73958333333333304</v>
      </c>
      <c r="CM76" s="211">
        <f>IF('Temperature Profiles'!AF75&lt;16,(-0.0037*'Temperature Profiles'!AF75+0.0664)*1000,0)</f>
        <v>0</v>
      </c>
      <c r="CN76" s="110">
        <v>0.73958333333333304</v>
      </c>
      <c r="CO76" s="178">
        <f>IF('Temperature Profiles'!AF75&lt;16,(-0.0076*'Temperature Profiles'!AF75+0.1245)*1000,0)</f>
        <v>0</v>
      </c>
      <c r="CP76" s="110">
        <v>0.73958333333333304</v>
      </c>
      <c r="CQ76" s="211">
        <f>IF('Temperature Profiles'!AF75&lt;16,(-0.01*'Temperature Profiles'!AF75+0.167)*1000,0)</f>
        <v>0</v>
      </c>
      <c r="CR76" s="21"/>
      <c r="CS76" s="110">
        <v>0.73958333333333304</v>
      </c>
      <c r="CT76" s="211"/>
      <c r="CU76" s="21"/>
      <c r="CV76" s="110">
        <v>0.73958333333333304</v>
      </c>
      <c r="CW76" s="264"/>
      <c r="CY76" s="260">
        <v>0.73958333333333304</v>
      </c>
      <c r="CZ76" s="178">
        <f>IF('Temperature Profiles'!G75&gt;18,(0.0024*('Temperature Profiles'!G75^2)-0.0581*'Temperature Profiles'!G75+0.3293)*1000,IF('Temperature Profiles'!G75&lt;17,(0.0022*('Temperature Profiles'!G75^2)-0.0874*'Temperature Profiles'!G75+0.9301)*1000,0))</f>
        <v>345.45899999999978</v>
      </c>
      <c r="DA76" s="110">
        <v>0.73958333333333304</v>
      </c>
      <c r="DB76" s="263">
        <f>IF('Temperature Profiles'!G75&gt;18,(0.0043*('Temperature Profiles'!G75^2)-0.1116*'Temperature Profiles'!G75+0.6576)*1000,IF('Temperature Profiles'!G75&lt;17,(0.0053*('Temperature Profiles'!G75^2)-0.1876*'Temperature Profiles'!G75+1.7649)*1000,0))</f>
        <v>502.8245277777774</v>
      </c>
      <c r="DC76" s="110">
        <v>0.73958333333333304</v>
      </c>
      <c r="DD76" s="211">
        <f>IF('Temperature Profiles'!G75&gt;18,(0.0057*('Temperature Profiles'!G75^2)-0.1509*'Temperature Profiles'!G75+0.8935)*1000,IF('Temperature Profiles'!G75&lt;17,(0.0072*('Temperature Profiles'!G75^2)-0.254*'Temperature Profiles'!G75+2.3952)*1000,0))</f>
        <v>615.73658333333276</v>
      </c>
      <c r="DE76" s="21"/>
      <c r="DF76" s="110">
        <v>0.73958333333333304</v>
      </c>
      <c r="DG76" s="209">
        <f>IF('Temperature Profiles'!L75&gt;18,(0.0024*('Temperature Profiles'!L75^2)-0.0581*'Temperature Profiles'!L75+0.3293)*1000,IF('Temperature Profiles'!L75&lt;17,(0.0022*('Temperature Profiles'!L75^2)-0.0874*'Temperature Profiles'!L75+0.9301)*1000,0))</f>
        <v>530.65099999999995</v>
      </c>
      <c r="DH76" s="110">
        <v>0.73958333333333304</v>
      </c>
      <c r="DI76" s="209">
        <f>IF('Temperature Profiles'!L75&gt;18,(0.0043*('Temperature Profiles'!L75^2)-0.1116*'Temperature Profiles'!L75+0.6576)*1000,IF('Temperature Profiles'!L75&lt;17,(0.0053*('Temperature Profiles'!L75^2)-0.1876*'Temperature Profiles'!L75+1.7649)*1000,0))</f>
        <v>813.61519444444457</v>
      </c>
      <c r="DJ76" s="110">
        <v>0.73958333333333304</v>
      </c>
      <c r="DK76" s="211">
        <f>IF('Temperature Profiles'!L75&gt;18,(0.0057*('Temperature Profiles'!L75^2)-0.1509*'Temperature Profiles'!L75+0.8935)*1000,IF('Temperature Profiles'!L75&lt;17,(0.0072*('Temperature Profiles'!L75^2)-0.254*'Temperature Profiles'!L75+2.3952)*1000,0))</f>
        <v>1019.4125833333331</v>
      </c>
      <c r="DL76" s="21"/>
      <c r="DM76" s="110">
        <v>0.73958333333333304</v>
      </c>
      <c r="DN76" s="209">
        <f>IF('Temperature Profiles'!Q75&gt;18,(0.0024*('Temperature Profiles'!Q75^2)-0.0581*'Temperature Profiles'!Q75+0.3293)*1000,IF('Temperature Profiles'!Q75&lt;17,(0.0022*('Temperature Profiles'!Q75^2)-0.0874*'Temperature Profiles'!Q75+0.9301)*1000,0))</f>
        <v>1170.7240000000006</v>
      </c>
      <c r="DO76" s="110">
        <v>0.73958333333333304</v>
      </c>
      <c r="DP76" s="209">
        <f>IF('Temperature Profiles'!Q75&gt;18,(0.0043*('Temperature Profiles'!Q75^2)-0.1116*'Temperature Profiles'!Q75+0.6576)*1000,IF('Temperature Profiles'!Q75&lt;17,(0.0053*('Temperature Profiles'!Q75^2)-0.1876*'Temperature Profiles'!Q75+1.7649)*1000,0))</f>
        <v>1907.0080000000007</v>
      </c>
      <c r="DQ76" s="110">
        <v>0.73958333333333304</v>
      </c>
      <c r="DR76" s="211">
        <f>IF('Temperature Profiles'!Q75&gt;18,(0.0057*('Temperature Profiles'!Q75^2)-0.1509*'Temperature Profiles'!Q75+0.8935)*1000,IF('Temperature Profiles'!Q75&lt;17,(0.0072*('Temperature Profiles'!Q75^2)-0.254*'Temperature Profiles'!Q75+2.3952)*1000,0))</f>
        <v>2447.6920000000014</v>
      </c>
      <c r="DS76" s="21"/>
      <c r="DT76" s="110">
        <v>0.73958333333333304</v>
      </c>
      <c r="DU76" s="209">
        <f>IF('Temperature Profiles'!V75&gt;18,(0.0024*('Temperature Profiles'!V75^2)-0.0581*'Temperature Profiles'!V75+0.3293)*1000,IF('Temperature Profiles'!V75&lt;17,(0.0022*('Temperature Profiles'!V75^2)-0.0874*'Temperature Profiles'!V75+0.9301)*1000,0))</f>
        <v>0</v>
      </c>
      <c r="DV76" s="110">
        <v>0.73958333333333304</v>
      </c>
      <c r="DW76" s="209">
        <f>IF('Temperature Profiles'!V75&gt;18,(0.0043*('Temperature Profiles'!V75^2)-0.1116*'Temperature Profiles'!V75+0.6576)*1000,IF('Temperature Profiles'!V75&lt;17,(0.0053*('Temperature Profiles'!V75^2)-0.1876*'Temperature Profiles'!V75+1.7649)*1000,0))</f>
        <v>0</v>
      </c>
      <c r="DX76" s="110">
        <v>0.73958333333333304</v>
      </c>
      <c r="DY76" s="211">
        <f>IF('Temperature Profiles'!V75&gt;18,(0.0057*('Temperature Profiles'!V75^2)-0.1509*'Temperature Profiles'!V75+0.8935)*1000,IF('Temperature Profiles'!V75&lt;17,(0.0072*('Temperature Profiles'!V75^2)-0.254*'Temperature Profiles'!V75+2.3952)*1000,0))</f>
        <v>0</v>
      </c>
      <c r="DZ76" s="21"/>
      <c r="EA76" s="110">
        <v>0.73958333333333304</v>
      </c>
      <c r="EB76" s="209">
        <f>IF('Temperature Profiles'!AA174&gt;18,(0.0024*('Temperature Profiles'!AA174^2)-0.0581*'Temperature Profiles'!AA174+0.3293)*1000,IF('Temperature Profiles'!AA174&lt;17,(0.0022*('Temperature Profiles'!AA174^2)-0.0874*'Temperature Profiles'!AA174+0.9301)*1000,0))</f>
        <v>410.23994444444446</v>
      </c>
      <c r="EC76" s="110">
        <v>0.73958333333333304</v>
      </c>
      <c r="ED76" s="209">
        <f>IF('Temperature Profiles'!AA174&gt;18,(0.0043*('Temperature Profiles'!AA174^2)-0.1116*'Temperature Profiles'!AA174+0.6576)*1000,IF('Temperature Profiles'!AA174&lt;17,(0.0053*('Temperature Profiles'!AA174^2)-0.1876*'Temperature Profiles'!AA174+1.7649)*1000,0))</f>
        <v>679.69547222222218</v>
      </c>
      <c r="EE76" s="110">
        <v>0.73958333333333304</v>
      </c>
      <c r="EF76" s="211">
        <f>IF('Temperature Profiles'!AA174&gt;18,(0.0057*('Temperature Profiles'!AA174^2)-0.1509*'Temperature Profiles'!AA174+0.8935)*1000,IF('Temperature Profiles'!AA174&lt;17,(0.0072*('Temperature Profiles'!AA174^2)-0.254*'Temperature Profiles'!AA174+2.3952)*1000,0))</f>
        <v>927.17133333333334</v>
      </c>
      <c r="EG76" s="21"/>
      <c r="EH76" s="110">
        <v>0.73958333333333304</v>
      </c>
      <c r="EI76" s="211">
        <f>IF('Temperature Profiles'!AF75&gt;18,(0.0024*('Temperature Profiles'!AF75^2)-0.0581*'Temperature Profiles'!AF75+0.3293)*1000,IF('Temperature Profiles'!AF75&lt;17,(0.0022*('Temperature Profiles'!AF75^2)-0.0874*'Temperature Profiles'!AF75+0.9301)*1000,0))</f>
        <v>1422.6873333333328</v>
      </c>
      <c r="EJ76" s="110">
        <v>0.73958333333333304</v>
      </c>
      <c r="EK76" s="211">
        <f>IF('Temperature Profiles'!AF75&gt;18,(0.0043*('Temperature Profiles'!AF75^2)-0.1116*'Temperature Profiles'!AF75+0.6576)*1000,IF('Temperature Profiles'!AF75&lt;17,(0.0053*('Temperature Profiles'!AF75^2)-0.1876*'Temperature Profiles'!AF75+1.7649)*1000,0))</f>
        <v>2341.6204652777765</v>
      </c>
      <c r="EL76" s="110">
        <v>0.73958333333333304</v>
      </c>
      <c r="EM76" s="211">
        <f>IF('Temperature Profiles'!AF75&gt;18,(0.0057*('Temperature Profiles'!AF75^2)-0.1509*'Temperature Profiles'!AF75+0.8935)*1000,IF('Temperature Profiles'!AF75&lt;17,(0.0072*('Temperature Profiles'!AF75^2)-0.254*'Temperature Profiles'!AF75+2.3952)*1000,0))</f>
        <v>3017.1593958333324</v>
      </c>
      <c r="EN76" s="21"/>
      <c r="EO76" s="110">
        <v>0.73958333333333304</v>
      </c>
      <c r="EP76" s="211"/>
      <c r="EQ76" s="21"/>
      <c r="ER76" s="110">
        <v>0.73958333333333304</v>
      </c>
      <c r="ES76" s="264"/>
      <c r="EU76" s="260">
        <v>0.73958333333333304</v>
      </c>
      <c r="EV76" s="209">
        <f>IF('Temperature Profiles'!AA174&gt;18,(0.0024*('Temperature Profiles'!AA174^2)-0.0581*'Temperature Profiles'!AA174+0.3293)*1000,IF('Temperature Profiles'!AA174&lt;17,(0.0022*('Temperature Profiles'!AA174^2)-0.0874*'Temperature Profiles'!AA174+0.9301)*1000,0))</f>
        <v>410.23994444444446</v>
      </c>
      <c r="EW76" s="110">
        <v>0.73958333333333304</v>
      </c>
      <c r="EX76" s="209">
        <f>IF('Temperature Profiles'!AA174&gt;18,(0.0043*('Temperature Profiles'!AA174^2)-0.1116*'Temperature Profiles'!AA174+0.6576)*1000,IF('Temperature Profiles'!AA174&lt;17,(0.0053*('Temperature Profiles'!AA174^2)-0.1876*'Temperature Profiles'!AA174+1.7649)*1000,0))</f>
        <v>679.69547222222218</v>
      </c>
      <c r="EY76" s="110">
        <v>0.73958333333333304</v>
      </c>
      <c r="EZ76" s="264">
        <f>IF('Temperature Profiles'!AA174&gt;18,(0.0057*('Temperature Profiles'!AA174^2)-0.1509*'Temperature Profiles'!AA174+0.8935)*1000,IF('Temperature Profiles'!AA174&lt;17,(0.0072*('Temperature Profiles'!AA174^2)-0.254*'Temperature Profiles'!AA174+2.3952)*1000,0))</f>
        <v>927.17133333333334</v>
      </c>
    </row>
    <row r="77" spans="1:156" x14ac:dyDescent="0.3">
      <c r="A77" s="108">
        <v>0.73958333333333304</v>
      </c>
      <c r="B77" s="226">
        <f t="shared" si="4"/>
        <v>0</v>
      </c>
      <c r="C77" s="21">
        <f t="shared" si="5"/>
        <v>220.08333333333334</v>
      </c>
      <c r="D77" s="20">
        <f t="shared" si="6"/>
        <v>927.17133333333334</v>
      </c>
      <c r="E77" s="20">
        <f t="shared" si="7"/>
        <v>927.17133333333334</v>
      </c>
      <c r="G77" s="260">
        <v>0.75</v>
      </c>
      <c r="H77" s="211">
        <f>IF('Temperature Profiles'!G76&gt;17,(0.0029*('Temperature Profiles'!G76^2) - 0.0863*'Temperature Profiles'!G76 + 0.6808)*1000,0)</f>
        <v>223.0002499999998</v>
      </c>
      <c r="I77" s="110">
        <v>0.75</v>
      </c>
      <c r="J77" s="211">
        <f>IF('Temperature Profiles'!G76&gt;17,(0.005*('Temperature Profiles'!G76^2) - 0.1517*'Temperature Profiles'!G76 + 1.1702)*1000,0)</f>
        <v>314.46750000000014</v>
      </c>
      <c r="K77" s="110">
        <v>0.75</v>
      </c>
      <c r="L77" s="211">
        <f>IF('Temperature Profiles'!G76&gt;17,(0.0068*('Temperature Profiles'!G76^2) - 0.2129*'Temperature Profiles'!G76 + 1.6904)*1000,0)</f>
        <v>376.0680000000001</v>
      </c>
      <c r="M77" s="21"/>
      <c r="N77" s="110">
        <v>0.75</v>
      </c>
      <c r="O77" s="211">
        <f>IF('Temperature Profiles'!L76&gt;17,(0.0029*('Temperature Profiles'!L76^2) - 0.0863*'Temperature Profiles'!L76 + 0.6808)*1000,0)</f>
        <v>375.18025</v>
      </c>
      <c r="P77" s="110">
        <v>0.75</v>
      </c>
      <c r="Q77" s="211">
        <f>IF('Temperature Profiles'!L76&gt;17,(0.005*('Temperature Profiles'!L76^2) - 0.1517*'Temperature Profiles'!L76 + 1.1702)*1000,0)</f>
        <v>568.70749999999987</v>
      </c>
      <c r="R77" s="110">
        <v>0.75</v>
      </c>
      <c r="S77" s="211">
        <f>IF('Temperature Profiles'!L76&gt;17,(0.0068*('Temperature Profiles'!L76^2) - 0.2129*'Temperature Profiles'!L76 + 1.6904)*1000,0)</f>
        <v>703.38799999999992</v>
      </c>
      <c r="T77" s="21"/>
      <c r="U77" s="110">
        <v>0.75</v>
      </c>
      <c r="V77" s="211">
        <f>IF('Temperature Profiles'!Q76&gt;17,(0.0029*('Temperature Profiles'!Q76^2) - 0.0863*'Temperature Profiles'!Q76 + 0.6808)*1000,0)</f>
        <v>1111.0482013888889</v>
      </c>
      <c r="W77" s="110">
        <v>0.75</v>
      </c>
      <c r="X77" s="211">
        <f>IF('Temperature Profiles'!Q76&gt;17,(0.005*('Temperature Profiles'!Q76^2) - 0.1517*'Temperature Profiles'!Q76 + 1.1702)*1000,0)</f>
        <v>1812.8578472222227</v>
      </c>
      <c r="Y77" s="110">
        <v>0.75</v>
      </c>
      <c r="Z77" s="211">
        <f>IF('Temperature Profiles'!Q76&gt;17,(0.0068*('Temperature Profiles'!Q76^2) - 0.2129*'Temperature Profiles'!Q76 + 1.6904)*1000,0)</f>
        <v>2339.7089722222222</v>
      </c>
      <c r="AA77" s="21"/>
      <c r="AB77" s="110">
        <v>0.75</v>
      </c>
      <c r="AC77" s="211">
        <f>IF('Temperature Profiles'!V76&gt;17,(0.0029*('Temperature Profiles'!V76^2) - 0.0863*'Temperature Profiles'!V76 + 0.6808)*1000,0)</f>
        <v>63.495999999999775</v>
      </c>
      <c r="AD77" s="110">
        <v>0.75</v>
      </c>
      <c r="AE77" s="211">
        <f>IF('Temperature Profiles'!V76&gt;17,(0.005*('Temperature Profiles'!V76^2) - 0.1517*'Temperature Profiles'!V76 + 1.1702)*1000,0)</f>
        <v>54.140000000000079</v>
      </c>
      <c r="AF77" s="110">
        <v>0.75</v>
      </c>
      <c r="AG77" s="211">
        <f>IF('Temperature Profiles'!V76&gt;17,(0.0068*('Temperature Profiles'!V76^2) - 0.2129*'Temperature Profiles'!V76 + 1.6904)*1000,0)</f>
        <v>55.291999999999675</v>
      </c>
      <c r="AH77" s="21"/>
      <c r="AI77" s="110">
        <v>0.75</v>
      </c>
      <c r="AJ77" s="211">
        <f>IF('Temperature Profiles'!AA76&gt;17,(0.0029*('Temperature Profiles'!AA76^2) - 0.0863*'Temperature Profiles'!AA76 + 0.6808)*1000,0)</f>
        <v>0</v>
      </c>
      <c r="AK77" s="110">
        <v>0.75</v>
      </c>
      <c r="AL77" s="211">
        <f>IF('Temperature Profiles'!AA76&gt;17,(0.005*('Temperature Profiles'!AA76^2) - 0.1517*'Temperature Profiles'!AA76 + 1.1701)*1000,0)</f>
        <v>0</v>
      </c>
      <c r="AM77" s="110">
        <v>0.75</v>
      </c>
      <c r="AN77" s="211">
        <f>IF('Temperature Profiles'!AA76&gt;17,(0.0068*('Temperature Profiles'!AA76^2) - 0.2129*'Temperature Profiles'!AA76 + 1.6904)*1000,0)</f>
        <v>0</v>
      </c>
      <c r="AO77" s="21"/>
      <c r="AP77" s="110">
        <v>0.75</v>
      </c>
      <c r="AQ77" s="211">
        <f>IF('Temperature Profiles'!AF76&gt;17,(0.0029*('Temperature Profiles'!AF76^2) - 0.0863*'Temperature Profiles'!AF76 + 0.6808)*1000,0)</f>
        <v>1370.4465347222224</v>
      </c>
      <c r="AR77" s="110">
        <v>0.75</v>
      </c>
      <c r="AS77" s="183">
        <f>IF('Temperature Profiles'!AF76&gt;17,(0.005*('Temperature Profiles'!AF76^2) - 0.1517*'Temperature Profiles'!AF76 + 1.1702)*1000,0)</f>
        <v>2253.7011805555562</v>
      </c>
      <c r="AT77" s="110">
        <v>0.75</v>
      </c>
      <c r="AU77" s="211">
        <f>IF('Temperature Profiles'!AF76&gt;17,(0.0068*('Temperature Profiles'!AF76^2) - 0.2129*'Temperature Profiles'!AF76 + 1.6904)*1000,0)</f>
        <v>2924.762305555555</v>
      </c>
      <c r="AV77" s="21"/>
      <c r="AW77" s="110">
        <v>0.75</v>
      </c>
      <c r="AX77" s="211"/>
      <c r="AY77" s="21"/>
      <c r="AZ77" s="110">
        <v>0.75</v>
      </c>
      <c r="BA77" s="264"/>
      <c r="BC77" s="260">
        <v>0.75</v>
      </c>
      <c r="BD77" s="211">
        <f>IF('Temperature Profiles'!G76&lt;16,(-0.0037*'Temperature Profiles'!G76+0.0664)*1000,0)</f>
        <v>0</v>
      </c>
      <c r="BE77" s="110">
        <v>0.75</v>
      </c>
      <c r="BF77" s="211">
        <f>IF('Temperature Profiles'!G76&lt;16,(-0.0076*'Temperature Profiles'!G76+0.1245)*1000,0)</f>
        <v>0</v>
      </c>
      <c r="BG77" s="110">
        <v>0.75</v>
      </c>
      <c r="BH77" s="211">
        <f>IF('Temperature Profiles'!G76&lt;16,(-0.01*'Temperature Profiles'!G76+0.167)*1000,0)</f>
        <v>0</v>
      </c>
      <c r="BI77" s="21"/>
      <c r="BJ77" s="110">
        <v>0.75</v>
      </c>
      <c r="BK77" s="211">
        <f>IF('Temperature Profiles'!L76&lt;16,(-0.0037*'Temperature Profiles'!L76+0.0664)*1000,0)</f>
        <v>0</v>
      </c>
      <c r="BL77" s="110">
        <v>0.75</v>
      </c>
      <c r="BM77" s="211">
        <f>IF('Temperature Profiles'!L76&lt;16,(-0.0076*'Temperature Profiles'!L76+0.1245)*1000,0)</f>
        <v>0</v>
      </c>
      <c r="BN77" s="110">
        <v>0.75</v>
      </c>
      <c r="BO77" s="211">
        <f>IF('Temperature Profiles'!L76&lt;16,(-0.01*'Temperature Profiles'!L76+0.167)*1000,0)</f>
        <v>0</v>
      </c>
      <c r="BP77" s="21"/>
      <c r="BQ77" s="110">
        <v>0.75</v>
      </c>
      <c r="BR77" s="211">
        <f>IF('Temperature Profiles'!Q76&lt;16,(-0.0037*'Temperature Profiles'!Q76+0.0664)*1000,0)</f>
        <v>0</v>
      </c>
      <c r="BS77" s="110">
        <v>0.75</v>
      </c>
      <c r="BT77" s="211">
        <f>IF('Temperature Profiles'!Q76&lt;16,(-0.0076*'Temperature Profiles'!Q76+0.1245)*1000,0)</f>
        <v>0</v>
      </c>
      <c r="BU77" s="110">
        <v>0.75</v>
      </c>
      <c r="BV77" s="211">
        <f>IF('Temperature Profiles'!Q76&lt;16,(-0.01*'Temperature Profiles'!Q76+0.167)*1000,0)</f>
        <v>0</v>
      </c>
      <c r="BW77" s="21"/>
      <c r="BX77" s="110">
        <v>0.75</v>
      </c>
      <c r="BY77" s="211">
        <f>IF('Temperature Profiles'!V76&lt;16,(-0.0037*'Temperature Profiles'!V76+0.0664)*1000,0)</f>
        <v>0</v>
      </c>
      <c r="BZ77" s="110">
        <v>0.75</v>
      </c>
      <c r="CA77" s="211">
        <f>IF('Temperature Profiles'!V76&lt;16,(-0.0076*'Temperature Profiles'!V76+0.1245)*1000,0)</f>
        <v>0</v>
      </c>
      <c r="CB77" s="110">
        <v>0.75</v>
      </c>
      <c r="CC77" s="211">
        <f>IF('Temperature Profiles'!V76&lt;16,(-0.01*'Temperature Profiles'!V76+0.167)*1000,0)</f>
        <v>0</v>
      </c>
      <c r="CD77" s="21"/>
      <c r="CE77" s="110">
        <v>0.75</v>
      </c>
      <c r="CF77" s="211">
        <f>IF('Temperature Profiles'!AA76&lt;16,(-0.0037*'Temperature Profiles'!AA76+0.0664)*1000,0)</f>
        <v>92.207499999999996</v>
      </c>
      <c r="CG77" s="110">
        <v>0.75</v>
      </c>
      <c r="CH77" s="178">
        <f>IF('Temperature Profiles'!AA76&lt;16,(-0.0076*'Temperature Profiles'!AA76+0.1245)*1000,0)</f>
        <v>177.51</v>
      </c>
      <c r="CI77" s="110">
        <v>0.75</v>
      </c>
      <c r="CJ77" s="211">
        <f>IF('Temperature Profiles'!AA76&lt;16,(-0.01*'Temperature Profiles'!AA76+0.167)*1000,0)</f>
        <v>236.75000000000003</v>
      </c>
      <c r="CK77" s="21"/>
      <c r="CL77" s="110">
        <v>0.75</v>
      </c>
      <c r="CM77" s="211">
        <f>IF('Temperature Profiles'!AF76&lt;16,(-0.0037*'Temperature Profiles'!AF76+0.0664)*1000,0)</f>
        <v>0</v>
      </c>
      <c r="CN77" s="110">
        <v>0.75</v>
      </c>
      <c r="CO77" s="178">
        <f>IF('Temperature Profiles'!AF76&lt;16,(-0.0076*'Temperature Profiles'!AF76+0.1245)*1000,0)</f>
        <v>0</v>
      </c>
      <c r="CP77" s="110">
        <v>0.75</v>
      </c>
      <c r="CQ77" s="211">
        <f>IF('Temperature Profiles'!AF76&lt;16,(-0.01*'Temperature Profiles'!AF76+0.167)*1000,0)</f>
        <v>0</v>
      </c>
      <c r="CR77" s="21"/>
      <c r="CS77" s="110">
        <v>0.75</v>
      </c>
      <c r="CT77" s="211"/>
      <c r="CU77" s="21"/>
      <c r="CV77" s="110">
        <v>0.75</v>
      </c>
      <c r="CW77" s="264"/>
      <c r="CY77" s="260">
        <v>0.75</v>
      </c>
      <c r="CZ77" s="178">
        <f>IF('Temperature Profiles'!G76&gt;18,(0.0024*('Temperature Profiles'!G76^2)-0.0581*'Temperature Profiles'!G76+0.3293)*1000,IF('Temperature Profiles'!G76&lt;17,(0.0022*('Temperature Profiles'!G76^2)-0.0874*'Temperature Profiles'!G76+0.9301)*1000,0))</f>
        <v>254.80899999999988</v>
      </c>
      <c r="DA77" s="110">
        <v>0.75</v>
      </c>
      <c r="DB77" s="263">
        <f>IF('Temperature Profiles'!G76&gt;18,(0.0043*('Temperature Profiles'!G76^2)-0.1116*'Temperature Profiles'!G76+0.6576)*1000,IF('Temperature Profiles'!G76&lt;17,(0.0053*('Temperature Profiles'!G76^2)-0.1876*'Temperature Profiles'!G76+1.7649)*1000,0))</f>
        <v>352.66675000000004</v>
      </c>
      <c r="DC77" s="110">
        <v>0.75</v>
      </c>
      <c r="DD77" s="211">
        <f>IF('Temperature Profiles'!G76&gt;18,(0.0057*('Temperature Profiles'!G76^2)-0.1509*'Temperature Profiles'!G76+0.8935)*1000,IF('Temperature Profiles'!G76&lt;17,(0.0072*('Temperature Profiles'!G76^2)-0.254*'Temperature Profiles'!G76+2.3952)*1000,0))</f>
        <v>421.53324999999995</v>
      </c>
      <c r="DE77" s="21"/>
      <c r="DF77" s="110">
        <v>0.75</v>
      </c>
      <c r="DG77" s="209">
        <f>IF('Temperature Profiles'!L76&gt;18,(0.0024*('Temperature Profiles'!L76^2)-0.0581*'Temperature Profiles'!L76+0.3293)*1000,IF('Temperature Profiles'!L76&lt;17,(0.0022*('Temperature Profiles'!L76^2)-0.0874*'Temperature Profiles'!L76+0.9301)*1000,0))</f>
        <v>418.04899999999992</v>
      </c>
      <c r="DH77" s="110">
        <v>0.75</v>
      </c>
      <c r="DI77" s="209">
        <f>IF('Temperature Profiles'!L76&gt;18,(0.0043*('Temperature Profiles'!L76^2)-0.1116*'Temperature Profiles'!L76+0.6576)*1000,IF('Temperature Profiles'!L76&lt;17,(0.0053*('Temperature Profiles'!L76^2)-0.1876*'Temperature Profiles'!L76+1.7649)*1000,0))</f>
        <v>624.12674999999979</v>
      </c>
      <c r="DJ77" s="110">
        <v>0.75</v>
      </c>
      <c r="DK77" s="211">
        <f>IF('Temperature Profiles'!L76&gt;18,(0.0057*('Temperature Profiles'!L76^2)-0.1509*'Temperature Profiles'!L76+0.8935)*1000,IF('Temperature Profiles'!L76&lt;17,(0.0072*('Temperature Profiles'!L76^2)-0.254*'Temperature Profiles'!L76+2.3952)*1000,0))</f>
        <v>773.07325000000037</v>
      </c>
      <c r="DL77" s="21"/>
      <c r="DM77" s="110">
        <v>0.75</v>
      </c>
      <c r="DN77" s="209">
        <f>IF('Temperature Profiles'!Q76&gt;18,(0.0024*('Temperature Profiles'!Q76^2)-0.0581*'Temperature Profiles'!Q76+0.3293)*1000,IF('Temperature Profiles'!Q76&lt;17,(0.0022*('Temperature Profiles'!Q76^2)-0.0874*'Temperature Profiles'!Q76+0.9301)*1000,0))</f>
        <v>1139.7139999999997</v>
      </c>
      <c r="DO77" s="110">
        <v>0.75</v>
      </c>
      <c r="DP77" s="209">
        <f>IF('Temperature Profiles'!Q76&gt;18,(0.0043*('Temperature Profiles'!Q76^2)-0.1116*'Temperature Profiles'!Q76+0.6576)*1000,IF('Temperature Profiles'!Q76&lt;17,(0.0053*('Temperature Profiles'!Q76^2)-0.1876*'Temperature Profiles'!Q76+1.7649)*1000,0))</f>
        <v>1853.6371319444443</v>
      </c>
      <c r="DQ77" s="110">
        <v>0.75</v>
      </c>
      <c r="DR77" s="211">
        <f>IF('Temperature Profiles'!Q76&gt;18,(0.0057*('Temperature Profiles'!Q76^2)-0.1509*'Temperature Profiles'!Q76+0.8935)*1000,IF('Temperature Profiles'!Q76&lt;17,(0.0072*('Temperature Profiles'!Q76^2)-0.254*'Temperature Profiles'!Q76+2.3952)*1000,0))</f>
        <v>2377.8093958333338</v>
      </c>
      <c r="DS77" s="21"/>
      <c r="DT77" s="110">
        <v>0.75</v>
      </c>
      <c r="DU77" s="209">
        <f>IF('Temperature Profiles'!V76&gt;18,(0.0024*('Temperature Profiles'!V76^2)-0.0581*'Temperature Profiles'!V76+0.3293)*1000,IF('Temperature Profiles'!V76&lt;17,(0.0022*('Temperature Profiles'!V76^2)-0.0874*'Temperature Profiles'!V76+0.9301)*1000,0))</f>
        <v>0</v>
      </c>
      <c r="DV77" s="110">
        <v>0.75</v>
      </c>
      <c r="DW77" s="209">
        <f>IF('Temperature Profiles'!V76&gt;18,(0.0043*('Temperature Profiles'!V76^2)-0.1116*'Temperature Profiles'!V76+0.6576)*1000,IF('Temperature Profiles'!V76&lt;17,(0.0053*('Temperature Profiles'!V76^2)-0.1876*'Temperature Profiles'!V76+1.7649)*1000,0))</f>
        <v>0</v>
      </c>
      <c r="DX77" s="110">
        <v>0.75</v>
      </c>
      <c r="DY77" s="211">
        <f>IF('Temperature Profiles'!V76&gt;18,(0.0057*('Temperature Profiles'!V76^2)-0.1509*'Temperature Profiles'!V76+0.8935)*1000,IF('Temperature Profiles'!V76&lt;17,(0.0072*('Temperature Profiles'!V76^2)-0.254*'Temperature Profiles'!V76+2.3952)*1000,0))</f>
        <v>0</v>
      </c>
      <c r="DZ77" s="21"/>
      <c r="EA77" s="110">
        <v>0.75</v>
      </c>
      <c r="EB77" s="209">
        <f>IF('Temperature Profiles'!AA175&gt;18,(0.0024*('Temperature Profiles'!AA175^2)-0.0581*'Temperature Profiles'!AA175+0.3293)*1000,IF('Temperature Profiles'!AA175&lt;17,(0.0022*('Temperature Profiles'!AA175^2)-0.0874*'Temperature Profiles'!AA175+0.9301)*1000,0))</f>
        <v>474.29237499999994</v>
      </c>
      <c r="EC77" s="110">
        <v>0.75</v>
      </c>
      <c r="ED77" s="209">
        <f>IF('Temperature Profiles'!AA175&gt;18,(0.0043*('Temperature Profiles'!AA175^2)-0.1116*'Temperature Profiles'!AA175+0.6576)*1000,IF('Temperature Profiles'!AA175&lt;17,(0.0053*('Temperature Profiles'!AA175^2)-0.1876*'Temperature Profiles'!AA175+1.7649)*1000,0))</f>
        <v>808.56231249999962</v>
      </c>
      <c r="EE77" s="110">
        <v>0.75</v>
      </c>
      <c r="EF77" s="211">
        <f>IF('Temperature Profiles'!AA175&gt;18,(0.0057*('Temperature Profiles'!AA175^2)-0.1509*'Temperature Profiles'!AA175+0.8935)*1000,IF('Temperature Profiles'!AA175&lt;17,(0.0072*('Temperature Profiles'!AA175^2)-0.254*'Temperature Profiles'!AA175+2.3952)*1000,0))</f>
        <v>1101.2904999999998</v>
      </c>
      <c r="EG77" s="21"/>
      <c r="EH77" s="110">
        <v>0.75</v>
      </c>
      <c r="EI77" s="211">
        <f>IF('Temperature Profiles'!AF76&gt;18,(0.0024*('Temperature Profiles'!AF76^2)-0.0581*'Temperature Profiles'!AF76+0.3293)*1000,IF('Temperature Profiles'!AF76&lt;17,(0.0022*('Temperature Profiles'!AF76^2)-0.0874*'Temperature Profiles'!AF76+0.9301)*1000,0))</f>
        <v>1383.6939999999997</v>
      </c>
      <c r="EJ77" s="110">
        <v>0.75</v>
      </c>
      <c r="EK77" s="211">
        <f>IF('Temperature Profiles'!AF76&gt;18,(0.0043*('Temperature Profiles'!AF76^2)-0.1116*'Temperature Profiles'!AF76+0.6576)*1000,IF('Temperature Profiles'!AF76&lt;17,(0.0053*('Temperature Profiles'!AF76^2)-0.1876*'Temperature Profiles'!AF76+1.7649)*1000,0))</f>
        <v>2274.2587986111107</v>
      </c>
      <c r="EL77" s="110">
        <v>0.75</v>
      </c>
      <c r="EM77" s="211">
        <f>IF('Temperature Profiles'!AF76&gt;18,(0.0057*('Temperature Profiles'!AF76^2)-0.1509*'Temperature Profiles'!AF76+0.8935)*1000,IF('Temperature Profiles'!AF76&lt;17,(0.0072*('Temperature Profiles'!AF76^2)-0.254*'Temperature Profiles'!AF76+2.3952)*1000,0))</f>
        <v>2928.854395833333</v>
      </c>
      <c r="EN77" s="21"/>
      <c r="EO77" s="110">
        <v>0.75</v>
      </c>
      <c r="EP77" s="211"/>
      <c r="EQ77" s="21"/>
      <c r="ER77" s="110">
        <v>0.75</v>
      </c>
      <c r="ES77" s="264"/>
      <c r="EU77" s="260">
        <v>0.75</v>
      </c>
      <c r="EV77" s="209">
        <f>IF('Temperature Profiles'!AA175&gt;18,(0.0024*('Temperature Profiles'!AA175^2)-0.0581*'Temperature Profiles'!AA175+0.3293)*1000,IF('Temperature Profiles'!AA175&lt;17,(0.0022*('Temperature Profiles'!AA175^2)-0.0874*'Temperature Profiles'!AA175+0.9301)*1000,0))</f>
        <v>474.29237499999994</v>
      </c>
      <c r="EW77" s="110">
        <v>0.75</v>
      </c>
      <c r="EX77" s="209">
        <f>IF('Temperature Profiles'!AA175&gt;18,(0.0043*('Temperature Profiles'!AA175^2)-0.1116*'Temperature Profiles'!AA175+0.6576)*1000,IF('Temperature Profiles'!AA175&lt;17,(0.0053*('Temperature Profiles'!AA175^2)-0.1876*'Temperature Profiles'!AA175+1.7649)*1000,0))</f>
        <v>808.56231249999962</v>
      </c>
      <c r="EY77" s="110">
        <v>0.75</v>
      </c>
      <c r="EZ77" s="264">
        <f>IF('Temperature Profiles'!AA175&gt;18,(0.0057*('Temperature Profiles'!AA175^2)-0.1509*'Temperature Profiles'!AA175+0.8935)*1000,IF('Temperature Profiles'!AA175&lt;17,(0.0072*('Temperature Profiles'!AA175^2)-0.254*'Temperature Profiles'!AA175+2.3952)*1000,0))</f>
        <v>1101.2904999999998</v>
      </c>
    </row>
    <row r="78" spans="1:156" x14ac:dyDescent="0.3">
      <c r="A78" s="108">
        <v>0.75</v>
      </c>
      <c r="B78" s="226">
        <f t="shared" si="4"/>
        <v>0</v>
      </c>
      <c r="C78" s="21">
        <f t="shared" si="5"/>
        <v>236.75000000000003</v>
      </c>
      <c r="D78" s="20">
        <f t="shared" si="6"/>
        <v>1101.2904999999998</v>
      </c>
      <c r="E78" s="20">
        <f t="shared" si="7"/>
        <v>1101.2904999999998</v>
      </c>
      <c r="G78" s="260">
        <v>0.76041666666666696</v>
      </c>
      <c r="H78" s="211">
        <f>IF('Temperature Profiles'!G77&gt;17,(0.0029*('Temperature Profiles'!G77^2) - 0.0863*'Temperature Profiles'!G77 + 0.6808)*1000,0)</f>
        <v>223.0002499999998</v>
      </c>
      <c r="I78" s="110">
        <v>0.76041666666666696</v>
      </c>
      <c r="J78" s="211">
        <f>IF('Temperature Profiles'!G77&gt;17,(0.005*('Temperature Profiles'!G77^2) - 0.1517*'Temperature Profiles'!G77 + 1.1702)*1000,0)</f>
        <v>314.46750000000014</v>
      </c>
      <c r="K78" s="110">
        <v>0.76041666666666696</v>
      </c>
      <c r="L78" s="211">
        <f>IF('Temperature Profiles'!G77&gt;17,(0.0068*('Temperature Profiles'!G77^2) - 0.2129*'Temperature Profiles'!G77 + 1.6904)*1000,0)</f>
        <v>376.0680000000001</v>
      </c>
      <c r="M78" s="21"/>
      <c r="N78" s="110">
        <v>0.76041666666666696</v>
      </c>
      <c r="O78" s="211">
        <f>IF('Temperature Profiles'!L77&gt;17,(0.0029*('Temperature Profiles'!L77^2) - 0.0863*'Temperature Profiles'!L77 + 0.6808)*1000,0)</f>
        <v>375.18025</v>
      </c>
      <c r="P78" s="110">
        <v>0.76041666666666696</v>
      </c>
      <c r="Q78" s="211">
        <f>IF('Temperature Profiles'!L77&gt;17,(0.005*('Temperature Profiles'!L77^2) - 0.1517*'Temperature Profiles'!L77 + 1.1702)*1000,0)</f>
        <v>568.70749999999987</v>
      </c>
      <c r="R78" s="110">
        <v>0.76041666666666696</v>
      </c>
      <c r="S78" s="211">
        <f>IF('Temperature Profiles'!L77&gt;17,(0.0068*('Temperature Profiles'!L77^2) - 0.2129*'Temperature Profiles'!L77 + 1.6904)*1000,0)</f>
        <v>703.38799999999992</v>
      </c>
      <c r="T78" s="21"/>
      <c r="U78" s="110">
        <v>0.76041666666666696</v>
      </c>
      <c r="V78" s="211">
        <f>IF('Temperature Profiles'!Q77&gt;17,(0.0029*('Temperature Profiles'!Q77^2) - 0.0863*'Temperature Profiles'!Q77 + 0.6808)*1000,0)</f>
        <v>1111.0482013888889</v>
      </c>
      <c r="W78" s="110">
        <v>0.76041666666666696</v>
      </c>
      <c r="X78" s="211">
        <f>IF('Temperature Profiles'!Q77&gt;17,(0.005*('Temperature Profiles'!Q77^2) - 0.1517*'Temperature Profiles'!Q77 + 1.1702)*1000,0)</f>
        <v>1812.8578472222227</v>
      </c>
      <c r="Y78" s="110">
        <v>0.76041666666666696</v>
      </c>
      <c r="Z78" s="211">
        <f>IF('Temperature Profiles'!Q77&gt;17,(0.0068*('Temperature Profiles'!Q77^2) - 0.2129*'Temperature Profiles'!Q77 + 1.6904)*1000,0)</f>
        <v>2339.7089722222222</v>
      </c>
      <c r="AA78" s="21"/>
      <c r="AB78" s="110">
        <v>0.76041666666666696</v>
      </c>
      <c r="AC78" s="211">
        <f>IF('Temperature Profiles'!V77&gt;17,(0.0029*('Temperature Profiles'!V77^2) - 0.0863*'Temperature Profiles'!V77 + 0.6808)*1000,0)</f>
        <v>63.495999999999775</v>
      </c>
      <c r="AD78" s="110">
        <v>0.76041666666666696</v>
      </c>
      <c r="AE78" s="211">
        <f>IF('Temperature Profiles'!V77&gt;17,(0.005*('Temperature Profiles'!V77^2) - 0.1517*'Temperature Profiles'!V77 + 1.1702)*1000,0)</f>
        <v>54.140000000000079</v>
      </c>
      <c r="AF78" s="110">
        <v>0.76041666666666696</v>
      </c>
      <c r="AG78" s="211">
        <f>IF('Temperature Profiles'!V77&gt;17,(0.0068*('Temperature Profiles'!V77^2) - 0.2129*'Temperature Profiles'!V77 + 1.6904)*1000,0)</f>
        <v>55.291999999999675</v>
      </c>
      <c r="AH78" s="21"/>
      <c r="AI78" s="110">
        <v>0.76041666666666696</v>
      </c>
      <c r="AJ78" s="211">
        <f>IF('Temperature Profiles'!AA77&gt;17,(0.0029*('Temperature Profiles'!AA77^2) - 0.0863*'Temperature Profiles'!AA77 + 0.6808)*1000,0)</f>
        <v>0</v>
      </c>
      <c r="AK78" s="110">
        <v>0.76041666666666696</v>
      </c>
      <c r="AL78" s="211">
        <f>IF('Temperature Profiles'!AA77&gt;17,(0.005*('Temperature Profiles'!AA77^2) - 0.1517*'Temperature Profiles'!AA77 + 1.1701)*1000,0)</f>
        <v>0</v>
      </c>
      <c r="AM78" s="110">
        <v>0.76041666666666696</v>
      </c>
      <c r="AN78" s="211">
        <f>IF('Temperature Profiles'!AA77&gt;17,(0.0068*('Temperature Profiles'!AA77^2) - 0.2129*'Temperature Profiles'!AA77 + 1.6904)*1000,0)</f>
        <v>0</v>
      </c>
      <c r="AO78" s="21"/>
      <c r="AP78" s="110">
        <v>0.76041666666666696</v>
      </c>
      <c r="AQ78" s="211">
        <f>IF('Temperature Profiles'!AF77&gt;17,(0.0029*('Temperature Profiles'!AF77^2) - 0.0863*'Temperature Profiles'!AF77 + 0.6808)*1000,0)</f>
        <v>1370.4465347222224</v>
      </c>
      <c r="AR78" s="110">
        <v>0.76041666666666696</v>
      </c>
      <c r="AS78" s="183">
        <f>IF('Temperature Profiles'!AF77&gt;17,(0.005*('Temperature Profiles'!AF77^2) - 0.1517*'Temperature Profiles'!AF77 + 1.1702)*1000,0)</f>
        <v>2253.7011805555562</v>
      </c>
      <c r="AT78" s="110">
        <v>0.76041666666666696</v>
      </c>
      <c r="AU78" s="211">
        <f>IF('Temperature Profiles'!AF77&gt;17,(0.0068*('Temperature Profiles'!AF77^2) - 0.2129*'Temperature Profiles'!AF77 + 1.6904)*1000,0)</f>
        <v>2924.762305555555</v>
      </c>
      <c r="AV78" s="21"/>
      <c r="AW78" s="110">
        <v>0.76041666666666696</v>
      </c>
      <c r="AX78" s="211"/>
      <c r="AY78" s="21"/>
      <c r="AZ78" s="110">
        <v>0.76041666666666696</v>
      </c>
      <c r="BA78" s="264"/>
      <c r="BC78" s="260">
        <v>0.76041666666666696</v>
      </c>
      <c r="BD78" s="211">
        <f>IF('Temperature Profiles'!G77&lt;16,(-0.0037*'Temperature Profiles'!G77+0.0664)*1000,0)</f>
        <v>0</v>
      </c>
      <c r="BE78" s="110">
        <v>0.76041666666666696</v>
      </c>
      <c r="BF78" s="211">
        <f>IF('Temperature Profiles'!G77&lt;16,(-0.0076*'Temperature Profiles'!G77+0.1245)*1000,0)</f>
        <v>0</v>
      </c>
      <c r="BG78" s="110">
        <v>0.76041666666666696</v>
      </c>
      <c r="BH78" s="211">
        <f>IF('Temperature Profiles'!G77&lt;16,(-0.01*'Temperature Profiles'!G77+0.167)*1000,0)</f>
        <v>0</v>
      </c>
      <c r="BI78" s="21"/>
      <c r="BJ78" s="110">
        <v>0.76041666666666696</v>
      </c>
      <c r="BK78" s="211">
        <f>IF('Temperature Profiles'!L77&lt;16,(-0.0037*'Temperature Profiles'!L77+0.0664)*1000,0)</f>
        <v>0</v>
      </c>
      <c r="BL78" s="110">
        <v>0.76041666666666696</v>
      </c>
      <c r="BM78" s="211">
        <f>IF('Temperature Profiles'!L77&lt;16,(-0.0076*'Temperature Profiles'!L77+0.1245)*1000,0)</f>
        <v>0</v>
      </c>
      <c r="BN78" s="110">
        <v>0.76041666666666696</v>
      </c>
      <c r="BO78" s="211">
        <f>IF('Temperature Profiles'!L77&lt;16,(-0.01*'Temperature Profiles'!L77+0.167)*1000,0)</f>
        <v>0</v>
      </c>
      <c r="BP78" s="21"/>
      <c r="BQ78" s="110">
        <v>0.76041666666666696</v>
      </c>
      <c r="BR78" s="211">
        <f>IF('Temperature Profiles'!Q77&lt;16,(-0.0037*'Temperature Profiles'!Q77+0.0664)*1000,0)</f>
        <v>0</v>
      </c>
      <c r="BS78" s="110">
        <v>0.76041666666666696</v>
      </c>
      <c r="BT78" s="211">
        <f>IF('Temperature Profiles'!Q77&lt;16,(-0.0076*'Temperature Profiles'!Q77+0.1245)*1000,0)</f>
        <v>0</v>
      </c>
      <c r="BU78" s="110">
        <v>0.76041666666666696</v>
      </c>
      <c r="BV78" s="211">
        <f>IF('Temperature Profiles'!Q77&lt;16,(-0.01*'Temperature Profiles'!Q77+0.167)*1000,0)</f>
        <v>0</v>
      </c>
      <c r="BW78" s="21"/>
      <c r="BX78" s="110">
        <v>0.76041666666666696</v>
      </c>
      <c r="BY78" s="211">
        <f>IF('Temperature Profiles'!V77&lt;16,(-0.0037*'Temperature Profiles'!V77+0.0664)*1000,0)</f>
        <v>0</v>
      </c>
      <c r="BZ78" s="110">
        <v>0.76041666666666696</v>
      </c>
      <c r="CA78" s="211">
        <f>IF('Temperature Profiles'!V77&lt;16,(-0.0076*'Temperature Profiles'!V77+0.1245)*1000,0)</f>
        <v>0</v>
      </c>
      <c r="CB78" s="110">
        <v>0.76041666666666696</v>
      </c>
      <c r="CC78" s="211">
        <f>IF('Temperature Profiles'!V77&lt;16,(-0.01*'Temperature Profiles'!V77+0.167)*1000,0)</f>
        <v>0</v>
      </c>
      <c r="CD78" s="21"/>
      <c r="CE78" s="110">
        <v>0.76041666666666696</v>
      </c>
      <c r="CF78" s="211">
        <f>IF('Temperature Profiles'!AA77&lt;16,(-0.0037*'Temperature Profiles'!AA77+0.0664)*1000,0)</f>
        <v>92.207499999999996</v>
      </c>
      <c r="CG78" s="110">
        <v>0.76041666666666696</v>
      </c>
      <c r="CH78" s="178">
        <f>IF('Temperature Profiles'!AA77&lt;16,(-0.0076*'Temperature Profiles'!AA77+0.1245)*1000,0)</f>
        <v>177.51</v>
      </c>
      <c r="CI78" s="110">
        <v>0.76041666666666696</v>
      </c>
      <c r="CJ78" s="211">
        <f>IF('Temperature Profiles'!AA77&lt;16,(-0.01*'Temperature Profiles'!AA77+0.167)*1000,0)</f>
        <v>236.75000000000003</v>
      </c>
      <c r="CK78" s="21"/>
      <c r="CL78" s="110">
        <v>0.76041666666666696</v>
      </c>
      <c r="CM78" s="211">
        <f>IF('Temperature Profiles'!AF77&lt;16,(-0.0037*'Temperature Profiles'!AF77+0.0664)*1000,0)</f>
        <v>0</v>
      </c>
      <c r="CN78" s="110">
        <v>0.76041666666666696</v>
      </c>
      <c r="CO78" s="178">
        <f>IF('Temperature Profiles'!AF77&lt;16,(-0.0076*'Temperature Profiles'!AF77+0.1245)*1000,0)</f>
        <v>0</v>
      </c>
      <c r="CP78" s="110">
        <v>0.76041666666666696</v>
      </c>
      <c r="CQ78" s="211">
        <f>IF('Temperature Profiles'!AF77&lt;16,(-0.01*'Temperature Profiles'!AF77+0.167)*1000,0)</f>
        <v>0</v>
      </c>
      <c r="CR78" s="21"/>
      <c r="CS78" s="110">
        <v>0.76041666666666696</v>
      </c>
      <c r="CT78" s="211"/>
      <c r="CU78" s="21"/>
      <c r="CV78" s="110">
        <v>0.76041666666666696</v>
      </c>
      <c r="CW78" s="264"/>
      <c r="CY78" s="260">
        <v>0.76041666666666696</v>
      </c>
      <c r="CZ78" s="178">
        <f>IF('Temperature Profiles'!G77&gt;18,(0.0024*('Temperature Profiles'!G77^2)-0.0581*'Temperature Profiles'!G77+0.3293)*1000,IF('Temperature Profiles'!G77&lt;17,(0.0022*('Temperature Profiles'!G77^2)-0.0874*'Temperature Profiles'!G77+0.9301)*1000,0))</f>
        <v>254.80899999999988</v>
      </c>
      <c r="DA78" s="110">
        <v>0.76041666666666696</v>
      </c>
      <c r="DB78" s="263">
        <f>IF('Temperature Profiles'!G77&gt;18,(0.0043*('Temperature Profiles'!G77^2)-0.1116*'Temperature Profiles'!G77+0.6576)*1000,IF('Temperature Profiles'!G77&lt;17,(0.0053*('Temperature Profiles'!G77^2)-0.1876*'Temperature Profiles'!G77+1.7649)*1000,0))</f>
        <v>352.66675000000004</v>
      </c>
      <c r="DC78" s="110">
        <v>0.76041666666666696</v>
      </c>
      <c r="DD78" s="211">
        <f>IF('Temperature Profiles'!G77&gt;18,(0.0057*('Temperature Profiles'!G77^2)-0.1509*'Temperature Profiles'!G77+0.8935)*1000,IF('Temperature Profiles'!G77&lt;17,(0.0072*('Temperature Profiles'!G77^2)-0.254*'Temperature Profiles'!G77+2.3952)*1000,0))</f>
        <v>421.53324999999995</v>
      </c>
      <c r="DE78" s="21"/>
      <c r="DF78" s="110">
        <v>0.76041666666666696</v>
      </c>
      <c r="DG78" s="209">
        <f>IF('Temperature Profiles'!L77&gt;18,(0.0024*('Temperature Profiles'!L77^2)-0.0581*'Temperature Profiles'!L77+0.3293)*1000,IF('Temperature Profiles'!L77&lt;17,(0.0022*('Temperature Profiles'!L77^2)-0.0874*'Temperature Profiles'!L77+0.9301)*1000,0))</f>
        <v>418.04899999999992</v>
      </c>
      <c r="DH78" s="110">
        <v>0.76041666666666696</v>
      </c>
      <c r="DI78" s="209">
        <f>IF('Temperature Profiles'!L77&gt;18,(0.0043*('Temperature Profiles'!L77^2)-0.1116*'Temperature Profiles'!L77+0.6576)*1000,IF('Temperature Profiles'!L77&lt;17,(0.0053*('Temperature Profiles'!L77^2)-0.1876*'Temperature Profiles'!L77+1.7649)*1000,0))</f>
        <v>624.12674999999979</v>
      </c>
      <c r="DJ78" s="110">
        <v>0.76041666666666696</v>
      </c>
      <c r="DK78" s="211">
        <f>IF('Temperature Profiles'!L77&gt;18,(0.0057*('Temperature Profiles'!L77^2)-0.1509*'Temperature Profiles'!L77+0.8935)*1000,IF('Temperature Profiles'!L77&lt;17,(0.0072*('Temperature Profiles'!L77^2)-0.254*'Temperature Profiles'!L77+2.3952)*1000,0))</f>
        <v>773.07325000000037</v>
      </c>
      <c r="DL78" s="21"/>
      <c r="DM78" s="110">
        <v>0.76041666666666696</v>
      </c>
      <c r="DN78" s="209">
        <f>IF('Temperature Profiles'!Q77&gt;18,(0.0024*('Temperature Profiles'!Q77^2)-0.0581*'Temperature Profiles'!Q77+0.3293)*1000,IF('Temperature Profiles'!Q77&lt;17,(0.0022*('Temperature Profiles'!Q77^2)-0.0874*'Temperature Profiles'!Q77+0.9301)*1000,0))</f>
        <v>1139.7139999999997</v>
      </c>
      <c r="DO78" s="110">
        <v>0.76041666666666696</v>
      </c>
      <c r="DP78" s="209">
        <f>IF('Temperature Profiles'!Q77&gt;18,(0.0043*('Temperature Profiles'!Q77^2)-0.1116*'Temperature Profiles'!Q77+0.6576)*1000,IF('Temperature Profiles'!Q77&lt;17,(0.0053*('Temperature Profiles'!Q77^2)-0.1876*'Temperature Profiles'!Q77+1.7649)*1000,0))</f>
        <v>1853.6371319444443</v>
      </c>
      <c r="DQ78" s="110">
        <v>0.76041666666666696</v>
      </c>
      <c r="DR78" s="211">
        <f>IF('Temperature Profiles'!Q77&gt;18,(0.0057*('Temperature Profiles'!Q77^2)-0.1509*'Temperature Profiles'!Q77+0.8935)*1000,IF('Temperature Profiles'!Q77&lt;17,(0.0072*('Temperature Profiles'!Q77^2)-0.254*'Temperature Profiles'!Q77+2.3952)*1000,0))</f>
        <v>2377.8093958333338</v>
      </c>
      <c r="DS78" s="21"/>
      <c r="DT78" s="110">
        <v>0.76041666666666696</v>
      </c>
      <c r="DU78" s="209">
        <f>IF('Temperature Profiles'!V77&gt;18,(0.0024*('Temperature Profiles'!V77^2)-0.0581*'Temperature Profiles'!V77+0.3293)*1000,IF('Temperature Profiles'!V77&lt;17,(0.0022*('Temperature Profiles'!V77^2)-0.0874*'Temperature Profiles'!V77+0.9301)*1000,0))</f>
        <v>0</v>
      </c>
      <c r="DV78" s="110">
        <v>0.76041666666666696</v>
      </c>
      <c r="DW78" s="209">
        <f>IF('Temperature Profiles'!V77&gt;18,(0.0043*('Temperature Profiles'!V77^2)-0.1116*'Temperature Profiles'!V77+0.6576)*1000,IF('Temperature Profiles'!V77&lt;17,(0.0053*('Temperature Profiles'!V77^2)-0.1876*'Temperature Profiles'!V77+1.7649)*1000,0))</f>
        <v>0</v>
      </c>
      <c r="DX78" s="110">
        <v>0.76041666666666696</v>
      </c>
      <c r="DY78" s="211">
        <f>IF('Temperature Profiles'!V77&gt;18,(0.0057*('Temperature Profiles'!V77^2)-0.1509*'Temperature Profiles'!V77+0.8935)*1000,IF('Temperature Profiles'!V77&lt;17,(0.0072*('Temperature Profiles'!V77^2)-0.254*'Temperature Profiles'!V77+2.3952)*1000,0))</f>
        <v>0</v>
      </c>
      <c r="DZ78" s="21"/>
      <c r="EA78" s="110">
        <v>0.76041666666666696</v>
      </c>
      <c r="EB78" s="209">
        <f>IF('Temperature Profiles'!AA176&gt;18,(0.0024*('Temperature Profiles'!AA176^2)-0.0581*'Temperature Profiles'!AA176+0.3293)*1000,IF('Temperature Profiles'!AA176&lt;17,(0.0022*('Temperature Profiles'!AA176^2)-0.0874*'Temperature Profiles'!AA176+0.9301)*1000,0))</f>
        <v>474.29237499999994</v>
      </c>
      <c r="EC78" s="110">
        <v>0.76041666666666696</v>
      </c>
      <c r="ED78" s="209">
        <f>IF('Temperature Profiles'!AA176&gt;18,(0.0043*('Temperature Profiles'!AA176^2)-0.1116*'Temperature Profiles'!AA176+0.6576)*1000,IF('Temperature Profiles'!AA176&lt;17,(0.0053*('Temperature Profiles'!AA176^2)-0.1876*'Temperature Profiles'!AA176+1.7649)*1000,0))</f>
        <v>808.56231249999962</v>
      </c>
      <c r="EE78" s="110">
        <v>0.76041666666666696</v>
      </c>
      <c r="EF78" s="211">
        <f>IF('Temperature Profiles'!AA176&gt;18,(0.0057*('Temperature Profiles'!AA176^2)-0.1509*'Temperature Profiles'!AA176+0.8935)*1000,IF('Temperature Profiles'!AA176&lt;17,(0.0072*('Temperature Profiles'!AA176^2)-0.254*'Temperature Profiles'!AA176+2.3952)*1000,0))</f>
        <v>1101.2904999999998</v>
      </c>
      <c r="EG78" s="21"/>
      <c r="EH78" s="110">
        <v>0.76041666666666696</v>
      </c>
      <c r="EI78" s="211">
        <f>IF('Temperature Profiles'!AF77&gt;18,(0.0024*('Temperature Profiles'!AF77^2)-0.0581*'Temperature Profiles'!AF77+0.3293)*1000,IF('Temperature Profiles'!AF77&lt;17,(0.0022*('Temperature Profiles'!AF77^2)-0.0874*'Temperature Profiles'!AF77+0.9301)*1000,0))</f>
        <v>1383.6939999999997</v>
      </c>
      <c r="EJ78" s="110">
        <v>0.76041666666666696</v>
      </c>
      <c r="EK78" s="211">
        <f>IF('Temperature Profiles'!AF77&gt;18,(0.0043*('Temperature Profiles'!AF77^2)-0.1116*'Temperature Profiles'!AF77+0.6576)*1000,IF('Temperature Profiles'!AF77&lt;17,(0.0053*('Temperature Profiles'!AF77^2)-0.1876*'Temperature Profiles'!AF77+1.7649)*1000,0))</f>
        <v>2274.2587986111107</v>
      </c>
      <c r="EL78" s="110">
        <v>0.76041666666666696</v>
      </c>
      <c r="EM78" s="211">
        <f>IF('Temperature Profiles'!AF77&gt;18,(0.0057*('Temperature Profiles'!AF77^2)-0.1509*'Temperature Profiles'!AF77+0.8935)*1000,IF('Temperature Profiles'!AF77&lt;17,(0.0072*('Temperature Profiles'!AF77^2)-0.254*'Temperature Profiles'!AF77+2.3952)*1000,0))</f>
        <v>2928.854395833333</v>
      </c>
      <c r="EN78" s="21"/>
      <c r="EO78" s="110">
        <v>0.76041666666666696</v>
      </c>
      <c r="EP78" s="211"/>
      <c r="EQ78" s="21"/>
      <c r="ER78" s="110">
        <v>0.76041666666666696</v>
      </c>
      <c r="ES78" s="264"/>
      <c r="EU78" s="260">
        <v>0.76041666666666696</v>
      </c>
      <c r="EV78" s="209">
        <f>IF('Temperature Profiles'!AA176&gt;18,(0.0024*('Temperature Profiles'!AA176^2)-0.0581*'Temperature Profiles'!AA176+0.3293)*1000,IF('Temperature Profiles'!AA176&lt;17,(0.0022*('Temperature Profiles'!AA176^2)-0.0874*'Temperature Profiles'!AA176+0.9301)*1000,0))</f>
        <v>474.29237499999994</v>
      </c>
      <c r="EW78" s="110">
        <v>0.76041666666666696</v>
      </c>
      <c r="EX78" s="209">
        <f>IF('Temperature Profiles'!AA176&gt;18,(0.0043*('Temperature Profiles'!AA176^2)-0.1116*'Temperature Profiles'!AA176+0.6576)*1000,IF('Temperature Profiles'!AA176&lt;17,(0.0053*('Temperature Profiles'!AA176^2)-0.1876*'Temperature Profiles'!AA176+1.7649)*1000,0))</f>
        <v>808.56231249999962</v>
      </c>
      <c r="EY78" s="110">
        <v>0.76041666666666696</v>
      </c>
      <c r="EZ78" s="264">
        <f>IF('Temperature Profiles'!AA176&gt;18,(0.0057*('Temperature Profiles'!AA176^2)-0.1509*'Temperature Profiles'!AA176+0.8935)*1000,IF('Temperature Profiles'!AA176&lt;17,(0.0072*('Temperature Profiles'!AA176^2)-0.254*'Temperature Profiles'!AA176+2.3952)*1000,0))</f>
        <v>1101.2904999999998</v>
      </c>
    </row>
    <row r="79" spans="1:156" x14ac:dyDescent="0.3">
      <c r="A79" s="108">
        <v>0.76041666666666696</v>
      </c>
      <c r="B79" s="226">
        <f t="shared" si="4"/>
        <v>0</v>
      </c>
      <c r="C79" s="21">
        <f t="shared" si="5"/>
        <v>236.75000000000003</v>
      </c>
      <c r="D79" s="20">
        <f t="shared" si="6"/>
        <v>1101.2904999999998</v>
      </c>
      <c r="E79" s="20">
        <f t="shared" si="7"/>
        <v>1101.2904999999998</v>
      </c>
      <c r="G79" s="260">
        <v>0.77083333333333304</v>
      </c>
      <c r="H79" s="211">
        <f>IF('Temperature Profiles'!G78&gt;17,(0.0029*('Temperature Profiles'!G78^2) - 0.0863*'Temperature Profiles'!G78 + 0.6808)*1000,0)</f>
        <v>223.0002499999998</v>
      </c>
      <c r="I79" s="110">
        <v>0.77083333333333304</v>
      </c>
      <c r="J79" s="211">
        <f>IF('Temperature Profiles'!G78&gt;17,(0.005*('Temperature Profiles'!G78^2) - 0.1517*'Temperature Profiles'!G78 + 1.1702)*1000,0)</f>
        <v>314.46750000000014</v>
      </c>
      <c r="K79" s="110">
        <v>0.77083333333333304</v>
      </c>
      <c r="L79" s="211">
        <f>IF('Temperature Profiles'!G78&gt;17,(0.0068*('Temperature Profiles'!G78^2) - 0.2129*'Temperature Profiles'!G78 + 1.6904)*1000,0)</f>
        <v>376.0680000000001</v>
      </c>
      <c r="M79" s="21"/>
      <c r="N79" s="110">
        <v>0.77083333333333304</v>
      </c>
      <c r="O79" s="211">
        <f>IF('Temperature Profiles'!L78&gt;17,(0.0029*('Temperature Profiles'!L78^2) - 0.0863*'Temperature Profiles'!L78 + 0.6808)*1000,0)</f>
        <v>375.18025</v>
      </c>
      <c r="P79" s="110">
        <v>0.77083333333333304</v>
      </c>
      <c r="Q79" s="211">
        <f>IF('Temperature Profiles'!L78&gt;17,(0.005*('Temperature Profiles'!L78^2) - 0.1517*'Temperature Profiles'!L78 + 1.1702)*1000,0)</f>
        <v>568.70749999999987</v>
      </c>
      <c r="R79" s="110">
        <v>0.77083333333333304</v>
      </c>
      <c r="S79" s="211">
        <f>IF('Temperature Profiles'!L78&gt;17,(0.0068*('Temperature Profiles'!L78^2) - 0.2129*'Temperature Profiles'!L78 + 1.6904)*1000,0)</f>
        <v>703.38799999999992</v>
      </c>
      <c r="T79" s="21"/>
      <c r="U79" s="110">
        <v>0.77083333333333304</v>
      </c>
      <c r="V79" s="211">
        <f>IF('Temperature Profiles'!Q78&gt;17,(0.0029*('Temperature Profiles'!Q78^2) - 0.0863*'Temperature Profiles'!Q78 + 0.6808)*1000,0)</f>
        <v>1111.0482013888889</v>
      </c>
      <c r="W79" s="110">
        <v>0.77083333333333304</v>
      </c>
      <c r="X79" s="211">
        <f>IF('Temperature Profiles'!Q78&gt;17,(0.005*('Temperature Profiles'!Q78^2) - 0.1517*'Temperature Profiles'!Q78 + 1.1702)*1000,0)</f>
        <v>1812.8578472222227</v>
      </c>
      <c r="Y79" s="110">
        <v>0.77083333333333304</v>
      </c>
      <c r="Z79" s="211">
        <f>IF('Temperature Profiles'!Q78&gt;17,(0.0068*('Temperature Profiles'!Q78^2) - 0.2129*'Temperature Profiles'!Q78 + 1.6904)*1000,0)</f>
        <v>2339.7089722222222</v>
      </c>
      <c r="AA79" s="21"/>
      <c r="AB79" s="110">
        <v>0.77083333333333304</v>
      </c>
      <c r="AC79" s="211">
        <f>IF('Temperature Profiles'!V78&gt;17,(0.0029*('Temperature Profiles'!V78^2) - 0.0863*'Temperature Profiles'!V78 + 0.6808)*1000,0)</f>
        <v>63.495999999999775</v>
      </c>
      <c r="AD79" s="110">
        <v>0.77083333333333304</v>
      </c>
      <c r="AE79" s="211">
        <f>IF('Temperature Profiles'!V78&gt;17,(0.005*('Temperature Profiles'!V78^2) - 0.1517*'Temperature Profiles'!V78 + 1.1702)*1000,0)</f>
        <v>54.140000000000079</v>
      </c>
      <c r="AF79" s="110">
        <v>0.77083333333333304</v>
      </c>
      <c r="AG79" s="211">
        <f>IF('Temperature Profiles'!V78&gt;17,(0.0068*('Temperature Profiles'!V78^2) - 0.2129*'Temperature Profiles'!V78 + 1.6904)*1000,0)</f>
        <v>55.291999999999675</v>
      </c>
      <c r="AH79" s="21"/>
      <c r="AI79" s="110">
        <v>0.77083333333333304</v>
      </c>
      <c r="AJ79" s="211">
        <f>IF('Temperature Profiles'!AA78&gt;17,(0.0029*('Temperature Profiles'!AA78^2) - 0.0863*'Temperature Profiles'!AA78 + 0.6808)*1000,0)</f>
        <v>0</v>
      </c>
      <c r="AK79" s="110">
        <v>0.77083333333333304</v>
      </c>
      <c r="AL79" s="211">
        <f>IF('Temperature Profiles'!AA78&gt;17,(0.005*('Temperature Profiles'!AA78^2) - 0.1517*'Temperature Profiles'!AA78 + 1.1701)*1000,0)</f>
        <v>0</v>
      </c>
      <c r="AM79" s="110">
        <v>0.77083333333333304</v>
      </c>
      <c r="AN79" s="211">
        <f>IF('Temperature Profiles'!AA78&gt;17,(0.0068*('Temperature Profiles'!AA78^2) - 0.2129*'Temperature Profiles'!AA78 + 1.6904)*1000,0)</f>
        <v>0</v>
      </c>
      <c r="AO79" s="21"/>
      <c r="AP79" s="110">
        <v>0.77083333333333304</v>
      </c>
      <c r="AQ79" s="211">
        <f>IF('Temperature Profiles'!AF78&gt;17,(0.0029*('Temperature Profiles'!AF78^2) - 0.0863*'Temperature Profiles'!AF78 + 0.6808)*1000,0)</f>
        <v>1370.4465347222224</v>
      </c>
      <c r="AR79" s="110">
        <v>0.77083333333333304</v>
      </c>
      <c r="AS79" s="183">
        <f>IF('Temperature Profiles'!AF78&gt;17,(0.005*('Temperature Profiles'!AF78^2) - 0.1517*'Temperature Profiles'!AF78 + 1.1702)*1000,0)</f>
        <v>2253.7011805555562</v>
      </c>
      <c r="AT79" s="110">
        <v>0.77083333333333304</v>
      </c>
      <c r="AU79" s="211">
        <f>IF('Temperature Profiles'!AF78&gt;17,(0.0068*('Temperature Profiles'!AF78^2) - 0.2129*'Temperature Profiles'!AF78 + 1.6904)*1000,0)</f>
        <v>2924.762305555555</v>
      </c>
      <c r="AV79" s="21"/>
      <c r="AW79" s="110">
        <v>0.77083333333333304</v>
      </c>
      <c r="AX79" s="211"/>
      <c r="AY79" s="21"/>
      <c r="AZ79" s="110">
        <v>0.77083333333333304</v>
      </c>
      <c r="BA79" s="264"/>
      <c r="BC79" s="260">
        <v>0.77083333333333304</v>
      </c>
      <c r="BD79" s="211">
        <f>IF('Temperature Profiles'!G78&lt;16,(-0.0037*'Temperature Profiles'!G78+0.0664)*1000,0)</f>
        <v>0</v>
      </c>
      <c r="BE79" s="110">
        <v>0.77083333333333304</v>
      </c>
      <c r="BF79" s="211">
        <f>IF('Temperature Profiles'!G78&lt;16,(-0.0076*'Temperature Profiles'!G78+0.1245)*1000,0)</f>
        <v>0</v>
      </c>
      <c r="BG79" s="110">
        <v>0.77083333333333304</v>
      </c>
      <c r="BH79" s="211">
        <f>IF('Temperature Profiles'!G78&lt;16,(-0.01*'Temperature Profiles'!G78+0.167)*1000,0)</f>
        <v>0</v>
      </c>
      <c r="BI79" s="21"/>
      <c r="BJ79" s="110">
        <v>0.77083333333333304</v>
      </c>
      <c r="BK79" s="211">
        <f>IF('Temperature Profiles'!L78&lt;16,(-0.0037*'Temperature Profiles'!L78+0.0664)*1000,0)</f>
        <v>0</v>
      </c>
      <c r="BL79" s="110">
        <v>0.77083333333333304</v>
      </c>
      <c r="BM79" s="211">
        <f>IF('Temperature Profiles'!L78&lt;16,(-0.0076*'Temperature Profiles'!L78+0.1245)*1000,0)</f>
        <v>0</v>
      </c>
      <c r="BN79" s="110">
        <v>0.77083333333333304</v>
      </c>
      <c r="BO79" s="211">
        <f>IF('Temperature Profiles'!L78&lt;16,(-0.01*'Temperature Profiles'!L78+0.167)*1000,0)</f>
        <v>0</v>
      </c>
      <c r="BP79" s="21"/>
      <c r="BQ79" s="110">
        <v>0.77083333333333304</v>
      </c>
      <c r="BR79" s="211">
        <f>IF('Temperature Profiles'!Q78&lt;16,(-0.0037*'Temperature Profiles'!Q78+0.0664)*1000,0)</f>
        <v>0</v>
      </c>
      <c r="BS79" s="110">
        <v>0.77083333333333304</v>
      </c>
      <c r="BT79" s="211">
        <f>IF('Temperature Profiles'!Q78&lt;16,(-0.0076*'Temperature Profiles'!Q78+0.1245)*1000,0)</f>
        <v>0</v>
      </c>
      <c r="BU79" s="110">
        <v>0.77083333333333304</v>
      </c>
      <c r="BV79" s="211">
        <f>IF('Temperature Profiles'!Q78&lt;16,(-0.01*'Temperature Profiles'!Q78+0.167)*1000,0)</f>
        <v>0</v>
      </c>
      <c r="BW79" s="21"/>
      <c r="BX79" s="110">
        <v>0.77083333333333304</v>
      </c>
      <c r="BY79" s="211">
        <f>IF('Temperature Profiles'!V78&lt;16,(-0.0037*'Temperature Profiles'!V78+0.0664)*1000,0)</f>
        <v>0</v>
      </c>
      <c r="BZ79" s="110">
        <v>0.77083333333333304</v>
      </c>
      <c r="CA79" s="211">
        <f>IF('Temperature Profiles'!V78&lt;16,(-0.0076*'Temperature Profiles'!V78+0.1245)*1000,0)</f>
        <v>0</v>
      </c>
      <c r="CB79" s="110">
        <v>0.77083333333333304</v>
      </c>
      <c r="CC79" s="211">
        <f>IF('Temperature Profiles'!V78&lt;16,(-0.01*'Temperature Profiles'!V78+0.167)*1000,0)</f>
        <v>0</v>
      </c>
      <c r="CD79" s="21"/>
      <c r="CE79" s="110">
        <v>0.77083333333333304</v>
      </c>
      <c r="CF79" s="211">
        <f>IF('Temperature Profiles'!AA78&lt;16,(-0.0037*'Temperature Profiles'!AA78+0.0664)*1000,0)</f>
        <v>92.207499999999996</v>
      </c>
      <c r="CG79" s="110">
        <v>0.77083333333333304</v>
      </c>
      <c r="CH79" s="178">
        <f>IF('Temperature Profiles'!AA78&lt;16,(-0.0076*'Temperature Profiles'!AA78+0.1245)*1000,0)</f>
        <v>177.51</v>
      </c>
      <c r="CI79" s="110">
        <v>0.77083333333333304</v>
      </c>
      <c r="CJ79" s="211">
        <f>IF('Temperature Profiles'!AA78&lt;16,(-0.01*'Temperature Profiles'!AA78+0.167)*1000,0)</f>
        <v>236.75000000000003</v>
      </c>
      <c r="CK79" s="21"/>
      <c r="CL79" s="110">
        <v>0.77083333333333304</v>
      </c>
      <c r="CM79" s="211">
        <f>IF('Temperature Profiles'!AF78&lt;16,(-0.0037*'Temperature Profiles'!AF78+0.0664)*1000,0)</f>
        <v>0</v>
      </c>
      <c r="CN79" s="110">
        <v>0.77083333333333304</v>
      </c>
      <c r="CO79" s="178">
        <f>IF('Temperature Profiles'!AF78&lt;16,(-0.0076*'Temperature Profiles'!AF78+0.1245)*1000,0)</f>
        <v>0</v>
      </c>
      <c r="CP79" s="110">
        <v>0.77083333333333304</v>
      </c>
      <c r="CQ79" s="211">
        <f>IF('Temperature Profiles'!AF78&lt;16,(-0.01*'Temperature Profiles'!AF78+0.167)*1000,0)</f>
        <v>0</v>
      </c>
      <c r="CR79" s="21"/>
      <c r="CS79" s="110">
        <v>0.77083333333333304</v>
      </c>
      <c r="CT79" s="211"/>
      <c r="CU79" s="21"/>
      <c r="CV79" s="110">
        <v>0.77083333333333304</v>
      </c>
      <c r="CW79" s="264"/>
      <c r="CY79" s="260">
        <v>0.77083333333333304</v>
      </c>
      <c r="CZ79" s="178">
        <f>IF('Temperature Profiles'!G78&gt;18,(0.0024*('Temperature Profiles'!G78^2)-0.0581*'Temperature Profiles'!G78+0.3293)*1000,IF('Temperature Profiles'!G78&lt;17,(0.0022*('Temperature Profiles'!G78^2)-0.0874*'Temperature Profiles'!G78+0.9301)*1000,0))</f>
        <v>254.80899999999988</v>
      </c>
      <c r="DA79" s="110">
        <v>0.77083333333333304</v>
      </c>
      <c r="DB79" s="263">
        <f>IF('Temperature Profiles'!G78&gt;18,(0.0043*('Temperature Profiles'!G78^2)-0.1116*'Temperature Profiles'!G78+0.6576)*1000,IF('Temperature Profiles'!G78&lt;17,(0.0053*('Temperature Profiles'!G78^2)-0.1876*'Temperature Profiles'!G78+1.7649)*1000,0))</f>
        <v>352.66675000000004</v>
      </c>
      <c r="DC79" s="110">
        <v>0.77083333333333304</v>
      </c>
      <c r="DD79" s="211">
        <f>IF('Temperature Profiles'!G78&gt;18,(0.0057*('Temperature Profiles'!G78^2)-0.1509*'Temperature Profiles'!G78+0.8935)*1000,IF('Temperature Profiles'!G78&lt;17,(0.0072*('Temperature Profiles'!G78^2)-0.254*'Temperature Profiles'!G78+2.3952)*1000,0))</f>
        <v>421.53324999999995</v>
      </c>
      <c r="DE79" s="21"/>
      <c r="DF79" s="110">
        <v>0.77083333333333304</v>
      </c>
      <c r="DG79" s="209">
        <f>IF('Temperature Profiles'!L78&gt;18,(0.0024*('Temperature Profiles'!L78^2)-0.0581*'Temperature Profiles'!L78+0.3293)*1000,IF('Temperature Profiles'!L78&lt;17,(0.0022*('Temperature Profiles'!L78^2)-0.0874*'Temperature Profiles'!L78+0.9301)*1000,0))</f>
        <v>418.04899999999992</v>
      </c>
      <c r="DH79" s="110">
        <v>0.77083333333333304</v>
      </c>
      <c r="DI79" s="209">
        <f>IF('Temperature Profiles'!L78&gt;18,(0.0043*('Temperature Profiles'!L78^2)-0.1116*'Temperature Profiles'!L78+0.6576)*1000,IF('Temperature Profiles'!L78&lt;17,(0.0053*('Temperature Profiles'!L78^2)-0.1876*'Temperature Profiles'!L78+1.7649)*1000,0))</f>
        <v>624.12674999999979</v>
      </c>
      <c r="DJ79" s="110">
        <v>0.77083333333333304</v>
      </c>
      <c r="DK79" s="211">
        <f>IF('Temperature Profiles'!L78&gt;18,(0.0057*('Temperature Profiles'!L78^2)-0.1509*'Temperature Profiles'!L78+0.8935)*1000,IF('Temperature Profiles'!L78&lt;17,(0.0072*('Temperature Profiles'!L78^2)-0.254*'Temperature Profiles'!L78+2.3952)*1000,0))</f>
        <v>773.07325000000037</v>
      </c>
      <c r="DL79" s="21"/>
      <c r="DM79" s="110">
        <v>0.77083333333333304</v>
      </c>
      <c r="DN79" s="209">
        <f>IF('Temperature Profiles'!Q78&gt;18,(0.0024*('Temperature Profiles'!Q78^2)-0.0581*'Temperature Profiles'!Q78+0.3293)*1000,IF('Temperature Profiles'!Q78&lt;17,(0.0022*('Temperature Profiles'!Q78^2)-0.0874*'Temperature Profiles'!Q78+0.9301)*1000,0))</f>
        <v>1139.7139999999997</v>
      </c>
      <c r="DO79" s="110">
        <v>0.77083333333333304</v>
      </c>
      <c r="DP79" s="209">
        <f>IF('Temperature Profiles'!Q78&gt;18,(0.0043*('Temperature Profiles'!Q78^2)-0.1116*'Temperature Profiles'!Q78+0.6576)*1000,IF('Temperature Profiles'!Q78&lt;17,(0.0053*('Temperature Profiles'!Q78^2)-0.1876*'Temperature Profiles'!Q78+1.7649)*1000,0))</f>
        <v>1853.6371319444443</v>
      </c>
      <c r="DQ79" s="110">
        <v>0.77083333333333304</v>
      </c>
      <c r="DR79" s="211">
        <f>IF('Temperature Profiles'!Q78&gt;18,(0.0057*('Temperature Profiles'!Q78^2)-0.1509*'Temperature Profiles'!Q78+0.8935)*1000,IF('Temperature Profiles'!Q78&lt;17,(0.0072*('Temperature Profiles'!Q78^2)-0.254*'Temperature Profiles'!Q78+2.3952)*1000,0))</f>
        <v>2377.8093958333338</v>
      </c>
      <c r="DS79" s="21"/>
      <c r="DT79" s="110">
        <v>0.77083333333333304</v>
      </c>
      <c r="DU79" s="209">
        <f>IF('Temperature Profiles'!V78&gt;18,(0.0024*('Temperature Profiles'!V78^2)-0.0581*'Temperature Profiles'!V78+0.3293)*1000,IF('Temperature Profiles'!V78&lt;17,(0.0022*('Temperature Profiles'!V78^2)-0.0874*'Temperature Profiles'!V78+0.9301)*1000,0))</f>
        <v>0</v>
      </c>
      <c r="DV79" s="110">
        <v>0.77083333333333304</v>
      </c>
      <c r="DW79" s="209">
        <f>IF('Temperature Profiles'!V78&gt;18,(0.0043*('Temperature Profiles'!V78^2)-0.1116*'Temperature Profiles'!V78+0.6576)*1000,IF('Temperature Profiles'!V78&lt;17,(0.0053*('Temperature Profiles'!V78^2)-0.1876*'Temperature Profiles'!V78+1.7649)*1000,0))</f>
        <v>0</v>
      </c>
      <c r="DX79" s="110">
        <v>0.77083333333333304</v>
      </c>
      <c r="DY79" s="211">
        <f>IF('Temperature Profiles'!V78&gt;18,(0.0057*('Temperature Profiles'!V78^2)-0.1509*'Temperature Profiles'!V78+0.8935)*1000,IF('Temperature Profiles'!V78&lt;17,(0.0072*('Temperature Profiles'!V78^2)-0.254*'Temperature Profiles'!V78+2.3952)*1000,0))</f>
        <v>0</v>
      </c>
      <c r="DZ79" s="21"/>
      <c r="EA79" s="110">
        <v>0.77083333333333304</v>
      </c>
      <c r="EB79" s="209">
        <f>IF('Temperature Profiles'!AA177&gt;18,(0.0024*('Temperature Profiles'!AA177^2)-0.0581*'Temperature Profiles'!AA177+0.3293)*1000,IF('Temperature Profiles'!AA177&lt;17,(0.0022*('Temperature Profiles'!AA177^2)-0.0874*'Temperature Profiles'!AA177+0.9301)*1000,0))</f>
        <v>474.29237499999994</v>
      </c>
      <c r="EC79" s="110">
        <v>0.77083333333333304</v>
      </c>
      <c r="ED79" s="209">
        <f>IF('Temperature Profiles'!AA177&gt;18,(0.0043*('Temperature Profiles'!AA177^2)-0.1116*'Temperature Profiles'!AA177+0.6576)*1000,IF('Temperature Profiles'!AA177&lt;17,(0.0053*('Temperature Profiles'!AA177^2)-0.1876*'Temperature Profiles'!AA177+1.7649)*1000,0))</f>
        <v>808.56231249999962</v>
      </c>
      <c r="EE79" s="110">
        <v>0.77083333333333304</v>
      </c>
      <c r="EF79" s="211">
        <f>IF('Temperature Profiles'!AA177&gt;18,(0.0057*('Temperature Profiles'!AA177^2)-0.1509*'Temperature Profiles'!AA177+0.8935)*1000,IF('Temperature Profiles'!AA177&lt;17,(0.0072*('Temperature Profiles'!AA177^2)-0.254*'Temperature Profiles'!AA177+2.3952)*1000,0))</f>
        <v>1101.2904999999998</v>
      </c>
      <c r="EG79" s="21"/>
      <c r="EH79" s="110">
        <v>0.77083333333333304</v>
      </c>
      <c r="EI79" s="211">
        <f>IF('Temperature Profiles'!AF78&gt;18,(0.0024*('Temperature Profiles'!AF78^2)-0.0581*'Temperature Profiles'!AF78+0.3293)*1000,IF('Temperature Profiles'!AF78&lt;17,(0.0022*('Temperature Profiles'!AF78^2)-0.0874*'Temperature Profiles'!AF78+0.9301)*1000,0))</f>
        <v>1383.6939999999997</v>
      </c>
      <c r="EJ79" s="110">
        <v>0.77083333333333304</v>
      </c>
      <c r="EK79" s="211">
        <f>IF('Temperature Profiles'!AF78&gt;18,(0.0043*('Temperature Profiles'!AF78^2)-0.1116*'Temperature Profiles'!AF78+0.6576)*1000,IF('Temperature Profiles'!AF78&lt;17,(0.0053*('Temperature Profiles'!AF78^2)-0.1876*'Temperature Profiles'!AF78+1.7649)*1000,0))</f>
        <v>2274.2587986111107</v>
      </c>
      <c r="EL79" s="110">
        <v>0.77083333333333304</v>
      </c>
      <c r="EM79" s="211">
        <f>IF('Temperature Profiles'!AF78&gt;18,(0.0057*('Temperature Profiles'!AF78^2)-0.1509*'Temperature Profiles'!AF78+0.8935)*1000,IF('Temperature Profiles'!AF78&lt;17,(0.0072*('Temperature Profiles'!AF78^2)-0.254*'Temperature Profiles'!AF78+2.3952)*1000,0))</f>
        <v>2928.854395833333</v>
      </c>
      <c r="EN79" s="21"/>
      <c r="EO79" s="110">
        <v>0.77083333333333304</v>
      </c>
      <c r="EP79" s="211"/>
      <c r="EQ79" s="21"/>
      <c r="ER79" s="110">
        <v>0.77083333333333304</v>
      </c>
      <c r="ES79" s="264"/>
      <c r="EU79" s="260">
        <v>0.77083333333333304</v>
      </c>
      <c r="EV79" s="209">
        <f>IF('Temperature Profiles'!AA177&gt;18,(0.0024*('Temperature Profiles'!AA177^2)-0.0581*'Temperature Profiles'!AA177+0.3293)*1000,IF('Temperature Profiles'!AA177&lt;17,(0.0022*('Temperature Profiles'!AA177^2)-0.0874*'Temperature Profiles'!AA177+0.9301)*1000,0))</f>
        <v>474.29237499999994</v>
      </c>
      <c r="EW79" s="110">
        <v>0.77083333333333304</v>
      </c>
      <c r="EX79" s="209">
        <f>IF('Temperature Profiles'!AA177&gt;18,(0.0043*('Temperature Profiles'!AA177^2)-0.1116*'Temperature Profiles'!AA177+0.6576)*1000,IF('Temperature Profiles'!AA177&lt;17,(0.0053*('Temperature Profiles'!AA177^2)-0.1876*'Temperature Profiles'!AA177+1.7649)*1000,0))</f>
        <v>808.56231249999962</v>
      </c>
      <c r="EY79" s="110">
        <v>0.77083333333333304</v>
      </c>
      <c r="EZ79" s="264">
        <f>IF('Temperature Profiles'!AA177&gt;18,(0.0057*('Temperature Profiles'!AA177^2)-0.1509*'Temperature Profiles'!AA177+0.8935)*1000,IF('Temperature Profiles'!AA177&lt;17,(0.0072*('Temperature Profiles'!AA177^2)-0.254*'Temperature Profiles'!AA177+2.3952)*1000,0))</f>
        <v>1101.2904999999998</v>
      </c>
    </row>
    <row r="80" spans="1:156" x14ac:dyDescent="0.3">
      <c r="A80" s="108">
        <v>0.77083333333333304</v>
      </c>
      <c r="B80" s="226">
        <f t="shared" si="4"/>
        <v>0</v>
      </c>
      <c r="C80" s="21">
        <f t="shared" si="5"/>
        <v>236.75000000000003</v>
      </c>
      <c r="D80" s="20">
        <f t="shared" si="6"/>
        <v>1101.2904999999998</v>
      </c>
      <c r="E80" s="20">
        <f t="shared" si="7"/>
        <v>1101.2904999999998</v>
      </c>
      <c r="G80" s="260">
        <v>0.78125</v>
      </c>
      <c r="H80" s="211">
        <f>IF('Temperature Profiles'!G79&gt;17,(0.0029*('Temperature Profiles'!G79^2) - 0.0863*'Temperature Profiles'!G79 + 0.6808)*1000,0)</f>
        <v>223.0002499999998</v>
      </c>
      <c r="I80" s="110">
        <v>0.78125</v>
      </c>
      <c r="J80" s="211">
        <f>IF('Temperature Profiles'!G79&gt;17,(0.005*('Temperature Profiles'!G79^2) - 0.1517*'Temperature Profiles'!G79 + 1.1702)*1000,0)</f>
        <v>314.46750000000014</v>
      </c>
      <c r="K80" s="110">
        <v>0.78125</v>
      </c>
      <c r="L80" s="211">
        <f>IF('Temperature Profiles'!G79&gt;17,(0.0068*('Temperature Profiles'!G79^2) - 0.2129*'Temperature Profiles'!G79 + 1.6904)*1000,0)</f>
        <v>376.0680000000001</v>
      </c>
      <c r="M80" s="21"/>
      <c r="N80" s="110">
        <v>0.78125</v>
      </c>
      <c r="O80" s="211">
        <f>IF('Temperature Profiles'!L79&gt;17,(0.0029*('Temperature Profiles'!L79^2) - 0.0863*'Temperature Profiles'!L79 + 0.6808)*1000,0)</f>
        <v>375.18025</v>
      </c>
      <c r="P80" s="110">
        <v>0.78125</v>
      </c>
      <c r="Q80" s="211">
        <f>IF('Temperature Profiles'!L79&gt;17,(0.005*('Temperature Profiles'!L79^2) - 0.1517*'Temperature Profiles'!L79 + 1.1702)*1000,0)</f>
        <v>568.70749999999987</v>
      </c>
      <c r="R80" s="110">
        <v>0.78125</v>
      </c>
      <c r="S80" s="211">
        <f>IF('Temperature Profiles'!L79&gt;17,(0.0068*('Temperature Profiles'!L79^2) - 0.2129*'Temperature Profiles'!L79 + 1.6904)*1000,0)</f>
        <v>703.38799999999992</v>
      </c>
      <c r="T80" s="21"/>
      <c r="U80" s="110">
        <v>0.78125</v>
      </c>
      <c r="V80" s="211">
        <f>IF('Temperature Profiles'!Q79&gt;17,(0.0029*('Temperature Profiles'!Q79^2) - 0.0863*'Temperature Profiles'!Q79 + 0.6808)*1000,0)</f>
        <v>1111.0482013888889</v>
      </c>
      <c r="W80" s="110">
        <v>0.78125</v>
      </c>
      <c r="X80" s="211">
        <f>IF('Temperature Profiles'!Q79&gt;17,(0.005*('Temperature Profiles'!Q79^2) - 0.1517*'Temperature Profiles'!Q79 + 1.1702)*1000,0)</f>
        <v>1812.8578472222227</v>
      </c>
      <c r="Y80" s="110">
        <v>0.78125</v>
      </c>
      <c r="Z80" s="211">
        <f>IF('Temperature Profiles'!Q79&gt;17,(0.0068*('Temperature Profiles'!Q79^2) - 0.2129*'Temperature Profiles'!Q79 + 1.6904)*1000,0)</f>
        <v>2339.7089722222222</v>
      </c>
      <c r="AA80" s="21"/>
      <c r="AB80" s="110">
        <v>0.78125</v>
      </c>
      <c r="AC80" s="211">
        <f>IF('Temperature Profiles'!V79&gt;17,(0.0029*('Temperature Profiles'!V79^2) - 0.0863*'Temperature Profiles'!V79 + 0.6808)*1000,0)</f>
        <v>63.495999999999775</v>
      </c>
      <c r="AD80" s="110">
        <v>0.78125</v>
      </c>
      <c r="AE80" s="211">
        <f>IF('Temperature Profiles'!V79&gt;17,(0.005*('Temperature Profiles'!V79^2) - 0.1517*'Temperature Profiles'!V79 + 1.1702)*1000,0)</f>
        <v>54.140000000000079</v>
      </c>
      <c r="AF80" s="110">
        <v>0.78125</v>
      </c>
      <c r="AG80" s="211">
        <f>IF('Temperature Profiles'!V79&gt;17,(0.0068*('Temperature Profiles'!V79^2) - 0.2129*'Temperature Profiles'!V79 + 1.6904)*1000,0)</f>
        <v>55.291999999999675</v>
      </c>
      <c r="AH80" s="21"/>
      <c r="AI80" s="110">
        <v>0.78125</v>
      </c>
      <c r="AJ80" s="211">
        <f>IF('Temperature Profiles'!AA79&gt;17,(0.0029*('Temperature Profiles'!AA79^2) - 0.0863*'Temperature Profiles'!AA79 + 0.6808)*1000,0)</f>
        <v>0</v>
      </c>
      <c r="AK80" s="110">
        <v>0.78125</v>
      </c>
      <c r="AL80" s="211">
        <f>IF('Temperature Profiles'!AA79&gt;17,(0.005*('Temperature Profiles'!AA79^2) - 0.1517*'Temperature Profiles'!AA79 + 1.1701)*1000,0)</f>
        <v>0</v>
      </c>
      <c r="AM80" s="110">
        <v>0.78125</v>
      </c>
      <c r="AN80" s="211">
        <f>IF('Temperature Profiles'!AA79&gt;17,(0.0068*('Temperature Profiles'!AA79^2) - 0.2129*'Temperature Profiles'!AA79 + 1.6904)*1000,0)</f>
        <v>0</v>
      </c>
      <c r="AO80" s="21"/>
      <c r="AP80" s="110">
        <v>0.78125</v>
      </c>
      <c r="AQ80" s="211">
        <f>IF('Temperature Profiles'!AF79&gt;17,(0.0029*('Temperature Profiles'!AF79^2) - 0.0863*'Temperature Profiles'!AF79 + 0.6808)*1000,0)</f>
        <v>1370.4465347222224</v>
      </c>
      <c r="AR80" s="110">
        <v>0.78125</v>
      </c>
      <c r="AS80" s="183">
        <f>IF('Temperature Profiles'!AF79&gt;17,(0.005*('Temperature Profiles'!AF79^2) - 0.1517*'Temperature Profiles'!AF79 + 1.1702)*1000,0)</f>
        <v>2253.7011805555562</v>
      </c>
      <c r="AT80" s="110">
        <v>0.78125</v>
      </c>
      <c r="AU80" s="211">
        <f>IF('Temperature Profiles'!AF79&gt;17,(0.0068*('Temperature Profiles'!AF79^2) - 0.2129*'Temperature Profiles'!AF79 + 1.6904)*1000,0)</f>
        <v>2924.762305555555</v>
      </c>
      <c r="AV80" s="21"/>
      <c r="AW80" s="110">
        <v>0.78125</v>
      </c>
      <c r="AX80" s="211"/>
      <c r="AY80" s="21"/>
      <c r="AZ80" s="110">
        <v>0.78125</v>
      </c>
      <c r="BA80" s="264"/>
      <c r="BC80" s="260">
        <v>0.78125</v>
      </c>
      <c r="BD80" s="211">
        <f>IF('Temperature Profiles'!G79&lt;16,(-0.0037*'Temperature Profiles'!G79+0.0664)*1000,0)</f>
        <v>0</v>
      </c>
      <c r="BE80" s="110">
        <v>0.78125</v>
      </c>
      <c r="BF80" s="211">
        <f>IF('Temperature Profiles'!G79&lt;16,(-0.0076*'Temperature Profiles'!G79+0.1245)*1000,0)</f>
        <v>0</v>
      </c>
      <c r="BG80" s="110">
        <v>0.78125</v>
      </c>
      <c r="BH80" s="211">
        <f>IF('Temperature Profiles'!G79&lt;16,(-0.01*'Temperature Profiles'!G79+0.167)*1000,0)</f>
        <v>0</v>
      </c>
      <c r="BI80" s="21"/>
      <c r="BJ80" s="110">
        <v>0.78125</v>
      </c>
      <c r="BK80" s="211">
        <f>IF('Temperature Profiles'!L79&lt;16,(-0.0037*'Temperature Profiles'!L79+0.0664)*1000,0)</f>
        <v>0</v>
      </c>
      <c r="BL80" s="110">
        <v>0.78125</v>
      </c>
      <c r="BM80" s="211">
        <f>IF('Temperature Profiles'!L79&lt;16,(-0.0076*'Temperature Profiles'!L79+0.1245)*1000,0)</f>
        <v>0</v>
      </c>
      <c r="BN80" s="110">
        <v>0.78125</v>
      </c>
      <c r="BO80" s="211">
        <f>IF('Temperature Profiles'!L79&lt;16,(-0.01*'Temperature Profiles'!L79+0.167)*1000,0)</f>
        <v>0</v>
      </c>
      <c r="BP80" s="21"/>
      <c r="BQ80" s="110">
        <v>0.78125</v>
      </c>
      <c r="BR80" s="211">
        <f>IF('Temperature Profiles'!Q79&lt;16,(-0.0037*'Temperature Profiles'!Q79+0.0664)*1000,0)</f>
        <v>0</v>
      </c>
      <c r="BS80" s="110">
        <v>0.78125</v>
      </c>
      <c r="BT80" s="211">
        <f>IF('Temperature Profiles'!Q79&lt;16,(-0.0076*'Temperature Profiles'!Q79+0.1245)*1000,0)</f>
        <v>0</v>
      </c>
      <c r="BU80" s="110">
        <v>0.78125</v>
      </c>
      <c r="BV80" s="211">
        <f>IF('Temperature Profiles'!Q79&lt;16,(-0.01*'Temperature Profiles'!Q79+0.167)*1000,0)</f>
        <v>0</v>
      </c>
      <c r="BW80" s="21"/>
      <c r="BX80" s="110">
        <v>0.78125</v>
      </c>
      <c r="BY80" s="211">
        <f>IF('Temperature Profiles'!V79&lt;16,(-0.0037*'Temperature Profiles'!V79+0.0664)*1000,0)</f>
        <v>0</v>
      </c>
      <c r="BZ80" s="110">
        <v>0.78125</v>
      </c>
      <c r="CA80" s="211">
        <f>IF('Temperature Profiles'!V79&lt;16,(-0.0076*'Temperature Profiles'!V79+0.1245)*1000,0)</f>
        <v>0</v>
      </c>
      <c r="CB80" s="110">
        <v>0.78125</v>
      </c>
      <c r="CC80" s="211">
        <f>IF('Temperature Profiles'!V79&lt;16,(-0.01*'Temperature Profiles'!V79+0.167)*1000,0)</f>
        <v>0</v>
      </c>
      <c r="CD80" s="21"/>
      <c r="CE80" s="110">
        <v>0.78125</v>
      </c>
      <c r="CF80" s="211">
        <f>IF('Temperature Profiles'!AA79&lt;16,(-0.0037*'Temperature Profiles'!AA79+0.0664)*1000,0)</f>
        <v>92.207499999999996</v>
      </c>
      <c r="CG80" s="110">
        <v>0.78125</v>
      </c>
      <c r="CH80" s="178">
        <f>IF('Temperature Profiles'!AA79&lt;16,(-0.0076*'Temperature Profiles'!AA79+0.1245)*1000,0)</f>
        <v>177.51</v>
      </c>
      <c r="CI80" s="110">
        <v>0.78125</v>
      </c>
      <c r="CJ80" s="211">
        <f>IF('Temperature Profiles'!AA79&lt;16,(-0.01*'Temperature Profiles'!AA79+0.167)*1000,0)</f>
        <v>236.75000000000003</v>
      </c>
      <c r="CK80" s="21"/>
      <c r="CL80" s="110">
        <v>0.78125</v>
      </c>
      <c r="CM80" s="211">
        <f>IF('Temperature Profiles'!AF79&lt;16,(-0.0037*'Temperature Profiles'!AF79+0.0664)*1000,0)</f>
        <v>0</v>
      </c>
      <c r="CN80" s="110">
        <v>0.78125</v>
      </c>
      <c r="CO80" s="178">
        <f>IF('Temperature Profiles'!AF79&lt;16,(-0.0076*'Temperature Profiles'!AF79+0.1245)*1000,0)</f>
        <v>0</v>
      </c>
      <c r="CP80" s="110">
        <v>0.78125</v>
      </c>
      <c r="CQ80" s="211">
        <f>IF('Temperature Profiles'!AF79&lt;16,(-0.01*'Temperature Profiles'!AF79+0.167)*1000,0)</f>
        <v>0</v>
      </c>
      <c r="CR80" s="21"/>
      <c r="CS80" s="110">
        <v>0.78125</v>
      </c>
      <c r="CT80" s="211"/>
      <c r="CU80" s="21"/>
      <c r="CV80" s="110">
        <v>0.78125</v>
      </c>
      <c r="CW80" s="264"/>
      <c r="CY80" s="260">
        <v>0.78125</v>
      </c>
      <c r="CZ80" s="178">
        <f>IF('Temperature Profiles'!G79&gt;18,(0.0024*('Temperature Profiles'!G79^2)-0.0581*'Temperature Profiles'!G79+0.3293)*1000,IF('Temperature Profiles'!G79&lt;17,(0.0022*('Temperature Profiles'!G79^2)-0.0874*'Temperature Profiles'!G79+0.9301)*1000,0))</f>
        <v>254.80899999999988</v>
      </c>
      <c r="DA80" s="110">
        <v>0.78125</v>
      </c>
      <c r="DB80" s="263">
        <f>IF('Temperature Profiles'!G79&gt;18,(0.0043*('Temperature Profiles'!G79^2)-0.1116*'Temperature Profiles'!G79+0.6576)*1000,IF('Temperature Profiles'!G79&lt;17,(0.0053*('Temperature Profiles'!G79^2)-0.1876*'Temperature Profiles'!G79+1.7649)*1000,0))</f>
        <v>352.66675000000004</v>
      </c>
      <c r="DC80" s="110">
        <v>0.78125</v>
      </c>
      <c r="DD80" s="211">
        <f>IF('Temperature Profiles'!G79&gt;18,(0.0057*('Temperature Profiles'!G79^2)-0.1509*'Temperature Profiles'!G79+0.8935)*1000,IF('Temperature Profiles'!G79&lt;17,(0.0072*('Temperature Profiles'!G79^2)-0.254*'Temperature Profiles'!G79+2.3952)*1000,0))</f>
        <v>421.53324999999995</v>
      </c>
      <c r="DE80" s="21"/>
      <c r="DF80" s="110">
        <v>0.78125</v>
      </c>
      <c r="DG80" s="209">
        <f>IF('Temperature Profiles'!L79&gt;18,(0.0024*('Temperature Profiles'!L79^2)-0.0581*'Temperature Profiles'!L79+0.3293)*1000,IF('Temperature Profiles'!L79&lt;17,(0.0022*('Temperature Profiles'!L79^2)-0.0874*'Temperature Profiles'!L79+0.9301)*1000,0))</f>
        <v>418.04899999999992</v>
      </c>
      <c r="DH80" s="110">
        <v>0.78125</v>
      </c>
      <c r="DI80" s="209">
        <f>IF('Temperature Profiles'!L79&gt;18,(0.0043*('Temperature Profiles'!L79^2)-0.1116*'Temperature Profiles'!L79+0.6576)*1000,IF('Temperature Profiles'!L79&lt;17,(0.0053*('Temperature Profiles'!L79^2)-0.1876*'Temperature Profiles'!L79+1.7649)*1000,0))</f>
        <v>624.12674999999979</v>
      </c>
      <c r="DJ80" s="110">
        <v>0.78125</v>
      </c>
      <c r="DK80" s="211">
        <f>IF('Temperature Profiles'!L79&gt;18,(0.0057*('Temperature Profiles'!L79^2)-0.1509*'Temperature Profiles'!L79+0.8935)*1000,IF('Temperature Profiles'!L79&lt;17,(0.0072*('Temperature Profiles'!L79^2)-0.254*'Temperature Profiles'!L79+2.3952)*1000,0))</f>
        <v>773.07325000000037</v>
      </c>
      <c r="DL80" s="21"/>
      <c r="DM80" s="110">
        <v>0.78125</v>
      </c>
      <c r="DN80" s="209">
        <f>IF('Temperature Profiles'!Q79&gt;18,(0.0024*('Temperature Profiles'!Q79^2)-0.0581*'Temperature Profiles'!Q79+0.3293)*1000,IF('Temperature Profiles'!Q79&lt;17,(0.0022*('Temperature Profiles'!Q79^2)-0.0874*'Temperature Profiles'!Q79+0.9301)*1000,0))</f>
        <v>1139.7139999999997</v>
      </c>
      <c r="DO80" s="110">
        <v>0.78125</v>
      </c>
      <c r="DP80" s="209">
        <f>IF('Temperature Profiles'!Q79&gt;18,(0.0043*('Temperature Profiles'!Q79^2)-0.1116*'Temperature Profiles'!Q79+0.6576)*1000,IF('Temperature Profiles'!Q79&lt;17,(0.0053*('Temperature Profiles'!Q79^2)-0.1876*'Temperature Profiles'!Q79+1.7649)*1000,0))</f>
        <v>1853.6371319444443</v>
      </c>
      <c r="DQ80" s="110">
        <v>0.78125</v>
      </c>
      <c r="DR80" s="211">
        <f>IF('Temperature Profiles'!Q79&gt;18,(0.0057*('Temperature Profiles'!Q79^2)-0.1509*'Temperature Profiles'!Q79+0.8935)*1000,IF('Temperature Profiles'!Q79&lt;17,(0.0072*('Temperature Profiles'!Q79^2)-0.254*'Temperature Profiles'!Q79+2.3952)*1000,0))</f>
        <v>2377.8093958333338</v>
      </c>
      <c r="DS80" s="21"/>
      <c r="DT80" s="110">
        <v>0.78125</v>
      </c>
      <c r="DU80" s="209">
        <f>IF('Temperature Profiles'!V79&gt;18,(0.0024*('Temperature Profiles'!V79^2)-0.0581*'Temperature Profiles'!V79+0.3293)*1000,IF('Temperature Profiles'!V79&lt;17,(0.0022*('Temperature Profiles'!V79^2)-0.0874*'Temperature Profiles'!V79+0.9301)*1000,0))</f>
        <v>0</v>
      </c>
      <c r="DV80" s="110">
        <v>0.78125</v>
      </c>
      <c r="DW80" s="209">
        <f>IF('Temperature Profiles'!V79&gt;18,(0.0043*('Temperature Profiles'!V79^2)-0.1116*'Temperature Profiles'!V79+0.6576)*1000,IF('Temperature Profiles'!V79&lt;17,(0.0053*('Temperature Profiles'!V79^2)-0.1876*'Temperature Profiles'!V79+1.7649)*1000,0))</f>
        <v>0</v>
      </c>
      <c r="DX80" s="110">
        <v>0.78125</v>
      </c>
      <c r="DY80" s="211">
        <f>IF('Temperature Profiles'!V79&gt;18,(0.0057*('Temperature Profiles'!V79^2)-0.1509*'Temperature Profiles'!V79+0.8935)*1000,IF('Temperature Profiles'!V79&lt;17,(0.0072*('Temperature Profiles'!V79^2)-0.254*'Temperature Profiles'!V79+2.3952)*1000,0))</f>
        <v>0</v>
      </c>
      <c r="DZ80" s="21"/>
      <c r="EA80" s="110">
        <v>0.78125</v>
      </c>
      <c r="EB80" s="209">
        <f>IF('Temperature Profiles'!AA178&gt;18,(0.0024*('Temperature Profiles'!AA178^2)-0.0581*'Temperature Profiles'!AA178+0.3293)*1000,IF('Temperature Profiles'!AA178&lt;17,(0.0022*('Temperature Profiles'!AA178^2)-0.0874*'Temperature Profiles'!AA178+0.9301)*1000,0))</f>
        <v>474.29237499999994</v>
      </c>
      <c r="EC80" s="110">
        <v>0.78125</v>
      </c>
      <c r="ED80" s="209">
        <f>IF('Temperature Profiles'!AA178&gt;18,(0.0043*('Temperature Profiles'!AA178^2)-0.1116*'Temperature Profiles'!AA178+0.6576)*1000,IF('Temperature Profiles'!AA178&lt;17,(0.0053*('Temperature Profiles'!AA178^2)-0.1876*'Temperature Profiles'!AA178+1.7649)*1000,0))</f>
        <v>808.56231249999962</v>
      </c>
      <c r="EE80" s="110">
        <v>0.78125</v>
      </c>
      <c r="EF80" s="211">
        <f>IF('Temperature Profiles'!AA178&gt;18,(0.0057*('Temperature Profiles'!AA178^2)-0.1509*'Temperature Profiles'!AA178+0.8935)*1000,IF('Temperature Profiles'!AA178&lt;17,(0.0072*('Temperature Profiles'!AA178^2)-0.254*'Temperature Profiles'!AA178+2.3952)*1000,0))</f>
        <v>1101.2904999999998</v>
      </c>
      <c r="EG80" s="21"/>
      <c r="EH80" s="110">
        <v>0.78125</v>
      </c>
      <c r="EI80" s="211">
        <f>IF('Temperature Profiles'!AF79&gt;18,(0.0024*('Temperature Profiles'!AF79^2)-0.0581*'Temperature Profiles'!AF79+0.3293)*1000,IF('Temperature Profiles'!AF79&lt;17,(0.0022*('Temperature Profiles'!AF79^2)-0.0874*'Temperature Profiles'!AF79+0.9301)*1000,0))</f>
        <v>1383.6939999999997</v>
      </c>
      <c r="EJ80" s="110">
        <v>0.78125</v>
      </c>
      <c r="EK80" s="211">
        <f>IF('Temperature Profiles'!AF79&gt;18,(0.0043*('Temperature Profiles'!AF79^2)-0.1116*'Temperature Profiles'!AF79+0.6576)*1000,IF('Temperature Profiles'!AF79&lt;17,(0.0053*('Temperature Profiles'!AF79^2)-0.1876*'Temperature Profiles'!AF79+1.7649)*1000,0))</f>
        <v>2274.2587986111107</v>
      </c>
      <c r="EL80" s="110">
        <v>0.78125</v>
      </c>
      <c r="EM80" s="211">
        <f>IF('Temperature Profiles'!AF79&gt;18,(0.0057*('Temperature Profiles'!AF79^2)-0.1509*'Temperature Profiles'!AF79+0.8935)*1000,IF('Temperature Profiles'!AF79&lt;17,(0.0072*('Temperature Profiles'!AF79^2)-0.254*'Temperature Profiles'!AF79+2.3952)*1000,0))</f>
        <v>2928.854395833333</v>
      </c>
      <c r="EN80" s="21"/>
      <c r="EO80" s="110">
        <v>0.78125</v>
      </c>
      <c r="EP80" s="211"/>
      <c r="EQ80" s="21"/>
      <c r="ER80" s="110">
        <v>0.78125</v>
      </c>
      <c r="ES80" s="264"/>
      <c r="EU80" s="260">
        <v>0.78125</v>
      </c>
      <c r="EV80" s="209">
        <f>IF('Temperature Profiles'!AA178&gt;18,(0.0024*('Temperature Profiles'!AA178^2)-0.0581*'Temperature Profiles'!AA178+0.3293)*1000,IF('Temperature Profiles'!AA178&lt;17,(0.0022*('Temperature Profiles'!AA178^2)-0.0874*'Temperature Profiles'!AA178+0.9301)*1000,0))</f>
        <v>474.29237499999994</v>
      </c>
      <c r="EW80" s="110">
        <v>0.78125</v>
      </c>
      <c r="EX80" s="209">
        <f>IF('Temperature Profiles'!AA178&gt;18,(0.0043*('Temperature Profiles'!AA178^2)-0.1116*'Temperature Profiles'!AA178+0.6576)*1000,IF('Temperature Profiles'!AA178&lt;17,(0.0053*('Temperature Profiles'!AA178^2)-0.1876*'Temperature Profiles'!AA178+1.7649)*1000,0))</f>
        <v>808.56231249999962</v>
      </c>
      <c r="EY80" s="110">
        <v>0.78125</v>
      </c>
      <c r="EZ80" s="264">
        <f>IF('Temperature Profiles'!AA178&gt;18,(0.0057*('Temperature Profiles'!AA178^2)-0.1509*'Temperature Profiles'!AA178+0.8935)*1000,IF('Temperature Profiles'!AA178&lt;17,(0.0072*('Temperature Profiles'!AA178^2)-0.254*'Temperature Profiles'!AA178+2.3952)*1000,0))</f>
        <v>1101.2904999999998</v>
      </c>
    </row>
    <row r="81" spans="1:156" x14ac:dyDescent="0.3">
      <c r="A81" s="108">
        <v>0.78125</v>
      </c>
      <c r="B81" s="226">
        <f t="shared" si="4"/>
        <v>0</v>
      </c>
      <c r="C81" s="21">
        <f t="shared" si="5"/>
        <v>236.75000000000003</v>
      </c>
      <c r="D81" s="20">
        <f t="shared" si="6"/>
        <v>1101.2904999999998</v>
      </c>
      <c r="E81" s="20">
        <f t="shared" si="7"/>
        <v>1101.2904999999998</v>
      </c>
      <c r="G81" s="260">
        <v>0.79166666666666696</v>
      </c>
      <c r="H81" s="211">
        <f>IF('Temperature Profiles'!G80&gt;17,(0.0029*('Temperature Profiles'!G80^2) - 0.0863*'Temperature Profiles'!G80 + 0.6808)*1000,0)</f>
        <v>162.06399999999965</v>
      </c>
      <c r="I81" s="110">
        <v>0.79166666666666696</v>
      </c>
      <c r="J81" s="211">
        <f>IF('Temperature Profiles'!G80&gt;17,(0.005*('Temperature Profiles'!G80^2) - 0.1517*'Temperature Profiles'!G80 + 1.1702)*1000,0)</f>
        <v>213.61999999999969</v>
      </c>
      <c r="K81" s="110">
        <v>0.79166666666666696</v>
      </c>
      <c r="L81" s="211">
        <f>IF('Temperature Profiles'!G80&gt;17,(0.0068*('Temperature Profiles'!G80^2) - 0.2129*'Temperature Profiles'!G80 + 1.6904)*1000,0)</f>
        <v>248.46799999999948</v>
      </c>
      <c r="M81" s="21"/>
      <c r="N81" s="110">
        <v>0.79166666666666696</v>
      </c>
      <c r="O81" s="211">
        <f>IF('Temperature Profiles'!L80&gt;17,(0.0029*('Temperature Profiles'!L80^2) - 0.0863*'Temperature Profiles'!L80 + 0.6808)*1000,0)</f>
        <v>269.105034722222</v>
      </c>
      <c r="P81" s="110">
        <v>0.79166666666666696</v>
      </c>
      <c r="Q81" s="211">
        <f>IF('Temperature Profiles'!L80&gt;17,(0.005*('Temperature Profiles'!L80^2) - 0.1517*'Temperature Profiles'!L80 + 1.1702)*1000,0)</f>
        <v>391.22118055555563</v>
      </c>
      <c r="R81" s="110">
        <v>0.79166666666666696</v>
      </c>
      <c r="S81" s="211">
        <f>IF('Temperature Profiles'!L80&gt;17,(0.0068*('Temperature Profiles'!L80^2) - 0.2129*'Temperature Profiles'!L80 + 1.6904)*1000,0)</f>
        <v>474.249305555555</v>
      </c>
      <c r="T81" s="21"/>
      <c r="U81" s="110">
        <v>0.79166666666666696</v>
      </c>
      <c r="V81" s="211">
        <f>IF('Temperature Profiles'!Q80&gt;17,(0.0029*('Temperature Profiles'!Q80^2) - 0.0863*'Temperature Profiles'!Q80 + 0.6808)*1000,0)</f>
        <v>1049.6822500000001</v>
      </c>
      <c r="W81" s="110">
        <v>0.79166666666666696</v>
      </c>
      <c r="X81" s="211">
        <f>IF('Temperature Profiles'!Q80&gt;17,(0.005*('Temperature Profiles'!Q80^2) - 0.1517*'Temperature Profiles'!Q80 + 1.1702)*1000,0)</f>
        <v>1708.6775000000007</v>
      </c>
      <c r="Y81" s="110">
        <v>0.79166666666666696</v>
      </c>
      <c r="Z81" s="211">
        <f>IF('Temperature Profiles'!Q80&gt;17,(0.0068*('Temperature Profiles'!Q80^2) - 0.2129*'Temperature Profiles'!Q80 + 1.6904)*1000,0)</f>
        <v>2201.7019999999998</v>
      </c>
      <c r="AA81" s="21"/>
      <c r="AB81" s="110">
        <v>0.79166666666666696</v>
      </c>
      <c r="AC81" s="211">
        <f>IF('Temperature Profiles'!V80&gt;17,(0.0029*('Temperature Profiles'!V80^2) - 0.0863*'Temperature Profiles'!V80 + 0.6808)*1000,0)</f>
        <v>63.495999999999775</v>
      </c>
      <c r="AD81" s="110">
        <v>0.79166666666666696</v>
      </c>
      <c r="AE81" s="211">
        <f>IF('Temperature Profiles'!V80&gt;17,(0.005*('Temperature Profiles'!V80^2) - 0.1517*'Temperature Profiles'!V80 + 1.1702)*1000,0)</f>
        <v>54.140000000000079</v>
      </c>
      <c r="AF81" s="110">
        <v>0.79166666666666696</v>
      </c>
      <c r="AG81" s="211">
        <f>IF('Temperature Profiles'!V80&gt;17,(0.0068*('Temperature Profiles'!V80^2) - 0.2129*'Temperature Profiles'!V80 + 1.6904)*1000,0)</f>
        <v>55.291999999999675</v>
      </c>
      <c r="AH81" s="21"/>
      <c r="AI81" s="110">
        <v>0.79166666666666696</v>
      </c>
      <c r="AJ81" s="211">
        <f>IF('Temperature Profiles'!AA80&gt;17,(0.0029*('Temperature Profiles'!AA80^2) - 0.0863*'Temperature Profiles'!AA80 + 0.6808)*1000,0)</f>
        <v>0</v>
      </c>
      <c r="AK81" s="110">
        <v>0.79166666666666696</v>
      </c>
      <c r="AL81" s="211">
        <f>IF('Temperature Profiles'!AA80&gt;17,(0.005*('Temperature Profiles'!AA80^2) - 0.1517*'Temperature Profiles'!AA80 + 1.1701)*1000,0)</f>
        <v>0</v>
      </c>
      <c r="AM81" s="110">
        <v>0.79166666666666696</v>
      </c>
      <c r="AN81" s="211">
        <f>IF('Temperature Profiles'!AA80&gt;17,(0.0068*('Temperature Profiles'!AA80^2) - 0.2129*'Temperature Profiles'!AA80 + 1.6904)*1000,0)</f>
        <v>0</v>
      </c>
      <c r="AO81" s="21"/>
      <c r="AP81" s="110">
        <v>0.79166666666666696</v>
      </c>
      <c r="AQ81" s="211">
        <f>IF('Temperature Profiles'!AF80&gt;17,(0.0029*('Temperature Profiles'!AF80^2) - 0.0863*'Temperature Profiles'!AF80 + 0.6808)*1000,0)</f>
        <v>1259.9439999999995</v>
      </c>
      <c r="AR81" s="110">
        <v>0.79166666666666696</v>
      </c>
      <c r="AS81" s="183">
        <f>IF('Temperature Profiles'!AF80&gt;17,(0.005*('Temperature Profiles'!AF80^2) - 0.1517*'Temperature Profiles'!AF80 + 1.1702)*1000,0)</f>
        <v>2065.8200000000002</v>
      </c>
      <c r="AT81" s="110">
        <v>0.79166666666666696</v>
      </c>
      <c r="AU81" s="211">
        <f>IF('Temperature Profiles'!AF80&gt;17,(0.0068*('Temperature Profiles'!AF80^2) - 0.2129*'Temperature Profiles'!AF80 + 1.6904)*1000,0)</f>
        <v>2675.2279999999982</v>
      </c>
      <c r="AV81" s="21"/>
      <c r="AW81" s="110">
        <v>0.79166666666666696</v>
      </c>
      <c r="AX81" s="211"/>
      <c r="AY81" s="21"/>
      <c r="AZ81" s="110">
        <v>0.79166666666666696</v>
      </c>
      <c r="BA81" s="264"/>
      <c r="BC81" s="260">
        <v>0.79166666666666696</v>
      </c>
      <c r="BD81" s="211">
        <f>IF('Temperature Profiles'!G80&lt;16,(-0.0037*'Temperature Profiles'!G80+0.0664)*1000,0)</f>
        <v>0</v>
      </c>
      <c r="BE81" s="110">
        <v>0.79166666666666696</v>
      </c>
      <c r="BF81" s="211">
        <f>IF('Temperature Profiles'!G80&lt;16,(-0.0076*'Temperature Profiles'!G80+0.1245)*1000,0)</f>
        <v>0</v>
      </c>
      <c r="BG81" s="110">
        <v>0.79166666666666696</v>
      </c>
      <c r="BH81" s="211">
        <f>IF('Temperature Profiles'!G80&lt;16,(-0.01*'Temperature Profiles'!G80+0.167)*1000,0)</f>
        <v>0</v>
      </c>
      <c r="BI81" s="21"/>
      <c r="BJ81" s="110">
        <v>0.79166666666666696</v>
      </c>
      <c r="BK81" s="211">
        <f>IF('Temperature Profiles'!L80&lt;16,(-0.0037*'Temperature Profiles'!L80+0.0664)*1000,0)</f>
        <v>0</v>
      </c>
      <c r="BL81" s="110">
        <v>0.79166666666666696</v>
      </c>
      <c r="BM81" s="211">
        <f>IF('Temperature Profiles'!L80&lt;16,(-0.0076*'Temperature Profiles'!L80+0.1245)*1000,0)</f>
        <v>0</v>
      </c>
      <c r="BN81" s="110">
        <v>0.79166666666666696</v>
      </c>
      <c r="BO81" s="211">
        <f>IF('Temperature Profiles'!L80&lt;16,(-0.01*'Temperature Profiles'!L80+0.167)*1000,0)</f>
        <v>0</v>
      </c>
      <c r="BP81" s="21"/>
      <c r="BQ81" s="110">
        <v>0.79166666666666696</v>
      </c>
      <c r="BR81" s="211">
        <f>IF('Temperature Profiles'!Q80&lt;16,(-0.0037*'Temperature Profiles'!Q80+0.0664)*1000,0)</f>
        <v>0</v>
      </c>
      <c r="BS81" s="110">
        <v>0.79166666666666696</v>
      </c>
      <c r="BT81" s="211">
        <f>IF('Temperature Profiles'!Q80&lt;16,(-0.0076*'Temperature Profiles'!Q80+0.1245)*1000,0)</f>
        <v>0</v>
      </c>
      <c r="BU81" s="110">
        <v>0.79166666666666696</v>
      </c>
      <c r="BV81" s="211">
        <f>IF('Temperature Profiles'!Q80&lt;16,(-0.01*'Temperature Profiles'!Q80+0.167)*1000,0)</f>
        <v>0</v>
      </c>
      <c r="BW81" s="21"/>
      <c r="BX81" s="110">
        <v>0.79166666666666696</v>
      </c>
      <c r="BY81" s="211">
        <f>IF('Temperature Profiles'!V80&lt;16,(-0.0037*'Temperature Profiles'!V80+0.0664)*1000,0)</f>
        <v>0</v>
      </c>
      <c r="BZ81" s="110">
        <v>0.79166666666666696</v>
      </c>
      <c r="CA81" s="211">
        <f>IF('Temperature Profiles'!V80&lt;16,(-0.0076*'Temperature Profiles'!V80+0.1245)*1000,0)</f>
        <v>0</v>
      </c>
      <c r="CB81" s="110">
        <v>0.79166666666666696</v>
      </c>
      <c r="CC81" s="211">
        <f>IF('Temperature Profiles'!V80&lt;16,(-0.01*'Temperature Profiles'!V80+0.167)*1000,0)</f>
        <v>0</v>
      </c>
      <c r="CD81" s="21"/>
      <c r="CE81" s="110">
        <v>0.79166666666666696</v>
      </c>
      <c r="CF81" s="211">
        <f>IF('Temperature Profiles'!AA80&lt;16,(-0.0037*'Temperature Profiles'!AA80+0.0664)*1000,0)</f>
        <v>97.757499999999993</v>
      </c>
      <c r="CG81" s="110">
        <v>0.79166666666666696</v>
      </c>
      <c r="CH81" s="178">
        <f>IF('Temperature Profiles'!AA80&lt;16,(-0.0076*'Temperature Profiles'!AA80+0.1245)*1000,0)</f>
        <v>188.91</v>
      </c>
      <c r="CI81" s="110">
        <v>0.79166666666666696</v>
      </c>
      <c r="CJ81" s="211">
        <f>IF('Temperature Profiles'!AA80&lt;16,(-0.01*'Temperature Profiles'!AA80+0.167)*1000,0)</f>
        <v>251.75000000000003</v>
      </c>
      <c r="CK81" s="21"/>
      <c r="CL81" s="110">
        <v>0.79166666666666696</v>
      </c>
      <c r="CM81" s="211">
        <f>IF('Temperature Profiles'!AF80&lt;16,(-0.0037*'Temperature Profiles'!AF80+0.0664)*1000,0)</f>
        <v>0</v>
      </c>
      <c r="CN81" s="110">
        <v>0.79166666666666696</v>
      </c>
      <c r="CO81" s="178">
        <f>IF('Temperature Profiles'!AF80&lt;16,(-0.0076*'Temperature Profiles'!AF80+0.1245)*1000,0)</f>
        <v>0</v>
      </c>
      <c r="CP81" s="110">
        <v>0.79166666666666696</v>
      </c>
      <c r="CQ81" s="211">
        <f>IF('Temperature Profiles'!AF80&lt;16,(-0.01*'Temperature Profiles'!AF80+0.167)*1000,0)</f>
        <v>0</v>
      </c>
      <c r="CR81" s="21"/>
      <c r="CS81" s="110">
        <v>0.79166666666666696</v>
      </c>
      <c r="CT81" s="211"/>
      <c r="CU81" s="21"/>
      <c r="CV81" s="110">
        <v>0.79166666666666696</v>
      </c>
      <c r="CW81" s="264"/>
      <c r="CY81" s="260">
        <v>0.79166666666666696</v>
      </c>
      <c r="CZ81" s="178">
        <f>IF('Temperature Profiles'!G80&gt;18,(0.0024*('Temperature Profiles'!G80^2)-0.0581*'Temperature Profiles'!G80+0.3293)*1000,IF('Temperature Profiles'!G80&lt;17,(0.0022*('Temperature Profiles'!G80^2)-0.0874*'Temperature Profiles'!G80+0.9301)*1000,0))</f>
        <v>185.06399999999974</v>
      </c>
      <c r="DA81" s="110">
        <v>0.79166666666666696</v>
      </c>
      <c r="DB81" s="263">
        <f>IF('Temperature Profiles'!G80&gt;18,(0.0043*('Temperature Profiles'!G80^2)-0.1116*'Temperature Profiles'!G80+0.6576)*1000,IF('Temperature Profiles'!G80&lt;17,(0.0053*('Temperature Profiles'!G80^2)-0.1876*'Temperature Profiles'!G80+1.7649)*1000,0))</f>
        <v>238.58799999999957</v>
      </c>
      <c r="DC81" s="110">
        <v>0.79166666666666696</v>
      </c>
      <c r="DD81" s="211">
        <f>IF('Temperature Profiles'!G80&gt;18,(0.0057*('Temperature Profiles'!G80^2)-0.1509*'Temperature Profiles'!G80+0.8935)*1000,IF('Temperature Profiles'!G80&lt;17,(0.0072*('Temperature Profiles'!G80^2)-0.254*'Temperature Profiles'!G80+2.3952)*1000,0))</f>
        <v>274.6119999999994</v>
      </c>
      <c r="DE81" s="21"/>
      <c r="DF81" s="110">
        <v>0.79166666666666696</v>
      </c>
      <c r="DG81" s="209">
        <f>IF('Temperature Profiles'!L80&gt;18,(0.0024*('Temperature Profiles'!L80^2)-0.0581*'Temperature Profiles'!L80+0.3293)*1000,IF('Temperature Profiles'!L80&lt;17,(0.0022*('Temperature Profiles'!L80^2)-0.0874*'Temperature Profiles'!L80+0.9301)*1000,0))</f>
        <v>305.50833333333333</v>
      </c>
      <c r="DH81" s="110">
        <v>0.79166666666666696</v>
      </c>
      <c r="DI81" s="209">
        <f>IF('Temperature Profiles'!L80&gt;18,(0.0043*('Temperature Profiles'!L80^2)-0.1116*'Temperature Profiles'!L80+0.6576)*1000,IF('Temperature Profiles'!L80&lt;17,(0.0053*('Temperature Profiles'!L80^2)-0.1876*'Temperature Profiles'!L80+1.7649)*1000,0))</f>
        <v>436.4366319444444</v>
      </c>
      <c r="DJ81" s="110">
        <v>0.79166666666666696</v>
      </c>
      <c r="DK81" s="211">
        <f>IF('Temperature Profiles'!L80&gt;18,(0.0057*('Temperature Profiles'!L80^2)-0.1509*'Temperature Profiles'!L80+0.8935)*1000,IF('Temperature Profiles'!L80&lt;17,(0.0072*('Temperature Profiles'!L80^2)-0.254*'Temperature Profiles'!L80+2.3952)*1000,0))</f>
        <v>529.78489583333351</v>
      </c>
      <c r="DL81" s="21"/>
      <c r="DM81" s="110">
        <v>0.79166666666666696</v>
      </c>
      <c r="DN81" s="209">
        <f>IF('Temperature Profiles'!Q80&gt;18,(0.0024*('Temperature Profiles'!Q80^2)-0.0581*'Temperature Profiles'!Q80+0.3293)*1000,IF('Temperature Profiles'!Q80&lt;17,(0.0022*('Temperature Profiles'!Q80^2)-0.0874*'Temperature Profiles'!Q80+0.9301)*1000,0))</f>
        <v>1081.491</v>
      </c>
      <c r="DO81" s="110">
        <v>0.79166666666666696</v>
      </c>
      <c r="DP81" s="209">
        <f>IF('Temperature Profiles'!Q80&gt;18,(0.0043*('Temperature Profiles'!Q80^2)-0.1116*'Temperature Profiles'!Q80+0.6576)*1000,IF('Temperature Profiles'!Q80&lt;17,(0.0053*('Temperature Profiles'!Q80^2)-0.1876*'Temperature Profiles'!Q80+1.7649)*1000,0))</f>
        <v>1753.5107500000001</v>
      </c>
      <c r="DQ81" s="110">
        <v>0.79166666666666696</v>
      </c>
      <c r="DR81" s="211">
        <f>IF('Temperature Profiles'!Q80&gt;18,(0.0057*('Temperature Profiles'!Q80^2)-0.1509*'Temperature Profiles'!Q80+0.8935)*1000,IF('Temperature Profiles'!Q80&lt;17,(0.0072*('Temperature Profiles'!Q80^2)-0.254*'Temperature Profiles'!Q80+2.3952)*1000,0))</f>
        <v>2246.7392500000005</v>
      </c>
      <c r="DS81" s="21"/>
      <c r="DT81" s="110">
        <v>0.79166666666666696</v>
      </c>
      <c r="DU81" s="209">
        <f>IF('Temperature Profiles'!V80&gt;18,(0.0024*('Temperature Profiles'!V80^2)-0.0581*'Temperature Profiles'!V80+0.3293)*1000,IF('Temperature Profiles'!V80&lt;17,(0.0022*('Temperature Profiles'!V80^2)-0.0874*'Temperature Profiles'!V80+0.9301)*1000,0))</f>
        <v>0</v>
      </c>
      <c r="DV81" s="110">
        <v>0.79166666666666696</v>
      </c>
      <c r="DW81" s="209">
        <f>IF('Temperature Profiles'!V80&gt;18,(0.0043*('Temperature Profiles'!V80^2)-0.1116*'Temperature Profiles'!V80+0.6576)*1000,IF('Temperature Profiles'!V80&lt;17,(0.0053*('Temperature Profiles'!V80^2)-0.1876*'Temperature Profiles'!V80+1.7649)*1000,0))</f>
        <v>0</v>
      </c>
      <c r="DX81" s="110">
        <v>0.79166666666666696</v>
      </c>
      <c r="DY81" s="211">
        <f>IF('Temperature Profiles'!V80&gt;18,(0.0057*('Temperature Profiles'!V80^2)-0.1509*'Temperature Profiles'!V80+0.8935)*1000,IF('Temperature Profiles'!V80&lt;17,(0.0072*('Temperature Profiles'!V80^2)-0.254*'Temperature Profiles'!V80+2.3952)*1000,0))</f>
        <v>0</v>
      </c>
      <c r="DZ81" s="21"/>
      <c r="EA81" s="110">
        <v>0.79166666666666696</v>
      </c>
      <c r="EB81" s="209">
        <f>IF('Temperature Profiles'!AA179&gt;18,(0.0024*('Temperature Profiles'!AA179^2)-0.0581*'Temperature Profiles'!AA179+0.3293)*1000,IF('Temperature Profiles'!AA179&lt;17,(0.0022*('Temperature Profiles'!AA179^2)-0.0874*'Temperature Profiles'!AA179+0.9301)*1000,0))</f>
        <v>526.54444444444448</v>
      </c>
      <c r="EC81" s="110">
        <v>0.79166666666666696</v>
      </c>
      <c r="ED81" s="209">
        <f>IF('Temperature Profiles'!AA179&gt;18,(0.0043*('Temperature Profiles'!AA179^2)-0.1116*'Temperature Profiles'!AA179+0.6576)*1000,IF('Temperature Profiles'!AA179&lt;17,(0.0053*('Temperature Profiles'!AA179^2)-0.1876*'Temperature Profiles'!AA179+1.7649)*1000,0))</f>
        <v>915.12222222222192</v>
      </c>
      <c r="EE81" s="110">
        <v>0.79166666666666696</v>
      </c>
      <c r="EF81" s="211">
        <f>IF('Temperature Profiles'!AA179&gt;18,(0.0057*('Temperature Profiles'!AA179^2)-0.1509*'Temperature Profiles'!AA179+0.8935)*1000,IF('Temperature Profiles'!AA179&lt;17,(0.0072*('Temperature Profiles'!AA179^2)-0.254*'Temperature Profiles'!AA179+2.3952)*1000,0))</f>
        <v>1245.3333333333333</v>
      </c>
      <c r="EG81" s="21"/>
      <c r="EH81" s="110">
        <v>0.79166666666666696</v>
      </c>
      <c r="EI81" s="211">
        <f>IF('Temperature Profiles'!AF80&gt;18,(0.0024*('Temperature Profiles'!AF80^2)-0.0581*'Temperature Profiles'!AF80+0.3293)*1000,IF('Temperature Profiles'!AF80&lt;17,(0.0022*('Temperature Profiles'!AF80^2)-0.0874*'Temperature Profiles'!AF80+0.9301)*1000,0))</f>
        <v>1280.1439999999996</v>
      </c>
      <c r="EJ81" s="110">
        <v>0.79166666666666696</v>
      </c>
      <c r="EK81" s="211">
        <f>IF('Temperature Profiles'!AF80&gt;18,(0.0043*('Temperature Profiles'!AF80^2)-0.1116*'Temperature Profiles'!AF80+0.6576)*1000,IF('Temperature Profiles'!AF80&lt;17,(0.0053*('Temperature Profiles'!AF80^2)-0.1876*'Temperature Profiles'!AF80+1.7649)*1000,0))</f>
        <v>2095.5479999999993</v>
      </c>
      <c r="EL81" s="110">
        <v>0.79166666666666696</v>
      </c>
      <c r="EM81" s="211">
        <f>IF('Temperature Profiles'!AF80&gt;18,(0.0057*('Temperature Profiles'!AF80^2)-0.1509*'Temperature Profiles'!AF80+0.8935)*1000,IF('Temperature Profiles'!AF80&lt;17,(0.0072*('Temperature Profiles'!AF80^2)-0.254*'Temperature Profiles'!AF80+2.3952)*1000,0))</f>
        <v>2694.652</v>
      </c>
      <c r="EN81" s="21"/>
      <c r="EO81" s="110">
        <v>0.79166666666666696</v>
      </c>
      <c r="EP81" s="211"/>
      <c r="EQ81" s="21"/>
      <c r="ER81" s="110">
        <v>0.79166666666666696</v>
      </c>
      <c r="ES81" s="264"/>
      <c r="EU81" s="260">
        <v>0.79166666666666696</v>
      </c>
      <c r="EV81" s="209">
        <f>IF('Temperature Profiles'!AA179&gt;18,(0.0024*('Temperature Profiles'!AA179^2)-0.0581*'Temperature Profiles'!AA179+0.3293)*1000,IF('Temperature Profiles'!AA179&lt;17,(0.0022*('Temperature Profiles'!AA179^2)-0.0874*'Temperature Profiles'!AA179+0.9301)*1000,0))</f>
        <v>526.54444444444448</v>
      </c>
      <c r="EW81" s="110">
        <v>0.79166666666666696</v>
      </c>
      <c r="EX81" s="209">
        <f>IF('Temperature Profiles'!AA179&gt;18,(0.0043*('Temperature Profiles'!AA179^2)-0.1116*'Temperature Profiles'!AA179+0.6576)*1000,IF('Temperature Profiles'!AA179&lt;17,(0.0053*('Temperature Profiles'!AA179^2)-0.1876*'Temperature Profiles'!AA179+1.7649)*1000,0))</f>
        <v>915.12222222222192</v>
      </c>
      <c r="EY81" s="110">
        <v>0.79166666666666696</v>
      </c>
      <c r="EZ81" s="264">
        <f>IF('Temperature Profiles'!AA179&gt;18,(0.0057*('Temperature Profiles'!AA179^2)-0.1509*'Temperature Profiles'!AA179+0.8935)*1000,IF('Temperature Profiles'!AA179&lt;17,(0.0072*('Temperature Profiles'!AA179^2)-0.254*'Temperature Profiles'!AA179+2.3952)*1000,0))</f>
        <v>1245.3333333333333</v>
      </c>
    </row>
    <row r="82" spans="1:156" x14ac:dyDescent="0.3">
      <c r="A82" s="108">
        <v>0.79166666666666696</v>
      </c>
      <c r="B82" s="226">
        <f t="shared" si="4"/>
        <v>0</v>
      </c>
      <c r="C82" s="21">
        <f t="shared" si="5"/>
        <v>251.75000000000003</v>
      </c>
      <c r="D82" s="20">
        <f t="shared" si="6"/>
        <v>1245.3333333333333</v>
      </c>
      <c r="E82" s="20">
        <f t="shared" si="7"/>
        <v>1245.3333333333333</v>
      </c>
      <c r="G82" s="260">
        <v>0.80208333333333304</v>
      </c>
      <c r="H82" s="211">
        <f>IF('Temperature Profiles'!G81&gt;17,(0.0029*('Temperature Profiles'!G81^2) - 0.0863*'Temperature Profiles'!G81 + 0.6808)*1000,0)</f>
        <v>162.06399999999965</v>
      </c>
      <c r="I82" s="110">
        <v>0.80208333333333304</v>
      </c>
      <c r="J82" s="211">
        <f>IF('Temperature Profiles'!G81&gt;17,(0.005*('Temperature Profiles'!G81^2) - 0.1517*'Temperature Profiles'!G81 + 1.1702)*1000,0)</f>
        <v>213.61999999999969</v>
      </c>
      <c r="K82" s="110">
        <v>0.80208333333333304</v>
      </c>
      <c r="L82" s="211">
        <f>IF('Temperature Profiles'!G81&gt;17,(0.0068*('Temperature Profiles'!G81^2) - 0.2129*'Temperature Profiles'!G81 + 1.6904)*1000,0)</f>
        <v>248.46799999999948</v>
      </c>
      <c r="M82" s="21"/>
      <c r="N82" s="110">
        <v>0.80208333333333304</v>
      </c>
      <c r="O82" s="211">
        <f>IF('Temperature Profiles'!L81&gt;17,(0.0029*('Temperature Profiles'!L81^2) - 0.0863*'Temperature Profiles'!L81 + 0.6808)*1000,0)</f>
        <v>269.105034722222</v>
      </c>
      <c r="P82" s="110">
        <v>0.80208333333333304</v>
      </c>
      <c r="Q82" s="211">
        <f>IF('Temperature Profiles'!L81&gt;17,(0.005*('Temperature Profiles'!L81^2) - 0.1517*'Temperature Profiles'!L81 + 1.1702)*1000,0)</f>
        <v>391.22118055555563</v>
      </c>
      <c r="R82" s="110">
        <v>0.80208333333333304</v>
      </c>
      <c r="S82" s="211">
        <f>IF('Temperature Profiles'!L81&gt;17,(0.0068*('Temperature Profiles'!L81^2) - 0.2129*'Temperature Profiles'!L81 + 1.6904)*1000,0)</f>
        <v>474.249305555555</v>
      </c>
      <c r="T82" s="21"/>
      <c r="U82" s="110">
        <v>0.80208333333333304</v>
      </c>
      <c r="V82" s="211">
        <f>IF('Temperature Profiles'!Q81&gt;17,(0.0029*('Temperature Profiles'!Q81^2) - 0.0863*'Temperature Profiles'!Q81 + 0.6808)*1000,0)</f>
        <v>1049.6822500000001</v>
      </c>
      <c r="W82" s="110">
        <v>0.80208333333333304</v>
      </c>
      <c r="X82" s="211">
        <f>IF('Temperature Profiles'!Q81&gt;17,(0.005*('Temperature Profiles'!Q81^2) - 0.1517*'Temperature Profiles'!Q81 + 1.1702)*1000,0)</f>
        <v>1708.6775000000007</v>
      </c>
      <c r="Y82" s="110">
        <v>0.80208333333333304</v>
      </c>
      <c r="Z82" s="211">
        <f>IF('Temperature Profiles'!Q81&gt;17,(0.0068*('Temperature Profiles'!Q81^2) - 0.2129*'Temperature Profiles'!Q81 + 1.6904)*1000,0)</f>
        <v>2201.7019999999998</v>
      </c>
      <c r="AA82" s="21"/>
      <c r="AB82" s="110">
        <v>0.80208333333333304</v>
      </c>
      <c r="AC82" s="211">
        <f>IF('Temperature Profiles'!V81&gt;17,(0.0029*('Temperature Profiles'!V81^2) - 0.0863*'Temperature Profiles'!V81 + 0.6808)*1000,0)</f>
        <v>63.495999999999775</v>
      </c>
      <c r="AD82" s="110">
        <v>0.80208333333333304</v>
      </c>
      <c r="AE82" s="211">
        <f>IF('Temperature Profiles'!V81&gt;17,(0.005*('Temperature Profiles'!V81^2) - 0.1517*'Temperature Profiles'!V81 + 1.1702)*1000,0)</f>
        <v>54.140000000000079</v>
      </c>
      <c r="AF82" s="110">
        <v>0.80208333333333304</v>
      </c>
      <c r="AG82" s="211">
        <f>IF('Temperature Profiles'!V81&gt;17,(0.0068*('Temperature Profiles'!V81^2) - 0.2129*'Temperature Profiles'!V81 + 1.6904)*1000,0)</f>
        <v>55.291999999999675</v>
      </c>
      <c r="AH82" s="21"/>
      <c r="AI82" s="110">
        <v>0.80208333333333304</v>
      </c>
      <c r="AJ82" s="211">
        <f>IF('Temperature Profiles'!AA81&gt;17,(0.0029*('Temperature Profiles'!AA81^2) - 0.0863*'Temperature Profiles'!AA81 + 0.6808)*1000,0)</f>
        <v>0</v>
      </c>
      <c r="AK82" s="110">
        <v>0.80208333333333304</v>
      </c>
      <c r="AL82" s="211">
        <f>IF('Temperature Profiles'!AA81&gt;17,(0.005*('Temperature Profiles'!AA81^2) - 0.1517*'Temperature Profiles'!AA81 + 1.1701)*1000,0)</f>
        <v>0</v>
      </c>
      <c r="AM82" s="110">
        <v>0.80208333333333304</v>
      </c>
      <c r="AN82" s="211">
        <f>IF('Temperature Profiles'!AA81&gt;17,(0.0068*('Temperature Profiles'!AA81^2) - 0.2129*'Temperature Profiles'!AA81 + 1.6904)*1000,0)</f>
        <v>0</v>
      </c>
      <c r="AO82" s="21"/>
      <c r="AP82" s="110">
        <v>0.80208333333333304</v>
      </c>
      <c r="AQ82" s="211">
        <f>IF('Temperature Profiles'!AF81&gt;17,(0.0029*('Temperature Profiles'!AF81^2) - 0.0863*'Temperature Profiles'!AF81 + 0.6808)*1000,0)</f>
        <v>1259.9439999999995</v>
      </c>
      <c r="AR82" s="110">
        <v>0.80208333333333304</v>
      </c>
      <c r="AS82" s="183">
        <f>IF('Temperature Profiles'!AF81&gt;17,(0.005*('Temperature Profiles'!AF81^2) - 0.1517*'Temperature Profiles'!AF81 + 1.1702)*1000,0)</f>
        <v>2065.8200000000002</v>
      </c>
      <c r="AT82" s="110">
        <v>0.80208333333333304</v>
      </c>
      <c r="AU82" s="211">
        <f>IF('Temperature Profiles'!AF81&gt;17,(0.0068*('Temperature Profiles'!AF81^2) - 0.2129*'Temperature Profiles'!AF81 + 1.6904)*1000,0)</f>
        <v>2675.2279999999982</v>
      </c>
      <c r="AV82" s="21"/>
      <c r="AW82" s="110">
        <v>0.80208333333333304</v>
      </c>
      <c r="AX82" s="211"/>
      <c r="AY82" s="21"/>
      <c r="AZ82" s="110">
        <v>0.80208333333333304</v>
      </c>
      <c r="BA82" s="264"/>
      <c r="BC82" s="260">
        <v>0.80208333333333304</v>
      </c>
      <c r="BD82" s="211">
        <f>IF('Temperature Profiles'!G81&lt;16,(-0.0037*'Temperature Profiles'!G81+0.0664)*1000,0)</f>
        <v>0</v>
      </c>
      <c r="BE82" s="110">
        <v>0.80208333333333304</v>
      </c>
      <c r="BF82" s="211">
        <f>IF('Temperature Profiles'!G81&lt;16,(-0.0076*'Temperature Profiles'!G81+0.1245)*1000,0)</f>
        <v>0</v>
      </c>
      <c r="BG82" s="110">
        <v>0.80208333333333304</v>
      </c>
      <c r="BH82" s="211">
        <f>IF('Temperature Profiles'!G81&lt;16,(-0.01*'Temperature Profiles'!G81+0.167)*1000,0)</f>
        <v>0</v>
      </c>
      <c r="BI82" s="21"/>
      <c r="BJ82" s="110">
        <v>0.80208333333333304</v>
      </c>
      <c r="BK82" s="211">
        <f>IF('Temperature Profiles'!L81&lt;16,(-0.0037*'Temperature Profiles'!L81+0.0664)*1000,0)</f>
        <v>0</v>
      </c>
      <c r="BL82" s="110">
        <v>0.80208333333333304</v>
      </c>
      <c r="BM82" s="211">
        <f>IF('Temperature Profiles'!L81&lt;16,(-0.0076*'Temperature Profiles'!L81+0.1245)*1000,0)</f>
        <v>0</v>
      </c>
      <c r="BN82" s="110">
        <v>0.80208333333333304</v>
      </c>
      <c r="BO82" s="211">
        <f>IF('Temperature Profiles'!L81&lt;16,(-0.01*'Temperature Profiles'!L81+0.167)*1000,0)</f>
        <v>0</v>
      </c>
      <c r="BP82" s="21"/>
      <c r="BQ82" s="110">
        <v>0.80208333333333304</v>
      </c>
      <c r="BR82" s="211">
        <f>IF('Temperature Profiles'!Q81&lt;16,(-0.0037*'Temperature Profiles'!Q81+0.0664)*1000,0)</f>
        <v>0</v>
      </c>
      <c r="BS82" s="110">
        <v>0.80208333333333304</v>
      </c>
      <c r="BT82" s="211">
        <f>IF('Temperature Profiles'!Q81&lt;16,(-0.0076*'Temperature Profiles'!Q81+0.1245)*1000,0)</f>
        <v>0</v>
      </c>
      <c r="BU82" s="110">
        <v>0.80208333333333304</v>
      </c>
      <c r="BV82" s="211">
        <f>IF('Temperature Profiles'!Q81&lt;16,(-0.01*'Temperature Profiles'!Q81+0.167)*1000,0)</f>
        <v>0</v>
      </c>
      <c r="BW82" s="21"/>
      <c r="BX82" s="110">
        <v>0.80208333333333304</v>
      </c>
      <c r="BY82" s="211">
        <f>IF('Temperature Profiles'!V81&lt;16,(-0.0037*'Temperature Profiles'!V81+0.0664)*1000,0)</f>
        <v>0</v>
      </c>
      <c r="BZ82" s="110">
        <v>0.80208333333333304</v>
      </c>
      <c r="CA82" s="211">
        <f>IF('Temperature Profiles'!V81&lt;16,(-0.0076*'Temperature Profiles'!V81+0.1245)*1000,0)</f>
        <v>0</v>
      </c>
      <c r="CB82" s="110">
        <v>0.80208333333333304</v>
      </c>
      <c r="CC82" s="211">
        <f>IF('Temperature Profiles'!V81&lt;16,(-0.01*'Temperature Profiles'!V81+0.167)*1000,0)</f>
        <v>0</v>
      </c>
      <c r="CD82" s="21"/>
      <c r="CE82" s="110">
        <v>0.80208333333333304</v>
      </c>
      <c r="CF82" s="211">
        <f>IF('Temperature Profiles'!AA81&lt;16,(-0.0037*'Temperature Profiles'!AA81+0.0664)*1000,0)</f>
        <v>97.757499999999993</v>
      </c>
      <c r="CG82" s="110">
        <v>0.80208333333333304</v>
      </c>
      <c r="CH82" s="178">
        <f>IF('Temperature Profiles'!AA81&lt;16,(-0.0076*'Temperature Profiles'!AA81+0.1245)*1000,0)</f>
        <v>188.91</v>
      </c>
      <c r="CI82" s="110">
        <v>0.80208333333333304</v>
      </c>
      <c r="CJ82" s="211">
        <f>IF('Temperature Profiles'!AA81&lt;16,(-0.01*'Temperature Profiles'!AA81+0.167)*1000,0)</f>
        <v>251.75000000000003</v>
      </c>
      <c r="CK82" s="21"/>
      <c r="CL82" s="110">
        <v>0.80208333333333304</v>
      </c>
      <c r="CM82" s="211">
        <f>IF('Temperature Profiles'!AF81&lt;16,(-0.0037*'Temperature Profiles'!AF81+0.0664)*1000,0)</f>
        <v>0</v>
      </c>
      <c r="CN82" s="110">
        <v>0.80208333333333304</v>
      </c>
      <c r="CO82" s="178">
        <f>IF('Temperature Profiles'!AF81&lt;16,(-0.0076*'Temperature Profiles'!AF81+0.1245)*1000,0)</f>
        <v>0</v>
      </c>
      <c r="CP82" s="110">
        <v>0.80208333333333304</v>
      </c>
      <c r="CQ82" s="211">
        <f>IF('Temperature Profiles'!AF81&lt;16,(-0.01*'Temperature Profiles'!AF81+0.167)*1000,0)</f>
        <v>0</v>
      </c>
      <c r="CR82" s="21"/>
      <c r="CS82" s="110">
        <v>0.80208333333333304</v>
      </c>
      <c r="CT82" s="211"/>
      <c r="CU82" s="21"/>
      <c r="CV82" s="110">
        <v>0.80208333333333304</v>
      </c>
      <c r="CW82" s="264"/>
      <c r="CY82" s="260">
        <v>0.80208333333333304</v>
      </c>
      <c r="CZ82" s="178">
        <f>IF('Temperature Profiles'!G81&gt;18,(0.0024*('Temperature Profiles'!G81^2)-0.0581*'Temperature Profiles'!G81+0.3293)*1000,IF('Temperature Profiles'!G81&lt;17,(0.0022*('Temperature Profiles'!G81^2)-0.0874*'Temperature Profiles'!G81+0.9301)*1000,0))</f>
        <v>185.06399999999974</v>
      </c>
      <c r="DA82" s="110">
        <v>0.80208333333333304</v>
      </c>
      <c r="DB82" s="263">
        <f>IF('Temperature Profiles'!G81&gt;18,(0.0043*('Temperature Profiles'!G81^2)-0.1116*'Temperature Profiles'!G81+0.6576)*1000,IF('Temperature Profiles'!G81&lt;17,(0.0053*('Temperature Profiles'!G81^2)-0.1876*'Temperature Profiles'!G81+1.7649)*1000,0))</f>
        <v>238.58799999999957</v>
      </c>
      <c r="DC82" s="110">
        <v>0.80208333333333304</v>
      </c>
      <c r="DD82" s="211">
        <f>IF('Temperature Profiles'!G81&gt;18,(0.0057*('Temperature Profiles'!G81^2)-0.1509*'Temperature Profiles'!G81+0.8935)*1000,IF('Temperature Profiles'!G81&lt;17,(0.0072*('Temperature Profiles'!G81^2)-0.254*'Temperature Profiles'!G81+2.3952)*1000,0))</f>
        <v>274.6119999999994</v>
      </c>
      <c r="DE82" s="21"/>
      <c r="DF82" s="110">
        <v>0.80208333333333304</v>
      </c>
      <c r="DG82" s="209">
        <f>IF('Temperature Profiles'!L81&gt;18,(0.0024*('Temperature Profiles'!L81^2)-0.0581*'Temperature Profiles'!L81+0.3293)*1000,IF('Temperature Profiles'!L81&lt;17,(0.0022*('Temperature Profiles'!L81^2)-0.0874*'Temperature Profiles'!L81+0.9301)*1000,0))</f>
        <v>305.50833333333333</v>
      </c>
      <c r="DH82" s="110">
        <v>0.80208333333333304</v>
      </c>
      <c r="DI82" s="209">
        <f>IF('Temperature Profiles'!L81&gt;18,(0.0043*('Temperature Profiles'!L81^2)-0.1116*'Temperature Profiles'!L81+0.6576)*1000,IF('Temperature Profiles'!L81&lt;17,(0.0053*('Temperature Profiles'!L81^2)-0.1876*'Temperature Profiles'!L81+1.7649)*1000,0))</f>
        <v>436.4366319444444</v>
      </c>
      <c r="DJ82" s="110">
        <v>0.80208333333333304</v>
      </c>
      <c r="DK82" s="211">
        <f>IF('Temperature Profiles'!L81&gt;18,(0.0057*('Temperature Profiles'!L81^2)-0.1509*'Temperature Profiles'!L81+0.8935)*1000,IF('Temperature Profiles'!L81&lt;17,(0.0072*('Temperature Profiles'!L81^2)-0.254*'Temperature Profiles'!L81+2.3952)*1000,0))</f>
        <v>529.78489583333351</v>
      </c>
      <c r="DL82" s="21"/>
      <c r="DM82" s="110">
        <v>0.80208333333333304</v>
      </c>
      <c r="DN82" s="209">
        <f>IF('Temperature Profiles'!Q81&gt;18,(0.0024*('Temperature Profiles'!Q81^2)-0.0581*'Temperature Profiles'!Q81+0.3293)*1000,IF('Temperature Profiles'!Q81&lt;17,(0.0022*('Temperature Profiles'!Q81^2)-0.0874*'Temperature Profiles'!Q81+0.9301)*1000,0))</f>
        <v>1081.491</v>
      </c>
      <c r="DO82" s="110">
        <v>0.80208333333333304</v>
      </c>
      <c r="DP82" s="209">
        <f>IF('Temperature Profiles'!Q81&gt;18,(0.0043*('Temperature Profiles'!Q81^2)-0.1116*'Temperature Profiles'!Q81+0.6576)*1000,IF('Temperature Profiles'!Q81&lt;17,(0.0053*('Temperature Profiles'!Q81^2)-0.1876*'Temperature Profiles'!Q81+1.7649)*1000,0))</f>
        <v>1753.5107500000001</v>
      </c>
      <c r="DQ82" s="110">
        <v>0.80208333333333304</v>
      </c>
      <c r="DR82" s="211">
        <f>IF('Temperature Profiles'!Q81&gt;18,(0.0057*('Temperature Profiles'!Q81^2)-0.1509*'Temperature Profiles'!Q81+0.8935)*1000,IF('Temperature Profiles'!Q81&lt;17,(0.0072*('Temperature Profiles'!Q81^2)-0.254*'Temperature Profiles'!Q81+2.3952)*1000,0))</f>
        <v>2246.7392500000005</v>
      </c>
      <c r="DS82" s="21"/>
      <c r="DT82" s="110">
        <v>0.80208333333333304</v>
      </c>
      <c r="DU82" s="209">
        <f>IF('Temperature Profiles'!V81&gt;18,(0.0024*('Temperature Profiles'!V81^2)-0.0581*'Temperature Profiles'!V81+0.3293)*1000,IF('Temperature Profiles'!V81&lt;17,(0.0022*('Temperature Profiles'!V81^2)-0.0874*'Temperature Profiles'!V81+0.9301)*1000,0))</f>
        <v>0</v>
      </c>
      <c r="DV82" s="110">
        <v>0.80208333333333304</v>
      </c>
      <c r="DW82" s="209">
        <f>IF('Temperature Profiles'!V81&gt;18,(0.0043*('Temperature Profiles'!V81^2)-0.1116*'Temperature Profiles'!V81+0.6576)*1000,IF('Temperature Profiles'!V81&lt;17,(0.0053*('Temperature Profiles'!V81^2)-0.1876*'Temperature Profiles'!V81+1.7649)*1000,0))</f>
        <v>0</v>
      </c>
      <c r="DX82" s="110">
        <v>0.80208333333333304</v>
      </c>
      <c r="DY82" s="211">
        <f>IF('Temperature Profiles'!V81&gt;18,(0.0057*('Temperature Profiles'!V81^2)-0.1509*'Temperature Profiles'!V81+0.8935)*1000,IF('Temperature Profiles'!V81&lt;17,(0.0072*('Temperature Profiles'!V81^2)-0.254*'Temperature Profiles'!V81+2.3952)*1000,0))</f>
        <v>0</v>
      </c>
      <c r="DZ82" s="21"/>
      <c r="EA82" s="110">
        <v>0.80208333333333304</v>
      </c>
      <c r="EB82" s="209">
        <f>IF('Temperature Profiles'!AA180&gt;18,(0.0024*('Temperature Profiles'!AA180^2)-0.0581*'Temperature Profiles'!AA180+0.3293)*1000,IF('Temperature Profiles'!AA180&lt;17,(0.0022*('Temperature Profiles'!AA180^2)-0.0874*'Temperature Profiles'!AA180+0.9301)*1000,0))</f>
        <v>526.54444444444448</v>
      </c>
      <c r="EC82" s="110">
        <v>0.80208333333333304</v>
      </c>
      <c r="ED82" s="209">
        <f>IF('Temperature Profiles'!AA180&gt;18,(0.0043*('Temperature Profiles'!AA180^2)-0.1116*'Temperature Profiles'!AA180+0.6576)*1000,IF('Temperature Profiles'!AA180&lt;17,(0.0053*('Temperature Profiles'!AA180^2)-0.1876*'Temperature Profiles'!AA180+1.7649)*1000,0))</f>
        <v>915.12222222222192</v>
      </c>
      <c r="EE82" s="110">
        <v>0.80208333333333304</v>
      </c>
      <c r="EF82" s="211">
        <f>IF('Temperature Profiles'!AA180&gt;18,(0.0057*('Temperature Profiles'!AA180^2)-0.1509*'Temperature Profiles'!AA180+0.8935)*1000,IF('Temperature Profiles'!AA180&lt;17,(0.0072*('Temperature Profiles'!AA180^2)-0.254*'Temperature Profiles'!AA180+2.3952)*1000,0))</f>
        <v>1245.3333333333333</v>
      </c>
      <c r="EG82" s="21"/>
      <c r="EH82" s="110">
        <v>0.80208333333333304</v>
      </c>
      <c r="EI82" s="211">
        <f>IF('Temperature Profiles'!AF81&gt;18,(0.0024*('Temperature Profiles'!AF81^2)-0.0581*'Temperature Profiles'!AF81+0.3293)*1000,IF('Temperature Profiles'!AF81&lt;17,(0.0022*('Temperature Profiles'!AF81^2)-0.0874*'Temperature Profiles'!AF81+0.9301)*1000,0))</f>
        <v>1280.1439999999996</v>
      </c>
      <c r="EJ82" s="110">
        <v>0.80208333333333304</v>
      </c>
      <c r="EK82" s="211">
        <f>IF('Temperature Profiles'!AF81&gt;18,(0.0043*('Temperature Profiles'!AF81^2)-0.1116*'Temperature Profiles'!AF81+0.6576)*1000,IF('Temperature Profiles'!AF81&lt;17,(0.0053*('Temperature Profiles'!AF81^2)-0.1876*'Temperature Profiles'!AF81+1.7649)*1000,0))</f>
        <v>2095.5479999999993</v>
      </c>
      <c r="EL82" s="110">
        <v>0.80208333333333304</v>
      </c>
      <c r="EM82" s="211">
        <f>IF('Temperature Profiles'!AF81&gt;18,(0.0057*('Temperature Profiles'!AF81^2)-0.1509*'Temperature Profiles'!AF81+0.8935)*1000,IF('Temperature Profiles'!AF81&lt;17,(0.0072*('Temperature Profiles'!AF81^2)-0.254*'Temperature Profiles'!AF81+2.3952)*1000,0))</f>
        <v>2694.652</v>
      </c>
      <c r="EN82" s="21"/>
      <c r="EO82" s="110">
        <v>0.80208333333333304</v>
      </c>
      <c r="EP82" s="211"/>
      <c r="EQ82" s="21"/>
      <c r="ER82" s="110">
        <v>0.80208333333333304</v>
      </c>
      <c r="ES82" s="264"/>
      <c r="EU82" s="260">
        <v>0.80208333333333304</v>
      </c>
      <c r="EV82" s="209">
        <f>IF('Temperature Profiles'!AA180&gt;18,(0.0024*('Temperature Profiles'!AA180^2)-0.0581*'Temperature Profiles'!AA180+0.3293)*1000,IF('Temperature Profiles'!AA180&lt;17,(0.0022*('Temperature Profiles'!AA180^2)-0.0874*'Temperature Profiles'!AA180+0.9301)*1000,0))</f>
        <v>526.54444444444448</v>
      </c>
      <c r="EW82" s="110">
        <v>0.80208333333333304</v>
      </c>
      <c r="EX82" s="209">
        <f>IF('Temperature Profiles'!AA180&gt;18,(0.0043*('Temperature Profiles'!AA180^2)-0.1116*'Temperature Profiles'!AA180+0.6576)*1000,IF('Temperature Profiles'!AA180&lt;17,(0.0053*('Temperature Profiles'!AA180^2)-0.1876*'Temperature Profiles'!AA180+1.7649)*1000,0))</f>
        <v>915.12222222222192</v>
      </c>
      <c r="EY82" s="110">
        <v>0.80208333333333304</v>
      </c>
      <c r="EZ82" s="264">
        <f>IF('Temperature Profiles'!AA180&gt;18,(0.0057*('Temperature Profiles'!AA180^2)-0.1509*'Temperature Profiles'!AA180+0.8935)*1000,IF('Temperature Profiles'!AA180&lt;17,(0.0072*('Temperature Profiles'!AA180^2)-0.254*'Temperature Profiles'!AA180+2.3952)*1000,0))</f>
        <v>1245.3333333333333</v>
      </c>
    </row>
    <row r="83" spans="1:156" x14ac:dyDescent="0.3">
      <c r="A83" s="108">
        <v>0.80208333333333304</v>
      </c>
      <c r="B83" s="226">
        <f t="shared" si="4"/>
        <v>0</v>
      </c>
      <c r="C83" s="21">
        <f t="shared" si="5"/>
        <v>251.75000000000003</v>
      </c>
      <c r="D83" s="20">
        <f t="shared" si="6"/>
        <v>1245.3333333333333</v>
      </c>
      <c r="E83" s="20">
        <f t="shared" si="7"/>
        <v>1245.3333333333333</v>
      </c>
      <c r="G83" s="260">
        <v>0.8125</v>
      </c>
      <c r="H83" s="211">
        <f>IF('Temperature Profiles'!G82&gt;17,(0.0029*('Temperature Profiles'!G82^2) - 0.0863*'Temperature Profiles'!G82 + 0.6808)*1000,0)</f>
        <v>162.06399999999965</v>
      </c>
      <c r="I83" s="110">
        <v>0.8125</v>
      </c>
      <c r="J83" s="211">
        <f>IF('Temperature Profiles'!G82&gt;17,(0.005*('Temperature Profiles'!G82^2) - 0.1517*'Temperature Profiles'!G82 + 1.1702)*1000,0)</f>
        <v>213.61999999999969</v>
      </c>
      <c r="K83" s="110">
        <v>0.8125</v>
      </c>
      <c r="L83" s="211">
        <f>IF('Temperature Profiles'!G82&gt;17,(0.0068*('Temperature Profiles'!G82^2) - 0.2129*'Temperature Profiles'!G82 + 1.6904)*1000,0)</f>
        <v>248.46799999999948</v>
      </c>
      <c r="M83" s="21"/>
      <c r="N83" s="110">
        <v>0.8125</v>
      </c>
      <c r="O83" s="211">
        <f>IF('Temperature Profiles'!L82&gt;17,(0.0029*('Temperature Profiles'!L82^2) - 0.0863*'Temperature Profiles'!L82 + 0.6808)*1000,0)</f>
        <v>269.105034722222</v>
      </c>
      <c r="P83" s="110">
        <v>0.8125</v>
      </c>
      <c r="Q83" s="211">
        <f>IF('Temperature Profiles'!L82&gt;17,(0.005*('Temperature Profiles'!L82^2) - 0.1517*'Temperature Profiles'!L82 + 1.1702)*1000,0)</f>
        <v>391.22118055555563</v>
      </c>
      <c r="R83" s="110">
        <v>0.8125</v>
      </c>
      <c r="S83" s="211">
        <f>IF('Temperature Profiles'!L82&gt;17,(0.0068*('Temperature Profiles'!L82^2) - 0.2129*'Temperature Profiles'!L82 + 1.6904)*1000,0)</f>
        <v>474.249305555555</v>
      </c>
      <c r="T83" s="21"/>
      <c r="U83" s="110">
        <v>0.8125</v>
      </c>
      <c r="V83" s="211">
        <f>IF('Temperature Profiles'!Q82&gt;17,(0.0029*('Temperature Profiles'!Q82^2) - 0.0863*'Temperature Profiles'!Q82 + 0.6808)*1000,0)</f>
        <v>1049.6822500000001</v>
      </c>
      <c r="W83" s="110">
        <v>0.8125</v>
      </c>
      <c r="X83" s="211">
        <f>IF('Temperature Profiles'!Q82&gt;17,(0.005*('Temperature Profiles'!Q82^2) - 0.1517*'Temperature Profiles'!Q82 + 1.1702)*1000,0)</f>
        <v>1708.6775000000007</v>
      </c>
      <c r="Y83" s="110">
        <v>0.8125</v>
      </c>
      <c r="Z83" s="211">
        <f>IF('Temperature Profiles'!Q82&gt;17,(0.0068*('Temperature Profiles'!Q82^2) - 0.2129*'Temperature Profiles'!Q82 + 1.6904)*1000,0)</f>
        <v>2201.7019999999998</v>
      </c>
      <c r="AA83" s="21"/>
      <c r="AB83" s="110">
        <v>0.8125</v>
      </c>
      <c r="AC83" s="211">
        <f>IF('Temperature Profiles'!V82&gt;17,(0.0029*('Temperature Profiles'!V82^2) - 0.0863*'Temperature Profiles'!V82 + 0.6808)*1000,0)</f>
        <v>63.495999999999775</v>
      </c>
      <c r="AD83" s="110">
        <v>0.8125</v>
      </c>
      <c r="AE83" s="211">
        <f>IF('Temperature Profiles'!V82&gt;17,(0.005*('Temperature Profiles'!V82^2) - 0.1517*'Temperature Profiles'!V82 + 1.1702)*1000,0)</f>
        <v>54.140000000000079</v>
      </c>
      <c r="AF83" s="110">
        <v>0.8125</v>
      </c>
      <c r="AG83" s="211">
        <f>IF('Temperature Profiles'!V82&gt;17,(0.0068*('Temperature Profiles'!V82^2) - 0.2129*'Temperature Profiles'!V82 + 1.6904)*1000,0)</f>
        <v>55.291999999999675</v>
      </c>
      <c r="AH83" s="21"/>
      <c r="AI83" s="110">
        <v>0.8125</v>
      </c>
      <c r="AJ83" s="211">
        <f>IF('Temperature Profiles'!AA82&gt;17,(0.0029*('Temperature Profiles'!AA82^2) - 0.0863*'Temperature Profiles'!AA82 + 0.6808)*1000,0)</f>
        <v>0</v>
      </c>
      <c r="AK83" s="110">
        <v>0.8125</v>
      </c>
      <c r="AL83" s="211">
        <f>IF('Temperature Profiles'!AA82&gt;17,(0.005*('Temperature Profiles'!AA82^2) - 0.1517*'Temperature Profiles'!AA82 + 1.1701)*1000,0)</f>
        <v>0</v>
      </c>
      <c r="AM83" s="110">
        <v>0.8125</v>
      </c>
      <c r="AN83" s="211">
        <f>IF('Temperature Profiles'!AA82&gt;17,(0.0068*('Temperature Profiles'!AA82^2) - 0.2129*'Temperature Profiles'!AA82 + 1.6904)*1000,0)</f>
        <v>0</v>
      </c>
      <c r="AO83" s="21"/>
      <c r="AP83" s="110">
        <v>0.8125</v>
      </c>
      <c r="AQ83" s="211">
        <f>IF('Temperature Profiles'!AF82&gt;17,(0.0029*('Temperature Profiles'!AF82^2) - 0.0863*'Temperature Profiles'!AF82 + 0.6808)*1000,0)</f>
        <v>1259.9439999999995</v>
      </c>
      <c r="AR83" s="110">
        <v>0.8125</v>
      </c>
      <c r="AS83" s="183">
        <f>IF('Temperature Profiles'!AF82&gt;17,(0.005*('Temperature Profiles'!AF82^2) - 0.1517*'Temperature Profiles'!AF82 + 1.1702)*1000,0)</f>
        <v>2065.8200000000002</v>
      </c>
      <c r="AT83" s="110">
        <v>0.8125</v>
      </c>
      <c r="AU83" s="211">
        <f>IF('Temperature Profiles'!AF82&gt;17,(0.0068*('Temperature Profiles'!AF82^2) - 0.2129*'Temperature Profiles'!AF82 + 1.6904)*1000,0)</f>
        <v>2675.2279999999982</v>
      </c>
      <c r="AV83" s="21"/>
      <c r="AW83" s="110">
        <v>0.8125</v>
      </c>
      <c r="AX83" s="211"/>
      <c r="AY83" s="21"/>
      <c r="AZ83" s="110">
        <v>0.8125</v>
      </c>
      <c r="BA83" s="264"/>
      <c r="BC83" s="260">
        <v>0.8125</v>
      </c>
      <c r="BD83" s="211">
        <f>IF('Temperature Profiles'!G82&lt;16,(-0.0037*'Temperature Profiles'!G82+0.0664)*1000,0)</f>
        <v>0</v>
      </c>
      <c r="BE83" s="110">
        <v>0.8125</v>
      </c>
      <c r="BF83" s="211">
        <f>IF('Temperature Profiles'!G82&lt;16,(-0.0076*'Temperature Profiles'!G82+0.1245)*1000,0)</f>
        <v>0</v>
      </c>
      <c r="BG83" s="110">
        <v>0.8125</v>
      </c>
      <c r="BH83" s="211">
        <f>IF('Temperature Profiles'!G82&lt;16,(-0.01*'Temperature Profiles'!G82+0.167)*1000,0)</f>
        <v>0</v>
      </c>
      <c r="BI83" s="21"/>
      <c r="BJ83" s="110">
        <v>0.8125</v>
      </c>
      <c r="BK83" s="211">
        <f>IF('Temperature Profiles'!L82&lt;16,(-0.0037*'Temperature Profiles'!L82+0.0664)*1000,0)</f>
        <v>0</v>
      </c>
      <c r="BL83" s="110">
        <v>0.8125</v>
      </c>
      <c r="BM83" s="211">
        <f>IF('Temperature Profiles'!L82&lt;16,(-0.0076*'Temperature Profiles'!L82+0.1245)*1000,0)</f>
        <v>0</v>
      </c>
      <c r="BN83" s="110">
        <v>0.8125</v>
      </c>
      <c r="BO83" s="211">
        <f>IF('Temperature Profiles'!L82&lt;16,(-0.01*'Temperature Profiles'!L82+0.167)*1000,0)</f>
        <v>0</v>
      </c>
      <c r="BP83" s="21"/>
      <c r="BQ83" s="110">
        <v>0.8125</v>
      </c>
      <c r="BR83" s="211">
        <f>IF('Temperature Profiles'!Q82&lt;16,(-0.0037*'Temperature Profiles'!Q82+0.0664)*1000,0)</f>
        <v>0</v>
      </c>
      <c r="BS83" s="110">
        <v>0.8125</v>
      </c>
      <c r="BT83" s="211">
        <f>IF('Temperature Profiles'!Q82&lt;16,(-0.0076*'Temperature Profiles'!Q82+0.1245)*1000,0)</f>
        <v>0</v>
      </c>
      <c r="BU83" s="110">
        <v>0.8125</v>
      </c>
      <c r="BV83" s="211">
        <f>IF('Temperature Profiles'!Q82&lt;16,(-0.01*'Temperature Profiles'!Q82+0.167)*1000,0)</f>
        <v>0</v>
      </c>
      <c r="BW83" s="21"/>
      <c r="BX83" s="110">
        <v>0.8125</v>
      </c>
      <c r="BY83" s="211">
        <f>IF('Temperature Profiles'!V82&lt;16,(-0.0037*'Temperature Profiles'!V82+0.0664)*1000,0)</f>
        <v>0</v>
      </c>
      <c r="BZ83" s="110">
        <v>0.8125</v>
      </c>
      <c r="CA83" s="211">
        <f>IF('Temperature Profiles'!V82&lt;16,(-0.0076*'Temperature Profiles'!V82+0.1245)*1000,0)</f>
        <v>0</v>
      </c>
      <c r="CB83" s="110">
        <v>0.8125</v>
      </c>
      <c r="CC83" s="211">
        <f>IF('Temperature Profiles'!V82&lt;16,(-0.01*'Temperature Profiles'!V82+0.167)*1000,0)</f>
        <v>0</v>
      </c>
      <c r="CD83" s="21"/>
      <c r="CE83" s="110">
        <v>0.8125</v>
      </c>
      <c r="CF83" s="211">
        <f>IF('Temperature Profiles'!AA82&lt;16,(-0.0037*'Temperature Profiles'!AA82+0.0664)*1000,0)</f>
        <v>97.757499999999993</v>
      </c>
      <c r="CG83" s="110">
        <v>0.8125</v>
      </c>
      <c r="CH83" s="178">
        <f>IF('Temperature Profiles'!AA82&lt;16,(-0.0076*'Temperature Profiles'!AA82+0.1245)*1000,0)</f>
        <v>188.91</v>
      </c>
      <c r="CI83" s="110">
        <v>0.8125</v>
      </c>
      <c r="CJ83" s="211">
        <f>IF('Temperature Profiles'!AA82&lt;16,(-0.01*'Temperature Profiles'!AA82+0.167)*1000,0)</f>
        <v>251.75000000000003</v>
      </c>
      <c r="CK83" s="21"/>
      <c r="CL83" s="110">
        <v>0.8125</v>
      </c>
      <c r="CM83" s="211">
        <f>IF('Temperature Profiles'!AF82&lt;16,(-0.0037*'Temperature Profiles'!AF82+0.0664)*1000,0)</f>
        <v>0</v>
      </c>
      <c r="CN83" s="110">
        <v>0.8125</v>
      </c>
      <c r="CO83" s="178">
        <f>IF('Temperature Profiles'!AF82&lt;16,(-0.0076*'Temperature Profiles'!AF82+0.1245)*1000,0)</f>
        <v>0</v>
      </c>
      <c r="CP83" s="110">
        <v>0.8125</v>
      </c>
      <c r="CQ83" s="211">
        <f>IF('Temperature Profiles'!AF82&lt;16,(-0.01*'Temperature Profiles'!AF82+0.167)*1000,0)</f>
        <v>0</v>
      </c>
      <c r="CR83" s="21"/>
      <c r="CS83" s="110">
        <v>0.8125</v>
      </c>
      <c r="CT83" s="211"/>
      <c r="CU83" s="21"/>
      <c r="CV83" s="110">
        <v>0.8125</v>
      </c>
      <c r="CW83" s="264"/>
      <c r="CY83" s="260">
        <v>0.8125</v>
      </c>
      <c r="CZ83" s="178">
        <f>IF('Temperature Profiles'!G82&gt;18,(0.0024*('Temperature Profiles'!G82^2)-0.0581*'Temperature Profiles'!G82+0.3293)*1000,IF('Temperature Profiles'!G82&lt;17,(0.0022*('Temperature Profiles'!G82^2)-0.0874*'Temperature Profiles'!G82+0.9301)*1000,0))</f>
        <v>185.06399999999974</v>
      </c>
      <c r="DA83" s="110">
        <v>0.8125</v>
      </c>
      <c r="DB83" s="263">
        <f>IF('Temperature Profiles'!G82&gt;18,(0.0043*('Temperature Profiles'!G82^2)-0.1116*'Temperature Profiles'!G82+0.6576)*1000,IF('Temperature Profiles'!G82&lt;17,(0.0053*('Temperature Profiles'!G82^2)-0.1876*'Temperature Profiles'!G82+1.7649)*1000,0))</f>
        <v>238.58799999999957</v>
      </c>
      <c r="DC83" s="110">
        <v>0.8125</v>
      </c>
      <c r="DD83" s="211">
        <f>IF('Temperature Profiles'!G82&gt;18,(0.0057*('Temperature Profiles'!G82^2)-0.1509*'Temperature Profiles'!G82+0.8935)*1000,IF('Temperature Profiles'!G82&lt;17,(0.0072*('Temperature Profiles'!G82^2)-0.254*'Temperature Profiles'!G82+2.3952)*1000,0))</f>
        <v>274.6119999999994</v>
      </c>
      <c r="DE83" s="21"/>
      <c r="DF83" s="110">
        <v>0.8125</v>
      </c>
      <c r="DG83" s="209">
        <f>IF('Temperature Profiles'!L82&gt;18,(0.0024*('Temperature Profiles'!L82^2)-0.0581*'Temperature Profiles'!L82+0.3293)*1000,IF('Temperature Profiles'!L82&lt;17,(0.0022*('Temperature Profiles'!L82^2)-0.0874*'Temperature Profiles'!L82+0.9301)*1000,0))</f>
        <v>305.50833333333333</v>
      </c>
      <c r="DH83" s="110">
        <v>0.8125</v>
      </c>
      <c r="DI83" s="209">
        <f>IF('Temperature Profiles'!L82&gt;18,(0.0043*('Temperature Profiles'!L82^2)-0.1116*'Temperature Profiles'!L82+0.6576)*1000,IF('Temperature Profiles'!L82&lt;17,(0.0053*('Temperature Profiles'!L82^2)-0.1876*'Temperature Profiles'!L82+1.7649)*1000,0))</f>
        <v>436.4366319444444</v>
      </c>
      <c r="DJ83" s="110">
        <v>0.8125</v>
      </c>
      <c r="DK83" s="211">
        <f>IF('Temperature Profiles'!L82&gt;18,(0.0057*('Temperature Profiles'!L82^2)-0.1509*'Temperature Profiles'!L82+0.8935)*1000,IF('Temperature Profiles'!L82&lt;17,(0.0072*('Temperature Profiles'!L82^2)-0.254*'Temperature Profiles'!L82+2.3952)*1000,0))</f>
        <v>529.78489583333351</v>
      </c>
      <c r="DL83" s="21"/>
      <c r="DM83" s="110">
        <v>0.8125</v>
      </c>
      <c r="DN83" s="209">
        <f>IF('Temperature Profiles'!Q82&gt;18,(0.0024*('Temperature Profiles'!Q82^2)-0.0581*'Temperature Profiles'!Q82+0.3293)*1000,IF('Temperature Profiles'!Q82&lt;17,(0.0022*('Temperature Profiles'!Q82^2)-0.0874*'Temperature Profiles'!Q82+0.9301)*1000,0))</f>
        <v>1081.491</v>
      </c>
      <c r="DO83" s="110">
        <v>0.8125</v>
      </c>
      <c r="DP83" s="209">
        <f>IF('Temperature Profiles'!Q82&gt;18,(0.0043*('Temperature Profiles'!Q82^2)-0.1116*'Temperature Profiles'!Q82+0.6576)*1000,IF('Temperature Profiles'!Q82&lt;17,(0.0053*('Temperature Profiles'!Q82^2)-0.1876*'Temperature Profiles'!Q82+1.7649)*1000,0))</f>
        <v>1753.5107500000001</v>
      </c>
      <c r="DQ83" s="110">
        <v>0.8125</v>
      </c>
      <c r="DR83" s="211">
        <f>IF('Temperature Profiles'!Q82&gt;18,(0.0057*('Temperature Profiles'!Q82^2)-0.1509*'Temperature Profiles'!Q82+0.8935)*1000,IF('Temperature Profiles'!Q82&lt;17,(0.0072*('Temperature Profiles'!Q82^2)-0.254*'Temperature Profiles'!Q82+2.3952)*1000,0))</f>
        <v>2246.7392500000005</v>
      </c>
      <c r="DS83" s="21"/>
      <c r="DT83" s="110">
        <v>0.8125</v>
      </c>
      <c r="DU83" s="209">
        <f>IF('Temperature Profiles'!V82&gt;18,(0.0024*('Temperature Profiles'!V82^2)-0.0581*'Temperature Profiles'!V82+0.3293)*1000,IF('Temperature Profiles'!V82&lt;17,(0.0022*('Temperature Profiles'!V82^2)-0.0874*'Temperature Profiles'!V82+0.9301)*1000,0))</f>
        <v>0</v>
      </c>
      <c r="DV83" s="110">
        <v>0.8125</v>
      </c>
      <c r="DW83" s="209">
        <f>IF('Temperature Profiles'!V82&gt;18,(0.0043*('Temperature Profiles'!V82^2)-0.1116*'Temperature Profiles'!V82+0.6576)*1000,IF('Temperature Profiles'!V82&lt;17,(0.0053*('Temperature Profiles'!V82^2)-0.1876*'Temperature Profiles'!V82+1.7649)*1000,0))</f>
        <v>0</v>
      </c>
      <c r="DX83" s="110">
        <v>0.8125</v>
      </c>
      <c r="DY83" s="211">
        <f>IF('Temperature Profiles'!V82&gt;18,(0.0057*('Temperature Profiles'!V82^2)-0.1509*'Temperature Profiles'!V82+0.8935)*1000,IF('Temperature Profiles'!V82&lt;17,(0.0072*('Temperature Profiles'!V82^2)-0.254*'Temperature Profiles'!V82+2.3952)*1000,0))</f>
        <v>0</v>
      </c>
      <c r="DZ83" s="21"/>
      <c r="EA83" s="110">
        <v>0.8125</v>
      </c>
      <c r="EB83" s="209">
        <f>IF('Temperature Profiles'!AA181&gt;18,(0.0024*('Temperature Profiles'!AA181^2)-0.0581*'Temperature Profiles'!AA181+0.3293)*1000,IF('Temperature Profiles'!AA181&lt;17,(0.0022*('Temperature Profiles'!AA181^2)-0.0874*'Temperature Profiles'!AA181+0.9301)*1000,0))</f>
        <v>526.54444444444448</v>
      </c>
      <c r="EC83" s="110">
        <v>0.8125</v>
      </c>
      <c r="ED83" s="209">
        <f>IF('Temperature Profiles'!AA181&gt;18,(0.0043*('Temperature Profiles'!AA181^2)-0.1116*'Temperature Profiles'!AA181+0.6576)*1000,IF('Temperature Profiles'!AA181&lt;17,(0.0053*('Temperature Profiles'!AA181^2)-0.1876*'Temperature Profiles'!AA181+1.7649)*1000,0))</f>
        <v>915.12222222222192</v>
      </c>
      <c r="EE83" s="110">
        <v>0.8125</v>
      </c>
      <c r="EF83" s="211">
        <f>IF('Temperature Profiles'!AA181&gt;18,(0.0057*('Temperature Profiles'!AA181^2)-0.1509*'Temperature Profiles'!AA181+0.8935)*1000,IF('Temperature Profiles'!AA181&lt;17,(0.0072*('Temperature Profiles'!AA181^2)-0.254*'Temperature Profiles'!AA181+2.3952)*1000,0))</f>
        <v>1245.3333333333333</v>
      </c>
      <c r="EG83" s="21"/>
      <c r="EH83" s="110">
        <v>0.8125</v>
      </c>
      <c r="EI83" s="211">
        <f>IF('Temperature Profiles'!AF82&gt;18,(0.0024*('Temperature Profiles'!AF82^2)-0.0581*'Temperature Profiles'!AF82+0.3293)*1000,IF('Temperature Profiles'!AF82&lt;17,(0.0022*('Temperature Profiles'!AF82^2)-0.0874*'Temperature Profiles'!AF82+0.9301)*1000,0))</f>
        <v>1280.1439999999996</v>
      </c>
      <c r="EJ83" s="110">
        <v>0.8125</v>
      </c>
      <c r="EK83" s="211">
        <f>IF('Temperature Profiles'!AF82&gt;18,(0.0043*('Temperature Profiles'!AF82^2)-0.1116*'Temperature Profiles'!AF82+0.6576)*1000,IF('Temperature Profiles'!AF82&lt;17,(0.0053*('Temperature Profiles'!AF82^2)-0.1876*'Temperature Profiles'!AF82+1.7649)*1000,0))</f>
        <v>2095.5479999999993</v>
      </c>
      <c r="EL83" s="110">
        <v>0.8125</v>
      </c>
      <c r="EM83" s="211">
        <f>IF('Temperature Profiles'!AF82&gt;18,(0.0057*('Temperature Profiles'!AF82^2)-0.1509*'Temperature Profiles'!AF82+0.8935)*1000,IF('Temperature Profiles'!AF82&lt;17,(0.0072*('Temperature Profiles'!AF82^2)-0.254*'Temperature Profiles'!AF82+2.3952)*1000,0))</f>
        <v>2694.652</v>
      </c>
      <c r="EN83" s="21"/>
      <c r="EO83" s="110">
        <v>0.8125</v>
      </c>
      <c r="EP83" s="211"/>
      <c r="EQ83" s="21"/>
      <c r="ER83" s="110">
        <v>0.8125</v>
      </c>
      <c r="ES83" s="264"/>
      <c r="EU83" s="260">
        <v>0.8125</v>
      </c>
      <c r="EV83" s="209">
        <f>IF('Temperature Profiles'!AA181&gt;18,(0.0024*('Temperature Profiles'!AA181^2)-0.0581*'Temperature Profiles'!AA181+0.3293)*1000,IF('Temperature Profiles'!AA181&lt;17,(0.0022*('Temperature Profiles'!AA181^2)-0.0874*'Temperature Profiles'!AA181+0.9301)*1000,0))</f>
        <v>526.54444444444448</v>
      </c>
      <c r="EW83" s="110">
        <v>0.8125</v>
      </c>
      <c r="EX83" s="209">
        <f>IF('Temperature Profiles'!AA181&gt;18,(0.0043*('Temperature Profiles'!AA181^2)-0.1116*'Temperature Profiles'!AA181+0.6576)*1000,IF('Temperature Profiles'!AA181&lt;17,(0.0053*('Temperature Profiles'!AA181^2)-0.1876*'Temperature Profiles'!AA181+1.7649)*1000,0))</f>
        <v>915.12222222222192</v>
      </c>
      <c r="EY83" s="110">
        <v>0.8125</v>
      </c>
      <c r="EZ83" s="264">
        <f>IF('Temperature Profiles'!AA181&gt;18,(0.0057*('Temperature Profiles'!AA181^2)-0.1509*'Temperature Profiles'!AA181+0.8935)*1000,IF('Temperature Profiles'!AA181&lt;17,(0.0072*('Temperature Profiles'!AA181^2)-0.254*'Temperature Profiles'!AA181+2.3952)*1000,0))</f>
        <v>1245.3333333333333</v>
      </c>
    </row>
    <row r="84" spans="1:156" x14ac:dyDescent="0.3">
      <c r="A84" s="108">
        <v>0.8125</v>
      </c>
      <c r="B84" s="226">
        <f t="shared" si="4"/>
        <v>0</v>
      </c>
      <c r="C84" s="21">
        <f t="shared" si="5"/>
        <v>251.75000000000003</v>
      </c>
      <c r="D84" s="20">
        <f t="shared" si="6"/>
        <v>1245.3333333333333</v>
      </c>
      <c r="E84" s="20">
        <f t="shared" si="7"/>
        <v>1245.3333333333333</v>
      </c>
      <c r="G84" s="260">
        <v>0.82291666666666696</v>
      </c>
      <c r="H84" s="211">
        <f>IF('Temperature Profiles'!G83&gt;17,(0.0029*('Temperature Profiles'!G83^2) - 0.0863*'Temperature Profiles'!G83 + 0.6808)*1000,0)</f>
        <v>162.06399999999965</v>
      </c>
      <c r="I84" s="110">
        <v>0.82291666666666696</v>
      </c>
      <c r="J84" s="211">
        <f>IF('Temperature Profiles'!G83&gt;17,(0.005*('Temperature Profiles'!G83^2) - 0.1517*'Temperature Profiles'!G83 + 1.1702)*1000,0)</f>
        <v>213.61999999999969</v>
      </c>
      <c r="K84" s="110">
        <v>0.82291666666666696</v>
      </c>
      <c r="L84" s="211">
        <f>IF('Temperature Profiles'!G83&gt;17,(0.0068*('Temperature Profiles'!G83^2) - 0.2129*'Temperature Profiles'!G83 + 1.6904)*1000,0)</f>
        <v>248.46799999999948</v>
      </c>
      <c r="M84" s="21"/>
      <c r="N84" s="110">
        <v>0.82291666666666696</v>
      </c>
      <c r="O84" s="211">
        <f>IF('Temperature Profiles'!L83&gt;17,(0.0029*('Temperature Profiles'!L83^2) - 0.0863*'Temperature Profiles'!L83 + 0.6808)*1000,0)</f>
        <v>269.105034722222</v>
      </c>
      <c r="P84" s="110">
        <v>0.82291666666666696</v>
      </c>
      <c r="Q84" s="211">
        <f>IF('Temperature Profiles'!L83&gt;17,(0.005*('Temperature Profiles'!L83^2) - 0.1517*'Temperature Profiles'!L83 + 1.1702)*1000,0)</f>
        <v>391.22118055555563</v>
      </c>
      <c r="R84" s="110">
        <v>0.82291666666666696</v>
      </c>
      <c r="S84" s="211">
        <f>IF('Temperature Profiles'!L83&gt;17,(0.0068*('Temperature Profiles'!L83^2) - 0.2129*'Temperature Profiles'!L83 + 1.6904)*1000,0)</f>
        <v>474.249305555555</v>
      </c>
      <c r="T84" s="21"/>
      <c r="U84" s="110">
        <v>0.82291666666666696</v>
      </c>
      <c r="V84" s="211">
        <f>IF('Temperature Profiles'!Q83&gt;17,(0.0029*('Temperature Profiles'!Q83^2) - 0.0863*'Temperature Profiles'!Q83 + 0.6808)*1000,0)</f>
        <v>1049.6822500000001</v>
      </c>
      <c r="W84" s="110">
        <v>0.82291666666666696</v>
      </c>
      <c r="X84" s="211">
        <f>IF('Temperature Profiles'!Q83&gt;17,(0.005*('Temperature Profiles'!Q83^2) - 0.1517*'Temperature Profiles'!Q83 + 1.1702)*1000,0)</f>
        <v>1708.6775000000007</v>
      </c>
      <c r="Y84" s="110">
        <v>0.82291666666666696</v>
      </c>
      <c r="Z84" s="211">
        <f>IF('Temperature Profiles'!Q83&gt;17,(0.0068*('Temperature Profiles'!Q83^2) - 0.2129*'Temperature Profiles'!Q83 + 1.6904)*1000,0)</f>
        <v>2201.7019999999998</v>
      </c>
      <c r="AA84" s="21"/>
      <c r="AB84" s="110">
        <v>0.82291666666666696</v>
      </c>
      <c r="AC84" s="211">
        <f>IF('Temperature Profiles'!V83&gt;17,(0.0029*('Temperature Profiles'!V83^2) - 0.0863*'Temperature Profiles'!V83 + 0.6808)*1000,0)</f>
        <v>63.495999999999775</v>
      </c>
      <c r="AD84" s="110">
        <v>0.82291666666666696</v>
      </c>
      <c r="AE84" s="211">
        <f>IF('Temperature Profiles'!V83&gt;17,(0.005*('Temperature Profiles'!V83^2) - 0.1517*'Temperature Profiles'!V83 + 1.1702)*1000,0)</f>
        <v>54.140000000000079</v>
      </c>
      <c r="AF84" s="110">
        <v>0.82291666666666696</v>
      </c>
      <c r="AG84" s="211">
        <f>IF('Temperature Profiles'!V83&gt;17,(0.0068*('Temperature Profiles'!V83^2) - 0.2129*'Temperature Profiles'!V83 + 1.6904)*1000,0)</f>
        <v>55.291999999999675</v>
      </c>
      <c r="AH84" s="21"/>
      <c r="AI84" s="110">
        <v>0.82291666666666696</v>
      </c>
      <c r="AJ84" s="211">
        <f>IF('Temperature Profiles'!AA83&gt;17,(0.0029*('Temperature Profiles'!AA83^2) - 0.0863*'Temperature Profiles'!AA83 + 0.6808)*1000,0)</f>
        <v>0</v>
      </c>
      <c r="AK84" s="110">
        <v>0.82291666666666696</v>
      </c>
      <c r="AL84" s="211">
        <f>IF('Temperature Profiles'!AA83&gt;17,(0.005*('Temperature Profiles'!AA83^2) - 0.1517*'Temperature Profiles'!AA83 + 1.1701)*1000,0)</f>
        <v>0</v>
      </c>
      <c r="AM84" s="110">
        <v>0.82291666666666696</v>
      </c>
      <c r="AN84" s="211">
        <f>IF('Temperature Profiles'!AA83&gt;17,(0.0068*('Temperature Profiles'!AA83^2) - 0.2129*'Temperature Profiles'!AA83 + 1.6904)*1000,0)</f>
        <v>0</v>
      </c>
      <c r="AO84" s="21"/>
      <c r="AP84" s="110">
        <v>0.82291666666666696</v>
      </c>
      <c r="AQ84" s="211">
        <f>IF('Temperature Profiles'!AF83&gt;17,(0.0029*('Temperature Profiles'!AF83^2) - 0.0863*'Temperature Profiles'!AF83 + 0.6808)*1000,0)</f>
        <v>1259.9439999999995</v>
      </c>
      <c r="AR84" s="110">
        <v>0.82291666666666696</v>
      </c>
      <c r="AS84" s="183">
        <f>IF('Temperature Profiles'!AF83&gt;17,(0.005*('Temperature Profiles'!AF83^2) - 0.1517*'Temperature Profiles'!AF83 + 1.1702)*1000,0)</f>
        <v>2065.8200000000002</v>
      </c>
      <c r="AT84" s="110">
        <v>0.82291666666666696</v>
      </c>
      <c r="AU84" s="211">
        <f>IF('Temperature Profiles'!AF83&gt;17,(0.0068*('Temperature Profiles'!AF83^2) - 0.2129*'Temperature Profiles'!AF83 + 1.6904)*1000,0)</f>
        <v>2675.2279999999982</v>
      </c>
      <c r="AV84" s="21"/>
      <c r="AW84" s="110">
        <v>0.82291666666666696</v>
      </c>
      <c r="AX84" s="211"/>
      <c r="AY84" s="21"/>
      <c r="AZ84" s="110">
        <v>0.82291666666666696</v>
      </c>
      <c r="BA84" s="264"/>
      <c r="BC84" s="260">
        <v>0.82291666666666696</v>
      </c>
      <c r="BD84" s="211">
        <f>IF('Temperature Profiles'!G83&lt;16,(-0.0037*'Temperature Profiles'!G83+0.0664)*1000,0)</f>
        <v>0</v>
      </c>
      <c r="BE84" s="110">
        <v>0.82291666666666696</v>
      </c>
      <c r="BF84" s="211">
        <f>IF('Temperature Profiles'!G83&lt;16,(-0.0076*'Temperature Profiles'!G83+0.1245)*1000,0)</f>
        <v>0</v>
      </c>
      <c r="BG84" s="110">
        <v>0.82291666666666696</v>
      </c>
      <c r="BH84" s="211">
        <f>IF('Temperature Profiles'!G83&lt;16,(-0.01*'Temperature Profiles'!G83+0.167)*1000,0)</f>
        <v>0</v>
      </c>
      <c r="BI84" s="21"/>
      <c r="BJ84" s="110">
        <v>0.82291666666666696</v>
      </c>
      <c r="BK84" s="211">
        <f>IF('Temperature Profiles'!L83&lt;16,(-0.0037*'Temperature Profiles'!L83+0.0664)*1000,0)</f>
        <v>0</v>
      </c>
      <c r="BL84" s="110">
        <v>0.82291666666666696</v>
      </c>
      <c r="BM84" s="211">
        <f>IF('Temperature Profiles'!L83&lt;16,(-0.0076*'Temperature Profiles'!L83+0.1245)*1000,0)</f>
        <v>0</v>
      </c>
      <c r="BN84" s="110">
        <v>0.82291666666666696</v>
      </c>
      <c r="BO84" s="211">
        <f>IF('Temperature Profiles'!L83&lt;16,(-0.01*'Temperature Profiles'!L83+0.167)*1000,0)</f>
        <v>0</v>
      </c>
      <c r="BP84" s="21"/>
      <c r="BQ84" s="110">
        <v>0.82291666666666696</v>
      </c>
      <c r="BR84" s="211">
        <f>IF('Temperature Profiles'!Q83&lt;16,(-0.0037*'Temperature Profiles'!Q83+0.0664)*1000,0)</f>
        <v>0</v>
      </c>
      <c r="BS84" s="110">
        <v>0.82291666666666696</v>
      </c>
      <c r="BT84" s="211">
        <f>IF('Temperature Profiles'!Q83&lt;16,(-0.0076*'Temperature Profiles'!Q83+0.1245)*1000,0)</f>
        <v>0</v>
      </c>
      <c r="BU84" s="110">
        <v>0.82291666666666696</v>
      </c>
      <c r="BV84" s="211">
        <f>IF('Temperature Profiles'!Q83&lt;16,(-0.01*'Temperature Profiles'!Q83+0.167)*1000,0)</f>
        <v>0</v>
      </c>
      <c r="BW84" s="21"/>
      <c r="BX84" s="110">
        <v>0.82291666666666696</v>
      </c>
      <c r="BY84" s="211">
        <f>IF('Temperature Profiles'!V83&lt;16,(-0.0037*'Temperature Profiles'!V83+0.0664)*1000,0)</f>
        <v>0</v>
      </c>
      <c r="BZ84" s="110">
        <v>0.82291666666666696</v>
      </c>
      <c r="CA84" s="211">
        <f>IF('Temperature Profiles'!V83&lt;16,(-0.0076*'Temperature Profiles'!V83+0.1245)*1000,0)</f>
        <v>0</v>
      </c>
      <c r="CB84" s="110">
        <v>0.82291666666666696</v>
      </c>
      <c r="CC84" s="211">
        <f>IF('Temperature Profiles'!V83&lt;16,(-0.01*'Temperature Profiles'!V83+0.167)*1000,0)</f>
        <v>0</v>
      </c>
      <c r="CD84" s="21"/>
      <c r="CE84" s="110">
        <v>0.82291666666666696</v>
      </c>
      <c r="CF84" s="211">
        <f>IF('Temperature Profiles'!AA83&lt;16,(-0.0037*'Temperature Profiles'!AA83+0.0664)*1000,0)</f>
        <v>97.757499999999993</v>
      </c>
      <c r="CG84" s="110">
        <v>0.82291666666666696</v>
      </c>
      <c r="CH84" s="178">
        <f>IF('Temperature Profiles'!AA83&lt;16,(-0.0076*'Temperature Profiles'!AA83+0.1245)*1000,0)</f>
        <v>188.91</v>
      </c>
      <c r="CI84" s="110">
        <v>0.82291666666666696</v>
      </c>
      <c r="CJ84" s="211">
        <f>IF('Temperature Profiles'!AA83&lt;16,(-0.01*'Temperature Profiles'!AA83+0.167)*1000,0)</f>
        <v>251.75000000000003</v>
      </c>
      <c r="CK84" s="21"/>
      <c r="CL84" s="110">
        <v>0.82291666666666696</v>
      </c>
      <c r="CM84" s="211">
        <f>IF('Temperature Profiles'!AF83&lt;16,(-0.0037*'Temperature Profiles'!AF83+0.0664)*1000,0)</f>
        <v>0</v>
      </c>
      <c r="CN84" s="110">
        <v>0.82291666666666696</v>
      </c>
      <c r="CO84" s="178">
        <f>IF('Temperature Profiles'!AF83&lt;16,(-0.0076*'Temperature Profiles'!AF83+0.1245)*1000,0)</f>
        <v>0</v>
      </c>
      <c r="CP84" s="110">
        <v>0.82291666666666696</v>
      </c>
      <c r="CQ84" s="211">
        <f>IF('Temperature Profiles'!AF83&lt;16,(-0.01*'Temperature Profiles'!AF83+0.167)*1000,0)</f>
        <v>0</v>
      </c>
      <c r="CR84" s="21"/>
      <c r="CS84" s="110">
        <v>0.82291666666666696</v>
      </c>
      <c r="CT84" s="211"/>
      <c r="CU84" s="21"/>
      <c r="CV84" s="110">
        <v>0.82291666666666696</v>
      </c>
      <c r="CW84" s="264"/>
      <c r="CY84" s="260">
        <v>0.82291666666666696</v>
      </c>
      <c r="CZ84" s="178">
        <f>IF('Temperature Profiles'!G83&gt;18,(0.0024*('Temperature Profiles'!G83^2)-0.0581*'Temperature Profiles'!G83+0.3293)*1000,IF('Temperature Profiles'!G83&lt;17,(0.0022*('Temperature Profiles'!G83^2)-0.0874*'Temperature Profiles'!G83+0.9301)*1000,0))</f>
        <v>185.06399999999974</v>
      </c>
      <c r="DA84" s="110">
        <v>0.82291666666666696</v>
      </c>
      <c r="DB84" s="263">
        <f>IF('Temperature Profiles'!G83&gt;18,(0.0043*('Temperature Profiles'!G83^2)-0.1116*'Temperature Profiles'!G83+0.6576)*1000,IF('Temperature Profiles'!G83&lt;17,(0.0053*('Temperature Profiles'!G83^2)-0.1876*'Temperature Profiles'!G83+1.7649)*1000,0))</f>
        <v>238.58799999999957</v>
      </c>
      <c r="DC84" s="110">
        <v>0.82291666666666696</v>
      </c>
      <c r="DD84" s="211">
        <f>IF('Temperature Profiles'!G83&gt;18,(0.0057*('Temperature Profiles'!G83^2)-0.1509*'Temperature Profiles'!G83+0.8935)*1000,IF('Temperature Profiles'!G83&lt;17,(0.0072*('Temperature Profiles'!G83^2)-0.254*'Temperature Profiles'!G83+2.3952)*1000,0))</f>
        <v>274.6119999999994</v>
      </c>
      <c r="DE84" s="21"/>
      <c r="DF84" s="110">
        <v>0.82291666666666696</v>
      </c>
      <c r="DG84" s="209">
        <f>IF('Temperature Profiles'!L83&gt;18,(0.0024*('Temperature Profiles'!L83^2)-0.0581*'Temperature Profiles'!L83+0.3293)*1000,IF('Temperature Profiles'!L83&lt;17,(0.0022*('Temperature Profiles'!L83^2)-0.0874*'Temperature Profiles'!L83+0.9301)*1000,0))</f>
        <v>305.50833333333333</v>
      </c>
      <c r="DH84" s="110">
        <v>0.82291666666666696</v>
      </c>
      <c r="DI84" s="209">
        <f>IF('Temperature Profiles'!L83&gt;18,(0.0043*('Temperature Profiles'!L83^2)-0.1116*'Temperature Profiles'!L83+0.6576)*1000,IF('Temperature Profiles'!L83&lt;17,(0.0053*('Temperature Profiles'!L83^2)-0.1876*'Temperature Profiles'!L83+1.7649)*1000,0))</f>
        <v>436.4366319444444</v>
      </c>
      <c r="DJ84" s="110">
        <v>0.82291666666666696</v>
      </c>
      <c r="DK84" s="211">
        <f>IF('Temperature Profiles'!L83&gt;18,(0.0057*('Temperature Profiles'!L83^2)-0.1509*'Temperature Profiles'!L83+0.8935)*1000,IF('Temperature Profiles'!L83&lt;17,(0.0072*('Temperature Profiles'!L83^2)-0.254*'Temperature Profiles'!L83+2.3952)*1000,0))</f>
        <v>529.78489583333351</v>
      </c>
      <c r="DL84" s="21"/>
      <c r="DM84" s="110">
        <v>0.82291666666666696</v>
      </c>
      <c r="DN84" s="209">
        <f>IF('Temperature Profiles'!Q83&gt;18,(0.0024*('Temperature Profiles'!Q83^2)-0.0581*'Temperature Profiles'!Q83+0.3293)*1000,IF('Temperature Profiles'!Q83&lt;17,(0.0022*('Temperature Profiles'!Q83^2)-0.0874*'Temperature Profiles'!Q83+0.9301)*1000,0))</f>
        <v>1081.491</v>
      </c>
      <c r="DO84" s="110">
        <v>0.82291666666666696</v>
      </c>
      <c r="DP84" s="209">
        <f>IF('Temperature Profiles'!Q83&gt;18,(0.0043*('Temperature Profiles'!Q83^2)-0.1116*'Temperature Profiles'!Q83+0.6576)*1000,IF('Temperature Profiles'!Q83&lt;17,(0.0053*('Temperature Profiles'!Q83^2)-0.1876*'Temperature Profiles'!Q83+1.7649)*1000,0))</f>
        <v>1753.5107500000001</v>
      </c>
      <c r="DQ84" s="110">
        <v>0.82291666666666696</v>
      </c>
      <c r="DR84" s="211">
        <f>IF('Temperature Profiles'!Q83&gt;18,(0.0057*('Temperature Profiles'!Q83^2)-0.1509*'Temperature Profiles'!Q83+0.8935)*1000,IF('Temperature Profiles'!Q83&lt;17,(0.0072*('Temperature Profiles'!Q83^2)-0.254*'Temperature Profiles'!Q83+2.3952)*1000,0))</f>
        <v>2246.7392500000005</v>
      </c>
      <c r="DS84" s="21"/>
      <c r="DT84" s="110">
        <v>0.82291666666666696</v>
      </c>
      <c r="DU84" s="209">
        <f>IF('Temperature Profiles'!V83&gt;18,(0.0024*('Temperature Profiles'!V83^2)-0.0581*'Temperature Profiles'!V83+0.3293)*1000,IF('Temperature Profiles'!V83&lt;17,(0.0022*('Temperature Profiles'!V83^2)-0.0874*'Temperature Profiles'!V83+0.9301)*1000,0))</f>
        <v>0</v>
      </c>
      <c r="DV84" s="110">
        <v>0.82291666666666696</v>
      </c>
      <c r="DW84" s="209">
        <f>IF('Temperature Profiles'!V83&gt;18,(0.0043*('Temperature Profiles'!V83^2)-0.1116*'Temperature Profiles'!V83+0.6576)*1000,IF('Temperature Profiles'!V83&lt;17,(0.0053*('Temperature Profiles'!V83^2)-0.1876*'Temperature Profiles'!V83+1.7649)*1000,0))</f>
        <v>0</v>
      </c>
      <c r="DX84" s="110">
        <v>0.82291666666666696</v>
      </c>
      <c r="DY84" s="211">
        <f>IF('Temperature Profiles'!V83&gt;18,(0.0057*('Temperature Profiles'!V83^2)-0.1509*'Temperature Profiles'!V83+0.8935)*1000,IF('Temperature Profiles'!V83&lt;17,(0.0072*('Temperature Profiles'!V83^2)-0.254*'Temperature Profiles'!V83+2.3952)*1000,0))</f>
        <v>0</v>
      </c>
      <c r="DZ84" s="21"/>
      <c r="EA84" s="110">
        <v>0.82291666666666696</v>
      </c>
      <c r="EB84" s="209">
        <f>IF('Temperature Profiles'!AA182&gt;18,(0.0024*('Temperature Profiles'!AA182^2)-0.0581*'Temperature Profiles'!AA182+0.3293)*1000,IF('Temperature Profiles'!AA182&lt;17,(0.0022*('Temperature Profiles'!AA182^2)-0.0874*'Temperature Profiles'!AA182+0.9301)*1000,0))</f>
        <v>526.54444444444448</v>
      </c>
      <c r="EC84" s="110">
        <v>0.82291666666666696</v>
      </c>
      <c r="ED84" s="209">
        <f>IF('Temperature Profiles'!AA182&gt;18,(0.0043*('Temperature Profiles'!AA182^2)-0.1116*'Temperature Profiles'!AA182+0.6576)*1000,IF('Temperature Profiles'!AA182&lt;17,(0.0053*('Temperature Profiles'!AA182^2)-0.1876*'Temperature Profiles'!AA182+1.7649)*1000,0))</f>
        <v>915.12222222222192</v>
      </c>
      <c r="EE84" s="110">
        <v>0.82291666666666696</v>
      </c>
      <c r="EF84" s="211">
        <f>IF('Temperature Profiles'!AA182&gt;18,(0.0057*('Temperature Profiles'!AA182^2)-0.1509*'Temperature Profiles'!AA182+0.8935)*1000,IF('Temperature Profiles'!AA182&lt;17,(0.0072*('Temperature Profiles'!AA182^2)-0.254*'Temperature Profiles'!AA182+2.3952)*1000,0))</f>
        <v>1245.3333333333333</v>
      </c>
      <c r="EG84" s="21"/>
      <c r="EH84" s="110">
        <v>0.82291666666666696</v>
      </c>
      <c r="EI84" s="211">
        <f>IF('Temperature Profiles'!AF83&gt;18,(0.0024*('Temperature Profiles'!AF83^2)-0.0581*'Temperature Profiles'!AF83+0.3293)*1000,IF('Temperature Profiles'!AF83&lt;17,(0.0022*('Temperature Profiles'!AF83^2)-0.0874*'Temperature Profiles'!AF83+0.9301)*1000,0))</f>
        <v>1280.1439999999996</v>
      </c>
      <c r="EJ84" s="110">
        <v>0.82291666666666696</v>
      </c>
      <c r="EK84" s="211">
        <f>IF('Temperature Profiles'!AF83&gt;18,(0.0043*('Temperature Profiles'!AF83^2)-0.1116*'Temperature Profiles'!AF83+0.6576)*1000,IF('Temperature Profiles'!AF83&lt;17,(0.0053*('Temperature Profiles'!AF83^2)-0.1876*'Temperature Profiles'!AF83+1.7649)*1000,0))</f>
        <v>2095.5479999999993</v>
      </c>
      <c r="EL84" s="110">
        <v>0.82291666666666696</v>
      </c>
      <c r="EM84" s="211">
        <f>IF('Temperature Profiles'!AF83&gt;18,(0.0057*('Temperature Profiles'!AF83^2)-0.1509*'Temperature Profiles'!AF83+0.8935)*1000,IF('Temperature Profiles'!AF83&lt;17,(0.0072*('Temperature Profiles'!AF83^2)-0.254*'Temperature Profiles'!AF83+2.3952)*1000,0))</f>
        <v>2694.652</v>
      </c>
      <c r="EN84" s="21"/>
      <c r="EO84" s="110">
        <v>0.82291666666666696</v>
      </c>
      <c r="EP84" s="211"/>
      <c r="EQ84" s="21"/>
      <c r="ER84" s="110">
        <v>0.82291666666666696</v>
      </c>
      <c r="ES84" s="264"/>
      <c r="EU84" s="260">
        <v>0.82291666666666696</v>
      </c>
      <c r="EV84" s="209">
        <f>IF('Temperature Profiles'!AA182&gt;18,(0.0024*('Temperature Profiles'!AA182^2)-0.0581*'Temperature Profiles'!AA182+0.3293)*1000,IF('Temperature Profiles'!AA182&lt;17,(0.0022*('Temperature Profiles'!AA182^2)-0.0874*'Temperature Profiles'!AA182+0.9301)*1000,0))</f>
        <v>526.54444444444448</v>
      </c>
      <c r="EW84" s="110">
        <v>0.82291666666666696</v>
      </c>
      <c r="EX84" s="209">
        <f>IF('Temperature Profiles'!AA182&gt;18,(0.0043*('Temperature Profiles'!AA182^2)-0.1116*'Temperature Profiles'!AA182+0.6576)*1000,IF('Temperature Profiles'!AA182&lt;17,(0.0053*('Temperature Profiles'!AA182^2)-0.1876*'Temperature Profiles'!AA182+1.7649)*1000,0))</f>
        <v>915.12222222222192</v>
      </c>
      <c r="EY84" s="110">
        <v>0.82291666666666696</v>
      </c>
      <c r="EZ84" s="264">
        <f>IF('Temperature Profiles'!AA182&gt;18,(0.0057*('Temperature Profiles'!AA182^2)-0.1509*'Temperature Profiles'!AA182+0.8935)*1000,IF('Temperature Profiles'!AA182&lt;17,(0.0072*('Temperature Profiles'!AA182^2)-0.254*'Temperature Profiles'!AA182+2.3952)*1000,0))</f>
        <v>1245.3333333333333</v>
      </c>
    </row>
    <row r="85" spans="1:156" x14ac:dyDescent="0.3">
      <c r="A85" s="108">
        <v>0.82291666666666696</v>
      </c>
      <c r="B85" s="226">
        <f t="shared" si="4"/>
        <v>0</v>
      </c>
      <c r="C85" s="21">
        <f t="shared" si="5"/>
        <v>251.75000000000003</v>
      </c>
      <c r="D85" s="20">
        <f t="shared" si="6"/>
        <v>1245.3333333333333</v>
      </c>
      <c r="E85" s="20">
        <f t="shared" si="7"/>
        <v>1245.3333333333333</v>
      </c>
      <c r="G85" s="260">
        <v>0.83333333333333304</v>
      </c>
      <c r="H85" s="211">
        <f>IF('Temperature Profiles'!G84&gt;17,(0.0029*('Temperature Profiles'!G84^2) - 0.0863*'Temperature Profiles'!G84 + 0.6808)*1000,0)</f>
        <v>115.54431249999986</v>
      </c>
      <c r="I85" s="110">
        <v>0.83333333333333304</v>
      </c>
      <c r="J85" s="211">
        <f>IF('Temperature Profiles'!G84&gt;17,(0.005*('Temperature Profiles'!G84^2) - 0.1517*'Temperature Profiles'!G84 + 1.1702)*1000,0)</f>
        <v>137.41062499999978</v>
      </c>
      <c r="K85" s="110">
        <v>0.83333333333333304</v>
      </c>
      <c r="L85" s="211">
        <f>IF('Temperature Profiles'!G84&gt;17,(0.0068*('Temperature Profiles'!G84^2) - 0.2129*'Temperature Profiles'!G84 + 1.6904)*1000,0)</f>
        <v>153.88174999999916</v>
      </c>
      <c r="M85" s="21"/>
      <c r="N85" s="110">
        <v>0.83333333333333304</v>
      </c>
      <c r="O85" s="211">
        <f>IF('Temperature Profiles'!L84&gt;17,(0.0029*('Temperature Profiles'!L84^2) - 0.0863*'Temperature Profiles'!L84 + 0.6808)*1000,0)</f>
        <v>172.0277013888888</v>
      </c>
      <c r="P85" s="110">
        <v>0.83333333333333304</v>
      </c>
      <c r="Q85" s="211">
        <f>IF('Temperature Profiles'!L84&gt;17,(0.005*('Temperature Profiles'!L84^2) - 0.1517*'Temperature Profiles'!L84 + 1.1702)*1000,0)</f>
        <v>230.04784722222249</v>
      </c>
      <c r="R85" s="110">
        <v>0.83333333333333304</v>
      </c>
      <c r="S85" s="211">
        <f>IF('Temperature Profiles'!L84&gt;17,(0.0068*('Temperature Profiles'!L84^2) - 0.2129*'Temperature Profiles'!L84 + 1.6904)*1000,0)</f>
        <v>269.1079722222218</v>
      </c>
      <c r="T85" s="21"/>
      <c r="U85" s="110">
        <v>0.83333333333333304</v>
      </c>
      <c r="V85" s="211">
        <f>IF('Temperature Profiles'!Q84&gt;17,(0.0029*('Temperature Profiles'!Q84^2) - 0.0863*'Temperature Profiles'!Q84 + 0.6808)*1000,0)</f>
        <v>973.56388888888762</v>
      </c>
      <c r="W85" s="110">
        <v>0.83333333333333304</v>
      </c>
      <c r="X85" s="211">
        <f>IF('Temperature Profiles'!Q84&gt;17,(0.005*('Temperature Profiles'!Q84^2) - 0.1517*'Temperature Profiles'!Q84 + 1.1702)*1000,0)</f>
        <v>1579.5222222222214</v>
      </c>
      <c r="Y85" s="110">
        <v>0.83333333333333304</v>
      </c>
      <c r="Z85" s="211">
        <f>IF('Temperature Profiles'!Q84&gt;17,(0.0068*('Temperature Profiles'!Q84^2) - 0.2129*'Temperature Profiles'!Q84 + 1.6904)*1000,0)</f>
        <v>2030.7722222222196</v>
      </c>
      <c r="AA85" s="21"/>
      <c r="AB85" s="110">
        <v>0.83333333333333304</v>
      </c>
      <c r="AC85" s="211">
        <f>IF('Temperature Profiles'!V84&gt;17,(0.0029*('Temperature Profiles'!V84^2) - 0.0863*'Temperature Profiles'!V84 + 0.6808)*1000,0)</f>
        <v>63.495999999999775</v>
      </c>
      <c r="AD85" s="110">
        <v>0.83333333333333304</v>
      </c>
      <c r="AE85" s="211">
        <f>IF('Temperature Profiles'!V84&gt;17,(0.005*('Temperature Profiles'!V84^2) - 0.1517*'Temperature Profiles'!V84 + 1.1702)*1000,0)</f>
        <v>54.140000000000079</v>
      </c>
      <c r="AF85" s="110">
        <v>0.83333333333333304</v>
      </c>
      <c r="AG85" s="211">
        <f>IF('Temperature Profiles'!V84&gt;17,(0.0068*('Temperature Profiles'!V84^2) - 0.2129*'Temperature Profiles'!V84 + 1.6904)*1000,0)</f>
        <v>55.291999999999675</v>
      </c>
      <c r="AH85" s="21"/>
      <c r="AI85" s="110">
        <v>0.83333333333333304</v>
      </c>
      <c r="AJ85" s="211">
        <f>IF('Temperature Profiles'!AA84&gt;17,(0.0029*('Temperature Profiles'!AA84^2) - 0.0863*'Temperature Profiles'!AA84 + 0.6808)*1000,0)</f>
        <v>0</v>
      </c>
      <c r="AK85" s="110">
        <v>0.83333333333333304</v>
      </c>
      <c r="AL85" s="211">
        <f>IF('Temperature Profiles'!AA84&gt;17,(0.005*('Temperature Profiles'!AA84^2) - 0.1517*'Temperature Profiles'!AA84 + 1.1701)*1000,0)</f>
        <v>0</v>
      </c>
      <c r="AM85" s="110">
        <v>0.83333333333333304</v>
      </c>
      <c r="AN85" s="211">
        <f>IF('Temperature Profiles'!AA84&gt;17,(0.0068*('Temperature Profiles'!AA84^2) - 0.2129*'Temperature Profiles'!AA84 + 1.6904)*1000,0)</f>
        <v>0</v>
      </c>
      <c r="AO85" s="21"/>
      <c r="AP85" s="110">
        <v>0.83333333333333304</v>
      </c>
      <c r="AQ85" s="211">
        <f>IF('Temperature Profiles'!AF84&gt;17,(0.0029*('Temperature Profiles'!AF84^2) - 0.0863*'Temperature Profiles'!AF84 + 0.6808)*1000,0)</f>
        <v>1121.2959999999996</v>
      </c>
      <c r="AR85" s="110">
        <v>0.83333333333333304</v>
      </c>
      <c r="AS85" s="183">
        <f>IF('Temperature Profiles'!AF84&gt;17,(0.005*('Temperature Profiles'!AF84^2) - 0.1517*'Temperature Profiles'!AF84 + 1.1702)*1000,0)</f>
        <v>1830.2599999999995</v>
      </c>
      <c r="AT85" s="110">
        <v>0.83333333333333304</v>
      </c>
      <c r="AU85" s="211">
        <f>IF('Temperature Profiles'!AF84&gt;17,(0.0068*('Temperature Profiles'!AF84^2) - 0.2129*'Temperature Profiles'!AF84 + 1.6904)*1000,0)</f>
        <v>2362.771999999999</v>
      </c>
      <c r="AV85" s="21"/>
      <c r="AW85" s="110">
        <v>0.83333333333333304</v>
      </c>
      <c r="AX85" s="211"/>
      <c r="AY85" s="21"/>
      <c r="AZ85" s="110">
        <v>0.83333333333333304</v>
      </c>
      <c r="BA85" s="264"/>
      <c r="BC85" s="260">
        <v>0.83333333333333304</v>
      </c>
      <c r="BD85" s="211">
        <f>IF('Temperature Profiles'!G84&lt;16,(-0.0037*'Temperature Profiles'!G84+0.0664)*1000,0)</f>
        <v>0</v>
      </c>
      <c r="BE85" s="110">
        <v>0.83333333333333304</v>
      </c>
      <c r="BF85" s="211">
        <f>IF('Temperature Profiles'!G84&lt;16,(-0.0076*'Temperature Profiles'!G84+0.1245)*1000,0)</f>
        <v>0</v>
      </c>
      <c r="BG85" s="110">
        <v>0.83333333333333304</v>
      </c>
      <c r="BH85" s="211">
        <f>IF('Temperature Profiles'!G84&lt;16,(-0.01*'Temperature Profiles'!G84+0.167)*1000,0)</f>
        <v>0</v>
      </c>
      <c r="BI85" s="21"/>
      <c r="BJ85" s="110">
        <v>0.83333333333333304</v>
      </c>
      <c r="BK85" s="211">
        <f>IF('Temperature Profiles'!L84&lt;16,(-0.0037*'Temperature Profiles'!L84+0.0664)*1000,0)</f>
        <v>0</v>
      </c>
      <c r="BL85" s="110">
        <v>0.83333333333333304</v>
      </c>
      <c r="BM85" s="211">
        <f>IF('Temperature Profiles'!L84&lt;16,(-0.0076*'Temperature Profiles'!L84+0.1245)*1000,0)</f>
        <v>0</v>
      </c>
      <c r="BN85" s="110">
        <v>0.83333333333333304</v>
      </c>
      <c r="BO85" s="211">
        <f>IF('Temperature Profiles'!L84&lt;16,(-0.01*'Temperature Profiles'!L84+0.167)*1000,0)</f>
        <v>0</v>
      </c>
      <c r="BP85" s="21"/>
      <c r="BQ85" s="110">
        <v>0.83333333333333304</v>
      </c>
      <c r="BR85" s="211">
        <f>IF('Temperature Profiles'!Q84&lt;16,(-0.0037*'Temperature Profiles'!Q84+0.0664)*1000,0)</f>
        <v>0</v>
      </c>
      <c r="BS85" s="110">
        <v>0.83333333333333304</v>
      </c>
      <c r="BT85" s="211">
        <f>IF('Temperature Profiles'!Q84&lt;16,(-0.0076*'Temperature Profiles'!Q84+0.1245)*1000,0)</f>
        <v>0</v>
      </c>
      <c r="BU85" s="110">
        <v>0.83333333333333304</v>
      </c>
      <c r="BV85" s="211">
        <f>IF('Temperature Profiles'!Q84&lt;16,(-0.01*'Temperature Profiles'!Q84+0.167)*1000,0)</f>
        <v>0</v>
      </c>
      <c r="BW85" s="21"/>
      <c r="BX85" s="110">
        <v>0.83333333333333304</v>
      </c>
      <c r="BY85" s="211">
        <f>IF('Temperature Profiles'!V84&lt;16,(-0.0037*'Temperature Profiles'!V84+0.0664)*1000,0)</f>
        <v>0</v>
      </c>
      <c r="BZ85" s="110">
        <v>0.83333333333333304</v>
      </c>
      <c r="CA85" s="211">
        <f>IF('Temperature Profiles'!V84&lt;16,(-0.0076*'Temperature Profiles'!V84+0.1245)*1000,0)</f>
        <v>0</v>
      </c>
      <c r="CB85" s="110">
        <v>0.83333333333333304</v>
      </c>
      <c r="CC85" s="211">
        <f>IF('Temperature Profiles'!V84&lt;16,(-0.01*'Temperature Profiles'!V84+0.167)*1000,0)</f>
        <v>0</v>
      </c>
      <c r="CD85" s="21"/>
      <c r="CE85" s="110">
        <v>0.83333333333333304</v>
      </c>
      <c r="CF85" s="211">
        <f>IF('Temperature Profiles'!AA84&lt;16,(-0.0037*'Temperature Profiles'!AA84+0.0664)*1000,0)</f>
        <v>103.52333333333334</v>
      </c>
      <c r="CG85" s="110">
        <v>0.83333333333333304</v>
      </c>
      <c r="CH85" s="178">
        <f>IF('Temperature Profiles'!AA84&lt;16,(-0.0076*'Temperature Profiles'!AA84+0.1245)*1000,0)</f>
        <v>200.75333333333333</v>
      </c>
      <c r="CI85" s="110">
        <v>0.83333333333333304</v>
      </c>
      <c r="CJ85" s="211">
        <f>IF('Temperature Profiles'!AA84&lt;16,(-0.01*'Temperature Profiles'!AA84+0.167)*1000,0)</f>
        <v>267.33333333333337</v>
      </c>
      <c r="CK85" s="21"/>
      <c r="CL85" s="110">
        <v>0.83333333333333304</v>
      </c>
      <c r="CM85" s="211">
        <f>IF('Temperature Profiles'!AF84&lt;16,(-0.0037*'Temperature Profiles'!AF84+0.0664)*1000,0)</f>
        <v>0</v>
      </c>
      <c r="CN85" s="110">
        <v>0.83333333333333304</v>
      </c>
      <c r="CO85" s="178">
        <f>IF('Temperature Profiles'!AF84&lt;16,(-0.0076*'Temperature Profiles'!AF84+0.1245)*1000,0)</f>
        <v>0</v>
      </c>
      <c r="CP85" s="110">
        <v>0.83333333333333304</v>
      </c>
      <c r="CQ85" s="211">
        <f>IF('Temperature Profiles'!AF84&lt;16,(-0.01*'Temperature Profiles'!AF84+0.167)*1000,0)</f>
        <v>0</v>
      </c>
      <c r="CR85" s="21"/>
      <c r="CS85" s="110">
        <v>0.83333333333333304</v>
      </c>
      <c r="CT85" s="211"/>
      <c r="CU85" s="21"/>
      <c r="CV85" s="110">
        <v>0.83333333333333304</v>
      </c>
      <c r="CW85" s="264"/>
      <c r="CY85" s="260">
        <v>0.83333333333333304</v>
      </c>
      <c r="CZ85" s="178">
        <f>IF('Temperature Profiles'!G84&gt;18,(0.0024*('Temperature Profiles'!G84^2)-0.0581*'Temperature Profiles'!G84+0.3293)*1000,IF('Temperature Profiles'!G84&lt;17,(0.0022*('Temperature Profiles'!G84^2)-0.0874*'Temperature Profiles'!G84+0.9301)*1000,0))</f>
        <v>128.24900000000011</v>
      </c>
      <c r="DA85" s="110">
        <v>0.83333333333333304</v>
      </c>
      <c r="DB85" s="263">
        <f>IF('Temperature Profiles'!G84&gt;18,(0.0043*('Temperature Profiles'!G84^2)-0.1116*'Temperature Profiles'!G84+0.6576)*1000,IF('Temperature Profiles'!G84&lt;17,(0.0053*('Temperature Profiles'!G84^2)-0.1876*'Temperature Profiles'!G84+1.7649)*1000,0))</f>
        <v>147.11268749999994</v>
      </c>
      <c r="DC85" s="110">
        <v>0.83333333333333304</v>
      </c>
      <c r="DD85" s="211">
        <f>IF('Temperature Profiles'!G84&gt;18,(0.0057*('Temperature Profiles'!G84^2)-0.1509*'Temperature Profiles'!G84+0.8935)*1000,IF('Temperature Profiles'!G84&lt;17,(0.0072*('Temperature Profiles'!G84^2)-0.254*'Temperature Profiles'!G84+2.3952)*1000,0))</f>
        <v>157.43106250000017</v>
      </c>
      <c r="DE85" s="21"/>
      <c r="DF85" s="110">
        <v>0.83333333333333304</v>
      </c>
      <c r="DG85" s="209">
        <f>IF('Temperature Profiles'!L84&gt;18,(0.0024*('Temperature Profiles'!L84^2)-0.0581*'Temperature Profiles'!L84+0.3293)*1000,IF('Temperature Profiles'!L84&lt;17,(0.0022*('Temperature Profiles'!L84^2)-0.0874*'Temperature Profiles'!L84+0.9301)*1000,0))</f>
        <v>196.75100000000018</v>
      </c>
      <c r="DH85" s="110">
        <v>0.83333333333333304</v>
      </c>
      <c r="DI85" s="209">
        <f>IF('Temperature Profiles'!L84&gt;18,(0.0043*('Temperature Profiles'!L84^2)-0.1116*'Temperature Profiles'!L84+0.6576)*1000,IF('Temperature Profiles'!L84&lt;17,(0.0053*('Temperature Profiles'!L84^2)-0.1876*'Temperature Profiles'!L84+1.7649)*1000,0))</f>
        <v>257.5886319444445</v>
      </c>
      <c r="DJ85" s="110">
        <v>0.83333333333333304</v>
      </c>
      <c r="DK85" s="211">
        <f>IF('Temperature Profiles'!L84&gt;18,(0.0057*('Temperature Profiles'!L84^2)-0.1509*'Temperature Profiles'!L84+0.8935)*1000,IF('Temperature Profiles'!L84&lt;17,(0.0072*('Temperature Profiles'!L84^2)-0.254*'Temperature Profiles'!L84+2.3952)*1000,0))</f>
        <v>299.03289583333327</v>
      </c>
      <c r="DL85" s="21"/>
      <c r="DM85" s="110">
        <v>0.83333333333333304</v>
      </c>
      <c r="DN85" s="209">
        <f>IF('Temperature Profiles'!Q84&gt;18,(0.0024*('Temperature Profiles'!Q84^2)-0.0581*'Temperature Profiles'!Q84+0.3293)*1000,IF('Temperature Profiles'!Q84&lt;17,(0.0022*('Temperature Profiles'!Q84^2)-0.0874*'Temperature Profiles'!Q84+0.9301)*1000,0))</f>
        <v>1008.9499999999991</v>
      </c>
      <c r="DO85" s="110">
        <v>0.83333333333333304</v>
      </c>
      <c r="DP85" s="209">
        <f>IF('Temperature Profiles'!Q84&gt;18,(0.0043*('Temperature Profiles'!Q84^2)-0.1116*'Temperature Profiles'!Q84+0.6576)*1000,IF('Temperature Profiles'!Q84&lt;17,(0.0053*('Temperature Profiles'!Q84^2)-0.1876*'Temperature Profiles'!Q84+1.7649)*1000,0))</f>
        <v>1628.9194444444429</v>
      </c>
      <c r="DQ85" s="110">
        <v>0.83333333333333304</v>
      </c>
      <c r="DR85" s="211">
        <f>IF('Temperature Profiles'!Q84&gt;18,(0.0057*('Temperature Profiles'!Q84^2)-0.1509*'Temperature Profiles'!Q84+0.8935)*1000,IF('Temperature Profiles'!Q84&lt;17,(0.0072*('Temperature Profiles'!Q84^2)-0.254*'Temperature Profiles'!Q84+2.3952)*1000,0))</f>
        <v>2083.7083333333317</v>
      </c>
      <c r="DS85" s="21"/>
      <c r="DT85" s="110">
        <v>0.83333333333333304</v>
      </c>
      <c r="DU85" s="209">
        <f>IF('Temperature Profiles'!V84&gt;18,(0.0024*('Temperature Profiles'!V84^2)-0.0581*'Temperature Profiles'!V84+0.3293)*1000,IF('Temperature Profiles'!V84&lt;17,(0.0022*('Temperature Profiles'!V84^2)-0.0874*'Temperature Profiles'!V84+0.9301)*1000,0))</f>
        <v>0</v>
      </c>
      <c r="DV85" s="110">
        <v>0.83333333333333304</v>
      </c>
      <c r="DW85" s="209">
        <f>IF('Temperature Profiles'!V84&gt;18,(0.0043*('Temperature Profiles'!V84^2)-0.1116*'Temperature Profiles'!V84+0.6576)*1000,IF('Temperature Profiles'!V84&lt;17,(0.0053*('Temperature Profiles'!V84^2)-0.1876*'Temperature Profiles'!V84+1.7649)*1000,0))</f>
        <v>0</v>
      </c>
      <c r="DX85" s="110">
        <v>0.83333333333333304</v>
      </c>
      <c r="DY85" s="211">
        <f>IF('Temperature Profiles'!V84&gt;18,(0.0057*('Temperature Profiles'!V84^2)-0.1509*'Temperature Profiles'!V84+0.8935)*1000,IF('Temperature Profiles'!V84&lt;17,(0.0072*('Temperature Profiles'!V84^2)-0.254*'Temperature Profiles'!V84+2.3952)*1000,0))</f>
        <v>0</v>
      </c>
      <c r="DZ85" s="21"/>
      <c r="EA85" s="110">
        <v>0.83333333333333304</v>
      </c>
      <c r="EB85" s="209">
        <f>IF('Temperature Profiles'!AA183&gt;18,(0.0024*('Temperature Profiles'!AA183^2)-0.0581*'Temperature Profiles'!AA183+0.3293)*1000,IF('Temperature Profiles'!AA183&lt;17,(0.0022*('Temperature Profiles'!AA183^2)-0.0874*'Temperature Profiles'!AA183+0.9301)*1000,0))</f>
        <v>551.92248611111097</v>
      </c>
      <c r="EC85" s="110">
        <v>0.83333333333333304</v>
      </c>
      <c r="ED85" s="209">
        <f>IF('Temperature Profiles'!AA183&gt;18,(0.0043*('Temperature Profiles'!AA183^2)-0.1116*'Temperature Profiles'!AA183+0.6576)*1000,IF('Temperature Profiles'!AA183&lt;17,(0.0053*('Temperature Profiles'!AA183^2)-0.1876*'Temperature Profiles'!AA183+1.7649)*1000,0))</f>
        <v>967.26970138888873</v>
      </c>
      <c r="EE85" s="110">
        <v>0.83333333333333304</v>
      </c>
      <c r="EF85" s="211">
        <f>IF('Temperature Profiles'!AA183&gt;18,(0.0057*('Temperature Profiles'!AA183^2)-0.1509*'Temperature Profiles'!AA183+0.8935)*1000,IF('Temperature Profiles'!AA183&lt;17,(0.0072*('Temperature Profiles'!AA183^2)-0.254*'Temperature Profiles'!AA183+2.3952)*1000,0))</f>
        <v>1315.8411666666664</v>
      </c>
      <c r="EG85" s="21"/>
      <c r="EH85" s="110">
        <v>0.83333333333333304</v>
      </c>
      <c r="EI85" s="211">
        <f>IF('Temperature Profiles'!AF84&gt;18,(0.0024*('Temperature Profiles'!AF84^2)-0.0581*'Temperature Profiles'!AF84+0.3293)*1000,IF('Temperature Profiles'!AF84&lt;17,(0.0022*('Temperature Profiles'!AF84^2)-0.0874*'Temperature Profiles'!AF84+0.9301)*1000,0))</f>
        <v>1149.4159999999995</v>
      </c>
      <c r="EJ85" s="110">
        <v>0.83333333333333304</v>
      </c>
      <c r="EK85" s="211">
        <f>IF('Temperature Profiles'!AF84&gt;18,(0.0043*('Temperature Profiles'!AF84^2)-0.1116*'Temperature Profiles'!AF84+0.6576)*1000,IF('Temperature Profiles'!AF84&lt;17,(0.0053*('Temperature Profiles'!AF84^2)-0.1876*'Temperature Profiles'!AF84+1.7649)*1000,0))</f>
        <v>1870.3319999999994</v>
      </c>
      <c r="EL85" s="110">
        <v>0.83333333333333304</v>
      </c>
      <c r="EM85" s="211">
        <f>IF('Temperature Profiles'!AF84&gt;18,(0.0057*('Temperature Profiles'!AF84^2)-0.1509*'Temperature Profiles'!AF84+0.8935)*1000,IF('Temperature Profiles'!AF84&lt;17,(0.0072*('Temperature Profiles'!AF84^2)-0.254*'Temperature Profiles'!AF84+2.3952)*1000,0))</f>
        <v>2399.6679999999997</v>
      </c>
      <c r="EN85" s="21"/>
      <c r="EO85" s="110">
        <v>0.83333333333333304</v>
      </c>
      <c r="EP85" s="211"/>
      <c r="EQ85" s="21"/>
      <c r="ER85" s="110">
        <v>0.83333333333333304</v>
      </c>
      <c r="ES85" s="264"/>
      <c r="EU85" s="260">
        <v>0.83333333333333304</v>
      </c>
      <c r="EV85" s="209">
        <f>IF('Temperature Profiles'!AA183&gt;18,(0.0024*('Temperature Profiles'!AA183^2)-0.0581*'Temperature Profiles'!AA183+0.3293)*1000,IF('Temperature Profiles'!AA183&lt;17,(0.0022*('Temperature Profiles'!AA183^2)-0.0874*'Temperature Profiles'!AA183+0.9301)*1000,0))</f>
        <v>551.92248611111097</v>
      </c>
      <c r="EW85" s="110">
        <v>0.83333333333333304</v>
      </c>
      <c r="EX85" s="209">
        <f>IF('Temperature Profiles'!AA183&gt;18,(0.0043*('Temperature Profiles'!AA183^2)-0.1116*'Temperature Profiles'!AA183+0.6576)*1000,IF('Temperature Profiles'!AA183&lt;17,(0.0053*('Temperature Profiles'!AA183^2)-0.1876*'Temperature Profiles'!AA183+1.7649)*1000,0))</f>
        <v>967.26970138888873</v>
      </c>
      <c r="EY85" s="110">
        <v>0.83333333333333304</v>
      </c>
      <c r="EZ85" s="264">
        <f>IF('Temperature Profiles'!AA183&gt;18,(0.0057*('Temperature Profiles'!AA183^2)-0.1509*'Temperature Profiles'!AA183+0.8935)*1000,IF('Temperature Profiles'!AA183&lt;17,(0.0072*('Temperature Profiles'!AA183^2)-0.254*'Temperature Profiles'!AA183+2.3952)*1000,0))</f>
        <v>1315.8411666666664</v>
      </c>
    </row>
    <row r="86" spans="1:156" x14ac:dyDescent="0.3">
      <c r="A86" s="108">
        <v>0.83333333333333304</v>
      </c>
      <c r="B86" s="226">
        <f t="shared" si="4"/>
        <v>0</v>
      </c>
      <c r="C86" s="21">
        <f t="shared" si="5"/>
        <v>267.33333333333337</v>
      </c>
      <c r="D86" s="20">
        <f t="shared" si="6"/>
        <v>1315.8411666666664</v>
      </c>
      <c r="E86" s="20">
        <f t="shared" si="7"/>
        <v>1315.8411666666664</v>
      </c>
      <c r="G86" s="260">
        <v>0.84375</v>
      </c>
      <c r="H86" s="211">
        <f>IF('Temperature Profiles'!G85&gt;17,(0.0029*('Temperature Profiles'!G85^2) - 0.0863*'Temperature Profiles'!G85 + 0.6808)*1000,0)</f>
        <v>115.54431249999986</v>
      </c>
      <c r="I86" s="110">
        <v>0.84375</v>
      </c>
      <c r="J86" s="211">
        <f>IF('Temperature Profiles'!G85&gt;17,(0.005*('Temperature Profiles'!G85^2) - 0.1517*'Temperature Profiles'!G85 + 1.1702)*1000,0)</f>
        <v>137.41062499999978</v>
      </c>
      <c r="K86" s="110">
        <v>0.84375</v>
      </c>
      <c r="L86" s="211">
        <f>IF('Temperature Profiles'!G85&gt;17,(0.0068*('Temperature Profiles'!G85^2) - 0.2129*'Temperature Profiles'!G85 + 1.6904)*1000,0)</f>
        <v>153.88174999999916</v>
      </c>
      <c r="M86" s="21"/>
      <c r="N86" s="110">
        <v>0.84375</v>
      </c>
      <c r="O86" s="211">
        <f>IF('Temperature Profiles'!L85&gt;17,(0.0029*('Temperature Profiles'!L85^2) - 0.0863*'Temperature Profiles'!L85 + 0.6808)*1000,0)</f>
        <v>172.0277013888888</v>
      </c>
      <c r="P86" s="110">
        <v>0.84375</v>
      </c>
      <c r="Q86" s="211">
        <f>IF('Temperature Profiles'!L85&gt;17,(0.005*('Temperature Profiles'!L85^2) - 0.1517*'Temperature Profiles'!L85 + 1.1702)*1000,0)</f>
        <v>230.04784722222249</v>
      </c>
      <c r="R86" s="110">
        <v>0.84375</v>
      </c>
      <c r="S86" s="211">
        <f>IF('Temperature Profiles'!L85&gt;17,(0.0068*('Temperature Profiles'!L85^2) - 0.2129*'Temperature Profiles'!L85 + 1.6904)*1000,0)</f>
        <v>269.1079722222218</v>
      </c>
      <c r="T86" s="21"/>
      <c r="U86" s="110">
        <v>0.84375</v>
      </c>
      <c r="V86" s="211">
        <f>IF('Temperature Profiles'!Q85&gt;17,(0.0029*('Temperature Profiles'!Q85^2) - 0.0863*'Temperature Profiles'!Q85 + 0.6808)*1000,0)</f>
        <v>973.56388888888762</v>
      </c>
      <c r="W86" s="110">
        <v>0.84375</v>
      </c>
      <c r="X86" s="211">
        <f>IF('Temperature Profiles'!Q85&gt;17,(0.005*('Temperature Profiles'!Q85^2) - 0.1517*'Temperature Profiles'!Q85 + 1.1702)*1000,0)</f>
        <v>1579.5222222222214</v>
      </c>
      <c r="Y86" s="110">
        <v>0.84375</v>
      </c>
      <c r="Z86" s="211">
        <f>IF('Temperature Profiles'!Q85&gt;17,(0.0068*('Temperature Profiles'!Q85^2) - 0.2129*'Temperature Profiles'!Q85 + 1.6904)*1000,0)</f>
        <v>2030.7722222222196</v>
      </c>
      <c r="AA86" s="21"/>
      <c r="AB86" s="110">
        <v>0.84375</v>
      </c>
      <c r="AC86" s="211">
        <f>IF('Temperature Profiles'!V85&gt;17,(0.0029*('Temperature Profiles'!V85^2) - 0.0863*'Temperature Profiles'!V85 + 0.6808)*1000,0)</f>
        <v>63.495999999999775</v>
      </c>
      <c r="AD86" s="110">
        <v>0.84375</v>
      </c>
      <c r="AE86" s="211">
        <f>IF('Temperature Profiles'!V85&gt;17,(0.005*('Temperature Profiles'!V85^2) - 0.1517*'Temperature Profiles'!V85 + 1.1702)*1000,0)</f>
        <v>54.140000000000079</v>
      </c>
      <c r="AF86" s="110">
        <v>0.84375</v>
      </c>
      <c r="AG86" s="211">
        <f>IF('Temperature Profiles'!V85&gt;17,(0.0068*('Temperature Profiles'!V85^2) - 0.2129*'Temperature Profiles'!V85 + 1.6904)*1000,0)</f>
        <v>55.291999999999675</v>
      </c>
      <c r="AH86" s="21"/>
      <c r="AI86" s="110">
        <v>0.84375</v>
      </c>
      <c r="AJ86" s="211">
        <f>IF('Temperature Profiles'!AA85&gt;17,(0.0029*('Temperature Profiles'!AA85^2) - 0.0863*'Temperature Profiles'!AA85 + 0.6808)*1000,0)</f>
        <v>0</v>
      </c>
      <c r="AK86" s="110">
        <v>0.84375</v>
      </c>
      <c r="AL86" s="211">
        <f>IF('Temperature Profiles'!AA85&gt;17,(0.005*('Temperature Profiles'!AA85^2) - 0.1517*'Temperature Profiles'!AA85 + 1.1701)*1000,0)</f>
        <v>0</v>
      </c>
      <c r="AM86" s="110">
        <v>0.84375</v>
      </c>
      <c r="AN86" s="211">
        <f>IF('Temperature Profiles'!AA85&gt;17,(0.0068*('Temperature Profiles'!AA85^2) - 0.2129*'Temperature Profiles'!AA85 + 1.6904)*1000,0)</f>
        <v>0</v>
      </c>
      <c r="AO86" s="21"/>
      <c r="AP86" s="110">
        <v>0.84375</v>
      </c>
      <c r="AQ86" s="211">
        <f>IF('Temperature Profiles'!AF85&gt;17,(0.0029*('Temperature Profiles'!AF85^2) - 0.0863*'Temperature Profiles'!AF85 + 0.6808)*1000,0)</f>
        <v>1121.2959999999996</v>
      </c>
      <c r="AR86" s="110">
        <v>0.84375</v>
      </c>
      <c r="AS86" s="183">
        <f>IF('Temperature Profiles'!AF85&gt;17,(0.005*('Temperature Profiles'!AF85^2) - 0.1517*'Temperature Profiles'!AF85 + 1.1702)*1000,0)</f>
        <v>1830.2599999999995</v>
      </c>
      <c r="AT86" s="110">
        <v>0.84375</v>
      </c>
      <c r="AU86" s="211">
        <f>IF('Temperature Profiles'!AF85&gt;17,(0.0068*('Temperature Profiles'!AF85^2) - 0.2129*'Temperature Profiles'!AF85 + 1.6904)*1000,0)</f>
        <v>2362.771999999999</v>
      </c>
      <c r="AV86" s="21"/>
      <c r="AW86" s="110">
        <v>0.84375</v>
      </c>
      <c r="AX86" s="211"/>
      <c r="AY86" s="21"/>
      <c r="AZ86" s="110">
        <v>0.84375</v>
      </c>
      <c r="BA86" s="264"/>
      <c r="BC86" s="260">
        <v>0.84375</v>
      </c>
      <c r="BD86" s="211">
        <f>IF('Temperature Profiles'!G85&lt;16,(-0.0037*'Temperature Profiles'!G85+0.0664)*1000,0)</f>
        <v>0</v>
      </c>
      <c r="BE86" s="110">
        <v>0.84375</v>
      </c>
      <c r="BF86" s="211">
        <f>IF('Temperature Profiles'!G85&lt;16,(-0.0076*'Temperature Profiles'!G85+0.1245)*1000,0)</f>
        <v>0</v>
      </c>
      <c r="BG86" s="110">
        <v>0.84375</v>
      </c>
      <c r="BH86" s="211">
        <f>IF('Temperature Profiles'!G85&lt;16,(-0.01*'Temperature Profiles'!G85+0.167)*1000,0)</f>
        <v>0</v>
      </c>
      <c r="BI86" s="21"/>
      <c r="BJ86" s="110">
        <v>0.84375</v>
      </c>
      <c r="BK86" s="211">
        <f>IF('Temperature Profiles'!L85&lt;16,(-0.0037*'Temperature Profiles'!L85+0.0664)*1000,0)</f>
        <v>0</v>
      </c>
      <c r="BL86" s="110">
        <v>0.84375</v>
      </c>
      <c r="BM86" s="211">
        <f>IF('Temperature Profiles'!L85&lt;16,(-0.0076*'Temperature Profiles'!L85+0.1245)*1000,0)</f>
        <v>0</v>
      </c>
      <c r="BN86" s="110">
        <v>0.84375</v>
      </c>
      <c r="BO86" s="211">
        <f>IF('Temperature Profiles'!L85&lt;16,(-0.01*'Temperature Profiles'!L85+0.167)*1000,0)</f>
        <v>0</v>
      </c>
      <c r="BP86" s="21"/>
      <c r="BQ86" s="110">
        <v>0.84375</v>
      </c>
      <c r="BR86" s="211">
        <f>IF('Temperature Profiles'!Q85&lt;16,(-0.0037*'Temperature Profiles'!Q85+0.0664)*1000,0)</f>
        <v>0</v>
      </c>
      <c r="BS86" s="110">
        <v>0.84375</v>
      </c>
      <c r="BT86" s="211">
        <f>IF('Temperature Profiles'!Q85&lt;16,(-0.0076*'Temperature Profiles'!Q85+0.1245)*1000,0)</f>
        <v>0</v>
      </c>
      <c r="BU86" s="110">
        <v>0.84375</v>
      </c>
      <c r="BV86" s="211">
        <f>IF('Temperature Profiles'!Q85&lt;16,(-0.01*'Temperature Profiles'!Q85+0.167)*1000,0)</f>
        <v>0</v>
      </c>
      <c r="BW86" s="21"/>
      <c r="BX86" s="110">
        <v>0.84375</v>
      </c>
      <c r="BY86" s="211">
        <f>IF('Temperature Profiles'!V85&lt;16,(-0.0037*'Temperature Profiles'!V85+0.0664)*1000,0)</f>
        <v>0</v>
      </c>
      <c r="BZ86" s="110">
        <v>0.84375</v>
      </c>
      <c r="CA86" s="211">
        <f>IF('Temperature Profiles'!V85&lt;16,(-0.0076*'Temperature Profiles'!V85+0.1245)*1000,0)</f>
        <v>0</v>
      </c>
      <c r="CB86" s="110">
        <v>0.84375</v>
      </c>
      <c r="CC86" s="211">
        <f>IF('Temperature Profiles'!V85&lt;16,(-0.01*'Temperature Profiles'!V85+0.167)*1000,0)</f>
        <v>0</v>
      </c>
      <c r="CD86" s="21"/>
      <c r="CE86" s="110">
        <v>0.84375</v>
      </c>
      <c r="CF86" s="211">
        <f>IF('Temperature Profiles'!AA85&lt;16,(-0.0037*'Temperature Profiles'!AA85+0.0664)*1000,0)</f>
        <v>103.52333333333334</v>
      </c>
      <c r="CG86" s="110">
        <v>0.84375</v>
      </c>
      <c r="CH86" s="178">
        <f>IF('Temperature Profiles'!AA85&lt;16,(-0.0076*'Temperature Profiles'!AA85+0.1245)*1000,0)</f>
        <v>200.75333333333333</v>
      </c>
      <c r="CI86" s="110">
        <v>0.84375</v>
      </c>
      <c r="CJ86" s="211">
        <f>IF('Temperature Profiles'!AA85&lt;16,(-0.01*'Temperature Profiles'!AA85+0.167)*1000,0)</f>
        <v>267.33333333333337</v>
      </c>
      <c r="CK86" s="21"/>
      <c r="CL86" s="110">
        <v>0.84375</v>
      </c>
      <c r="CM86" s="211">
        <f>IF('Temperature Profiles'!AF85&lt;16,(-0.0037*'Temperature Profiles'!AF85+0.0664)*1000,0)</f>
        <v>0</v>
      </c>
      <c r="CN86" s="110">
        <v>0.84375</v>
      </c>
      <c r="CO86" s="178">
        <f>IF('Temperature Profiles'!AF85&lt;16,(-0.0076*'Temperature Profiles'!AF85+0.1245)*1000,0)</f>
        <v>0</v>
      </c>
      <c r="CP86" s="110">
        <v>0.84375</v>
      </c>
      <c r="CQ86" s="211">
        <f>IF('Temperature Profiles'!AF85&lt;16,(-0.01*'Temperature Profiles'!AF85+0.167)*1000,0)</f>
        <v>0</v>
      </c>
      <c r="CR86" s="21"/>
      <c r="CS86" s="110">
        <v>0.84375</v>
      </c>
      <c r="CT86" s="211"/>
      <c r="CU86" s="21"/>
      <c r="CV86" s="110">
        <v>0.84375</v>
      </c>
      <c r="CW86" s="264"/>
      <c r="CY86" s="260">
        <v>0.84375</v>
      </c>
      <c r="CZ86" s="178">
        <f>IF('Temperature Profiles'!G85&gt;18,(0.0024*('Temperature Profiles'!G85^2)-0.0581*'Temperature Profiles'!G85+0.3293)*1000,IF('Temperature Profiles'!G85&lt;17,(0.0022*('Temperature Profiles'!G85^2)-0.0874*'Temperature Profiles'!G85+0.9301)*1000,0))</f>
        <v>128.24900000000011</v>
      </c>
      <c r="DA86" s="110">
        <v>0.84375</v>
      </c>
      <c r="DB86" s="263">
        <f>IF('Temperature Profiles'!G85&gt;18,(0.0043*('Temperature Profiles'!G85^2)-0.1116*'Temperature Profiles'!G85+0.6576)*1000,IF('Temperature Profiles'!G85&lt;17,(0.0053*('Temperature Profiles'!G85^2)-0.1876*'Temperature Profiles'!G85+1.7649)*1000,0))</f>
        <v>147.11268749999994</v>
      </c>
      <c r="DC86" s="110">
        <v>0.84375</v>
      </c>
      <c r="DD86" s="211">
        <f>IF('Temperature Profiles'!G85&gt;18,(0.0057*('Temperature Profiles'!G85^2)-0.1509*'Temperature Profiles'!G85+0.8935)*1000,IF('Temperature Profiles'!G85&lt;17,(0.0072*('Temperature Profiles'!G85^2)-0.254*'Temperature Profiles'!G85+2.3952)*1000,0))</f>
        <v>157.43106250000017</v>
      </c>
      <c r="DE86" s="21"/>
      <c r="DF86" s="110">
        <v>0.84375</v>
      </c>
      <c r="DG86" s="209">
        <f>IF('Temperature Profiles'!L85&gt;18,(0.0024*('Temperature Profiles'!L85^2)-0.0581*'Temperature Profiles'!L85+0.3293)*1000,IF('Temperature Profiles'!L85&lt;17,(0.0022*('Temperature Profiles'!L85^2)-0.0874*'Temperature Profiles'!L85+0.9301)*1000,0))</f>
        <v>196.75100000000018</v>
      </c>
      <c r="DH86" s="110">
        <v>0.84375</v>
      </c>
      <c r="DI86" s="209">
        <f>IF('Temperature Profiles'!L85&gt;18,(0.0043*('Temperature Profiles'!L85^2)-0.1116*'Temperature Profiles'!L85+0.6576)*1000,IF('Temperature Profiles'!L85&lt;17,(0.0053*('Temperature Profiles'!L85^2)-0.1876*'Temperature Profiles'!L85+1.7649)*1000,0))</f>
        <v>257.5886319444445</v>
      </c>
      <c r="DJ86" s="110">
        <v>0.84375</v>
      </c>
      <c r="DK86" s="211">
        <f>IF('Temperature Profiles'!L85&gt;18,(0.0057*('Temperature Profiles'!L85^2)-0.1509*'Temperature Profiles'!L85+0.8935)*1000,IF('Temperature Profiles'!L85&lt;17,(0.0072*('Temperature Profiles'!L85^2)-0.254*'Temperature Profiles'!L85+2.3952)*1000,0))</f>
        <v>299.03289583333327</v>
      </c>
      <c r="DL86" s="21"/>
      <c r="DM86" s="110">
        <v>0.84375</v>
      </c>
      <c r="DN86" s="209">
        <f>IF('Temperature Profiles'!Q85&gt;18,(0.0024*('Temperature Profiles'!Q85^2)-0.0581*'Temperature Profiles'!Q85+0.3293)*1000,IF('Temperature Profiles'!Q85&lt;17,(0.0022*('Temperature Profiles'!Q85^2)-0.0874*'Temperature Profiles'!Q85+0.9301)*1000,0))</f>
        <v>1008.9499999999991</v>
      </c>
      <c r="DO86" s="110">
        <v>0.84375</v>
      </c>
      <c r="DP86" s="209">
        <f>IF('Temperature Profiles'!Q85&gt;18,(0.0043*('Temperature Profiles'!Q85^2)-0.1116*'Temperature Profiles'!Q85+0.6576)*1000,IF('Temperature Profiles'!Q85&lt;17,(0.0053*('Temperature Profiles'!Q85^2)-0.1876*'Temperature Profiles'!Q85+1.7649)*1000,0))</f>
        <v>1628.9194444444429</v>
      </c>
      <c r="DQ86" s="110">
        <v>0.84375</v>
      </c>
      <c r="DR86" s="211">
        <f>IF('Temperature Profiles'!Q85&gt;18,(0.0057*('Temperature Profiles'!Q85^2)-0.1509*'Temperature Profiles'!Q85+0.8935)*1000,IF('Temperature Profiles'!Q85&lt;17,(0.0072*('Temperature Profiles'!Q85^2)-0.254*'Temperature Profiles'!Q85+2.3952)*1000,0))</f>
        <v>2083.7083333333317</v>
      </c>
      <c r="DS86" s="21"/>
      <c r="DT86" s="110">
        <v>0.84375</v>
      </c>
      <c r="DU86" s="209">
        <f>IF('Temperature Profiles'!V85&gt;18,(0.0024*('Temperature Profiles'!V85^2)-0.0581*'Temperature Profiles'!V85+0.3293)*1000,IF('Temperature Profiles'!V85&lt;17,(0.0022*('Temperature Profiles'!V85^2)-0.0874*'Temperature Profiles'!V85+0.9301)*1000,0))</f>
        <v>0</v>
      </c>
      <c r="DV86" s="110">
        <v>0.84375</v>
      </c>
      <c r="DW86" s="209">
        <f>IF('Temperature Profiles'!V85&gt;18,(0.0043*('Temperature Profiles'!V85^2)-0.1116*'Temperature Profiles'!V85+0.6576)*1000,IF('Temperature Profiles'!V85&lt;17,(0.0053*('Temperature Profiles'!V85^2)-0.1876*'Temperature Profiles'!V85+1.7649)*1000,0))</f>
        <v>0</v>
      </c>
      <c r="DX86" s="110">
        <v>0.84375</v>
      </c>
      <c r="DY86" s="211">
        <f>IF('Temperature Profiles'!V85&gt;18,(0.0057*('Temperature Profiles'!V85^2)-0.1509*'Temperature Profiles'!V85+0.8935)*1000,IF('Temperature Profiles'!V85&lt;17,(0.0072*('Temperature Profiles'!V85^2)-0.254*'Temperature Profiles'!V85+2.3952)*1000,0))</f>
        <v>0</v>
      </c>
      <c r="DZ86" s="21"/>
      <c r="EA86" s="110">
        <v>0.84375</v>
      </c>
      <c r="EB86" s="209">
        <f>IF('Temperature Profiles'!AA184&gt;18,(0.0024*('Temperature Profiles'!AA184^2)-0.0581*'Temperature Profiles'!AA184+0.3293)*1000,IF('Temperature Profiles'!AA184&lt;17,(0.0022*('Temperature Profiles'!AA184^2)-0.0874*'Temperature Profiles'!AA184+0.9301)*1000,0))</f>
        <v>551.92248611111097</v>
      </c>
      <c r="EC86" s="110">
        <v>0.84375</v>
      </c>
      <c r="ED86" s="209">
        <f>IF('Temperature Profiles'!AA184&gt;18,(0.0043*('Temperature Profiles'!AA184^2)-0.1116*'Temperature Profiles'!AA184+0.6576)*1000,IF('Temperature Profiles'!AA184&lt;17,(0.0053*('Temperature Profiles'!AA184^2)-0.1876*'Temperature Profiles'!AA184+1.7649)*1000,0))</f>
        <v>967.26970138888873</v>
      </c>
      <c r="EE86" s="110">
        <v>0.84375</v>
      </c>
      <c r="EF86" s="211">
        <f>IF('Temperature Profiles'!AA184&gt;18,(0.0057*('Temperature Profiles'!AA184^2)-0.1509*'Temperature Profiles'!AA184+0.8935)*1000,IF('Temperature Profiles'!AA184&lt;17,(0.0072*('Temperature Profiles'!AA184^2)-0.254*'Temperature Profiles'!AA184+2.3952)*1000,0))</f>
        <v>1315.8411666666664</v>
      </c>
      <c r="EG86" s="21"/>
      <c r="EH86" s="110">
        <v>0.84375</v>
      </c>
      <c r="EI86" s="211">
        <f>IF('Temperature Profiles'!AF85&gt;18,(0.0024*('Temperature Profiles'!AF85^2)-0.0581*'Temperature Profiles'!AF85+0.3293)*1000,IF('Temperature Profiles'!AF85&lt;17,(0.0022*('Temperature Profiles'!AF85^2)-0.0874*'Temperature Profiles'!AF85+0.9301)*1000,0))</f>
        <v>1149.4159999999995</v>
      </c>
      <c r="EJ86" s="110">
        <v>0.84375</v>
      </c>
      <c r="EK86" s="211">
        <f>IF('Temperature Profiles'!AF85&gt;18,(0.0043*('Temperature Profiles'!AF85^2)-0.1116*'Temperature Profiles'!AF85+0.6576)*1000,IF('Temperature Profiles'!AF85&lt;17,(0.0053*('Temperature Profiles'!AF85^2)-0.1876*'Temperature Profiles'!AF85+1.7649)*1000,0))</f>
        <v>1870.3319999999994</v>
      </c>
      <c r="EL86" s="110">
        <v>0.84375</v>
      </c>
      <c r="EM86" s="211">
        <f>IF('Temperature Profiles'!AF85&gt;18,(0.0057*('Temperature Profiles'!AF85^2)-0.1509*'Temperature Profiles'!AF85+0.8935)*1000,IF('Temperature Profiles'!AF85&lt;17,(0.0072*('Temperature Profiles'!AF85^2)-0.254*'Temperature Profiles'!AF85+2.3952)*1000,0))</f>
        <v>2399.6679999999997</v>
      </c>
      <c r="EN86" s="21"/>
      <c r="EO86" s="110">
        <v>0.84375</v>
      </c>
      <c r="EP86" s="211"/>
      <c r="EQ86" s="21"/>
      <c r="ER86" s="110">
        <v>0.84375</v>
      </c>
      <c r="ES86" s="264"/>
      <c r="EU86" s="260">
        <v>0.84375</v>
      </c>
      <c r="EV86" s="209">
        <f>IF('Temperature Profiles'!AA184&gt;18,(0.0024*('Temperature Profiles'!AA184^2)-0.0581*'Temperature Profiles'!AA184+0.3293)*1000,IF('Temperature Profiles'!AA184&lt;17,(0.0022*('Temperature Profiles'!AA184^2)-0.0874*'Temperature Profiles'!AA184+0.9301)*1000,0))</f>
        <v>551.92248611111097</v>
      </c>
      <c r="EW86" s="110">
        <v>0.84375</v>
      </c>
      <c r="EX86" s="209">
        <f>IF('Temperature Profiles'!AA184&gt;18,(0.0043*('Temperature Profiles'!AA184^2)-0.1116*'Temperature Profiles'!AA184+0.6576)*1000,IF('Temperature Profiles'!AA184&lt;17,(0.0053*('Temperature Profiles'!AA184^2)-0.1876*'Temperature Profiles'!AA184+1.7649)*1000,0))</f>
        <v>967.26970138888873</v>
      </c>
      <c r="EY86" s="110">
        <v>0.84375</v>
      </c>
      <c r="EZ86" s="264">
        <f>IF('Temperature Profiles'!AA184&gt;18,(0.0057*('Temperature Profiles'!AA184^2)-0.1509*'Temperature Profiles'!AA184+0.8935)*1000,IF('Temperature Profiles'!AA184&lt;17,(0.0072*('Temperature Profiles'!AA184^2)-0.254*'Temperature Profiles'!AA184+2.3952)*1000,0))</f>
        <v>1315.8411666666664</v>
      </c>
    </row>
    <row r="87" spans="1:156" x14ac:dyDescent="0.3">
      <c r="A87" s="108">
        <v>0.84375</v>
      </c>
      <c r="B87" s="226">
        <f t="shared" si="4"/>
        <v>0</v>
      </c>
      <c r="C87" s="21">
        <f t="shared" si="5"/>
        <v>267.33333333333337</v>
      </c>
      <c r="D87" s="20">
        <f t="shared" si="6"/>
        <v>1315.8411666666664</v>
      </c>
      <c r="E87" s="20">
        <f t="shared" si="7"/>
        <v>1315.8411666666664</v>
      </c>
      <c r="G87" s="260">
        <v>0.85416666666666696</v>
      </c>
      <c r="H87" s="211">
        <f>IF('Temperature Profiles'!G86&gt;17,(0.0029*('Temperature Profiles'!G86^2) - 0.0863*'Temperature Profiles'!G86 + 0.6808)*1000,0)</f>
        <v>115.54431249999986</v>
      </c>
      <c r="I87" s="110">
        <v>0.85416666666666696</v>
      </c>
      <c r="J87" s="211">
        <f>IF('Temperature Profiles'!G86&gt;17,(0.005*('Temperature Profiles'!G86^2) - 0.1517*'Temperature Profiles'!G86 + 1.1702)*1000,0)</f>
        <v>137.41062499999978</v>
      </c>
      <c r="K87" s="110">
        <v>0.85416666666666696</v>
      </c>
      <c r="L87" s="211">
        <f>IF('Temperature Profiles'!G86&gt;17,(0.0068*('Temperature Profiles'!G86^2) - 0.2129*'Temperature Profiles'!G86 + 1.6904)*1000,0)</f>
        <v>153.88174999999916</v>
      </c>
      <c r="M87" s="21"/>
      <c r="N87" s="110">
        <v>0.85416666666666696</v>
      </c>
      <c r="O87" s="211">
        <f>IF('Temperature Profiles'!L86&gt;17,(0.0029*('Temperature Profiles'!L86^2) - 0.0863*'Temperature Profiles'!L86 + 0.6808)*1000,0)</f>
        <v>172.0277013888888</v>
      </c>
      <c r="P87" s="110">
        <v>0.85416666666666696</v>
      </c>
      <c r="Q87" s="211">
        <f>IF('Temperature Profiles'!L86&gt;17,(0.005*('Temperature Profiles'!L86^2) - 0.1517*'Temperature Profiles'!L86 + 1.1702)*1000,0)</f>
        <v>230.04784722222249</v>
      </c>
      <c r="R87" s="110">
        <v>0.85416666666666696</v>
      </c>
      <c r="S87" s="211">
        <f>IF('Temperature Profiles'!L86&gt;17,(0.0068*('Temperature Profiles'!L86^2) - 0.2129*'Temperature Profiles'!L86 + 1.6904)*1000,0)</f>
        <v>269.1079722222218</v>
      </c>
      <c r="T87" s="21"/>
      <c r="U87" s="110">
        <v>0.85416666666666696</v>
      </c>
      <c r="V87" s="211">
        <f>IF('Temperature Profiles'!Q86&gt;17,(0.0029*('Temperature Profiles'!Q86^2) - 0.0863*'Temperature Profiles'!Q86 + 0.6808)*1000,0)</f>
        <v>973.56388888888762</v>
      </c>
      <c r="W87" s="110">
        <v>0.85416666666666696</v>
      </c>
      <c r="X87" s="211">
        <f>IF('Temperature Profiles'!Q86&gt;17,(0.005*('Temperature Profiles'!Q86^2) - 0.1517*'Temperature Profiles'!Q86 + 1.1702)*1000,0)</f>
        <v>1579.5222222222214</v>
      </c>
      <c r="Y87" s="110">
        <v>0.85416666666666696</v>
      </c>
      <c r="Z87" s="211">
        <f>IF('Temperature Profiles'!Q86&gt;17,(0.0068*('Temperature Profiles'!Q86^2) - 0.2129*'Temperature Profiles'!Q86 + 1.6904)*1000,0)</f>
        <v>2030.7722222222196</v>
      </c>
      <c r="AA87" s="21"/>
      <c r="AB87" s="110">
        <v>0.85416666666666696</v>
      </c>
      <c r="AC87" s="211">
        <f>IF('Temperature Profiles'!V86&gt;17,(0.0029*('Temperature Profiles'!V86^2) - 0.0863*'Temperature Profiles'!V86 + 0.6808)*1000,0)</f>
        <v>63.495999999999775</v>
      </c>
      <c r="AD87" s="110">
        <v>0.85416666666666696</v>
      </c>
      <c r="AE87" s="211">
        <f>IF('Temperature Profiles'!V86&gt;17,(0.005*('Temperature Profiles'!V86^2) - 0.1517*'Temperature Profiles'!V86 + 1.1702)*1000,0)</f>
        <v>54.140000000000079</v>
      </c>
      <c r="AF87" s="110">
        <v>0.85416666666666696</v>
      </c>
      <c r="AG87" s="211">
        <f>IF('Temperature Profiles'!V86&gt;17,(0.0068*('Temperature Profiles'!V86^2) - 0.2129*'Temperature Profiles'!V86 + 1.6904)*1000,0)</f>
        <v>55.291999999999675</v>
      </c>
      <c r="AH87" s="21"/>
      <c r="AI87" s="110">
        <v>0.85416666666666696</v>
      </c>
      <c r="AJ87" s="211">
        <f>IF('Temperature Profiles'!AA86&gt;17,(0.0029*('Temperature Profiles'!AA86^2) - 0.0863*'Temperature Profiles'!AA86 + 0.6808)*1000,0)</f>
        <v>0</v>
      </c>
      <c r="AK87" s="110">
        <v>0.85416666666666696</v>
      </c>
      <c r="AL87" s="211">
        <f>IF('Temperature Profiles'!AA86&gt;17,(0.005*('Temperature Profiles'!AA86^2) - 0.1517*'Temperature Profiles'!AA86 + 1.1701)*1000,0)</f>
        <v>0</v>
      </c>
      <c r="AM87" s="110">
        <v>0.85416666666666696</v>
      </c>
      <c r="AN87" s="211">
        <f>IF('Temperature Profiles'!AA86&gt;17,(0.0068*('Temperature Profiles'!AA86^2) - 0.2129*'Temperature Profiles'!AA86 + 1.6904)*1000,0)</f>
        <v>0</v>
      </c>
      <c r="AO87" s="21"/>
      <c r="AP87" s="110">
        <v>0.85416666666666696</v>
      </c>
      <c r="AQ87" s="211">
        <f>IF('Temperature Profiles'!AF86&gt;17,(0.0029*('Temperature Profiles'!AF86^2) - 0.0863*'Temperature Profiles'!AF86 + 0.6808)*1000,0)</f>
        <v>1121.2959999999996</v>
      </c>
      <c r="AR87" s="110">
        <v>0.85416666666666696</v>
      </c>
      <c r="AS87" s="183">
        <f>IF('Temperature Profiles'!AF86&gt;17,(0.005*('Temperature Profiles'!AF86^2) - 0.1517*'Temperature Profiles'!AF86 + 1.1702)*1000,0)</f>
        <v>1830.2599999999995</v>
      </c>
      <c r="AT87" s="110">
        <v>0.85416666666666696</v>
      </c>
      <c r="AU87" s="211">
        <f>IF('Temperature Profiles'!AF86&gt;17,(0.0068*('Temperature Profiles'!AF86^2) - 0.2129*'Temperature Profiles'!AF86 + 1.6904)*1000,0)</f>
        <v>2362.771999999999</v>
      </c>
      <c r="AV87" s="21"/>
      <c r="AW87" s="110">
        <v>0.85416666666666696</v>
      </c>
      <c r="AX87" s="211"/>
      <c r="AY87" s="21"/>
      <c r="AZ87" s="110">
        <v>0.85416666666666696</v>
      </c>
      <c r="BA87" s="264"/>
      <c r="BC87" s="260">
        <v>0.85416666666666696</v>
      </c>
      <c r="BD87" s="211">
        <f>IF('Temperature Profiles'!G86&lt;16,(-0.0037*'Temperature Profiles'!G86+0.0664)*1000,0)</f>
        <v>0</v>
      </c>
      <c r="BE87" s="110">
        <v>0.85416666666666696</v>
      </c>
      <c r="BF87" s="211">
        <f>IF('Temperature Profiles'!G86&lt;16,(-0.0076*'Temperature Profiles'!G86+0.1245)*1000,0)</f>
        <v>0</v>
      </c>
      <c r="BG87" s="110">
        <v>0.85416666666666696</v>
      </c>
      <c r="BH87" s="211">
        <f>IF('Temperature Profiles'!G86&lt;16,(-0.01*'Temperature Profiles'!G86+0.167)*1000,0)</f>
        <v>0</v>
      </c>
      <c r="BI87" s="21"/>
      <c r="BJ87" s="110">
        <v>0.85416666666666696</v>
      </c>
      <c r="BK87" s="211">
        <f>IF('Temperature Profiles'!L86&lt;16,(-0.0037*'Temperature Profiles'!L86+0.0664)*1000,0)</f>
        <v>0</v>
      </c>
      <c r="BL87" s="110">
        <v>0.85416666666666696</v>
      </c>
      <c r="BM87" s="211">
        <f>IF('Temperature Profiles'!L86&lt;16,(-0.0076*'Temperature Profiles'!L86+0.1245)*1000,0)</f>
        <v>0</v>
      </c>
      <c r="BN87" s="110">
        <v>0.85416666666666696</v>
      </c>
      <c r="BO87" s="211">
        <f>IF('Temperature Profiles'!L86&lt;16,(-0.01*'Temperature Profiles'!L86+0.167)*1000,0)</f>
        <v>0</v>
      </c>
      <c r="BP87" s="21"/>
      <c r="BQ87" s="110">
        <v>0.85416666666666696</v>
      </c>
      <c r="BR87" s="211">
        <f>IF('Temperature Profiles'!Q86&lt;16,(-0.0037*'Temperature Profiles'!Q86+0.0664)*1000,0)</f>
        <v>0</v>
      </c>
      <c r="BS87" s="110">
        <v>0.85416666666666696</v>
      </c>
      <c r="BT87" s="211">
        <f>IF('Temperature Profiles'!Q86&lt;16,(-0.0076*'Temperature Profiles'!Q86+0.1245)*1000,0)</f>
        <v>0</v>
      </c>
      <c r="BU87" s="110">
        <v>0.85416666666666696</v>
      </c>
      <c r="BV87" s="211">
        <f>IF('Temperature Profiles'!Q86&lt;16,(-0.01*'Temperature Profiles'!Q86+0.167)*1000,0)</f>
        <v>0</v>
      </c>
      <c r="BW87" s="21"/>
      <c r="BX87" s="110">
        <v>0.85416666666666696</v>
      </c>
      <c r="BY87" s="211">
        <f>IF('Temperature Profiles'!V86&lt;16,(-0.0037*'Temperature Profiles'!V86+0.0664)*1000,0)</f>
        <v>0</v>
      </c>
      <c r="BZ87" s="110">
        <v>0.85416666666666696</v>
      </c>
      <c r="CA87" s="211">
        <f>IF('Temperature Profiles'!V86&lt;16,(-0.0076*'Temperature Profiles'!V86+0.1245)*1000,0)</f>
        <v>0</v>
      </c>
      <c r="CB87" s="110">
        <v>0.85416666666666696</v>
      </c>
      <c r="CC87" s="211">
        <f>IF('Temperature Profiles'!V86&lt;16,(-0.01*'Temperature Profiles'!V86+0.167)*1000,0)</f>
        <v>0</v>
      </c>
      <c r="CD87" s="21"/>
      <c r="CE87" s="110">
        <v>0.85416666666666696</v>
      </c>
      <c r="CF87" s="211">
        <f>IF('Temperature Profiles'!AA86&lt;16,(-0.0037*'Temperature Profiles'!AA86+0.0664)*1000,0)</f>
        <v>103.52333333333334</v>
      </c>
      <c r="CG87" s="110">
        <v>0.85416666666666696</v>
      </c>
      <c r="CH87" s="178">
        <f>IF('Temperature Profiles'!AA86&lt;16,(-0.0076*'Temperature Profiles'!AA86+0.1245)*1000,0)</f>
        <v>200.75333333333333</v>
      </c>
      <c r="CI87" s="110">
        <v>0.85416666666666696</v>
      </c>
      <c r="CJ87" s="211">
        <f>IF('Temperature Profiles'!AA86&lt;16,(-0.01*'Temperature Profiles'!AA86+0.167)*1000,0)</f>
        <v>267.33333333333337</v>
      </c>
      <c r="CK87" s="21"/>
      <c r="CL87" s="110">
        <v>0.85416666666666696</v>
      </c>
      <c r="CM87" s="211">
        <f>IF('Temperature Profiles'!AF86&lt;16,(-0.0037*'Temperature Profiles'!AF86+0.0664)*1000,0)</f>
        <v>0</v>
      </c>
      <c r="CN87" s="110">
        <v>0.85416666666666696</v>
      </c>
      <c r="CO87" s="178">
        <f>IF('Temperature Profiles'!AF86&lt;16,(-0.0076*'Temperature Profiles'!AF86+0.1245)*1000,0)</f>
        <v>0</v>
      </c>
      <c r="CP87" s="110">
        <v>0.85416666666666696</v>
      </c>
      <c r="CQ87" s="211">
        <f>IF('Temperature Profiles'!AF86&lt;16,(-0.01*'Temperature Profiles'!AF86+0.167)*1000,0)</f>
        <v>0</v>
      </c>
      <c r="CR87" s="21"/>
      <c r="CS87" s="110">
        <v>0.85416666666666696</v>
      </c>
      <c r="CT87" s="211"/>
      <c r="CU87" s="21"/>
      <c r="CV87" s="110">
        <v>0.85416666666666696</v>
      </c>
      <c r="CW87" s="264"/>
      <c r="CY87" s="260">
        <v>0.85416666666666696</v>
      </c>
      <c r="CZ87" s="178">
        <f>IF('Temperature Profiles'!G86&gt;18,(0.0024*('Temperature Profiles'!G86^2)-0.0581*'Temperature Profiles'!G86+0.3293)*1000,IF('Temperature Profiles'!G86&lt;17,(0.0022*('Temperature Profiles'!G86^2)-0.0874*'Temperature Profiles'!G86+0.9301)*1000,0))</f>
        <v>128.24900000000011</v>
      </c>
      <c r="DA87" s="110">
        <v>0.85416666666666696</v>
      </c>
      <c r="DB87" s="263">
        <f>IF('Temperature Profiles'!G86&gt;18,(0.0043*('Temperature Profiles'!G86^2)-0.1116*'Temperature Profiles'!G86+0.6576)*1000,IF('Temperature Profiles'!G86&lt;17,(0.0053*('Temperature Profiles'!G86^2)-0.1876*'Temperature Profiles'!G86+1.7649)*1000,0))</f>
        <v>147.11268749999994</v>
      </c>
      <c r="DC87" s="110">
        <v>0.85416666666666696</v>
      </c>
      <c r="DD87" s="211">
        <f>IF('Temperature Profiles'!G86&gt;18,(0.0057*('Temperature Profiles'!G86^2)-0.1509*'Temperature Profiles'!G86+0.8935)*1000,IF('Temperature Profiles'!G86&lt;17,(0.0072*('Temperature Profiles'!G86^2)-0.254*'Temperature Profiles'!G86+2.3952)*1000,0))</f>
        <v>157.43106250000017</v>
      </c>
      <c r="DE87" s="21"/>
      <c r="DF87" s="110">
        <v>0.85416666666666696</v>
      </c>
      <c r="DG87" s="209">
        <f>IF('Temperature Profiles'!L86&gt;18,(0.0024*('Temperature Profiles'!L86^2)-0.0581*'Temperature Profiles'!L86+0.3293)*1000,IF('Temperature Profiles'!L86&lt;17,(0.0022*('Temperature Profiles'!L86^2)-0.0874*'Temperature Profiles'!L86+0.9301)*1000,0))</f>
        <v>196.75100000000018</v>
      </c>
      <c r="DH87" s="110">
        <v>0.85416666666666696</v>
      </c>
      <c r="DI87" s="209">
        <f>IF('Temperature Profiles'!L86&gt;18,(0.0043*('Temperature Profiles'!L86^2)-0.1116*'Temperature Profiles'!L86+0.6576)*1000,IF('Temperature Profiles'!L86&lt;17,(0.0053*('Temperature Profiles'!L86^2)-0.1876*'Temperature Profiles'!L86+1.7649)*1000,0))</f>
        <v>257.5886319444445</v>
      </c>
      <c r="DJ87" s="110">
        <v>0.85416666666666696</v>
      </c>
      <c r="DK87" s="211">
        <f>IF('Temperature Profiles'!L86&gt;18,(0.0057*('Temperature Profiles'!L86^2)-0.1509*'Temperature Profiles'!L86+0.8935)*1000,IF('Temperature Profiles'!L86&lt;17,(0.0072*('Temperature Profiles'!L86^2)-0.254*'Temperature Profiles'!L86+2.3952)*1000,0))</f>
        <v>299.03289583333327</v>
      </c>
      <c r="DL87" s="21"/>
      <c r="DM87" s="110">
        <v>0.85416666666666696</v>
      </c>
      <c r="DN87" s="209">
        <f>IF('Temperature Profiles'!Q86&gt;18,(0.0024*('Temperature Profiles'!Q86^2)-0.0581*'Temperature Profiles'!Q86+0.3293)*1000,IF('Temperature Profiles'!Q86&lt;17,(0.0022*('Temperature Profiles'!Q86^2)-0.0874*'Temperature Profiles'!Q86+0.9301)*1000,0))</f>
        <v>1008.9499999999991</v>
      </c>
      <c r="DO87" s="110">
        <v>0.85416666666666696</v>
      </c>
      <c r="DP87" s="209">
        <f>IF('Temperature Profiles'!Q86&gt;18,(0.0043*('Temperature Profiles'!Q86^2)-0.1116*'Temperature Profiles'!Q86+0.6576)*1000,IF('Temperature Profiles'!Q86&lt;17,(0.0053*('Temperature Profiles'!Q86^2)-0.1876*'Temperature Profiles'!Q86+1.7649)*1000,0))</f>
        <v>1628.9194444444429</v>
      </c>
      <c r="DQ87" s="110">
        <v>0.85416666666666696</v>
      </c>
      <c r="DR87" s="211">
        <f>IF('Temperature Profiles'!Q86&gt;18,(0.0057*('Temperature Profiles'!Q86^2)-0.1509*'Temperature Profiles'!Q86+0.8935)*1000,IF('Temperature Profiles'!Q86&lt;17,(0.0072*('Temperature Profiles'!Q86^2)-0.254*'Temperature Profiles'!Q86+2.3952)*1000,0))</f>
        <v>2083.7083333333317</v>
      </c>
      <c r="DS87" s="21"/>
      <c r="DT87" s="110">
        <v>0.85416666666666696</v>
      </c>
      <c r="DU87" s="209">
        <f>IF('Temperature Profiles'!V86&gt;18,(0.0024*('Temperature Profiles'!V86^2)-0.0581*'Temperature Profiles'!V86+0.3293)*1000,IF('Temperature Profiles'!V86&lt;17,(0.0022*('Temperature Profiles'!V86^2)-0.0874*'Temperature Profiles'!V86+0.9301)*1000,0))</f>
        <v>0</v>
      </c>
      <c r="DV87" s="110">
        <v>0.85416666666666696</v>
      </c>
      <c r="DW87" s="209">
        <f>IF('Temperature Profiles'!V86&gt;18,(0.0043*('Temperature Profiles'!V86^2)-0.1116*'Temperature Profiles'!V86+0.6576)*1000,IF('Temperature Profiles'!V86&lt;17,(0.0053*('Temperature Profiles'!V86^2)-0.1876*'Temperature Profiles'!V86+1.7649)*1000,0))</f>
        <v>0</v>
      </c>
      <c r="DX87" s="110">
        <v>0.85416666666666696</v>
      </c>
      <c r="DY87" s="211">
        <f>IF('Temperature Profiles'!V86&gt;18,(0.0057*('Temperature Profiles'!V86^2)-0.1509*'Temperature Profiles'!V86+0.8935)*1000,IF('Temperature Profiles'!V86&lt;17,(0.0072*('Temperature Profiles'!V86^2)-0.254*'Temperature Profiles'!V86+2.3952)*1000,0))</f>
        <v>0</v>
      </c>
      <c r="DZ87" s="21"/>
      <c r="EA87" s="110">
        <v>0.85416666666666696</v>
      </c>
      <c r="EB87" s="209">
        <f>IF('Temperature Profiles'!AA185&gt;18,(0.0024*('Temperature Profiles'!AA185^2)-0.0581*'Temperature Profiles'!AA185+0.3293)*1000,IF('Temperature Profiles'!AA185&lt;17,(0.0022*('Temperature Profiles'!AA185^2)-0.0874*'Temperature Profiles'!AA185+0.9301)*1000,0))</f>
        <v>551.92248611111097</v>
      </c>
      <c r="EC87" s="110">
        <v>0.85416666666666696</v>
      </c>
      <c r="ED87" s="209">
        <f>IF('Temperature Profiles'!AA185&gt;18,(0.0043*('Temperature Profiles'!AA185^2)-0.1116*'Temperature Profiles'!AA185+0.6576)*1000,IF('Temperature Profiles'!AA185&lt;17,(0.0053*('Temperature Profiles'!AA185^2)-0.1876*'Temperature Profiles'!AA185+1.7649)*1000,0))</f>
        <v>967.26970138888873</v>
      </c>
      <c r="EE87" s="110">
        <v>0.85416666666666696</v>
      </c>
      <c r="EF87" s="211">
        <f>IF('Temperature Profiles'!AA185&gt;18,(0.0057*('Temperature Profiles'!AA185^2)-0.1509*'Temperature Profiles'!AA185+0.8935)*1000,IF('Temperature Profiles'!AA185&lt;17,(0.0072*('Temperature Profiles'!AA185^2)-0.254*'Temperature Profiles'!AA185+2.3952)*1000,0))</f>
        <v>1315.8411666666664</v>
      </c>
      <c r="EG87" s="21"/>
      <c r="EH87" s="110">
        <v>0.85416666666666696</v>
      </c>
      <c r="EI87" s="211">
        <f>IF('Temperature Profiles'!AF86&gt;18,(0.0024*('Temperature Profiles'!AF86^2)-0.0581*'Temperature Profiles'!AF86+0.3293)*1000,IF('Temperature Profiles'!AF86&lt;17,(0.0022*('Temperature Profiles'!AF86^2)-0.0874*'Temperature Profiles'!AF86+0.9301)*1000,0))</f>
        <v>1149.4159999999995</v>
      </c>
      <c r="EJ87" s="110">
        <v>0.85416666666666696</v>
      </c>
      <c r="EK87" s="211">
        <f>IF('Temperature Profiles'!AF86&gt;18,(0.0043*('Temperature Profiles'!AF86^2)-0.1116*'Temperature Profiles'!AF86+0.6576)*1000,IF('Temperature Profiles'!AF86&lt;17,(0.0053*('Temperature Profiles'!AF86^2)-0.1876*'Temperature Profiles'!AF86+1.7649)*1000,0))</f>
        <v>1870.3319999999994</v>
      </c>
      <c r="EL87" s="110">
        <v>0.85416666666666696</v>
      </c>
      <c r="EM87" s="211">
        <f>IF('Temperature Profiles'!AF86&gt;18,(0.0057*('Temperature Profiles'!AF86^2)-0.1509*'Temperature Profiles'!AF86+0.8935)*1000,IF('Temperature Profiles'!AF86&lt;17,(0.0072*('Temperature Profiles'!AF86^2)-0.254*'Temperature Profiles'!AF86+2.3952)*1000,0))</f>
        <v>2399.6679999999997</v>
      </c>
      <c r="EN87" s="21"/>
      <c r="EO87" s="110">
        <v>0.85416666666666696</v>
      </c>
      <c r="EP87" s="211"/>
      <c r="EQ87" s="21"/>
      <c r="ER87" s="110">
        <v>0.85416666666666696</v>
      </c>
      <c r="ES87" s="264"/>
      <c r="EU87" s="260">
        <v>0.85416666666666696</v>
      </c>
      <c r="EV87" s="209">
        <f>IF('Temperature Profiles'!AA185&gt;18,(0.0024*('Temperature Profiles'!AA185^2)-0.0581*'Temperature Profiles'!AA185+0.3293)*1000,IF('Temperature Profiles'!AA185&lt;17,(0.0022*('Temperature Profiles'!AA185^2)-0.0874*'Temperature Profiles'!AA185+0.9301)*1000,0))</f>
        <v>551.92248611111097</v>
      </c>
      <c r="EW87" s="110">
        <v>0.85416666666666696</v>
      </c>
      <c r="EX87" s="209">
        <f>IF('Temperature Profiles'!AA185&gt;18,(0.0043*('Temperature Profiles'!AA185^2)-0.1116*'Temperature Profiles'!AA185+0.6576)*1000,IF('Temperature Profiles'!AA185&lt;17,(0.0053*('Temperature Profiles'!AA185^2)-0.1876*'Temperature Profiles'!AA185+1.7649)*1000,0))</f>
        <v>967.26970138888873</v>
      </c>
      <c r="EY87" s="110">
        <v>0.85416666666666696</v>
      </c>
      <c r="EZ87" s="264">
        <f>IF('Temperature Profiles'!AA185&gt;18,(0.0057*('Temperature Profiles'!AA185^2)-0.1509*'Temperature Profiles'!AA185+0.8935)*1000,IF('Temperature Profiles'!AA185&lt;17,(0.0072*('Temperature Profiles'!AA185^2)-0.254*'Temperature Profiles'!AA185+2.3952)*1000,0))</f>
        <v>1315.8411666666664</v>
      </c>
    </row>
    <row r="88" spans="1:156" x14ac:dyDescent="0.3">
      <c r="A88" s="108">
        <v>0.85416666666666696</v>
      </c>
      <c r="B88" s="226">
        <f t="shared" si="4"/>
        <v>0</v>
      </c>
      <c r="C88" s="21">
        <f t="shared" si="5"/>
        <v>267.33333333333337</v>
      </c>
      <c r="D88" s="20">
        <f t="shared" si="6"/>
        <v>1315.8411666666664</v>
      </c>
      <c r="E88" s="20">
        <f t="shared" si="7"/>
        <v>1315.8411666666664</v>
      </c>
      <c r="G88" s="260">
        <v>0.86458333333333304</v>
      </c>
      <c r="H88" s="211">
        <f>IF('Temperature Profiles'!G87&gt;17,(0.0029*('Temperature Profiles'!G87^2) - 0.0863*'Temperature Profiles'!G87 + 0.6808)*1000,0)</f>
        <v>115.54431249999986</v>
      </c>
      <c r="I88" s="110">
        <v>0.86458333333333304</v>
      </c>
      <c r="J88" s="211">
        <f>IF('Temperature Profiles'!G87&gt;17,(0.005*('Temperature Profiles'!G87^2) - 0.1517*'Temperature Profiles'!G87 + 1.1702)*1000,0)</f>
        <v>137.41062499999978</v>
      </c>
      <c r="K88" s="110">
        <v>0.86458333333333304</v>
      </c>
      <c r="L88" s="211">
        <f>IF('Temperature Profiles'!G87&gt;17,(0.0068*('Temperature Profiles'!G87^2) - 0.2129*'Temperature Profiles'!G87 + 1.6904)*1000,0)</f>
        <v>153.88174999999916</v>
      </c>
      <c r="M88" s="21"/>
      <c r="N88" s="110">
        <v>0.86458333333333304</v>
      </c>
      <c r="O88" s="211">
        <f>IF('Temperature Profiles'!L87&gt;17,(0.0029*('Temperature Profiles'!L87^2) - 0.0863*'Temperature Profiles'!L87 + 0.6808)*1000,0)</f>
        <v>172.0277013888888</v>
      </c>
      <c r="P88" s="110">
        <v>0.86458333333333304</v>
      </c>
      <c r="Q88" s="211">
        <f>IF('Temperature Profiles'!L87&gt;17,(0.005*('Temperature Profiles'!L87^2) - 0.1517*'Temperature Profiles'!L87 + 1.1702)*1000,0)</f>
        <v>230.04784722222249</v>
      </c>
      <c r="R88" s="110">
        <v>0.86458333333333304</v>
      </c>
      <c r="S88" s="211">
        <f>IF('Temperature Profiles'!L87&gt;17,(0.0068*('Temperature Profiles'!L87^2) - 0.2129*'Temperature Profiles'!L87 + 1.6904)*1000,0)</f>
        <v>269.1079722222218</v>
      </c>
      <c r="T88" s="21"/>
      <c r="U88" s="110">
        <v>0.86458333333333304</v>
      </c>
      <c r="V88" s="211">
        <f>IF('Temperature Profiles'!Q87&gt;17,(0.0029*('Temperature Profiles'!Q87^2) - 0.0863*'Temperature Profiles'!Q87 + 0.6808)*1000,0)</f>
        <v>973.56388888888762</v>
      </c>
      <c r="W88" s="110">
        <v>0.86458333333333304</v>
      </c>
      <c r="X88" s="211">
        <f>IF('Temperature Profiles'!Q87&gt;17,(0.005*('Temperature Profiles'!Q87^2) - 0.1517*'Temperature Profiles'!Q87 + 1.1702)*1000,0)</f>
        <v>1579.5222222222214</v>
      </c>
      <c r="Y88" s="110">
        <v>0.86458333333333304</v>
      </c>
      <c r="Z88" s="211">
        <f>IF('Temperature Profiles'!Q87&gt;17,(0.0068*('Temperature Profiles'!Q87^2) - 0.2129*'Temperature Profiles'!Q87 + 1.6904)*1000,0)</f>
        <v>2030.7722222222196</v>
      </c>
      <c r="AA88" s="21"/>
      <c r="AB88" s="110">
        <v>0.86458333333333304</v>
      </c>
      <c r="AC88" s="211">
        <f>IF('Temperature Profiles'!V87&gt;17,(0.0029*('Temperature Profiles'!V87^2) - 0.0863*'Temperature Profiles'!V87 + 0.6808)*1000,0)</f>
        <v>63.495999999999775</v>
      </c>
      <c r="AD88" s="110">
        <v>0.86458333333333304</v>
      </c>
      <c r="AE88" s="211">
        <f>IF('Temperature Profiles'!V87&gt;17,(0.005*('Temperature Profiles'!V87^2) - 0.1517*'Temperature Profiles'!V87 + 1.1702)*1000,0)</f>
        <v>54.140000000000079</v>
      </c>
      <c r="AF88" s="110">
        <v>0.86458333333333304</v>
      </c>
      <c r="AG88" s="211">
        <f>IF('Temperature Profiles'!V87&gt;17,(0.0068*('Temperature Profiles'!V87^2) - 0.2129*'Temperature Profiles'!V87 + 1.6904)*1000,0)</f>
        <v>55.291999999999675</v>
      </c>
      <c r="AH88" s="21"/>
      <c r="AI88" s="110">
        <v>0.86458333333333304</v>
      </c>
      <c r="AJ88" s="211">
        <f>IF('Temperature Profiles'!AA87&gt;17,(0.0029*('Temperature Profiles'!AA87^2) - 0.0863*'Temperature Profiles'!AA87 + 0.6808)*1000,0)</f>
        <v>0</v>
      </c>
      <c r="AK88" s="110">
        <v>0.86458333333333304</v>
      </c>
      <c r="AL88" s="211">
        <f>IF('Temperature Profiles'!AA87&gt;17,(0.005*('Temperature Profiles'!AA87^2) - 0.1517*'Temperature Profiles'!AA87 + 1.1701)*1000,0)</f>
        <v>0</v>
      </c>
      <c r="AM88" s="110">
        <v>0.86458333333333304</v>
      </c>
      <c r="AN88" s="211">
        <f>IF('Temperature Profiles'!AA87&gt;17,(0.0068*('Temperature Profiles'!AA87^2) - 0.2129*'Temperature Profiles'!AA87 + 1.6904)*1000,0)</f>
        <v>0</v>
      </c>
      <c r="AO88" s="21"/>
      <c r="AP88" s="110">
        <v>0.86458333333333304</v>
      </c>
      <c r="AQ88" s="211">
        <f>IF('Temperature Profiles'!AF87&gt;17,(0.0029*('Temperature Profiles'!AF87^2) - 0.0863*'Temperature Profiles'!AF87 + 0.6808)*1000,0)</f>
        <v>1121.2959999999996</v>
      </c>
      <c r="AR88" s="110">
        <v>0.86458333333333304</v>
      </c>
      <c r="AS88" s="183">
        <f>IF('Temperature Profiles'!AF87&gt;17,(0.005*('Temperature Profiles'!AF87^2) - 0.1517*'Temperature Profiles'!AF87 + 1.1702)*1000,0)</f>
        <v>1830.2599999999995</v>
      </c>
      <c r="AT88" s="110">
        <v>0.86458333333333304</v>
      </c>
      <c r="AU88" s="211">
        <f>IF('Temperature Profiles'!AF87&gt;17,(0.0068*('Temperature Profiles'!AF87^2) - 0.2129*'Temperature Profiles'!AF87 + 1.6904)*1000,0)</f>
        <v>2362.771999999999</v>
      </c>
      <c r="AV88" s="21"/>
      <c r="AW88" s="110">
        <v>0.86458333333333304</v>
      </c>
      <c r="AX88" s="211"/>
      <c r="AY88" s="21"/>
      <c r="AZ88" s="110">
        <v>0.86458333333333304</v>
      </c>
      <c r="BA88" s="264"/>
      <c r="BC88" s="260">
        <v>0.86458333333333304</v>
      </c>
      <c r="BD88" s="211">
        <f>IF('Temperature Profiles'!G87&lt;16,(-0.0037*'Temperature Profiles'!G87+0.0664)*1000,0)</f>
        <v>0</v>
      </c>
      <c r="BE88" s="110">
        <v>0.86458333333333304</v>
      </c>
      <c r="BF88" s="211">
        <f>IF('Temperature Profiles'!G87&lt;16,(-0.0076*'Temperature Profiles'!G87+0.1245)*1000,0)</f>
        <v>0</v>
      </c>
      <c r="BG88" s="110">
        <v>0.86458333333333304</v>
      </c>
      <c r="BH88" s="211">
        <f>IF('Temperature Profiles'!G87&lt;16,(-0.01*'Temperature Profiles'!G87+0.167)*1000,0)</f>
        <v>0</v>
      </c>
      <c r="BI88" s="21"/>
      <c r="BJ88" s="110">
        <v>0.86458333333333304</v>
      </c>
      <c r="BK88" s="211">
        <f>IF('Temperature Profiles'!L87&lt;16,(-0.0037*'Temperature Profiles'!L87+0.0664)*1000,0)</f>
        <v>0</v>
      </c>
      <c r="BL88" s="110">
        <v>0.86458333333333304</v>
      </c>
      <c r="BM88" s="211">
        <f>IF('Temperature Profiles'!L87&lt;16,(-0.0076*'Temperature Profiles'!L87+0.1245)*1000,0)</f>
        <v>0</v>
      </c>
      <c r="BN88" s="110">
        <v>0.86458333333333304</v>
      </c>
      <c r="BO88" s="211">
        <f>IF('Temperature Profiles'!L87&lt;16,(-0.01*'Temperature Profiles'!L87+0.167)*1000,0)</f>
        <v>0</v>
      </c>
      <c r="BP88" s="21"/>
      <c r="BQ88" s="110">
        <v>0.86458333333333304</v>
      </c>
      <c r="BR88" s="211">
        <f>IF('Temperature Profiles'!Q87&lt;16,(-0.0037*'Temperature Profiles'!Q87+0.0664)*1000,0)</f>
        <v>0</v>
      </c>
      <c r="BS88" s="110">
        <v>0.86458333333333304</v>
      </c>
      <c r="BT88" s="211">
        <f>IF('Temperature Profiles'!Q87&lt;16,(-0.0076*'Temperature Profiles'!Q87+0.1245)*1000,0)</f>
        <v>0</v>
      </c>
      <c r="BU88" s="110">
        <v>0.86458333333333304</v>
      </c>
      <c r="BV88" s="211">
        <f>IF('Temperature Profiles'!Q87&lt;16,(-0.01*'Temperature Profiles'!Q87+0.167)*1000,0)</f>
        <v>0</v>
      </c>
      <c r="BW88" s="21"/>
      <c r="BX88" s="110">
        <v>0.86458333333333304</v>
      </c>
      <c r="BY88" s="211">
        <f>IF('Temperature Profiles'!V87&lt;16,(-0.0037*'Temperature Profiles'!V87+0.0664)*1000,0)</f>
        <v>0</v>
      </c>
      <c r="BZ88" s="110">
        <v>0.86458333333333304</v>
      </c>
      <c r="CA88" s="211">
        <f>IF('Temperature Profiles'!V87&lt;16,(-0.0076*'Temperature Profiles'!V87+0.1245)*1000,0)</f>
        <v>0</v>
      </c>
      <c r="CB88" s="110">
        <v>0.86458333333333304</v>
      </c>
      <c r="CC88" s="211">
        <f>IF('Temperature Profiles'!V87&lt;16,(-0.01*'Temperature Profiles'!V87+0.167)*1000,0)</f>
        <v>0</v>
      </c>
      <c r="CD88" s="21"/>
      <c r="CE88" s="110">
        <v>0.86458333333333304</v>
      </c>
      <c r="CF88" s="211">
        <f>IF('Temperature Profiles'!AA87&lt;16,(-0.0037*'Temperature Profiles'!AA87+0.0664)*1000,0)</f>
        <v>103.52333333333334</v>
      </c>
      <c r="CG88" s="110">
        <v>0.86458333333333304</v>
      </c>
      <c r="CH88" s="178">
        <f>IF('Temperature Profiles'!AA87&lt;16,(-0.0076*'Temperature Profiles'!AA87+0.1245)*1000,0)</f>
        <v>200.75333333333333</v>
      </c>
      <c r="CI88" s="110">
        <v>0.86458333333333304</v>
      </c>
      <c r="CJ88" s="211">
        <f>IF('Temperature Profiles'!AA87&lt;16,(-0.01*'Temperature Profiles'!AA87+0.167)*1000,0)</f>
        <v>267.33333333333337</v>
      </c>
      <c r="CK88" s="21"/>
      <c r="CL88" s="110">
        <v>0.86458333333333304</v>
      </c>
      <c r="CM88" s="211">
        <f>IF('Temperature Profiles'!AF87&lt;16,(-0.0037*'Temperature Profiles'!AF87+0.0664)*1000,0)</f>
        <v>0</v>
      </c>
      <c r="CN88" s="110">
        <v>0.86458333333333304</v>
      </c>
      <c r="CO88" s="178">
        <f>IF('Temperature Profiles'!AF87&lt;16,(-0.0076*'Temperature Profiles'!AF87+0.1245)*1000,0)</f>
        <v>0</v>
      </c>
      <c r="CP88" s="110">
        <v>0.86458333333333304</v>
      </c>
      <c r="CQ88" s="211">
        <f>IF('Temperature Profiles'!AF87&lt;16,(-0.01*'Temperature Profiles'!AF87+0.167)*1000,0)</f>
        <v>0</v>
      </c>
      <c r="CR88" s="21"/>
      <c r="CS88" s="110">
        <v>0.86458333333333304</v>
      </c>
      <c r="CT88" s="211"/>
      <c r="CU88" s="21"/>
      <c r="CV88" s="110">
        <v>0.86458333333333304</v>
      </c>
      <c r="CW88" s="264"/>
      <c r="CY88" s="260">
        <v>0.86458333333333304</v>
      </c>
      <c r="CZ88" s="178">
        <f>IF('Temperature Profiles'!G87&gt;18,(0.0024*('Temperature Profiles'!G87^2)-0.0581*'Temperature Profiles'!G87+0.3293)*1000,IF('Temperature Profiles'!G87&lt;17,(0.0022*('Temperature Profiles'!G87^2)-0.0874*'Temperature Profiles'!G87+0.9301)*1000,0))</f>
        <v>128.24900000000011</v>
      </c>
      <c r="DA88" s="110">
        <v>0.86458333333333304</v>
      </c>
      <c r="DB88" s="263">
        <f>IF('Temperature Profiles'!G87&gt;18,(0.0043*('Temperature Profiles'!G87^2)-0.1116*'Temperature Profiles'!G87+0.6576)*1000,IF('Temperature Profiles'!G87&lt;17,(0.0053*('Temperature Profiles'!G87^2)-0.1876*'Temperature Profiles'!G87+1.7649)*1000,0))</f>
        <v>147.11268749999994</v>
      </c>
      <c r="DC88" s="110">
        <v>0.86458333333333304</v>
      </c>
      <c r="DD88" s="211">
        <f>IF('Temperature Profiles'!G87&gt;18,(0.0057*('Temperature Profiles'!G87^2)-0.1509*'Temperature Profiles'!G87+0.8935)*1000,IF('Temperature Profiles'!G87&lt;17,(0.0072*('Temperature Profiles'!G87^2)-0.254*'Temperature Profiles'!G87+2.3952)*1000,0))</f>
        <v>157.43106250000017</v>
      </c>
      <c r="DE88" s="21"/>
      <c r="DF88" s="110">
        <v>0.86458333333333304</v>
      </c>
      <c r="DG88" s="209">
        <f>IF('Temperature Profiles'!L87&gt;18,(0.0024*('Temperature Profiles'!L87^2)-0.0581*'Temperature Profiles'!L87+0.3293)*1000,IF('Temperature Profiles'!L87&lt;17,(0.0022*('Temperature Profiles'!L87^2)-0.0874*'Temperature Profiles'!L87+0.9301)*1000,0))</f>
        <v>196.75100000000018</v>
      </c>
      <c r="DH88" s="110">
        <v>0.86458333333333304</v>
      </c>
      <c r="DI88" s="209">
        <f>IF('Temperature Profiles'!L87&gt;18,(0.0043*('Temperature Profiles'!L87^2)-0.1116*'Temperature Profiles'!L87+0.6576)*1000,IF('Temperature Profiles'!L87&lt;17,(0.0053*('Temperature Profiles'!L87^2)-0.1876*'Temperature Profiles'!L87+1.7649)*1000,0))</f>
        <v>257.5886319444445</v>
      </c>
      <c r="DJ88" s="110">
        <v>0.86458333333333304</v>
      </c>
      <c r="DK88" s="211">
        <f>IF('Temperature Profiles'!L87&gt;18,(0.0057*('Temperature Profiles'!L87^2)-0.1509*'Temperature Profiles'!L87+0.8935)*1000,IF('Temperature Profiles'!L87&lt;17,(0.0072*('Temperature Profiles'!L87^2)-0.254*'Temperature Profiles'!L87+2.3952)*1000,0))</f>
        <v>299.03289583333327</v>
      </c>
      <c r="DL88" s="21"/>
      <c r="DM88" s="110">
        <v>0.86458333333333304</v>
      </c>
      <c r="DN88" s="209">
        <f>IF('Temperature Profiles'!Q87&gt;18,(0.0024*('Temperature Profiles'!Q87^2)-0.0581*'Temperature Profiles'!Q87+0.3293)*1000,IF('Temperature Profiles'!Q87&lt;17,(0.0022*('Temperature Profiles'!Q87^2)-0.0874*'Temperature Profiles'!Q87+0.9301)*1000,0))</f>
        <v>1008.9499999999991</v>
      </c>
      <c r="DO88" s="110">
        <v>0.86458333333333304</v>
      </c>
      <c r="DP88" s="209">
        <f>IF('Temperature Profiles'!Q87&gt;18,(0.0043*('Temperature Profiles'!Q87^2)-0.1116*'Temperature Profiles'!Q87+0.6576)*1000,IF('Temperature Profiles'!Q87&lt;17,(0.0053*('Temperature Profiles'!Q87^2)-0.1876*'Temperature Profiles'!Q87+1.7649)*1000,0))</f>
        <v>1628.9194444444429</v>
      </c>
      <c r="DQ88" s="110">
        <v>0.86458333333333304</v>
      </c>
      <c r="DR88" s="211">
        <f>IF('Temperature Profiles'!Q87&gt;18,(0.0057*('Temperature Profiles'!Q87^2)-0.1509*'Temperature Profiles'!Q87+0.8935)*1000,IF('Temperature Profiles'!Q87&lt;17,(0.0072*('Temperature Profiles'!Q87^2)-0.254*'Temperature Profiles'!Q87+2.3952)*1000,0))</f>
        <v>2083.7083333333317</v>
      </c>
      <c r="DS88" s="21"/>
      <c r="DT88" s="110">
        <v>0.86458333333333304</v>
      </c>
      <c r="DU88" s="209">
        <f>IF('Temperature Profiles'!V87&gt;18,(0.0024*('Temperature Profiles'!V87^2)-0.0581*'Temperature Profiles'!V87+0.3293)*1000,IF('Temperature Profiles'!V87&lt;17,(0.0022*('Temperature Profiles'!V87^2)-0.0874*'Temperature Profiles'!V87+0.9301)*1000,0))</f>
        <v>0</v>
      </c>
      <c r="DV88" s="110">
        <v>0.86458333333333304</v>
      </c>
      <c r="DW88" s="209">
        <f>IF('Temperature Profiles'!V87&gt;18,(0.0043*('Temperature Profiles'!V87^2)-0.1116*'Temperature Profiles'!V87+0.6576)*1000,IF('Temperature Profiles'!V87&lt;17,(0.0053*('Temperature Profiles'!V87^2)-0.1876*'Temperature Profiles'!V87+1.7649)*1000,0))</f>
        <v>0</v>
      </c>
      <c r="DX88" s="110">
        <v>0.86458333333333304</v>
      </c>
      <c r="DY88" s="211">
        <f>IF('Temperature Profiles'!V87&gt;18,(0.0057*('Temperature Profiles'!V87^2)-0.1509*'Temperature Profiles'!V87+0.8935)*1000,IF('Temperature Profiles'!V87&lt;17,(0.0072*('Temperature Profiles'!V87^2)-0.254*'Temperature Profiles'!V87+2.3952)*1000,0))</f>
        <v>0</v>
      </c>
      <c r="DZ88" s="21"/>
      <c r="EA88" s="110">
        <v>0.86458333333333304</v>
      </c>
      <c r="EB88" s="209">
        <f>IF('Temperature Profiles'!AA186&gt;18,(0.0024*('Temperature Profiles'!AA186^2)-0.0581*'Temperature Profiles'!AA186+0.3293)*1000,IF('Temperature Profiles'!AA186&lt;17,(0.0022*('Temperature Profiles'!AA186^2)-0.0874*'Temperature Profiles'!AA186+0.9301)*1000,0))</f>
        <v>551.92248611111097</v>
      </c>
      <c r="EC88" s="110">
        <v>0.86458333333333304</v>
      </c>
      <c r="ED88" s="209">
        <f>IF('Temperature Profiles'!AA186&gt;18,(0.0043*('Temperature Profiles'!AA186^2)-0.1116*'Temperature Profiles'!AA186+0.6576)*1000,IF('Temperature Profiles'!AA186&lt;17,(0.0053*('Temperature Profiles'!AA186^2)-0.1876*'Temperature Profiles'!AA186+1.7649)*1000,0))</f>
        <v>967.26970138888873</v>
      </c>
      <c r="EE88" s="110">
        <v>0.86458333333333304</v>
      </c>
      <c r="EF88" s="211">
        <f>IF('Temperature Profiles'!AA186&gt;18,(0.0057*('Temperature Profiles'!AA186^2)-0.1509*'Temperature Profiles'!AA186+0.8935)*1000,IF('Temperature Profiles'!AA186&lt;17,(0.0072*('Temperature Profiles'!AA186^2)-0.254*'Temperature Profiles'!AA186+2.3952)*1000,0))</f>
        <v>1315.8411666666664</v>
      </c>
      <c r="EG88" s="21"/>
      <c r="EH88" s="110">
        <v>0.86458333333333304</v>
      </c>
      <c r="EI88" s="211">
        <f>IF('Temperature Profiles'!AF87&gt;18,(0.0024*('Temperature Profiles'!AF87^2)-0.0581*'Temperature Profiles'!AF87+0.3293)*1000,IF('Temperature Profiles'!AF87&lt;17,(0.0022*('Temperature Profiles'!AF87^2)-0.0874*'Temperature Profiles'!AF87+0.9301)*1000,0))</f>
        <v>1149.4159999999995</v>
      </c>
      <c r="EJ88" s="110">
        <v>0.86458333333333304</v>
      </c>
      <c r="EK88" s="211">
        <f>IF('Temperature Profiles'!AF87&gt;18,(0.0043*('Temperature Profiles'!AF87^2)-0.1116*'Temperature Profiles'!AF87+0.6576)*1000,IF('Temperature Profiles'!AF87&lt;17,(0.0053*('Temperature Profiles'!AF87^2)-0.1876*'Temperature Profiles'!AF87+1.7649)*1000,0))</f>
        <v>1870.3319999999994</v>
      </c>
      <c r="EL88" s="110">
        <v>0.86458333333333304</v>
      </c>
      <c r="EM88" s="211">
        <f>IF('Temperature Profiles'!AF87&gt;18,(0.0057*('Temperature Profiles'!AF87^2)-0.1509*'Temperature Profiles'!AF87+0.8935)*1000,IF('Temperature Profiles'!AF87&lt;17,(0.0072*('Temperature Profiles'!AF87^2)-0.254*'Temperature Profiles'!AF87+2.3952)*1000,0))</f>
        <v>2399.6679999999997</v>
      </c>
      <c r="EN88" s="21"/>
      <c r="EO88" s="110">
        <v>0.86458333333333304</v>
      </c>
      <c r="EP88" s="211"/>
      <c r="EQ88" s="21"/>
      <c r="ER88" s="110">
        <v>0.86458333333333304</v>
      </c>
      <c r="ES88" s="264"/>
      <c r="EU88" s="260">
        <v>0.86458333333333304</v>
      </c>
      <c r="EV88" s="209">
        <f>IF('Temperature Profiles'!AA186&gt;18,(0.0024*('Temperature Profiles'!AA186^2)-0.0581*'Temperature Profiles'!AA186+0.3293)*1000,IF('Temperature Profiles'!AA186&lt;17,(0.0022*('Temperature Profiles'!AA186^2)-0.0874*'Temperature Profiles'!AA186+0.9301)*1000,0))</f>
        <v>551.92248611111097</v>
      </c>
      <c r="EW88" s="110">
        <v>0.86458333333333304</v>
      </c>
      <c r="EX88" s="209">
        <f>IF('Temperature Profiles'!AA186&gt;18,(0.0043*('Temperature Profiles'!AA186^2)-0.1116*'Temperature Profiles'!AA186+0.6576)*1000,IF('Temperature Profiles'!AA186&lt;17,(0.0053*('Temperature Profiles'!AA186^2)-0.1876*'Temperature Profiles'!AA186+1.7649)*1000,0))</f>
        <v>967.26970138888873</v>
      </c>
      <c r="EY88" s="110">
        <v>0.86458333333333304</v>
      </c>
      <c r="EZ88" s="264">
        <f>IF('Temperature Profiles'!AA186&gt;18,(0.0057*('Temperature Profiles'!AA186^2)-0.1509*'Temperature Profiles'!AA186+0.8935)*1000,IF('Temperature Profiles'!AA186&lt;17,(0.0072*('Temperature Profiles'!AA186^2)-0.254*'Temperature Profiles'!AA186+2.3952)*1000,0))</f>
        <v>1315.8411666666664</v>
      </c>
    </row>
    <row r="89" spans="1:156" x14ac:dyDescent="0.3">
      <c r="A89" s="108">
        <v>0.86458333333333304</v>
      </c>
      <c r="B89" s="226">
        <f t="shared" si="4"/>
        <v>0</v>
      </c>
      <c r="C89" s="21">
        <f t="shared" si="5"/>
        <v>267.33333333333337</v>
      </c>
      <c r="D89" s="20">
        <f t="shared" si="6"/>
        <v>1315.8411666666664</v>
      </c>
      <c r="E89" s="20">
        <f t="shared" si="7"/>
        <v>1315.8411666666664</v>
      </c>
      <c r="G89" s="260">
        <v>0.875</v>
      </c>
      <c r="H89" s="211">
        <f>IF('Temperature Profiles'!G88&gt;17,(0.0029*('Temperature Profiles'!G88^2) - 0.0863*'Temperature Profiles'!G88 + 0.6808)*1000,0)</f>
        <v>89.202249999999921</v>
      </c>
      <c r="I89" s="110">
        <v>0.875</v>
      </c>
      <c r="J89" s="211">
        <f>IF('Temperature Profiles'!G88&gt;17,(0.005*('Temperature Profiles'!G88^2) - 0.1517*'Temperature Profiles'!G88 + 1.1702)*1000,0)</f>
        <v>94.827500000000285</v>
      </c>
      <c r="K89" s="110">
        <v>0.875</v>
      </c>
      <c r="L89" s="211">
        <f>IF('Temperature Profiles'!G88&gt;17,(0.0068*('Temperature Profiles'!G88^2) - 0.2129*'Temperature Profiles'!G88 + 1.6904)*1000,0)</f>
        <v>102.39200000000004</v>
      </c>
      <c r="M89" s="21"/>
      <c r="N89" s="110">
        <v>0.875</v>
      </c>
      <c r="O89" s="211">
        <f>IF('Temperature Profiles'!L88&gt;17,(0.0029*('Temperature Profiles'!L88^2) - 0.0863*'Temperature Profiles'!L88 + 0.6808)*1000,0)</f>
        <v>138.99020138888872</v>
      </c>
      <c r="P89" s="110">
        <v>0.875</v>
      </c>
      <c r="Q89" s="211">
        <f>IF('Temperature Profiles'!L88&gt;17,(0.005*('Temperature Profiles'!L88^2) - 0.1517*'Temperature Profiles'!L88 + 1.1702)*1000,0)</f>
        <v>175.70284722222195</v>
      </c>
      <c r="R89" s="110">
        <v>0.875</v>
      </c>
      <c r="S89" s="211">
        <f>IF('Temperature Profiles'!L88&gt;17,(0.0068*('Temperature Profiles'!L88^2) - 0.2129*'Temperature Profiles'!L88 + 1.6904)*1000,0)</f>
        <v>201.12797222222235</v>
      </c>
      <c r="T89" s="21"/>
      <c r="U89" s="110">
        <v>0.875</v>
      </c>
      <c r="V89" s="211">
        <f>IF('Temperature Profiles'!Q88&gt;17,(0.0029*('Temperature Profiles'!Q88^2) - 0.0863*'Temperature Profiles'!Q88 + 0.6808)*1000,0)</f>
        <v>812.79447222222234</v>
      </c>
      <c r="W89" s="110">
        <v>0.875</v>
      </c>
      <c r="X89" s="211">
        <f>IF('Temperature Profiles'!Q88&gt;17,(0.005*('Temperature Profiles'!Q88^2) - 0.1517*'Temperature Profiles'!Q88 + 1.1702)*1000,0)</f>
        <v>1307.0330555555558</v>
      </c>
      <c r="Y89" s="110">
        <v>0.875</v>
      </c>
      <c r="Z89" s="211">
        <f>IF('Temperature Profiles'!Q88&gt;17,(0.0068*('Temperature Profiles'!Q88^2) - 0.2129*'Temperature Profiles'!Q88 + 1.6904)*1000,0)</f>
        <v>1670.8375555555554</v>
      </c>
      <c r="AA89" s="21"/>
      <c r="AB89" s="110">
        <v>0.875</v>
      </c>
      <c r="AC89" s="211">
        <f>IF('Temperature Profiles'!V88&gt;17,(0.0029*('Temperature Profiles'!V88^2) - 0.0863*'Temperature Profiles'!V88 + 0.6808)*1000,0)</f>
        <v>62.517701388888788</v>
      </c>
      <c r="AD89" s="110">
        <v>0.875</v>
      </c>
      <c r="AE89" s="211">
        <f>IF('Temperature Profiles'!V88&gt;17,(0.005*('Temperature Profiles'!V88^2) - 0.1517*'Temperature Profiles'!V88 + 1.1702)*1000,0)</f>
        <v>52.622847222222326</v>
      </c>
      <c r="AF89" s="110">
        <v>0.875</v>
      </c>
      <c r="AG89" s="211">
        <f>IF('Temperature Profiles'!V88&gt;17,(0.0068*('Temperature Profiles'!V88^2) - 0.2129*'Temperature Profiles'!V88 + 1.6904)*1000,0)</f>
        <v>53.612972222222055</v>
      </c>
      <c r="AH89" s="21"/>
      <c r="AI89" s="110">
        <v>0.875</v>
      </c>
      <c r="AJ89" s="211">
        <f>IF('Temperature Profiles'!AA88&gt;17,(0.0029*('Temperature Profiles'!AA88^2) - 0.0863*'Temperature Profiles'!AA88 + 0.6808)*1000,0)</f>
        <v>0</v>
      </c>
      <c r="AK89" s="110">
        <v>0.875</v>
      </c>
      <c r="AL89" s="211">
        <f>IF('Temperature Profiles'!AA88&gt;17,(0.005*('Temperature Profiles'!AA88^2) - 0.1517*'Temperature Profiles'!AA88 + 1.1701)*1000,0)</f>
        <v>0</v>
      </c>
      <c r="AM89" s="110">
        <v>0.875</v>
      </c>
      <c r="AN89" s="211">
        <f>IF('Temperature Profiles'!AA88&gt;17,(0.0068*('Temperature Profiles'!AA88^2) - 0.2129*'Temperature Profiles'!AA88 + 1.6904)*1000,0)</f>
        <v>0</v>
      </c>
      <c r="AO89" s="21"/>
      <c r="AP89" s="110">
        <v>0.875</v>
      </c>
      <c r="AQ89" s="211">
        <f>IF('Temperature Profiles'!AF88&gt;17,(0.0029*('Temperature Profiles'!AF88^2) - 0.0863*'Temperature Profiles'!AF88 + 0.6808)*1000,0)</f>
        <v>966.63455555555606</v>
      </c>
      <c r="AR89" s="110">
        <v>0.875</v>
      </c>
      <c r="AS89" s="183">
        <f>IF('Temperature Profiles'!AF88&gt;17,(0.005*('Temperature Profiles'!AF88^2) - 0.1517*'Temperature Profiles'!AF88 + 1.1702)*1000,0)</f>
        <v>1567.7688888888893</v>
      </c>
      <c r="AT89" s="110">
        <v>0.875</v>
      </c>
      <c r="AU89" s="211">
        <f>IF('Temperature Profiles'!AF88&gt;17,(0.0068*('Temperature Profiles'!AF88^2) - 0.2129*'Temperature Profiles'!AF88 + 1.6904)*1000,0)</f>
        <v>2015.2268888888893</v>
      </c>
      <c r="AV89" s="21"/>
      <c r="AW89" s="110">
        <v>0.875</v>
      </c>
      <c r="AX89" s="211"/>
      <c r="AY89" s="21"/>
      <c r="AZ89" s="110">
        <v>0.875</v>
      </c>
      <c r="BA89" s="264"/>
      <c r="BC89" s="260">
        <v>0.875</v>
      </c>
      <c r="BD89" s="211">
        <f>IF('Temperature Profiles'!G88&lt;16,(-0.0037*'Temperature Profiles'!G88+0.0664)*1000,0)</f>
        <v>0</v>
      </c>
      <c r="BE89" s="110">
        <v>0.875</v>
      </c>
      <c r="BF89" s="211">
        <f>IF('Temperature Profiles'!G88&lt;16,(-0.0076*'Temperature Profiles'!G88+0.1245)*1000,0)</f>
        <v>0</v>
      </c>
      <c r="BG89" s="110">
        <v>0.875</v>
      </c>
      <c r="BH89" s="211">
        <f>IF('Temperature Profiles'!G88&lt;16,(-0.01*'Temperature Profiles'!G88+0.167)*1000,0)</f>
        <v>0</v>
      </c>
      <c r="BI89" s="21"/>
      <c r="BJ89" s="110">
        <v>0.875</v>
      </c>
      <c r="BK89" s="211">
        <f>IF('Temperature Profiles'!L88&lt;16,(-0.0037*'Temperature Profiles'!L88+0.0664)*1000,0)</f>
        <v>0</v>
      </c>
      <c r="BL89" s="110">
        <v>0.875</v>
      </c>
      <c r="BM89" s="211">
        <f>IF('Temperature Profiles'!L88&lt;16,(-0.0076*'Temperature Profiles'!L88+0.1245)*1000,0)</f>
        <v>0</v>
      </c>
      <c r="BN89" s="110">
        <v>0.875</v>
      </c>
      <c r="BO89" s="211">
        <f>IF('Temperature Profiles'!L88&lt;16,(-0.01*'Temperature Profiles'!L88+0.167)*1000,0)</f>
        <v>0</v>
      </c>
      <c r="BP89" s="21"/>
      <c r="BQ89" s="110">
        <v>0.875</v>
      </c>
      <c r="BR89" s="211">
        <f>IF('Temperature Profiles'!Q88&lt;16,(-0.0037*'Temperature Profiles'!Q88+0.0664)*1000,0)</f>
        <v>0</v>
      </c>
      <c r="BS89" s="110">
        <v>0.875</v>
      </c>
      <c r="BT89" s="211">
        <f>IF('Temperature Profiles'!Q88&lt;16,(-0.0076*'Temperature Profiles'!Q88+0.1245)*1000,0)</f>
        <v>0</v>
      </c>
      <c r="BU89" s="110">
        <v>0.875</v>
      </c>
      <c r="BV89" s="211">
        <f>IF('Temperature Profiles'!Q88&lt;16,(-0.01*'Temperature Profiles'!Q88+0.167)*1000,0)</f>
        <v>0</v>
      </c>
      <c r="BW89" s="21"/>
      <c r="BX89" s="110">
        <v>0.875</v>
      </c>
      <c r="BY89" s="211">
        <f>IF('Temperature Profiles'!V88&lt;16,(-0.0037*'Temperature Profiles'!V88+0.0664)*1000,0)</f>
        <v>0</v>
      </c>
      <c r="BZ89" s="110">
        <v>0.875</v>
      </c>
      <c r="CA89" s="211">
        <f>IF('Temperature Profiles'!V88&lt;16,(-0.0076*'Temperature Profiles'!V88+0.1245)*1000,0)</f>
        <v>0</v>
      </c>
      <c r="CB89" s="110">
        <v>0.875</v>
      </c>
      <c r="CC89" s="211">
        <f>IF('Temperature Profiles'!V88&lt;16,(-0.01*'Temperature Profiles'!V88+0.167)*1000,0)</f>
        <v>0</v>
      </c>
      <c r="CD89" s="21"/>
      <c r="CE89" s="110">
        <v>0.875</v>
      </c>
      <c r="CF89" s="211">
        <f>IF('Temperature Profiles'!AA88&lt;16,(-0.0037*'Temperature Profiles'!AA88+0.0664)*1000,0)</f>
        <v>106.85333333333332</v>
      </c>
      <c r="CG89" s="110">
        <v>0.875</v>
      </c>
      <c r="CH89" s="178">
        <f>IF('Temperature Profiles'!AA88&lt;16,(-0.0076*'Temperature Profiles'!AA88+0.1245)*1000,0)</f>
        <v>207.59333333333336</v>
      </c>
      <c r="CI89" s="110">
        <v>0.875</v>
      </c>
      <c r="CJ89" s="211">
        <f>IF('Temperature Profiles'!AA88&lt;16,(-0.01*'Temperature Profiles'!AA88+0.167)*1000,0)</f>
        <v>276.33333333333331</v>
      </c>
      <c r="CK89" s="21"/>
      <c r="CL89" s="110">
        <v>0.875</v>
      </c>
      <c r="CM89" s="211">
        <f>IF('Temperature Profiles'!AF88&lt;16,(-0.0037*'Temperature Profiles'!AF88+0.0664)*1000,0)</f>
        <v>0</v>
      </c>
      <c r="CN89" s="110">
        <v>0.875</v>
      </c>
      <c r="CO89" s="178">
        <f>IF('Temperature Profiles'!AF88&lt;16,(-0.0076*'Temperature Profiles'!AF88+0.1245)*1000,0)</f>
        <v>0</v>
      </c>
      <c r="CP89" s="110">
        <v>0.875</v>
      </c>
      <c r="CQ89" s="211">
        <f>IF('Temperature Profiles'!AF88&lt;16,(-0.01*'Temperature Profiles'!AF88+0.167)*1000,0)</f>
        <v>0</v>
      </c>
      <c r="CR89" s="21"/>
      <c r="CS89" s="110">
        <v>0.875</v>
      </c>
      <c r="CT89" s="211"/>
      <c r="CU89" s="21"/>
      <c r="CV89" s="110">
        <v>0.875</v>
      </c>
      <c r="CW89" s="264"/>
      <c r="CY89" s="260">
        <v>0.875</v>
      </c>
      <c r="CZ89" s="178">
        <f>IF('Temperature Profiles'!G88&gt;18,(0.0024*('Temperature Profiles'!G88^2)-0.0581*'Temperature Profiles'!G88+0.3293)*1000,IF('Temperature Profiles'!G88&lt;17,(0.0022*('Temperature Profiles'!G88^2)-0.0874*'Temperature Profiles'!G88+0.9301)*1000,0))</f>
        <v>93.460999999999956</v>
      </c>
      <c r="DA89" s="110">
        <v>0.875</v>
      </c>
      <c r="DB89" s="263">
        <f>IF('Temperature Profiles'!G88&gt;18,(0.0043*('Temperature Profiles'!G88^2)-0.1116*'Temperature Profiles'!G88+0.6576)*1000,IF('Temperature Profiles'!G88&lt;17,(0.0053*('Temperature Profiles'!G88^2)-0.1876*'Temperature Profiles'!G88+1.7649)*1000,0))</f>
        <v>92.100749999999948</v>
      </c>
      <c r="DC89" s="110">
        <v>0.875</v>
      </c>
      <c r="DD89" s="211">
        <f>IF('Temperature Profiles'!G88&gt;18,(0.0057*('Temperature Profiles'!G88^2)-0.1509*'Temperature Profiles'!G88+0.8935)*1000,IF('Temperature Profiles'!G88&lt;17,(0.0072*('Temperature Profiles'!G88^2)-0.254*'Temperature Profiles'!G88+2.3952)*1000,0))</f>
        <v>87.399250000000265</v>
      </c>
      <c r="DE89" s="21"/>
      <c r="DF89" s="110">
        <v>0.875</v>
      </c>
      <c r="DG89" s="209">
        <f>IF('Temperature Profiles'!L88&gt;18,(0.0024*('Temperature Profiles'!L88^2)-0.0581*'Temperature Profiles'!L88+0.3293)*1000,IF('Temperature Profiles'!L88&lt;17,(0.0022*('Temperature Profiles'!L88^2)-0.0874*'Temperature Profiles'!L88+0.9301)*1000,0))</f>
        <v>157.42099999999988</v>
      </c>
      <c r="DH89" s="110">
        <v>0.875</v>
      </c>
      <c r="DI89" s="209">
        <f>IF('Temperature Profiles'!L88&gt;18,(0.0043*('Temperature Profiles'!L88^2)-0.1116*'Temperature Profiles'!L88+0.6576)*1000,IF('Temperature Profiles'!L88&lt;17,(0.0053*('Temperature Profiles'!L88^2)-0.1876*'Temperature Profiles'!L88+1.7649)*1000,0))</f>
        <v>193.87613194444441</v>
      </c>
      <c r="DJ89" s="110">
        <v>0.875</v>
      </c>
      <c r="DK89" s="211">
        <f>IF('Temperature Profiles'!L88&gt;18,(0.0057*('Temperature Profiles'!L88^2)-0.1509*'Temperature Profiles'!L88+0.8935)*1000,IF('Temperature Profiles'!L88&lt;17,(0.0072*('Temperature Profiles'!L88^2)-0.254*'Temperature Profiles'!L88+2.3952)*1000,0))</f>
        <v>217.24539583333336</v>
      </c>
      <c r="DL89" s="21"/>
      <c r="DM89" s="110">
        <v>0.875</v>
      </c>
      <c r="DN89" s="209">
        <f>IF('Temperature Profiles'!Q88&gt;18,(0.0024*('Temperature Profiles'!Q88^2)-0.0581*'Temperature Profiles'!Q88+0.3293)*1000,IF('Temperature Profiles'!Q88&lt;17,(0.0022*('Temperature Profiles'!Q88^2)-0.0874*'Temperature Profiles'!Q88+0.9301)*1000,0))</f>
        <v>854.36433333333332</v>
      </c>
      <c r="DO89" s="110">
        <v>0.875</v>
      </c>
      <c r="DP89" s="209">
        <f>IF('Temperature Profiles'!Q88&gt;18,(0.0043*('Temperature Profiles'!Q88^2)-0.1116*'Temperature Profiles'!Q88+0.6576)*1000,IF('Temperature Profiles'!Q88&lt;17,(0.0053*('Temperature Profiles'!Q88^2)-0.1876*'Temperature Profiles'!Q88+1.7649)*1000,0))</f>
        <v>1364.0851944444444</v>
      </c>
      <c r="DQ89" s="110">
        <v>0.875</v>
      </c>
      <c r="DR89" s="211">
        <f>IF('Temperature Profiles'!Q88&gt;18,(0.0057*('Temperature Profiles'!Q88^2)-0.1509*'Temperature Profiles'!Q88+0.8935)*1000,IF('Temperature Profiles'!Q88&lt;17,(0.0072*('Temperature Profiles'!Q88^2)-0.254*'Temperature Profiles'!Q88+2.3952)*1000,0))</f>
        <v>1737.4425833333337</v>
      </c>
      <c r="DS89" s="21"/>
      <c r="DT89" s="110">
        <v>0.875</v>
      </c>
      <c r="DU89" s="209">
        <f>IF('Temperature Profiles'!V88&gt;18,(0.0024*('Temperature Profiles'!V88^2)-0.0581*'Temperature Profiles'!V88+0.3293)*1000,IF('Temperature Profiles'!V88&lt;17,(0.0022*('Temperature Profiles'!V88^2)-0.0874*'Temperature Profiles'!V88+0.9301)*1000,0))</f>
        <v>0</v>
      </c>
      <c r="DV89" s="110">
        <v>0.875</v>
      </c>
      <c r="DW89" s="209">
        <f>IF('Temperature Profiles'!V88&gt;18,(0.0043*('Temperature Profiles'!V88^2)-0.1116*'Temperature Profiles'!V88+0.6576)*1000,IF('Temperature Profiles'!V88&lt;17,(0.0053*('Temperature Profiles'!V88^2)-0.1876*'Temperature Profiles'!V88+1.7649)*1000,0))</f>
        <v>0</v>
      </c>
      <c r="DX89" s="110">
        <v>0.875</v>
      </c>
      <c r="DY89" s="211">
        <f>IF('Temperature Profiles'!V88&gt;18,(0.0057*('Temperature Profiles'!V88^2)-0.1509*'Temperature Profiles'!V88+0.8935)*1000,IF('Temperature Profiles'!V88&lt;17,(0.0072*('Temperature Profiles'!V88^2)-0.254*'Temperature Profiles'!V88+2.3952)*1000,0))</f>
        <v>0</v>
      </c>
      <c r="DZ89" s="21"/>
      <c r="EA89" s="110">
        <v>0.875</v>
      </c>
      <c r="EB89" s="209">
        <f>IF('Temperature Profiles'!AA187&gt;18,(0.0024*('Temperature Profiles'!AA187^2)-0.0581*'Temperature Profiles'!AA187+0.3293)*1000,IF('Temperature Profiles'!AA187&lt;17,(0.0022*('Temperature Profiles'!AA187^2)-0.0874*'Temperature Profiles'!AA187+0.9301)*1000,0))</f>
        <v>593.81727777777769</v>
      </c>
      <c r="EC89" s="110">
        <v>0.875</v>
      </c>
      <c r="ED89" s="209">
        <f>IF('Temperature Profiles'!AA187&gt;18,(0.0043*('Temperature Profiles'!AA187^2)-0.1116*'Temperature Profiles'!AA187+0.6576)*1000,IF('Temperature Profiles'!AA187&lt;17,(0.0053*('Temperature Profiles'!AA187^2)-0.1876*'Temperature Profiles'!AA187+1.7649)*1000,0))</f>
        <v>1053.8514722222221</v>
      </c>
      <c r="EE89" s="110">
        <v>0.875</v>
      </c>
      <c r="EF89" s="211">
        <f>IF('Temperature Profiles'!AA187&gt;18,(0.0057*('Temperature Profiles'!AA187^2)-0.1509*'Temperature Profiles'!AA187+0.8935)*1000,IF('Temperature Profiles'!AA187&lt;17,(0.0072*('Temperature Profiles'!AA187^2)-0.254*'Temperature Profiles'!AA187+2.3952)*1000,0))</f>
        <v>1432.9286666666662</v>
      </c>
      <c r="EG89" s="21"/>
      <c r="EH89" s="110">
        <v>0.875</v>
      </c>
      <c r="EI89" s="211">
        <f>IF('Temperature Profiles'!AF88&gt;18,(0.0024*('Temperature Profiles'!AF88^2)-0.0581*'Temperature Profiles'!AF88+0.3293)*1000,IF('Temperature Profiles'!AF88&lt;17,(0.0022*('Temperature Profiles'!AF88^2)-0.0874*'Temperature Profiles'!AF88+0.9301)*1000,0))</f>
        <v>1002.3273333333337</v>
      </c>
      <c r="EJ89" s="110">
        <v>0.875</v>
      </c>
      <c r="EK89" s="211">
        <f>IF('Temperature Profiles'!AF88&gt;18,(0.0043*('Temperature Profiles'!AF88^2)-0.1116*'Temperature Profiles'!AF88+0.6576)*1000,IF('Temperature Profiles'!AF88&lt;17,(0.0053*('Temperature Profiles'!AF88^2)-0.1876*'Temperature Profiles'!AF88+1.7649)*1000,0))</f>
        <v>1617.5541111111124</v>
      </c>
      <c r="EL89" s="110">
        <v>0.875</v>
      </c>
      <c r="EM89" s="211">
        <f>IF('Temperature Profiles'!AF88&gt;18,(0.0057*('Temperature Profiles'!AF88^2)-0.1509*'Temperature Profiles'!AF88+0.8935)*1000,IF('Temperature Profiles'!AF88&lt;17,(0.0072*('Temperature Profiles'!AF88^2)-0.254*'Temperature Profiles'!AF88+2.3952)*1000,0))</f>
        <v>2068.8403333333345</v>
      </c>
      <c r="EN89" s="21"/>
      <c r="EO89" s="110">
        <v>0.875</v>
      </c>
      <c r="EP89" s="211"/>
      <c r="EQ89" s="21"/>
      <c r="ER89" s="110">
        <v>0.875</v>
      </c>
      <c r="ES89" s="264"/>
      <c r="EU89" s="260">
        <v>0.875</v>
      </c>
      <c r="EV89" s="209">
        <f>IF('Temperature Profiles'!AA187&gt;18,(0.0024*('Temperature Profiles'!AA187^2)-0.0581*'Temperature Profiles'!AA187+0.3293)*1000,IF('Temperature Profiles'!AA187&lt;17,(0.0022*('Temperature Profiles'!AA187^2)-0.0874*'Temperature Profiles'!AA187+0.9301)*1000,0))</f>
        <v>593.81727777777769</v>
      </c>
      <c r="EW89" s="110">
        <v>0.875</v>
      </c>
      <c r="EX89" s="209">
        <f>IF('Temperature Profiles'!AA187&gt;18,(0.0043*('Temperature Profiles'!AA187^2)-0.1116*'Temperature Profiles'!AA187+0.6576)*1000,IF('Temperature Profiles'!AA187&lt;17,(0.0053*('Temperature Profiles'!AA187^2)-0.1876*'Temperature Profiles'!AA187+1.7649)*1000,0))</f>
        <v>1053.8514722222221</v>
      </c>
      <c r="EY89" s="110">
        <v>0.875</v>
      </c>
      <c r="EZ89" s="264">
        <f>IF('Temperature Profiles'!AA187&gt;18,(0.0057*('Temperature Profiles'!AA187^2)-0.1509*'Temperature Profiles'!AA187+0.8935)*1000,IF('Temperature Profiles'!AA187&lt;17,(0.0072*('Temperature Profiles'!AA187^2)-0.254*'Temperature Profiles'!AA187+2.3952)*1000,0))</f>
        <v>1432.9286666666662</v>
      </c>
    </row>
    <row r="90" spans="1:156" x14ac:dyDescent="0.3">
      <c r="A90" s="108">
        <v>0.875</v>
      </c>
      <c r="B90" s="226">
        <f t="shared" si="4"/>
        <v>0</v>
      </c>
      <c r="C90" s="21">
        <f t="shared" si="5"/>
        <v>276.33333333333331</v>
      </c>
      <c r="D90" s="20">
        <f t="shared" si="6"/>
        <v>1432.9286666666662</v>
      </c>
      <c r="E90" s="20">
        <f t="shared" si="7"/>
        <v>1432.9286666666662</v>
      </c>
      <c r="G90" s="260">
        <v>0.88541666666666696</v>
      </c>
      <c r="H90" s="211">
        <f>IF('Temperature Profiles'!G89&gt;17,(0.0029*('Temperature Profiles'!G89^2) - 0.0863*'Temperature Profiles'!G89 + 0.6808)*1000,0)</f>
        <v>89.202249999999921</v>
      </c>
      <c r="I90" s="110">
        <v>0.88541666666666696</v>
      </c>
      <c r="J90" s="211">
        <f>IF('Temperature Profiles'!G89&gt;17,(0.005*('Temperature Profiles'!G89^2) - 0.1517*'Temperature Profiles'!G89 + 1.1702)*1000,0)</f>
        <v>94.827500000000285</v>
      </c>
      <c r="K90" s="110">
        <v>0.88541666666666696</v>
      </c>
      <c r="L90" s="211">
        <f>IF('Temperature Profiles'!G89&gt;17,(0.0068*('Temperature Profiles'!G89^2) - 0.2129*'Temperature Profiles'!G89 + 1.6904)*1000,0)</f>
        <v>102.39200000000004</v>
      </c>
      <c r="M90" s="21"/>
      <c r="N90" s="110">
        <v>0.88541666666666696</v>
      </c>
      <c r="O90" s="211">
        <f>IF('Temperature Profiles'!L89&gt;17,(0.0029*('Temperature Profiles'!L89^2) - 0.0863*'Temperature Profiles'!L89 + 0.6808)*1000,0)</f>
        <v>138.99020138888872</v>
      </c>
      <c r="P90" s="110">
        <v>0.88541666666666696</v>
      </c>
      <c r="Q90" s="211">
        <f>IF('Temperature Profiles'!L89&gt;17,(0.005*('Temperature Profiles'!L89^2) - 0.1517*'Temperature Profiles'!L89 + 1.1702)*1000,0)</f>
        <v>175.70284722222195</v>
      </c>
      <c r="R90" s="110">
        <v>0.88541666666666696</v>
      </c>
      <c r="S90" s="211">
        <f>IF('Temperature Profiles'!L89&gt;17,(0.0068*('Temperature Profiles'!L89^2) - 0.2129*'Temperature Profiles'!L89 + 1.6904)*1000,0)</f>
        <v>201.12797222222235</v>
      </c>
      <c r="T90" s="21"/>
      <c r="U90" s="110">
        <v>0.88541666666666696</v>
      </c>
      <c r="V90" s="211">
        <f>IF('Temperature Profiles'!Q89&gt;17,(0.0029*('Temperature Profiles'!Q89^2) - 0.0863*'Temperature Profiles'!Q89 + 0.6808)*1000,0)</f>
        <v>812.79447222222234</v>
      </c>
      <c r="W90" s="110">
        <v>0.88541666666666696</v>
      </c>
      <c r="X90" s="211">
        <f>IF('Temperature Profiles'!Q89&gt;17,(0.005*('Temperature Profiles'!Q89^2) - 0.1517*'Temperature Profiles'!Q89 + 1.1702)*1000,0)</f>
        <v>1307.0330555555558</v>
      </c>
      <c r="Y90" s="110">
        <v>0.88541666666666696</v>
      </c>
      <c r="Z90" s="211">
        <f>IF('Temperature Profiles'!Q89&gt;17,(0.0068*('Temperature Profiles'!Q89^2) - 0.2129*'Temperature Profiles'!Q89 + 1.6904)*1000,0)</f>
        <v>1670.8375555555554</v>
      </c>
      <c r="AA90" s="21"/>
      <c r="AB90" s="110">
        <v>0.88541666666666696</v>
      </c>
      <c r="AC90" s="211">
        <f>IF('Temperature Profiles'!V89&gt;17,(0.0029*('Temperature Profiles'!V89^2) - 0.0863*'Temperature Profiles'!V89 + 0.6808)*1000,0)</f>
        <v>62.517701388888788</v>
      </c>
      <c r="AD90" s="110">
        <v>0.88541666666666696</v>
      </c>
      <c r="AE90" s="211">
        <f>IF('Temperature Profiles'!V89&gt;17,(0.005*('Temperature Profiles'!V89^2) - 0.1517*'Temperature Profiles'!V89 + 1.1702)*1000,0)</f>
        <v>52.622847222222326</v>
      </c>
      <c r="AF90" s="110">
        <v>0.88541666666666696</v>
      </c>
      <c r="AG90" s="211">
        <f>IF('Temperature Profiles'!V89&gt;17,(0.0068*('Temperature Profiles'!V89^2) - 0.2129*'Temperature Profiles'!V89 + 1.6904)*1000,0)</f>
        <v>53.612972222222055</v>
      </c>
      <c r="AH90" s="21"/>
      <c r="AI90" s="110">
        <v>0.88541666666666696</v>
      </c>
      <c r="AJ90" s="211">
        <f>IF('Temperature Profiles'!AA89&gt;17,(0.0029*('Temperature Profiles'!AA89^2) - 0.0863*'Temperature Profiles'!AA89 + 0.6808)*1000,0)</f>
        <v>0</v>
      </c>
      <c r="AK90" s="110">
        <v>0.88541666666666696</v>
      </c>
      <c r="AL90" s="211">
        <f>IF('Temperature Profiles'!AA89&gt;17,(0.005*('Temperature Profiles'!AA89^2) - 0.1517*'Temperature Profiles'!AA89 + 1.1701)*1000,0)</f>
        <v>0</v>
      </c>
      <c r="AM90" s="110">
        <v>0.88541666666666696</v>
      </c>
      <c r="AN90" s="211">
        <f>IF('Temperature Profiles'!AA89&gt;17,(0.0068*('Temperature Profiles'!AA89^2) - 0.2129*'Temperature Profiles'!AA89 + 1.6904)*1000,0)</f>
        <v>0</v>
      </c>
      <c r="AO90" s="21"/>
      <c r="AP90" s="110">
        <v>0.88541666666666696</v>
      </c>
      <c r="AQ90" s="211">
        <f>IF('Temperature Profiles'!AF89&gt;17,(0.0029*('Temperature Profiles'!AF89^2) - 0.0863*'Temperature Profiles'!AF89 + 0.6808)*1000,0)</f>
        <v>966.63455555555606</v>
      </c>
      <c r="AR90" s="110">
        <v>0.88541666666666696</v>
      </c>
      <c r="AS90" s="183">
        <f>IF('Temperature Profiles'!AF89&gt;17,(0.005*('Temperature Profiles'!AF89^2) - 0.1517*'Temperature Profiles'!AF89 + 1.1702)*1000,0)</f>
        <v>1567.7688888888893</v>
      </c>
      <c r="AT90" s="110">
        <v>0.88541666666666696</v>
      </c>
      <c r="AU90" s="211">
        <f>IF('Temperature Profiles'!AF89&gt;17,(0.0068*('Temperature Profiles'!AF89^2) - 0.2129*'Temperature Profiles'!AF89 + 1.6904)*1000,0)</f>
        <v>2015.2268888888893</v>
      </c>
      <c r="AV90" s="21"/>
      <c r="AW90" s="110">
        <v>0.88541666666666696</v>
      </c>
      <c r="AX90" s="211"/>
      <c r="AY90" s="21"/>
      <c r="AZ90" s="110">
        <v>0.88541666666666696</v>
      </c>
      <c r="BA90" s="264"/>
      <c r="BC90" s="260">
        <v>0.88541666666666696</v>
      </c>
      <c r="BD90" s="211">
        <f>IF('Temperature Profiles'!G89&lt;16,(-0.0037*'Temperature Profiles'!G89+0.0664)*1000,0)</f>
        <v>0</v>
      </c>
      <c r="BE90" s="110">
        <v>0.88541666666666696</v>
      </c>
      <c r="BF90" s="211">
        <f>IF('Temperature Profiles'!G89&lt;16,(-0.0076*'Temperature Profiles'!G89+0.1245)*1000,0)</f>
        <v>0</v>
      </c>
      <c r="BG90" s="110">
        <v>0.88541666666666696</v>
      </c>
      <c r="BH90" s="211">
        <f>IF('Temperature Profiles'!G89&lt;16,(-0.01*'Temperature Profiles'!G89+0.167)*1000,0)</f>
        <v>0</v>
      </c>
      <c r="BI90" s="21"/>
      <c r="BJ90" s="110">
        <v>0.88541666666666696</v>
      </c>
      <c r="BK90" s="211">
        <f>IF('Temperature Profiles'!L89&lt;16,(-0.0037*'Temperature Profiles'!L89+0.0664)*1000,0)</f>
        <v>0</v>
      </c>
      <c r="BL90" s="110">
        <v>0.88541666666666696</v>
      </c>
      <c r="BM90" s="211">
        <f>IF('Temperature Profiles'!L89&lt;16,(-0.0076*'Temperature Profiles'!L89+0.1245)*1000,0)</f>
        <v>0</v>
      </c>
      <c r="BN90" s="110">
        <v>0.88541666666666696</v>
      </c>
      <c r="BO90" s="211">
        <f>IF('Temperature Profiles'!L89&lt;16,(-0.01*'Temperature Profiles'!L89+0.167)*1000,0)</f>
        <v>0</v>
      </c>
      <c r="BP90" s="21"/>
      <c r="BQ90" s="110">
        <v>0.88541666666666696</v>
      </c>
      <c r="BR90" s="211">
        <f>IF('Temperature Profiles'!Q89&lt;16,(-0.0037*'Temperature Profiles'!Q89+0.0664)*1000,0)</f>
        <v>0</v>
      </c>
      <c r="BS90" s="110">
        <v>0.88541666666666696</v>
      </c>
      <c r="BT90" s="211">
        <f>IF('Temperature Profiles'!Q89&lt;16,(-0.0076*'Temperature Profiles'!Q89+0.1245)*1000,0)</f>
        <v>0</v>
      </c>
      <c r="BU90" s="110">
        <v>0.88541666666666696</v>
      </c>
      <c r="BV90" s="211">
        <f>IF('Temperature Profiles'!Q89&lt;16,(-0.01*'Temperature Profiles'!Q89+0.167)*1000,0)</f>
        <v>0</v>
      </c>
      <c r="BW90" s="21"/>
      <c r="BX90" s="110">
        <v>0.88541666666666696</v>
      </c>
      <c r="BY90" s="211">
        <f>IF('Temperature Profiles'!V89&lt;16,(-0.0037*'Temperature Profiles'!V89+0.0664)*1000,0)</f>
        <v>0</v>
      </c>
      <c r="BZ90" s="110">
        <v>0.88541666666666696</v>
      </c>
      <c r="CA90" s="211">
        <f>IF('Temperature Profiles'!V89&lt;16,(-0.0076*'Temperature Profiles'!V89+0.1245)*1000,0)</f>
        <v>0</v>
      </c>
      <c r="CB90" s="110">
        <v>0.88541666666666696</v>
      </c>
      <c r="CC90" s="211">
        <f>IF('Temperature Profiles'!V89&lt;16,(-0.01*'Temperature Profiles'!V89+0.167)*1000,0)</f>
        <v>0</v>
      </c>
      <c r="CD90" s="21"/>
      <c r="CE90" s="110">
        <v>0.88541666666666696</v>
      </c>
      <c r="CF90" s="211">
        <f>IF('Temperature Profiles'!AA89&lt;16,(-0.0037*'Temperature Profiles'!AA89+0.0664)*1000,0)</f>
        <v>106.85333333333332</v>
      </c>
      <c r="CG90" s="110">
        <v>0.88541666666666696</v>
      </c>
      <c r="CH90" s="178">
        <f>IF('Temperature Profiles'!AA89&lt;16,(-0.0076*'Temperature Profiles'!AA89+0.1245)*1000,0)</f>
        <v>207.59333333333336</v>
      </c>
      <c r="CI90" s="110">
        <v>0.88541666666666696</v>
      </c>
      <c r="CJ90" s="211">
        <f>IF('Temperature Profiles'!AA89&lt;16,(-0.01*'Temperature Profiles'!AA89+0.167)*1000,0)</f>
        <v>276.33333333333331</v>
      </c>
      <c r="CK90" s="21"/>
      <c r="CL90" s="110">
        <v>0.88541666666666696</v>
      </c>
      <c r="CM90" s="211">
        <f>IF('Temperature Profiles'!AF89&lt;16,(-0.0037*'Temperature Profiles'!AF89+0.0664)*1000,0)</f>
        <v>0</v>
      </c>
      <c r="CN90" s="110">
        <v>0.88541666666666696</v>
      </c>
      <c r="CO90" s="178">
        <f>IF('Temperature Profiles'!AF89&lt;16,(-0.0076*'Temperature Profiles'!AF89+0.1245)*1000,0)</f>
        <v>0</v>
      </c>
      <c r="CP90" s="110">
        <v>0.88541666666666696</v>
      </c>
      <c r="CQ90" s="211">
        <f>IF('Temperature Profiles'!AF89&lt;16,(-0.01*'Temperature Profiles'!AF89+0.167)*1000,0)</f>
        <v>0</v>
      </c>
      <c r="CR90" s="21"/>
      <c r="CS90" s="110">
        <v>0.88541666666666696</v>
      </c>
      <c r="CT90" s="211"/>
      <c r="CU90" s="21"/>
      <c r="CV90" s="110">
        <v>0.88541666666666696</v>
      </c>
      <c r="CW90" s="264"/>
      <c r="CY90" s="260">
        <v>0.88541666666666696</v>
      </c>
      <c r="CZ90" s="178">
        <f>IF('Temperature Profiles'!G89&gt;18,(0.0024*('Temperature Profiles'!G89^2)-0.0581*'Temperature Profiles'!G89+0.3293)*1000,IF('Temperature Profiles'!G89&lt;17,(0.0022*('Temperature Profiles'!G89^2)-0.0874*'Temperature Profiles'!G89+0.9301)*1000,0))</f>
        <v>93.460999999999956</v>
      </c>
      <c r="DA90" s="110">
        <v>0.88541666666666696</v>
      </c>
      <c r="DB90" s="263">
        <f>IF('Temperature Profiles'!G89&gt;18,(0.0043*('Temperature Profiles'!G89^2)-0.1116*'Temperature Profiles'!G89+0.6576)*1000,IF('Temperature Profiles'!G89&lt;17,(0.0053*('Temperature Profiles'!G89^2)-0.1876*'Temperature Profiles'!G89+1.7649)*1000,0))</f>
        <v>92.100749999999948</v>
      </c>
      <c r="DC90" s="110">
        <v>0.88541666666666696</v>
      </c>
      <c r="DD90" s="211">
        <f>IF('Temperature Profiles'!G89&gt;18,(0.0057*('Temperature Profiles'!G89^2)-0.1509*'Temperature Profiles'!G89+0.8935)*1000,IF('Temperature Profiles'!G89&lt;17,(0.0072*('Temperature Profiles'!G89^2)-0.254*'Temperature Profiles'!G89+2.3952)*1000,0))</f>
        <v>87.399250000000265</v>
      </c>
      <c r="DE90" s="21"/>
      <c r="DF90" s="110">
        <v>0.88541666666666696</v>
      </c>
      <c r="DG90" s="209">
        <f>IF('Temperature Profiles'!L89&gt;18,(0.0024*('Temperature Profiles'!L89^2)-0.0581*'Temperature Profiles'!L89+0.3293)*1000,IF('Temperature Profiles'!L89&lt;17,(0.0022*('Temperature Profiles'!L89^2)-0.0874*'Temperature Profiles'!L89+0.9301)*1000,0))</f>
        <v>157.42099999999988</v>
      </c>
      <c r="DH90" s="110">
        <v>0.88541666666666696</v>
      </c>
      <c r="DI90" s="209">
        <f>IF('Temperature Profiles'!L89&gt;18,(0.0043*('Temperature Profiles'!L89^2)-0.1116*'Temperature Profiles'!L89+0.6576)*1000,IF('Temperature Profiles'!L89&lt;17,(0.0053*('Temperature Profiles'!L89^2)-0.1876*'Temperature Profiles'!L89+1.7649)*1000,0))</f>
        <v>193.87613194444441</v>
      </c>
      <c r="DJ90" s="110">
        <v>0.88541666666666696</v>
      </c>
      <c r="DK90" s="211">
        <f>IF('Temperature Profiles'!L89&gt;18,(0.0057*('Temperature Profiles'!L89^2)-0.1509*'Temperature Profiles'!L89+0.8935)*1000,IF('Temperature Profiles'!L89&lt;17,(0.0072*('Temperature Profiles'!L89^2)-0.254*'Temperature Profiles'!L89+2.3952)*1000,0))</f>
        <v>217.24539583333336</v>
      </c>
      <c r="DL90" s="21"/>
      <c r="DM90" s="110">
        <v>0.88541666666666696</v>
      </c>
      <c r="DN90" s="209">
        <f>IF('Temperature Profiles'!Q89&gt;18,(0.0024*('Temperature Profiles'!Q89^2)-0.0581*'Temperature Profiles'!Q89+0.3293)*1000,IF('Temperature Profiles'!Q89&lt;17,(0.0022*('Temperature Profiles'!Q89^2)-0.0874*'Temperature Profiles'!Q89+0.9301)*1000,0))</f>
        <v>854.36433333333332</v>
      </c>
      <c r="DO90" s="110">
        <v>0.88541666666666696</v>
      </c>
      <c r="DP90" s="209">
        <f>IF('Temperature Profiles'!Q89&gt;18,(0.0043*('Temperature Profiles'!Q89^2)-0.1116*'Temperature Profiles'!Q89+0.6576)*1000,IF('Temperature Profiles'!Q89&lt;17,(0.0053*('Temperature Profiles'!Q89^2)-0.1876*'Temperature Profiles'!Q89+1.7649)*1000,0))</f>
        <v>1364.0851944444444</v>
      </c>
      <c r="DQ90" s="110">
        <v>0.88541666666666696</v>
      </c>
      <c r="DR90" s="211">
        <f>IF('Temperature Profiles'!Q89&gt;18,(0.0057*('Temperature Profiles'!Q89^2)-0.1509*'Temperature Profiles'!Q89+0.8935)*1000,IF('Temperature Profiles'!Q89&lt;17,(0.0072*('Temperature Profiles'!Q89^2)-0.254*'Temperature Profiles'!Q89+2.3952)*1000,0))</f>
        <v>1737.4425833333337</v>
      </c>
      <c r="DS90" s="21"/>
      <c r="DT90" s="110">
        <v>0.88541666666666696</v>
      </c>
      <c r="DU90" s="209">
        <f>IF('Temperature Profiles'!V89&gt;18,(0.0024*('Temperature Profiles'!V89^2)-0.0581*'Temperature Profiles'!V89+0.3293)*1000,IF('Temperature Profiles'!V89&lt;17,(0.0022*('Temperature Profiles'!V89^2)-0.0874*'Temperature Profiles'!V89+0.9301)*1000,0))</f>
        <v>0</v>
      </c>
      <c r="DV90" s="110">
        <v>0.88541666666666696</v>
      </c>
      <c r="DW90" s="209">
        <f>IF('Temperature Profiles'!V89&gt;18,(0.0043*('Temperature Profiles'!V89^2)-0.1116*'Temperature Profiles'!V89+0.6576)*1000,IF('Temperature Profiles'!V89&lt;17,(0.0053*('Temperature Profiles'!V89^2)-0.1876*'Temperature Profiles'!V89+1.7649)*1000,0))</f>
        <v>0</v>
      </c>
      <c r="DX90" s="110">
        <v>0.88541666666666696</v>
      </c>
      <c r="DY90" s="211">
        <f>IF('Temperature Profiles'!V89&gt;18,(0.0057*('Temperature Profiles'!V89^2)-0.1509*'Temperature Profiles'!V89+0.8935)*1000,IF('Temperature Profiles'!V89&lt;17,(0.0072*('Temperature Profiles'!V89^2)-0.254*'Temperature Profiles'!V89+2.3952)*1000,0))</f>
        <v>0</v>
      </c>
      <c r="DZ90" s="21"/>
      <c r="EA90" s="110">
        <v>0.88541666666666696</v>
      </c>
      <c r="EB90" s="209">
        <f>IF('Temperature Profiles'!AA188&gt;18,(0.0024*('Temperature Profiles'!AA188^2)-0.0581*'Temperature Profiles'!AA188+0.3293)*1000,IF('Temperature Profiles'!AA188&lt;17,(0.0022*('Temperature Profiles'!AA188^2)-0.0874*'Temperature Profiles'!AA188+0.9301)*1000,0))</f>
        <v>593.81727777777769</v>
      </c>
      <c r="EC90" s="110">
        <v>0.88541666666666696</v>
      </c>
      <c r="ED90" s="209">
        <f>IF('Temperature Profiles'!AA188&gt;18,(0.0043*('Temperature Profiles'!AA188^2)-0.1116*'Temperature Profiles'!AA188+0.6576)*1000,IF('Temperature Profiles'!AA188&lt;17,(0.0053*('Temperature Profiles'!AA188^2)-0.1876*'Temperature Profiles'!AA188+1.7649)*1000,0))</f>
        <v>1053.8514722222221</v>
      </c>
      <c r="EE90" s="110">
        <v>0.88541666666666696</v>
      </c>
      <c r="EF90" s="211">
        <f>IF('Temperature Profiles'!AA188&gt;18,(0.0057*('Temperature Profiles'!AA188^2)-0.1509*'Temperature Profiles'!AA188+0.8935)*1000,IF('Temperature Profiles'!AA188&lt;17,(0.0072*('Temperature Profiles'!AA188^2)-0.254*'Temperature Profiles'!AA188+2.3952)*1000,0))</f>
        <v>1432.9286666666662</v>
      </c>
      <c r="EG90" s="21"/>
      <c r="EH90" s="110">
        <v>0.88541666666666696</v>
      </c>
      <c r="EI90" s="211">
        <f>IF('Temperature Profiles'!AF89&gt;18,(0.0024*('Temperature Profiles'!AF89^2)-0.0581*'Temperature Profiles'!AF89+0.3293)*1000,IF('Temperature Profiles'!AF89&lt;17,(0.0022*('Temperature Profiles'!AF89^2)-0.0874*'Temperature Profiles'!AF89+0.9301)*1000,0))</f>
        <v>1002.3273333333337</v>
      </c>
      <c r="EJ90" s="110">
        <v>0.88541666666666696</v>
      </c>
      <c r="EK90" s="211">
        <f>IF('Temperature Profiles'!AF89&gt;18,(0.0043*('Temperature Profiles'!AF89^2)-0.1116*'Temperature Profiles'!AF89+0.6576)*1000,IF('Temperature Profiles'!AF89&lt;17,(0.0053*('Temperature Profiles'!AF89^2)-0.1876*'Temperature Profiles'!AF89+1.7649)*1000,0))</f>
        <v>1617.5541111111124</v>
      </c>
      <c r="EL90" s="110">
        <v>0.88541666666666696</v>
      </c>
      <c r="EM90" s="211">
        <f>IF('Temperature Profiles'!AF89&gt;18,(0.0057*('Temperature Profiles'!AF89^2)-0.1509*'Temperature Profiles'!AF89+0.8935)*1000,IF('Temperature Profiles'!AF89&lt;17,(0.0072*('Temperature Profiles'!AF89^2)-0.254*'Temperature Profiles'!AF89+2.3952)*1000,0))</f>
        <v>2068.8403333333345</v>
      </c>
      <c r="EN90" s="21"/>
      <c r="EO90" s="110">
        <v>0.88541666666666696</v>
      </c>
      <c r="EP90" s="211"/>
      <c r="EQ90" s="21"/>
      <c r="ER90" s="110">
        <v>0.88541666666666696</v>
      </c>
      <c r="ES90" s="264"/>
      <c r="EU90" s="260">
        <v>0.88541666666666696</v>
      </c>
      <c r="EV90" s="209">
        <f>IF('Temperature Profiles'!AA188&gt;18,(0.0024*('Temperature Profiles'!AA188^2)-0.0581*'Temperature Profiles'!AA188+0.3293)*1000,IF('Temperature Profiles'!AA188&lt;17,(0.0022*('Temperature Profiles'!AA188^2)-0.0874*'Temperature Profiles'!AA188+0.9301)*1000,0))</f>
        <v>593.81727777777769</v>
      </c>
      <c r="EW90" s="110">
        <v>0.88541666666666696</v>
      </c>
      <c r="EX90" s="209">
        <f>IF('Temperature Profiles'!AA188&gt;18,(0.0043*('Temperature Profiles'!AA188^2)-0.1116*'Temperature Profiles'!AA188+0.6576)*1000,IF('Temperature Profiles'!AA188&lt;17,(0.0053*('Temperature Profiles'!AA188^2)-0.1876*'Temperature Profiles'!AA188+1.7649)*1000,0))</f>
        <v>1053.8514722222221</v>
      </c>
      <c r="EY90" s="110">
        <v>0.88541666666666696</v>
      </c>
      <c r="EZ90" s="264">
        <f>IF('Temperature Profiles'!AA188&gt;18,(0.0057*('Temperature Profiles'!AA188^2)-0.1509*'Temperature Profiles'!AA188+0.8935)*1000,IF('Temperature Profiles'!AA188&lt;17,(0.0072*('Temperature Profiles'!AA188^2)-0.254*'Temperature Profiles'!AA188+2.3952)*1000,0))</f>
        <v>1432.9286666666662</v>
      </c>
    </row>
    <row r="91" spans="1:156" x14ac:dyDescent="0.3">
      <c r="A91" s="108">
        <v>0.88541666666666696</v>
      </c>
      <c r="B91" s="226">
        <f t="shared" si="4"/>
        <v>0</v>
      </c>
      <c r="C91" s="21">
        <f t="shared" si="5"/>
        <v>276.33333333333331</v>
      </c>
      <c r="D91" s="20">
        <f t="shared" si="6"/>
        <v>1432.9286666666662</v>
      </c>
      <c r="E91" s="20">
        <f t="shared" si="7"/>
        <v>1432.9286666666662</v>
      </c>
      <c r="G91" s="260">
        <v>0.89583333333333304</v>
      </c>
      <c r="H91" s="211">
        <f>IF('Temperature Profiles'!G90&gt;17,(0.0029*('Temperature Profiles'!G90^2) - 0.0863*'Temperature Profiles'!G90 + 0.6808)*1000,0)</f>
        <v>89.202249999999921</v>
      </c>
      <c r="I91" s="110">
        <v>0.89583333333333304</v>
      </c>
      <c r="J91" s="211">
        <f>IF('Temperature Profiles'!G90&gt;17,(0.005*('Temperature Profiles'!G90^2) - 0.1517*'Temperature Profiles'!G90 + 1.1702)*1000,0)</f>
        <v>94.827500000000285</v>
      </c>
      <c r="K91" s="110">
        <v>0.89583333333333304</v>
      </c>
      <c r="L91" s="211">
        <f>IF('Temperature Profiles'!G90&gt;17,(0.0068*('Temperature Profiles'!G90^2) - 0.2129*'Temperature Profiles'!G90 + 1.6904)*1000,0)</f>
        <v>102.39200000000004</v>
      </c>
      <c r="M91" s="21"/>
      <c r="N91" s="110">
        <v>0.89583333333333304</v>
      </c>
      <c r="O91" s="211">
        <f>IF('Temperature Profiles'!L90&gt;17,(0.0029*('Temperature Profiles'!L90^2) - 0.0863*'Temperature Profiles'!L90 + 0.6808)*1000,0)</f>
        <v>138.99020138888872</v>
      </c>
      <c r="P91" s="110">
        <v>0.89583333333333304</v>
      </c>
      <c r="Q91" s="211">
        <f>IF('Temperature Profiles'!L90&gt;17,(0.005*('Temperature Profiles'!L90^2) - 0.1517*'Temperature Profiles'!L90 + 1.1702)*1000,0)</f>
        <v>175.70284722222195</v>
      </c>
      <c r="R91" s="110">
        <v>0.89583333333333304</v>
      </c>
      <c r="S91" s="211">
        <f>IF('Temperature Profiles'!L90&gt;17,(0.0068*('Temperature Profiles'!L90^2) - 0.2129*'Temperature Profiles'!L90 + 1.6904)*1000,0)</f>
        <v>201.12797222222235</v>
      </c>
      <c r="T91" s="21"/>
      <c r="U91" s="110">
        <v>0.89583333333333304</v>
      </c>
      <c r="V91" s="211">
        <f>IF('Temperature Profiles'!Q90&gt;17,(0.0029*('Temperature Profiles'!Q90^2) - 0.0863*'Temperature Profiles'!Q90 + 0.6808)*1000,0)</f>
        <v>812.79447222222234</v>
      </c>
      <c r="W91" s="110">
        <v>0.89583333333333304</v>
      </c>
      <c r="X91" s="211">
        <f>IF('Temperature Profiles'!Q90&gt;17,(0.005*('Temperature Profiles'!Q90^2) - 0.1517*'Temperature Profiles'!Q90 + 1.1702)*1000,0)</f>
        <v>1307.0330555555558</v>
      </c>
      <c r="Y91" s="110">
        <v>0.89583333333333304</v>
      </c>
      <c r="Z91" s="211">
        <f>IF('Temperature Profiles'!Q90&gt;17,(0.0068*('Temperature Profiles'!Q90^2) - 0.2129*'Temperature Profiles'!Q90 + 1.6904)*1000,0)</f>
        <v>1670.8375555555554</v>
      </c>
      <c r="AA91" s="21"/>
      <c r="AB91" s="110">
        <v>0.89583333333333304</v>
      </c>
      <c r="AC91" s="211">
        <f>IF('Temperature Profiles'!V90&gt;17,(0.0029*('Temperature Profiles'!V90^2) - 0.0863*'Temperature Profiles'!V90 + 0.6808)*1000,0)</f>
        <v>62.517701388888788</v>
      </c>
      <c r="AD91" s="110">
        <v>0.89583333333333304</v>
      </c>
      <c r="AE91" s="211">
        <f>IF('Temperature Profiles'!V90&gt;17,(0.005*('Temperature Profiles'!V90^2) - 0.1517*'Temperature Profiles'!V90 + 1.1702)*1000,0)</f>
        <v>52.622847222222326</v>
      </c>
      <c r="AF91" s="110">
        <v>0.89583333333333304</v>
      </c>
      <c r="AG91" s="211">
        <f>IF('Temperature Profiles'!V90&gt;17,(0.0068*('Temperature Profiles'!V90^2) - 0.2129*'Temperature Profiles'!V90 + 1.6904)*1000,0)</f>
        <v>53.612972222222055</v>
      </c>
      <c r="AH91" s="21"/>
      <c r="AI91" s="110">
        <v>0.89583333333333304</v>
      </c>
      <c r="AJ91" s="211">
        <f>IF('Temperature Profiles'!AA90&gt;17,(0.0029*('Temperature Profiles'!AA90^2) - 0.0863*'Temperature Profiles'!AA90 + 0.6808)*1000,0)</f>
        <v>0</v>
      </c>
      <c r="AK91" s="110">
        <v>0.89583333333333304</v>
      </c>
      <c r="AL91" s="211">
        <f>IF('Temperature Profiles'!AA90&gt;17,(0.005*('Temperature Profiles'!AA90^2) - 0.1517*'Temperature Profiles'!AA90 + 1.1701)*1000,0)</f>
        <v>0</v>
      </c>
      <c r="AM91" s="110">
        <v>0.89583333333333304</v>
      </c>
      <c r="AN91" s="211">
        <f>IF('Temperature Profiles'!AA90&gt;17,(0.0068*('Temperature Profiles'!AA90^2) - 0.2129*'Temperature Profiles'!AA90 + 1.6904)*1000,0)</f>
        <v>0</v>
      </c>
      <c r="AO91" s="21"/>
      <c r="AP91" s="110">
        <v>0.89583333333333304</v>
      </c>
      <c r="AQ91" s="211">
        <f>IF('Temperature Profiles'!AF90&gt;17,(0.0029*('Temperature Profiles'!AF90^2) - 0.0863*'Temperature Profiles'!AF90 + 0.6808)*1000,0)</f>
        <v>966.63455555555606</v>
      </c>
      <c r="AR91" s="110">
        <v>0.89583333333333304</v>
      </c>
      <c r="AS91" s="183">
        <f>IF('Temperature Profiles'!AF90&gt;17,(0.005*('Temperature Profiles'!AF90^2) - 0.1517*'Temperature Profiles'!AF90 + 1.1702)*1000,0)</f>
        <v>1567.7688888888893</v>
      </c>
      <c r="AT91" s="110">
        <v>0.89583333333333304</v>
      </c>
      <c r="AU91" s="211">
        <f>IF('Temperature Profiles'!AF90&gt;17,(0.0068*('Temperature Profiles'!AF90^2) - 0.2129*'Temperature Profiles'!AF90 + 1.6904)*1000,0)</f>
        <v>2015.2268888888893</v>
      </c>
      <c r="AV91" s="21"/>
      <c r="AW91" s="110">
        <v>0.89583333333333304</v>
      </c>
      <c r="AX91" s="211"/>
      <c r="AY91" s="21"/>
      <c r="AZ91" s="110">
        <v>0.89583333333333304</v>
      </c>
      <c r="BA91" s="264"/>
      <c r="BC91" s="260">
        <v>0.89583333333333304</v>
      </c>
      <c r="BD91" s="211">
        <f>IF('Temperature Profiles'!G90&lt;16,(-0.0037*'Temperature Profiles'!G90+0.0664)*1000,0)</f>
        <v>0</v>
      </c>
      <c r="BE91" s="110">
        <v>0.89583333333333304</v>
      </c>
      <c r="BF91" s="211">
        <f>IF('Temperature Profiles'!G90&lt;16,(-0.0076*'Temperature Profiles'!G90+0.1245)*1000,0)</f>
        <v>0</v>
      </c>
      <c r="BG91" s="110">
        <v>0.89583333333333304</v>
      </c>
      <c r="BH91" s="211">
        <f>IF('Temperature Profiles'!G90&lt;16,(-0.01*'Temperature Profiles'!G90+0.167)*1000,0)</f>
        <v>0</v>
      </c>
      <c r="BI91" s="21"/>
      <c r="BJ91" s="110">
        <v>0.89583333333333304</v>
      </c>
      <c r="BK91" s="211">
        <f>IF('Temperature Profiles'!L90&lt;16,(-0.0037*'Temperature Profiles'!L90+0.0664)*1000,0)</f>
        <v>0</v>
      </c>
      <c r="BL91" s="110">
        <v>0.89583333333333304</v>
      </c>
      <c r="BM91" s="211">
        <f>IF('Temperature Profiles'!L90&lt;16,(-0.0076*'Temperature Profiles'!L90+0.1245)*1000,0)</f>
        <v>0</v>
      </c>
      <c r="BN91" s="110">
        <v>0.89583333333333304</v>
      </c>
      <c r="BO91" s="211">
        <f>IF('Temperature Profiles'!L90&lt;16,(-0.01*'Temperature Profiles'!L90+0.167)*1000,0)</f>
        <v>0</v>
      </c>
      <c r="BP91" s="21"/>
      <c r="BQ91" s="110">
        <v>0.89583333333333304</v>
      </c>
      <c r="BR91" s="211">
        <f>IF('Temperature Profiles'!Q90&lt;16,(-0.0037*'Temperature Profiles'!Q90+0.0664)*1000,0)</f>
        <v>0</v>
      </c>
      <c r="BS91" s="110">
        <v>0.89583333333333304</v>
      </c>
      <c r="BT91" s="211">
        <f>IF('Temperature Profiles'!Q90&lt;16,(-0.0076*'Temperature Profiles'!Q90+0.1245)*1000,0)</f>
        <v>0</v>
      </c>
      <c r="BU91" s="110">
        <v>0.89583333333333304</v>
      </c>
      <c r="BV91" s="211">
        <f>IF('Temperature Profiles'!Q90&lt;16,(-0.01*'Temperature Profiles'!Q90+0.167)*1000,0)</f>
        <v>0</v>
      </c>
      <c r="BW91" s="21"/>
      <c r="BX91" s="110">
        <v>0.89583333333333304</v>
      </c>
      <c r="BY91" s="211">
        <f>IF('Temperature Profiles'!V90&lt;16,(-0.0037*'Temperature Profiles'!V90+0.0664)*1000,0)</f>
        <v>0</v>
      </c>
      <c r="BZ91" s="110">
        <v>0.89583333333333304</v>
      </c>
      <c r="CA91" s="211">
        <f>IF('Temperature Profiles'!V90&lt;16,(-0.0076*'Temperature Profiles'!V90+0.1245)*1000,0)</f>
        <v>0</v>
      </c>
      <c r="CB91" s="110">
        <v>0.89583333333333304</v>
      </c>
      <c r="CC91" s="211">
        <f>IF('Temperature Profiles'!V90&lt;16,(-0.01*'Temperature Profiles'!V90+0.167)*1000,0)</f>
        <v>0</v>
      </c>
      <c r="CD91" s="21"/>
      <c r="CE91" s="110">
        <v>0.89583333333333304</v>
      </c>
      <c r="CF91" s="211">
        <f>IF('Temperature Profiles'!AA90&lt;16,(-0.0037*'Temperature Profiles'!AA90+0.0664)*1000,0)</f>
        <v>106.85333333333332</v>
      </c>
      <c r="CG91" s="110">
        <v>0.89583333333333304</v>
      </c>
      <c r="CH91" s="178">
        <f>IF('Temperature Profiles'!AA90&lt;16,(-0.0076*'Temperature Profiles'!AA90+0.1245)*1000,0)</f>
        <v>207.59333333333336</v>
      </c>
      <c r="CI91" s="110">
        <v>0.89583333333333304</v>
      </c>
      <c r="CJ91" s="211">
        <f>IF('Temperature Profiles'!AA90&lt;16,(-0.01*'Temperature Profiles'!AA90+0.167)*1000,0)</f>
        <v>276.33333333333331</v>
      </c>
      <c r="CK91" s="21"/>
      <c r="CL91" s="110">
        <v>0.89583333333333304</v>
      </c>
      <c r="CM91" s="211">
        <f>IF('Temperature Profiles'!AF90&lt;16,(-0.0037*'Temperature Profiles'!AF90+0.0664)*1000,0)</f>
        <v>0</v>
      </c>
      <c r="CN91" s="110">
        <v>0.89583333333333304</v>
      </c>
      <c r="CO91" s="178">
        <f>IF('Temperature Profiles'!AF90&lt;16,(-0.0076*'Temperature Profiles'!AF90+0.1245)*1000,0)</f>
        <v>0</v>
      </c>
      <c r="CP91" s="110">
        <v>0.89583333333333304</v>
      </c>
      <c r="CQ91" s="211">
        <f>IF('Temperature Profiles'!AF90&lt;16,(-0.01*'Temperature Profiles'!AF90+0.167)*1000,0)</f>
        <v>0</v>
      </c>
      <c r="CR91" s="21"/>
      <c r="CS91" s="110">
        <v>0.89583333333333304</v>
      </c>
      <c r="CT91" s="211"/>
      <c r="CU91" s="21"/>
      <c r="CV91" s="110">
        <v>0.89583333333333304</v>
      </c>
      <c r="CW91" s="264"/>
      <c r="CY91" s="260">
        <v>0.89583333333333304</v>
      </c>
      <c r="CZ91" s="178">
        <f>IF('Temperature Profiles'!G90&gt;18,(0.0024*('Temperature Profiles'!G90^2)-0.0581*'Temperature Profiles'!G90+0.3293)*1000,IF('Temperature Profiles'!G90&lt;17,(0.0022*('Temperature Profiles'!G90^2)-0.0874*'Temperature Profiles'!G90+0.9301)*1000,0))</f>
        <v>93.460999999999956</v>
      </c>
      <c r="DA91" s="110">
        <v>0.89583333333333304</v>
      </c>
      <c r="DB91" s="263">
        <f>IF('Temperature Profiles'!G90&gt;18,(0.0043*('Temperature Profiles'!G90^2)-0.1116*'Temperature Profiles'!G90+0.6576)*1000,IF('Temperature Profiles'!G90&lt;17,(0.0053*('Temperature Profiles'!G90^2)-0.1876*'Temperature Profiles'!G90+1.7649)*1000,0))</f>
        <v>92.100749999999948</v>
      </c>
      <c r="DC91" s="110">
        <v>0.89583333333333304</v>
      </c>
      <c r="DD91" s="211">
        <f>IF('Temperature Profiles'!G90&gt;18,(0.0057*('Temperature Profiles'!G90^2)-0.1509*'Temperature Profiles'!G90+0.8935)*1000,IF('Temperature Profiles'!G90&lt;17,(0.0072*('Temperature Profiles'!G90^2)-0.254*'Temperature Profiles'!G90+2.3952)*1000,0))</f>
        <v>87.399250000000265</v>
      </c>
      <c r="DE91" s="21"/>
      <c r="DF91" s="110">
        <v>0.89583333333333304</v>
      </c>
      <c r="DG91" s="209">
        <f>IF('Temperature Profiles'!L90&gt;18,(0.0024*('Temperature Profiles'!L90^2)-0.0581*'Temperature Profiles'!L90+0.3293)*1000,IF('Temperature Profiles'!L90&lt;17,(0.0022*('Temperature Profiles'!L90^2)-0.0874*'Temperature Profiles'!L90+0.9301)*1000,0))</f>
        <v>157.42099999999988</v>
      </c>
      <c r="DH91" s="110">
        <v>0.89583333333333304</v>
      </c>
      <c r="DI91" s="209">
        <f>IF('Temperature Profiles'!L90&gt;18,(0.0043*('Temperature Profiles'!L90^2)-0.1116*'Temperature Profiles'!L90+0.6576)*1000,IF('Temperature Profiles'!L90&lt;17,(0.0053*('Temperature Profiles'!L90^2)-0.1876*'Temperature Profiles'!L90+1.7649)*1000,0))</f>
        <v>193.87613194444441</v>
      </c>
      <c r="DJ91" s="110">
        <v>0.89583333333333304</v>
      </c>
      <c r="DK91" s="211">
        <f>IF('Temperature Profiles'!L90&gt;18,(0.0057*('Temperature Profiles'!L90^2)-0.1509*'Temperature Profiles'!L90+0.8935)*1000,IF('Temperature Profiles'!L90&lt;17,(0.0072*('Temperature Profiles'!L90^2)-0.254*'Temperature Profiles'!L90+2.3952)*1000,0))</f>
        <v>217.24539583333336</v>
      </c>
      <c r="DL91" s="21"/>
      <c r="DM91" s="110">
        <v>0.89583333333333304</v>
      </c>
      <c r="DN91" s="209">
        <f>IF('Temperature Profiles'!Q90&gt;18,(0.0024*('Temperature Profiles'!Q90^2)-0.0581*'Temperature Profiles'!Q90+0.3293)*1000,IF('Temperature Profiles'!Q90&lt;17,(0.0022*('Temperature Profiles'!Q90^2)-0.0874*'Temperature Profiles'!Q90+0.9301)*1000,0))</f>
        <v>854.36433333333332</v>
      </c>
      <c r="DO91" s="110">
        <v>0.89583333333333304</v>
      </c>
      <c r="DP91" s="209">
        <f>IF('Temperature Profiles'!Q90&gt;18,(0.0043*('Temperature Profiles'!Q90^2)-0.1116*'Temperature Profiles'!Q90+0.6576)*1000,IF('Temperature Profiles'!Q90&lt;17,(0.0053*('Temperature Profiles'!Q90^2)-0.1876*'Temperature Profiles'!Q90+1.7649)*1000,0))</f>
        <v>1364.0851944444444</v>
      </c>
      <c r="DQ91" s="110">
        <v>0.89583333333333304</v>
      </c>
      <c r="DR91" s="211">
        <f>IF('Temperature Profiles'!Q90&gt;18,(0.0057*('Temperature Profiles'!Q90^2)-0.1509*'Temperature Profiles'!Q90+0.8935)*1000,IF('Temperature Profiles'!Q90&lt;17,(0.0072*('Temperature Profiles'!Q90^2)-0.254*'Temperature Profiles'!Q90+2.3952)*1000,0))</f>
        <v>1737.4425833333337</v>
      </c>
      <c r="DS91" s="21"/>
      <c r="DT91" s="110">
        <v>0.89583333333333304</v>
      </c>
      <c r="DU91" s="209">
        <f>IF('Temperature Profiles'!V90&gt;18,(0.0024*('Temperature Profiles'!V90^2)-0.0581*'Temperature Profiles'!V90+0.3293)*1000,IF('Temperature Profiles'!V90&lt;17,(0.0022*('Temperature Profiles'!V90^2)-0.0874*'Temperature Profiles'!V90+0.9301)*1000,0))</f>
        <v>0</v>
      </c>
      <c r="DV91" s="110">
        <v>0.89583333333333304</v>
      </c>
      <c r="DW91" s="209">
        <f>IF('Temperature Profiles'!V90&gt;18,(0.0043*('Temperature Profiles'!V90^2)-0.1116*'Temperature Profiles'!V90+0.6576)*1000,IF('Temperature Profiles'!V90&lt;17,(0.0053*('Temperature Profiles'!V90^2)-0.1876*'Temperature Profiles'!V90+1.7649)*1000,0))</f>
        <v>0</v>
      </c>
      <c r="DX91" s="110">
        <v>0.89583333333333304</v>
      </c>
      <c r="DY91" s="211">
        <f>IF('Temperature Profiles'!V90&gt;18,(0.0057*('Temperature Profiles'!V90^2)-0.1509*'Temperature Profiles'!V90+0.8935)*1000,IF('Temperature Profiles'!V90&lt;17,(0.0072*('Temperature Profiles'!V90^2)-0.254*'Temperature Profiles'!V90+2.3952)*1000,0))</f>
        <v>0</v>
      </c>
      <c r="DZ91" s="21"/>
      <c r="EA91" s="110">
        <v>0.89583333333333304</v>
      </c>
      <c r="EB91" s="209">
        <f>IF('Temperature Profiles'!AA189&gt;18,(0.0024*('Temperature Profiles'!AA189^2)-0.0581*'Temperature Profiles'!AA189+0.3293)*1000,IF('Temperature Profiles'!AA189&lt;17,(0.0022*('Temperature Profiles'!AA189^2)-0.0874*'Temperature Profiles'!AA189+0.9301)*1000,0))</f>
        <v>593.81727777777769</v>
      </c>
      <c r="EC91" s="110">
        <v>0.89583333333333304</v>
      </c>
      <c r="ED91" s="209">
        <f>IF('Temperature Profiles'!AA189&gt;18,(0.0043*('Temperature Profiles'!AA189^2)-0.1116*'Temperature Profiles'!AA189+0.6576)*1000,IF('Temperature Profiles'!AA189&lt;17,(0.0053*('Temperature Profiles'!AA189^2)-0.1876*'Temperature Profiles'!AA189+1.7649)*1000,0))</f>
        <v>1053.8514722222221</v>
      </c>
      <c r="EE91" s="110">
        <v>0.89583333333333304</v>
      </c>
      <c r="EF91" s="211">
        <f>IF('Temperature Profiles'!AA189&gt;18,(0.0057*('Temperature Profiles'!AA189^2)-0.1509*'Temperature Profiles'!AA189+0.8935)*1000,IF('Temperature Profiles'!AA189&lt;17,(0.0072*('Temperature Profiles'!AA189^2)-0.254*'Temperature Profiles'!AA189+2.3952)*1000,0))</f>
        <v>1432.9286666666662</v>
      </c>
      <c r="EG91" s="21"/>
      <c r="EH91" s="110">
        <v>0.89583333333333304</v>
      </c>
      <c r="EI91" s="211">
        <f>IF('Temperature Profiles'!AF90&gt;18,(0.0024*('Temperature Profiles'!AF90^2)-0.0581*'Temperature Profiles'!AF90+0.3293)*1000,IF('Temperature Profiles'!AF90&lt;17,(0.0022*('Temperature Profiles'!AF90^2)-0.0874*'Temperature Profiles'!AF90+0.9301)*1000,0))</f>
        <v>1002.3273333333337</v>
      </c>
      <c r="EJ91" s="110">
        <v>0.89583333333333304</v>
      </c>
      <c r="EK91" s="211">
        <f>IF('Temperature Profiles'!AF90&gt;18,(0.0043*('Temperature Profiles'!AF90^2)-0.1116*'Temperature Profiles'!AF90+0.6576)*1000,IF('Temperature Profiles'!AF90&lt;17,(0.0053*('Temperature Profiles'!AF90^2)-0.1876*'Temperature Profiles'!AF90+1.7649)*1000,0))</f>
        <v>1617.5541111111124</v>
      </c>
      <c r="EL91" s="110">
        <v>0.89583333333333304</v>
      </c>
      <c r="EM91" s="211">
        <f>IF('Temperature Profiles'!AF90&gt;18,(0.0057*('Temperature Profiles'!AF90^2)-0.1509*'Temperature Profiles'!AF90+0.8935)*1000,IF('Temperature Profiles'!AF90&lt;17,(0.0072*('Temperature Profiles'!AF90^2)-0.254*'Temperature Profiles'!AF90+2.3952)*1000,0))</f>
        <v>2068.8403333333345</v>
      </c>
      <c r="EN91" s="21"/>
      <c r="EO91" s="110">
        <v>0.89583333333333304</v>
      </c>
      <c r="EP91" s="211"/>
      <c r="EQ91" s="21"/>
      <c r="ER91" s="110">
        <v>0.89583333333333304</v>
      </c>
      <c r="ES91" s="264"/>
      <c r="EU91" s="260">
        <v>0.89583333333333304</v>
      </c>
      <c r="EV91" s="209">
        <f>IF('Temperature Profiles'!AA189&gt;18,(0.0024*('Temperature Profiles'!AA189^2)-0.0581*'Temperature Profiles'!AA189+0.3293)*1000,IF('Temperature Profiles'!AA189&lt;17,(0.0022*('Temperature Profiles'!AA189^2)-0.0874*'Temperature Profiles'!AA189+0.9301)*1000,0))</f>
        <v>593.81727777777769</v>
      </c>
      <c r="EW91" s="110">
        <v>0.89583333333333304</v>
      </c>
      <c r="EX91" s="209">
        <f>IF('Temperature Profiles'!AA189&gt;18,(0.0043*('Temperature Profiles'!AA189^2)-0.1116*'Temperature Profiles'!AA189+0.6576)*1000,IF('Temperature Profiles'!AA189&lt;17,(0.0053*('Temperature Profiles'!AA189^2)-0.1876*'Temperature Profiles'!AA189+1.7649)*1000,0))</f>
        <v>1053.8514722222221</v>
      </c>
      <c r="EY91" s="110">
        <v>0.89583333333333304</v>
      </c>
      <c r="EZ91" s="264">
        <f>IF('Temperature Profiles'!AA189&gt;18,(0.0057*('Temperature Profiles'!AA189^2)-0.1509*'Temperature Profiles'!AA189+0.8935)*1000,IF('Temperature Profiles'!AA189&lt;17,(0.0072*('Temperature Profiles'!AA189^2)-0.254*'Temperature Profiles'!AA189+2.3952)*1000,0))</f>
        <v>1432.9286666666662</v>
      </c>
    </row>
    <row r="92" spans="1:156" x14ac:dyDescent="0.3">
      <c r="A92" s="108">
        <v>0.89583333333333304</v>
      </c>
      <c r="B92" s="226">
        <f t="shared" si="4"/>
        <v>0</v>
      </c>
      <c r="C92" s="21">
        <f t="shared" si="5"/>
        <v>276.33333333333331</v>
      </c>
      <c r="D92" s="20">
        <f t="shared" si="6"/>
        <v>1432.9286666666662</v>
      </c>
      <c r="E92" s="20">
        <f t="shared" si="7"/>
        <v>1432.9286666666662</v>
      </c>
      <c r="G92" s="260">
        <v>0.90625</v>
      </c>
      <c r="H92" s="211">
        <f>IF('Temperature Profiles'!G91&gt;17,(0.0029*('Temperature Profiles'!G91^2) - 0.0863*'Temperature Profiles'!G91 + 0.6808)*1000,0)</f>
        <v>89.202249999999921</v>
      </c>
      <c r="I92" s="110">
        <v>0.90625</v>
      </c>
      <c r="J92" s="211">
        <f>IF('Temperature Profiles'!G91&gt;17,(0.005*('Temperature Profiles'!G91^2) - 0.1517*'Temperature Profiles'!G91 + 1.1702)*1000,0)</f>
        <v>94.827500000000285</v>
      </c>
      <c r="K92" s="110">
        <v>0.90625</v>
      </c>
      <c r="L92" s="211">
        <f>IF('Temperature Profiles'!G91&gt;17,(0.0068*('Temperature Profiles'!G91^2) - 0.2129*'Temperature Profiles'!G91 + 1.6904)*1000,0)</f>
        <v>102.39200000000004</v>
      </c>
      <c r="M92" s="21"/>
      <c r="N92" s="110">
        <v>0.90625</v>
      </c>
      <c r="O92" s="211">
        <f>IF('Temperature Profiles'!L91&gt;17,(0.0029*('Temperature Profiles'!L91^2) - 0.0863*'Temperature Profiles'!L91 + 0.6808)*1000,0)</f>
        <v>138.99020138888872</v>
      </c>
      <c r="P92" s="110">
        <v>0.90625</v>
      </c>
      <c r="Q92" s="211">
        <f>IF('Temperature Profiles'!L91&gt;17,(0.005*('Temperature Profiles'!L91^2) - 0.1517*'Temperature Profiles'!L91 + 1.1702)*1000,0)</f>
        <v>175.70284722222195</v>
      </c>
      <c r="R92" s="110">
        <v>0.90625</v>
      </c>
      <c r="S92" s="211">
        <f>IF('Temperature Profiles'!L91&gt;17,(0.0068*('Temperature Profiles'!L91^2) - 0.2129*'Temperature Profiles'!L91 + 1.6904)*1000,0)</f>
        <v>201.12797222222235</v>
      </c>
      <c r="T92" s="21"/>
      <c r="U92" s="110">
        <v>0.90625</v>
      </c>
      <c r="V92" s="211">
        <f>IF('Temperature Profiles'!Q91&gt;17,(0.0029*('Temperature Profiles'!Q91^2) - 0.0863*'Temperature Profiles'!Q91 + 0.6808)*1000,0)</f>
        <v>812.79447222222234</v>
      </c>
      <c r="W92" s="110">
        <v>0.90625</v>
      </c>
      <c r="X92" s="211">
        <f>IF('Temperature Profiles'!Q91&gt;17,(0.005*('Temperature Profiles'!Q91^2) - 0.1517*'Temperature Profiles'!Q91 + 1.1702)*1000,0)</f>
        <v>1307.0330555555558</v>
      </c>
      <c r="Y92" s="110">
        <v>0.90625</v>
      </c>
      <c r="Z92" s="211">
        <f>IF('Temperature Profiles'!Q91&gt;17,(0.0068*('Temperature Profiles'!Q91^2) - 0.2129*'Temperature Profiles'!Q91 + 1.6904)*1000,0)</f>
        <v>1670.8375555555554</v>
      </c>
      <c r="AA92" s="21"/>
      <c r="AB92" s="110">
        <v>0.90625</v>
      </c>
      <c r="AC92" s="211">
        <f>IF('Temperature Profiles'!V91&gt;17,(0.0029*('Temperature Profiles'!V91^2) - 0.0863*'Temperature Profiles'!V91 + 0.6808)*1000,0)</f>
        <v>62.517701388888788</v>
      </c>
      <c r="AD92" s="110">
        <v>0.90625</v>
      </c>
      <c r="AE92" s="211">
        <f>IF('Temperature Profiles'!V91&gt;17,(0.005*('Temperature Profiles'!V91^2) - 0.1517*'Temperature Profiles'!V91 + 1.1702)*1000,0)</f>
        <v>52.622847222222326</v>
      </c>
      <c r="AF92" s="110">
        <v>0.90625</v>
      </c>
      <c r="AG92" s="211">
        <f>IF('Temperature Profiles'!V91&gt;17,(0.0068*('Temperature Profiles'!V91^2) - 0.2129*'Temperature Profiles'!V91 + 1.6904)*1000,0)</f>
        <v>53.612972222222055</v>
      </c>
      <c r="AH92" s="21"/>
      <c r="AI92" s="110">
        <v>0.90625</v>
      </c>
      <c r="AJ92" s="211">
        <f>IF('Temperature Profiles'!AA91&gt;17,(0.0029*('Temperature Profiles'!AA91^2) - 0.0863*'Temperature Profiles'!AA91 + 0.6808)*1000,0)</f>
        <v>0</v>
      </c>
      <c r="AK92" s="110">
        <v>0.90625</v>
      </c>
      <c r="AL92" s="211">
        <f>IF('Temperature Profiles'!AA91&gt;17,(0.005*('Temperature Profiles'!AA91^2) - 0.1517*'Temperature Profiles'!AA91 + 1.1701)*1000,0)</f>
        <v>0</v>
      </c>
      <c r="AM92" s="110">
        <v>0.90625</v>
      </c>
      <c r="AN92" s="211">
        <f>IF('Temperature Profiles'!AA91&gt;17,(0.0068*('Temperature Profiles'!AA91^2) - 0.2129*'Temperature Profiles'!AA91 + 1.6904)*1000,0)</f>
        <v>0</v>
      </c>
      <c r="AO92" s="21"/>
      <c r="AP92" s="110">
        <v>0.90625</v>
      </c>
      <c r="AQ92" s="211">
        <f>IF('Temperature Profiles'!AF91&gt;17,(0.0029*('Temperature Profiles'!AF91^2) - 0.0863*'Temperature Profiles'!AF91 + 0.6808)*1000,0)</f>
        <v>966.63455555555606</v>
      </c>
      <c r="AR92" s="110">
        <v>0.90625</v>
      </c>
      <c r="AS92" s="183">
        <f>IF('Temperature Profiles'!AF91&gt;17,(0.005*('Temperature Profiles'!AF91^2) - 0.1517*'Temperature Profiles'!AF91 + 1.1702)*1000,0)</f>
        <v>1567.7688888888893</v>
      </c>
      <c r="AT92" s="110">
        <v>0.90625</v>
      </c>
      <c r="AU92" s="211">
        <f>IF('Temperature Profiles'!AF91&gt;17,(0.0068*('Temperature Profiles'!AF91^2) - 0.2129*'Temperature Profiles'!AF91 + 1.6904)*1000,0)</f>
        <v>2015.2268888888893</v>
      </c>
      <c r="AV92" s="21"/>
      <c r="AW92" s="110">
        <v>0.90625</v>
      </c>
      <c r="AX92" s="211"/>
      <c r="AY92" s="21"/>
      <c r="AZ92" s="110">
        <v>0.90625</v>
      </c>
      <c r="BA92" s="264"/>
      <c r="BC92" s="260">
        <v>0.90625</v>
      </c>
      <c r="BD92" s="211">
        <f>IF('Temperature Profiles'!G91&lt;16,(-0.0037*'Temperature Profiles'!G91+0.0664)*1000,0)</f>
        <v>0</v>
      </c>
      <c r="BE92" s="110">
        <v>0.90625</v>
      </c>
      <c r="BF92" s="211">
        <f>IF('Temperature Profiles'!G91&lt;16,(-0.0076*'Temperature Profiles'!G91+0.1245)*1000,0)</f>
        <v>0</v>
      </c>
      <c r="BG92" s="110">
        <v>0.90625</v>
      </c>
      <c r="BH92" s="211">
        <f>IF('Temperature Profiles'!G91&lt;16,(-0.01*'Temperature Profiles'!G91+0.167)*1000,0)</f>
        <v>0</v>
      </c>
      <c r="BI92" s="21"/>
      <c r="BJ92" s="110">
        <v>0.90625</v>
      </c>
      <c r="BK92" s="211">
        <f>IF('Temperature Profiles'!L91&lt;16,(-0.0037*'Temperature Profiles'!L91+0.0664)*1000,0)</f>
        <v>0</v>
      </c>
      <c r="BL92" s="110">
        <v>0.90625</v>
      </c>
      <c r="BM92" s="211">
        <f>IF('Temperature Profiles'!L91&lt;16,(-0.0076*'Temperature Profiles'!L91+0.1245)*1000,0)</f>
        <v>0</v>
      </c>
      <c r="BN92" s="110">
        <v>0.90625</v>
      </c>
      <c r="BO92" s="211">
        <f>IF('Temperature Profiles'!L91&lt;16,(-0.01*'Temperature Profiles'!L91+0.167)*1000,0)</f>
        <v>0</v>
      </c>
      <c r="BP92" s="21"/>
      <c r="BQ92" s="110">
        <v>0.90625</v>
      </c>
      <c r="BR92" s="211">
        <f>IF('Temperature Profiles'!Q91&lt;16,(-0.0037*'Temperature Profiles'!Q91+0.0664)*1000,0)</f>
        <v>0</v>
      </c>
      <c r="BS92" s="110">
        <v>0.90625</v>
      </c>
      <c r="BT92" s="211">
        <f>IF('Temperature Profiles'!Q91&lt;16,(-0.0076*'Temperature Profiles'!Q91+0.1245)*1000,0)</f>
        <v>0</v>
      </c>
      <c r="BU92" s="110">
        <v>0.90625</v>
      </c>
      <c r="BV92" s="211">
        <f>IF('Temperature Profiles'!Q91&lt;16,(-0.01*'Temperature Profiles'!Q91+0.167)*1000,0)</f>
        <v>0</v>
      </c>
      <c r="BW92" s="21"/>
      <c r="BX92" s="110">
        <v>0.90625</v>
      </c>
      <c r="BY92" s="211">
        <f>IF('Temperature Profiles'!V91&lt;16,(-0.0037*'Temperature Profiles'!V91+0.0664)*1000,0)</f>
        <v>0</v>
      </c>
      <c r="BZ92" s="110">
        <v>0.90625</v>
      </c>
      <c r="CA92" s="211">
        <f>IF('Temperature Profiles'!V91&lt;16,(-0.0076*'Temperature Profiles'!V91+0.1245)*1000,0)</f>
        <v>0</v>
      </c>
      <c r="CB92" s="110">
        <v>0.90625</v>
      </c>
      <c r="CC92" s="211">
        <f>IF('Temperature Profiles'!V91&lt;16,(-0.01*'Temperature Profiles'!V91+0.167)*1000,0)</f>
        <v>0</v>
      </c>
      <c r="CD92" s="21"/>
      <c r="CE92" s="110">
        <v>0.90625</v>
      </c>
      <c r="CF92" s="211">
        <f>IF('Temperature Profiles'!AA91&lt;16,(-0.0037*'Temperature Profiles'!AA91+0.0664)*1000,0)</f>
        <v>106.85333333333332</v>
      </c>
      <c r="CG92" s="110">
        <v>0.90625</v>
      </c>
      <c r="CH92" s="178">
        <f>IF('Temperature Profiles'!AA91&lt;16,(-0.0076*'Temperature Profiles'!AA91+0.1245)*1000,0)</f>
        <v>207.59333333333336</v>
      </c>
      <c r="CI92" s="110">
        <v>0.90625</v>
      </c>
      <c r="CJ92" s="211">
        <f>IF('Temperature Profiles'!AA91&lt;16,(-0.01*'Temperature Profiles'!AA91+0.167)*1000,0)</f>
        <v>276.33333333333331</v>
      </c>
      <c r="CK92" s="21"/>
      <c r="CL92" s="110">
        <v>0.90625</v>
      </c>
      <c r="CM92" s="211">
        <f>IF('Temperature Profiles'!AF91&lt;16,(-0.0037*'Temperature Profiles'!AF91+0.0664)*1000,0)</f>
        <v>0</v>
      </c>
      <c r="CN92" s="110">
        <v>0.90625</v>
      </c>
      <c r="CO92" s="178">
        <f>IF('Temperature Profiles'!AF91&lt;16,(-0.0076*'Temperature Profiles'!AF91+0.1245)*1000,0)</f>
        <v>0</v>
      </c>
      <c r="CP92" s="110">
        <v>0.90625</v>
      </c>
      <c r="CQ92" s="211">
        <f>IF('Temperature Profiles'!AF91&lt;16,(-0.01*'Temperature Profiles'!AF91+0.167)*1000,0)</f>
        <v>0</v>
      </c>
      <c r="CR92" s="21"/>
      <c r="CS92" s="110">
        <v>0.90625</v>
      </c>
      <c r="CT92" s="211"/>
      <c r="CU92" s="21"/>
      <c r="CV92" s="110">
        <v>0.90625</v>
      </c>
      <c r="CW92" s="264"/>
      <c r="CY92" s="260">
        <v>0.90625</v>
      </c>
      <c r="CZ92" s="178">
        <f>IF('Temperature Profiles'!G91&gt;18,(0.0024*('Temperature Profiles'!G91^2)-0.0581*'Temperature Profiles'!G91+0.3293)*1000,IF('Temperature Profiles'!G91&lt;17,(0.0022*('Temperature Profiles'!G91^2)-0.0874*'Temperature Profiles'!G91+0.9301)*1000,0))</f>
        <v>93.460999999999956</v>
      </c>
      <c r="DA92" s="110">
        <v>0.90625</v>
      </c>
      <c r="DB92" s="263">
        <f>IF('Temperature Profiles'!G91&gt;18,(0.0043*('Temperature Profiles'!G91^2)-0.1116*'Temperature Profiles'!G91+0.6576)*1000,IF('Temperature Profiles'!G91&lt;17,(0.0053*('Temperature Profiles'!G91^2)-0.1876*'Temperature Profiles'!G91+1.7649)*1000,0))</f>
        <v>92.100749999999948</v>
      </c>
      <c r="DC92" s="110">
        <v>0.90625</v>
      </c>
      <c r="DD92" s="211">
        <f>IF('Temperature Profiles'!G91&gt;18,(0.0057*('Temperature Profiles'!G91^2)-0.1509*'Temperature Profiles'!G91+0.8935)*1000,IF('Temperature Profiles'!G91&lt;17,(0.0072*('Temperature Profiles'!G91^2)-0.254*'Temperature Profiles'!G91+2.3952)*1000,0))</f>
        <v>87.399250000000265</v>
      </c>
      <c r="DE92" s="21"/>
      <c r="DF92" s="110">
        <v>0.90625</v>
      </c>
      <c r="DG92" s="209">
        <f>IF('Temperature Profiles'!L91&gt;18,(0.0024*('Temperature Profiles'!L91^2)-0.0581*'Temperature Profiles'!L91+0.3293)*1000,IF('Temperature Profiles'!L91&lt;17,(0.0022*('Temperature Profiles'!L91^2)-0.0874*'Temperature Profiles'!L91+0.9301)*1000,0))</f>
        <v>157.42099999999988</v>
      </c>
      <c r="DH92" s="110">
        <v>0.90625</v>
      </c>
      <c r="DI92" s="209">
        <f>IF('Temperature Profiles'!L91&gt;18,(0.0043*('Temperature Profiles'!L91^2)-0.1116*'Temperature Profiles'!L91+0.6576)*1000,IF('Temperature Profiles'!L91&lt;17,(0.0053*('Temperature Profiles'!L91^2)-0.1876*'Temperature Profiles'!L91+1.7649)*1000,0))</f>
        <v>193.87613194444441</v>
      </c>
      <c r="DJ92" s="110">
        <v>0.90625</v>
      </c>
      <c r="DK92" s="211">
        <f>IF('Temperature Profiles'!L91&gt;18,(0.0057*('Temperature Profiles'!L91^2)-0.1509*'Temperature Profiles'!L91+0.8935)*1000,IF('Temperature Profiles'!L91&lt;17,(0.0072*('Temperature Profiles'!L91^2)-0.254*'Temperature Profiles'!L91+2.3952)*1000,0))</f>
        <v>217.24539583333336</v>
      </c>
      <c r="DL92" s="21"/>
      <c r="DM92" s="110">
        <v>0.90625</v>
      </c>
      <c r="DN92" s="209">
        <f>IF('Temperature Profiles'!Q91&gt;18,(0.0024*('Temperature Profiles'!Q91^2)-0.0581*'Temperature Profiles'!Q91+0.3293)*1000,IF('Temperature Profiles'!Q91&lt;17,(0.0022*('Temperature Profiles'!Q91^2)-0.0874*'Temperature Profiles'!Q91+0.9301)*1000,0))</f>
        <v>854.36433333333332</v>
      </c>
      <c r="DO92" s="110">
        <v>0.90625</v>
      </c>
      <c r="DP92" s="209">
        <f>IF('Temperature Profiles'!Q91&gt;18,(0.0043*('Temperature Profiles'!Q91^2)-0.1116*'Temperature Profiles'!Q91+0.6576)*1000,IF('Temperature Profiles'!Q91&lt;17,(0.0053*('Temperature Profiles'!Q91^2)-0.1876*'Temperature Profiles'!Q91+1.7649)*1000,0))</f>
        <v>1364.0851944444444</v>
      </c>
      <c r="DQ92" s="110">
        <v>0.90625</v>
      </c>
      <c r="DR92" s="211">
        <f>IF('Temperature Profiles'!Q91&gt;18,(0.0057*('Temperature Profiles'!Q91^2)-0.1509*'Temperature Profiles'!Q91+0.8935)*1000,IF('Temperature Profiles'!Q91&lt;17,(0.0072*('Temperature Profiles'!Q91^2)-0.254*'Temperature Profiles'!Q91+2.3952)*1000,0))</f>
        <v>1737.4425833333337</v>
      </c>
      <c r="DS92" s="21"/>
      <c r="DT92" s="110">
        <v>0.90625</v>
      </c>
      <c r="DU92" s="209">
        <f>IF('Temperature Profiles'!V91&gt;18,(0.0024*('Temperature Profiles'!V91^2)-0.0581*'Temperature Profiles'!V91+0.3293)*1000,IF('Temperature Profiles'!V91&lt;17,(0.0022*('Temperature Profiles'!V91^2)-0.0874*'Temperature Profiles'!V91+0.9301)*1000,0))</f>
        <v>0</v>
      </c>
      <c r="DV92" s="110">
        <v>0.90625</v>
      </c>
      <c r="DW92" s="209">
        <f>IF('Temperature Profiles'!V91&gt;18,(0.0043*('Temperature Profiles'!V91^2)-0.1116*'Temperature Profiles'!V91+0.6576)*1000,IF('Temperature Profiles'!V91&lt;17,(0.0053*('Temperature Profiles'!V91^2)-0.1876*'Temperature Profiles'!V91+1.7649)*1000,0))</f>
        <v>0</v>
      </c>
      <c r="DX92" s="110">
        <v>0.90625</v>
      </c>
      <c r="DY92" s="211">
        <f>IF('Temperature Profiles'!V91&gt;18,(0.0057*('Temperature Profiles'!V91^2)-0.1509*'Temperature Profiles'!V91+0.8935)*1000,IF('Temperature Profiles'!V91&lt;17,(0.0072*('Temperature Profiles'!V91^2)-0.254*'Temperature Profiles'!V91+2.3952)*1000,0))</f>
        <v>0</v>
      </c>
      <c r="DZ92" s="21"/>
      <c r="EA92" s="110">
        <v>0.90625</v>
      </c>
      <c r="EB92" s="209">
        <f>IF('Temperature Profiles'!AA190&gt;18,(0.0024*('Temperature Profiles'!AA190^2)-0.0581*'Temperature Profiles'!AA190+0.3293)*1000,IF('Temperature Profiles'!AA190&lt;17,(0.0022*('Temperature Profiles'!AA190^2)-0.0874*'Temperature Profiles'!AA190+0.9301)*1000,0))</f>
        <v>593.81727777777769</v>
      </c>
      <c r="EC92" s="110">
        <v>0.90625</v>
      </c>
      <c r="ED92" s="209">
        <f>IF('Temperature Profiles'!AA190&gt;18,(0.0043*('Temperature Profiles'!AA190^2)-0.1116*'Temperature Profiles'!AA190+0.6576)*1000,IF('Temperature Profiles'!AA190&lt;17,(0.0053*('Temperature Profiles'!AA190^2)-0.1876*'Temperature Profiles'!AA190+1.7649)*1000,0))</f>
        <v>1053.8514722222221</v>
      </c>
      <c r="EE92" s="110">
        <v>0.90625</v>
      </c>
      <c r="EF92" s="211">
        <f>IF('Temperature Profiles'!AA190&gt;18,(0.0057*('Temperature Profiles'!AA190^2)-0.1509*'Temperature Profiles'!AA190+0.8935)*1000,IF('Temperature Profiles'!AA190&lt;17,(0.0072*('Temperature Profiles'!AA190^2)-0.254*'Temperature Profiles'!AA190+2.3952)*1000,0))</f>
        <v>1432.9286666666662</v>
      </c>
      <c r="EG92" s="21"/>
      <c r="EH92" s="110">
        <v>0.90625</v>
      </c>
      <c r="EI92" s="211">
        <f>IF('Temperature Profiles'!AF91&gt;18,(0.0024*('Temperature Profiles'!AF91^2)-0.0581*'Temperature Profiles'!AF91+0.3293)*1000,IF('Temperature Profiles'!AF91&lt;17,(0.0022*('Temperature Profiles'!AF91^2)-0.0874*'Temperature Profiles'!AF91+0.9301)*1000,0))</f>
        <v>1002.3273333333337</v>
      </c>
      <c r="EJ92" s="110">
        <v>0.90625</v>
      </c>
      <c r="EK92" s="211">
        <f>IF('Temperature Profiles'!AF91&gt;18,(0.0043*('Temperature Profiles'!AF91^2)-0.1116*'Temperature Profiles'!AF91+0.6576)*1000,IF('Temperature Profiles'!AF91&lt;17,(0.0053*('Temperature Profiles'!AF91^2)-0.1876*'Temperature Profiles'!AF91+1.7649)*1000,0))</f>
        <v>1617.5541111111124</v>
      </c>
      <c r="EL92" s="110">
        <v>0.90625</v>
      </c>
      <c r="EM92" s="211">
        <f>IF('Temperature Profiles'!AF91&gt;18,(0.0057*('Temperature Profiles'!AF91^2)-0.1509*'Temperature Profiles'!AF91+0.8935)*1000,IF('Temperature Profiles'!AF91&lt;17,(0.0072*('Temperature Profiles'!AF91^2)-0.254*'Temperature Profiles'!AF91+2.3952)*1000,0))</f>
        <v>2068.8403333333345</v>
      </c>
      <c r="EN92" s="21"/>
      <c r="EO92" s="110">
        <v>0.90625</v>
      </c>
      <c r="EP92" s="211"/>
      <c r="EQ92" s="21"/>
      <c r="ER92" s="110">
        <v>0.90625</v>
      </c>
      <c r="ES92" s="264"/>
      <c r="EU92" s="260">
        <v>0.90625</v>
      </c>
      <c r="EV92" s="209">
        <f>IF('Temperature Profiles'!AA190&gt;18,(0.0024*('Temperature Profiles'!AA190^2)-0.0581*'Temperature Profiles'!AA190+0.3293)*1000,IF('Temperature Profiles'!AA190&lt;17,(0.0022*('Temperature Profiles'!AA190^2)-0.0874*'Temperature Profiles'!AA190+0.9301)*1000,0))</f>
        <v>593.81727777777769</v>
      </c>
      <c r="EW92" s="110">
        <v>0.90625</v>
      </c>
      <c r="EX92" s="209">
        <f>IF('Temperature Profiles'!AA190&gt;18,(0.0043*('Temperature Profiles'!AA190^2)-0.1116*'Temperature Profiles'!AA190+0.6576)*1000,IF('Temperature Profiles'!AA190&lt;17,(0.0053*('Temperature Profiles'!AA190^2)-0.1876*'Temperature Profiles'!AA190+1.7649)*1000,0))</f>
        <v>1053.8514722222221</v>
      </c>
      <c r="EY92" s="110">
        <v>0.90625</v>
      </c>
      <c r="EZ92" s="264">
        <f>IF('Temperature Profiles'!AA190&gt;18,(0.0057*('Temperature Profiles'!AA190^2)-0.1509*'Temperature Profiles'!AA190+0.8935)*1000,IF('Temperature Profiles'!AA190&lt;17,(0.0072*('Temperature Profiles'!AA190^2)-0.254*'Temperature Profiles'!AA190+2.3952)*1000,0))</f>
        <v>1432.9286666666662</v>
      </c>
    </row>
    <row r="93" spans="1:156" x14ac:dyDescent="0.3">
      <c r="A93" s="108">
        <v>0.90625</v>
      </c>
      <c r="B93" s="226">
        <f t="shared" si="4"/>
        <v>0</v>
      </c>
      <c r="C93" s="21">
        <f t="shared" si="5"/>
        <v>276.33333333333331</v>
      </c>
      <c r="D93" s="20">
        <f t="shared" si="6"/>
        <v>1432.9286666666662</v>
      </c>
      <c r="E93" s="20">
        <f t="shared" si="7"/>
        <v>1432.9286666666662</v>
      </c>
      <c r="G93" s="260">
        <v>0.91666666666666696</v>
      </c>
      <c r="H93" s="211">
        <f>IF('Temperature Profiles'!G92&gt;17,(0.0029*('Temperature Profiles'!G92^2) - 0.0863*'Temperature Profiles'!G92 + 0.6808)*1000,0)</f>
        <v>78.187888888888722</v>
      </c>
      <c r="I93" s="110">
        <v>0.91666666666666696</v>
      </c>
      <c r="J93" s="211">
        <f>IF('Temperature Profiles'!G92&gt;17,(0.005*('Temperature Profiles'!G92^2) - 0.1517*'Temperature Profiles'!G92 + 1.1702)*1000,0)</f>
        <v>77.24222222222221</v>
      </c>
      <c r="K93" s="110">
        <v>0.91666666666666696</v>
      </c>
      <c r="L93" s="211">
        <f>IF('Temperature Profiles'!G92&gt;17,(0.0068*('Temperature Profiles'!G92^2) - 0.2129*'Temperature Profiles'!G92 + 1.6904)*1000,0)</f>
        <v>81.660222222222245</v>
      </c>
      <c r="M93" s="21"/>
      <c r="N93" s="110">
        <v>0.91666666666666696</v>
      </c>
      <c r="O93" s="211">
        <f>IF('Temperature Profiles'!L92&gt;17,(0.0029*('Temperature Profiles'!L92^2) - 0.0863*'Temperature Profiles'!L92 + 0.6808)*1000,0)</f>
        <v>101.12247222222182</v>
      </c>
      <c r="P93" s="110">
        <v>0.91666666666666696</v>
      </c>
      <c r="Q93" s="211">
        <f>IF('Temperature Profiles'!L92&gt;17,(0.005*('Temperature Profiles'!L92^2) - 0.1517*'Temperature Profiles'!L92 + 1.1702)*1000,0)</f>
        <v>114.02305555555547</v>
      </c>
      <c r="R93" s="110">
        <v>0.91666666666666696</v>
      </c>
      <c r="S93" s="211">
        <f>IF('Temperature Profiles'!L92&gt;17,(0.0068*('Temperature Profiles'!L92^2) - 0.2129*'Temperature Profiles'!L92 + 1.6904)*1000,0)</f>
        <v>125.42355555555496</v>
      </c>
      <c r="T93" s="21"/>
      <c r="U93" s="110">
        <v>0.91666666666666696</v>
      </c>
      <c r="V93" s="211">
        <f>IF('Temperature Profiles'!Q92&gt;17,(0.0029*('Temperature Profiles'!Q92^2) - 0.0863*'Temperature Profiles'!Q92 + 0.6808)*1000,0)</f>
        <v>599.39113888888892</v>
      </c>
      <c r="W93" s="110">
        <v>0.91666666666666696</v>
      </c>
      <c r="X93" s="211">
        <f>IF('Temperature Profiles'!Q92&gt;17,(0.005*('Temperature Profiles'!Q92^2) - 0.1517*'Temperature Profiles'!Q92 + 1.1702)*1000,0)</f>
        <v>946.16972222222228</v>
      </c>
      <c r="Y93" s="110">
        <v>0.91666666666666696</v>
      </c>
      <c r="Z93" s="211">
        <f>IF('Temperature Profiles'!Q92&gt;17,(0.0068*('Temperature Profiles'!Q92^2) - 0.2129*'Temperature Profiles'!Q92 + 1.6904)*1000,0)</f>
        <v>1196.094222222222</v>
      </c>
      <c r="AA93" s="21"/>
      <c r="AB93" s="110">
        <v>0.91666666666666696</v>
      </c>
      <c r="AC93" s="211">
        <f>IF('Temperature Profiles'!V92&gt;17,(0.0029*('Temperature Profiles'!V92^2) - 0.0863*'Temperature Profiles'!V92 + 0.6808)*1000,0)</f>
        <v>56.460249999999768</v>
      </c>
      <c r="AD93" s="110">
        <v>0.91666666666666696</v>
      </c>
      <c r="AE93" s="211">
        <f>IF('Temperature Profiles'!V92&gt;17,(0.005*('Temperature Profiles'!V92^2) - 0.1517*'Temperature Profiles'!V92 + 1.1702)*1000,0)</f>
        <v>43.317499999999676</v>
      </c>
      <c r="AF93" s="110">
        <v>0.91666666666666696</v>
      </c>
      <c r="AG93" s="211">
        <f>IF('Temperature Profiles'!V92&gt;17,(0.0068*('Temperature Profiles'!V92^2) - 0.2129*'Temperature Profiles'!V92 + 1.6904)*1000,0)</f>
        <v>43.537999999999414</v>
      </c>
      <c r="AH93" s="21"/>
      <c r="AI93" s="110">
        <v>0.91666666666666696</v>
      </c>
      <c r="AJ93" s="211">
        <f>IF('Temperature Profiles'!AA92&gt;17,(0.0029*('Temperature Profiles'!AA92^2) - 0.0863*'Temperature Profiles'!AA92 + 0.6808)*1000,0)</f>
        <v>0</v>
      </c>
      <c r="AK93" s="110">
        <v>0.91666666666666696</v>
      </c>
      <c r="AL93" s="211">
        <f>IF('Temperature Profiles'!AA92&gt;17,(0.005*('Temperature Profiles'!AA92^2) - 0.1517*'Temperature Profiles'!AA92 + 1.1701)*1000,0)</f>
        <v>0</v>
      </c>
      <c r="AM93" s="110">
        <v>0.91666666666666696</v>
      </c>
      <c r="AN93" s="211">
        <f>IF('Temperature Profiles'!AA92&gt;17,(0.0068*('Temperature Profiles'!AA92^2) - 0.2129*'Temperature Profiles'!AA92 + 1.6904)*1000,0)</f>
        <v>0</v>
      </c>
      <c r="AO93" s="21"/>
      <c r="AP93" s="110">
        <v>0.91666666666666696</v>
      </c>
      <c r="AQ93" s="211">
        <f>IF('Temperature Profiles'!AF92&gt;17,(0.0029*('Temperature Profiles'!AF92^2) - 0.0863*'Temperature Profiles'!AF92 + 0.6808)*1000,0)</f>
        <v>835.8633680555555</v>
      </c>
      <c r="AR93" s="110">
        <v>0.91666666666666696</v>
      </c>
      <c r="AS93" s="183">
        <f>IF('Temperature Profiles'!AF92&gt;17,(0.005*('Temperature Profiles'!AF92^2) - 0.1517*'Temperature Profiles'!AF92 + 1.1702)*1000,0)</f>
        <v>1346.1045138888887</v>
      </c>
      <c r="AT93" s="110">
        <v>0.91666666666666696</v>
      </c>
      <c r="AU93" s="211">
        <f>IF('Temperature Profiles'!AF92&gt;17,(0.0068*('Temperature Profiles'!AF92^2) - 0.2129*'Temperature Profiles'!AF92 + 1.6904)*1000,0)</f>
        <v>1722.3826388888886</v>
      </c>
      <c r="AV93" s="21"/>
      <c r="AW93" s="110">
        <v>0.91666666666666696</v>
      </c>
      <c r="AX93" s="211"/>
      <c r="AY93" s="21"/>
      <c r="AZ93" s="110">
        <v>0.91666666666666696</v>
      </c>
      <c r="BA93" s="264"/>
      <c r="BC93" s="260">
        <v>0.91666666666666696</v>
      </c>
      <c r="BD93" s="211">
        <f>IF('Temperature Profiles'!G92&lt;16,(-0.0037*'Temperature Profiles'!G92+0.0664)*1000,0)</f>
        <v>0</v>
      </c>
      <c r="BE93" s="110">
        <v>0.91666666666666696</v>
      </c>
      <c r="BF93" s="211">
        <f>IF('Temperature Profiles'!G92&lt;16,(-0.0076*'Temperature Profiles'!G92+0.1245)*1000,0)</f>
        <v>0</v>
      </c>
      <c r="BG93" s="110">
        <v>0.91666666666666696</v>
      </c>
      <c r="BH93" s="211">
        <f>IF('Temperature Profiles'!G92&lt;16,(-0.01*'Temperature Profiles'!G92+0.167)*1000,0)</f>
        <v>0</v>
      </c>
      <c r="BI93" s="21"/>
      <c r="BJ93" s="110">
        <v>0.91666666666666696</v>
      </c>
      <c r="BK93" s="211">
        <f>IF('Temperature Profiles'!L92&lt;16,(-0.0037*'Temperature Profiles'!L92+0.0664)*1000,0)</f>
        <v>0</v>
      </c>
      <c r="BL93" s="110">
        <v>0.91666666666666696</v>
      </c>
      <c r="BM93" s="211">
        <f>IF('Temperature Profiles'!L92&lt;16,(-0.0076*'Temperature Profiles'!L92+0.1245)*1000,0)</f>
        <v>0</v>
      </c>
      <c r="BN93" s="110">
        <v>0.91666666666666696</v>
      </c>
      <c r="BO93" s="211">
        <f>IF('Temperature Profiles'!L92&lt;16,(-0.01*'Temperature Profiles'!L92+0.167)*1000,0)</f>
        <v>0</v>
      </c>
      <c r="BP93" s="21"/>
      <c r="BQ93" s="110">
        <v>0.91666666666666696</v>
      </c>
      <c r="BR93" s="211">
        <f>IF('Temperature Profiles'!Q92&lt;16,(-0.0037*'Temperature Profiles'!Q92+0.0664)*1000,0)</f>
        <v>0</v>
      </c>
      <c r="BS93" s="110">
        <v>0.91666666666666696</v>
      </c>
      <c r="BT93" s="211">
        <f>IF('Temperature Profiles'!Q92&lt;16,(-0.0076*'Temperature Profiles'!Q92+0.1245)*1000,0)</f>
        <v>0</v>
      </c>
      <c r="BU93" s="110">
        <v>0.91666666666666696</v>
      </c>
      <c r="BV93" s="211">
        <f>IF('Temperature Profiles'!Q92&lt;16,(-0.01*'Temperature Profiles'!Q92+0.167)*1000,0)</f>
        <v>0</v>
      </c>
      <c r="BW93" s="21"/>
      <c r="BX93" s="110">
        <v>0.91666666666666696</v>
      </c>
      <c r="BY93" s="211">
        <f>IF('Temperature Profiles'!V92&lt;16,(-0.0037*'Temperature Profiles'!V92+0.0664)*1000,0)</f>
        <v>0</v>
      </c>
      <c r="BZ93" s="110">
        <v>0.91666666666666696</v>
      </c>
      <c r="CA93" s="211">
        <f>IF('Temperature Profiles'!V92&lt;16,(-0.0076*'Temperature Profiles'!V92+0.1245)*1000,0)</f>
        <v>0</v>
      </c>
      <c r="CB93" s="110">
        <v>0.91666666666666696</v>
      </c>
      <c r="CC93" s="211">
        <f>IF('Temperature Profiles'!V92&lt;16,(-0.01*'Temperature Profiles'!V92+0.167)*1000,0)</f>
        <v>0</v>
      </c>
      <c r="CD93" s="21"/>
      <c r="CE93" s="110">
        <v>0.91666666666666696</v>
      </c>
      <c r="CF93" s="211">
        <f>IF('Temperature Profiles'!AA92&lt;16,(-0.0037*'Temperature Profiles'!AA92+0.0664)*1000,0)</f>
        <v>107.68583333333333</v>
      </c>
      <c r="CG93" s="110">
        <v>0.91666666666666696</v>
      </c>
      <c r="CH93" s="178">
        <f>IF('Temperature Profiles'!AA92&lt;16,(-0.0076*'Temperature Profiles'!AA92+0.1245)*1000,0)</f>
        <v>209.30333333333334</v>
      </c>
      <c r="CI93" s="110">
        <v>0.91666666666666696</v>
      </c>
      <c r="CJ93" s="211">
        <f>IF('Temperature Profiles'!AA92&lt;16,(-0.01*'Temperature Profiles'!AA92+0.167)*1000,0)</f>
        <v>278.58333333333337</v>
      </c>
      <c r="CK93" s="21"/>
      <c r="CL93" s="110">
        <v>0.91666666666666696</v>
      </c>
      <c r="CM93" s="211">
        <f>IF('Temperature Profiles'!AF92&lt;16,(-0.0037*'Temperature Profiles'!AF92+0.0664)*1000,0)</f>
        <v>0</v>
      </c>
      <c r="CN93" s="110">
        <v>0.91666666666666696</v>
      </c>
      <c r="CO93" s="178">
        <f>IF('Temperature Profiles'!AF92&lt;16,(-0.0076*'Temperature Profiles'!AF92+0.1245)*1000,0)</f>
        <v>0</v>
      </c>
      <c r="CP93" s="110">
        <v>0.91666666666666696</v>
      </c>
      <c r="CQ93" s="211">
        <f>IF('Temperature Profiles'!AF92&lt;16,(-0.01*'Temperature Profiles'!AF92+0.167)*1000,0)</f>
        <v>0</v>
      </c>
      <c r="CR93" s="21"/>
      <c r="CS93" s="110">
        <v>0.91666666666666696</v>
      </c>
      <c r="CT93" s="211"/>
      <c r="CU93" s="21"/>
      <c r="CV93" s="110">
        <v>0.91666666666666696</v>
      </c>
      <c r="CW93" s="264"/>
      <c r="CY93" s="260">
        <v>0.91666666666666696</v>
      </c>
      <c r="CZ93" s="178">
        <f>IF('Temperature Profiles'!G92&gt;18,(0.0024*('Temperature Profiles'!G92^2)-0.0581*'Temperature Profiles'!G92+0.3293)*1000,IF('Temperature Profiles'!G92&lt;17,(0.0022*('Temperature Profiles'!G92^2)-0.0874*'Temperature Profiles'!G92+0.9301)*1000,0))</f>
        <v>77.907333333333384</v>
      </c>
      <c r="DA93" s="110">
        <v>0.91666666666666696</v>
      </c>
      <c r="DB93" s="263">
        <f>IF('Temperature Profiles'!G92&gt;18,(0.0043*('Temperature Profiles'!G92^2)-0.1116*'Temperature Profiles'!G92+0.6576)*1000,IF('Temperature Profiles'!G92&lt;17,(0.0053*('Temperature Profiles'!G92^2)-0.1876*'Temperature Profiles'!G92+1.7649)*1000,0))</f>
        <v>67.86077777777777</v>
      </c>
      <c r="DC93" s="110">
        <v>0.91666666666666696</v>
      </c>
      <c r="DD93" s="211">
        <f>IF('Temperature Profiles'!G92&gt;18,(0.0057*('Temperature Profiles'!G92^2)-0.1509*'Temperature Profiles'!G92+0.8935)*1000,IF('Temperature Profiles'!G92&lt;17,(0.0072*('Temperature Profiles'!G92^2)-0.254*'Temperature Profiles'!G92+2.3952)*1000,0))</f>
        <v>56.700333333333134</v>
      </c>
      <c r="DE93" s="21"/>
      <c r="DF93" s="110">
        <v>0.91666666666666696</v>
      </c>
      <c r="DG93" s="209">
        <f>IF('Temperature Profiles'!L92&gt;18,(0.0024*('Temperature Profiles'!L92^2)-0.0581*'Temperature Profiles'!L92+0.3293)*1000,IF('Temperature Profiles'!L92&lt;17,(0.0022*('Temperature Profiles'!L92^2)-0.0874*'Temperature Profiles'!L92+0.9301)*1000,0))</f>
        <v>109.54233333333302</v>
      </c>
      <c r="DH93" s="110">
        <v>0.91666666666666696</v>
      </c>
      <c r="DI93" s="209">
        <f>IF('Temperature Profiles'!L92&gt;18,(0.0043*('Temperature Profiles'!L92^2)-0.1116*'Temperature Profiles'!L92+0.6576)*1000,IF('Temperature Profiles'!L92&lt;17,(0.0053*('Temperature Profiles'!L92^2)-0.1876*'Temperature Profiles'!L92+1.7649)*1000,0))</f>
        <v>117.41119444444425</v>
      </c>
      <c r="DJ93" s="110">
        <v>0.91666666666666696</v>
      </c>
      <c r="DK93" s="211">
        <f>IF('Temperature Profiles'!L92&gt;18,(0.0057*('Temperature Profiles'!L92^2)-0.1509*'Temperature Profiles'!L92+0.8935)*1000,IF('Temperature Profiles'!L92&lt;17,(0.0072*('Temperature Profiles'!L92^2)-0.254*'Temperature Profiles'!L92+2.3952)*1000,0))</f>
        <v>119.56658333333303</v>
      </c>
      <c r="DL93" s="21"/>
      <c r="DM93" s="110">
        <v>0.91666666666666696</v>
      </c>
      <c r="DN93" s="209">
        <f>IF('Temperature Profiles'!Q92&gt;18,(0.0024*('Temperature Profiles'!Q92^2)-0.0581*'Temperature Profiles'!Q92+0.3293)*1000,IF('Temperature Profiles'!Q92&lt;17,(0.0022*('Temperature Profiles'!Q92^2)-0.0874*'Temperature Profiles'!Q92+0.9301)*1000,0))</f>
        <v>645.34100000000012</v>
      </c>
      <c r="DO93" s="110">
        <v>0.91666666666666696</v>
      </c>
      <c r="DP93" s="209">
        <f>IF('Temperature Profiles'!Q92&gt;18,(0.0043*('Temperature Profiles'!Q92^2)-0.1116*'Temperature Profiles'!Q92+0.6576)*1000,IF('Temperature Profiles'!Q92&lt;17,(0.0053*('Temperature Profiles'!Q92^2)-0.1876*'Temperature Profiles'!Q92+1.7649)*1000,0))</f>
        <v>1007.8451944444447</v>
      </c>
      <c r="DQ93" s="110">
        <v>0.91666666666666696</v>
      </c>
      <c r="DR93" s="211">
        <f>IF('Temperature Profiles'!Q92&gt;18,(0.0057*('Temperature Profiles'!Q92^2)-0.1509*'Temperature Profiles'!Q92+0.8935)*1000,IF('Temperature Profiles'!Q92&lt;17,(0.0072*('Temperature Profiles'!Q92^2)-0.254*'Temperature Profiles'!Q92+2.3952)*1000,0))</f>
        <v>1272.4325833333335</v>
      </c>
      <c r="DS93" s="21"/>
      <c r="DT93" s="110">
        <v>0.91666666666666696</v>
      </c>
      <c r="DU93" s="209">
        <f>IF('Temperature Profiles'!V92&gt;18,(0.0024*('Temperature Profiles'!V92^2)-0.0581*'Temperature Profiles'!V92+0.3293)*1000,IF('Temperature Profiles'!V92&lt;17,(0.0022*('Temperature Profiles'!V92^2)-0.0874*'Temperature Profiles'!V92+0.9301)*1000,0))</f>
        <v>0</v>
      </c>
      <c r="DV93" s="110">
        <v>0.91666666666666696</v>
      </c>
      <c r="DW93" s="209">
        <f>IF('Temperature Profiles'!V92&gt;18,(0.0043*('Temperature Profiles'!V92^2)-0.1116*'Temperature Profiles'!V92+0.6576)*1000,IF('Temperature Profiles'!V92&lt;17,(0.0053*('Temperature Profiles'!V92^2)-0.1876*'Temperature Profiles'!V92+1.7649)*1000,0))</f>
        <v>0</v>
      </c>
      <c r="DX93" s="110">
        <v>0.91666666666666696</v>
      </c>
      <c r="DY93" s="211">
        <f>IF('Temperature Profiles'!V92&gt;18,(0.0057*('Temperature Profiles'!V92^2)-0.1509*'Temperature Profiles'!V92+0.8935)*1000,IF('Temperature Profiles'!V92&lt;17,(0.0072*('Temperature Profiles'!V92^2)-0.254*'Temperature Profiles'!V92+2.3952)*1000,0))</f>
        <v>0</v>
      </c>
      <c r="DZ93" s="21"/>
      <c r="EA93" s="110">
        <v>0.91666666666666696</v>
      </c>
      <c r="EB93" s="209">
        <f>IF('Temperature Profiles'!AA191&gt;18,(0.0024*('Temperature Profiles'!AA191^2)-0.0581*'Temperature Profiles'!AA191+0.3293)*1000,IF('Temperature Profiles'!AA191&lt;17,(0.0022*('Temperature Profiles'!AA191^2)-0.0874*'Temperature Profiles'!AA191+0.9301)*1000,0))</f>
        <v>622.70199999999988</v>
      </c>
      <c r="EC93" s="110">
        <v>0.91666666666666696</v>
      </c>
      <c r="ED93" s="209">
        <f>IF('Temperature Profiles'!AA191&gt;18,(0.0043*('Temperature Profiles'!AA191^2)-0.1116*'Temperature Profiles'!AA191+0.6576)*1000,IF('Temperature Profiles'!AA191&lt;17,(0.0053*('Temperature Profiles'!AA191^2)-0.1876*'Temperature Profiles'!AA191+1.7649)*1000,0))</f>
        <v>1113.8729999999994</v>
      </c>
      <c r="EE93" s="110">
        <v>0.91666666666666696</v>
      </c>
      <c r="EF93" s="211">
        <f>IF('Temperature Profiles'!AA191&gt;18,(0.0057*('Temperature Profiles'!AA191^2)-0.1509*'Temperature Profiles'!AA191+0.8935)*1000,IF('Temperature Profiles'!AA191&lt;17,(0.0072*('Temperature Profiles'!AA191^2)-0.254*'Temperature Profiles'!AA191+2.3952)*1000,0))</f>
        <v>1514.1119999999994</v>
      </c>
      <c r="EG93" s="21"/>
      <c r="EH93" s="110">
        <v>0.91666666666666696</v>
      </c>
      <c r="EI93" s="211">
        <f>IF('Temperature Profiles'!AF92&gt;18,(0.0024*('Temperature Profiles'!AF92^2)-0.0581*'Temperature Profiles'!AF92+0.3293)*1000,IF('Temperature Profiles'!AF92&lt;17,(0.0022*('Temperature Profiles'!AF92^2)-0.0874*'Temperature Profiles'!AF92+0.9301)*1000,0))</f>
        <v>876.67500000000007</v>
      </c>
      <c r="EJ93" s="110">
        <v>0.91666666666666696</v>
      </c>
      <c r="EK93" s="211">
        <f>IF('Temperature Profiles'!AF92&gt;18,(0.0043*('Temperature Profiles'!AF92^2)-0.1116*'Temperature Profiles'!AF92+0.6576)*1000,IF('Temperature Profiles'!AF92&lt;17,(0.0053*('Temperature Profiles'!AF92^2)-0.1876*'Temperature Profiles'!AF92+1.7649)*1000,0))</f>
        <v>1402.2449652777782</v>
      </c>
      <c r="EL93" s="110">
        <v>0.91666666666666696</v>
      </c>
      <c r="EM93" s="211">
        <f>IF('Temperature Profiles'!AF92&gt;18,(0.0057*('Temperature Profiles'!AF92^2)-0.1509*'Temperature Profiles'!AF92+0.8935)*1000,IF('Temperature Profiles'!AF92&lt;17,(0.0072*('Temperature Profiles'!AF92^2)-0.254*'Temperature Profiles'!AF92+2.3952)*1000,0))</f>
        <v>1787.3098958333346</v>
      </c>
      <c r="EN93" s="21"/>
      <c r="EO93" s="110">
        <v>0.91666666666666696</v>
      </c>
      <c r="EP93" s="211"/>
      <c r="EQ93" s="21"/>
      <c r="ER93" s="110">
        <v>0.91666666666666696</v>
      </c>
      <c r="ES93" s="264"/>
      <c r="EU93" s="260">
        <v>0.91666666666666696</v>
      </c>
      <c r="EV93" s="209">
        <f>IF('Temperature Profiles'!AA191&gt;18,(0.0024*('Temperature Profiles'!AA191^2)-0.0581*'Temperature Profiles'!AA191+0.3293)*1000,IF('Temperature Profiles'!AA191&lt;17,(0.0022*('Temperature Profiles'!AA191^2)-0.0874*'Temperature Profiles'!AA191+0.9301)*1000,0))</f>
        <v>622.70199999999988</v>
      </c>
      <c r="EW93" s="110">
        <v>0.91666666666666696</v>
      </c>
      <c r="EX93" s="209">
        <f>IF('Temperature Profiles'!AA191&gt;18,(0.0043*('Temperature Profiles'!AA191^2)-0.1116*'Temperature Profiles'!AA191+0.6576)*1000,IF('Temperature Profiles'!AA191&lt;17,(0.0053*('Temperature Profiles'!AA191^2)-0.1876*'Temperature Profiles'!AA191+1.7649)*1000,0))</f>
        <v>1113.8729999999994</v>
      </c>
      <c r="EY93" s="110">
        <v>0.91666666666666696</v>
      </c>
      <c r="EZ93" s="264">
        <f>IF('Temperature Profiles'!AA191&gt;18,(0.0057*('Temperature Profiles'!AA191^2)-0.1509*'Temperature Profiles'!AA191+0.8935)*1000,IF('Temperature Profiles'!AA191&lt;17,(0.0072*('Temperature Profiles'!AA191^2)-0.254*'Temperature Profiles'!AA191+2.3952)*1000,0))</f>
        <v>1514.1119999999994</v>
      </c>
    </row>
    <row r="94" spans="1:156" x14ac:dyDescent="0.3">
      <c r="A94" s="108">
        <v>0.91666666666666696</v>
      </c>
      <c r="B94" s="226">
        <f t="shared" si="4"/>
        <v>0</v>
      </c>
      <c r="C94" s="21">
        <f t="shared" si="5"/>
        <v>278.58333333333337</v>
      </c>
      <c r="D94" s="20">
        <f t="shared" si="6"/>
        <v>1514.1119999999994</v>
      </c>
      <c r="E94" s="20">
        <f t="shared" si="7"/>
        <v>1514.1119999999994</v>
      </c>
      <c r="G94" s="260">
        <v>0.92708333333333304</v>
      </c>
      <c r="H94" s="211">
        <f>IF('Temperature Profiles'!G93&gt;17,(0.0029*('Temperature Profiles'!G93^2) - 0.0863*'Temperature Profiles'!G93 + 0.6808)*1000,0)</f>
        <v>78.187888888888722</v>
      </c>
      <c r="I94" s="110">
        <v>0.92708333333333304</v>
      </c>
      <c r="J94" s="211">
        <f>IF('Temperature Profiles'!G93&gt;17,(0.005*('Temperature Profiles'!G93^2) - 0.1517*'Temperature Profiles'!G93 + 1.1702)*1000,0)</f>
        <v>77.24222222222221</v>
      </c>
      <c r="K94" s="110">
        <v>0.92708333333333304</v>
      </c>
      <c r="L94" s="211">
        <f>IF('Temperature Profiles'!G93&gt;17,(0.0068*('Temperature Profiles'!G93^2) - 0.2129*'Temperature Profiles'!G93 + 1.6904)*1000,0)</f>
        <v>81.660222222222245</v>
      </c>
      <c r="M94" s="21"/>
      <c r="N94" s="110">
        <v>0.92708333333333304</v>
      </c>
      <c r="O94" s="211">
        <f>IF('Temperature Profiles'!L93&gt;17,(0.0029*('Temperature Profiles'!L93^2) - 0.0863*'Temperature Profiles'!L93 + 0.6808)*1000,0)</f>
        <v>101.12247222222182</v>
      </c>
      <c r="P94" s="110">
        <v>0.92708333333333304</v>
      </c>
      <c r="Q94" s="211">
        <f>IF('Temperature Profiles'!L93&gt;17,(0.005*('Temperature Profiles'!L93^2) - 0.1517*'Temperature Profiles'!L93 + 1.1702)*1000,0)</f>
        <v>114.02305555555547</v>
      </c>
      <c r="R94" s="110">
        <v>0.92708333333333304</v>
      </c>
      <c r="S94" s="211">
        <f>IF('Temperature Profiles'!L93&gt;17,(0.0068*('Temperature Profiles'!L93^2) - 0.2129*'Temperature Profiles'!L93 + 1.6904)*1000,0)</f>
        <v>125.42355555555496</v>
      </c>
      <c r="T94" s="21"/>
      <c r="U94" s="110">
        <v>0.92708333333333304</v>
      </c>
      <c r="V94" s="211">
        <f>IF('Temperature Profiles'!Q93&gt;17,(0.0029*('Temperature Profiles'!Q93^2) - 0.0863*'Temperature Profiles'!Q93 + 0.6808)*1000,0)</f>
        <v>599.39113888888892</v>
      </c>
      <c r="W94" s="110">
        <v>0.92708333333333304</v>
      </c>
      <c r="X94" s="211">
        <f>IF('Temperature Profiles'!Q93&gt;17,(0.005*('Temperature Profiles'!Q93^2) - 0.1517*'Temperature Profiles'!Q93 + 1.1702)*1000,0)</f>
        <v>946.16972222222228</v>
      </c>
      <c r="Y94" s="110">
        <v>0.92708333333333304</v>
      </c>
      <c r="Z94" s="211">
        <f>IF('Temperature Profiles'!Q93&gt;17,(0.0068*('Temperature Profiles'!Q93^2) - 0.2129*'Temperature Profiles'!Q93 + 1.6904)*1000,0)</f>
        <v>1196.094222222222</v>
      </c>
      <c r="AA94" s="21"/>
      <c r="AB94" s="110">
        <v>0.92708333333333304</v>
      </c>
      <c r="AC94" s="211">
        <f>IF('Temperature Profiles'!V93&gt;17,(0.0029*('Temperature Profiles'!V93^2) - 0.0863*'Temperature Profiles'!V93 + 0.6808)*1000,0)</f>
        <v>56.460249999999768</v>
      </c>
      <c r="AD94" s="110">
        <v>0.92708333333333304</v>
      </c>
      <c r="AE94" s="211">
        <f>IF('Temperature Profiles'!V93&gt;17,(0.005*('Temperature Profiles'!V93^2) - 0.1517*'Temperature Profiles'!V93 + 1.1702)*1000,0)</f>
        <v>43.317499999999676</v>
      </c>
      <c r="AF94" s="110">
        <v>0.92708333333333304</v>
      </c>
      <c r="AG94" s="211">
        <f>IF('Temperature Profiles'!V93&gt;17,(0.0068*('Temperature Profiles'!V93^2) - 0.2129*'Temperature Profiles'!V93 + 1.6904)*1000,0)</f>
        <v>43.537999999999414</v>
      </c>
      <c r="AH94" s="21"/>
      <c r="AI94" s="110">
        <v>0.92708333333333304</v>
      </c>
      <c r="AJ94" s="211">
        <f>IF('Temperature Profiles'!AA93&gt;17,(0.0029*('Temperature Profiles'!AA93^2) - 0.0863*'Temperature Profiles'!AA93 + 0.6808)*1000,0)</f>
        <v>0</v>
      </c>
      <c r="AK94" s="110">
        <v>0.92708333333333304</v>
      </c>
      <c r="AL94" s="211">
        <f>IF('Temperature Profiles'!AA93&gt;17,(0.005*('Temperature Profiles'!AA93^2) - 0.1517*'Temperature Profiles'!AA93 + 1.1701)*1000,0)</f>
        <v>0</v>
      </c>
      <c r="AM94" s="110">
        <v>0.92708333333333304</v>
      </c>
      <c r="AN94" s="211">
        <f>IF('Temperature Profiles'!AA93&gt;17,(0.0068*('Temperature Profiles'!AA93^2) - 0.2129*'Temperature Profiles'!AA93 + 1.6904)*1000,0)</f>
        <v>0</v>
      </c>
      <c r="AO94" s="21"/>
      <c r="AP94" s="110">
        <v>0.92708333333333304</v>
      </c>
      <c r="AQ94" s="211">
        <f>IF('Temperature Profiles'!AF93&gt;17,(0.0029*('Temperature Profiles'!AF93^2) - 0.0863*'Temperature Profiles'!AF93 + 0.6808)*1000,0)</f>
        <v>835.8633680555555</v>
      </c>
      <c r="AR94" s="110">
        <v>0.92708333333333304</v>
      </c>
      <c r="AS94" s="183">
        <f>IF('Temperature Profiles'!AF93&gt;17,(0.005*('Temperature Profiles'!AF93^2) - 0.1517*'Temperature Profiles'!AF93 + 1.1702)*1000,0)</f>
        <v>1346.1045138888887</v>
      </c>
      <c r="AT94" s="110">
        <v>0.92708333333333304</v>
      </c>
      <c r="AU94" s="211">
        <f>IF('Temperature Profiles'!AF93&gt;17,(0.0068*('Temperature Profiles'!AF93^2) - 0.2129*'Temperature Profiles'!AF93 + 1.6904)*1000,0)</f>
        <v>1722.3826388888886</v>
      </c>
      <c r="AV94" s="21"/>
      <c r="AW94" s="110">
        <v>0.92708333333333304</v>
      </c>
      <c r="AX94" s="211"/>
      <c r="AY94" s="21"/>
      <c r="AZ94" s="110">
        <v>0.92708333333333304</v>
      </c>
      <c r="BA94" s="264"/>
      <c r="BC94" s="260">
        <v>0.92708333333333304</v>
      </c>
      <c r="BD94" s="211">
        <f>IF('Temperature Profiles'!G93&lt;16,(-0.0037*'Temperature Profiles'!G93+0.0664)*1000,0)</f>
        <v>0</v>
      </c>
      <c r="BE94" s="110">
        <v>0.92708333333333304</v>
      </c>
      <c r="BF94" s="211">
        <f>IF('Temperature Profiles'!G93&lt;16,(-0.0076*'Temperature Profiles'!G93+0.1245)*1000,0)</f>
        <v>0</v>
      </c>
      <c r="BG94" s="110">
        <v>0.92708333333333304</v>
      </c>
      <c r="BH94" s="211">
        <f>IF('Temperature Profiles'!G93&lt;16,(-0.01*'Temperature Profiles'!G93+0.167)*1000,0)</f>
        <v>0</v>
      </c>
      <c r="BI94" s="21"/>
      <c r="BJ94" s="110">
        <v>0.92708333333333304</v>
      </c>
      <c r="BK94" s="211">
        <f>IF('Temperature Profiles'!L93&lt;16,(-0.0037*'Temperature Profiles'!L93+0.0664)*1000,0)</f>
        <v>0</v>
      </c>
      <c r="BL94" s="110">
        <v>0.92708333333333304</v>
      </c>
      <c r="BM94" s="211">
        <f>IF('Temperature Profiles'!L93&lt;16,(-0.0076*'Temperature Profiles'!L93+0.1245)*1000,0)</f>
        <v>0</v>
      </c>
      <c r="BN94" s="110">
        <v>0.92708333333333304</v>
      </c>
      <c r="BO94" s="211">
        <f>IF('Temperature Profiles'!L93&lt;16,(-0.01*'Temperature Profiles'!L93+0.167)*1000,0)</f>
        <v>0</v>
      </c>
      <c r="BP94" s="21"/>
      <c r="BQ94" s="110">
        <v>0.92708333333333304</v>
      </c>
      <c r="BR94" s="211">
        <f>IF('Temperature Profiles'!Q93&lt;16,(-0.0037*'Temperature Profiles'!Q93+0.0664)*1000,0)</f>
        <v>0</v>
      </c>
      <c r="BS94" s="110">
        <v>0.92708333333333304</v>
      </c>
      <c r="BT94" s="211">
        <f>IF('Temperature Profiles'!Q93&lt;16,(-0.0076*'Temperature Profiles'!Q93+0.1245)*1000,0)</f>
        <v>0</v>
      </c>
      <c r="BU94" s="110">
        <v>0.92708333333333304</v>
      </c>
      <c r="BV94" s="211">
        <f>IF('Temperature Profiles'!Q93&lt;16,(-0.01*'Temperature Profiles'!Q93+0.167)*1000,0)</f>
        <v>0</v>
      </c>
      <c r="BW94" s="21"/>
      <c r="BX94" s="110">
        <v>0.92708333333333304</v>
      </c>
      <c r="BY94" s="211">
        <f>IF('Temperature Profiles'!V93&lt;16,(-0.0037*'Temperature Profiles'!V93+0.0664)*1000,0)</f>
        <v>0</v>
      </c>
      <c r="BZ94" s="110">
        <v>0.92708333333333304</v>
      </c>
      <c r="CA94" s="211">
        <f>IF('Temperature Profiles'!V93&lt;16,(-0.0076*'Temperature Profiles'!V93+0.1245)*1000,0)</f>
        <v>0</v>
      </c>
      <c r="CB94" s="110">
        <v>0.92708333333333304</v>
      </c>
      <c r="CC94" s="211">
        <f>IF('Temperature Profiles'!V93&lt;16,(-0.01*'Temperature Profiles'!V93+0.167)*1000,0)</f>
        <v>0</v>
      </c>
      <c r="CD94" s="21"/>
      <c r="CE94" s="110">
        <v>0.92708333333333304</v>
      </c>
      <c r="CF94" s="211">
        <f>IF('Temperature Profiles'!AA93&lt;16,(-0.0037*'Temperature Profiles'!AA93+0.0664)*1000,0)</f>
        <v>107.68583333333333</v>
      </c>
      <c r="CG94" s="110">
        <v>0.92708333333333304</v>
      </c>
      <c r="CH94" s="178">
        <f>IF('Temperature Profiles'!AA93&lt;16,(-0.0076*'Temperature Profiles'!AA93+0.1245)*1000,0)</f>
        <v>209.30333333333334</v>
      </c>
      <c r="CI94" s="110">
        <v>0.92708333333333304</v>
      </c>
      <c r="CJ94" s="211">
        <f>IF('Temperature Profiles'!AA93&lt;16,(-0.01*'Temperature Profiles'!AA93+0.167)*1000,0)</f>
        <v>278.58333333333337</v>
      </c>
      <c r="CK94" s="21"/>
      <c r="CL94" s="110">
        <v>0.92708333333333304</v>
      </c>
      <c r="CM94" s="211">
        <f>IF('Temperature Profiles'!AF93&lt;16,(-0.0037*'Temperature Profiles'!AF93+0.0664)*1000,0)</f>
        <v>0</v>
      </c>
      <c r="CN94" s="110">
        <v>0.92708333333333304</v>
      </c>
      <c r="CO94" s="178">
        <f>IF('Temperature Profiles'!AF93&lt;16,(-0.0076*'Temperature Profiles'!AF93+0.1245)*1000,0)</f>
        <v>0</v>
      </c>
      <c r="CP94" s="110">
        <v>0.92708333333333304</v>
      </c>
      <c r="CQ94" s="211">
        <f>IF('Temperature Profiles'!AF93&lt;16,(-0.01*'Temperature Profiles'!AF93+0.167)*1000,0)</f>
        <v>0</v>
      </c>
      <c r="CR94" s="21"/>
      <c r="CS94" s="110">
        <v>0.92708333333333304</v>
      </c>
      <c r="CT94" s="211"/>
      <c r="CU94" s="21"/>
      <c r="CV94" s="110">
        <v>0.92708333333333304</v>
      </c>
      <c r="CW94" s="264"/>
      <c r="CY94" s="260">
        <v>0.92708333333333304</v>
      </c>
      <c r="CZ94" s="178">
        <f>IF('Temperature Profiles'!G93&gt;18,(0.0024*('Temperature Profiles'!G93^2)-0.0581*'Temperature Profiles'!G93+0.3293)*1000,IF('Temperature Profiles'!G93&lt;17,(0.0022*('Temperature Profiles'!G93^2)-0.0874*'Temperature Profiles'!G93+0.9301)*1000,0))</f>
        <v>77.907333333333384</v>
      </c>
      <c r="DA94" s="110">
        <v>0.92708333333333304</v>
      </c>
      <c r="DB94" s="263">
        <f>IF('Temperature Profiles'!G93&gt;18,(0.0043*('Temperature Profiles'!G93^2)-0.1116*'Temperature Profiles'!G93+0.6576)*1000,IF('Temperature Profiles'!G93&lt;17,(0.0053*('Temperature Profiles'!G93^2)-0.1876*'Temperature Profiles'!G93+1.7649)*1000,0))</f>
        <v>67.86077777777777</v>
      </c>
      <c r="DC94" s="110">
        <v>0.92708333333333304</v>
      </c>
      <c r="DD94" s="211">
        <f>IF('Temperature Profiles'!G93&gt;18,(0.0057*('Temperature Profiles'!G93^2)-0.1509*'Temperature Profiles'!G93+0.8935)*1000,IF('Temperature Profiles'!G93&lt;17,(0.0072*('Temperature Profiles'!G93^2)-0.254*'Temperature Profiles'!G93+2.3952)*1000,0))</f>
        <v>56.700333333333134</v>
      </c>
      <c r="DE94" s="21"/>
      <c r="DF94" s="110">
        <v>0.92708333333333304</v>
      </c>
      <c r="DG94" s="209">
        <f>IF('Temperature Profiles'!L93&gt;18,(0.0024*('Temperature Profiles'!L93^2)-0.0581*'Temperature Profiles'!L93+0.3293)*1000,IF('Temperature Profiles'!L93&lt;17,(0.0022*('Temperature Profiles'!L93^2)-0.0874*'Temperature Profiles'!L93+0.9301)*1000,0))</f>
        <v>109.54233333333302</v>
      </c>
      <c r="DH94" s="110">
        <v>0.92708333333333304</v>
      </c>
      <c r="DI94" s="209">
        <f>IF('Temperature Profiles'!L93&gt;18,(0.0043*('Temperature Profiles'!L93^2)-0.1116*'Temperature Profiles'!L93+0.6576)*1000,IF('Temperature Profiles'!L93&lt;17,(0.0053*('Temperature Profiles'!L93^2)-0.1876*'Temperature Profiles'!L93+1.7649)*1000,0))</f>
        <v>117.41119444444425</v>
      </c>
      <c r="DJ94" s="110">
        <v>0.92708333333333304</v>
      </c>
      <c r="DK94" s="211">
        <f>IF('Temperature Profiles'!L93&gt;18,(0.0057*('Temperature Profiles'!L93^2)-0.1509*'Temperature Profiles'!L93+0.8935)*1000,IF('Temperature Profiles'!L93&lt;17,(0.0072*('Temperature Profiles'!L93^2)-0.254*'Temperature Profiles'!L93+2.3952)*1000,0))</f>
        <v>119.56658333333303</v>
      </c>
      <c r="DL94" s="21"/>
      <c r="DM94" s="110">
        <v>0.92708333333333304</v>
      </c>
      <c r="DN94" s="209">
        <f>IF('Temperature Profiles'!Q93&gt;18,(0.0024*('Temperature Profiles'!Q93^2)-0.0581*'Temperature Profiles'!Q93+0.3293)*1000,IF('Temperature Profiles'!Q93&lt;17,(0.0022*('Temperature Profiles'!Q93^2)-0.0874*'Temperature Profiles'!Q93+0.9301)*1000,0))</f>
        <v>645.34100000000012</v>
      </c>
      <c r="DO94" s="110">
        <v>0.92708333333333304</v>
      </c>
      <c r="DP94" s="209">
        <f>IF('Temperature Profiles'!Q93&gt;18,(0.0043*('Temperature Profiles'!Q93^2)-0.1116*'Temperature Profiles'!Q93+0.6576)*1000,IF('Temperature Profiles'!Q93&lt;17,(0.0053*('Temperature Profiles'!Q93^2)-0.1876*'Temperature Profiles'!Q93+1.7649)*1000,0))</f>
        <v>1007.8451944444447</v>
      </c>
      <c r="DQ94" s="110">
        <v>0.92708333333333304</v>
      </c>
      <c r="DR94" s="211">
        <f>IF('Temperature Profiles'!Q93&gt;18,(0.0057*('Temperature Profiles'!Q93^2)-0.1509*'Temperature Profiles'!Q93+0.8935)*1000,IF('Temperature Profiles'!Q93&lt;17,(0.0072*('Temperature Profiles'!Q93^2)-0.254*'Temperature Profiles'!Q93+2.3952)*1000,0))</f>
        <v>1272.4325833333335</v>
      </c>
      <c r="DS94" s="21"/>
      <c r="DT94" s="110">
        <v>0.92708333333333304</v>
      </c>
      <c r="DU94" s="209">
        <f>IF('Temperature Profiles'!V93&gt;18,(0.0024*('Temperature Profiles'!V93^2)-0.0581*'Temperature Profiles'!V93+0.3293)*1000,IF('Temperature Profiles'!V93&lt;17,(0.0022*('Temperature Profiles'!V93^2)-0.0874*'Temperature Profiles'!V93+0.9301)*1000,0))</f>
        <v>0</v>
      </c>
      <c r="DV94" s="110">
        <v>0.92708333333333304</v>
      </c>
      <c r="DW94" s="209">
        <f>IF('Temperature Profiles'!V93&gt;18,(0.0043*('Temperature Profiles'!V93^2)-0.1116*'Temperature Profiles'!V93+0.6576)*1000,IF('Temperature Profiles'!V93&lt;17,(0.0053*('Temperature Profiles'!V93^2)-0.1876*'Temperature Profiles'!V93+1.7649)*1000,0))</f>
        <v>0</v>
      </c>
      <c r="DX94" s="110">
        <v>0.92708333333333304</v>
      </c>
      <c r="DY94" s="211">
        <f>IF('Temperature Profiles'!V93&gt;18,(0.0057*('Temperature Profiles'!V93^2)-0.1509*'Temperature Profiles'!V93+0.8935)*1000,IF('Temperature Profiles'!V93&lt;17,(0.0072*('Temperature Profiles'!V93^2)-0.254*'Temperature Profiles'!V93+2.3952)*1000,0))</f>
        <v>0</v>
      </c>
      <c r="DZ94" s="21"/>
      <c r="EA94" s="110">
        <v>0.92708333333333304</v>
      </c>
      <c r="EB94" s="209">
        <f>IF('Temperature Profiles'!AA192&gt;18,(0.0024*('Temperature Profiles'!AA192^2)-0.0581*'Temperature Profiles'!AA192+0.3293)*1000,IF('Temperature Profiles'!AA192&lt;17,(0.0022*('Temperature Profiles'!AA192^2)-0.0874*'Temperature Profiles'!AA192+0.9301)*1000,0))</f>
        <v>622.70199999999988</v>
      </c>
      <c r="EC94" s="110">
        <v>0.92708333333333304</v>
      </c>
      <c r="ED94" s="209">
        <f>IF('Temperature Profiles'!AA192&gt;18,(0.0043*('Temperature Profiles'!AA192^2)-0.1116*'Temperature Profiles'!AA192+0.6576)*1000,IF('Temperature Profiles'!AA192&lt;17,(0.0053*('Temperature Profiles'!AA192^2)-0.1876*'Temperature Profiles'!AA192+1.7649)*1000,0))</f>
        <v>1113.8729999999994</v>
      </c>
      <c r="EE94" s="110">
        <v>0.92708333333333304</v>
      </c>
      <c r="EF94" s="211">
        <f>IF('Temperature Profiles'!AA192&gt;18,(0.0057*('Temperature Profiles'!AA192^2)-0.1509*'Temperature Profiles'!AA192+0.8935)*1000,IF('Temperature Profiles'!AA192&lt;17,(0.0072*('Temperature Profiles'!AA192^2)-0.254*'Temperature Profiles'!AA192+2.3952)*1000,0))</f>
        <v>1514.1119999999994</v>
      </c>
      <c r="EG94" s="21"/>
      <c r="EH94" s="110">
        <v>0.92708333333333304</v>
      </c>
      <c r="EI94" s="211">
        <f>IF('Temperature Profiles'!AF93&gt;18,(0.0024*('Temperature Profiles'!AF93^2)-0.0581*'Temperature Profiles'!AF93+0.3293)*1000,IF('Temperature Profiles'!AF93&lt;17,(0.0022*('Temperature Profiles'!AF93^2)-0.0874*'Temperature Profiles'!AF93+0.9301)*1000,0))</f>
        <v>876.67500000000007</v>
      </c>
      <c r="EJ94" s="110">
        <v>0.92708333333333304</v>
      </c>
      <c r="EK94" s="211">
        <f>IF('Temperature Profiles'!AF93&gt;18,(0.0043*('Temperature Profiles'!AF93^2)-0.1116*'Temperature Profiles'!AF93+0.6576)*1000,IF('Temperature Profiles'!AF93&lt;17,(0.0053*('Temperature Profiles'!AF93^2)-0.1876*'Temperature Profiles'!AF93+1.7649)*1000,0))</f>
        <v>1402.2449652777782</v>
      </c>
      <c r="EL94" s="110">
        <v>0.92708333333333304</v>
      </c>
      <c r="EM94" s="211">
        <f>IF('Temperature Profiles'!AF93&gt;18,(0.0057*('Temperature Profiles'!AF93^2)-0.1509*'Temperature Profiles'!AF93+0.8935)*1000,IF('Temperature Profiles'!AF93&lt;17,(0.0072*('Temperature Profiles'!AF93^2)-0.254*'Temperature Profiles'!AF93+2.3952)*1000,0))</f>
        <v>1787.3098958333346</v>
      </c>
      <c r="EN94" s="21"/>
      <c r="EO94" s="110">
        <v>0.92708333333333304</v>
      </c>
      <c r="EP94" s="211"/>
      <c r="EQ94" s="21"/>
      <c r="ER94" s="110">
        <v>0.92708333333333304</v>
      </c>
      <c r="ES94" s="264"/>
      <c r="EU94" s="260">
        <v>0.92708333333333304</v>
      </c>
      <c r="EV94" s="209">
        <f>IF('Temperature Profiles'!AA192&gt;18,(0.0024*('Temperature Profiles'!AA192^2)-0.0581*'Temperature Profiles'!AA192+0.3293)*1000,IF('Temperature Profiles'!AA192&lt;17,(0.0022*('Temperature Profiles'!AA192^2)-0.0874*'Temperature Profiles'!AA192+0.9301)*1000,0))</f>
        <v>622.70199999999988</v>
      </c>
      <c r="EW94" s="110">
        <v>0.92708333333333304</v>
      </c>
      <c r="EX94" s="209">
        <f>IF('Temperature Profiles'!AA192&gt;18,(0.0043*('Temperature Profiles'!AA192^2)-0.1116*'Temperature Profiles'!AA192+0.6576)*1000,IF('Temperature Profiles'!AA192&lt;17,(0.0053*('Temperature Profiles'!AA192^2)-0.1876*'Temperature Profiles'!AA192+1.7649)*1000,0))</f>
        <v>1113.8729999999994</v>
      </c>
      <c r="EY94" s="110">
        <v>0.92708333333333304</v>
      </c>
      <c r="EZ94" s="264">
        <f>IF('Temperature Profiles'!AA192&gt;18,(0.0057*('Temperature Profiles'!AA192^2)-0.1509*'Temperature Profiles'!AA192+0.8935)*1000,IF('Temperature Profiles'!AA192&lt;17,(0.0072*('Temperature Profiles'!AA192^2)-0.254*'Temperature Profiles'!AA192+2.3952)*1000,0))</f>
        <v>1514.1119999999994</v>
      </c>
    </row>
    <row r="95" spans="1:156" x14ac:dyDescent="0.3">
      <c r="A95" s="108">
        <v>0.92708333333333304</v>
      </c>
      <c r="B95" s="226">
        <f t="shared" si="4"/>
        <v>0</v>
      </c>
      <c r="C95" s="21">
        <f t="shared" si="5"/>
        <v>278.58333333333337</v>
      </c>
      <c r="D95" s="20">
        <f t="shared" si="6"/>
        <v>1514.1119999999994</v>
      </c>
      <c r="E95" s="20">
        <f t="shared" si="7"/>
        <v>1514.1119999999994</v>
      </c>
      <c r="G95" s="260">
        <v>0.9375</v>
      </c>
      <c r="H95" s="211">
        <f>IF('Temperature Profiles'!G94&gt;17,(0.0029*('Temperature Profiles'!G94^2) - 0.0863*'Temperature Profiles'!G94 + 0.6808)*1000,0)</f>
        <v>78.187888888888722</v>
      </c>
      <c r="I95" s="110">
        <v>0.9375</v>
      </c>
      <c r="J95" s="211">
        <f>IF('Temperature Profiles'!G94&gt;17,(0.005*('Temperature Profiles'!G94^2) - 0.1517*'Temperature Profiles'!G94 + 1.1702)*1000,0)</f>
        <v>77.24222222222221</v>
      </c>
      <c r="K95" s="110">
        <v>0.9375</v>
      </c>
      <c r="L95" s="211">
        <f>IF('Temperature Profiles'!G94&gt;17,(0.0068*('Temperature Profiles'!G94^2) - 0.2129*'Temperature Profiles'!G94 + 1.6904)*1000,0)</f>
        <v>81.660222222222245</v>
      </c>
      <c r="M95" s="21"/>
      <c r="N95" s="110">
        <v>0.9375</v>
      </c>
      <c r="O95" s="211">
        <f>IF('Temperature Profiles'!L94&gt;17,(0.0029*('Temperature Profiles'!L94^2) - 0.0863*'Temperature Profiles'!L94 + 0.6808)*1000,0)</f>
        <v>101.12247222222182</v>
      </c>
      <c r="P95" s="110">
        <v>0.9375</v>
      </c>
      <c r="Q95" s="211">
        <f>IF('Temperature Profiles'!L94&gt;17,(0.005*('Temperature Profiles'!L94^2) - 0.1517*'Temperature Profiles'!L94 + 1.1702)*1000,0)</f>
        <v>114.02305555555547</v>
      </c>
      <c r="R95" s="110">
        <v>0.9375</v>
      </c>
      <c r="S95" s="211">
        <f>IF('Temperature Profiles'!L94&gt;17,(0.0068*('Temperature Profiles'!L94^2) - 0.2129*'Temperature Profiles'!L94 + 1.6904)*1000,0)</f>
        <v>125.42355555555496</v>
      </c>
      <c r="T95" s="21"/>
      <c r="U95" s="110">
        <v>0.9375</v>
      </c>
      <c r="V95" s="211">
        <f>IF('Temperature Profiles'!Q94&gt;17,(0.0029*('Temperature Profiles'!Q94^2) - 0.0863*'Temperature Profiles'!Q94 + 0.6808)*1000,0)</f>
        <v>599.39113888888892</v>
      </c>
      <c r="W95" s="110">
        <v>0.9375</v>
      </c>
      <c r="X95" s="211">
        <f>IF('Temperature Profiles'!Q94&gt;17,(0.005*('Temperature Profiles'!Q94^2) - 0.1517*'Temperature Profiles'!Q94 + 1.1702)*1000,0)</f>
        <v>946.16972222222228</v>
      </c>
      <c r="Y95" s="110">
        <v>0.9375</v>
      </c>
      <c r="Z95" s="211">
        <f>IF('Temperature Profiles'!Q94&gt;17,(0.0068*('Temperature Profiles'!Q94^2) - 0.2129*'Temperature Profiles'!Q94 + 1.6904)*1000,0)</f>
        <v>1196.094222222222</v>
      </c>
      <c r="AA95" s="21"/>
      <c r="AB95" s="110">
        <v>0.9375</v>
      </c>
      <c r="AC95" s="211">
        <f>IF('Temperature Profiles'!V94&gt;17,(0.0029*('Temperature Profiles'!V94^2) - 0.0863*'Temperature Profiles'!V94 + 0.6808)*1000,0)</f>
        <v>56.460249999999768</v>
      </c>
      <c r="AD95" s="110">
        <v>0.9375</v>
      </c>
      <c r="AE95" s="211">
        <f>IF('Temperature Profiles'!V94&gt;17,(0.005*('Temperature Profiles'!V94^2) - 0.1517*'Temperature Profiles'!V94 + 1.1702)*1000,0)</f>
        <v>43.317499999999676</v>
      </c>
      <c r="AF95" s="110">
        <v>0.9375</v>
      </c>
      <c r="AG95" s="211">
        <f>IF('Temperature Profiles'!V94&gt;17,(0.0068*('Temperature Profiles'!V94^2) - 0.2129*'Temperature Profiles'!V94 + 1.6904)*1000,0)</f>
        <v>43.537999999999414</v>
      </c>
      <c r="AH95" s="21"/>
      <c r="AI95" s="110">
        <v>0.9375</v>
      </c>
      <c r="AJ95" s="211">
        <f>IF('Temperature Profiles'!AA94&gt;17,(0.0029*('Temperature Profiles'!AA94^2) - 0.0863*'Temperature Profiles'!AA94 + 0.6808)*1000,0)</f>
        <v>0</v>
      </c>
      <c r="AK95" s="110">
        <v>0.9375</v>
      </c>
      <c r="AL95" s="211">
        <f>IF('Temperature Profiles'!AA94&gt;17,(0.005*('Temperature Profiles'!AA94^2) - 0.1517*'Temperature Profiles'!AA94 + 1.1701)*1000,0)</f>
        <v>0</v>
      </c>
      <c r="AM95" s="110">
        <v>0.9375</v>
      </c>
      <c r="AN95" s="211">
        <f>IF('Temperature Profiles'!AA94&gt;17,(0.0068*('Temperature Profiles'!AA94^2) - 0.2129*'Temperature Profiles'!AA94 + 1.6904)*1000,0)</f>
        <v>0</v>
      </c>
      <c r="AO95" s="21"/>
      <c r="AP95" s="110">
        <v>0.9375</v>
      </c>
      <c r="AQ95" s="211">
        <f>IF('Temperature Profiles'!AF94&gt;17,(0.0029*('Temperature Profiles'!AF94^2) - 0.0863*'Temperature Profiles'!AF94 + 0.6808)*1000,0)</f>
        <v>835.8633680555555</v>
      </c>
      <c r="AR95" s="110">
        <v>0.9375</v>
      </c>
      <c r="AS95" s="183">
        <f>IF('Temperature Profiles'!AF94&gt;17,(0.005*('Temperature Profiles'!AF94^2) - 0.1517*'Temperature Profiles'!AF94 + 1.1702)*1000,0)</f>
        <v>1346.1045138888887</v>
      </c>
      <c r="AT95" s="110">
        <v>0.9375</v>
      </c>
      <c r="AU95" s="211">
        <f>IF('Temperature Profiles'!AF94&gt;17,(0.0068*('Temperature Profiles'!AF94^2) - 0.2129*'Temperature Profiles'!AF94 + 1.6904)*1000,0)</f>
        <v>1722.3826388888886</v>
      </c>
      <c r="AV95" s="21"/>
      <c r="AW95" s="110">
        <v>0.9375</v>
      </c>
      <c r="AX95" s="211"/>
      <c r="AY95" s="21"/>
      <c r="AZ95" s="110">
        <v>0.9375</v>
      </c>
      <c r="BA95" s="264"/>
      <c r="BC95" s="260">
        <v>0.9375</v>
      </c>
      <c r="BD95" s="211">
        <f>IF('Temperature Profiles'!G94&lt;16,(-0.0037*'Temperature Profiles'!G94+0.0664)*1000,0)</f>
        <v>0</v>
      </c>
      <c r="BE95" s="110">
        <v>0.9375</v>
      </c>
      <c r="BF95" s="211">
        <f>IF('Temperature Profiles'!G94&lt;16,(-0.0076*'Temperature Profiles'!G94+0.1245)*1000,0)</f>
        <v>0</v>
      </c>
      <c r="BG95" s="110">
        <v>0.9375</v>
      </c>
      <c r="BH95" s="211">
        <f>IF('Temperature Profiles'!G94&lt;16,(-0.01*'Temperature Profiles'!G94+0.167)*1000,0)</f>
        <v>0</v>
      </c>
      <c r="BI95" s="21"/>
      <c r="BJ95" s="110">
        <v>0.9375</v>
      </c>
      <c r="BK95" s="211">
        <f>IF('Temperature Profiles'!L94&lt;16,(-0.0037*'Temperature Profiles'!L94+0.0664)*1000,0)</f>
        <v>0</v>
      </c>
      <c r="BL95" s="110">
        <v>0.9375</v>
      </c>
      <c r="BM95" s="211">
        <f>IF('Temperature Profiles'!L94&lt;16,(-0.0076*'Temperature Profiles'!L94+0.1245)*1000,0)</f>
        <v>0</v>
      </c>
      <c r="BN95" s="110">
        <v>0.9375</v>
      </c>
      <c r="BO95" s="211">
        <f>IF('Temperature Profiles'!L94&lt;16,(-0.01*'Temperature Profiles'!L94+0.167)*1000,0)</f>
        <v>0</v>
      </c>
      <c r="BP95" s="21"/>
      <c r="BQ95" s="110">
        <v>0.9375</v>
      </c>
      <c r="BR95" s="211">
        <f>IF('Temperature Profiles'!Q94&lt;16,(-0.0037*'Temperature Profiles'!Q94+0.0664)*1000,0)</f>
        <v>0</v>
      </c>
      <c r="BS95" s="110">
        <v>0.9375</v>
      </c>
      <c r="BT95" s="211">
        <f>IF('Temperature Profiles'!Q94&lt;16,(-0.0076*'Temperature Profiles'!Q94+0.1245)*1000,0)</f>
        <v>0</v>
      </c>
      <c r="BU95" s="110">
        <v>0.9375</v>
      </c>
      <c r="BV95" s="211">
        <f>IF('Temperature Profiles'!Q94&lt;16,(-0.01*'Temperature Profiles'!Q94+0.167)*1000,0)</f>
        <v>0</v>
      </c>
      <c r="BW95" s="21"/>
      <c r="BX95" s="110">
        <v>0.9375</v>
      </c>
      <c r="BY95" s="211">
        <f>IF('Temperature Profiles'!V94&lt;16,(-0.0037*'Temperature Profiles'!V94+0.0664)*1000,0)</f>
        <v>0</v>
      </c>
      <c r="BZ95" s="110">
        <v>0.9375</v>
      </c>
      <c r="CA95" s="211">
        <f>IF('Temperature Profiles'!V94&lt;16,(-0.0076*'Temperature Profiles'!V94+0.1245)*1000,0)</f>
        <v>0</v>
      </c>
      <c r="CB95" s="110">
        <v>0.9375</v>
      </c>
      <c r="CC95" s="211">
        <f>IF('Temperature Profiles'!V94&lt;16,(-0.01*'Temperature Profiles'!V94+0.167)*1000,0)</f>
        <v>0</v>
      </c>
      <c r="CD95" s="21"/>
      <c r="CE95" s="110">
        <v>0.9375</v>
      </c>
      <c r="CF95" s="211">
        <f>IF('Temperature Profiles'!AA94&lt;16,(-0.0037*'Temperature Profiles'!AA94+0.0664)*1000,0)</f>
        <v>107.68583333333333</v>
      </c>
      <c r="CG95" s="110">
        <v>0.9375</v>
      </c>
      <c r="CH95" s="178">
        <f>IF('Temperature Profiles'!AA94&lt;16,(-0.0076*'Temperature Profiles'!AA94+0.1245)*1000,0)</f>
        <v>209.30333333333334</v>
      </c>
      <c r="CI95" s="110">
        <v>0.9375</v>
      </c>
      <c r="CJ95" s="211">
        <f>IF('Temperature Profiles'!AA94&lt;16,(-0.01*'Temperature Profiles'!AA94+0.167)*1000,0)</f>
        <v>278.58333333333337</v>
      </c>
      <c r="CK95" s="21"/>
      <c r="CL95" s="110">
        <v>0.9375</v>
      </c>
      <c r="CM95" s="211">
        <f>IF('Temperature Profiles'!AF94&lt;16,(-0.0037*'Temperature Profiles'!AF94+0.0664)*1000,0)</f>
        <v>0</v>
      </c>
      <c r="CN95" s="110">
        <v>0.9375</v>
      </c>
      <c r="CO95" s="178">
        <f>IF('Temperature Profiles'!AF94&lt;16,(-0.0076*'Temperature Profiles'!AF94+0.1245)*1000,0)</f>
        <v>0</v>
      </c>
      <c r="CP95" s="110">
        <v>0.9375</v>
      </c>
      <c r="CQ95" s="211">
        <f>IF('Temperature Profiles'!AF94&lt;16,(-0.01*'Temperature Profiles'!AF94+0.167)*1000,0)</f>
        <v>0</v>
      </c>
      <c r="CR95" s="21"/>
      <c r="CS95" s="110">
        <v>0.9375</v>
      </c>
      <c r="CT95" s="211"/>
      <c r="CU95" s="21"/>
      <c r="CV95" s="110">
        <v>0.9375</v>
      </c>
      <c r="CW95" s="264"/>
      <c r="CY95" s="260">
        <v>0.9375</v>
      </c>
      <c r="CZ95" s="178">
        <f>IF('Temperature Profiles'!G94&gt;18,(0.0024*('Temperature Profiles'!G94^2)-0.0581*'Temperature Profiles'!G94+0.3293)*1000,IF('Temperature Profiles'!G94&lt;17,(0.0022*('Temperature Profiles'!G94^2)-0.0874*'Temperature Profiles'!G94+0.9301)*1000,0))</f>
        <v>77.907333333333384</v>
      </c>
      <c r="DA95" s="110">
        <v>0.9375</v>
      </c>
      <c r="DB95" s="263">
        <f>IF('Temperature Profiles'!G94&gt;18,(0.0043*('Temperature Profiles'!G94^2)-0.1116*'Temperature Profiles'!G94+0.6576)*1000,IF('Temperature Profiles'!G94&lt;17,(0.0053*('Temperature Profiles'!G94^2)-0.1876*'Temperature Profiles'!G94+1.7649)*1000,0))</f>
        <v>67.86077777777777</v>
      </c>
      <c r="DC95" s="110">
        <v>0.9375</v>
      </c>
      <c r="DD95" s="211">
        <f>IF('Temperature Profiles'!G94&gt;18,(0.0057*('Temperature Profiles'!G94^2)-0.1509*'Temperature Profiles'!G94+0.8935)*1000,IF('Temperature Profiles'!G94&lt;17,(0.0072*('Temperature Profiles'!G94^2)-0.254*'Temperature Profiles'!G94+2.3952)*1000,0))</f>
        <v>56.700333333333134</v>
      </c>
      <c r="DE95" s="21"/>
      <c r="DF95" s="110">
        <v>0.9375</v>
      </c>
      <c r="DG95" s="209">
        <f>IF('Temperature Profiles'!L94&gt;18,(0.0024*('Temperature Profiles'!L94^2)-0.0581*'Temperature Profiles'!L94+0.3293)*1000,IF('Temperature Profiles'!L94&lt;17,(0.0022*('Temperature Profiles'!L94^2)-0.0874*'Temperature Profiles'!L94+0.9301)*1000,0))</f>
        <v>109.54233333333302</v>
      </c>
      <c r="DH95" s="110">
        <v>0.9375</v>
      </c>
      <c r="DI95" s="209">
        <f>IF('Temperature Profiles'!L94&gt;18,(0.0043*('Temperature Profiles'!L94^2)-0.1116*'Temperature Profiles'!L94+0.6576)*1000,IF('Temperature Profiles'!L94&lt;17,(0.0053*('Temperature Profiles'!L94^2)-0.1876*'Temperature Profiles'!L94+1.7649)*1000,0))</f>
        <v>117.41119444444425</v>
      </c>
      <c r="DJ95" s="110">
        <v>0.9375</v>
      </c>
      <c r="DK95" s="211">
        <f>IF('Temperature Profiles'!L94&gt;18,(0.0057*('Temperature Profiles'!L94^2)-0.1509*'Temperature Profiles'!L94+0.8935)*1000,IF('Temperature Profiles'!L94&lt;17,(0.0072*('Temperature Profiles'!L94^2)-0.254*'Temperature Profiles'!L94+2.3952)*1000,0))</f>
        <v>119.56658333333303</v>
      </c>
      <c r="DL95" s="21"/>
      <c r="DM95" s="110">
        <v>0.9375</v>
      </c>
      <c r="DN95" s="209">
        <f>IF('Temperature Profiles'!Q94&gt;18,(0.0024*('Temperature Profiles'!Q94^2)-0.0581*'Temperature Profiles'!Q94+0.3293)*1000,IF('Temperature Profiles'!Q94&lt;17,(0.0022*('Temperature Profiles'!Q94^2)-0.0874*'Temperature Profiles'!Q94+0.9301)*1000,0))</f>
        <v>645.34100000000012</v>
      </c>
      <c r="DO95" s="110">
        <v>0.9375</v>
      </c>
      <c r="DP95" s="209">
        <f>IF('Temperature Profiles'!Q94&gt;18,(0.0043*('Temperature Profiles'!Q94^2)-0.1116*'Temperature Profiles'!Q94+0.6576)*1000,IF('Temperature Profiles'!Q94&lt;17,(0.0053*('Temperature Profiles'!Q94^2)-0.1876*'Temperature Profiles'!Q94+1.7649)*1000,0))</f>
        <v>1007.8451944444447</v>
      </c>
      <c r="DQ95" s="110">
        <v>0.9375</v>
      </c>
      <c r="DR95" s="211">
        <f>IF('Temperature Profiles'!Q94&gt;18,(0.0057*('Temperature Profiles'!Q94^2)-0.1509*'Temperature Profiles'!Q94+0.8935)*1000,IF('Temperature Profiles'!Q94&lt;17,(0.0072*('Temperature Profiles'!Q94^2)-0.254*'Temperature Profiles'!Q94+2.3952)*1000,0))</f>
        <v>1272.4325833333335</v>
      </c>
      <c r="DS95" s="21"/>
      <c r="DT95" s="110">
        <v>0.9375</v>
      </c>
      <c r="DU95" s="209">
        <f>IF('Temperature Profiles'!V94&gt;18,(0.0024*('Temperature Profiles'!V94^2)-0.0581*'Temperature Profiles'!V94+0.3293)*1000,IF('Temperature Profiles'!V94&lt;17,(0.0022*('Temperature Profiles'!V94^2)-0.0874*'Temperature Profiles'!V94+0.9301)*1000,0))</f>
        <v>0</v>
      </c>
      <c r="DV95" s="110">
        <v>0.9375</v>
      </c>
      <c r="DW95" s="209">
        <f>IF('Temperature Profiles'!V94&gt;18,(0.0043*('Temperature Profiles'!V94^2)-0.1116*'Temperature Profiles'!V94+0.6576)*1000,IF('Temperature Profiles'!V94&lt;17,(0.0053*('Temperature Profiles'!V94^2)-0.1876*'Temperature Profiles'!V94+1.7649)*1000,0))</f>
        <v>0</v>
      </c>
      <c r="DX95" s="110">
        <v>0.9375</v>
      </c>
      <c r="DY95" s="211">
        <f>IF('Temperature Profiles'!V94&gt;18,(0.0057*('Temperature Profiles'!V94^2)-0.1509*'Temperature Profiles'!V94+0.8935)*1000,IF('Temperature Profiles'!V94&lt;17,(0.0072*('Temperature Profiles'!V94^2)-0.254*'Temperature Profiles'!V94+2.3952)*1000,0))</f>
        <v>0</v>
      </c>
      <c r="DZ95" s="21"/>
      <c r="EA95" s="110">
        <v>0.9375</v>
      </c>
      <c r="EB95" s="209">
        <f>IF('Temperature Profiles'!AA193&gt;18,(0.0024*('Temperature Profiles'!AA193^2)-0.0581*'Temperature Profiles'!AA193+0.3293)*1000,IF('Temperature Profiles'!AA193&lt;17,(0.0022*('Temperature Profiles'!AA193^2)-0.0874*'Temperature Profiles'!AA193+0.9301)*1000,0))</f>
        <v>622.70199999999988</v>
      </c>
      <c r="EC95" s="110">
        <v>0.9375</v>
      </c>
      <c r="ED95" s="209">
        <f>IF('Temperature Profiles'!AA193&gt;18,(0.0043*('Temperature Profiles'!AA193^2)-0.1116*'Temperature Profiles'!AA193+0.6576)*1000,IF('Temperature Profiles'!AA193&lt;17,(0.0053*('Temperature Profiles'!AA193^2)-0.1876*'Temperature Profiles'!AA193+1.7649)*1000,0))</f>
        <v>1113.8729999999994</v>
      </c>
      <c r="EE95" s="110">
        <v>0.9375</v>
      </c>
      <c r="EF95" s="211">
        <f>IF('Temperature Profiles'!AA193&gt;18,(0.0057*('Temperature Profiles'!AA193^2)-0.1509*'Temperature Profiles'!AA193+0.8935)*1000,IF('Temperature Profiles'!AA193&lt;17,(0.0072*('Temperature Profiles'!AA193^2)-0.254*'Temperature Profiles'!AA193+2.3952)*1000,0))</f>
        <v>1514.1119999999994</v>
      </c>
      <c r="EG95" s="21"/>
      <c r="EH95" s="110">
        <v>0.9375</v>
      </c>
      <c r="EI95" s="211">
        <f>IF('Temperature Profiles'!AF94&gt;18,(0.0024*('Temperature Profiles'!AF94^2)-0.0581*'Temperature Profiles'!AF94+0.3293)*1000,IF('Temperature Profiles'!AF94&lt;17,(0.0022*('Temperature Profiles'!AF94^2)-0.0874*'Temperature Profiles'!AF94+0.9301)*1000,0))</f>
        <v>876.67500000000007</v>
      </c>
      <c r="EJ95" s="110">
        <v>0.9375</v>
      </c>
      <c r="EK95" s="211">
        <f>IF('Temperature Profiles'!AF94&gt;18,(0.0043*('Temperature Profiles'!AF94^2)-0.1116*'Temperature Profiles'!AF94+0.6576)*1000,IF('Temperature Profiles'!AF94&lt;17,(0.0053*('Temperature Profiles'!AF94^2)-0.1876*'Temperature Profiles'!AF94+1.7649)*1000,0))</f>
        <v>1402.2449652777782</v>
      </c>
      <c r="EL95" s="110">
        <v>0.9375</v>
      </c>
      <c r="EM95" s="211">
        <f>IF('Temperature Profiles'!AF94&gt;18,(0.0057*('Temperature Profiles'!AF94^2)-0.1509*'Temperature Profiles'!AF94+0.8935)*1000,IF('Temperature Profiles'!AF94&lt;17,(0.0072*('Temperature Profiles'!AF94^2)-0.254*'Temperature Profiles'!AF94+2.3952)*1000,0))</f>
        <v>1787.3098958333346</v>
      </c>
      <c r="EN95" s="21"/>
      <c r="EO95" s="110">
        <v>0.9375</v>
      </c>
      <c r="EP95" s="211"/>
      <c r="EQ95" s="21"/>
      <c r="ER95" s="110">
        <v>0.9375</v>
      </c>
      <c r="ES95" s="264"/>
      <c r="EU95" s="260">
        <v>0.9375</v>
      </c>
      <c r="EV95" s="209">
        <f>IF('Temperature Profiles'!AA193&gt;18,(0.0024*('Temperature Profiles'!AA193^2)-0.0581*'Temperature Profiles'!AA193+0.3293)*1000,IF('Temperature Profiles'!AA193&lt;17,(0.0022*('Temperature Profiles'!AA193^2)-0.0874*'Temperature Profiles'!AA193+0.9301)*1000,0))</f>
        <v>622.70199999999988</v>
      </c>
      <c r="EW95" s="110">
        <v>0.9375</v>
      </c>
      <c r="EX95" s="209">
        <f>IF('Temperature Profiles'!AA193&gt;18,(0.0043*('Temperature Profiles'!AA193^2)-0.1116*'Temperature Profiles'!AA193+0.6576)*1000,IF('Temperature Profiles'!AA193&lt;17,(0.0053*('Temperature Profiles'!AA193^2)-0.1876*'Temperature Profiles'!AA193+1.7649)*1000,0))</f>
        <v>1113.8729999999994</v>
      </c>
      <c r="EY95" s="110">
        <v>0.9375</v>
      </c>
      <c r="EZ95" s="264">
        <f>IF('Temperature Profiles'!AA193&gt;18,(0.0057*('Temperature Profiles'!AA193^2)-0.1509*'Temperature Profiles'!AA193+0.8935)*1000,IF('Temperature Profiles'!AA193&lt;17,(0.0072*('Temperature Profiles'!AA193^2)-0.254*'Temperature Profiles'!AA193+2.3952)*1000,0))</f>
        <v>1514.1119999999994</v>
      </c>
    </row>
    <row r="96" spans="1:156" x14ac:dyDescent="0.3">
      <c r="A96" s="108">
        <v>0.9375</v>
      </c>
      <c r="B96" s="226">
        <f t="shared" si="4"/>
        <v>0</v>
      </c>
      <c r="C96" s="21">
        <f t="shared" si="5"/>
        <v>278.58333333333337</v>
      </c>
      <c r="D96" s="20">
        <f t="shared" si="6"/>
        <v>1514.1119999999994</v>
      </c>
      <c r="E96" s="20">
        <f t="shared" si="7"/>
        <v>1514.1119999999994</v>
      </c>
      <c r="G96" s="260">
        <v>0.94791666666666696</v>
      </c>
      <c r="H96" s="211">
        <f>IF('Temperature Profiles'!G95&gt;17,(0.0029*('Temperature Profiles'!G95^2) - 0.0863*'Temperature Profiles'!G95 + 0.6808)*1000,0)</f>
        <v>78.187888888888722</v>
      </c>
      <c r="I96" s="110">
        <v>0.94791666666666696</v>
      </c>
      <c r="J96" s="211">
        <f>IF('Temperature Profiles'!G95&gt;17,(0.005*('Temperature Profiles'!G95^2) - 0.1517*'Temperature Profiles'!G95 + 1.1702)*1000,0)</f>
        <v>77.24222222222221</v>
      </c>
      <c r="K96" s="110">
        <v>0.94791666666666696</v>
      </c>
      <c r="L96" s="211">
        <f>IF('Temperature Profiles'!G95&gt;17,(0.0068*('Temperature Profiles'!G95^2) - 0.2129*'Temperature Profiles'!G95 + 1.6904)*1000,0)</f>
        <v>81.660222222222245</v>
      </c>
      <c r="M96" s="21"/>
      <c r="N96" s="110">
        <v>0.94791666666666696</v>
      </c>
      <c r="O96" s="211">
        <f>IF('Temperature Profiles'!L95&gt;17,(0.0029*('Temperature Profiles'!L95^2) - 0.0863*'Temperature Profiles'!L95 + 0.6808)*1000,0)</f>
        <v>101.12247222222182</v>
      </c>
      <c r="P96" s="110">
        <v>0.94791666666666696</v>
      </c>
      <c r="Q96" s="211">
        <f>IF('Temperature Profiles'!L95&gt;17,(0.005*('Temperature Profiles'!L95^2) - 0.1517*'Temperature Profiles'!L95 + 1.1702)*1000,0)</f>
        <v>114.02305555555547</v>
      </c>
      <c r="R96" s="110">
        <v>0.94791666666666696</v>
      </c>
      <c r="S96" s="211">
        <f>IF('Temperature Profiles'!L95&gt;17,(0.0068*('Temperature Profiles'!L95^2) - 0.2129*'Temperature Profiles'!L95 + 1.6904)*1000,0)</f>
        <v>125.42355555555496</v>
      </c>
      <c r="T96" s="21"/>
      <c r="U96" s="110">
        <v>0.94791666666666696</v>
      </c>
      <c r="V96" s="211">
        <f>IF('Temperature Profiles'!Q95&gt;17,(0.0029*('Temperature Profiles'!Q95^2) - 0.0863*'Temperature Profiles'!Q95 + 0.6808)*1000,0)</f>
        <v>599.39113888888892</v>
      </c>
      <c r="W96" s="110">
        <v>0.94791666666666696</v>
      </c>
      <c r="X96" s="211">
        <f>IF('Temperature Profiles'!Q95&gt;17,(0.005*('Temperature Profiles'!Q95^2) - 0.1517*'Temperature Profiles'!Q95 + 1.1702)*1000,0)</f>
        <v>946.16972222222228</v>
      </c>
      <c r="Y96" s="110">
        <v>0.94791666666666696</v>
      </c>
      <c r="Z96" s="211">
        <f>IF('Temperature Profiles'!Q95&gt;17,(0.0068*('Temperature Profiles'!Q95^2) - 0.2129*'Temperature Profiles'!Q95 + 1.6904)*1000,0)</f>
        <v>1196.094222222222</v>
      </c>
      <c r="AA96" s="21"/>
      <c r="AB96" s="110">
        <v>0.94791666666666696</v>
      </c>
      <c r="AC96" s="211">
        <f>IF('Temperature Profiles'!V95&gt;17,(0.0029*('Temperature Profiles'!V95^2) - 0.0863*'Temperature Profiles'!V95 + 0.6808)*1000,0)</f>
        <v>56.460249999999768</v>
      </c>
      <c r="AD96" s="110">
        <v>0.94791666666666696</v>
      </c>
      <c r="AE96" s="211">
        <f>IF('Temperature Profiles'!V95&gt;17,(0.005*('Temperature Profiles'!V95^2) - 0.1517*'Temperature Profiles'!V95 + 1.1702)*1000,0)</f>
        <v>43.317499999999676</v>
      </c>
      <c r="AF96" s="110">
        <v>0.94791666666666696</v>
      </c>
      <c r="AG96" s="211">
        <f>IF('Temperature Profiles'!V95&gt;17,(0.0068*('Temperature Profiles'!V95^2) - 0.2129*'Temperature Profiles'!V95 + 1.6904)*1000,0)</f>
        <v>43.537999999999414</v>
      </c>
      <c r="AH96" s="21"/>
      <c r="AI96" s="110">
        <v>0.94791666666666696</v>
      </c>
      <c r="AJ96" s="211">
        <f>IF('Temperature Profiles'!AA95&gt;17,(0.0029*('Temperature Profiles'!AA95^2) - 0.0863*'Temperature Profiles'!AA95 + 0.6808)*1000,0)</f>
        <v>0</v>
      </c>
      <c r="AK96" s="110">
        <v>0.94791666666666696</v>
      </c>
      <c r="AL96" s="211">
        <f>IF('Temperature Profiles'!AA95&gt;17,(0.005*('Temperature Profiles'!AA95^2) - 0.1517*'Temperature Profiles'!AA95 + 1.1701)*1000,0)</f>
        <v>0</v>
      </c>
      <c r="AM96" s="110">
        <v>0.94791666666666696</v>
      </c>
      <c r="AN96" s="211">
        <f>IF('Temperature Profiles'!AA95&gt;17,(0.0068*('Temperature Profiles'!AA95^2) - 0.2129*'Temperature Profiles'!AA95 + 1.6904)*1000,0)</f>
        <v>0</v>
      </c>
      <c r="AO96" s="21"/>
      <c r="AP96" s="110">
        <v>0.94791666666666696</v>
      </c>
      <c r="AQ96" s="211">
        <f>IF('Temperature Profiles'!AF95&gt;17,(0.0029*('Temperature Profiles'!AF95^2) - 0.0863*'Temperature Profiles'!AF95 + 0.6808)*1000,0)</f>
        <v>835.8633680555555</v>
      </c>
      <c r="AR96" s="110">
        <v>0.94791666666666696</v>
      </c>
      <c r="AS96" s="183">
        <f>IF('Temperature Profiles'!AF95&gt;17,(0.005*('Temperature Profiles'!AF95^2) - 0.1517*'Temperature Profiles'!AF95 + 1.1702)*1000,0)</f>
        <v>1346.1045138888887</v>
      </c>
      <c r="AT96" s="110">
        <v>0.94791666666666696</v>
      </c>
      <c r="AU96" s="211">
        <f>IF('Temperature Profiles'!AF95&gt;17,(0.0068*('Temperature Profiles'!AF95^2) - 0.2129*'Temperature Profiles'!AF95 + 1.6904)*1000,0)</f>
        <v>1722.3826388888886</v>
      </c>
      <c r="AV96" s="21"/>
      <c r="AW96" s="110">
        <v>0.94791666666666696</v>
      </c>
      <c r="AX96" s="211"/>
      <c r="AY96" s="21"/>
      <c r="AZ96" s="110">
        <v>0.94791666666666696</v>
      </c>
      <c r="BA96" s="264"/>
      <c r="BC96" s="260">
        <v>0.94791666666666696</v>
      </c>
      <c r="BD96" s="211">
        <f>IF('Temperature Profiles'!G95&lt;16,(-0.0037*'Temperature Profiles'!G95+0.0664)*1000,0)</f>
        <v>0</v>
      </c>
      <c r="BE96" s="110">
        <v>0.94791666666666696</v>
      </c>
      <c r="BF96" s="211">
        <f>IF('Temperature Profiles'!G95&lt;16,(-0.0076*'Temperature Profiles'!G95+0.1245)*1000,0)</f>
        <v>0</v>
      </c>
      <c r="BG96" s="110">
        <v>0.94791666666666696</v>
      </c>
      <c r="BH96" s="211">
        <f>IF('Temperature Profiles'!G95&lt;16,(-0.01*'Temperature Profiles'!G95+0.167)*1000,0)</f>
        <v>0</v>
      </c>
      <c r="BI96" s="21"/>
      <c r="BJ96" s="110">
        <v>0.94791666666666696</v>
      </c>
      <c r="BK96" s="211">
        <f>IF('Temperature Profiles'!L95&lt;16,(-0.0037*'Temperature Profiles'!L95+0.0664)*1000,0)</f>
        <v>0</v>
      </c>
      <c r="BL96" s="110">
        <v>0.94791666666666696</v>
      </c>
      <c r="BM96" s="211">
        <f>IF('Temperature Profiles'!L95&lt;16,(-0.0076*'Temperature Profiles'!L95+0.1245)*1000,0)</f>
        <v>0</v>
      </c>
      <c r="BN96" s="110">
        <v>0.94791666666666696</v>
      </c>
      <c r="BO96" s="211">
        <f>IF('Temperature Profiles'!L95&lt;16,(-0.01*'Temperature Profiles'!L95+0.167)*1000,0)</f>
        <v>0</v>
      </c>
      <c r="BP96" s="21"/>
      <c r="BQ96" s="110">
        <v>0.94791666666666696</v>
      </c>
      <c r="BR96" s="211">
        <f>IF('Temperature Profiles'!Q95&lt;16,(-0.0037*'Temperature Profiles'!Q95+0.0664)*1000,0)</f>
        <v>0</v>
      </c>
      <c r="BS96" s="110">
        <v>0.94791666666666696</v>
      </c>
      <c r="BT96" s="211">
        <f>IF('Temperature Profiles'!Q95&lt;16,(-0.0076*'Temperature Profiles'!Q95+0.1245)*1000,0)</f>
        <v>0</v>
      </c>
      <c r="BU96" s="110">
        <v>0.94791666666666696</v>
      </c>
      <c r="BV96" s="211">
        <f>IF('Temperature Profiles'!Q95&lt;16,(-0.01*'Temperature Profiles'!Q95+0.167)*1000,0)</f>
        <v>0</v>
      </c>
      <c r="BW96" s="21"/>
      <c r="BX96" s="110">
        <v>0.94791666666666696</v>
      </c>
      <c r="BY96" s="211">
        <f>IF('Temperature Profiles'!V95&lt;16,(-0.0037*'Temperature Profiles'!V95+0.0664)*1000,0)</f>
        <v>0</v>
      </c>
      <c r="BZ96" s="110">
        <v>0.94791666666666696</v>
      </c>
      <c r="CA96" s="211">
        <f>IF('Temperature Profiles'!V95&lt;16,(-0.0076*'Temperature Profiles'!V95+0.1245)*1000,0)</f>
        <v>0</v>
      </c>
      <c r="CB96" s="110">
        <v>0.94791666666666696</v>
      </c>
      <c r="CC96" s="211">
        <f>IF('Temperature Profiles'!V95&lt;16,(-0.01*'Temperature Profiles'!V95+0.167)*1000,0)</f>
        <v>0</v>
      </c>
      <c r="CD96" s="21"/>
      <c r="CE96" s="110">
        <v>0.94791666666666696</v>
      </c>
      <c r="CF96" s="211">
        <f>IF('Temperature Profiles'!AA95&lt;16,(-0.0037*'Temperature Profiles'!AA95+0.0664)*1000,0)</f>
        <v>107.68583333333333</v>
      </c>
      <c r="CG96" s="110">
        <v>0.94791666666666696</v>
      </c>
      <c r="CH96" s="178">
        <f>IF('Temperature Profiles'!AA95&lt;16,(-0.0076*'Temperature Profiles'!AA95+0.1245)*1000,0)</f>
        <v>209.30333333333334</v>
      </c>
      <c r="CI96" s="110">
        <v>0.94791666666666696</v>
      </c>
      <c r="CJ96" s="211">
        <f>IF('Temperature Profiles'!AA95&lt;16,(-0.01*'Temperature Profiles'!AA95+0.167)*1000,0)</f>
        <v>278.58333333333337</v>
      </c>
      <c r="CK96" s="21"/>
      <c r="CL96" s="110">
        <v>0.94791666666666696</v>
      </c>
      <c r="CM96" s="211">
        <f>IF('Temperature Profiles'!AF95&lt;16,(-0.0037*'Temperature Profiles'!AF95+0.0664)*1000,0)</f>
        <v>0</v>
      </c>
      <c r="CN96" s="110">
        <v>0.94791666666666696</v>
      </c>
      <c r="CO96" s="178">
        <f>IF('Temperature Profiles'!AF95&lt;16,(-0.0076*'Temperature Profiles'!AF95+0.1245)*1000,0)</f>
        <v>0</v>
      </c>
      <c r="CP96" s="110">
        <v>0.94791666666666696</v>
      </c>
      <c r="CQ96" s="211">
        <f>IF('Temperature Profiles'!AF95&lt;16,(-0.01*'Temperature Profiles'!AF95+0.167)*1000,0)</f>
        <v>0</v>
      </c>
      <c r="CR96" s="21"/>
      <c r="CS96" s="110">
        <v>0.94791666666666696</v>
      </c>
      <c r="CT96" s="211"/>
      <c r="CU96" s="21"/>
      <c r="CV96" s="110">
        <v>0.94791666666666696</v>
      </c>
      <c r="CW96" s="264"/>
      <c r="CY96" s="260">
        <v>0.94791666666666696</v>
      </c>
      <c r="CZ96" s="178">
        <f>IF('Temperature Profiles'!G95&gt;18,(0.0024*('Temperature Profiles'!G95^2)-0.0581*'Temperature Profiles'!G95+0.3293)*1000,IF('Temperature Profiles'!G95&lt;17,(0.0022*('Temperature Profiles'!G95^2)-0.0874*'Temperature Profiles'!G95+0.9301)*1000,0))</f>
        <v>77.907333333333384</v>
      </c>
      <c r="DA96" s="110">
        <v>0.94791666666666696</v>
      </c>
      <c r="DB96" s="263">
        <f>IF('Temperature Profiles'!G95&gt;18,(0.0043*('Temperature Profiles'!G95^2)-0.1116*'Temperature Profiles'!G95+0.6576)*1000,IF('Temperature Profiles'!G95&lt;17,(0.0053*('Temperature Profiles'!G95^2)-0.1876*'Temperature Profiles'!G95+1.7649)*1000,0))</f>
        <v>67.86077777777777</v>
      </c>
      <c r="DC96" s="110">
        <v>0.94791666666666696</v>
      </c>
      <c r="DD96" s="211">
        <f>IF('Temperature Profiles'!G95&gt;18,(0.0057*('Temperature Profiles'!G95^2)-0.1509*'Temperature Profiles'!G95+0.8935)*1000,IF('Temperature Profiles'!G95&lt;17,(0.0072*('Temperature Profiles'!G95^2)-0.254*'Temperature Profiles'!G95+2.3952)*1000,0))</f>
        <v>56.700333333333134</v>
      </c>
      <c r="DE96" s="21"/>
      <c r="DF96" s="110">
        <v>0.94791666666666696</v>
      </c>
      <c r="DG96" s="209">
        <f>IF('Temperature Profiles'!L95&gt;18,(0.0024*('Temperature Profiles'!L95^2)-0.0581*'Temperature Profiles'!L95+0.3293)*1000,IF('Temperature Profiles'!L95&lt;17,(0.0022*('Temperature Profiles'!L95^2)-0.0874*'Temperature Profiles'!L95+0.9301)*1000,0))</f>
        <v>109.54233333333302</v>
      </c>
      <c r="DH96" s="110">
        <v>0.94791666666666696</v>
      </c>
      <c r="DI96" s="209">
        <f>IF('Temperature Profiles'!L95&gt;18,(0.0043*('Temperature Profiles'!L95^2)-0.1116*'Temperature Profiles'!L95+0.6576)*1000,IF('Temperature Profiles'!L95&lt;17,(0.0053*('Temperature Profiles'!L95^2)-0.1876*'Temperature Profiles'!L95+1.7649)*1000,0))</f>
        <v>117.41119444444425</v>
      </c>
      <c r="DJ96" s="110">
        <v>0.94791666666666696</v>
      </c>
      <c r="DK96" s="211">
        <f>IF('Temperature Profiles'!L95&gt;18,(0.0057*('Temperature Profiles'!L95^2)-0.1509*'Temperature Profiles'!L95+0.8935)*1000,IF('Temperature Profiles'!L95&lt;17,(0.0072*('Temperature Profiles'!L95^2)-0.254*'Temperature Profiles'!L95+2.3952)*1000,0))</f>
        <v>119.56658333333303</v>
      </c>
      <c r="DL96" s="21"/>
      <c r="DM96" s="110">
        <v>0.94791666666666696</v>
      </c>
      <c r="DN96" s="209">
        <f>IF('Temperature Profiles'!Q95&gt;18,(0.0024*('Temperature Profiles'!Q95^2)-0.0581*'Temperature Profiles'!Q95+0.3293)*1000,IF('Temperature Profiles'!Q95&lt;17,(0.0022*('Temperature Profiles'!Q95^2)-0.0874*'Temperature Profiles'!Q95+0.9301)*1000,0))</f>
        <v>645.34100000000012</v>
      </c>
      <c r="DO96" s="110">
        <v>0.94791666666666696</v>
      </c>
      <c r="DP96" s="209">
        <f>IF('Temperature Profiles'!Q95&gt;18,(0.0043*('Temperature Profiles'!Q95^2)-0.1116*'Temperature Profiles'!Q95+0.6576)*1000,IF('Temperature Profiles'!Q95&lt;17,(0.0053*('Temperature Profiles'!Q95^2)-0.1876*'Temperature Profiles'!Q95+1.7649)*1000,0))</f>
        <v>1007.8451944444447</v>
      </c>
      <c r="DQ96" s="110">
        <v>0.94791666666666696</v>
      </c>
      <c r="DR96" s="211">
        <f>IF('Temperature Profiles'!Q95&gt;18,(0.0057*('Temperature Profiles'!Q95^2)-0.1509*'Temperature Profiles'!Q95+0.8935)*1000,IF('Temperature Profiles'!Q95&lt;17,(0.0072*('Temperature Profiles'!Q95^2)-0.254*'Temperature Profiles'!Q95+2.3952)*1000,0))</f>
        <v>1272.4325833333335</v>
      </c>
      <c r="DS96" s="21"/>
      <c r="DT96" s="110">
        <v>0.94791666666666696</v>
      </c>
      <c r="DU96" s="209">
        <f>IF('Temperature Profiles'!V95&gt;18,(0.0024*('Temperature Profiles'!V95^2)-0.0581*'Temperature Profiles'!V95+0.3293)*1000,IF('Temperature Profiles'!V95&lt;17,(0.0022*('Temperature Profiles'!V95^2)-0.0874*'Temperature Profiles'!V95+0.9301)*1000,0))</f>
        <v>0</v>
      </c>
      <c r="DV96" s="110">
        <v>0.94791666666666696</v>
      </c>
      <c r="DW96" s="209">
        <f>IF('Temperature Profiles'!V95&gt;18,(0.0043*('Temperature Profiles'!V95^2)-0.1116*'Temperature Profiles'!V95+0.6576)*1000,IF('Temperature Profiles'!V95&lt;17,(0.0053*('Temperature Profiles'!V95^2)-0.1876*'Temperature Profiles'!V95+1.7649)*1000,0))</f>
        <v>0</v>
      </c>
      <c r="DX96" s="110">
        <v>0.94791666666666696</v>
      </c>
      <c r="DY96" s="211">
        <f>IF('Temperature Profiles'!V95&gt;18,(0.0057*('Temperature Profiles'!V95^2)-0.1509*'Temperature Profiles'!V95+0.8935)*1000,IF('Temperature Profiles'!V95&lt;17,(0.0072*('Temperature Profiles'!V95^2)-0.254*'Temperature Profiles'!V95+2.3952)*1000,0))</f>
        <v>0</v>
      </c>
      <c r="DZ96" s="21"/>
      <c r="EA96" s="110">
        <v>0.94791666666666696</v>
      </c>
      <c r="EB96" s="209">
        <f>IF('Temperature Profiles'!AA194&gt;18,(0.0024*('Temperature Profiles'!AA194^2)-0.0581*'Temperature Profiles'!AA194+0.3293)*1000,IF('Temperature Profiles'!AA194&lt;17,(0.0022*('Temperature Profiles'!AA194^2)-0.0874*'Temperature Profiles'!AA194+0.9301)*1000,0))</f>
        <v>622.70199999999988</v>
      </c>
      <c r="EC96" s="110">
        <v>0.94791666666666696</v>
      </c>
      <c r="ED96" s="209">
        <f>IF('Temperature Profiles'!AA194&gt;18,(0.0043*('Temperature Profiles'!AA194^2)-0.1116*'Temperature Profiles'!AA194+0.6576)*1000,IF('Temperature Profiles'!AA194&lt;17,(0.0053*('Temperature Profiles'!AA194^2)-0.1876*'Temperature Profiles'!AA194+1.7649)*1000,0))</f>
        <v>1113.8729999999994</v>
      </c>
      <c r="EE96" s="110">
        <v>0.94791666666666696</v>
      </c>
      <c r="EF96" s="211">
        <f>IF('Temperature Profiles'!AA194&gt;18,(0.0057*('Temperature Profiles'!AA194^2)-0.1509*'Temperature Profiles'!AA194+0.8935)*1000,IF('Temperature Profiles'!AA194&lt;17,(0.0072*('Temperature Profiles'!AA194^2)-0.254*'Temperature Profiles'!AA194+2.3952)*1000,0))</f>
        <v>1514.1119999999994</v>
      </c>
      <c r="EG96" s="21"/>
      <c r="EH96" s="110">
        <v>0.94791666666666696</v>
      </c>
      <c r="EI96" s="211">
        <f>IF('Temperature Profiles'!AF95&gt;18,(0.0024*('Temperature Profiles'!AF95^2)-0.0581*'Temperature Profiles'!AF95+0.3293)*1000,IF('Temperature Profiles'!AF95&lt;17,(0.0022*('Temperature Profiles'!AF95^2)-0.0874*'Temperature Profiles'!AF95+0.9301)*1000,0))</f>
        <v>876.67500000000007</v>
      </c>
      <c r="EJ96" s="110">
        <v>0.94791666666666696</v>
      </c>
      <c r="EK96" s="211">
        <f>IF('Temperature Profiles'!AF95&gt;18,(0.0043*('Temperature Profiles'!AF95^2)-0.1116*'Temperature Profiles'!AF95+0.6576)*1000,IF('Temperature Profiles'!AF95&lt;17,(0.0053*('Temperature Profiles'!AF95^2)-0.1876*'Temperature Profiles'!AF95+1.7649)*1000,0))</f>
        <v>1402.2449652777782</v>
      </c>
      <c r="EL96" s="110">
        <v>0.94791666666666696</v>
      </c>
      <c r="EM96" s="211">
        <f>IF('Temperature Profiles'!AF95&gt;18,(0.0057*('Temperature Profiles'!AF95^2)-0.1509*'Temperature Profiles'!AF95+0.8935)*1000,IF('Temperature Profiles'!AF95&lt;17,(0.0072*('Temperature Profiles'!AF95^2)-0.254*'Temperature Profiles'!AF95+2.3952)*1000,0))</f>
        <v>1787.3098958333346</v>
      </c>
      <c r="EN96" s="21"/>
      <c r="EO96" s="110">
        <v>0.94791666666666696</v>
      </c>
      <c r="EP96" s="211"/>
      <c r="EQ96" s="21"/>
      <c r="ER96" s="110">
        <v>0.94791666666666696</v>
      </c>
      <c r="ES96" s="264"/>
      <c r="EU96" s="260">
        <v>0.94791666666666696</v>
      </c>
      <c r="EV96" s="209">
        <f>IF('Temperature Profiles'!AA194&gt;18,(0.0024*('Temperature Profiles'!AA194^2)-0.0581*'Temperature Profiles'!AA194+0.3293)*1000,IF('Temperature Profiles'!AA194&lt;17,(0.0022*('Temperature Profiles'!AA194^2)-0.0874*'Temperature Profiles'!AA194+0.9301)*1000,0))</f>
        <v>622.70199999999988</v>
      </c>
      <c r="EW96" s="110">
        <v>0.94791666666666696</v>
      </c>
      <c r="EX96" s="209">
        <f>IF('Temperature Profiles'!AA194&gt;18,(0.0043*('Temperature Profiles'!AA194^2)-0.1116*'Temperature Profiles'!AA194+0.6576)*1000,IF('Temperature Profiles'!AA194&lt;17,(0.0053*('Temperature Profiles'!AA194^2)-0.1876*'Temperature Profiles'!AA194+1.7649)*1000,0))</f>
        <v>1113.8729999999994</v>
      </c>
      <c r="EY96" s="110">
        <v>0.94791666666666696</v>
      </c>
      <c r="EZ96" s="264">
        <f>IF('Temperature Profiles'!AA194&gt;18,(0.0057*('Temperature Profiles'!AA194^2)-0.1509*'Temperature Profiles'!AA194+0.8935)*1000,IF('Temperature Profiles'!AA194&lt;17,(0.0072*('Temperature Profiles'!AA194^2)-0.254*'Temperature Profiles'!AA194+2.3952)*1000,0))</f>
        <v>1514.1119999999994</v>
      </c>
    </row>
    <row r="97" spans="1:157" x14ac:dyDescent="0.3">
      <c r="A97" s="108">
        <v>0.94791666666666696</v>
      </c>
      <c r="B97" s="226">
        <f t="shared" si="4"/>
        <v>0</v>
      </c>
      <c r="C97" s="21">
        <f t="shared" si="5"/>
        <v>278.58333333333337</v>
      </c>
      <c r="D97" s="20">
        <f t="shared" si="6"/>
        <v>1514.1119999999994</v>
      </c>
      <c r="E97" s="20">
        <f t="shared" si="7"/>
        <v>1514.1119999999994</v>
      </c>
      <c r="G97" s="260">
        <v>0.95833333333333304</v>
      </c>
      <c r="H97" s="211">
        <f>IF('Temperature Profiles'!G96&gt;17,(0.0029*('Temperature Profiles'!G96^2) - 0.0863*'Temperature Profiles'!G96 + 0.6808)*1000,0)</f>
        <v>82.206249999999926</v>
      </c>
      <c r="I97" s="110">
        <v>0.95833333333333304</v>
      </c>
      <c r="J97" s="211">
        <f>IF('Temperature Profiles'!G96&gt;17,(0.005*('Temperature Profiles'!G96^2) - 0.1517*'Temperature Profiles'!G96 + 1.1702)*1000,0)</f>
        <v>83.637500000000031</v>
      </c>
      <c r="K97" s="110">
        <v>0.95833333333333304</v>
      </c>
      <c r="L97" s="211">
        <f>IF('Temperature Profiles'!G96&gt;17,(0.0068*('Temperature Profiles'!G96^2) - 0.2129*'Temperature Profiles'!G96 + 1.6904)*1000,0)</f>
        <v>89.149999999999622</v>
      </c>
      <c r="M97" s="21"/>
      <c r="N97" s="110">
        <v>0.95833333333333304</v>
      </c>
      <c r="O97" s="211">
        <f>IF('Temperature Profiles'!L96&gt;17,(0.0029*('Temperature Profiles'!L96^2) - 0.0863*'Temperature Profiles'!L96 + 0.6808)*1000,0)</f>
        <v>57.674555555555564</v>
      </c>
      <c r="P97" s="110">
        <v>0.95833333333333304</v>
      </c>
      <c r="Q97" s="211">
        <f>IF('Temperature Profiles'!L96&gt;17,(0.005*('Temperature Profiles'!L96^2) - 0.1517*'Temperature Profiles'!L96 + 1.1702)*1000,0)</f>
        <v>45.168888888888816</v>
      </c>
      <c r="R97" s="110">
        <v>0.95833333333333304</v>
      </c>
      <c r="S97" s="211">
        <f>IF('Temperature Profiles'!L96&gt;17,(0.0068*('Temperature Profiles'!L96^2) - 0.2129*'Temperature Profiles'!L96 + 1.6904)*1000,0)</f>
        <v>45.506888888888767</v>
      </c>
      <c r="T97" s="21"/>
      <c r="U97" s="110">
        <v>0.95833333333333304</v>
      </c>
      <c r="V97" s="211">
        <f>IF('Temperature Profiles'!Q96&gt;17,(0.0029*('Temperature Profiles'!Q96^2) - 0.0863*'Temperature Profiles'!Q96 + 0.6808)*1000,0)</f>
        <v>489.7602500000001</v>
      </c>
      <c r="W97" s="110">
        <v>0.95833333333333304</v>
      </c>
      <c r="X97" s="211">
        <f>IF('Temperature Profiles'!Q96&gt;17,(0.005*('Temperature Profiles'!Q96^2) - 0.1517*'Temperature Profiles'!Q96 + 1.1702)*1000,0)</f>
        <v>761.31750000000011</v>
      </c>
      <c r="Y97" s="110">
        <v>0.95833333333333304</v>
      </c>
      <c r="Z97" s="211">
        <f>IF('Temperature Profiles'!Q96&gt;17,(0.0068*('Temperature Profiles'!Q96^2) - 0.2129*'Temperature Profiles'!Q96 + 1.6904)*1000,0)</f>
        <v>954.13799999999992</v>
      </c>
      <c r="AA97" s="21"/>
      <c r="AB97" s="110">
        <v>0.95833333333333304</v>
      </c>
      <c r="AC97" s="211">
        <f>IF('Temperature Profiles'!V96&gt;17,(0.0029*('Temperature Profiles'!V96^2) - 0.0863*'Temperature Profiles'!V96 + 0.6808)*1000,0)</f>
        <v>0</v>
      </c>
      <c r="AD97" s="110">
        <v>0.95833333333333304</v>
      </c>
      <c r="AE97" s="211">
        <f>IF('Temperature Profiles'!V96&gt;17,(0.005*('Temperature Profiles'!V96^2) - 0.1517*'Temperature Profiles'!V96 + 1.1702)*1000,0)</f>
        <v>0</v>
      </c>
      <c r="AF97" s="110">
        <v>0.95833333333333304</v>
      </c>
      <c r="AG97" s="211">
        <f>IF('Temperature Profiles'!V96&gt;17,(0.0068*('Temperature Profiles'!V96^2) - 0.2129*'Temperature Profiles'!V96 + 1.6904)*1000,0)</f>
        <v>0</v>
      </c>
      <c r="AH97" s="21"/>
      <c r="AI97" s="110">
        <v>0.95833333333333304</v>
      </c>
      <c r="AJ97" s="211">
        <f>IF('Temperature Profiles'!AA96&gt;17,(0.0029*('Temperature Profiles'!AA96^2) - 0.0863*'Temperature Profiles'!AA96 + 0.6808)*1000,0)</f>
        <v>0</v>
      </c>
      <c r="AK97" s="110">
        <v>0.95833333333333304</v>
      </c>
      <c r="AL97" s="211">
        <f>IF('Temperature Profiles'!AA96&gt;17,(0.005*('Temperature Profiles'!AA96^2) - 0.1517*'Temperature Profiles'!AA96 + 1.1701)*1000,0)</f>
        <v>0</v>
      </c>
      <c r="AM97" s="110">
        <v>0.95833333333333304</v>
      </c>
      <c r="AN97" s="211">
        <f>IF('Temperature Profiles'!AA96&gt;17,(0.0068*('Temperature Profiles'!AA96^2) - 0.2129*'Temperature Profiles'!AA96 + 1.6904)*1000,0)</f>
        <v>0</v>
      </c>
      <c r="AO97" s="21"/>
      <c r="AP97" s="110">
        <v>0.95833333333333304</v>
      </c>
      <c r="AQ97" s="211">
        <f>IF('Temperature Profiles'!AF96&gt;17,(0.0029*('Temperature Profiles'!AF96^2) - 0.0863*'Temperature Profiles'!AF96 + 0.6808)*1000,0)</f>
        <v>733.59820138888836</v>
      </c>
      <c r="AR97" s="110">
        <v>0.95833333333333304</v>
      </c>
      <c r="AS97" s="183">
        <f>IF('Temperature Profiles'!AF96&gt;17,(0.005*('Temperature Profiles'!AF96^2) - 0.1517*'Temperature Profiles'!AF96 + 1.1702)*1000,0)</f>
        <v>1172.9828472222218</v>
      </c>
      <c r="AT97" s="110">
        <v>0.95833333333333304</v>
      </c>
      <c r="AU97" s="211">
        <f>IF('Temperature Profiles'!AF96&gt;17,(0.0068*('Temperature Profiles'!AF96^2) - 0.2129*'Temperature Profiles'!AF96 + 1.6904)*1000,0)</f>
        <v>1494.1839722222219</v>
      </c>
      <c r="AV97" s="21"/>
      <c r="AW97" s="110">
        <v>0.95833333333333304</v>
      </c>
      <c r="AX97" s="211"/>
      <c r="AY97" s="21"/>
      <c r="AZ97" s="110">
        <v>0.95833333333333304</v>
      </c>
      <c r="BA97" s="264"/>
      <c r="BC97" s="260">
        <v>0.95833333333333304</v>
      </c>
      <c r="BD97" s="211">
        <f>IF('Temperature Profiles'!G96&lt;16,(-0.0037*'Temperature Profiles'!G96+0.0664)*1000,0)</f>
        <v>0</v>
      </c>
      <c r="BE97" s="110">
        <v>0.95833333333333304</v>
      </c>
      <c r="BF97" s="211">
        <f>IF('Temperature Profiles'!G96&lt;16,(-0.0076*'Temperature Profiles'!G96+0.1245)*1000,0)</f>
        <v>0</v>
      </c>
      <c r="BG97" s="110">
        <v>0.95833333333333304</v>
      </c>
      <c r="BH97" s="211">
        <f>IF('Temperature Profiles'!G96&lt;16,(-0.01*'Temperature Profiles'!G96+0.167)*1000,0)</f>
        <v>0</v>
      </c>
      <c r="BI97" s="21"/>
      <c r="BJ97" s="110">
        <v>0.95833333333333304</v>
      </c>
      <c r="BK97" s="211">
        <f>IF('Temperature Profiles'!L96&lt;16,(-0.0037*'Temperature Profiles'!L96+0.0664)*1000,0)</f>
        <v>0</v>
      </c>
      <c r="BL97" s="110">
        <v>0.95833333333333304</v>
      </c>
      <c r="BM97" s="211">
        <f>IF('Temperature Profiles'!L96&lt;16,(-0.0076*'Temperature Profiles'!L96+0.1245)*1000,0)</f>
        <v>0</v>
      </c>
      <c r="BN97" s="110">
        <v>0.95833333333333304</v>
      </c>
      <c r="BO97" s="211">
        <f>IF('Temperature Profiles'!L96&lt;16,(-0.01*'Temperature Profiles'!L96+0.167)*1000,0)</f>
        <v>0</v>
      </c>
      <c r="BP97" s="21"/>
      <c r="BQ97" s="110">
        <v>0.95833333333333304</v>
      </c>
      <c r="BR97" s="211">
        <f>IF('Temperature Profiles'!Q96&lt;16,(-0.0037*'Temperature Profiles'!Q96+0.0664)*1000,0)</f>
        <v>0</v>
      </c>
      <c r="BS97" s="110">
        <v>0.95833333333333304</v>
      </c>
      <c r="BT97" s="211">
        <f>IF('Temperature Profiles'!Q96&lt;16,(-0.0076*'Temperature Profiles'!Q96+0.1245)*1000,0)</f>
        <v>0</v>
      </c>
      <c r="BU97" s="110">
        <v>0.95833333333333304</v>
      </c>
      <c r="BV97" s="211">
        <f>IF('Temperature Profiles'!Q96&lt;16,(-0.01*'Temperature Profiles'!Q96+0.167)*1000,0)</f>
        <v>0</v>
      </c>
      <c r="BW97" s="21"/>
      <c r="BX97" s="110">
        <v>0.95833333333333304</v>
      </c>
      <c r="BY97" s="211">
        <f>IF('Temperature Profiles'!V96&lt;16,(-0.0037*'Temperature Profiles'!V96+0.0664)*1000,0)</f>
        <v>0</v>
      </c>
      <c r="BZ97" s="110">
        <v>0.95833333333333304</v>
      </c>
      <c r="CA97" s="211">
        <f>IF('Temperature Profiles'!V96&lt;16,(-0.0076*'Temperature Profiles'!V96+0.1245)*1000,0)</f>
        <v>0</v>
      </c>
      <c r="CB97" s="110">
        <v>0.95833333333333304</v>
      </c>
      <c r="CC97" s="211">
        <f>IF('Temperature Profiles'!V96&lt;16,(-0.01*'Temperature Profiles'!V96+0.167)*1000,0)</f>
        <v>0</v>
      </c>
      <c r="CD97" s="21"/>
      <c r="CE97" s="110">
        <v>0.95833333333333304</v>
      </c>
      <c r="CF97" s="211">
        <f>IF('Temperature Profiles'!AA96&lt;16,(-0.0037*'Temperature Profiles'!AA96+0.0664)*1000,0)</f>
        <v>108.70333333333335</v>
      </c>
      <c r="CG97" s="110">
        <v>0.95833333333333304</v>
      </c>
      <c r="CH97" s="178">
        <f>IF('Temperature Profiles'!AA96&lt;16,(-0.0076*'Temperature Profiles'!AA96+0.1245)*1000,0)</f>
        <v>211.39333333333332</v>
      </c>
      <c r="CI97" s="110">
        <v>0.95833333333333304</v>
      </c>
      <c r="CJ97" s="211">
        <f>IF('Temperature Profiles'!AA96&lt;16,(-0.01*'Temperature Profiles'!AA96+0.167)*1000,0)</f>
        <v>281.33333333333331</v>
      </c>
      <c r="CK97" s="21"/>
      <c r="CL97" s="110">
        <v>0.95833333333333304</v>
      </c>
      <c r="CM97" s="211">
        <f>IF('Temperature Profiles'!AF96&lt;16,(-0.0037*'Temperature Profiles'!AF96+0.0664)*1000,0)</f>
        <v>0</v>
      </c>
      <c r="CN97" s="110">
        <v>0.95833333333333304</v>
      </c>
      <c r="CO97" s="178">
        <f>IF('Temperature Profiles'!AF96&lt;16,(-0.0076*'Temperature Profiles'!AF96+0.1245)*1000,0)</f>
        <v>0</v>
      </c>
      <c r="CP97" s="110">
        <v>0.95833333333333304</v>
      </c>
      <c r="CQ97" s="211">
        <f>IF('Temperature Profiles'!AF96&lt;16,(-0.01*'Temperature Profiles'!AF96+0.167)*1000,0)</f>
        <v>0</v>
      </c>
      <c r="CR97" s="21"/>
      <c r="CS97" s="110">
        <v>0.95833333333333304</v>
      </c>
      <c r="CT97" s="211"/>
      <c r="CU97" s="21"/>
      <c r="CV97" s="110">
        <v>0.95833333333333304</v>
      </c>
      <c r="CW97" s="264"/>
      <c r="CY97" s="260">
        <v>0.95833333333333304</v>
      </c>
      <c r="CZ97" s="178">
        <f>IF('Temperature Profiles'!G96&gt;18,(0.0024*('Temperature Profiles'!G96^2)-0.0581*'Temperature Profiles'!G96+0.3293)*1000,IF('Temperature Profiles'!G96&lt;17,(0.0022*('Temperature Profiles'!G96^2)-0.0874*'Temperature Profiles'!G96+0.9301)*1000,0))</f>
        <v>83.674999999999883</v>
      </c>
      <c r="DA97" s="110">
        <v>0.95833333333333304</v>
      </c>
      <c r="DB97" s="263">
        <f>IF('Temperature Profiles'!G96&gt;18,(0.0043*('Temperature Profiles'!G96^2)-0.1116*'Temperature Profiles'!G96+0.6576)*1000,IF('Temperature Profiles'!G96&lt;17,(0.0053*('Temperature Profiles'!G96^2)-0.1876*'Temperature Profiles'!G96+1.7649)*1000,0))</f>
        <v>76.81874999999971</v>
      </c>
      <c r="DC97" s="110">
        <v>0.95833333333333304</v>
      </c>
      <c r="DD97" s="211">
        <f>IF('Temperature Profiles'!G96&gt;18,(0.0057*('Temperature Profiles'!G96^2)-0.1509*'Temperature Profiles'!G96+0.8935)*1000,IF('Temperature Profiles'!G96&lt;17,(0.0072*('Temperature Profiles'!G96^2)-0.254*'Temperature Profiles'!G96+2.3952)*1000,0))</f>
        <v>68.031249999999773</v>
      </c>
      <c r="DE97" s="21"/>
      <c r="DF97" s="110">
        <v>0.95833333333333304</v>
      </c>
      <c r="DG97" s="209">
        <f>IF('Temperature Profiles'!L96&gt;18,(0.0024*('Temperature Profiles'!L96^2)-0.0581*'Temperature Profiles'!L96+0.3293)*1000,IF('Temperature Profiles'!L96&lt;17,(0.0022*('Temperature Profiles'!L96^2)-0.0874*'Temperature Profiles'!L96+0.9301)*1000,0))</f>
        <v>0</v>
      </c>
      <c r="DH97" s="110">
        <v>0.95833333333333304</v>
      </c>
      <c r="DI97" s="209">
        <f>IF('Temperature Profiles'!L96&gt;18,(0.0043*('Temperature Profiles'!L96^2)-0.1116*'Temperature Profiles'!L96+0.6576)*1000,IF('Temperature Profiles'!L96&lt;17,(0.0053*('Temperature Profiles'!L96^2)-0.1876*'Temperature Profiles'!L96+1.7649)*1000,0))</f>
        <v>0</v>
      </c>
      <c r="DJ97" s="110">
        <v>0.95833333333333304</v>
      </c>
      <c r="DK97" s="211">
        <f>IF('Temperature Profiles'!L96&gt;18,(0.0057*('Temperature Profiles'!L96^2)-0.1509*'Temperature Profiles'!L96+0.8935)*1000,IF('Temperature Profiles'!L96&lt;17,(0.0072*('Temperature Profiles'!L96^2)-0.254*'Temperature Profiles'!L96+2.3952)*1000,0))</f>
        <v>0</v>
      </c>
      <c r="DL97" s="21"/>
      <c r="DM97" s="110">
        <v>0.95833333333333304</v>
      </c>
      <c r="DN97" s="209">
        <f>IF('Temperature Profiles'!Q96&gt;18,(0.0024*('Temperature Profiles'!Q96^2)-0.0581*'Temperature Profiles'!Q96+0.3293)*1000,IF('Temperature Profiles'!Q96&lt;17,(0.0022*('Temperature Profiles'!Q96^2)-0.0874*'Temperature Profiles'!Q96+0.9301)*1000,0))</f>
        <v>535.51900000000035</v>
      </c>
      <c r="DO97" s="110">
        <v>0.95833333333333304</v>
      </c>
      <c r="DP97" s="209">
        <f>IF('Temperature Profiles'!Q96&gt;18,(0.0043*('Temperature Profiles'!Q96^2)-0.1116*'Temperature Profiles'!Q96+0.6576)*1000,IF('Temperature Profiles'!Q96&lt;17,(0.0053*('Temperature Profiles'!Q96^2)-0.1876*'Temperature Profiles'!Q96+1.7649)*1000,0))</f>
        <v>821.83675000000017</v>
      </c>
      <c r="DQ97" s="110">
        <v>0.95833333333333304</v>
      </c>
      <c r="DR97" s="211">
        <f>IF('Temperature Profiles'!Q96&gt;18,(0.0057*('Temperature Profiles'!Q96^2)-0.1509*'Temperature Profiles'!Q96+0.8935)*1000,IF('Temperature Profiles'!Q96&lt;17,(0.0072*('Temperature Profiles'!Q96^2)-0.254*'Temperature Profiles'!Q96+2.3952)*1000,0))</f>
        <v>1030.1132500000008</v>
      </c>
      <c r="DS97" s="21"/>
      <c r="DT97" s="110">
        <v>0.95833333333333304</v>
      </c>
      <c r="DU97" s="209">
        <f>IF('Temperature Profiles'!V96&gt;18,(0.0024*('Temperature Profiles'!V96^2)-0.0581*'Temperature Profiles'!V96+0.3293)*1000,IF('Temperature Profiles'!V96&lt;17,(0.0022*('Temperature Profiles'!V96^2)-0.0874*'Temperature Profiles'!V96+0.9301)*1000,0))</f>
        <v>87.570486111111066</v>
      </c>
      <c r="DV97" s="110">
        <v>0.95833333333333304</v>
      </c>
      <c r="DW97" s="209">
        <f>IF('Temperature Profiles'!V96&gt;18,(0.0043*('Temperature Profiles'!V96^2)-0.1116*'Temperature Profiles'!V96+0.6576)*1000,IF('Temperature Profiles'!V96&lt;17,(0.0053*('Temperature Profiles'!V96^2)-0.1876*'Temperature Profiles'!V96+1.7649)*1000,0))</f>
        <v>112.96336805555552</v>
      </c>
      <c r="DX97" s="110">
        <v>0.95833333333333304</v>
      </c>
      <c r="DY97" s="211">
        <f>IF('Temperature Profiles'!V96&gt;18,(0.0057*('Temperature Profiles'!V96^2)-0.1509*'Temperature Profiles'!V96+0.8935)*1000,IF('Temperature Profiles'!V96&lt;17,(0.0072*('Temperature Profiles'!V96^2)-0.254*'Temperature Profiles'!V96+2.3952)*1000,0))</f>
        <v>165.09583333333387</v>
      </c>
      <c r="DZ97" s="21"/>
      <c r="EA97" s="110">
        <v>0.95833333333333304</v>
      </c>
      <c r="EB97" s="209">
        <f>IF('Temperature Profiles'!AA195&gt;18,(0.0024*('Temperature Profiles'!AA195^2)-0.0581*'Temperature Profiles'!AA195+0.3293)*1000,IF('Temperature Profiles'!AA195&lt;17,(0.0022*('Temperature Profiles'!AA195^2)-0.0874*'Temperature Profiles'!AA195+0.9301)*1000,0))</f>
        <v>626.8068194444445</v>
      </c>
      <c r="EC97" s="110">
        <v>0.95833333333333304</v>
      </c>
      <c r="ED97" s="209">
        <f>IF('Temperature Profiles'!AA195&gt;18,(0.0043*('Temperature Profiles'!AA195^2)-0.1116*'Temperature Profiles'!AA195+0.6576)*1000,IF('Temperature Profiles'!AA195&lt;17,(0.0053*('Temperature Profiles'!AA195^2)-0.1876*'Temperature Profiles'!AA195+1.7649)*1000,0))</f>
        <v>1122.4228680555557</v>
      </c>
      <c r="EE97" s="110">
        <v>0.95833333333333304</v>
      </c>
      <c r="EF97" s="211">
        <f>IF('Temperature Profiles'!AA195&gt;18,(0.0057*('Temperature Profiles'!AA195^2)-0.1509*'Temperature Profiles'!AA195+0.8935)*1000,IF('Temperature Profiles'!AA195&lt;17,(0.0072*('Temperature Profiles'!AA195^2)-0.254*'Temperature Profiles'!AA195+2.3952)*1000,0))</f>
        <v>1525.6771666666666</v>
      </c>
      <c r="EG97" s="21"/>
      <c r="EH97" s="110">
        <v>0.95833333333333304</v>
      </c>
      <c r="EI97" s="211">
        <f>IF('Temperature Profiles'!AF96&gt;18,(0.0024*('Temperature Profiles'!AF96^2)-0.0581*'Temperature Profiles'!AF96+0.3293)*1000,IF('Temperature Profiles'!AF96&lt;17,(0.0022*('Temperature Profiles'!AF96^2)-0.0874*'Temperature Profiles'!AF96+0.9301)*1000,0))</f>
        <v>777.38899999999944</v>
      </c>
      <c r="EJ97" s="110">
        <v>0.95833333333333304</v>
      </c>
      <c r="EK97" s="211">
        <f>IF('Temperature Profiles'!AF96&gt;18,(0.0043*('Temperature Profiles'!AF96^2)-0.1116*'Temperature Profiles'!AF96+0.6576)*1000,IF('Temperature Profiles'!AF96&lt;17,(0.0053*('Temperature Profiles'!AF96^2)-0.1876*'Temperature Profiles'!AF96+1.7649)*1000,0))</f>
        <v>1232.6121319444439</v>
      </c>
      <c r="EL97" s="110">
        <v>0.95833333333333304</v>
      </c>
      <c r="EM97" s="211">
        <f>IF('Temperature Profiles'!AF96&gt;18,(0.0057*('Temperature Profiles'!AF96^2)-0.1509*'Temperature Profiles'!AF96+0.8935)*1000,IF('Temperature Profiles'!AF96&lt;17,(0.0072*('Temperature Profiles'!AF96^2)-0.254*'Temperature Profiles'!AF96+2.3952)*1000,0))</f>
        <v>1565.7093958333337</v>
      </c>
      <c r="EN97" s="21"/>
      <c r="EO97" s="110">
        <v>0.95833333333333304</v>
      </c>
      <c r="EP97" s="211"/>
      <c r="EQ97" s="21"/>
      <c r="ER97" s="110">
        <v>0.95833333333333304</v>
      </c>
      <c r="ES97" s="264"/>
      <c r="EU97" s="260">
        <v>0.95833333333333304</v>
      </c>
      <c r="EV97" s="209">
        <f>IF('Temperature Profiles'!AA195&gt;18,(0.0024*('Temperature Profiles'!AA195^2)-0.0581*'Temperature Profiles'!AA195+0.3293)*1000,IF('Temperature Profiles'!AA195&lt;17,(0.0022*('Temperature Profiles'!AA195^2)-0.0874*'Temperature Profiles'!AA195+0.9301)*1000,0))</f>
        <v>626.8068194444445</v>
      </c>
      <c r="EW97" s="110">
        <v>0.95833333333333304</v>
      </c>
      <c r="EX97" s="209">
        <f>IF('Temperature Profiles'!AA195&gt;18,(0.0043*('Temperature Profiles'!AA195^2)-0.1116*'Temperature Profiles'!AA195+0.6576)*1000,IF('Temperature Profiles'!AA195&lt;17,(0.0053*('Temperature Profiles'!AA195^2)-0.1876*'Temperature Profiles'!AA195+1.7649)*1000,0))</f>
        <v>1122.4228680555557</v>
      </c>
      <c r="EY97" s="110">
        <v>0.95833333333333304</v>
      </c>
      <c r="EZ97" s="264">
        <f>IF('Temperature Profiles'!AA195&gt;18,(0.0057*('Temperature Profiles'!AA195^2)-0.1509*'Temperature Profiles'!AA195+0.8935)*1000,IF('Temperature Profiles'!AA195&lt;17,(0.0072*('Temperature Profiles'!AA195^2)-0.254*'Temperature Profiles'!AA195+2.3952)*1000,0))</f>
        <v>1525.6771666666666</v>
      </c>
    </row>
    <row r="98" spans="1:157" x14ac:dyDescent="0.3">
      <c r="A98" s="108">
        <v>0.95833333333333304</v>
      </c>
      <c r="B98" s="226">
        <f t="shared" si="4"/>
        <v>0</v>
      </c>
      <c r="C98" s="21">
        <f t="shared" si="5"/>
        <v>281.33333333333331</v>
      </c>
      <c r="D98" s="20">
        <f t="shared" si="6"/>
        <v>1525.6771666666666</v>
      </c>
      <c r="E98" s="20">
        <f t="shared" si="7"/>
        <v>1525.6771666666666</v>
      </c>
      <c r="G98" s="260">
        <v>0.96875</v>
      </c>
      <c r="H98" s="211">
        <f>IF('Temperature Profiles'!G97&gt;17,(0.0029*('Temperature Profiles'!G97^2) - 0.0863*'Temperature Profiles'!G97 + 0.6808)*1000,0)</f>
        <v>82.206249999999926</v>
      </c>
      <c r="I98" s="110">
        <v>0.96875</v>
      </c>
      <c r="J98" s="211">
        <f>IF('Temperature Profiles'!G97&gt;17,(0.005*('Temperature Profiles'!G97^2) - 0.1517*'Temperature Profiles'!G97 + 1.1702)*1000,0)</f>
        <v>83.637500000000031</v>
      </c>
      <c r="K98" s="110">
        <v>0.96875</v>
      </c>
      <c r="L98" s="211">
        <f>IF('Temperature Profiles'!G97&gt;17,(0.0068*('Temperature Profiles'!G97^2) - 0.2129*'Temperature Profiles'!G97 + 1.6904)*1000,0)</f>
        <v>89.149999999999622</v>
      </c>
      <c r="M98" s="21"/>
      <c r="N98" s="110">
        <v>0.96875</v>
      </c>
      <c r="O98" s="211">
        <f>IF('Temperature Profiles'!L97&gt;17,(0.0029*('Temperature Profiles'!L97^2) - 0.0863*'Temperature Profiles'!L97 + 0.6808)*1000,0)</f>
        <v>57.674555555555564</v>
      </c>
      <c r="P98" s="110">
        <v>0.96875</v>
      </c>
      <c r="Q98" s="211">
        <f>IF('Temperature Profiles'!L97&gt;17,(0.005*('Temperature Profiles'!L97^2) - 0.1517*'Temperature Profiles'!L97 + 1.1702)*1000,0)</f>
        <v>45.168888888888816</v>
      </c>
      <c r="R98" s="110">
        <v>0.96875</v>
      </c>
      <c r="S98" s="211">
        <f>IF('Temperature Profiles'!L97&gt;17,(0.0068*('Temperature Profiles'!L97^2) - 0.2129*'Temperature Profiles'!L97 + 1.6904)*1000,0)</f>
        <v>45.506888888888767</v>
      </c>
      <c r="T98" s="21"/>
      <c r="U98" s="110">
        <v>0.96875</v>
      </c>
      <c r="V98" s="211">
        <f>IF('Temperature Profiles'!Q97&gt;17,(0.0029*('Temperature Profiles'!Q97^2) - 0.0863*'Temperature Profiles'!Q97 + 0.6808)*1000,0)</f>
        <v>489.7602500000001</v>
      </c>
      <c r="W98" s="110">
        <v>0.96875</v>
      </c>
      <c r="X98" s="211">
        <f>IF('Temperature Profiles'!Q97&gt;17,(0.005*('Temperature Profiles'!Q97^2) - 0.1517*'Temperature Profiles'!Q97 + 1.1702)*1000,0)</f>
        <v>761.31750000000011</v>
      </c>
      <c r="Y98" s="110">
        <v>0.96875</v>
      </c>
      <c r="Z98" s="211">
        <f>IF('Temperature Profiles'!Q97&gt;17,(0.0068*('Temperature Profiles'!Q97^2) - 0.2129*'Temperature Profiles'!Q97 + 1.6904)*1000,0)</f>
        <v>954.13799999999992</v>
      </c>
      <c r="AA98" s="21"/>
      <c r="AB98" s="110">
        <v>0.96875</v>
      </c>
      <c r="AC98" s="211">
        <f>IF('Temperature Profiles'!V97&gt;17,(0.0029*('Temperature Profiles'!V97^2) - 0.0863*'Temperature Profiles'!V97 + 0.6808)*1000,0)</f>
        <v>0</v>
      </c>
      <c r="AD98" s="110">
        <v>0.96875</v>
      </c>
      <c r="AE98" s="211">
        <f>IF('Temperature Profiles'!V97&gt;17,(0.005*('Temperature Profiles'!V97^2) - 0.1517*'Temperature Profiles'!V97 + 1.1702)*1000,0)</f>
        <v>0</v>
      </c>
      <c r="AF98" s="110">
        <v>0.96875</v>
      </c>
      <c r="AG98" s="211">
        <f>IF('Temperature Profiles'!V97&gt;17,(0.0068*('Temperature Profiles'!V97^2) - 0.2129*'Temperature Profiles'!V97 + 1.6904)*1000,0)</f>
        <v>0</v>
      </c>
      <c r="AH98" s="21"/>
      <c r="AI98" s="110">
        <v>0.96875</v>
      </c>
      <c r="AJ98" s="211">
        <f>IF('Temperature Profiles'!AA97&gt;17,(0.0029*('Temperature Profiles'!AA97^2) - 0.0863*'Temperature Profiles'!AA97 + 0.6808)*1000,0)</f>
        <v>0</v>
      </c>
      <c r="AK98" s="110">
        <v>0.96875</v>
      </c>
      <c r="AL98" s="211">
        <f>IF('Temperature Profiles'!AA97&gt;17,(0.005*('Temperature Profiles'!AA97^2) - 0.1517*'Temperature Profiles'!AA97 + 1.1701)*1000,0)</f>
        <v>0</v>
      </c>
      <c r="AM98" s="110">
        <v>0.96875</v>
      </c>
      <c r="AN98" s="211">
        <f>IF('Temperature Profiles'!AA97&gt;17,(0.0068*('Temperature Profiles'!AA97^2) - 0.2129*'Temperature Profiles'!AA97 + 1.6904)*1000,0)</f>
        <v>0</v>
      </c>
      <c r="AO98" s="21"/>
      <c r="AP98" s="110">
        <v>0.96875</v>
      </c>
      <c r="AQ98" s="211">
        <f>IF('Temperature Profiles'!AF97&gt;17,(0.0029*('Temperature Profiles'!AF97^2) - 0.0863*'Temperature Profiles'!AF97 + 0.6808)*1000,0)</f>
        <v>733.59820138888836</v>
      </c>
      <c r="AR98" s="110">
        <v>0.96875</v>
      </c>
      <c r="AS98" s="183">
        <f>IF('Temperature Profiles'!AF97&gt;17,(0.005*('Temperature Profiles'!AF97^2) - 0.1517*'Temperature Profiles'!AF97 + 1.1702)*1000,0)</f>
        <v>1172.9828472222218</v>
      </c>
      <c r="AT98" s="110">
        <v>0.96875</v>
      </c>
      <c r="AU98" s="211">
        <f>IF('Temperature Profiles'!AF97&gt;17,(0.0068*('Temperature Profiles'!AF97^2) - 0.2129*'Temperature Profiles'!AF97 + 1.6904)*1000,0)</f>
        <v>1494.1839722222219</v>
      </c>
      <c r="AV98" s="21"/>
      <c r="AW98" s="110">
        <v>0.96875</v>
      </c>
      <c r="AX98" s="211"/>
      <c r="AY98" s="21"/>
      <c r="AZ98" s="110">
        <v>0.96875</v>
      </c>
      <c r="BA98" s="264"/>
      <c r="BC98" s="260">
        <v>0.96875</v>
      </c>
      <c r="BD98" s="211">
        <f>IF('Temperature Profiles'!G97&lt;16,(-0.0037*'Temperature Profiles'!G97+0.0664)*1000,0)</f>
        <v>0</v>
      </c>
      <c r="BE98" s="110">
        <v>0.96875</v>
      </c>
      <c r="BF98" s="211">
        <f>IF('Temperature Profiles'!G97&lt;16,(-0.0076*'Temperature Profiles'!G97+0.1245)*1000,0)</f>
        <v>0</v>
      </c>
      <c r="BG98" s="110">
        <v>0.96875</v>
      </c>
      <c r="BH98" s="211">
        <f>IF('Temperature Profiles'!G97&lt;16,(-0.01*'Temperature Profiles'!G97+0.167)*1000,0)</f>
        <v>0</v>
      </c>
      <c r="BI98" s="21"/>
      <c r="BJ98" s="110">
        <v>0.96875</v>
      </c>
      <c r="BK98" s="211">
        <f>IF('Temperature Profiles'!L97&lt;16,(-0.0037*'Temperature Profiles'!L97+0.0664)*1000,0)</f>
        <v>0</v>
      </c>
      <c r="BL98" s="110">
        <v>0.96875</v>
      </c>
      <c r="BM98" s="211">
        <f>IF('Temperature Profiles'!L97&lt;16,(-0.0076*'Temperature Profiles'!L97+0.1245)*1000,0)</f>
        <v>0</v>
      </c>
      <c r="BN98" s="110">
        <v>0.96875</v>
      </c>
      <c r="BO98" s="211">
        <f>IF('Temperature Profiles'!L97&lt;16,(-0.01*'Temperature Profiles'!L97+0.167)*1000,0)</f>
        <v>0</v>
      </c>
      <c r="BP98" s="21"/>
      <c r="BQ98" s="110">
        <v>0.96875</v>
      </c>
      <c r="BR98" s="211">
        <f>IF('Temperature Profiles'!Q97&lt;16,(-0.0037*'Temperature Profiles'!Q97+0.0664)*1000,0)</f>
        <v>0</v>
      </c>
      <c r="BS98" s="110">
        <v>0.96875</v>
      </c>
      <c r="BT98" s="211">
        <f>IF('Temperature Profiles'!Q97&lt;16,(-0.0076*'Temperature Profiles'!Q97+0.1245)*1000,0)</f>
        <v>0</v>
      </c>
      <c r="BU98" s="110">
        <v>0.96875</v>
      </c>
      <c r="BV98" s="211">
        <f>IF('Temperature Profiles'!Q97&lt;16,(-0.01*'Temperature Profiles'!Q97+0.167)*1000,0)</f>
        <v>0</v>
      </c>
      <c r="BW98" s="21"/>
      <c r="BX98" s="110">
        <v>0.96875</v>
      </c>
      <c r="BY98" s="211">
        <f>IF('Temperature Profiles'!V97&lt;16,(-0.0037*'Temperature Profiles'!V97+0.0664)*1000,0)</f>
        <v>0</v>
      </c>
      <c r="BZ98" s="110">
        <v>0.96875</v>
      </c>
      <c r="CA98" s="211">
        <f>IF('Temperature Profiles'!V97&lt;16,(-0.0076*'Temperature Profiles'!V97+0.1245)*1000,0)</f>
        <v>0</v>
      </c>
      <c r="CB98" s="110">
        <v>0.96875</v>
      </c>
      <c r="CC98" s="211">
        <f>IF('Temperature Profiles'!V97&lt;16,(-0.01*'Temperature Profiles'!V97+0.167)*1000,0)</f>
        <v>0</v>
      </c>
      <c r="CD98" s="21"/>
      <c r="CE98" s="110">
        <v>0.96875</v>
      </c>
      <c r="CF98" s="211">
        <f>IF('Temperature Profiles'!AA97&lt;16,(-0.0037*'Temperature Profiles'!AA97+0.0664)*1000,0)</f>
        <v>108.70333333333335</v>
      </c>
      <c r="CG98" s="110">
        <v>0.96875</v>
      </c>
      <c r="CH98" s="178">
        <f>IF('Temperature Profiles'!AA97&lt;16,(-0.0076*'Temperature Profiles'!AA97+0.1245)*1000,0)</f>
        <v>211.39333333333332</v>
      </c>
      <c r="CI98" s="110">
        <v>0.96875</v>
      </c>
      <c r="CJ98" s="211">
        <f>IF('Temperature Profiles'!AA97&lt;16,(-0.01*'Temperature Profiles'!AA97+0.167)*1000,0)</f>
        <v>281.33333333333331</v>
      </c>
      <c r="CK98" s="21"/>
      <c r="CL98" s="110">
        <v>0.96875</v>
      </c>
      <c r="CM98" s="211">
        <f>IF('Temperature Profiles'!AF97&lt;16,(-0.0037*'Temperature Profiles'!AF97+0.0664)*1000,0)</f>
        <v>0</v>
      </c>
      <c r="CN98" s="110">
        <v>0.96875</v>
      </c>
      <c r="CO98" s="178">
        <f>IF('Temperature Profiles'!AF97&lt;16,(-0.0076*'Temperature Profiles'!AF97+0.1245)*1000,0)</f>
        <v>0</v>
      </c>
      <c r="CP98" s="110">
        <v>0.96875</v>
      </c>
      <c r="CQ98" s="211">
        <f>IF('Temperature Profiles'!AF97&lt;16,(-0.01*'Temperature Profiles'!AF97+0.167)*1000,0)</f>
        <v>0</v>
      </c>
      <c r="CR98" s="21"/>
      <c r="CS98" s="110">
        <v>0.96875</v>
      </c>
      <c r="CT98" s="211"/>
      <c r="CU98" s="21"/>
      <c r="CV98" s="110">
        <v>0.96875</v>
      </c>
      <c r="CW98" s="264"/>
      <c r="CY98" s="260">
        <v>0.96875</v>
      </c>
      <c r="CZ98" s="178">
        <f>IF('Temperature Profiles'!G97&gt;18,(0.0024*('Temperature Profiles'!G97^2)-0.0581*'Temperature Profiles'!G97+0.3293)*1000,IF('Temperature Profiles'!G97&lt;17,(0.0022*('Temperature Profiles'!G97^2)-0.0874*'Temperature Profiles'!G97+0.9301)*1000,0))</f>
        <v>83.674999999999883</v>
      </c>
      <c r="DA98" s="110">
        <v>0.96875</v>
      </c>
      <c r="DB98" s="263">
        <f>IF('Temperature Profiles'!G97&gt;18,(0.0043*('Temperature Profiles'!G97^2)-0.1116*'Temperature Profiles'!G97+0.6576)*1000,IF('Temperature Profiles'!G97&lt;17,(0.0053*('Temperature Profiles'!G97^2)-0.1876*'Temperature Profiles'!G97+1.7649)*1000,0))</f>
        <v>76.81874999999971</v>
      </c>
      <c r="DC98" s="110">
        <v>0.96875</v>
      </c>
      <c r="DD98" s="211">
        <f>IF('Temperature Profiles'!G97&gt;18,(0.0057*('Temperature Profiles'!G97^2)-0.1509*'Temperature Profiles'!G97+0.8935)*1000,IF('Temperature Profiles'!G97&lt;17,(0.0072*('Temperature Profiles'!G97^2)-0.254*'Temperature Profiles'!G97+2.3952)*1000,0))</f>
        <v>68.031249999999773</v>
      </c>
      <c r="DE98" s="21"/>
      <c r="DF98" s="110">
        <v>0.96875</v>
      </c>
      <c r="DG98" s="209">
        <f>IF('Temperature Profiles'!L97&gt;18,(0.0024*('Temperature Profiles'!L97^2)-0.0581*'Temperature Profiles'!L97+0.3293)*1000,IF('Temperature Profiles'!L97&lt;17,(0.0022*('Temperature Profiles'!L97^2)-0.0874*'Temperature Profiles'!L97+0.9301)*1000,0))</f>
        <v>0</v>
      </c>
      <c r="DH98" s="110">
        <v>0.96875</v>
      </c>
      <c r="DI98" s="209">
        <f>IF('Temperature Profiles'!L97&gt;18,(0.0043*('Temperature Profiles'!L97^2)-0.1116*'Temperature Profiles'!L97+0.6576)*1000,IF('Temperature Profiles'!L97&lt;17,(0.0053*('Temperature Profiles'!L97^2)-0.1876*'Temperature Profiles'!L97+1.7649)*1000,0))</f>
        <v>0</v>
      </c>
      <c r="DJ98" s="110">
        <v>0.96875</v>
      </c>
      <c r="DK98" s="211">
        <f>IF('Temperature Profiles'!L97&gt;18,(0.0057*('Temperature Profiles'!L97^2)-0.1509*'Temperature Profiles'!L97+0.8935)*1000,IF('Temperature Profiles'!L97&lt;17,(0.0072*('Temperature Profiles'!L97^2)-0.254*'Temperature Profiles'!L97+2.3952)*1000,0))</f>
        <v>0</v>
      </c>
      <c r="DL98" s="21"/>
      <c r="DM98" s="110">
        <v>0.96875</v>
      </c>
      <c r="DN98" s="209">
        <f>IF('Temperature Profiles'!Q97&gt;18,(0.0024*('Temperature Profiles'!Q97^2)-0.0581*'Temperature Profiles'!Q97+0.3293)*1000,IF('Temperature Profiles'!Q97&lt;17,(0.0022*('Temperature Profiles'!Q97^2)-0.0874*'Temperature Profiles'!Q97+0.9301)*1000,0))</f>
        <v>535.51900000000035</v>
      </c>
      <c r="DO98" s="110">
        <v>0.96875</v>
      </c>
      <c r="DP98" s="209">
        <f>IF('Temperature Profiles'!Q97&gt;18,(0.0043*('Temperature Profiles'!Q97^2)-0.1116*'Temperature Profiles'!Q97+0.6576)*1000,IF('Temperature Profiles'!Q97&lt;17,(0.0053*('Temperature Profiles'!Q97^2)-0.1876*'Temperature Profiles'!Q97+1.7649)*1000,0))</f>
        <v>821.83675000000017</v>
      </c>
      <c r="DQ98" s="110">
        <v>0.96875</v>
      </c>
      <c r="DR98" s="211">
        <f>IF('Temperature Profiles'!Q97&gt;18,(0.0057*('Temperature Profiles'!Q97^2)-0.1509*'Temperature Profiles'!Q97+0.8935)*1000,IF('Temperature Profiles'!Q97&lt;17,(0.0072*('Temperature Profiles'!Q97^2)-0.254*'Temperature Profiles'!Q97+2.3952)*1000,0))</f>
        <v>1030.1132500000008</v>
      </c>
      <c r="DS98" s="21"/>
      <c r="DT98" s="110">
        <v>0.96875</v>
      </c>
      <c r="DU98" s="209">
        <f>IF('Temperature Profiles'!V97&gt;18,(0.0024*('Temperature Profiles'!V97^2)-0.0581*'Temperature Profiles'!V97+0.3293)*1000,IF('Temperature Profiles'!V97&lt;17,(0.0022*('Temperature Profiles'!V97^2)-0.0874*'Temperature Profiles'!V97+0.9301)*1000,0))</f>
        <v>87.570486111111066</v>
      </c>
      <c r="DV98" s="110">
        <v>0.96875</v>
      </c>
      <c r="DW98" s="209">
        <f>IF('Temperature Profiles'!V97&gt;18,(0.0043*('Temperature Profiles'!V97^2)-0.1116*'Temperature Profiles'!V97+0.6576)*1000,IF('Temperature Profiles'!V97&lt;17,(0.0053*('Temperature Profiles'!V97^2)-0.1876*'Temperature Profiles'!V97+1.7649)*1000,0))</f>
        <v>112.96336805555552</v>
      </c>
      <c r="DX98" s="110">
        <v>0.96875</v>
      </c>
      <c r="DY98" s="211">
        <f>IF('Temperature Profiles'!V97&gt;18,(0.0057*('Temperature Profiles'!V97^2)-0.1509*'Temperature Profiles'!V97+0.8935)*1000,IF('Temperature Profiles'!V97&lt;17,(0.0072*('Temperature Profiles'!V97^2)-0.254*'Temperature Profiles'!V97+2.3952)*1000,0))</f>
        <v>165.09583333333387</v>
      </c>
      <c r="DZ98" s="21"/>
      <c r="EA98" s="110">
        <v>0.96875</v>
      </c>
      <c r="EB98" s="209">
        <f>IF('Temperature Profiles'!AA196&gt;18,(0.0024*('Temperature Profiles'!AA196^2)-0.0581*'Temperature Profiles'!AA196+0.3293)*1000,IF('Temperature Profiles'!AA196&lt;17,(0.0022*('Temperature Profiles'!AA196^2)-0.0874*'Temperature Profiles'!AA196+0.9301)*1000,0))</f>
        <v>626.8068194444445</v>
      </c>
      <c r="EC98" s="110">
        <v>0.96875</v>
      </c>
      <c r="ED98" s="209">
        <f>IF('Temperature Profiles'!AA196&gt;18,(0.0043*('Temperature Profiles'!AA196^2)-0.1116*'Temperature Profiles'!AA196+0.6576)*1000,IF('Temperature Profiles'!AA196&lt;17,(0.0053*('Temperature Profiles'!AA196^2)-0.1876*'Temperature Profiles'!AA196+1.7649)*1000,0))</f>
        <v>1122.4228680555557</v>
      </c>
      <c r="EE98" s="110">
        <v>0.96875</v>
      </c>
      <c r="EF98" s="211">
        <f>IF('Temperature Profiles'!AA196&gt;18,(0.0057*('Temperature Profiles'!AA196^2)-0.1509*'Temperature Profiles'!AA196+0.8935)*1000,IF('Temperature Profiles'!AA196&lt;17,(0.0072*('Temperature Profiles'!AA196^2)-0.254*'Temperature Profiles'!AA196+2.3952)*1000,0))</f>
        <v>1525.6771666666666</v>
      </c>
      <c r="EG98" s="21"/>
      <c r="EH98" s="110">
        <v>0.96875</v>
      </c>
      <c r="EI98" s="211">
        <f>IF('Temperature Profiles'!AF97&gt;18,(0.0024*('Temperature Profiles'!AF97^2)-0.0581*'Temperature Profiles'!AF97+0.3293)*1000,IF('Temperature Profiles'!AF97&lt;17,(0.0022*('Temperature Profiles'!AF97^2)-0.0874*'Temperature Profiles'!AF97+0.9301)*1000,0))</f>
        <v>777.38899999999944</v>
      </c>
      <c r="EJ98" s="110">
        <v>0.96875</v>
      </c>
      <c r="EK98" s="211">
        <f>IF('Temperature Profiles'!AF97&gt;18,(0.0043*('Temperature Profiles'!AF97^2)-0.1116*'Temperature Profiles'!AF97+0.6576)*1000,IF('Temperature Profiles'!AF97&lt;17,(0.0053*('Temperature Profiles'!AF97^2)-0.1876*'Temperature Profiles'!AF97+1.7649)*1000,0))</f>
        <v>1232.6121319444439</v>
      </c>
      <c r="EL98" s="110">
        <v>0.96875</v>
      </c>
      <c r="EM98" s="211">
        <f>IF('Temperature Profiles'!AF97&gt;18,(0.0057*('Temperature Profiles'!AF97^2)-0.1509*'Temperature Profiles'!AF97+0.8935)*1000,IF('Temperature Profiles'!AF97&lt;17,(0.0072*('Temperature Profiles'!AF97^2)-0.254*'Temperature Profiles'!AF97+2.3952)*1000,0))</f>
        <v>1565.7093958333337</v>
      </c>
      <c r="EN98" s="21"/>
      <c r="EO98" s="110">
        <v>0.96875</v>
      </c>
      <c r="EP98" s="211"/>
      <c r="EQ98" s="21"/>
      <c r="ER98" s="110">
        <v>0.96875</v>
      </c>
      <c r="ES98" s="264"/>
      <c r="EU98" s="260">
        <v>0.96875</v>
      </c>
      <c r="EV98" s="209">
        <f>IF('Temperature Profiles'!AA196&gt;18,(0.0024*('Temperature Profiles'!AA196^2)-0.0581*'Temperature Profiles'!AA196+0.3293)*1000,IF('Temperature Profiles'!AA196&lt;17,(0.0022*('Temperature Profiles'!AA196^2)-0.0874*'Temperature Profiles'!AA196+0.9301)*1000,0))</f>
        <v>626.8068194444445</v>
      </c>
      <c r="EW98" s="110">
        <v>0.96875</v>
      </c>
      <c r="EX98" s="209">
        <f>IF('Temperature Profiles'!AA196&gt;18,(0.0043*('Temperature Profiles'!AA196^2)-0.1116*'Temperature Profiles'!AA196+0.6576)*1000,IF('Temperature Profiles'!AA196&lt;17,(0.0053*('Temperature Profiles'!AA196^2)-0.1876*'Temperature Profiles'!AA196+1.7649)*1000,0))</f>
        <v>1122.4228680555557</v>
      </c>
      <c r="EY98" s="110">
        <v>0.96875</v>
      </c>
      <c r="EZ98" s="264">
        <f>IF('Temperature Profiles'!AA196&gt;18,(0.0057*('Temperature Profiles'!AA196^2)-0.1509*'Temperature Profiles'!AA196+0.8935)*1000,IF('Temperature Profiles'!AA196&lt;17,(0.0072*('Temperature Profiles'!AA196^2)-0.254*'Temperature Profiles'!AA196+2.3952)*1000,0))</f>
        <v>1525.6771666666666</v>
      </c>
    </row>
    <row r="99" spans="1:157" x14ac:dyDescent="0.3">
      <c r="A99" s="108">
        <v>0.96875</v>
      </c>
      <c r="B99" s="226">
        <f t="shared" si="4"/>
        <v>0</v>
      </c>
      <c r="C99" s="21">
        <f t="shared" si="5"/>
        <v>281.33333333333331</v>
      </c>
      <c r="D99" s="20">
        <f t="shared" si="6"/>
        <v>1525.6771666666666</v>
      </c>
      <c r="E99" s="20">
        <f t="shared" si="7"/>
        <v>1525.6771666666666</v>
      </c>
      <c r="G99" s="260">
        <v>0.97916666666666696</v>
      </c>
      <c r="H99" s="211">
        <f>IF('Temperature Profiles'!G98&gt;17,(0.0029*('Temperature Profiles'!G98^2) - 0.0863*'Temperature Profiles'!G98 + 0.6808)*1000,0)</f>
        <v>82.206249999999926</v>
      </c>
      <c r="I99" s="110">
        <v>0.97916666666666696</v>
      </c>
      <c r="J99" s="211">
        <f>IF('Temperature Profiles'!G98&gt;17,(0.005*('Temperature Profiles'!G98^2) - 0.1517*'Temperature Profiles'!G98 + 1.1702)*1000,0)</f>
        <v>83.637500000000031</v>
      </c>
      <c r="K99" s="110">
        <v>0.97916666666666696</v>
      </c>
      <c r="L99" s="211">
        <f>IF('Temperature Profiles'!G98&gt;17,(0.0068*('Temperature Profiles'!G98^2) - 0.2129*'Temperature Profiles'!G98 + 1.6904)*1000,0)</f>
        <v>89.149999999999622</v>
      </c>
      <c r="M99" s="21"/>
      <c r="N99" s="110">
        <v>0.97916666666666696</v>
      </c>
      <c r="O99" s="211">
        <f>IF('Temperature Profiles'!L98&gt;17,(0.0029*('Temperature Profiles'!L98^2) - 0.0863*'Temperature Profiles'!L98 + 0.6808)*1000,0)</f>
        <v>57.674555555555564</v>
      </c>
      <c r="P99" s="110">
        <v>0.97916666666666696</v>
      </c>
      <c r="Q99" s="211">
        <f>IF('Temperature Profiles'!L98&gt;17,(0.005*('Temperature Profiles'!L98^2) - 0.1517*'Temperature Profiles'!L98 + 1.1702)*1000,0)</f>
        <v>45.168888888888816</v>
      </c>
      <c r="R99" s="110">
        <v>0.97916666666666696</v>
      </c>
      <c r="S99" s="211">
        <f>IF('Temperature Profiles'!L98&gt;17,(0.0068*('Temperature Profiles'!L98^2) - 0.2129*'Temperature Profiles'!L98 + 1.6904)*1000,0)</f>
        <v>45.506888888888767</v>
      </c>
      <c r="T99" s="21"/>
      <c r="U99" s="110">
        <v>0.97916666666666696</v>
      </c>
      <c r="V99" s="211">
        <f>IF('Temperature Profiles'!Q98&gt;17,(0.0029*('Temperature Profiles'!Q98^2) - 0.0863*'Temperature Profiles'!Q98 + 0.6808)*1000,0)</f>
        <v>489.7602500000001</v>
      </c>
      <c r="W99" s="110">
        <v>0.97916666666666696</v>
      </c>
      <c r="X99" s="211">
        <f>IF('Temperature Profiles'!Q98&gt;17,(0.005*('Temperature Profiles'!Q98^2) - 0.1517*'Temperature Profiles'!Q98 + 1.1702)*1000,0)</f>
        <v>761.31750000000011</v>
      </c>
      <c r="Y99" s="110">
        <v>0.97916666666666696</v>
      </c>
      <c r="Z99" s="211">
        <f>IF('Temperature Profiles'!Q98&gt;17,(0.0068*('Temperature Profiles'!Q98^2) - 0.2129*'Temperature Profiles'!Q98 + 1.6904)*1000,0)</f>
        <v>954.13799999999992</v>
      </c>
      <c r="AA99" s="21"/>
      <c r="AB99" s="110">
        <v>0.97916666666666696</v>
      </c>
      <c r="AC99" s="211">
        <f>IF('Temperature Profiles'!V98&gt;17,(0.0029*('Temperature Profiles'!V98^2) - 0.0863*'Temperature Profiles'!V98 + 0.6808)*1000,0)</f>
        <v>0</v>
      </c>
      <c r="AD99" s="110">
        <v>0.97916666666666696</v>
      </c>
      <c r="AE99" s="211">
        <f>IF('Temperature Profiles'!V98&gt;17,(0.005*('Temperature Profiles'!V98^2) - 0.1517*'Temperature Profiles'!V98 + 1.1702)*1000,0)</f>
        <v>0</v>
      </c>
      <c r="AF99" s="110">
        <v>0.97916666666666696</v>
      </c>
      <c r="AG99" s="211">
        <f>IF('Temperature Profiles'!V98&gt;17,(0.0068*('Temperature Profiles'!V98^2) - 0.2129*'Temperature Profiles'!V98 + 1.6904)*1000,0)</f>
        <v>0</v>
      </c>
      <c r="AH99" s="21"/>
      <c r="AI99" s="110">
        <v>0.97916666666666696</v>
      </c>
      <c r="AJ99" s="211">
        <f>IF('Temperature Profiles'!AA98&gt;17,(0.0029*('Temperature Profiles'!AA98^2) - 0.0863*'Temperature Profiles'!AA98 + 0.6808)*1000,0)</f>
        <v>0</v>
      </c>
      <c r="AK99" s="110">
        <v>0.97916666666666696</v>
      </c>
      <c r="AL99" s="211">
        <f>IF('Temperature Profiles'!AA98&gt;17,(0.005*('Temperature Profiles'!AA98^2) - 0.1517*'Temperature Profiles'!AA98 + 1.1701)*1000,0)</f>
        <v>0</v>
      </c>
      <c r="AM99" s="110">
        <v>0.97916666666666696</v>
      </c>
      <c r="AN99" s="211">
        <f>IF('Temperature Profiles'!AA98&gt;17,(0.0068*('Temperature Profiles'!AA98^2) - 0.2129*'Temperature Profiles'!AA98 + 1.6904)*1000,0)</f>
        <v>0</v>
      </c>
      <c r="AO99" s="21"/>
      <c r="AP99" s="110">
        <v>0.97916666666666696</v>
      </c>
      <c r="AQ99" s="211">
        <f>IF('Temperature Profiles'!AF98&gt;17,(0.0029*('Temperature Profiles'!AF98^2) - 0.0863*'Temperature Profiles'!AF98 + 0.6808)*1000,0)</f>
        <v>733.59820138888836</v>
      </c>
      <c r="AR99" s="110">
        <v>0.97916666666666696</v>
      </c>
      <c r="AS99" s="183">
        <f>IF('Temperature Profiles'!AF98&gt;17,(0.005*('Temperature Profiles'!AF98^2) - 0.1517*'Temperature Profiles'!AF98 + 1.1702)*1000,0)</f>
        <v>1172.9828472222218</v>
      </c>
      <c r="AT99" s="110">
        <v>0.97916666666666696</v>
      </c>
      <c r="AU99" s="211">
        <f>IF('Temperature Profiles'!AF98&gt;17,(0.0068*('Temperature Profiles'!AF98^2) - 0.2129*'Temperature Profiles'!AF98 + 1.6904)*1000,0)</f>
        <v>1494.1839722222219</v>
      </c>
      <c r="AV99" s="21"/>
      <c r="AW99" s="110">
        <v>0.97916666666666696</v>
      </c>
      <c r="AX99" s="211"/>
      <c r="AY99" s="21"/>
      <c r="AZ99" s="110">
        <v>0.97916666666666696</v>
      </c>
      <c r="BA99" s="264"/>
      <c r="BC99" s="260">
        <v>0.97916666666666696</v>
      </c>
      <c r="BD99" s="211">
        <f>IF('Temperature Profiles'!G98&lt;16,(-0.0037*'Temperature Profiles'!G98+0.0664)*1000,0)</f>
        <v>0</v>
      </c>
      <c r="BE99" s="110">
        <v>0.97916666666666696</v>
      </c>
      <c r="BF99" s="211">
        <f>IF('Temperature Profiles'!G98&lt;16,(-0.0076*'Temperature Profiles'!G98+0.1245)*1000,0)</f>
        <v>0</v>
      </c>
      <c r="BG99" s="110">
        <v>0.97916666666666696</v>
      </c>
      <c r="BH99" s="211">
        <f>IF('Temperature Profiles'!G98&lt;16,(-0.01*'Temperature Profiles'!G98+0.167)*1000,0)</f>
        <v>0</v>
      </c>
      <c r="BI99" s="21"/>
      <c r="BJ99" s="110">
        <v>0.97916666666666696</v>
      </c>
      <c r="BK99" s="211">
        <f>IF('Temperature Profiles'!L98&lt;16,(-0.0037*'Temperature Profiles'!L98+0.0664)*1000,0)</f>
        <v>0</v>
      </c>
      <c r="BL99" s="110">
        <v>0.97916666666666696</v>
      </c>
      <c r="BM99" s="211">
        <f>IF('Temperature Profiles'!L98&lt;16,(-0.0076*'Temperature Profiles'!L98+0.1245)*1000,0)</f>
        <v>0</v>
      </c>
      <c r="BN99" s="110">
        <v>0.97916666666666696</v>
      </c>
      <c r="BO99" s="211">
        <f>IF('Temperature Profiles'!L98&lt;16,(-0.01*'Temperature Profiles'!L98+0.167)*1000,0)</f>
        <v>0</v>
      </c>
      <c r="BP99" s="21"/>
      <c r="BQ99" s="110">
        <v>0.97916666666666696</v>
      </c>
      <c r="BR99" s="211">
        <f>IF('Temperature Profiles'!Q98&lt;16,(-0.0037*'Temperature Profiles'!Q98+0.0664)*1000,0)</f>
        <v>0</v>
      </c>
      <c r="BS99" s="110">
        <v>0.97916666666666696</v>
      </c>
      <c r="BT99" s="211">
        <f>IF('Temperature Profiles'!Q98&lt;16,(-0.0076*'Temperature Profiles'!Q98+0.1245)*1000,0)</f>
        <v>0</v>
      </c>
      <c r="BU99" s="110">
        <v>0.97916666666666696</v>
      </c>
      <c r="BV99" s="211">
        <f>IF('Temperature Profiles'!Q98&lt;16,(-0.01*'Temperature Profiles'!Q98+0.167)*1000,0)</f>
        <v>0</v>
      </c>
      <c r="BW99" s="21"/>
      <c r="BX99" s="110">
        <v>0.97916666666666696</v>
      </c>
      <c r="BY99" s="211">
        <f>IF('Temperature Profiles'!V98&lt;16,(-0.0037*'Temperature Profiles'!V98+0.0664)*1000,0)</f>
        <v>0</v>
      </c>
      <c r="BZ99" s="110">
        <v>0.97916666666666696</v>
      </c>
      <c r="CA99" s="211">
        <f>IF('Temperature Profiles'!V98&lt;16,(-0.0076*'Temperature Profiles'!V98+0.1245)*1000,0)</f>
        <v>0</v>
      </c>
      <c r="CB99" s="110">
        <v>0.97916666666666696</v>
      </c>
      <c r="CC99" s="211">
        <f>IF('Temperature Profiles'!V98&lt;16,(-0.01*'Temperature Profiles'!V98+0.167)*1000,0)</f>
        <v>0</v>
      </c>
      <c r="CD99" s="21"/>
      <c r="CE99" s="110">
        <v>0.97916666666666696</v>
      </c>
      <c r="CF99" s="211">
        <f>IF('Temperature Profiles'!AA98&lt;16,(-0.0037*'Temperature Profiles'!AA98+0.0664)*1000,0)</f>
        <v>108.70333333333335</v>
      </c>
      <c r="CG99" s="110">
        <v>0.97916666666666696</v>
      </c>
      <c r="CH99" s="178">
        <f>IF('Temperature Profiles'!AA98&lt;16,(-0.0076*'Temperature Profiles'!AA98+0.1245)*1000,0)</f>
        <v>211.39333333333332</v>
      </c>
      <c r="CI99" s="110">
        <v>0.97916666666666696</v>
      </c>
      <c r="CJ99" s="211">
        <f>IF('Temperature Profiles'!AA98&lt;16,(-0.01*'Temperature Profiles'!AA98+0.167)*1000,0)</f>
        <v>281.33333333333331</v>
      </c>
      <c r="CK99" s="21"/>
      <c r="CL99" s="110">
        <v>0.97916666666666696</v>
      </c>
      <c r="CM99" s="211">
        <f>IF('Temperature Profiles'!AF98&lt;16,(-0.0037*'Temperature Profiles'!AF98+0.0664)*1000,0)</f>
        <v>0</v>
      </c>
      <c r="CN99" s="110">
        <v>0.97916666666666696</v>
      </c>
      <c r="CO99" s="178">
        <f>IF('Temperature Profiles'!AF98&lt;16,(-0.0076*'Temperature Profiles'!AF98+0.1245)*1000,0)</f>
        <v>0</v>
      </c>
      <c r="CP99" s="110">
        <v>0.97916666666666696</v>
      </c>
      <c r="CQ99" s="211">
        <f>IF('Temperature Profiles'!AF98&lt;16,(-0.01*'Temperature Profiles'!AF98+0.167)*1000,0)</f>
        <v>0</v>
      </c>
      <c r="CR99" s="21"/>
      <c r="CS99" s="110">
        <v>0.97916666666666696</v>
      </c>
      <c r="CT99" s="211"/>
      <c r="CU99" s="21"/>
      <c r="CV99" s="110">
        <v>0.97916666666666696</v>
      </c>
      <c r="CW99" s="264"/>
      <c r="CY99" s="260">
        <v>0.97916666666666696</v>
      </c>
      <c r="CZ99" s="178">
        <f>IF('Temperature Profiles'!G98&gt;18,(0.0024*('Temperature Profiles'!G98^2)-0.0581*'Temperature Profiles'!G98+0.3293)*1000,IF('Temperature Profiles'!G98&lt;17,(0.0022*('Temperature Profiles'!G98^2)-0.0874*'Temperature Profiles'!G98+0.9301)*1000,0))</f>
        <v>83.674999999999883</v>
      </c>
      <c r="DA99" s="110">
        <v>0.97916666666666696</v>
      </c>
      <c r="DB99" s="263">
        <f>IF('Temperature Profiles'!G98&gt;18,(0.0043*('Temperature Profiles'!G98^2)-0.1116*'Temperature Profiles'!G98+0.6576)*1000,IF('Temperature Profiles'!G98&lt;17,(0.0053*('Temperature Profiles'!G98^2)-0.1876*'Temperature Profiles'!G98+1.7649)*1000,0))</f>
        <v>76.81874999999971</v>
      </c>
      <c r="DC99" s="110">
        <v>0.97916666666666696</v>
      </c>
      <c r="DD99" s="211">
        <f>IF('Temperature Profiles'!G98&gt;18,(0.0057*('Temperature Profiles'!G98^2)-0.1509*'Temperature Profiles'!G98+0.8935)*1000,IF('Temperature Profiles'!G98&lt;17,(0.0072*('Temperature Profiles'!G98^2)-0.254*'Temperature Profiles'!G98+2.3952)*1000,0))</f>
        <v>68.031249999999773</v>
      </c>
      <c r="DE99" s="21"/>
      <c r="DF99" s="110">
        <v>0.97916666666666696</v>
      </c>
      <c r="DG99" s="209">
        <f>IF('Temperature Profiles'!L98&gt;18,(0.0024*('Temperature Profiles'!L98^2)-0.0581*'Temperature Profiles'!L98+0.3293)*1000,IF('Temperature Profiles'!L98&lt;17,(0.0022*('Temperature Profiles'!L98^2)-0.0874*'Temperature Profiles'!L98+0.9301)*1000,0))</f>
        <v>0</v>
      </c>
      <c r="DH99" s="110">
        <v>0.97916666666666696</v>
      </c>
      <c r="DI99" s="209">
        <f>IF('Temperature Profiles'!L98&gt;18,(0.0043*('Temperature Profiles'!L98^2)-0.1116*'Temperature Profiles'!L98+0.6576)*1000,IF('Temperature Profiles'!L98&lt;17,(0.0053*('Temperature Profiles'!L98^2)-0.1876*'Temperature Profiles'!L98+1.7649)*1000,0))</f>
        <v>0</v>
      </c>
      <c r="DJ99" s="110">
        <v>0.97916666666666696</v>
      </c>
      <c r="DK99" s="211">
        <f>IF('Temperature Profiles'!L98&gt;18,(0.0057*('Temperature Profiles'!L98^2)-0.1509*'Temperature Profiles'!L98+0.8935)*1000,IF('Temperature Profiles'!L98&lt;17,(0.0072*('Temperature Profiles'!L98^2)-0.254*'Temperature Profiles'!L98+2.3952)*1000,0))</f>
        <v>0</v>
      </c>
      <c r="DL99" s="21"/>
      <c r="DM99" s="110">
        <v>0.97916666666666696</v>
      </c>
      <c r="DN99" s="209">
        <f>IF('Temperature Profiles'!Q98&gt;18,(0.0024*('Temperature Profiles'!Q98^2)-0.0581*'Temperature Profiles'!Q98+0.3293)*1000,IF('Temperature Profiles'!Q98&lt;17,(0.0022*('Temperature Profiles'!Q98^2)-0.0874*'Temperature Profiles'!Q98+0.9301)*1000,0))</f>
        <v>535.51900000000035</v>
      </c>
      <c r="DO99" s="110">
        <v>0.97916666666666696</v>
      </c>
      <c r="DP99" s="209">
        <f>IF('Temperature Profiles'!Q98&gt;18,(0.0043*('Temperature Profiles'!Q98^2)-0.1116*'Temperature Profiles'!Q98+0.6576)*1000,IF('Temperature Profiles'!Q98&lt;17,(0.0053*('Temperature Profiles'!Q98^2)-0.1876*'Temperature Profiles'!Q98+1.7649)*1000,0))</f>
        <v>821.83675000000017</v>
      </c>
      <c r="DQ99" s="110">
        <v>0.97916666666666696</v>
      </c>
      <c r="DR99" s="211">
        <f>IF('Temperature Profiles'!Q98&gt;18,(0.0057*('Temperature Profiles'!Q98^2)-0.1509*'Temperature Profiles'!Q98+0.8935)*1000,IF('Temperature Profiles'!Q98&lt;17,(0.0072*('Temperature Profiles'!Q98^2)-0.254*'Temperature Profiles'!Q98+2.3952)*1000,0))</f>
        <v>1030.1132500000008</v>
      </c>
      <c r="DS99" s="21"/>
      <c r="DT99" s="110">
        <v>0.97916666666666696</v>
      </c>
      <c r="DU99" s="209">
        <f>IF('Temperature Profiles'!V98&gt;18,(0.0024*('Temperature Profiles'!V98^2)-0.0581*'Temperature Profiles'!V98+0.3293)*1000,IF('Temperature Profiles'!V98&lt;17,(0.0022*('Temperature Profiles'!V98^2)-0.0874*'Temperature Profiles'!V98+0.9301)*1000,0))</f>
        <v>87.570486111111066</v>
      </c>
      <c r="DV99" s="110">
        <v>0.97916666666666696</v>
      </c>
      <c r="DW99" s="209">
        <f>IF('Temperature Profiles'!V98&gt;18,(0.0043*('Temperature Profiles'!V98^2)-0.1116*'Temperature Profiles'!V98+0.6576)*1000,IF('Temperature Profiles'!V98&lt;17,(0.0053*('Temperature Profiles'!V98^2)-0.1876*'Temperature Profiles'!V98+1.7649)*1000,0))</f>
        <v>112.96336805555552</v>
      </c>
      <c r="DX99" s="110">
        <v>0.97916666666666696</v>
      </c>
      <c r="DY99" s="211">
        <f>IF('Temperature Profiles'!V98&gt;18,(0.0057*('Temperature Profiles'!V98^2)-0.1509*'Temperature Profiles'!V98+0.8935)*1000,IF('Temperature Profiles'!V98&lt;17,(0.0072*('Temperature Profiles'!V98^2)-0.254*'Temperature Profiles'!V98+2.3952)*1000,0))</f>
        <v>165.09583333333387</v>
      </c>
      <c r="DZ99" s="21"/>
      <c r="EA99" s="110">
        <v>0.97916666666666696</v>
      </c>
      <c r="EB99" s="209">
        <f>IF('Temperature Profiles'!AA197&gt;18,(0.0024*('Temperature Profiles'!AA197^2)-0.0581*'Temperature Profiles'!AA197+0.3293)*1000,IF('Temperature Profiles'!AA197&lt;17,(0.0022*('Temperature Profiles'!AA197^2)-0.0874*'Temperature Profiles'!AA197+0.9301)*1000,0))</f>
        <v>626.8068194444445</v>
      </c>
      <c r="EC99" s="110">
        <v>0.97916666666666696</v>
      </c>
      <c r="ED99" s="209">
        <f>IF('Temperature Profiles'!AA197&gt;18,(0.0043*('Temperature Profiles'!AA197^2)-0.1116*'Temperature Profiles'!AA197+0.6576)*1000,IF('Temperature Profiles'!AA197&lt;17,(0.0053*('Temperature Profiles'!AA197^2)-0.1876*'Temperature Profiles'!AA197+1.7649)*1000,0))</f>
        <v>1122.4228680555557</v>
      </c>
      <c r="EE99" s="110">
        <v>0.97916666666666696</v>
      </c>
      <c r="EF99" s="211">
        <f>IF('Temperature Profiles'!AA197&gt;18,(0.0057*('Temperature Profiles'!AA197^2)-0.1509*'Temperature Profiles'!AA197+0.8935)*1000,IF('Temperature Profiles'!AA197&lt;17,(0.0072*('Temperature Profiles'!AA197^2)-0.254*'Temperature Profiles'!AA197+2.3952)*1000,0))</f>
        <v>1525.6771666666666</v>
      </c>
      <c r="EG99" s="21"/>
      <c r="EH99" s="110">
        <v>0.97916666666666696</v>
      </c>
      <c r="EI99" s="211">
        <f>IF('Temperature Profiles'!AF98&gt;18,(0.0024*('Temperature Profiles'!AF98^2)-0.0581*'Temperature Profiles'!AF98+0.3293)*1000,IF('Temperature Profiles'!AF98&lt;17,(0.0022*('Temperature Profiles'!AF98^2)-0.0874*'Temperature Profiles'!AF98+0.9301)*1000,0))</f>
        <v>777.38899999999944</v>
      </c>
      <c r="EJ99" s="110">
        <v>0.97916666666666696</v>
      </c>
      <c r="EK99" s="211">
        <f>IF('Temperature Profiles'!AF98&gt;18,(0.0043*('Temperature Profiles'!AF98^2)-0.1116*'Temperature Profiles'!AF98+0.6576)*1000,IF('Temperature Profiles'!AF98&lt;17,(0.0053*('Temperature Profiles'!AF98^2)-0.1876*'Temperature Profiles'!AF98+1.7649)*1000,0))</f>
        <v>1232.6121319444439</v>
      </c>
      <c r="EL99" s="110">
        <v>0.97916666666666696</v>
      </c>
      <c r="EM99" s="211">
        <f>IF('Temperature Profiles'!AF98&gt;18,(0.0057*('Temperature Profiles'!AF98^2)-0.1509*'Temperature Profiles'!AF98+0.8935)*1000,IF('Temperature Profiles'!AF98&lt;17,(0.0072*('Temperature Profiles'!AF98^2)-0.254*'Temperature Profiles'!AF98+2.3952)*1000,0))</f>
        <v>1565.7093958333337</v>
      </c>
      <c r="EN99" s="21"/>
      <c r="EO99" s="110">
        <v>0.97916666666666696</v>
      </c>
      <c r="EP99" s="211"/>
      <c r="EQ99" s="21"/>
      <c r="ER99" s="110">
        <v>0.97916666666666696</v>
      </c>
      <c r="ES99" s="264"/>
      <c r="EU99" s="260">
        <v>0.97916666666666696</v>
      </c>
      <c r="EV99" s="209">
        <f>IF('Temperature Profiles'!AA197&gt;18,(0.0024*('Temperature Profiles'!AA197^2)-0.0581*'Temperature Profiles'!AA197+0.3293)*1000,IF('Temperature Profiles'!AA197&lt;17,(0.0022*('Temperature Profiles'!AA197^2)-0.0874*'Temperature Profiles'!AA197+0.9301)*1000,0))</f>
        <v>626.8068194444445</v>
      </c>
      <c r="EW99" s="110">
        <v>0.97916666666666696</v>
      </c>
      <c r="EX99" s="209">
        <f>IF('Temperature Profiles'!AA197&gt;18,(0.0043*('Temperature Profiles'!AA197^2)-0.1116*'Temperature Profiles'!AA197+0.6576)*1000,IF('Temperature Profiles'!AA197&lt;17,(0.0053*('Temperature Profiles'!AA197^2)-0.1876*'Temperature Profiles'!AA197+1.7649)*1000,0))</f>
        <v>1122.4228680555557</v>
      </c>
      <c r="EY99" s="110">
        <v>0.97916666666666696</v>
      </c>
      <c r="EZ99" s="264">
        <f>IF('Temperature Profiles'!AA197&gt;18,(0.0057*('Temperature Profiles'!AA197^2)-0.1509*'Temperature Profiles'!AA197+0.8935)*1000,IF('Temperature Profiles'!AA197&lt;17,(0.0072*('Temperature Profiles'!AA197^2)-0.254*'Temperature Profiles'!AA197+2.3952)*1000,0))</f>
        <v>1525.6771666666666</v>
      </c>
    </row>
    <row r="100" spans="1:157" x14ac:dyDescent="0.3">
      <c r="A100" s="108">
        <v>0.97916666666666696</v>
      </c>
      <c r="B100" s="226">
        <f t="shared" si="4"/>
        <v>0</v>
      </c>
      <c r="C100" s="21">
        <f t="shared" si="5"/>
        <v>281.33333333333331</v>
      </c>
      <c r="D100" s="20">
        <f t="shared" si="6"/>
        <v>1525.6771666666666</v>
      </c>
      <c r="E100" s="20">
        <f t="shared" si="7"/>
        <v>1525.6771666666666</v>
      </c>
      <c r="G100" s="261">
        <v>0.98958333333333304</v>
      </c>
      <c r="H100" s="212">
        <f>IF('Temperature Profiles'!G99&gt;17,(0.0029*('Temperature Profiles'!G99^2) - 0.0863*'Temperature Profiles'!G99 + 0.6808)*1000,0)</f>
        <v>82.206249999999926</v>
      </c>
      <c r="I100" s="317">
        <v>0.98958333333333304</v>
      </c>
      <c r="J100" s="212">
        <f>IF('Temperature Profiles'!G99&gt;17,(0.005*('Temperature Profiles'!G99^2) - 0.1517*'Temperature Profiles'!G99 + 1.1702)*1000,0)</f>
        <v>83.637500000000031</v>
      </c>
      <c r="K100" s="317">
        <v>0.98958333333333304</v>
      </c>
      <c r="L100" s="212">
        <f>IF('Temperature Profiles'!G99&gt;17,(0.0068*('Temperature Profiles'!G99^2) - 0.2129*'Temperature Profiles'!G99 + 1.6904)*1000,0)</f>
        <v>89.149999999999622</v>
      </c>
      <c r="M100" s="21"/>
      <c r="N100" s="317">
        <v>0.98958333333333304</v>
      </c>
      <c r="O100" s="212">
        <f>IF('Temperature Profiles'!L99&gt;17,(0.0029*('Temperature Profiles'!L99^2) - 0.0863*'Temperature Profiles'!L99 + 0.6808)*1000,0)</f>
        <v>57.674555555555564</v>
      </c>
      <c r="P100" s="317">
        <v>0.98958333333333304</v>
      </c>
      <c r="Q100" s="212">
        <f>IF('Temperature Profiles'!L99&gt;17,(0.005*('Temperature Profiles'!L99^2) - 0.1517*'Temperature Profiles'!L99 + 1.1702)*1000,0)</f>
        <v>45.168888888888816</v>
      </c>
      <c r="R100" s="317">
        <v>0.98958333333333304</v>
      </c>
      <c r="S100" s="212">
        <f>IF('Temperature Profiles'!L99&gt;17,(0.0068*('Temperature Profiles'!L99^2) - 0.2129*'Temperature Profiles'!L99 + 1.6904)*1000,0)</f>
        <v>45.506888888888767</v>
      </c>
      <c r="T100" s="21"/>
      <c r="U100" s="317">
        <v>0.98958333333333304</v>
      </c>
      <c r="V100" s="212">
        <f>IF('Temperature Profiles'!Q99&gt;17,(0.0029*('Temperature Profiles'!Q99^2) - 0.0863*'Temperature Profiles'!Q99 + 0.6808)*1000,0)</f>
        <v>489.7602500000001</v>
      </c>
      <c r="W100" s="317">
        <v>0.98958333333333304</v>
      </c>
      <c r="X100" s="212">
        <f>IF('Temperature Profiles'!Q99&gt;17,(0.005*('Temperature Profiles'!Q99^2) - 0.1517*'Temperature Profiles'!Q99 + 1.1702)*1000,0)</f>
        <v>761.31750000000011</v>
      </c>
      <c r="Y100" s="317">
        <v>0.98958333333333304</v>
      </c>
      <c r="Z100" s="212">
        <f>IF('Temperature Profiles'!Q99&gt;17,(0.0068*('Temperature Profiles'!Q99^2) - 0.2129*'Temperature Profiles'!Q99 + 1.6904)*1000,0)</f>
        <v>954.13799999999992</v>
      </c>
      <c r="AA100" s="21"/>
      <c r="AB100" s="317">
        <v>0.98958333333333304</v>
      </c>
      <c r="AC100" s="212">
        <f>IF('Temperature Profiles'!V99&gt;17,(0.0029*('Temperature Profiles'!V99^2) - 0.0863*'Temperature Profiles'!V99 + 0.6808)*1000,0)</f>
        <v>0</v>
      </c>
      <c r="AD100" s="317">
        <v>0.98958333333333304</v>
      </c>
      <c r="AE100" s="212">
        <f>IF('Temperature Profiles'!V99&gt;17,(0.005*('Temperature Profiles'!V99^2) - 0.1517*'Temperature Profiles'!V99 + 1.1702)*1000,0)</f>
        <v>0</v>
      </c>
      <c r="AF100" s="317">
        <v>0.98958333333333304</v>
      </c>
      <c r="AG100" s="212">
        <f>IF('Temperature Profiles'!V99&gt;17,(0.0068*('Temperature Profiles'!V99^2) - 0.2129*'Temperature Profiles'!V99 + 1.6904)*1000,0)</f>
        <v>0</v>
      </c>
      <c r="AH100" s="21"/>
      <c r="AI100" s="317">
        <v>0.98958333333333304</v>
      </c>
      <c r="AJ100" s="212">
        <f>IF('Temperature Profiles'!AA99&gt;17,(0.0029*('Temperature Profiles'!AA99^2) - 0.0863*'Temperature Profiles'!AA99 + 0.6808)*1000,0)</f>
        <v>0</v>
      </c>
      <c r="AK100" s="317">
        <v>0.98958333333333304</v>
      </c>
      <c r="AL100" s="212">
        <f>IF('Temperature Profiles'!AA99&gt;17,(0.005*('Temperature Profiles'!AA99^2) - 0.1517*'Temperature Profiles'!AA99 + 1.1701)*1000,0)</f>
        <v>0</v>
      </c>
      <c r="AM100" s="317">
        <v>0.98958333333333304</v>
      </c>
      <c r="AN100" s="212">
        <f>IF('Temperature Profiles'!AA99&gt;17,(0.0068*('Temperature Profiles'!AA99^2) - 0.2129*'Temperature Profiles'!AA99 + 1.6904)*1000,0)</f>
        <v>0</v>
      </c>
      <c r="AO100" s="21"/>
      <c r="AP100" s="317">
        <v>0.98958333333333304</v>
      </c>
      <c r="AQ100" s="212">
        <f>IF('Temperature Profiles'!AF99&gt;17,(0.0029*('Temperature Profiles'!AF99^2) - 0.0863*'Temperature Profiles'!AF99 + 0.6808)*1000,0)</f>
        <v>733.59820138888836</v>
      </c>
      <c r="AR100" s="317">
        <v>0.98958333333333304</v>
      </c>
      <c r="AS100" s="207">
        <f>IF('Temperature Profiles'!AF99&gt;17,(0.005*('Temperature Profiles'!AF99^2) - 0.1517*'Temperature Profiles'!AF99 + 1.1702)*1000,0)</f>
        <v>1172.9828472222218</v>
      </c>
      <c r="AT100" s="317">
        <v>0.98958333333333304</v>
      </c>
      <c r="AU100" s="212">
        <f>IF('Temperature Profiles'!AF99&gt;17,(0.0068*('Temperature Profiles'!AF99^2) - 0.2129*'Temperature Profiles'!AF99 + 1.6904)*1000,0)</f>
        <v>1494.1839722222219</v>
      </c>
      <c r="AV100" s="21"/>
      <c r="AW100" s="317">
        <v>0.98958333333333304</v>
      </c>
      <c r="AX100" s="212"/>
      <c r="AY100" s="21"/>
      <c r="AZ100" s="317">
        <v>0.98958333333333304</v>
      </c>
      <c r="BA100" s="265"/>
      <c r="BC100" s="261">
        <v>0.98958333333333304</v>
      </c>
      <c r="BD100" s="212">
        <f>IF('Temperature Profiles'!G99&lt;16,(-0.0037*'Temperature Profiles'!G99+0.0664)*1000,0)</f>
        <v>0</v>
      </c>
      <c r="BE100" s="317">
        <v>0.98958333333333304</v>
      </c>
      <c r="BF100" s="212">
        <f>IF('Temperature Profiles'!G99&lt;16,(-0.0076*'Temperature Profiles'!G99+0.1245)*1000,0)</f>
        <v>0</v>
      </c>
      <c r="BG100" s="317">
        <v>0.98958333333333304</v>
      </c>
      <c r="BH100" s="212">
        <f>IF('Temperature Profiles'!G99&lt;16,(-0.01*'Temperature Profiles'!G99+0.167)*1000,0)</f>
        <v>0</v>
      </c>
      <c r="BI100" s="21"/>
      <c r="BJ100" s="317">
        <v>0.98958333333333304</v>
      </c>
      <c r="BK100" s="212">
        <f>IF('Temperature Profiles'!L99&lt;16,(-0.0037*'Temperature Profiles'!L99+0.0664)*1000,0)</f>
        <v>0</v>
      </c>
      <c r="BL100" s="317">
        <v>0.98958333333333304</v>
      </c>
      <c r="BM100" s="212">
        <f>IF('Temperature Profiles'!L99&lt;16,(-0.0076*'Temperature Profiles'!L99+0.1245)*1000,0)</f>
        <v>0</v>
      </c>
      <c r="BN100" s="317">
        <v>0.98958333333333304</v>
      </c>
      <c r="BO100" s="212">
        <f>IF('Temperature Profiles'!L99&lt;16,(-0.01*'Temperature Profiles'!L99+0.167)*1000,0)</f>
        <v>0</v>
      </c>
      <c r="BP100" s="21"/>
      <c r="BQ100" s="317">
        <v>0.98958333333333304</v>
      </c>
      <c r="BR100" s="212">
        <f>IF('Temperature Profiles'!Q99&lt;16,(-0.0037*'Temperature Profiles'!Q99+0.0664)*1000,0)</f>
        <v>0</v>
      </c>
      <c r="BS100" s="317">
        <v>0.98958333333333304</v>
      </c>
      <c r="BT100" s="212">
        <f>IF('Temperature Profiles'!Q99&lt;16,(-0.0076*'Temperature Profiles'!Q99+0.1245)*1000,0)</f>
        <v>0</v>
      </c>
      <c r="BU100" s="317">
        <v>0.98958333333333304</v>
      </c>
      <c r="BV100" s="212">
        <f>IF('Temperature Profiles'!Q99&lt;16,(-0.01*'Temperature Profiles'!Q99+0.167)*1000,0)</f>
        <v>0</v>
      </c>
      <c r="BW100" s="21"/>
      <c r="BX100" s="317">
        <v>0.98958333333333304</v>
      </c>
      <c r="BY100" s="212">
        <f>IF('Temperature Profiles'!V99&lt;16,(-0.0037*'Temperature Profiles'!V99+0.0664)*1000,0)</f>
        <v>0</v>
      </c>
      <c r="BZ100" s="317">
        <v>0.98958333333333304</v>
      </c>
      <c r="CA100" s="212">
        <f>IF('Temperature Profiles'!V99&lt;16,(-0.0076*'Temperature Profiles'!V99+0.1245)*1000,0)</f>
        <v>0</v>
      </c>
      <c r="CB100" s="317">
        <v>0.98958333333333304</v>
      </c>
      <c r="CC100" s="212">
        <f>IF('Temperature Profiles'!V99&lt;16,(-0.01*'Temperature Profiles'!V99+0.167)*1000,0)</f>
        <v>0</v>
      </c>
      <c r="CD100" s="21"/>
      <c r="CE100" s="317">
        <v>0.98958333333333304</v>
      </c>
      <c r="CF100" s="212">
        <f>IF('Temperature Profiles'!AA99&lt;16,(-0.0037*'Temperature Profiles'!AA99+0.0664)*1000,0)</f>
        <v>108.70333333333335</v>
      </c>
      <c r="CG100" s="317">
        <v>0.98958333333333304</v>
      </c>
      <c r="CH100" s="208">
        <f>IF('Temperature Profiles'!AA99&lt;16,(-0.0076*'Temperature Profiles'!AA99+0.1245)*1000,0)</f>
        <v>211.39333333333332</v>
      </c>
      <c r="CI100" s="317">
        <v>0.98958333333333304</v>
      </c>
      <c r="CJ100" s="212">
        <f>IF('Temperature Profiles'!AA99&lt;16,(-0.01*'Temperature Profiles'!AA99+0.167)*1000,0)</f>
        <v>281.33333333333331</v>
      </c>
      <c r="CK100" s="21"/>
      <c r="CL100" s="317">
        <v>0.98958333333333304</v>
      </c>
      <c r="CM100" s="212">
        <f>IF('Temperature Profiles'!AF99&lt;16,(-0.0037*'Temperature Profiles'!AF99+0.0664)*1000,0)</f>
        <v>0</v>
      </c>
      <c r="CN100" s="317">
        <v>0.98958333333333304</v>
      </c>
      <c r="CO100" s="208">
        <f>IF('Temperature Profiles'!AF99&lt;16,(-0.0076*'Temperature Profiles'!AF99+0.1245)*1000,0)</f>
        <v>0</v>
      </c>
      <c r="CP100" s="317">
        <v>0.98958333333333304</v>
      </c>
      <c r="CQ100" s="212">
        <f>IF('Temperature Profiles'!AF99&lt;16,(-0.01*'Temperature Profiles'!AF99+0.167)*1000,0)</f>
        <v>0</v>
      </c>
      <c r="CR100" s="21"/>
      <c r="CS100" s="317">
        <v>0.98958333333333304</v>
      </c>
      <c r="CT100" s="212"/>
      <c r="CU100" s="21"/>
      <c r="CV100" s="317">
        <v>0.98958333333333304</v>
      </c>
      <c r="CW100" s="265"/>
      <c r="CY100" s="261">
        <v>0.98958333333333304</v>
      </c>
      <c r="CZ100" s="208">
        <f>IF('Temperature Profiles'!G99&gt;18,(0.0024*('Temperature Profiles'!G99^2)-0.0581*'Temperature Profiles'!G99+0.3293)*1000,IF('Temperature Profiles'!G99&lt;17,(0.0022*('Temperature Profiles'!G99^2)-0.0874*'Temperature Profiles'!G99+0.9301)*1000,0))</f>
        <v>83.674999999999883</v>
      </c>
      <c r="DA100" s="317">
        <v>0.98958333333333304</v>
      </c>
      <c r="DB100" s="273">
        <f>IF('Temperature Profiles'!G99&gt;18,(0.0043*('Temperature Profiles'!G99^2)-0.1116*'Temperature Profiles'!G99+0.6576)*1000,IF('Temperature Profiles'!G99&lt;17,(0.0053*('Temperature Profiles'!G99^2)-0.1876*'Temperature Profiles'!G99+1.7649)*1000,0))</f>
        <v>76.81874999999971</v>
      </c>
      <c r="DC100" s="317">
        <v>0.98958333333333304</v>
      </c>
      <c r="DD100" s="212">
        <f>IF('Temperature Profiles'!G99&gt;18,(0.0057*('Temperature Profiles'!G99^2)-0.1509*'Temperature Profiles'!G99+0.8935)*1000,IF('Temperature Profiles'!G99&lt;17,(0.0072*('Temperature Profiles'!G99^2)-0.254*'Temperature Profiles'!G99+2.3952)*1000,0))</f>
        <v>68.031249999999773</v>
      </c>
      <c r="DE100" s="21"/>
      <c r="DF100" s="317">
        <v>0.98958333333333304</v>
      </c>
      <c r="DG100" s="210">
        <f>IF('Temperature Profiles'!L99&gt;18,(0.0024*('Temperature Profiles'!L99^2)-0.0581*'Temperature Profiles'!L99+0.3293)*1000,IF('Temperature Profiles'!L99&lt;17,(0.0022*('Temperature Profiles'!L99^2)-0.0874*'Temperature Profiles'!L99+0.9301)*1000,0))</f>
        <v>0</v>
      </c>
      <c r="DH100" s="317">
        <v>0.98958333333333304</v>
      </c>
      <c r="DI100" s="210">
        <f>IF('Temperature Profiles'!L99&gt;18,(0.0043*('Temperature Profiles'!L99^2)-0.1116*'Temperature Profiles'!L99+0.6576)*1000,IF('Temperature Profiles'!L99&lt;17,(0.0053*('Temperature Profiles'!L99^2)-0.1876*'Temperature Profiles'!L99+1.7649)*1000,0))</f>
        <v>0</v>
      </c>
      <c r="DJ100" s="317">
        <v>0.98958333333333304</v>
      </c>
      <c r="DK100" s="212">
        <f>IF('Temperature Profiles'!L99&gt;18,(0.0057*('Temperature Profiles'!L99^2)-0.1509*'Temperature Profiles'!L99+0.8935)*1000,IF('Temperature Profiles'!L99&lt;17,(0.0072*('Temperature Profiles'!L99^2)-0.254*'Temperature Profiles'!L99+2.3952)*1000,0))</f>
        <v>0</v>
      </c>
      <c r="DL100" s="21"/>
      <c r="DM100" s="317">
        <v>0.98958333333333304</v>
      </c>
      <c r="DN100" s="210">
        <f>IF('Temperature Profiles'!Q99&gt;18,(0.0024*('Temperature Profiles'!Q99^2)-0.0581*'Temperature Profiles'!Q99+0.3293)*1000,IF('Temperature Profiles'!Q99&lt;17,(0.0022*('Temperature Profiles'!Q99^2)-0.0874*'Temperature Profiles'!Q99+0.9301)*1000,0))</f>
        <v>535.51900000000035</v>
      </c>
      <c r="DO100" s="317">
        <v>0.98958333333333304</v>
      </c>
      <c r="DP100" s="210">
        <f>IF('Temperature Profiles'!Q99&gt;18,(0.0043*('Temperature Profiles'!Q99^2)-0.1116*'Temperature Profiles'!Q99+0.6576)*1000,IF('Temperature Profiles'!Q99&lt;17,(0.0053*('Temperature Profiles'!Q99^2)-0.1876*'Temperature Profiles'!Q99+1.7649)*1000,0))</f>
        <v>821.83675000000017</v>
      </c>
      <c r="DQ100" s="317">
        <v>0.98958333333333304</v>
      </c>
      <c r="DR100" s="212">
        <f>IF('Temperature Profiles'!Q99&gt;18,(0.0057*('Temperature Profiles'!Q99^2)-0.1509*'Temperature Profiles'!Q99+0.8935)*1000,IF('Temperature Profiles'!Q99&lt;17,(0.0072*('Temperature Profiles'!Q99^2)-0.254*'Temperature Profiles'!Q99+2.3952)*1000,0))</f>
        <v>1030.1132500000008</v>
      </c>
      <c r="DS100" s="21"/>
      <c r="DT100" s="317">
        <v>0.98958333333333304</v>
      </c>
      <c r="DU100" s="210">
        <f>IF('Temperature Profiles'!V99&gt;18,(0.0024*('Temperature Profiles'!V99^2)-0.0581*'Temperature Profiles'!V99+0.3293)*1000,IF('Temperature Profiles'!V99&lt;17,(0.0022*('Temperature Profiles'!V99^2)-0.0874*'Temperature Profiles'!V99+0.9301)*1000,0))</f>
        <v>87.570486111111066</v>
      </c>
      <c r="DV100" s="317">
        <v>0.98958333333333304</v>
      </c>
      <c r="DW100" s="210">
        <f>IF('Temperature Profiles'!V99&gt;18,(0.0043*('Temperature Profiles'!V99^2)-0.1116*'Temperature Profiles'!V99+0.6576)*1000,IF('Temperature Profiles'!V99&lt;17,(0.0053*('Temperature Profiles'!V99^2)-0.1876*'Temperature Profiles'!V99+1.7649)*1000,0))</f>
        <v>112.96336805555552</v>
      </c>
      <c r="DX100" s="317">
        <v>0.98958333333333304</v>
      </c>
      <c r="DY100" s="212">
        <f>IF('Temperature Profiles'!V99&gt;18,(0.0057*('Temperature Profiles'!V99^2)-0.1509*'Temperature Profiles'!V99+0.8935)*1000,IF('Temperature Profiles'!V99&lt;17,(0.0072*('Temperature Profiles'!V99^2)-0.254*'Temperature Profiles'!V99+2.3952)*1000,0))</f>
        <v>165.09583333333387</v>
      </c>
      <c r="DZ100" s="21"/>
      <c r="EA100" s="317">
        <v>0.98958333333333304</v>
      </c>
      <c r="EB100" s="210">
        <f>IF('Temperature Profiles'!AA198&gt;18,(0.0024*('Temperature Profiles'!AA198^2)-0.0581*'Temperature Profiles'!AA198+0.3293)*1000,IF('Temperature Profiles'!AA198&lt;17,(0.0022*('Temperature Profiles'!AA198^2)-0.0874*'Temperature Profiles'!AA198+0.9301)*1000,0))</f>
        <v>626.8068194444445</v>
      </c>
      <c r="EC100" s="317">
        <v>0.98958333333333304</v>
      </c>
      <c r="ED100" s="210">
        <f>IF('Temperature Profiles'!AA198&gt;18,(0.0043*('Temperature Profiles'!AA198^2)-0.1116*'Temperature Profiles'!AA198+0.6576)*1000,IF('Temperature Profiles'!AA198&lt;17,(0.0053*('Temperature Profiles'!AA198^2)-0.1876*'Temperature Profiles'!AA198+1.7649)*1000,0))</f>
        <v>1122.4228680555557</v>
      </c>
      <c r="EE100" s="317">
        <v>0.98958333333333304</v>
      </c>
      <c r="EF100" s="212">
        <f>IF('Temperature Profiles'!AA198&gt;18,(0.0057*('Temperature Profiles'!AA198^2)-0.1509*'Temperature Profiles'!AA198+0.8935)*1000,IF('Temperature Profiles'!AA198&lt;17,(0.0072*('Temperature Profiles'!AA198^2)-0.254*'Temperature Profiles'!AA198+2.3952)*1000,0))</f>
        <v>1525.6771666666666</v>
      </c>
      <c r="EG100" s="21"/>
      <c r="EH100" s="317">
        <v>0.98958333333333304</v>
      </c>
      <c r="EI100" s="212">
        <f>IF('Temperature Profiles'!AF99&gt;18,(0.0024*('Temperature Profiles'!AF99^2)-0.0581*'Temperature Profiles'!AF99+0.3293)*1000,IF('Temperature Profiles'!AF99&lt;17,(0.0022*('Temperature Profiles'!AF99^2)-0.0874*'Temperature Profiles'!AF99+0.9301)*1000,0))</f>
        <v>777.38899999999944</v>
      </c>
      <c r="EJ100" s="317">
        <v>0.98958333333333304</v>
      </c>
      <c r="EK100" s="212">
        <f>IF('Temperature Profiles'!AF99&gt;18,(0.0043*('Temperature Profiles'!AF99^2)-0.1116*'Temperature Profiles'!AF99+0.6576)*1000,IF('Temperature Profiles'!AF99&lt;17,(0.0053*('Temperature Profiles'!AF99^2)-0.1876*'Temperature Profiles'!AF99+1.7649)*1000,0))</f>
        <v>1232.6121319444439</v>
      </c>
      <c r="EL100" s="317">
        <v>0.98958333333333304</v>
      </c>
      <c r="EM100" s="212">
        <f>IF('Temperature Profiles'!AF99&gt;18,(0.0057*('Temperature Profiles'!AF99^2)-0.1509*'Temperature Profiles'!AF99+0.8935)*1000,IF('Temperature Profiles'!AF99&lt;17,(0.0072*('Temperature Profiles'!AF99^2)-0.254*'Temperature Profiles'!AF99+2.3952)*1000,0))</f>
        <v>1565.7093958333337</v>
      </c>
      <c r="EN100" s="21"/>
      <c r="EO100" s="317">
        <v>0.98958333333333304</v>
      </c>
      <c r="EP100" s="212"/>
      <c r="EQ100" s="21"/>
      <c r="ER100" s="317">
        <v>0.98958333333333304</v>
      </c>
      <c r="ES100" s="265"/>
      <c r="EU100" s="261">
        <v>0.98958333333333304</v>
      </c>
      <c r="EV100" s="210">
        <f>IF('Temperature Profiles'!AA198&gt;18,(0.0024*('Temperature Profiles'!AA198^2)-0.0581*'Temperature Profiles'!AA198+0.3293)*1000,IF('Temperature Profiles'!AA198&lt;17,(0.0022*('Temperature Profiles'!AA198^2)-0.0874*'Temperature Profiles'!AA198+0.9301)*1000,0))</f>
        <v>626.8068194444445</v>
      </c>
      <c r="EW100" s="317">
        <v>0.98958333333333304</v>
      </c>
      <c r="EX100" s="210">
        <f>IF('Temperature Profiles'!AA198&gt;18,(0.0043*('Temperature Profiles'!AA198^2)-0.1116*'Temperature Profiles'!AA198+0.6576)*1000,IF('Temperature Profiles'!AA198&lt;17,(0.0053*('Temperature Profiles'!AA198^2)-0.1876*'Temperature Profiles'!AA198+1.7649)*1000,0))</f>
        <v>1122.4228680555557</v>
      </c>
      <c r="EY100" s="317">
        <v>0.98958333333333304</v>
      </c>
      <c r="EZ100" s="265">
        <f>IF('Temperature Profiles'!AA198&gt;18,(0.0057*('Temperature Profiles'!AA198^2)-0.1509*'Temperature Profiles'!AA198+0.8935)*1000,IF('Temperature Profiles'!AA198&lt;17,(0.0072*('Temperature Profiles'!AA198^2)-0.254*'Temperature Profiles'!AA198+2.3952)*1000,0))</f>
        <v>1525.6771666666666</v>
      </c>
    </row>
    <row r="101" spans="1:157" x14ac:dyDescent="0.3">
      <c r="A101" s="108">
        <v>0.98958333333333304</v>
      </c>
      <c r="B101" s="227">
        <f t="shared" si="4"/>
        <v>0</v>
      </c>
      <c r="C101" s="228">
        <f t="shared" si="5"/>
        <v>281.33333333333331</v>
      </c>
      <c r="D101" s="26">
        <f t="shared" si="6"/>
        <v>1525.6771666666666</v>
      </c>
      <c r="E101" s="26">
        <f t="shared" si="7"/>
        <v>1525.6771666666666</v>
      </c>
      <c r="G101" s="190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181"/>
      <c r="BC101" s="190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181"/>
      <c r="CY101" s="190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181"/>
      <c r="EU101" s="190"/>
      <c r="EV101" s="21"/>
      <c r="EW101" s="21"/>
      <c r="EX101" s="21"/>
      <c r="EY101" s="21"/>
      <c r="EZ101" s="181"/>
    </row>
    <row r="102" spans="1:157" ht="15" thickBot="1" x14ac:dyDescent="0.35">
      <c r="G102" s="185"/>
      <c r="H102" s="191">
        <f>SUM(H5:H100)/4000</f>
        <v>2.5219642222222216</v>
      </c>
      <c r="I102" s="205" t="s">
        <v>236</v>
      </c>
      <c r="J102" s="191">
        <f>SUM(J5:J100)/4000</f>
        <v>3.4260355555555555</v>
      </c>
      <c r="K102" s="205" t="s">
        <v>236</v>
      </c>
      <c r="L102" s="191">
        <f>SUM(L5:L100)/4000</f>
        <v>4.0684395555555497</v>
      </c>
      <c r="M102" s="205" t="s">
        <v>236</v>
      </c>
      <c r="N102" s="188"/>
      <c r="O102" s="191">
        <f>SUM(O5:O100)/4000</f>
        <v>7.0176710555555601</v>
      </c>
      <c r="P102" s="205" t="s">
        <v>236</v>
      </c>
      <c r="Q102" s="191">
        <f>SUM(Q5:Q100)/4000</f>
        <v>10.366053888888887</v>
      </c>
      <c r="R102" s="205" t="s">
        <v>236</v>
      </c>
      <c r="S102" s="191">
        <f>SUM(S5:S100)/4000</f>
        <v>12.739124888888878</v>
      </c>
      <c r="T102" s="205" t="s">
        <v>236</v>
      </c>
      <c r="U102" s="188"/>
      <c r="V102" s="191">
        <f>SUM(V5:V100)/4000</f>
        <v>15.847827506944434</v>
      </c>
      <c r="W102" s="205" t="s">
        <v>236</v>
      </c>
      <c r="X102" s="191">
        <f>SUM(X5:X100)/4000</f>
        <v>25.221019236111136</v>
      </c>
      <c r="Y102" s="205" t="s">
        <v>236</v>
      </c>
      <c r="Z102" s="191">
        <f>SUM(Z5:Z100)/4000</f>
        <v>32.104597861111102</v>
      </c>
      <c r="AA102" s="205" t="s">
        <v>236</v>
      </c>
      <c r="AB102" s="188"/>
      <c r="AC102" s="191">
        <f>SUM(AC5:AC100)/4000</f>
        <v>1.4340360624999979</v>
      </c>
      <c r="AD102" s="205" t="s">
        <v>236</v>
      </c>
      <c r="AE102" s="191">
        <f>SUM(AE5:AE100)/4000</f>
        <v>1.2065581249999981</v>
      </c>
      <c r="AF102" s="205" t="s">
        <v>236</v>
      </c>
      <c r="AG102" s="191">
        <f>SUM(AG5:AG100)/4000</f>
        <v>1.2345627499999914</v>
      </c>
      <c r="AH102" s="205" t="s">
        <v>236</v>
      </c>
      <c r="AI102" s="188"/>
      <c r="AJ102" s="191">
        <f>SUM(AJ5:AJ100)/4000</f>
        <v>0</v>
      </c>
      <c r="AK102" s="205" t="s">
        <v>236</v>
      </c>
      <c r="AL102" s="191">
        <f>SUM(AL5:AL100)/4000</f>
        <v>0</v>
      </c>
      <c r="AM102" s="205" t="s">
        <v>236</v>
      </c>
      <c r="AN102" s="191">
        <f>SUM(AN5:AN100)/4000</f>
        <v>0</v>
      </c>
      <c r="AO102" s="205" t="s">
        <v>236</v>
      </c>
      <c r="AP102" s="188"/>
      <c r="AQ102" s="191">
        <f>SUM(AQ5:AQ100)/4000</f>
        <v>20.051298347222222</v>
      </c>
      <c r="AR102" s="205" t="s">
        <v>236</v>
      </c>
      <c r="AS102" s="191">
        <f>SUM(AS5:AS100)/4000</f>
        <v>32.325726805555583</v>
      </c>
      <c r="AT102" s="205" t="s">
        <v>236</v>
      </c>
      <c r="AU102" s="191">
        <f>SUM(AU5:AU100)/4000</f>
        <v>41.443694055555575</v>
      </c>
      <c r="AV102" s="205" t="s">
        <v>236</v>
      </c>
      <c r="AW102" s="188"/>
      <c r="AX102" s="188"/>
      <c r="AY102" s="188"/>
      <c r="AZ102" s="188"/>
      <c r="BA102" s="182"/>
      <c r="BC102" s="185"/>
      <c r="BD102" s="191">
        <f>SUM(BD5:BD100)/4000</f>
        <v>0.1974141666666665</v>
      </c>
      <c r="BE102" s="205" t="s">
        <v>236</v>
      </c>
      <c r="BF102" s="191">
        <f>SUM(BF5:BF100)/4000</f>
        <v>0.29849666666666674</v>
      </c>
      <c r="BG102" s="205" t="s">
        <v>236</v>
      </c>
      <c r="BH102" s="191">
        <f>SUM(BH5:BH100)/4000</f>
        <v>0.42141666666666666</v>
      </c>
      <c r="BI102" s="205" t="s">
        <v>236</v>
      </c>
      <c r="BJ102" s="188"/>
      <c r="BK102" s="191">
        <f>SUM(BK5:BK100)/4000</f>
        <v>0</v>
      </c>
      <c r="BL102" s="205" t="s">
        <v>236</v>
      </c>
      <c r="BM102" s="191">
        <f>SUM(BM5:BM100)/4000</f>
        <v>0</v>
      </c>
      <c r="BN102" s="205" t="s">
        <v>236</v>
      </c>
      <c r="BO102" s="191">
        <f>SUM(BO5:BO100)/4000</f>
        <v>0</v>
      </c>
      <c r="BP102" s="205" t="s">
        <v>236</v>
      </c>
      <c r="BQ102" s="188"/>
      <c r="BR102" s="191">
        <f>SUM(BR5:BR100)/4000</f>
        <v>0</v>
      </c>
      <c r="BS102" s="205" t="s">
        <v>236</v>
      </c>
      <c r="BT102" s="191">
        <f>SUM(BT5:BT100)/4000</f>
        <v>0</v>
      </c>
      <c r="BU102" s="205" t="s">
        <v>236</v>
      </c>
      <c r="BV102" s="191">
        <f>SUM(BV5:BV100)/4000</f>
        <v>0</v>
      </c>
      <c r="BW102" s="205" t="s">
        <v>236</v>
      </c>
      <c r="BX102" s="188"/>
      <c r="BY102" s="191">
        <f>SUM(BY5:BY100)/4000</f>
        <v>0</v>
      </c>
      <c r="BZ102" s="205" t="s">
        <v>236</v>
      </c>
      <c r="CA102" s="191">
        <f>SUM(CA5:CA100)/4000</f>
        <v>0</v>
      </c>
      <c r="CB102" s="205" t="s">
        <v>236</v>
      </c>
      <c r="CC102" s="191">
        <f>SUM(CC5:CC100)/4000</f>
        <v>0</v>
      </c>
      <c r="CD102" s="205" t="s">
        <v>236</v>
      </c>
      <c r="CE102" s="188"/>
      <c r="CF102" s="191">
        <f>SUM(CF5:CF100)/4000</f>
        <v>2.6380174999999983</v>
      </c>
      <c r="CG102" s="205" t="s">
        <v>236</v>
      </c>
      <c r="CH102" s="191">
        <f>SUM(CH5:CH100)/4000</f>
        <v>5.1332900000000006</v>
      </c>
      <c r="CI102" s="205" t="s">
        <v>236</v>
      </c>
      <c r="CJ102" s="191">
        <f>SUM(CJ5:CJ100)/4000</f>
        <v>6.8307499999999939</v>
      </c>
      <c r="CK102" s="205" t="s">
        <v>236</v>
      </c>
      <c r="CL102" s="188"/>
      <c r="CM102" s="191">
        <f>SUM(CM5:CM100)/4000</f>
        <v>0</v>
      </c>
      <c r="CN102" s="205" t="s">
        <v>236</v>
      </c>
      <c r="CO102" s="191">
        <f>SUM(CO5:CO100)/4000</f>
        <v>0</v>
      </c>
      <c r="CP102" s="205" t="s">
        <v>236</v>
      </c>
      <c r="CQ102" s="191">
        <f>SUM(CQ5:CQ100)/4000</f>
        <v>0</v>
      </c>
      <c r="CR102" s="205" t="s">
        <v>236</v>
      </c>
      <c r="CS102" s="188"/>
      <c r="CT102" s="188"/>
      <c r="CU102" s="188"/>
      <c r="CV102" s="188"/>
      <c r="CW102" s="182"/>
      <c r="CY102" s="185"/>
      <c r="CZ102" s="191">
        <f>SUM(CZ5:CZ100)/4000</f>
        <v>4.7667618472222175</v>
      </c>
      <c r="DA102" s="205" t="s">
        <v>236</v>
      </c>
      <c r="DB102" s="191">
        <f>SUM(DB5:DB100)/4000</f>
        <v>6.5564139097222238</v>
      </c>
      <c r="DC102" s="205" t="s">
        <v>236</v>
      </c>
      <c r="DD102" s="191">
        <f>SUM(DD5:DD100)/4000</f>
        <v>8.2827154999999966</v>
      </c>
      <c r="DE102" s="205" t="s">
        <v>236</v>
      </c>
      <c r="DF102" s="188"/>
      <c r="DG102" s="191">
        <f>SUM(DG5:DG100)/4000</f>
        <v>7.6909439999999982</v>
      </c>
      <c r="DH102" s="205" t="s">
        <v>236</v>
      </c>
      <c r="DI102" s="191">
        <f>SUM(DI5:DI100)/4000</f>
        <v>11.213215500000006</v>
      </c>
      <c r="DJ102" s="205" t="s">
        <v>236</v>
      </c>
      <c r="DK102" s="191">
        <f>SUM(DK5:DK100)/4000</f>
        <v>13.7369345</v>
      </c>
      <c r="DL102" s="205" t="s">
        <v>236</v>
      </c>
      <c r="DM102" s="188"/>
      <c r="DN102" s="191">
        <f>SUM(DN5:DN100)/4000</f>
        <v>16.737442333333338</v>
      </c>
      <c r="DO102" s="205" t="s">
        <v>236</v>
      </c>
      <c r="DP102" s="191">
        <f>SUM(DP5:DP100)/4000</f>
        <v>26.40458949305555</v>
      </c>
      <c r="DQ102" s="205" t="s">
        <v>236</v>
      </c>
      <c r="DR102" s="191">
        <f>SUM(DR5:DR100)/4000</f>
        <v>33.467601479166639</v>
      </c>
      <c r="DS102" s="205" t="s">
        <v>236</v>
      </c>
      <c r="DT102" s="188"/>
      <c r="DU102" s="191">
        <f>SUM(DU5:DU100)/4000</f>
        <v>0.38323248611111072</v>
      </c>
      <c r="DV102" s="205" t="s">
        <v>236</v>
      </c>
      <c r="DW102" s="191">
        <f>SUM(DW5:DW100)/4000</f>
        <v>0.35973802777777752</v>
      </c>
      <c r="DX102" s="205" t="s">
        <v>236</v>
      </c>
      <c r="DY102" s="191">
        <f>SUM(DY5:DY100)/4000</f>
        <v>0.36075381250000044</v>
      </c>
      <c r="DZ102" s="205" t="s">
        <v>236</v>
      </c>
      <c r="EA102" s="188"/>
      <c r="EB102" s="191">
        <f>SUM(EB5:EB100)/4000</f>
        <v>14.146480513888887</v>
      </c>
      <c r="EC102" s="205" t="s">
        <v>236</v>
      </c>
      <c r="ED102" s="191">
        <f>SUM(ED5:ED100)/4000</f>
        <v>25.212273131944439</v>
      </c>
      <c r="EE102" s="205" t="s">
        <v>236</v>
      </c>
      <c r="EF102" s="191">
        <f>SUM(EF5:EF100)/4000</f>
        <v>34.287820166666648</v>
      </c>
      <c r="EG102" s="205" t="s">
        <v>236</v>
      </c>
      <c r="EH102" s="188"/>
      <c r="EI102" s="191">
        <f>SUM(EI5:EI100)/4000</f>
        <v>20.869889666666662</v>
      </c>
      <c r="EJ102" s="205" t="s">
        <v>236</v>
      </c>
      <c r="EK102" s="191">
        <f>SUM(EK5:EK100)/4000</f>
        <v>33.440290652777783</v>
      </c>
      <c r="EL102" s="205" t="s">
        <v>236</v>
      </c>
      <c r="EM102" s="191">
        <f>SUM(EM5:EM100)/4000</f>
        <v>42.648482958333368</v>
      </c>
      <c r="EN102" s="205" t="s">
        <v>236</v>
      </c>
      <c r="EO102" s="188"/>
      <c r="EP102" s="188"/>
      <c r="EQ102" s="188"/>
      <c r="ER102" s="188"/>
      <c r="ES102" s="182"/>
      <c r="EU102" s="185"/>
      <c r="EV102" s="191">
        <f>SUM(EV5:EV100)/4000</f>
        <v>14.146480513888887</v>
      </c>
      <c r="EW102" s="205" t="s">
        <v>236</v>
      </c>
      <c r="EX102" s="191">
        <f>SUM(EX5:EX100)/4000</f>
        <v>25.212273131944439</v>
      </c>
      <c r="EY102" s="205" t="s">
        <v>236</v>
      </c>
      <c r="EZ102" s="306">
        <f>SUM(EZ5:EZ100)/4000</f>
        <v>34.287820166666648</v>
      </c>
      <c r="FA102" s="297" t="s">
        <v>236</v>
      </c>
    </row>
    <row r="104" spans="1:157" x14ac:dyDescent="0.3">
      <c r="B104" s="397" t="s">
        <v>237</v>
      </c>
      <c r="C104" s="397"/>
      <c r="D104" s="397"/>
      <c r="E104" s="397"/>
      <c r="G104" s="375" t="s">
        <v>220</v>
      </c>
      <c r="H104" s="375"/>
      <c r="I104" s="375"/>
      <c r="J104" s="375"/>
      <c r="K104" s="375"/>
      <c r="L104" s="375"/>
      <c r="M104" s="375"/>
      <c r="N104" s="375"/>
      <c r="O104" s="375"/>
    </row>
    <row r="105" spans="1:157" x14ac:dyDescent="0.3">
      <c r="B105" s="229">
        <f>SUM(B6:B101)/4000</f>
        <v>0</v>
      </c>
      <c r="C105" s="229">
        <f>SUM(C6:C101)/4000</f>
        <v>6.8307499999999939</v>
      </c>
      <c r="D105" s="229">
        <f>SUM(D6:D101)/4000</f>
        <v>34.287820166666648</v>
      </c>
      <c r="E105" s="229">
        <f>SUM(E6:E101)/4000</f>
        <v>34.287820166666648</v>
      </c>
      <c r="G105" s="399" t="s">
        <v>260</v>
      </c>
      <c r="H105" s="399"/>
      <c r="I105" s="399"/>
      <c r="J105" s="399" t="s">
        <v>261</v>
      </c>
      <c r="K105" s="399"/>
      <c r="L105" s="399"/>
      <c r="M105" s="399" t="s">
        <v>262</v>
      </c>
      <c r="N105" s="399"/>
      <c r="O105" s="399"/>
      <c r="EG105" s="234"/>
      <c r="EH105" s="234"/>
      <c r="EI105" s="234"/>
      <c r="EJ105" s="234"/>
      <c r="EK105" s="234"/>
    </row>
    <row r="106" spans="1:157" ht="43.2" x14ac:dyDescent="0.3">
      <c r="G106" s="268" t="s">
        <v>264</v>
      </c>
      <c r="H106" s="269" t="s">
        <v>265</v>
      </c>
      <c r="I106" s="270" t="s">
        <v>266</v>
      </c>
      <c r="J106" s="268" t="s">
        <v>264</v>
      </c>
      <c r="K106" s="269" t="s">
        <v>265</v>
      </c>
      <c r="L106" s="270" t="s">
        <v>266</v>
      </c>
      <c r="M106" s="268" t="s">
        <v>264</v>
      </c>
      <c r="N106" s="269" t="s">
        <v>265</v>
      </c>
      <c r="O106" s="270" t="s">
        <v>266</v>
      </c>
    </row>
    <row r="107" spans="1:157" x14ac:dyDescent="0.3">
      <c r="B107" s="398" t="s">
        <v>286</v>
      </c>
      <c r="C107" s="398"/>
      <c r="D107" s="398"/>
      <c r="E107" s="398"/>
      <c r="G107" s="271">
        <f>0.724*1932</f>
        <v>1398.768</v>
      </c>
      <c r="H107" s="271">
        <f>0.724*2861</f>
        <v>2071.364</v>
      </c>
      <c r="I107" s="271">
        <f>0.724*3636</f>
        <v>2632.4639999999999</v>
      </c>
      <c r="J107" s="271">
        <f>1.82*113.3</f>
        <v>206.20599999999999</v>
      </c>
      <c r="K107" s="271">
        <f>1.82*213.8</f>
        <v>389.11600000000004</v>
      </c>
      <c r="L107" s="271">
        <f>1.82*293.8</f>
        <v>534.71600000000001</v>
      </c>
      <c r="M107" s="271">
        <f>1.33*1972</f>
        <v>2622.76</v>
      </c>
      <c r="N107" s="271">
        <f>1.33*3018</f>
        <v>4013.94</v>
      </c>
      <c r="O107" s="271">
        <f>1.33*3928</f>
        <v>5224.2400000000007</v>
      </c>
    </row>
    <row r="108" spans="1:157" x14ac:dyDescent="0.3">
      <c r="B108" s="229">
        <f>IF(D3=G106,G107,IF(D3=H106,H107,IF(D3=I106,I107,0)))</f>
        <v>2632.4639999999999</v>
      </c>
      <c r="C108" s="229">
        <f>IF(D3=J106,J107,IF(D3=K106,K107,IF(D3=L106,L107,0)))</f>
        <v>534.71600000000001</v>
      </c>
      <c r="D108" s="229">
        <f>IF(D3=M106,M107,IF(D3=N106,N107,IF(D3=O106,O107,0)))</f>
        <v>5224.2400000000007</v>
      </c>
      <c r="E108" s="229">
        <f>0</f>
        <v>0</v>
      </c>
    </row>
    <row r="109" spans="1:157" x14ac:dyDescent="0.3">
      <c r="B109" s="263"/>
      <c r="C109" s="263"/>
      <c r="D109" s="263"/>
      <c r="E109" s="263"/>
    </row>
    <row r="111" spans="1:157" x14ac:dyDescent="0.3">
      <c r="D111" s="394" t="s">
        <v>311</v>
      </c>
      <c r="E111" s="395"/>
    </row>
    <row r="112" spans="1:157" ht="28.8" x14ac:dyDescent="0.3">
      <c r="D112" s="310" t="s">
        <v>262</v>
      </c>
      <c r="E112" s="311" t="s">
        <v>307</v>
      </c>
      <c r="G112" s="375" t="s">
        <v>303</v>
      </c>
      <c r="H112" s="375"/>
      <c r="I112" s="375"/>
    </row>
    <row r="113" spans="4:128" ht="43.2" x14ac:dyDescent="0.3">
      <c r="D113" s="292" t="s">
        <v>301</v>
      </c>
      <c r="E113" s="292" t="s">
        <v>301</v>
      </c>
      <c r="G113" s="268" t="s">
        <v>264</v>
      </c>
      <c r="H113" s="269" t="s">
        <v>265</v>
      </c>
      <c r="I113" s="270" t="s">
        <v>266</v>
      </c>
    </row>
    <row r="114" spans="4:128" x14ac:dyDescent="0.3">
      <c r="D114" s="291">
        <f>IF(D3=G113,G115,IF(D3=H113,H115,IF(D3=I113,I115)))</f>
        <v>0</v>
      </c>
      <c r="E114" s="291">
        <v>0</v>
      </c>
      <c r="G114" s="376" t="s">
        <v>301</v>
      </c>
      <c r="H114" s="377"/>
      <c r="I114" s="378"/>
    </row>
    <row r="115" spans="4:128" ht="28.8" x14ac:dyDescent="0.3">
      <c r="D115" s="292" t="s">
        <v>302</v>
      </c>
      <c r="E115" s="292" t="s">
        <v>302</v>
      </c>
      <c r="G115" s="291">
        <f>EB207</f>
        <v>0</v>
      </c>
      <c r="H115" s="291">
        <f>ED207</f>
        <v>0</v>
      </c>
      <c r="I115" s="291">
        <f>EF207</f>
        <v>0</v>
      </c>
    </row>
    <row r="116" spans="4:128" x14ac:dyDescent="0.3">
      <c r="D116" s="291">
        <f>IF(D3=G113,G117,IF(D3=H113,H117,IF(D3=I113,I117)))</f>
        <v>0</v>
      </c>
      <c r="E116" s="291">
        <f>IF(D3=G113,G117,IF(D3=H113,H117,IF(D3=I113,I117)))</f>
        <v>0</v>
      </c>
      <c r="G116" s="376" t="s">
        <v>302</v>
      </c>
      <c r="H116" s="379"/>
      <c r="I116" s="380"/>
    </row>
    <row r="117" spans="4:128" x14ac:dyDescent="0.3">
      <c r="G117" s="291">
        <f>EB208</f>
        <v>0</v>
      </c>
      <c r="H117" s="291">
        <f>ED208</f>
        <v>0</v>
      </c>
      <c r="I117" s="291">
        <f>EF208</f>
        <v>0</v>
      </c>
    </row>
    <row r="128" spans="4:128" x14ac:dyDescent="0.3">
      <c r="DX128" s="284"/>
    </row>
    <row r="206" spans="133:138" x14ac:dyDescent="0.3">
      <c r="EC206" s="5"/>
      <c r="EH206" s="37"/>
    </row>
  </sheetData>
  <mergeCells count="39">
    <mergeCell ref="EU1:EZ1"/>
    <mergeCell ref="EU2:EZ2"/>
    <mergeCell ref="D111:E111"/>
    <mergeCell ref="ER3:ES3"/>
    <mergeCell ref="G104:O104"/>
    <mergeCell ref="G105:I105"/>
    <mergeCell ref="J105:L105"/>
    <mergeCell ref="M105:O105"/>
    <mergeCell ref="AW3:AX3"/>
    <mergeCell ref="AZ3:BA3"/>
    <mergeCell ref="CS3:CT3"/>
    <mergeCell ref="CV3:CW3"/>
    <mergeCell ref="B104:E104"/>
    <mergeCell ref="DT2:DY2"/>
    <mergeCell ref="EA2:EF2"/>
    <mergeCell ref="EH2:EM2"/>
    <mergeCell ref="EO3:EP3"/>
    <mergeCell ref="BX2:CC2"/>
    <mergeCell ref="CE2:CJ2"/>
    <mergeCell ref="CL2:CQ2"/>
    <mergeCell ref="DF2:DK2"/>
    <mergeCell ref="DM2:DR2"/>
    <mergeCell ref="B107:E107"/>
    <mergeCell ref="G116:I116"/>
    <mergeCell ref="G112:I112"/>
    <mergeCell ref="G114:I114"/>
    <mergeCell ref="CY2:DD2"/>
    <mergeCell ref="G1:BA1"/>
    <mergeCell ref="BC1:CW1"/>
    <mergeCell ref="CY1:ES1"/>
    <mergeCell ref="G2:L2"/>
    <mergeCell ref="N2:S2"/>
    <mergeCell ref="U2:Z2"/>
    <mergeCell ref="AB2:AG2"/>
    <mergeCell ref="AI2:AN2"/>
    <mergeCell ref="AP2:AU2"/>
    <mergeCell ref="BC2:BH2"/>
    <mergeCell ref="BJ2:BO2"/>
    <mergeCell ref="BQ2:BV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9849F-2D97-4A8C-9667-05E4B216C1CF}">
  <sheetPr codeName="Sheet10"/>
  <dimension ref="A1:GO208"/>
  <sheetViews>
    <sheetView zoomScale="80" zoomScaleNormal="80" workbookViewId="0"/>
  </sheetViews>
  <sheetFormatPr defaultRowHeight="14.4" x14ac:dyDescent="0.3"/>
  <cols>
    <col min="2" max="3" width="23.77734375" customWidth="1"/>
    <col min="4" max="4" width="27.44140625" bestFit="1" customWidth="1"/>
    <col min="5" max="5" width="27.44140625" customWidth="1"/>
    <col min="7" max="12" width="13.77734375" customWidth="1"/>
    <col min="13" max="13" width="9.77734375" customWidth="1"/>
    <col min="14" max="19" width="13.77734375" customWidth="1"/>
    <col min="21" max="26" width="13.77734375" customWidth="1"/>
    <col min="28" max="33" width="13.77734375" customWidth="1"/>
    <col min="35" max="40" width="13.77734375" customWidth="1"/>
    <col min="42" max="47" width="13.77734375" customWidth="1"/>
    <col min="50" max="50" width="13.5546875" bestFit="1" customWidth="1"/>
    <col min="53" max="53" width="13.5546875" bestFit="1" customWidth="1"/>
    <col min="55" max="60" width="13.77734375" customWidth="1"/>
    <col min="62" max="67" width="13.77734375" customWidth="1"/>
    <col min="69" max="74" width="13.77734375" customWidth="1"/>
    <col min="76" max="81" width="13.77734375" customWidth="1"/>
    <col min="83" max="88" width="13.77734375" customWidth="1"/>
    <col min="90" max="95" width="13.77734375" customWidth="1"/>
    <col min="98" max="98" width="13.5546875" bestFit="1" customWidth="1"/>
    <col min="101" max="101" width="13.5546875" bestFit="1" customWidth="1"/>
    <col min="103" max="108" width="13.77734375" customWidth="1"/>
    <col min="110" max="115" width="13.77734375" customWidth="1"/>
    <col min="117" max="122" width="13.77734375" customWidth="1"/>
    <col min="124" max="129" width="13.77734375" customWidth="1"/>
    <col min="131" max="136" width="13.77734375" customWidth="1"/>
    <col min="138" max="143" width="13.77734375" customWidth="1"/>
    <col min="146" max="146" width="13.5546875" bestFit="1" customWidth="1"/>
    <col min="149" max="149" width="13.5546875" bestFit="1" customWidth="1"/>
    <col min="151" max="151" width="14.109375" customWidth="1"/>
    <col min="152" max="152" width="13.5546875" bestFit="1" customWidth="1"/>
    <col min="153" max="153" width="15.77734375" customWidth="1"/>
    <col min="154" max="154" width="13.5546875" bestFit="1" customWidth="1"/>
    <col min="155" max="155" width="14.44140625" customWidth="1"/>
    <col min="156" max="156" width="13.5546875" bestFit="1" customWidth="1"/>
  </cols>
  <sheetData>
    <row r="1" spans="1:197" s="21" customFormat="1" ht="15" thickBot="1" x14ac:dyDescent="0.35">
      <c r="A1"/>
      <c r="B1"/>
      <c r="C1"/>
      <c r="D1"/>
      <c r="E1"/>
      <c r="F1"/>
      <c r="G1" s="385" t="s">
        <v>260</v>
      </c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7"/>
      <c r="BB1"/>
      <c r="BC1" s="385" t="s">
        <v>261</v>
      </c>
      <c r="BD1" s="386"/>
      <c r="BE1" s="386"/>
      <c r="BF1" s="386"/>
      <c r="BG1" s="386"/>
      <c r="BH1" s="386"/>
      <c r="BI1" s="386"/>
      <c r="BJ1" s="386"/>
      <c r="BK1" s="386"/>
      <c r="BL1" s="386"/>
      <c r="BM1" s="386"/>
      <c r="BN1" s="386"/>
      <c r="BO1" s="386"/>
      <c r="BP1" s="386"/>
      <c r="BQ1" s="386"/>
      <c r="BR1" s="386"/>
      <c r="BS1" s="386"/>
      <c r="BT1" s="386"/>
      <c r="BU1" s="386"/>
      <c r="BV1" s="386"/>
      <c r="BW1" s="386"/>
      <c r="BX1" s="386"/>
      <c r="BY1" s="386"/>
      <c r="BZ1" s="386"/>
      <c r="CA1" s="386"/>
      <c r="CB1" s="386"/>
      <c r="CC1" s="386"/>
      <c r="CD1" s="386"/>
      <c r="CE1" s="386"/>
      <c r="CF1" s="386"/>
      <c r="CG1" s="386"/>
      <c r="CH1" s="386"/>
      <c r="CI1" s="386"/>
      <c r="CJ1" s="386"/>
      <c r="CK1" s="386"/>
      <c r="CL1" s="386"/>
      <c r="CM1" s="386"/>
      <c r="CN1" s="386"/>
      <c r="CO1" s="386"/>
      <c r="CP1" s="386"/>
      <c r="CQ1" s="386"/>
      <c r="CR1" s="386"/>
      <c r="CS1" s="386"/>
      <c r="CT1" s="386"/>
      <c r="CU1" s="386"/>
      <c r="CV1" s="386"/>
      <c r="CW1" s="387"/>
      <c r="CX1"/>
      <c r="CY1" s="385" t="s">
        <v>262</v>
      </c>
      <c r="CZ1" s="386"/>
      <c r="DA1" s="386"/>
      <c r="DB1" s="386"/>
      <c r="DC1" s="386"/>
      <c r="DD1" s="386"/>
      <c r="DE1" s="386"/>
      <c r="DF1" s="386"/>
      <c r="DG1" s="386"/>
      <c r="DH1" s="386"/>
      <c r="DI1" s="386"/>
      <c r="DJ1" s="386"/>
      <c r="DK1" s="386"/>
      <c r="DL1" s="386"/>
      <c r="DM1" s="386"/>
      <c r="DN1" s="386"/>
      <c r="DO1" s="386"/>
      <c r="DP1" s="386"/>
      <c r="DQ1" s="386"/>
      <c r="DR1" s="386"/>
      <c r="DS1" s="386"/>
      <c r="DT1" s="386"/>
      <c r="DU1" s="386"/>
      <c r="DV1" s="386"/>
      <c r="DW1" s="386"/>
      <c r="DX1" s="386"/>
      <c r="DY1" s="386"/>
      <c r="DZ1" s="386"/>
      <c r="EA1" s="386"/>
      <c r="EB1" s="386"/>
      <c r="EC1" s="386"/>
      <c r="ED1" s="386"/>
      <c r="EE1" s="386"/>
      <c r="EF1" s="386"/>
      <c r="EG1" s="386"/>
      <c r="EH1" s="386"/>
      <c r="EI1" s="386"/>
      <c r="EJ1" s="386"/>
      <c r="EK1" s="386"/>
      <c r="EL1" s="386"/>
      <c r="EM1" s="386"/>
      <c r="EN1" s="386"/>
      <c r="EO1" s="386"/>
      <c r="EP1" s="386"/>
      <c r="EQ1" s="386"/>
      <c r="ER1" s="386"/>
      <c r="ES1" s="387"/>
      <c r="ET1"/>
      <c r="EU1" s="390" t="s">
        <v>307</v>
      </c>
      <c r="EV1" s="391"/>
      <c r="EW1" s="391"/>
      <c r="EX1" s="391"/>
      <c r="EY1" s="391"/>
      <c r="EZ1" s="392"/>
      <c r="FA1" s="301"/>
      <c r="FB1" s="301"/>
      <c r="FC1" s="301"/>
      <c r="FD1" s="301"/>
      <c r="FE1" s="301"/>
      <c r="FF1" s="301"/>
      <c r="FG1" s="301"/>
      <c r="FH1" s="301"/>
      <c r="FI1" s="301"/>
      <c r="FJ1" s="301"/>
      <c r="FK1" s="301"/>
      <c r="FL1" s="301"/>
      <c r="FM1" s="301"/>
      <c r="FN1" s="301"/>
      <c r="FO1" s="301"/>
      <c r="FP1" s="301"/>
      <c r="FQ1" s="301"/>
      <c r="FR1" s="301"/>
      <c r="FS1" s="301"/>
      <c r="FT1" s="301"/>
      <c r="FU1" s="301"/>
      <c r="FV1" s="301"/>
      <c r="FW1" s="301"/>
      <c r="FX1" s="301"/>
      <c r="FY1" s="301"/>
      <c r="FZ1" s="301"/>
      <c r="GA1" s="301"/>
      <c r="GB1" s="301"/>
      <c r="GC1" s="301"/>
      <c r="GD1" s="301"/>
      <c r="GE1" s="301"/>
      <c r="GF1" s="301"/>
      <c r="GG1" s="301"/>
      <c r="GH1" s="301"/>
      <c r="GI1" s="301"/>
      <c r="GJ1" s="301"/>
      <c r="GK1" s="301"/>
      <c r="GL1" s="301"/>
      <c r="GM1" s="301"/>
      <c r="GN1" s="301"/>
      <c r="GO1" s="301"/>
    </row>
    <row r="2" spans="1:197" x14ac:dyDescent="0.3">
      <c r="B2" s="222" t="s">
        <v>269</v>
      </c>
      <c r="D2" s="222" t="s">
        <v>7</v>
      </c>
      <c r="E2" s="21"/>
      <c r="G2" s="384" t="s">
        <v>152</v>
      </c>
      <c r="H2" s="382"/>
      <c r="I2" s="382"/>
      <c r="J2" s="382"/>
      <c r="K2" s="382"/>
      <c r="L2" s="383"/>
      <c r="M2" s="21"/>
      <c r="N2" s="381" t="s">
        <v>153</v>
      </c>
      <c r="O2" s="382"/>
      <c r="P2" s="382"/>
      <c r="Q2" s="382"/>
      <c r="R2" s="382"/>
      <c r="S2" s="383"/>
      <c r="T2" s="21"/>
      <c r="U2" s="381" t="s">
        <v>154</v>
      </c>
      <c r="V2" s="382"/>
      <c r="W2" s="382"/>
      <c r="X2" s="382"/>
      <c r="Y2" s="382"/>
      <c r="Z2" s="383"/>
      <c r="AA2" s="21"/>
      <c r="AB2" s="381" t="s">
        <v>155</v>
      </c>
      <c r="AC2" s="382"/>
      <c r="AD2" s="382"/>
      <c r="AE2" s="382"/>
      <c r="AF2" s="382"/>
      <c r="AG2" s="383"/>
      <c r="AH2" s="21"/>
      <c r="AI2" s="381" t="s">
        <v>156</v>
      </c>
      <c r="AJ2" s="382"/>
      <c r="AK2" s="382"/>
      <c r="AL2" s="382"/>
      <c r="AM2" s="382"/>
      <c r="AN2" s="383"/>
      <c r="AO2" s="187"/>
      <c r="AP2" s="381" t="s">
        <v>157</v>
      </c>
      <c r="AQ2" s="382"/>
      <c r="AR2" s="382"/>
      <c r="AS2" s="382"/>
      <c r="AT2" s="382"/>
      <c r="AU2" s="383"/>
      <c r="AV2" s="21"/>
      <c r="AW2" s="21"/>
      <c r="AX2" s="21"/>
      <c r="AY2" s="21"/>
      <c r="AZ2" s="21"/>
      <c r="BA2" s="181"/>
      <c r="BC2" s="384" t="s">
        <v>152</v>
      </c>
      <c r="BD2" s="382"/>
      <c r="BE2" s="382"/>
      <c r="BF2" s="382"/>
      <c r="BG2" s="382"/>
      <c r="BH2" s="383"/>
      <c r="BI2" s="21"/>
      <c r="BJ2" s="381" t="s">
        <v>153</v>
      </c>
      <c r="BK2" s="382"/>
      <c r="BL2" s="382"/>
      <c r="BM2" s="382"/>
      <c r="BN2" s="382"/>
      <c r="BO2" s="383"/>
      <c r="BP2" s="21"/>
      <c r="BQ2" s="381" t="s">
        <v>154</v>
      </c>
      <c r="BR2" s="382"/>
      <c r="BS2" s="382"/>
      <c r="BT2" s="382"/>
      <c r="BU2" s="382"/>
      <c r="BV2" s="383"/>
      <c r="BW2" s="21"/>
      <c r="BX2" s="381" t="s">
        <v>155</v>
      </c>
      <c r="BY2" s="382"/>
      <c r="BZ2" s="382"/>
      <c r="CA2" s="382"/>
      <c r="CB2" s="382"/>
      <c r="CC2" s="383"/>
      <c r="CD2" s="21"/>
      <c r="CE2" s="381" t="s">
        <v>156</v>
      </c>
      <c r="CF2" s="382"/>
      <c r="CG2" s="382"/>
      <c r="CH2" s="382"/>
      <c r="CI2" s="382"/>
      <c r="CJ2" s="383"/>
      <c r="CK2" s="187"/>
      <c r="CL2" s="381" t="s">
        <v>157</v>
      </c>
      <c r="CM2" s="382"/>
      <c r="CN2" s="382"/>
      <c r="CO2" s="382"/>
      <c r="CP2" s="382"/>
      <c r="CQ2" s="383"/>
      <c r="CR2" s="21"/>
      <c r="CS2" s="21"/>
      <c r="CT2" s="21"/>
      <c r="CU2" s="21"/>
      <c r="CV2" s="21"/>
      <c r="CW2" s="181"/>
      <c r="CY2" s="389" t="s">
        <v>152</v>
      </c>
      <c r="CZ2" s="382"/>
      <c r="DA2" s="382"/>
      <c r="DB2" s="382"/>
      <c r="DC2" s="382"/>
      <c r="DD2" s="383"/>
      <c r="DE2" s="21"/>
      <c r="DF2" s="381" t="s">
        <v>153</v>
      </c>
      <c r="DG2" s="382"/>
      <c r="DH2" s="382"/>
      <c r="DI2" s="382"/>
      <c r="DJ2" s="382"/>
      <c r="DK2" s="383"/>
      <c r="DL2" s="21"/>
      <c r="DM2" s="381" t="s">
        <v>154</v>
      </c>
      <c r="DN2" s="382"/>
      <c r="DO2" s="382"/>
      <c r="DP2" s="382"/>
      <c r="DQ2" s="382"/>
      <c r="DR2" s="383"/>
      <c r="DS2" s="21"/>
      <c r="DT2" s="381" t="s">
        <v>155</v>
      </c>
      <c r="DU2" s="382"/>
      <c r="DV2" s="382"/>
      <c r="DW2" s="382"/>
      <c r="DX2" s="382"/>
      <c r="DY2" s="383"/>
      <c r="DZ2" s="21"/>
      <c r="EA2" s="381" t="s">
        <v>156</v>
      </c>
      <c r="EB2" s="382"/>
      <c r="EC2" s="382"/>
      <c r="ED2" s="382"/>
      <c r="EE2" s="382"/>
      <c r="EF2" s="383"/>
      <c r="EG2" s="187"/>
      <c r="EH2" s="381" t="s">
        <v>157</v>
      </c>
      <c r="EI2" s="382"/>
      <c r="EJ2" s="382"/>
      <c r="EK2" s="382"/>
      <c r="EL2" s="382"/>
      <c r="EM2" s="383"/>
      <c r="EN2" s="21"/>
      <c r="EO2" s="21"/>
      <c r="EP2" s="21"/>
      <c r="EQ2" s="21"/>
      <c r="ER2" s="21"/>
      <c r="ES2" s="181"/>
      <c r="EU2" s="384" t="s">
        <v>156</v>
      </c>
      <c r="EV2" s="382"/>
      <c r="EW2" s="382"/>
      <c r="EX2" s="382"/>
      <c r="EY2" s="382"/>
      <c r="EZ2" s="393"/>
    </row>
    <row r="3" spans="1:197" x14ac:dyDescent="0.3">
      <c r="B3" s="221" t="str">
        <f>'User Interface'!C8</f>
        <v>Extreme Winter</v>
      </c>
      <c r="D3" s="221" t="str">
        <f>'User Interface'!G8</f>
        <v>Large - 279 sq m (3000 sq ft)</v>
      </c>
      <c r="E3" s="21"/>
      <c r="G3" s="267" t="s">
        <v>264</v>
      </c>
      <c r="H3" s="136"/>
      <c r="I3" s="216" t="s">
        <v>265</v>
      </c>
      <c r="J3" s="136"/>
      <c r="K3" s="238" t="s">
        <v>266</v>
      </c>
      <c r="L3" s="136"/>
      <c r="M3" s="21"/>
      <c r="N3" s="266" t="s">
        <v>264</v>
      </c>
      <c r="O3" s="136"/>
      <c r="P3" s="216" t="s">
        <v>265</v>
      </c>
      <c r="Q3" s="136"/>
      <c r="R3" s="238" t="s">
        <v>266</v>
      </c>
      <c r="S3" s="136"/>
      <c r="T3" s="21"/>
      <c r="U3" s="266" t="s">
        <v>264</v>
      </c>
      <c r="V3" s="136"/>
      <c r="W3" s="216" t="s">
        <v>265</v>
      </c>
      <c r="X3" s="136"/>
      <c r="Y3" s="238" t="s">
        <v>266</v>
      </c>
      <c r="Z3" s="136"/>
      <c r="AA3" s="21"/>
      <c r="AB3" s="266" t="s">
        <v>264</v>
      </c>
      <c r="AC3" s="136"/>
      <c r="AD3" s="216" t="s">
        <v>265</v>
      </c>
      <c r="AE3" s="136"/>
      <c r="AF3" s="238" t="s">
        <v>266</v>
      </c>
      <c r="AG3" s="136"/>
      <c r="AH3" s="21"/>
      <c r="AI3" s="266" t="s">
        <v>264</v>
      </c>
      <c r="AJ3" s="136"/>
      <c r="AK3" s="216" t="s">
        <v>265</v>
      </c>
      <c r="AL3" s="136"/>
      <c r="AM3" s="238" t="s">
        <v>266</v>
      </c>
      <c r="AN3" s="136"/>
      <c r="AO3" s="21"/>
      <c r="AP3" s="266" t="s">
        <v>264</v>
      </c>
      <c r="AQ3" s="136"/>
      <c r="AR3" s="216" t="s">
        <v>265</v>
      </c>
      <c r="AS3" s="136"/>
      <c r="AT3" s="238" t="s">
        <v>266</v>
      </c>
      <c r="AU3" s="136"/>
      <c r="AV3" s="21"/>
      <c r="AW3" s="373" t="s">
        <v>219</v>
      </c>
      <c r="AX3" s="374"/>
      <c r="AY3" s="21"/>
      <c r="AZ3" s="373" t="s">
        <v>218</v>
      </c>
      <c r="BA3" s="388"/>
      <c r="BC3" s="267" t="s">
        <v>264</v>
      </c>
      <c r="BD3" s="136"/>
      <c r="BE3" s="216" t="s">
        <v>265</v>
      </c>
      <c r="BF3" s="136"/>
      <c r="BG3" s="238" t="s">
        <v>266</v>
      </c>
      <c r="BH3" s="136"/>
      <c r="BI3" s="21"/>
      <c r="BJ3" s="266" t="s">
        <v>264</v>
      </c>
      <c r="BK3" s="136"/>
      <c r="BL3" s="216" t="s">
        <v>265</v>
      </c>
      <c r="BM3" s="136"/>
      <c r="BN3" s="238" t="s">
        <v>266</v>
      </c>
      <c r="BO3" s="136"/>
      <c r="BP3" s="21"/>
      <c r="BQ3" s="266" t="s">
        <v>264</v>
      </c>
      <c r="BR3" s="136"/>
      <c r="BS3" s="216" t="s">
        <v>265</v>
      </c>
      <c r="BT3" s="136"/>
      <c r="BU3" s="238" t="s">
        <v>266</v>
      </c>
      <c r="BV3" s="136"/>
      <c r="BW3" s="21"/>
      <c r="BX3" s="266" t="s">
        <v>264</v>
      </c>
      <c r="BY3" s="136"/>
      <c r="BZ3" s="216" t="s">
        <v>265</v>
      </c>
      <c r="CA3" s="136"/>
      <c r="CB3" s="238" t="s">
        <v>266</v>
      </c>
      <c r="CC3" s="136"/>
      <c r="CD3" s="21"/>
      <c r="CE3" s="266" t="s">
        <v>264</v>
      </c>
      <c r="CF3" s="136"/>
      <c r="CG3" s="216" t="s">
        <v>265</v>
      </c>
      <c r="CH3" s="136"/>
      <c r="CI3" s="238" t="s">
        <v>266</v>
      </c>
      <c r="CJ3" s="136"/>
      <c r="CK3" s="21"/>
      <c r="CL3" s="266" t="s">
        <v>264</v>
      </c>
      <c r="CM3" s="136"/>
      <c r="CN3" s="216" t="s">
        <v>265</v>
      </c>
      <c r="CO3" s="136"/>
      <c r="CP3" s="238" t="s">
        <v>266</v>
      </c>
      <c r="CQ3" s="136"/>
      <c r="CR3" s="21"/>
      <c r="CS3" s="373" t="s">
        <v>219</v>
      </c>
      <c r="CT3" s="374"/>
      <c r="CU3" s="21"/>
      <c r="CV3" s="373" t="s">
        <v>218</v>
      </c>
      <c r="CW3" s="388"/>
      <c r="CY3" s="267" t="s">
        <v>264</v>
      </c>
      <c r="CZ3" s="136"/>
      <c r="DA3" s="216" t="s">
        <v>265</v>
      </c>
      <c r="DB3" s="136"/>
      <c r="DC3" s="238" t="s">
        <v>266</v>
      </c>
      <c r="DD3" s="136"/>
      <c r="DE3" s="21"/>
      <c r="DF3" s="266" t="s">
        <v>264</v>
      </c>
      <c r="DG3" s="136"/>
      <c r="DH3" s="216" t="s">
        <v>265</v>
      </c>
      <c r="DI3" s="136"/>
      <c r="DJ3" s="238" t="s">
        <v>266</v>
      </c>
      <c r="DK3" s="136"/>
      <c r="DL3" s="21"/>
      <c r="DM3" s="266" t="s">
        <v>264</v>
      </c>
      <c r="DN3" s="136"/>
      <c r="DO3" s="216" t="s">
        <v>265</v>
      </c>
      <c r="DP3" s="136"/>
      <c r="DQ3" s="238" t="s">
        <v>266</v>
      </c>
      <c r="DR3" s="136"/>
      <c r="DS3" s="21"/>
      <c r="DT3" s="266" t="s">
        <v>264</v>
      </c>
      <c r="DU3" s="136"/>
      <c r="DV3" s="216" t="s">
        <v>265</v>
      </c>
      <c r="DW3" s="136"/>
      <c r="DX3" s="238" t="s">
        <v>266</v>
      </c>
      <c r="DY3" s="136"/>
      <c r="DZ3" s="21"/>
      <c r="EA3" s="266" t="s">
        <v>264</v>
      </c>
      <c r="EB3" s="136"/>
      <c r="EC3" s="216" t="s">
        <v>265</v>
      </c>
      <c r="ED3" s="136"/>
      <c r="EE3" s="238" t="s">
        <v>266</v>
      </c>
      <c r="EF3" s="136"/>
      <c r="EG3" s="21"/>
      <c r="EH3" s="266" t="s">
        <v>264</v>
      </c>
      <c r="EI3" s="136"/>
      <c r="EJ3" s="216" t="s">
        <v>265</v>
      </c>
      <c r="EK3" s="136"/>
      <c r="EL3" s="238" t="s">
        <v>266</v>
      </c>
      <c r="EM3" s="136"/>
      <c r="EN3" s="21"/>
      <c r="EO3" s="373" t="s">
        <v>219</v>
      </c>
      <c r="EP3" s="374"/>
      <c r="EQ3" s="21"/>
      <c r="ER3" s="373" t="s">
        <v>218</v>
      </c>
      <c r="ES3" s="388"/>
      <c r="EU3" s="302" t="s">
        <v>264</v>
      </c>
      <c r="EV3" s="136"/>
      <c r="EW3" s="216" t="s">
        <v>265</v>
      </c>
      <c r="EX3" s="136"/>
      <c r="EY3" s="238" t="s">
        <v>266</v>
      </c>
      <c r="EZ3" s="303"/>
    </row>
    <row r="4" spans="1:197" x14ac:dyDescent="0.3">
      <c r="G4" s="190" t="s">
        <v>217</v>
      </c>
      <c r="H4" s="206" t="s">
        <v>9</v>
      </c>
      <c r="I4" s="203" t="s">
        <v>217</v>
      </c>
      <c r="J4" s="204" t="s">
        <v>9</v>
      </c>
      <c r="K4" s="203" t="s">
        <v>217</v>
      </c>
      <c r="L4" s="206" t="s">
        <v>9</v>
      </c>
      <c r="M4" s="21"/>
      <c r="N4" s="203" t="s">
        <v>217</v>
      </c>
      <c r="O4" s="206" t="s">
        <v>9</v>
      </c>
      <c r="P4" s="203" t="s">
        <v>217</v>
      </c>
      <c r="Q4" s="204" t="s">
        <v>9</v>
      </c>
      <c r="R4" s="203" t="s">
        <v>217</v>
      </c>
      <c r="S4" s="206" t="s">
        <v>9</v>
      </c>
      <c r="T4" s="21"/>
      <c r="U4" s="203" t="s">
        <v>217</v>
      </c>
      <c r="V4" s="206" t="s">
        <v>9</v>
      </c>
      <c r="W4" s="203" t="s">
        <v>217</v>
      </c>
      <c r="X4" s="204" t="s">
        <v>9</v>
      </c>
      <c r="Y4" s="203" t="s">
        <v>217</v>
      </c>
      <c r="Z4" s="206" t="s">
        <v>9</v>
      </c>
      <c r="AA4" s="21"/>
      <c r="AB4" s="203" t="s">
        <v>217</v>
      </c>
      <c r="AC4" s="206" t="s">
        <v>9</v>
      </c>
      <c r="AD4" s="203" t="s">
        <v>217</v>
      </c>
      <c r="AE4" s="204" t="s">
        <v>9</v>
      </c>
      <c r="AF4" s="203" t="s">
        <v>217</v>
      </c>
      <c r="AG4" s="206" t="s">
        <v>9</v>
      </c>
      <c r="AH4" s="21"/>
      <c r="AI4" s="203" t="s">
        <v>217</v>
      </c>
      <c r="AJ4" s="206" t="s">
        <v>9</v>
      </c>
      <c r="AK4" s="203" t="s">
        <v>217</v>
      </c>
      <c r="AL4" s="204" t="s">
        <v>9</v>
      </c>
      <c r="AM4" s="203" t="s">
        <v>217</v>
      </c>
      <c r="AN4" s="206" t="s">
        <v>9</v>
      </c>
      <c r="AO4" s="21"/>
      <c r="AP4" s="203" t="s">
        <v>217</v>
      </c>
      <c r="AQ4" s="206" t="s">
        <v>9</v>
      </c>
      <c r="AR4" s="203" t="s">
        <v>217</v>
      </c>
      <c r="AS4" s="206" t="s">
        <v>9</v>
      </c>
      <c r="AT4" s="203" t="s">
        <v>217</v>
      </c>
      <c r="AU4" s="206" t="s">
        <v>9</v>
      </c>
      <c r="AV4" s="21"/>
      <c r="AW4" s="203" t="s">
        <v>217</v>
      </c>
      <c r="AX4" s="20" t="s">
        <v>9</v>
      </c>
      <c r="AY4" s="21"/>
      <c r="AZ4" s="203" t="s">
        <v>217</v>
      </c>
      <c r="BA4" s="181" t="s">
        <v>9</v>
      </c>
      <c r="BC4" s="190" t="s">
        <v>217</v>
      </c>
      <c r="BD4" s="206" t="s">
        <v>9</v>
      </c>
      <c r="BE4" s="203" t="s">
        <v>217</v>
      </c>
      <c r="BF4" s="204" t="s">
        <v>9</v>
      </c>
      <c r="BG4" s="203" t="s">
        <v>217</v>
      </c>
      <c r="BH4" s="206" t="s">
        <v>9</v>
      </c>
      <c r="BI4" s="21"/>
      <c r="BJ4" s="203" t="s">
        <v>217</v>
      </c>
      <c r="BK4" s="206" t="s">
        <v>9</v>
      </c>
      <c r="BL4" s="203" t="s">
        <v>217</v>
      </c>
      <c r="BM4" s="204" t="s">
        <v>9</v>
      </c>
      <c r="BN4" s="203" t="s">
        <v>217</v>
      </c>
      <c r="BO4" s="206" t="s">
        <v>9</v>
      </c>
      <c r="BP4" s="21"/>
      <c r="BQ4" s="203" t="s">
        <v>217</v>
      </c>
      <c r="BR4" s="206" t="s">
        <v>9</v>
      </c>
      <c r="BS4" s="203" t="s">
        <v>217</v>
      </c>
      <c r="BT4" s="204" t="s">
        <v>9</v>
      </c>
      <c r="BU4" s="203" t="s">
        <v>217</v>
      </c>
      <c r="BV4" s="206" t="s">
        <v>9</v>
      </c>
      <c r="BW4" s="21"/>
      <c r="BX4" s="203" t="s">
        <v>217</v>
      </c>
      <c r="BY4" s="206" t="s">
        <v>9</v>
      </c>
      <c r="BZ4" s="203" t="s">
        <v>217</v>
      </c>
      <c r="CA4" s="204" t="s">
        <v>9</v>
      </c>
      <c r="CB4" s="203" t="s">
        <v>217</v>
      </c>
      <c r="CC4" s="206" t="s">
        <v>9</v>
      </c>
      <c r="CD4" s="21"/>
      <c r="CE4" s="203" t="s">
        <v>217</v>
      </c>
      <c r="CF4" s="206" t="s">
        <v>9</v>
      </c>
      <c r="CG4" s="203" t="s">
        <v>217</v>
      </c>
      <c r="CH4" s="204" t="s">
        <v>9</v>
      </c>
      <c r="CI4" s="203" t="s">
        <v>217</v>
      </c>
      <c r="CJ4" s="206" t="s">
        <v>9</v>
      </c>
      <c r="CK4" s="21"/>
      <c r="CL4" s="203" t="s">
        <v>217</v>
      </c>
      <c r="CM4" s="206" t="s">
        <v>9</v>
      </c>
      <c r="CN4" s="203" t="s">
        <v>217</v>
      </c>
      <c r="CO4" s="206" t="s">
        <v>9</v>
      </c>
      <c r="CP4" s="203" t="s">
        <v>217</v>
      </c>
      <c r="CQ4" s="206" t="s">
        <v>9</v>
      </c>
      <c r="CR4" s="21"/>
      <c r="CS4" s="203" t="s">
        <v>217</v>
      </c>
      <c r="CT4" s="20" t="s">
        <v>9</v>
      </c>
      <c r="CU4" s="21"/>
      <c r="CV4" s="203" t="s">
        <v>217</v>
      </c>
      <c r="CW4" s="181" t="s">
        <v>9</v>
      </c>
      <c r="CY4" s="190" t="s">
        <v>217</v>
      </c>
      <c r="CZ4" s="206" t="s">
        <v>9</v>
      </c>
      <c r="DA4" s="203" t="s">
        <v>217</v>
      </c>
      <c r="DB4" s="204" t="s">
        <v>9</v>
      </c>
      <c r="DC4" s="203" t="s">
        <v>217</v>
      </c>
      <c r="DD4" s="206" t="s">
        <v>9</v>
      </c>
      <c r="DE4" s="21"/>
      <c r="DF4" s="203" t="s">
        <v>217</v>
      </c>
      <c r="DG4" s="206" t="s">
        <v>9</v>
      </c>
      <c r="DH4" s="203" t="s">
        <v>217</v>
      </c>
      <c r="DI4" s="204" t="s">
        <v>9</v>
      </c>
      <c r="DJ4" s="203" t="s">
        <v>217</v>
      </c>
      <c r="DK4" s="206" t="s">
        <v>9</v>
      </c>
      <c r="DL4" s="21"/>
      <c r="DM4" s="203" t="s">
        <v>217</v>
      </c>
      <c r="DN4" s="206" t="s">
        <v>9</v>
      </c>
      <c r="DO4" s="203" t="s">
        <v>217</v>
      </c>
      <c r="DP4" s="204" t="s">
        <v>9</v>
      </c>
      <c r="DQ4" s="203" t="s">
        <v>217</v>
      </c>
      <c r="DR4" s="206" t="s">
        <v>9</v>
      </c>
      <c r="DS4" s="21"/>
      <c r="DT4" s="203" t="s">
        <v>217</v>
      </c>
      <c r="DU4" s="206" t="s">
        <v>9</v>
      </c>
      <c r="DV4" s="203" t="s">
        <v>217</v>
      </c>
      <c r="DW4" s="204" t="s">
        <v>9</v>
      </c>
      <c r="DX4" s="203" t="s">
        <v>217</v>
      </c>
      <c r="DY4" s="206" t="s">
        <v>9</v>
      </c>
      <c r="DZ4" s="21"/>
      <c r="EA4" s="203" t="s">
        <v>217</v>
      </c>
      <c r="EB4" s="206" t="s">
        <v>9</v>
      </c>
      <c r="EC4" s="203" t="s">
        <v>217</v>
      </c>
      <c r="ED4" s="204" t="s">
        <v>9</v>
      </c>
      <c r="EE4" s="203" t="s">
        <v>217</v>
      </c>
      <c r="EF4" s="206" t="s">
        <v>9</v>
      </c>
      <c r="EG4" s="21"/>
      <c r="EH4" s="203" t="s">
        <v>217</v>
      </c>
      <c r="EI4" s="206" t="s">
        <v>9</v>
      </c>
      <c r="EJ4" s="203" t="s">
        <v>217</v>
      </c>
      <c r="EK4" s="206" t="s">
        <v>9</v>
      </c>
      <c r="EL4" s="203" t="s">
        <v>217</v>
      </c>
      <c r="EM4" s="206" t="s">
        <v>9</v>
      </c>
      <c r="EN4" s="21"/>
      <c r="EO4" s="203" t="s">
        <v>217</v>
      </c>
      <c r="EP4" s="20" t="s">
        <v>9</v>
      </c>
      <c r="EQ4" s="21"/>
      <c r="ER4" s="203" t="s">
        <v>217</v>
      </c>
      <c r="ES4" s="181" t="s">
        <v>9</v>
      </c>
      <c r="EU4" s="304" t="s">
        <v>217</v>
      </c>
      <c r="EV4" s="206" t="s">
        <v>9</v>
      </c>
      <c r="EW4" s="203" t="s">
        <v>217</v>
      </c>
      <c r="EX4" s="204" t="s">
        <v>9</v>
      </c>
      <c r="EY4" s="203" t="s">
        <v>217</v>
      </c>
      <c r="EZ4" s="305" t="s">
        <v>9</v>
      </c>
    </row>
    <row r="5" spans="1:197" ht="28.8" x14ac:dyDescent="0.3">
      <c r="A5" s="164" t="s">
        <v>217</v>
      </c>
      <c r="B5" s="220" t="s">
        <v>260</v>
      </c>
      <c r="C5" s="220" t="s">
        <v>261</v>
      </c>
      <c r="D5" s="220" t="s">
        <v>262</v>
      </c>
      <c r="E5" s="307" t="s">
        <v>307</v>
      </c>
      <c r="G5" s="260">
        <v>0</v>
      </c>
      <c r="H5" s="211"/>
      <c r="I5" s="110">
        <v>0</v>
      </c>
      <c r="J5" s="211"/>
      <c r="K5" s="110">
        <v>0</v>
      </c>
      <c r="L5" s="211"/>
      <c r="M5" s="21"/>
      <c r="N5" s="110">
        <v>0</v>
      </c>
      <c r="O5" s="209"/>
      <c r="P5" s="110">
        <v>0</v>
      </c>
      <c r="Q5" s="209"/>
      <c r="R5" s="110">
        <v>0</v>
      </c>
      <c r="S5" s="211"/>
      <c r="T5" s="21"/>
      <c r="U5" s="110">
        <v>0</v>
      </c>
      <c r="V5" s="209"/>
      <c r="W5" s="110">
        <v>0</v>
      </c>
      <c r="X5" s="209"/>
      <c r="Y5" s="110">
        <v>0</v>
      </c>
      <c r="Z5" s="211"/>
      <c r="AA5" s="21"/>
      <c r="AB5" s="110">
        <v>0</v>
      </c>
      <c r="AC5" s="209"/>
      <c r="AD5" s="110">
        <v>0</v>
      </c>
      <c r="AE5" s="209"/>
      <c r="AF5" s="110">
        <v>0</v>
      </c>
      <c r="AG5" s="211"/>
      <c r="AH5" s="21"/>
      <c r="AI5" s="110">
        <v>0</v>
      </c>
      <c r="AJ5" s="209"/>
      <c r="AK5" s="110">
        <v>0</v>
      </c>
      <c r="AL5" s="209"/>
      <c r="AM5" s="110">
        <v>0</v>
      </c>
      <c r="AN5" s="211"/>
      <c r="AO5" s="21"/>
      <c r="AP5" s="110">
        <v>0</v>
      </c>
      <c r="AQ5" s="209"/>
      <c r="AR5" s="110">
        <v>0</v>
      </c>
      <c r="AS5" s="209"/>
      <c r="AT5" s="110">
        <v>0</v>
      </c>
      <c r="AU5" s="211"/>
      <c r="AV5" s="21"/>
      <c r="AW5" s="110">
        <v>0</v>
      </c>
      <c r="AX5" s="211"/>
      <c r="AY5" s="21"/>
      <c r="AZ5" s="110">
        <v>0</v>
      </c>
      <c r="BA5" s="264"/>
      <c r="BC5" s="260">
        <v>0</v>
      </c>
      <c r="BD5" s="211"/>
      <c r="BE5" s="110">
        <v>0</v>
      </c>
      <c r="BF5" s="211"/>
      <c r="BG5" s="110">
        <v>0</v>
      </c>
      <c r="BH5" s="211"/>
      <c r="BI5" s="21"/>
      <c r="BJ5" s="110">
        <v>0</v>
      </c>
      <c r="BK5" s="209"/>
      <c r="BL5" s="110">
        <v>0</v>
      </c>
      <c r="BM5" s="209"/>
      <c r="BN5" s="110">
        <v>0</v>
      </c>
      <c r="BO5" s="211"/>
      <c r="BP5" s="21"/>
      <c r="BQ5" s="110">
        <v>0</v>
      </c>
      <c r="BR5" s="209"/>
      <c r="BS5" s="110">
        <v>0</v>
      </c>
      <c r="BT5" s="209"/>
      <c r="BU5" s="110">
        <v>0</v>
      </c>
      <c r="BV5" s="211"/>
      <c r="BW5" s="21"/>
      <c r="BX5" s="110">
        <v>0</v>
      </c>
      <c r="BY5" s="209"/>
      <c r="BZ5" s="110">
        <v>0</v>
      </c>
      <c r="CA5" s="209"/>
      <c r="CB5" s="110">
        <v>0</v>
      </c>
      <c r="CC5" s="211"/>
      <c r="CD5" s="21"/>
      <c r="CE5" s="110">
        <v>0</v>
      </c>
      <c r="CF5" s="209"/>
      <c r="CG5" s="110">
        <v>0</v>
      </c>
      <c r="CH5" s="209"/>
      <c r="CI5" s="110">
        <v>0</v>
      </c>
      <c r="CJ5" s="211"/>
      <c r="CK5" s="21"/>
      <c r="CL5" s="110">
        <v>0</v>
      </c>
      <c r="CM5" s="209"/>
      <c r="CN5" s="110">
        <v>0</v>
      </c>
      <c r="CO5" s="209"/>
      <c r="CP5" s="110">
        <v>0</v>
      </c>
      <c r="CQ5" s="211"/>
      <c r="CR5" s="21"/>
      <c r="CS5" s="110">
        <v>0</v>
      </c>
      <c r="CT5" s="211"/>
      <c r="CU5" s="21"/>
      <c r="CV5" s="110">
        <v>0</v>
      </c>
      <c r="CW5" s="264"/>
      <c r="CY5" s="260">
        <v>0</v>
      </c>
      <c r="CZ5" s="178"/>
      <c r="DA5" s="110">
        <v>0</v>
      </c>
      <c r="DB5" s="263"/>
      <c r="DC5" s="110">
        <v>0</v>
      </c>
      <c r="DD5" s="211"/>
      <c r="DE5" s="21"/>
      <c r="DF5" s="110">
        <v>0</v>
      </c>
      <c r="DG5" s="209"/>
      <c r="DH5" s="110">
        <v>0</v>
      </c>
      <c r="DI5" s="209"/>
      <c r="DJ5" s="110">
        <v>0</v>
      </c>
      <c r="DK5" s="211"/>
      <c r="DL5" s="21"/>
      <c r="DM5" s="110">
        <v>0</v>
      </c>
      <c r="DN5" s="209"/>
      <c r="DO5" s="110">
        <v>0</v>
      </c>
      <c r="DP5" s="209"/>
      <c r="DQ5" s="110">
        <v>0</v>
      </c>
      <c r="DR5" s="211"/>
      <c r="DS5" s="21"/>
      <c r="DT5" s="110">
        <v>0</v>
      </c>
      <c r="DU5" s="209"/>
      <c r="DV5" s="110">
        <v>0</v>
      </c>
      <c r="DW5" s="209"/>
      <c r="DX5" s="110">
        <v>0</v>
      </c>
      <c r="DY5" s="211"/>
      <c r="DZ5" s="21"/>
      <c r="EA5" s="110">
        <v>0</v>
      </c>
      <c r="EB5" s="209">
        <f>IF('Temperature Profiles'!AA4&gt;18,(0.0018*('Temperature Profiles'!AA4^2)-(0.0475*'Temperature Profiles'!AA4)+0.3123)*1000,IF(AND('Temperature Profiles'!AA4&lt;17,'Temperature Profiles'!AA4&gt;-5.6),(0.0021*('Temperature Profiles'!AA4^2)-(0.0919*'Temperature Profiles'!AA4)+1.0491)*1000,IF(AND('Temperature Profiles'!AA4&lt;-5.6,'Temperature Profiles'!AA4&gt;-11.4),(((-0.2925*'Temperature Profiles'!AA4)-1.6914)*1000)+EB$208,IF('Temperature Profiles'!AA4&lt;-11.4,EB108,0))))</f>
        <v>6900</v>
      </c>
      <c r="EC5" s="110">
        <v>0</v>
      </c>
      <c r="ED5" s="209">
        <f>IF('Temperature Profiles'!AA4&gt;18,(0.0034*('Temperature Profiles'!AA4^2)-(0.087*'Temperature Profiles'!AA4)+0.5117)*1000,IF(AND('Temperature Profiles'!AA4&lt;17,'Temperature Profiles'!AA4&gt;-4.4),(0.0027*('Temperature Profiles'!AA4^2)-(0.149*'Temperature Profiles'!AA4)+1.7779)*1000,IF(AND('Temperature Profiles'!AA4&lt;-4.4,'Temperature Profiles'!AA4&gt;-8.5),(((-0.5391*'Temperature Profiles'!AA4)-2.0906)*1000)+ED$208,IF('Temperature Profiles'!AA4&lt;-8.5,ED108,0))))</f>
        <v>12300</v>
      </c>
      <c r="EE5" s="110">
        <v>0</v>
      </c>
      <c r="EF5" s="211">
        <f>IF('Temperature Profiles'!AA4&gt;18,(0.0048*('Temperature Profiles'!AA4^2)-(0.1352*'Temperature Profiles'!AA4)+0.9193)*1000,IF(AND('Temperature Profiles'!AA4&lt;17,'Temperature Profiles'!AA4&gt;-4.4),(0.0031*('Temperature Profiles'!AA4^2)-(0.2029*'Temperature Profiles'!AA4)+2.4264)*1000,IF(AND('Temperature Profiles'!AA4&lt;-4.4,'Temperature Profiles'!AA4&gt;-8.5),(((-0.7516*'Temperature Profiles'!AA4)-2.9985)*1000)+EF$208,IF('Temperature Profiles'!AA4&lt;-8.5,EF108,0))))</f>
        <v>16000</v>
      </c>
      <c r="EG5" s="21"/>
      <c r="EH5" s="110">
        <v>0</v>
      </c>
      <c r="EI5" s="211"/>
      <c r="EJ5" s="110">
        <v>0</v>
      </c>
      <c r="EK5" s="211"/>
      <c r="EL5" s="110">
        <v>0</v>
      </c>
      <c r="EM5" s="211"/>
      <c r="EN5" s="21"/>
      <c r="EO5" s="110">
        <v>0</v>
      </c>
      <c r="EP5" s="211"/>
      <c r="EQ5" s="21"/>
      <c r="ER5" s="110">
        <v>0</v>
      </c>
      <c r="ES5" s="264"/>
      <c r="EU5" s="260">
        <v>0</v>
      </c>
      <c r="EV5" s="209">
        <f>IF('Temperature Profiles'!AA4&gt;18,(0.0018*('Temperature Profiles'!AA4^2)-(0.0475*'Temperature Profiles'!AA4)+0.3123)*1000,IF(AND('Temperature Profiles'!AA4&lt;17,'Temperature Profiles'!AA4&gt;-5.6),(0.0021*('Temperature Profiles'!AA4^2)-(0.0919*'Temperature Profiles'!AA4)+1.0491)*1000,IF(AND('Temperature Profiles'!AA4&lt;-5.6,'Temperature Profiles'!AA4&gt;-11.4),EV$208,IF('Temperature Profiles'!AA4&lt;-11.4,EV108,0))))</f>
        <v>5400</v>
      </c>
      <c r="EW5" s="110">
        <v>0</v>
      </c>
      <c r="EX5" s="209">
        <f>IF('Temperature Profiles'!AA4&gt;18,(0.0034*('Temperature Profiles'!AA4^2)-(0.087*'Temperature Profiles'!AA4)+0.5117)*1000,IF(AND('Temperature Profiles'!AA4&lt;17,'Temperature Profiles'!AA4&gt;-4.4),(0.0027*('Temperature Profiles'!AA4^2)-(0.149*'Temperature Profiles'!AA4)+1.7779)*1000,IF(AND('Temperature Profiles'!AA4&lt;-4.4,'Temperature Profiles'!AA4&gt;-8.5),EX$208,IF('Temperature Profiles'!AA4&lt;-8.5,EX108,0))))</f>
        <v>5400</v>
      </c>
      <c r="EY5" s="110">
        <v>0</v>
      </c>
      <c r="EZ5" s="264">
        <f>IF('Temperature Profiles'!AA4&gt;18,(0.0048*('Temperature Profiles'!AA4^2)-(0.1352*'Temperature Profiles'!AA4)+0.9193)*1000,IF(AND('Temperature Profiles'!AA4&lt;17,'Temperature Profiles'!AA4&gt;-4.4),(0.0031*('Temperature Profiles'!AA4^2)-(0.2029*'Temperature Profiles'!AA4)+2.4264)*1000,IF(AND('Temperature Profiles'!AA4&lt;-4.4,'Temperature Profiles'!AA4&gt;-8.5),EZ$208,IF('Temperature Profiles'!AA4&lt;-8.5,EZ108,0))))</f>
        <v>5400</v>
      </c>
    </row>
    <row r="6" spans="1:197" x14ac:dyDescent="0.3">
      <c r="A6" s="108">
        <v>0</v>
      </c>
      <c r="B6" s="223">
        <f t="shared" ref="B6:B37" si="0">IF(AND($B$3=$G$2,$D$3=$G$3),H5,IF(AND($B$3=$G$2,$D$3=$I$3),J5,IF(AND($B$3=$G$2,$D$3=$K$3),L5,IF(AND($B$3=$N$2,$D$3=$N$3),O5,IF(AND($B$3=$N$2,$D$3=$P$3),Q5,IF(AND($B$3=$N$2,$D$3=$R$3),S5,IF(AND($B$3=$U$2,$D$3=$U$3),V5,IF(AND($B$3=$U$2,$D$3=$W$3),X5,IF(AND($B$3=$U$2,$D$3=$Y$3),Z5,IF(AND($B$3=$AB$2,$D$3=$AB$3),AC5,IF(AND($B$3=$AB$2,$D$3=$AD$3),AE5,IF(AND($B$3=$AB$2,$D$3=$AF$3),AG5,IF(AND($B$3=$AI$2,$D$3=$AI$3),AJ5,IF(AND($B$3=$AI$2,$D$3=$AK$3),AL5,IF(AND($B$3=$AI$2,$D$3=$AM$3),AN5,IF(AND($B$3=$AP$2,$D$3=$AP$3),AQ5,IF(AND($B$3=$AP$2,$D$3=$AR$3),AS5,IF(AND($B$3=$AP$2,$D$3=$AT$3),AU5,IF($B$3=$AW$3,AX5,IF($B$3=$AZ$3,BA5,0))))))))))))))))))))</f>
        <v>0</v>
      </c>
      <c r="C6" s="224">
        <f t="shared" ref="C6:C37" si="1">IF(AND($B$3=$BC$2,$D$3=$BC$3),BD5,IF(AND($B$3=$BC$2,$D$3=$BE$3),BF5,IF(AND($B$3=$BC$2,$D$3=$BG$3),BH5,IF(AND($B$3=$BJ$2,$D$3=$BJ$3),BK5,IF(AND($B$3=$BJ$2,$D$3=$BL$3),BM5,IF(AND($B$3=$BJ$2,$D$3=$BN$3),BO5,IF(AND($B$3=$BQ$2,$D$3=$BQ$3),BR5,IF(AND($B$3=$BQ$2,$D$3=$BS$3),BT5,IF(AND($B$3=$BQ$2,$D$3=$BU$3),BV5,IF(AND($B$3=$BX$2,$D$3=$BX$3),BY5,IF(AND($B$3=$BX$2,$D$3=$BZ$3),CA5,IF(AND($B$3=$BX$2,$D$3=$CB$3),CC5,IF(AND($B$3=$CE$2,$D$3=$CE$3),CF5,IF(AND($B$3=$CE$2,$D$3=$CG$3),CH5,IF(AND($B$3=$CE$2,$D$3=$CI$3),CJ5,IF(AND($B$3=$CL$2,$D$3=$CL$3),CM5,IF(AND($B$3=$CL$2,$D$3=$CN$3),CO5,IF(AND($B$3=$CL$2,$D$3=$CP$3),CQ5,IF($B$3=$CS$3,CT5,IF($B$3=$CV$3,CW5,0))))))))))))))))))))</f>
        <v>0</v>
      </c>
      <c r="D6" s="224">
        <f t="shared" ref="D6:D37" si="2">IF(AND($B$3=$CY$2,$D$3=$CY$3),CZ5,IF(AND($B$3=$CY$2,$D$3=$DA$3),DB5,IF(AND($B$3=$CY$2,$D$3=$DC$3),DD5,IF(AND($B$3=$DF$2,$D$3=$DF$3),DG5,IF(AND($B$3=$DF$2,$D$3=$DH$3),DI5,IF(AND($B$3=$DF$2,$D$3=$DJ$3),DK5,IF(AND($B$3=$DM$2,$D$3=$DM$3),DN5,IF(AND($B$3=$DM$2,$D$3=$DO$3),DP5,IF(AND($B$3=$DM$2,$D$3=$DQ$3),DR5,IF(AND($B$3=$DT$2,$D$3=$DT$3),DU5,IF(AND($B$3=$DT$2,$D$3=$DV$3),DW5,IF(AND($B$3=$DT$2,$D$3=$DX$3),DY5,IF(AND($B$3=$EA$2,$D$3=$EA$3),EB5,IF(AND($B$3=$EA$2,$D$3=$EC$3),ED5,IF(AND($B$3=$EA$2,$D$3=$EE$3),EF5,IF(AND($B$3=$EH$2,$D$3=$EH$3),EI5,IF(AND($B$3=$EH$2,$D$3=$EJ$3),EK5,IF(AND($B$3=$EH$2,$D$3=$EL$3),EM5,IF($B$3=$EO$3,EP5,IF($B$3=$ER$3,ES5,0))))))))))))))))))))</f>
        <v>16000</v>
      </c>
      <c r="E6" s="225">
        <f>IF(AND($B$3=$EU$2,$D$3=$EU$3),EV5,IF(AND($B$3=$EU$2,$D$3=$EW$3),EX5,IF(AND($B$3=$EU$2,$D$3=$EY$3),EZ5,0)))</f>
        <v>5400</v>
      </c>
      <c r="G6" s="260">
        <v>1.0416666666666666E-2</v>
      </c>
      <c r="H6" s="211"/>
      <c r="I6" s="110">
        <v>1.0416666666666666E-2</v>
      </c>
      <c r="J6" s="211"/>
      <c r="K6" s="110">
        <v>1.0416666666666666E-2</v>
      </c>
      <c r="L6" s="211"/>
      <c r="M6" s="21"/>
      <c r="N6" s="110">
        <v>1.0416666666666666E-2</v>
      </c>
      <c r="O6" s="209"/>
      <c r="P6" s="110">
        <v>1.0416666666666666E-2</v>
      </c>
      <c r="Q6" s="209"/>
      <c r="R6" s="110">
        <v>1.0416666666666666E-2</v>
      </c>
      <c r="S6" s="211"/>
      <c r="T6" s="21"/>
      <c r="U6" s="110">
        <v>1.0416666666666666E-2</v>
      </c>
      <c r="V6" s="209"/>
      <c r="W6" s="110">
        <v>1.0416666666666666E-2</v>
      </c>
      <c r="X6" s="209"/>
      <c r="Y6" s="110">
        <v>1.0416666666666666E-2</v>
      </c>
      <c r="Z6" s="211"/>
      <c r="AA6" s="21"/>
      <c r="AB6" s="110">
        <v>1.0416666666666666E-2</v>
      </c>
      <c r="AC6" s="209"/>
      <c r="AD6" s="110">
        <v>1.0416666666666666E-2</v>
      </c>
      <c r="AE6" s="209"/>
      <c r="AF6" s="110">
        <v>1.0416666666666666E-2</v>
      </c>
      <c r="AG6" s="211"/>
      <c r="AH6" s="21"/>
      <c r="AI6" s="110">
        <v>1.0416666666666666E-2</v>
      </c>
      <c r="AJ6" s="209"/>
      <c r="AK6" s="110">
        <v>1.0416666666666666E-2</v>
      </c>
      <c r="AL6" s="209"/>
      <c r="AM6" s="110">
        <v>1.0416666666666666E-2</v>
      </c>
      <c r="AN6" s="211"/>
      <c r="AO6" s="21"/>
      <c r="AP6" s="110">
        <v>1.0416666666666666E-2</v>
      </c>
      <c r="AQ6" s="209"/>
      <c r="AR6" s="110">
        <v>1.0416666666666666E-2</v>
      </c>
      <c r="AS6" s="209"/>
      <c r="AT6" s="110">
        <v>1.0416666666666666E-2</v>
      </c>
      <c r="AU6" s="211"/>
      <c r="AV6" s="21"/>
      <c r="AW6" s="110">
        <v>1.0416666666666666E-2</v>
      </c>
      <c r="AX6" s="211"/>
      <c r="AY6" s="21"/>
      <c r="AZ6" s="110">
        <v>1.0416666666666666E-2</v>
      </c>
      <c r="BA6" s="264"/>
      <c r="BC6" s="260">
        <v>1.0416666666666666E-2</v>
      </c>
      <c r="BD6" s="211"/>
      <c r="BE6" s="110">
        <v>1.0416666666666666E-2</v>
      </c>
      <c r="BF6" s="211"/>
      <c r="BG6" s="110">
        <v>1.0416666666666666E-2</v>
      </c>
      <c r="BH6" s="211"/>
      <c r="BI6" s="21"/>
      <c r="BJ6" s="110">
        <v>1.0416666666666666E-2</v>
      </c>
      <c r="BK6" s="209"/>
      <c r="BL6" s="110">
        <v>1.0416666666666666E-2</v>
      </c>
      <c r="BM6" s="209"/>
      <c r="BN6" s="110">
        <v>1.0416666666666666E-2</v>
      </c>
      <c r="BO6" s="211"/>
      <c r="BP6" s="21"/>
      <c r="BQ6" s="110">
        <v>1.0416666666666666E-2</v>
      </c>
      <c r="BR6" s="209"/>
      <c r="BS6" s="110">
        <v>1.0416666666666666E-2</v>
      </c>
      <c r="BT6" s="209"/>
      <c r="BU6" s="110">
        <v>1.0416666666666666E-2</v>
      </c>
      <c r="BV6" s="211"/>
      <c r="BW6" s="21"/>
      <c r="BX6" s="110">
        <v>1.0416666666666666E-2</v>
      </c>
      <c r="BY6" s="209"/>
      <c r="BZ6" s="110">
        <v>1.0416666666666666E-2</v>
      </c>
      <c r="CA6" s="209"/>
      <c r="CB6" s="110">
        <v>1.0416666666666666E-2</v>
      </c>
      <c r="CC6" s="211"/>
      <c r="CD6" s="186"/>
      <c r="CE6" s="110">
        <v>1.0416666666666666E-2</v>
      </c>
      <c r="CF6" s="209"/>
      <c r="CG6" s="110">
        <v>1.0416666666666666E-2</v>
      </c>
      <c r="CH6" s="209"/>
      <c r="CI6" s="110">
        <v>1.0416666666666666E-2</v>
      </c>
      <c r="CJ6" s="211"/>
      <c r="CK6" s="21"/>
      <c r="CL6" s="110">
        <v>1.0416666666666666E-2</v>
      </c>
      <c r="CM6" s="209"/>
      <c r="CN6" s="110">
        <v>1.0416666666666666E-2</v>
      </c>
      <c r="CO6" s="209"/>
      <c r="CP6" s="110">
        <v>1.0416666666666666E-2</v>
      </c>
      <c r="CQ6" s="211"/>
      <c r="CR6" s="21"/>
      <c r="CS6" s="110">
        <v>1.0416666666666666E-2</v>
      </c>
      <c r="CT6" s="211"/>
      <c r="CU6" s="21"/>
      <c r="CV6" s="110">
        <v>1.0416666666666666E-2</v>
      </c>
      <c r="CW6" s="264"/>
      <c r="CY6" s="260">
        <v>1.0416666666666666E-2</v>
      </c>
      <c r="CZ6" s="178"/>
      <c r="DA6" s="110">
        <v>1.0416666666666666E-2</v>
      </c>
      <c r="DB6" s="263"/>
      <c r="DC6" s="110">
        <v>1.0416666666666666E-2</v>
      </c>
      <c r="DD6" s="211"/>
      <c r="DE6" s="21"/>
      <c r="DF6" s="110">
        <v>1.0416666666666666E-2</v>
      </c>
      <c r="DG6" s="209"/>
      <c r="DH6" s="110">
        <v>1.0416666666666666E-2</v>
      </c>
      <c r="DI6" s="209"/>
      <c r="DJ6" s="110">
        <v>1.0416666666666666E-2</v>
      </c>
      <c r="DK6" s="211"/>
      <c r="DL6" s="21"/>
      <c r="DM6" s="110">
        <v>1.0416666666666666E-2</v>
      </c>
      <c r="DN6" s="209"/>
      <c r="DO6" s="110">
        <v>1.0416666666666666E-2</v>
      </c>
      <c r="DP6" s="209"/>
      <c r="DQ6" s="110">
        <v>1.0416666666666666E-2</v>
      </c>
      <c r="DR6" s="211"/>
      <c r="DS6" s="21"/>
      <c r="DT6" s="110">
        <v>1.0416666666666666E-2</v>
      </c>
      <c r="DU6" s="209"/>
      <c r="DV6" s="110">
        <v>1.0416666666666666E-2</v>
      </c>
      <c r="DW6" s="209"/>
      <c r="DX6" s="110">
        <v>1.0416666666666666E-2</v>
      </c>
      <c r="DY6" s="211"/>
      <c r="DZ6" s="21"/>
      <c r="EA6" s="110">
        <v>1.0416666666666666E-2</v>
      </c>
      <c r="EB6" s="209">
        <f>IF('Temperature Profiles'!AA5&gt;18,(0.0018*('Temperature Profiles'!AA5^2)-(0.0475*'Temperature Profiles'!AA5)+0.3123)*1000,IF(AND('Temperature Profiles'!AA5&lt;17,'Temperature Profiles'!AA5&gt;-5.6),(0.0021*('Temperature Profiles'!AA5^2)-(0.0919*'Temperature Profiles'!AA5)+1.0491)*1000,IF(AND('Temperature Profiles'!AA5&lt;-5.6,'Temperature Profiles'!AA5&gt;-11.4),(((-0.2925*'Temperature Profiles'!AA5)-1.6914)*1000)+EB$208,IF('Temperature Profiles'!AA5&lt;-11.4,EB109,0))))</f>
        <v>6900</v>
      </c>
      <c r="EC6" s="110">
        <v>1.0416666666666666E-2</v>
      </c>
      <c r="ED6" s="209">
        <f>IF('Temperature Profiles'!AA5&gt;18,(0.0034*('Temperature Profiles'!AA5^2)-(0.087*'Temperature Profiles'!AA5)+0.5117)*1000,IF(AND('Temperature Profiles'!AA5&lt;17,'Temperature Profiles'!AA5&gt;-4.4),(0.0027*('Temperature Profiles'!AA5^2)-(0.149*'Temperature Profiles'!AA5)+1.7779)*1000,IF(AND('Temperature Profiles'!AA5&lt;-4.4,'Temperature Profiles'!AA5&gt;-8.5),(((-0.5391*'Temperature Profiles'!AA5)-2.0906)*1000)+ED$208,IF('Temperature Profiles'!AA5&lt;-8.5,ED109,0))))</f>
        <v>12300</v>
      </c>
      <c r="EE6" s="110">
        <v>1.0416666666666666E-2</v>
      </c>
      <c r="EF6" s="211">
        <f>IF('Temperature Profiles'!AA5&gt;18,(0.0048*('Temperature Profiles'!AA5^2)-(0.1352*'Temperature Profiles'!AA5)+0.9193)*1000,IF(AND('Temperature Profiles'!AA5&lt;17,'Temperature Profiles'!AA5&gt;-4.4),(0.0031*('Temperature Profiles'!AA5^2)-(0.2029*'Temperature Profiles'!AA5)+2.4264)*1000,IF(AND('Temperature Profiles'!AA5&lt;-4.4,'Temperature Profiles'!AA5&gt;-8.5),(((-0.7516*'Temperature Profiles'!AA5)-2.9985)*1000)+EF$208,IF('Temperature Profiles'!AA5&lt;-8.5,EF109,0))))</f>
        <v>16000</v>
      </c>
      <c r="EG6" s="21"/>
      <c r="EH6" s="110">
        <v>1.0416666666666666E-2</v>
      </c>
      <c r="EI6" s="211"/>
      <c r="EJ6" s="110">
        <v>1.0416666666666666E-2</v>
      </c>
      <c r="EK6" s="211"/>
      <c r="EL6" s="110">
        <v>1.0416666666666666E-2</v>
      </c>
      <c r="EM6" s="211"/>
      <c r="EN6" s="21"/>
      <c r="EO6" s="110">
        <v>1.0416666666666666E-2</v>
      </c>
      <c r="EP6" s="211"/>
      <c r="EQ6" s="21"/>
      <c r="ER6" s="110">
        <v>1.0416666666666666E-2</v>
      </c>
      <c r="ES6" s="264"/>
      <c r="EU6" s="260">
        <v>1.0416666666666666E-2</v>
      </c>
      <c r="EV6" s="209">
        <f>IF('Temperature Profiles'!AA5&gt;18,(0.0018*('Temperature Profiles'!AA5^2)-(0.0475*'Temperature Profiles'!AA5)+0.3123)*1000,IF(AND('Temperature Profiles'!AA5&lt;17,'Temperature Profiles'!AA5&gt;-5.6),(0.0021*('Temperature Profiles'!AA5^2)-(0.0919*'Temperature Profiles'!AA5)+1.0491)*1000,IF(AND('Temperature Profiles'!AA5&lt;-5.6,'Temperature Profiles'!AA5&gt;-11.4),EV$208,IF('Temperature Profiles'!AA5&lt;-11.4,EV109,0))))</f>
        <v>5400</v>
      </c>
      <c r="EW6" s="110">
        <v>1.0416666666666666E-2</v>
      </c>
      <c r="EX6" s="209">
        <f>IF('Temperature Profiles'!AA5&gt;18,(0.0034*('Temperature Profiles'!AA5^2)-(0.087*'Temperature Profiles'!AA5)+0.5117)*1000,IF(AND('Temperature Profiles'!AA5&lt;17,'Temperature Profiles'!AA5&gt;-4.4),(0.0027*('Temperature Profiles'!AA5^2)-(0.149*'Temperature Profiles'!AA5)+1.7779)*1000,IF(AND('Temperature Profiles'!AA5&lt;-4.4,'Temperature Profiles'!AA5&gt;-8.5),EX$208,IF('Temperature Profiles'!AA5&lt;-8.5,EX109,0))))</f>
        <v>5400</v>
      </c>
      <c r="EY6" s="110">
        <v>1.0416666666666666E-2</v>
      </c>
      <c r="EZ6" s="264">
        <f>IF('Temperature Profiles'!AA5&gt;18,(0.0048*('Temperature Profiles'!AA5^2)-(0.1352*'Temperature Profiles'!AA5)+0.9193)*1000,IF(AND('Temperature Profiles'!AA5&lt;17,'Temperature Profiles'!AA5&gt;-4.4),(0.0031*('Temperature Profiles'!AA5^2)-(0.2029*'Temperature Profiles'!AA5)+2.4264)*1000,IF(AND('Temperature Profiles'!AA5&lt;-4.4,'Temperature Profiles'!AA5&gt;-8.5),EZ$208,IF('Temperature Profiles'!AA5&lt;-8.5,EZ109,0))))</f>
        <v>5400</v>
      </c>
    </row>
    <row r="7" spans="1:197" x14ac:dyDescent="0.3">
      <c r="A7" s="108">
        <v>1.0416666666666666E-2</v>
      </c>
      <c r="B7" s="226">
        <f t="shared" si="0"/>
        <v>0</v>
      </c>
      <c r="C7" s="21">
        <f t="shared" si="1"/>
        <v>0</v>
      </c>
      <c r="D7" s="21">
        <f t="shared" si="2"/>
        <v>16000</v>
      </c>
      <c r="E7" s="20">
        <f t="shared" ref="E7:E70" si="3">IF(AND($B$3=$EU$2,$D$3=$EU$3),EV6,IF(AND($B$3=$EU$2,$D$3=$EW$3),EX6,IF(AND($B$3=$EU$2,$D$3=$EY$3),EZ6,0)))</f>
        <v>5400</v>
      </c>
      <c r="G7" s="260">
        <v>2.0833333333333301E-2</v>
      </c>
      <c r="H7" s="211"/>
      <c r="I7" s="110">
        <v>2.0833333333333301E-2</v>
      </c>
      <c r="J7" s="211"/>
      <c r="K7" s="110">
        <v>2.0833333333333301E-2</v>
      </c>
      <c r="L7" s="211"/>
      <c r="M7" s="21"/>
      <c r="N7" s="110">
        <v>2.0833333333333301E-2</v>
      </c>
      <c r="O7" s="209"/>
      <c r="P7" s="110">
        <v>2.0833333333333301E-2</v>
      </c>
      <c r="Q7" s="209"/>
      <c r="R7" s="110">
        <v>2.0833333333333301E-2</v>
      </c>
      <c r="S7" s="211"/>
      <c r="T7" s="21"/>
      <c r="U7" s="110">
        <v>2.0833333333333301E-2</v>
      </c>
      <c r="V7" s="209"/>
      <c r="W7" s="110">
        <v>2.0833333333333301E-2</v>
      </c>
      <c r="X7" s="209"/>
      <c r="Y7" s="110">
        <v>2.0833333333333301E-2</v>
      </c>
      <c r="Z7" s="211"/>
      <c r="AA7" s="21"/>
      <c r="AB7" s="110">
        <v>2.0833333333333301E-2</v>
      </c>
      <c r="AC7" s="209"/>
      <c r="AD7" s="110">
        <v>2.0833333333333301E-2</v>
      </c>
      <c r="AE7" s="209"/>
      <c r="AF7" s="110">
        <v>2.0833333333333301E-2</v>
      </c>
      <c r="AG7" s="211"/>
      <c r="AH7" s="21"/>
      <c r="AI7" s="110">
        <v>2.0833333333333301E-2</v>
      </c>
      <c r="AJ7" s="209"/>
      <c r="AK7" s="110">
        <v>2.0833333333333301E-2</v>
      </c>
      <c r="AL7" s="209"/>
      <c r="AM7" s="110">
        <v>2.0833333333333301E-2</v>
      </c>
      <c r="AN7" s="211"/>
      <c r="AO7" s="21"/>
      <c r="AP7" s="110">
        <v>2.0833333333333301E-2</v>
      </c>
      <c r="AQ7" s="209"/>
      <c r="AR7" s="110">
        <v>2.0833333333333301E-2</v>
      </c>
      <c r="AS7" s="209"/>
      <c r="AT7" s="110">
        <v>2.0833333333333301E-2</v>
      </c>
      <c r="AU7" s="211"/>
      <c r="AV7" s="21"/>
      <c r="AW7" s="110">
        <v>2.0833333333333301E-2</v>
      </c>
      <c r="AX7" s="211"/>
      <c r="AY7" s="21"/>
      <c r="AZ7" s="110">
        <v>2.0833333333333301E-2</v>
      </c>
      <c r="BA7" s="264"/>
      <c r="BC7" s="260">
        <v>2.0833333333333301E-2</v>
      </c>
      <c r="BD7" s="211"/>
      <c r="BE7" s="110">
        <v>2.0833333333333301E-2</v>
      </c>
      <c r="BF7" s="211"/>
      <c r="BG7" s="110">
        <v>2.0833333333333301E-2</v>
      </c>
      <c r="BH7" s="211"/>
      <c r="BI7" s="21"/>
      <c r="BJ7" s="110">
        <v>2.0833333333333301E-2</v>
      </c>
      <c r="BK7" s="209"/>
      <c r="BL7" s="110">
        <v>2.0833333333333301E-2</v>
      </c>
      <c r="BM7" s="209"/>
      <c r="BN7" s="110">
        <v>2.0833333333333301E-2</v>
      </c>
      <c r="BO7" s="211"/>
      <c r="BP7" s="21"/>
      <c r="BQ7" s="110">
        <v>2.0833333333333301E-2</v>
      </c>
      <c r="BR7" s="209"/>
      <c r="BS7" s="110">
        <v>2.0833333333333301E-2</v>
      </c>
      <c r="BT7" s="209"/>
      <c r="BU7" s="110">
        <v>2.0833333333333301E-2</v>
      </c>
      <c r="BV7" s="211"/>
      <c r="BW7" s="21"/>
      <c r="BX7" s="110">
        <v>2.0833333333333301E-2</v>
      </c>
      <c r="BY7" s="209"/>
      <c r="BZ7" s="110">
        <v>2.0833333333333301E-2</v>
      </c>
      <c r="CA7" s="209"/>
      <c r="CB7" s="110">
        <v>2.0833333333333301E-2</v>
      </c>
      <c r="CC7" s="211"/>
      <c r="CD7" s="189"/>
      <c r="CE7" s="110">
        <v>2.0833333333333301E-2</v>
      </c>
      <c r="CF7" s="209"/>
      <c r="CG7" s="110">
        <v>2.0833333333333301E-2</v>
      </c>
      <c r="CH7" s="209"/>
      <c r="CI7" s="110">
        <v>2.0833333333333301E-2</v>
      </c>
      <c r="CJ7" s="211"/>
      <c r="CK7" s="21"/>
      <c r="CL7" s="110">
        <v>2.0833333333333301E-2</v>
      </c>
      <c r="CM7" s="209"/>
      <c r="CN7" s="110">
        <v>2.0833333333333301E-2</v>
      </c>
      <c r="CO7" s="209"/>
      <c r="CP7" s="110">
        <v>2.0833333333333301E-2</v>
      </c>
      <c r="CQ7" s="211"/>
      <c r="CR7" s="21"/>
      <c r="CS7" s="110">
        <v>2.0833333333333301E-2</v>
      </c>
      <c r="CT7" s="211"/>
      <c r="CU7" s="21"/>
      <c r="CV7" s="110">
        <v>2.0833333333333301E-2</v>
      </c>
      <c r="CW7" s="264"/>
      <c r="CY7" s="260">
        <v>2.0833333333333301E-2</v>
      </c>
      <c r="CZ7" s="178"/>
      <c r="DA7" s="110">
        <v>2.0833333333333301E-2</v>
      </c>
      <c r="DB7" s="263"/>
      <c r="DC7" s="110">
        <v>2.0833333333333301E-2</v>
      </c>
      <c r="DD7" s="211"/>
      <c r="DE7" s="21"/>
      <c r="DF7" s="110">
        <v>2.0833333333333301E-2</v>
      </c>
      <c r="DG7" s="209"/>
      <c r="DH7" s="110">
        <v>2.0833333333333301E-2</v>
      </c>
      <c r="DI7" s="209"/>
      <c r="DJ7" s="110">
        <v>2.0833333333333301E-2</v>
      </c>
      <c r="DK7" s="211"/>
      <c r="DL7" s="21"/>
      <c r="DM7" s="110">
        <v>2.0833333333333301E-2</v>
      </c>
      <c r="DN7" s="209"/>
      <c r="DO7" s="110">
        <v>2.0833333333333301E-2</v>
      </c>
      <c r="DP7" s="209"/>
      <c r="DQ7" s="110">
        <v>2.0833333333333301E-2</v>
      </c>
      <c r="DR7" s="211"/>
      <c r="DS7" s="21"/>
      <c r="DT7" s="110">
        <v>2.0833333333333301E-2</v>
      </c>
      <c r="DU7" s="209"/>
      <c r="DV7" s="110">
        <v>2.0833333333333301E-2</v>
      </c>
      <c r="DW7" s="209"/>
      <c r="DX7" s="110">
        <v>2.0833333333333301E-2</v>
      </c>
      <c r="DY7" s="211"/>
      <c r="DZ7" s="21"/>
      <c r="EA7" s="110">
        <v>2.0833333333333301E-2</v>
      </c>
      <c r="EB7" s="209">
        <f>IF('Temperature Profiles'!AA6&gt;18,(0.0018*('Temperature Profiles'!AA6^2)-(0.0475*'Temperature Profiles'!AA6)+0.3123)*1000,IF(AND('Temperature Profiles'!AA6&lt;17,'Temperature Profiles'!AA6&gt;-5.6),(0.0021*('Temperature Profiles'!AA6^2)-(0.0919*'Temperature Profiles'!AA6)+1.0491)*1000,IF(AND('Temperature Profiles'!AA6&lt;-5.6,'Temperature Profiles'!AA6&gt;-11.4),(((-0.2925*'Temperature Profiles'!AA6)-1.6914)*1000)+EB$208,IF('Temperature Profiles'!AA6&lt;-11.4,EB110,0))))</f>
        <v>0</v>
      </c>
      <c r="EC7" s="110">
        <v>2.0833333333333301E-2</v>
      </c>
      <c r="ED7" s="209">
        <f>IF('Temperature Profiles'!AA6&gt;18,(0.0034*('Temperature Profiles'!AA6^2)-(0.087*'Temperature Profiles'!AA6)+0.5117)*1000,IF(AND('Temperature Profiles'!AA6&lt;17,'Temperature Profiles'!AA6&gt;-4.4),(0.0027*('Temperature Profiles'!AA6^2)-(0.149*'Temperature Profiles'!AA6)+1.7779)*1000,IF(AND('Temperature Profiles'!AA6&lt;-4.4,'Temperature Profiles'!AA6&gt;-8.5),(((-0.5391*'Temperature Profiles'!AA6)-2.0906)*1000)+ED$208,IF('Temperature Profiles'!AA6&lt;-8.5,ED110,0))))</f>
        <v>0</v>
      </c>
      <c r="EE7" s="110">
        <v>2.0833333333333301E-2</v>
      </c>
      <c r="EF7" s="211">
        <f>IF('Temperature Profiles'!AA6&gt;18,(0.0048*('Temperature Profiles'!AA6^2)-(0.1352*'Temperature Profiles'!AA6)+0.9193)*1000,IF(AND('Temperature Profiles'!AA6&lt;17,'Temperature Profiles'!AA6&gt;-4.4),(0.0031*('Temperature Profiles'!AA6^2)-(0.2029*'Temperature Profiles'!AA6)+2.4264)*1000,IF(AND('Temperature Profiles'!AA6&lt;-4.4,'Temperature Profiles'!AA6&gt;-8.5),(((-0.7516*'Temperature Profiles'!AA6)-2.9985)*1000)+EF$208,IF('Temperature Profiles'!AA6&lt;-8.5,EF110,0))))</f>
        <v>0</v>
      </c>
      <c r="EG7" s="21"/>
      <c r="EH7" s="110">
        <v>2.0833333333333301E-2</v>
      </c>
      <c r="EI7" s="211"/>
      <c r="EJ7" s="110">
        <v>2.0833333333333301E-2</v>
      </c>
      <c r="EK7" s="211"/>
      <c r="EL7" s="110">
        <v>2.0833333333333301E-2</v>
      </c>
      <c r="EM7" s="211"/>
      <c r="EN7" s="21"/>
      <c r="EO7" s="110">
        <v>2.0833333333333301E-2</v>
      </c>
      <c r="EP7" s="211"/>
      <c r="EQ7" s="21"/>
      <c r="ER7" s="110">
        <v>2.0833333333333301E-2</v>
      </c>
      <c r="ES7" s="264"/>
      <c r="EU7" s="260">
        <v>2.0833333333333301E-2</v>
      </c>
      <c r="EV7" s="209">
        <f>IF('Temperature Profiles'!AA6&gt;18,(0.0018*('Temperature Profiles'!AA6^2)-(0.0475*'Temperature Profiles'!AA6)+0.3123)*1000,IF(AND('Temperature Profiles'!AA6&lt;17,'Temperature Profiles'!AA6&gt;-5.6),(0.0021*('Temperature Profiles'!AA6^2)-(0.0919*'Temperature Profiles'!AA6)+1.0491)*1000,IF(AND('Temperature Profiles'!AA6&lt;-5.6,'Temperature Profiles'!AA6&gt;-11.4),EV$208,IF('Temperature Profiles'!AA6&lt;-11.4,EV110,0))))</f>
        <v>0</v>
      </c>
      <c r="EW7" s="110">
        <v>2.0833333333333301E-2</v>
      </c>
      <c r="EX7" s="209">
        <f>IF('Temperature Profiles'!AA6&gt;18,(0.0034*('Temperature Profiles'!AA6^2)-(0.087*'Temperature Profiles'!AA6)+0.5117)*1000,IF(AND('Temperature Profiles'!AA6&lt;17,'Temperature Profiles'!AA6&gt;-4.4),(0.0027*('Temperature Profiles'!AA6^2)-(0.149*'Temperature Profiles'!AA6)+1.7779)*1000,IF(AND('Temperature Profiles'!AA6&lt;-4.4,'Temperature Profiles'!AA6&gt;-8.5),EX$208,IF('Temperature Profiles'!AA6&lt;-8.5,EX110,0))))</f>
        <v>0</v>
      </c>
      <c r="EY7" s="110">
        <v>2.0833333333333301E-2</v>
      </c>
      <c r="EZ7" s="264">
        <f>IF('Temperature Profiles'!AA6&gt;18,(0.0048*('Temperature Profiles'!AA6^2)-(0.1352*'Temperature Profiles'!AA6)+0.9193)*1000,IF(AND('Temperature Profiles'!AA6&lt;17,'Temperature Profiles'!AA6&gt;-4.4),(0.0031*('Temperature Profiles'!AA6^2)-(0.2029*'Temperature Profiles'!AA6)+2.4264)*1000,IF(AND('Temperature Profiles'!AA6&lt;-4.4,'Temperature Profiles'!AA6&gt;-8.5),EZ$208,IF('Temperature Profiles'!AA6&lt;-8.5,EZ110,0))))</f>
        <v>0</v>
      </c>
    </row>
    <row r="8" spans="1:197" x14ac:dyDescent="0.3">
      <c r="A8" s="108">
        <v>2.0833333333333301E-2</v>
      </c>
      <c r="B8" s="226">
        <f t="shared" si="0"/>
        <v>0</v>
      </c>
      <c r="C8" s="21">
        <f t="shared" si="1"/>
        <v>0</v>
      </c>
      <c r="D8" s="21">
        <f t="shared" si="2"/>
        <v>0</v>
      </c>
      <c r="E8" s="20">
        <f t="shared" si="3"/>
        <v>0</v>
      </c>
      <c r="G8" s="260">
        <v>3.125E-2</v>
      </c>
      <c r="H8" s="211"/>
      <c r="I8" s="110">
        <v>3.125E-2</v>
      </c>
      <c r="J8" s="211"/>
      <c r="K8" s="110">
        <v>3.125E-2</v>
      </c>
      <c r="L8" s="211"/>
      <c r="M8" s="21"/>
      <c r="N8" s="110">
        <v>3.125E-2</v>
      </c>
      <c r="O8" s="209"/>
      <c r="P8" s="110">
        <v>3.125E-2</v>
      </c>
      <c r="Q8" s="209"/>
      <c r="R8" s="110">
        <v>3.125E-2</v>
      </c>
      <c r="S8" s="211"/>
      <c r="T8" s="21"/>
      <c r="U8" s="110">
        <v>3.125E-2</v>
      </c>
      <c r="V8" s="209"/>
      <c r="W8" s="110">
        <v>3.125E-2</v>
      </c>
      <c r="X8" s="209"/>
      <c r="Y8" s="110">
        <v>3.125E-2</v>
      </c>
      <c r="Z8" s="211"/>
      <c r="AA8" s="21"/>
      <c r="AB8" s="110">
        <v>3.125E-2</v>
      </c>
      <c r="AC8" s="209"/>
      <c r="AD8" s="110">
        <v>3.125E-2</v>
      </c>
      <c r="AE8" s="209"/>
      <c r="AF8" s="110">
        <v>3.125E-2</v>
      </c>
      <c r="AG8" s="211"/>
      <c r="AH8" s="21"/>
      <c r="AI8" s="110">
        <v>3.125E-2</v>
      </c>
      <c r="AJ8" s="209"/>
      <c r="AK8" s="110">
        <v>3.125E-2</v>
      </c>
      <c r="AL8" s="209"/>
      <c r="AM8" s="110">
        <v>3.125E-2</v>
      </c>
      <c r="AN8" s="211"/>
      <c r="AO8" s="21"/>
      <c r="AP8" s="110">
        <v>3.125E-2</v>
      </c>
      <c r="AQ8" s="209"/>
      <c r="AR8" s="110">
        <v>3.125E-2</v>
      </c>
      <c r="AS8" s="209"/>
      <c r="AT8" s="110">
        <v>3.125E-2</v>
      </c>
      <c r="AU8" s="211"/>
      <c r="AV8" s="21"/>
      <c r="AW8" s="110">
        <v>3.125E-2</v>
      </c>
      <c r="AX8" s="211"/>
      <c r="AY8" s="21"/>
      <c r="AZ8" s="110">
        <v>3.125E-2</v>
      </c>
      <c r="BA8" s="264"/>
      <c r="BC8" s="260">
        <v>3.125E-2</v>
      </c>
      <c r="BD8" s="211"/>
      <c r="BE8" s="110">
        <v>3.125E-2</v>
      </c>
      <c r="BF8" s="211"/>
      <c r="BG8" s="110">
        <v>3.125E-2</v>
      </c>
      <c r="BH8" s="211"/>
      <c r="BI8" s="21"/>
      <c r="BJ8" s="110">
        <v>3.125E-2</v>
      </c>
      <c r="BK8" s="209"/>
      <c r="BL8" s="110">
        <v>3.125E-2</v>
      </c>
      <c r="BM8" s="209"/>
      <c r="BN8" s="110">
        <v>3.125E-2</v>
      </c>
      <c r="BO8" s="211"/>
      <c r="BP8" s="21"/>
      <c r="BQ8" s="110">
        <v>3.125E-2</v>
      </c>
      <c r="BR8" s="209"/>
      <c r="BS8" s="110">
        <v>3.125E-2</v>
      </c>
      <c r="BT8" s="209"/>
      <c r="BU8" s="110">
        <v>3.125E-2</v>
      </c>
      <c r="BV8" s="211"/>
      <c r="BW8" s="21"/>
      <c r="BX8" s="110">
        <v>3.125E-2</v>
      </c>
      <c r="BY8" s="209"/>
      <c r="BZ8" s="110">
        <v>3.125E-2</v>
      </c>
      <c r="CA8" s="209"/>
      <c r="CB8" s="110">
        <v>3.125E-2</v>
      </c>
      <c r="CC8" s="211"/>
      <c r="CD8" s="21"/>
      <c r="CE8" s="110">
        <v>3.125E-2</v>
      </c>
      <c r="CF8" s="209"/>
      <c r="CG8" s="110">
        <v>3.125E-2</v>
      </c>
      <c r="CH8" s="209"/>
      <c r="CI8" s="110">
        <v>3.125E-2</v>
      </c>
      <c r="CJ8" s="211"/>
      <c r="CK8" s="21"/>
      <c r="CL8" s="110">
        <v>3.125E-2</v>
      </c>
      <c r="CM8" s="209"/>
      <c r="CN8" s="110">
        <v>3.125E-2</v>
      </c>
      <c r="CO8" s="209"/>
      <c r="CP8" s="110">
        <v>3.125E-2</v>
      </c>
      <c r="CQ8" s="211"/>
      <c r="CR8" s="21"/>
      <c r="CS8" s="110">
        <v>3.125E-2</v>
      </c>
      <c r="CT8" s="211"/>
      <c r="CU8" s="21"/>
      <c r="CV8" s="110">
        <v>3.125E-2</v>
      </c>
      <c r="CW8" s="264"/>
      <c r="CY8" s="260">
        <v>3.125E-2</v>
      </c>
      <c r="CZ8" s="178"/>
      <c r="DA8" s="110">
        <v>3.125E-2</v>
      </c>
      <c r="DB8" s="263"/>
      <c r="DC8" s="110">
        <v>3.125E-2</v>
      </c>
      <c r="DD8" s="211"/>
      <c r="DE8" s="21"/>
      <c r="DF8" s="110">
        <v>3.125E-2</v>
      </c>
      <c r="DG8" s="209"/>
      <c r="DH8" s="110">
        <v>3.125E-2</v>
      </c>
      <c r="DI8" s="209"/>
      <c r="DJ8" s="110">
        <v>3.125E-2</v>
      </c>
      <c r="DK8" s="211"/>
      <c r="DL8" s="21"/>
      <c r="DM8" s="110">
        <v>3.125E-2</v>
      </c>
      <c r="DN8" s="209"/>
      <c r="DO8" s="110">
        <v>3.125E-2</v>
      </c>
      <c r="DP8" s="209"/>
      <c r="DQ8" s="110">
        <v>3.125E-2</v>
      </c>
      <c r="DR8" s="211"/>
      <c r="DS8" s="21"/>
      <c r="DT8" s="110">
        <v>3.125E-2</v>
      </c>
      <c r="DU8" s="209"/>
      <c r="DV8" s="110">
        <v>3.125E-2</v>
      </c>
      <c r="DW8" s="209"/>
      <c r="DX8" s="110">
        <v>3.125E-2</v>
      </c>
      <c r="DY8" s="211"/>
      <c r="DZ8" s="21"/>
      <c r="EA8" s="110">
        <v>3.125E-2</v>
      </c>
      <c r="EB8" s="209">
        <f>IF('Temperature Profiles'!AA7&gt;18,(0.0018*('Temperature Profiles'!AA7^2)-(0.0475*'Temperature Profiles'!AA7)+0.3123)*1000,IF(AND('Temperature Profiles'!AA7&lt;17,'Temperature Profiles'!AA7&gt;-5.6),(0.0021*('Temperature Profiles'!AA7^2)-(0.0919*'Temperature Profiles'!AA7)+1.0491)*1000,IF(AND('Temperature Profiles'!AA7&lt;-5.6,'Temperature Profiles'!AA7&gt;-11.4),(((-0.2925*'Temperature Profiles'!AA7)-1.6914)*1000)+EB$208,IF('Temperature Profiles'!AA7&lt;-11.4,EB111,0))))</f>
        <v>0</v>
      </c>
      <c r="EC8" s="110">
        <v>3.125E-2</v>
      </c>
      <c r="ED8" s="209">
        <f>IF('Temperature Profiles'!AA7&gt;18,(0.0034*('Temperature Profiles'!AA7^2)-(0.087*'Temperature Profiles'!AA7)+0.5117)*1000,IF(AND('Temperature Profiles'!AA7&lt;17,'Temperature Profiles'!AA7&gt;-4.4),(0.0027*('Temperature Profiles'!AA7^2)-(0.149*'Temperature Profiles'!AA7)+1.7779)*1000,IF(AND('Temperature Profiles'!AA7&lt;-4.4,'Temperature Profiles'!AA7&gt;-8.5),(((-0.5391*'Temperature Profiles'!AA7)-2.0906)*1000)+ED$208,IF('Temperature Profiles'!AA7&lt;-8.5,ED111,0))))</f>
        <v>0</v>
      </c>
      <c r="EE8" s="110">
        <v>3.125E-2</v>
      </c>
      <c r="EF8" s="211">
        <f>IF('Temperature Profiles'!AA7&gt;18,(0.0048*('Temperature Profiles'!AA7^2)-(0.1352*'Temperature Profiles'!AA7)+0.9193)*1000,IF(AND('Temperature Profiles'!AA7&lt;17,'Temperature Profiles'!AA7&gt;-4.4),(0.0031*('Temperature Profiles'!AA7^2)-(0.2029*'Temperature Profiles'!AA7)+2.4264)*1000,IF(AND('Temperature Profiles'!AA7&lt;-4.4,'Temperature Profiles'!AA7&gt;-8.5),(((-0.7516*'Temperature Profiles'!AA7)-2.9985)*1000)+EF$208,IF('Temperature Profiles'!AA7&lt;-8.5,EF111,0))))</f>
        <v>0</v>
      </c>
      <c r="EG8" s="21"/>
      <c r="EH8" s="110">
        <v>3.125E-2</v>
      </c>
      <c r="EI8" s="211"/>
      <c r="EJ8" s="110">
        <v>3.125E-2</v>
      </c>
      <c r="EK8" s="211"/>
      <c r="EL8" s="110">
        <v>3.125E-2</v>
      </c>
      <c r="EM8" s="211"/>
      <c r="EN8" s="21"/>
      <c r="EO8" s="110">
        <v>3.125E-2</v>
      </c>
      <c r="EP8" s="211"/>
      <c r="EQ8" s="21"/>
      <c r="ER8" s="110">
        <v>3.125E-2</v>
      </c>
      <c r="ES8" s="264"/>
      <c r="EU8" s="260">
        <v>3.125E-2</v>
      </c>
      <c r="EV8" s="209">
        <f>IF('Temperature Profiles'!AA7&gt;18,(0.0018*('Temperature Profiles'!AA7^2)-(0.0475*'Temperature Profiles'!AA7)+0.3123)*1000,IF(AND('Temperature Profiles'!AA7&lt;17,'Temperature Profiles'!AA7&gt;-5.6),(0.0021*('Temperature Profiles'!AA7^2)-(0.0919*'Temperature Profiles'!AA7)+1.0491)*1000,IF(AND('Temperature Profiles'!AA7&lt;-5.6,'Temperature Profiles'!AA7&gt;-11.4),EV$208,IF('Temperature Profiles'!AA7&lt;-11.4,EV111,0))))</f>
        <v>0</v>
      </c>
      <c r="EW8" s="110">
        <v>3.125E-2</v>
      </c>
      <c r="EX8" s="209">
        <f>IF('Temperature Profiles'!AA7&gt;18,(0.0034*('Temperature Profiles'!AA7^2)-(0.087*'Temperature Profiles'!AA7)+0.5117)*1000,IF(AND('Temperature Profiles'!AA7&lt;17,'Temperature Profiles'!AA7&gt;-4.4),(0.0027*('Temperature Profiles'!AA7^2)-(0.149*'Temperature Profiles'!AA7)+1.7779)*1000,IF(AND('Temperature Profiles'!AA7&lt;-4.4,'Temperature Profiles'!AA7&gt;-8.5),EX$208,IF('Temperature Profiles'!AA7&lt;-8.5,EX111,0))))</f>
        <v>0</v>
      </c>
      <c r="EY8" s="110">
        <v>3.125E-2</v>
      </c>
      <c r="EZ8" s="264">
        <f>IF('Temperature Profiles'!AA7&gt;18,(0.0048*('Temperature Profiles'!AA7^2)-(0.1352*'Temperature Profiles'!AA7)+0.9193)*1000,IF(AND('Temperature Profiles'!AA7&lt;17,'Temperature Profiles'!AA7&gt;-4.4),(0.0031*('Temperature Profiles'!AA7^2)-(0.2029*'Temperature Profiles'!AA7)+2.4264)*1000,IF(AND('Temperature Profiles'!AA7&lt;-4.4,'Temperature Profiles'!AA7&gt;-8.5),EZ$208,IF('Temperature Profiles'!AA7&lt;-8.5,EZ111,0))))</f>
        <v>0</v>
      </c>
    </row>
    <row r="9" spans="1:197" x14ac:dyDescent="0.3">
      <c r="A9" s="108">
        <v>3.125E-2</v>
      </c>
      <c r="B9" s="226">
        <f t="shared" si="0"/>
        <v>0</v>
      </c>
      <c r="C9" s="21">
        <f t="shared" si="1"/>
        <v>0</v>
      </c>
      <c r="D9" s="21">
        <f t="shared" si="2"/>
        <v>0</v>
      </c>
      <c r="E9" s="20">
        <f t="shared" si="3"/>
        <v>0</v>
      </c>
      <c r="G9" s="260">
        <v>4.1666666666666699E-2</v>
      </c>
      <c r="H9" s="211"/>
      <c r="I9" s="110">
        <v>4.1666666666666699E-2</v>
      </c>
      <c r="J9" s="211"/>
      <c r="K9" s="110">
        <v>4.1666666666666699E-2</v>
      </c>
      <c r="L9" s="211"/>
      <c r="M9" s="21"/>
      <c r="N9" s="110">
        <v>4.1666666666666699E-2</v>
      </c>
      <c r="O9" s="209"/>
      <c r="P9" s="110">
        <v>4.1666666666666699E-2</v>
      </c>
      <c r="Q9" s="209"/>
      <c r="R9" s="110">
        <v>4.1666666666666699E-2</v>
      </c>
      <c r="S9" s="211"/>
      <c r="T9" s="21"/>
      <c r="U9" s="110">
        <v>4.1666666666666699E-2</v>
      </c>
      <c r="V9" s="209"/>
      <c r="W9" s="110">
        <v>4.1666666666666699E-2</v>
      </c>
      <c r="X9" s="209"/>
      <c r="Y9" s="110">
        <v>4.1666666666666699E-2</v>
      </c>
      <c r="Z9" s="211"/>
      <c r="AA9" s="21"/>
      <c r="AB9" s="110">
        <v>4.1666666666666699E-2</v>
      </c>
      <c r="AC9" s="209"/>
      <c r="AD9" s="110">
        <v>4.1666666666666699E-2</v>
      </c>
      <c r="AE9" s="209"/>
      <c r="AF9" s="110">
        <v>4.1666666666666699E-2</v>
      </c>
      <c r="AG9" s="211"/>
      <c r="AH9" s="21"/>
      <c r="AI9" s="110">
        <v>4.1666666666666699E-2</v>
      </c>
      <c r="AJ9" s="209"/>
      <c r="AK9" s="110">
        <v>4.1666666666666699E-2</v>
      </c>
      <c r="AL9" s="209"/>
      <c r="AM9" s="110">
        <v>4.1666666666666699E-2</v>
      </c>
      <c r="AN9" s="211"/>
      <c r="AO9" s="21"/>
      <c r="AP9" s="110">
        <v>4.1666666666666699E-2</v>
      </c>
      <c r="AQ9" s="209"/>
      <c r="AR9" s="110">
        <v>4.1666666666666699E-2</v>
      </c>
      <c r="AS9" s="209"/>
      <c r="AT9" s="110">
        <v>4.1666666666666699E-2</v>
      </c>
      <c r="AU9" s="211"/>
      <c r="AV9" s="21"/>
      <c r="AW9" s="110">
        <v>4.1666666666666699E-2</v>
      </c>
      <c r="AX9" s="211"/>
      <c r="AY9" s="21"/>
      <c r="AZ9" s="110">
        <v>4.1666666666666699E-2</v>
      </c>
      <c r="BA9" s="264"/>
      <c r="BC9" s="260">
        <v>4.1666666666666699E-2</v>
      </c>
      <c r="BD9" s="211"/>
      <c r="BE9" s="110">
        <v>4.1666666666666699E-2</v>
      </c>
      <c r="BF9" s="211"/>
      <c r="BG9" s="110">
        <v>4.1666666666666699E-2</v>
      </c>
      <c r="BH9" s="211"/>
      <c r="BI9" s="21"/>
      <c r="BJ9" s="110">
        <v>4.1666666666666699E-2</v>
      </c>
      <c r="BK9" s="209"/>
      <c r="BL9" s="110">
        <v>4.1666666666666699E-2</v>
      </c>
      <c r="BM9" s="209"/>
      <c r="BN9" s="110">
        <v>4.1666666666666699E-2</v>
      </c>
      <c r="BO9" s="211"/>
      <c r="BP9" s="21"/>
      <c r="BQ9" s="110">
        <v>4.1666666666666699E-2</v>
      </c>
      <c r="BR9" s="209"/>
      <c r="BS9" s="110">
        <v>4.1666666666666699E-2</v>
      </c>
      <c r="BT9" s="209"/>
      <c r="BU9" s="110">
        <v>4.1666666666666699E-2</v>
      </c>
      <c r="BV9" s="211"/>
      <c r="BW9" s="21"/>
      <c r="BX9" s="110">
        <v>4.1666666666666699E-2</v>
      </c>
      <c r="BY9" s="209"/>
      <c r="BZ9" s="110">
        <v>4.1666666666666699E-2</v>
      </c>
      <c r="CA9" s="209"/>
      <c r="CB9" s="110">
        <v>4.1666666666666699E-2</v>
      </c>
      <c r="CC9" s="211"/>
      <c r="CD9" s="21"/>
      <c r="CE9" s="110">
        <v>4.1666666666666699E-2</v>
      </c>
      <c r="CF9" s="209"/>
      <c r="CG9" s="110">
        <v>4.1666666666666699E-2</v>
      </c>
      <c r="CH9" s="209"/>
      <c r="CI9" s="110">
        <v>4.1666666666666699E-2</v>
      </c>
      <c r="CJ9" s="211"/>
      <c r="CK9" s="21"/>
      <c r="CL9" s="110">
        <v>4.1666666666666699E-2</v>
      </c>
      <c r="CM9" s="209"/>
      <c r="CN9" s="110">
        <v>4.1666666666666699E-2</v>
      </c>
      <c r="CO9" s="209"/>
      <c r="CP9" s="110">
        <v>4.1666666666666699E-2</v>
      </c>
      <c r="CQ9" s="211"/>
      <c r="CR9" s="21"/>
      <c r="CS9" s="110">
        <v>4.1666666666666699E-2</v>
      </c>
      <c r="CT9" s="211"/>
      <c r="CU9" s="21"/>
      <c r="CV9" s="110">
        <v>4.1666666666666699E-2</v>
      </c>
      <c r="CW9" s="264"/>
      <c r="CY9" s="260">
        <v>4.1666666666666699E-2</v>
      </c>
      <c r="CZ9" s="178"/>
      <c r="DA9" s="110">
        <v>4.1666666666666699E-2</v>
      </c>
      <c r="DB9" s="263"/>
      <c r="DC9" s="110">
        <v>4.1666666666666699E-2</v>
      </c>
      <c r="DD9" s="211"/>
      <c r="DE9" s="21"/>
      <c r="DF9" s="110">
        <v>4.1666666666666699E-2</v>
      </c>
      <c r="DG9" s="209"/>
      <c r="DH9" s="110">
        <v>4.1666666666666699E-2</v>
      </c>
      <c r="DI9" s="209"/>
      <c r="DJ9" s="110">
        <v>4.1666666666666699E-2</v>
      </c>
      <c r="DK9" s="211"/>
      <c r="DL9" s="21"/>
      <c r="DM9" s="110">
        <v>4.1666666666666699E-2</v>
      </c>
      <c r="DN9" s="209"/>
      <c r="DO9" s="110">
        <v>4.1666666666666699E-2</v>
      </c>
      <c r="DP9" s="209"/>
      <c r="DQ9" s="110">
        <v>4.1666666666666699E-2</v>
      </c>
      <c r="DR9" s="211"/>
      <c r="DS9" s="21"/>
      <c r="DT9" s="110">
        <v>4.1666666666666699E-2</v>
      </c>
      <c r="DU9" s="209"/>
      <c r="DV9" s="110">
        <v>4.1666666666666699E-2</v>
      </c>
      <c r="DW9" s="209"/>
      <c r="DX9" s="110">
        <v>4.1666666666666699E-2</v>
      </c>
      <c r="DY9" s="211"/>
      <c r="DZ9" s="21"/>
      <c r="EA9" s="110">
        <v>4.1666666666666699E-2</v>
      </c>
      <c r="EB9" s="209">
        <f>IF('Temperature Profiles'!AA8&gt;18,(0.0018*('Temperature Profiles'!AA8^2)-(0.0475*'Temperature Profiles'!AA8)+0.3123)*1000,IF(AND('Temperature Profiles'!AA8&lt;17,'Temperature Profiles'!AA8&gt;-5.6),(0.0021*('Temperature Profiles'!AA8^2)-(0.0919*'Temperature Profiles'!AA8)+1.0491)*1000,IF(AND('Temperature Profiles'!AA8&lt;-5.6,'Temperature Profiles'!AA8&gt;-11.4),(((-0.2925*'Temperature Profiles'!AA8)-1.6914)*1000)+EB$208,IF('Temperature Profiles'!AA8&lt;-11.4,EB112,0))))</f>
        <v>6900</v>
      </c>
      <c r="EC9" s="110">
        <v>4.1666666666666699E-2</v>
      </c>
      <c r="ED9" s="209">
        <f>IF('Temperature Profiles'!AA8&gt;18,(0.0034*('Temperature Profiles'!AA8^2)-(0.087*'Temperature Profiles'!AA8)+0.5117)*1000,IF(AND('Temperature Profiles'!AA8&lt;17,'Temperature Profiles'!AA8&gt;-4.4),(0.0027*('Temperature Profiles'!AA8^2)-(0.149*'Temperature Profiles'!AA8)+1.7779)*1000,IF(AND('Temperature Profiles'!AA8&lt;-4.4,'Temperature Profiles'!AA8&gt;-8.5),(((-0.5391*'Temperature Profiles'!AA8)-2.0906)*1000)+ED$208,IF('Temperature Profiles'!AA8&lt;-8.5,ED112,0))))</f>
        <v>12300</v>
      </c>
      <c r="EE9" s="110">
        <v>4.1666666666666699E-2</v>
      </c>
      <c r="EF9" s="211">
        <f>IF('Temperature Profiles'!AA8&gt;18,(0.0048*('Temperature Profiles'!AA8^2)-(0.1352*'Temperature Profiles'!AA8)+0.9193)*1000,IF(AND('Temperature Profiles'!AA8&lt;17,'Temperature Profiles'!AA8&gt;-4.4),(0.0031*('Temperature Profiles'!AA8^2)-(0.2029*'Temperature Profiles'!AA8)+2.4264)*1000,IF(AND('Temperature Profiles'!AA8&lt;-4.4,'Temperature Profiles'!AA8&gt;-8.5),(((-0.7516*'Temperature Profiles'!AA8)-2.9985)*1000)+EF$208,IF('Temperature Profiles'!AA8&lt;-8.5,EF112,0))))</f>
        <v>16000</v>
      </c>
      <c r="EG9" s="21"/>
      <c r="EH9" s="110">
        <v>4.1666666666666699E-2</v>
      </c>
      <c r="EI9" s="211"/>
      <c r="EJ9" s="110">
        <v>4.1666666666666699E-2</v>
      </c>
      <c r="EK9" s="211"/>
      <c r="EL9" s="110">
        <v>4.1666666666666699E-2</v>
      </c>
      <c r="EM9" s="211"/>
      <c r="EN9" s="21"/>
      <c r="EO9" s="110">
        <v>4.1666666666666699E-2</v>
      </c>
      <c r="EP9" s="211"/>
      <c r="EQ9" s="21"/>
      <c r="ER9" s="110">
        <v>4.1666666666666699E-2</v>
      </c>
      <c r="ES9" s="264"/>
      <c r="EU9" s="260">
        <v>4.1666666666666699E-2</v>
      </c>
      <c r="EV9" s="209">
        <f>IF('Temperature Profiles'!AA8&gt;18,(0.0018*('Temperature Profiles'!AA8^2)-(0.0475*'Temperature Profiles'!AA8)+0.3123)*1000,IF(AND('Temperature Profiles'!AA8&lt;17,'Temperature Profiles'!AA8&gt;-5.6),(0.0021*('Temperature Profiles'!AA8^2)-(0.0919*'Temperature Profiles'!AA8)+1.0491)*1000,IF(AND('Temperature Profiles'!AA8&lt;-5.6,'Temperature Profiles'!AA8&gt;-11.4),EV$208,IF('Temperature Profiles'!AA8&lt;-11.4,EV112,0))))</f>
        <v>5400</v>
      </c>
      <c r="EW9" s="110">
        <v>4.1666666666666699E-2</v>
      </c>
      <c r="EX9" s="209">
        <f>IF('Temperature Profiles'!AA8&gt;18,(0.0034*('Temperature Profiles'!AA8^2)-(0.087*'Temperature Profiles'!AA8)+0.5117)*1000,IF(AND('Temperature Profiles'!AA8&lt;17,'Temperature Profiles'!AA8&gt;-4.4),(0.0027*('Temperature Profiles'!AA8^2)-(0.149*'Temperature Profiles'!AA8)+1.7779)*1000,IF(AND('Temperature Profiles'!AA8&lt;-4.4,'Temperature Profiles'!AA8&gt;-8.5),EX$208,IF('Temperature Profiles'!AA8&lt;-8.5,EX112,0))))</f>
        <v>5400</v>
      </c>
      <c r="EY9" s="110">
        <v>4.1666666666666699E-2</v>
      </c>
      <c r="EZ9" s="264">
        <f>IF('Temperature Profiles'!AA8&gt;18,(0.0048*('Temperature Profiles'!AA8^2)-(0.1352*'Temperature Profiles'!AA8)+0.9193)*1000,IF(AND('Temperature Profiles'!AA8&lt;17,'Temperature Profiles'!AA8&gt;-4.4),(0.0031*('Temperature Profiles'!AA8^2)-(0.2029*'Temperature Profiles'!AA8)+2.4264)*1000,IF(AND('Temperature Profiles'!AA8&lt;-4.4,'Temperature Profiles'!AA8&gt;-8.5),EZ$208,IF('Temperature Profiles'!AA8&lt;-8.5,EZ112,0))))</f>
        <v>5400</v>
      </c>
    </row>
    <row r="10" spans="1:197" x14ac:dyDescent="0.3">
      <c r="A10" s="108">
        <v>4.1666666666666699E-2</v>
      </c>
      <c r="B10" s="226">
        <f t="shared" si="0"/>
        <v>0</v>
      </c>
      <c r="C10" s="21">
        <f t="shared" si="1"/>
        <v>0</v>
      </c>
      <c r="D10" s="21">
        <f t="shared" si="2"/>
        <v>16000</v>
      </c>
      <c r="E10" s="20">
        <f t="shared" si="3"/>
        <v>5400</v>
      </c>
      <c r="G10" s="260">
        <v>5.2083333333333301E-2</v>
      </c>
      <c r="H10" s="211"/>
      <c r="I10" s="110">
        <v>5.2083333333333301E-2</v>
      </c>
      <c r="J10" s="211"/>
      <c r="K10" s="110">
        <v>5.2083333333333301E-2</v>
      </c>
      <c r="L10" s="211"/>
      <c r="M10" s="21"/>
      <c r="N10" s="110">
        <v>5.2083333333333301E-2</v>
      </c>
      <c r="O10" s="209"/>
      <c r="P10" s="110">
        <v>5.2083333333333301E-2</v>
      </c>
      <c r="Q10" s="209"/>
      <c r="R10" s="110">
        <v>5.2083333333333301E-2</v>
      </c>
      <c r="S10" s="211"/>
      <c r="T10" s="21"/>
      <c r="U10" s="110">
        <v>5.2083333333333301E-2</v>
      </c>
      <c r="V10" s="209"/>
      <c r="W10" s="110">
        <v>5.2083333333333301E-2</v>
      </c>
      <c r="X10" s="209"/>
      <c r="Y10" s="110">
        <v>5.2083333333333301E-2</v>
      </c>
      <c r="Z10" s="211"/>
      <c r="AA10" s="21"/>
      <c r="AB10" s="110">
        <v>5.2083333333333301E-2</v>
      </c>
      <c r="AC10" s="209"/>
      <c r="AD10" s="110">
        <v>5.2083333333333301E-2</v>
      </c>
      <c r="AE10" s="209"/>
      <c r="AF10" s="110">
        <v>5.2083333333333301E-2</v>
      </c>
      <c r="AG10" s="211"/>
      <c r="AH10" s="21"/>
      <c r="AI10" s="110">
        <v>5.2083333333333301E-2</v>
      </c>
      <c r="AJ10" s="209"/>
      <c r="AK10" s="110">
        <v>5.2083333333333301E-2</v>
      </c>
      <c r="AL10" s="209"/>
      <c r="AM10" s="110">
        <v>5.2083333333333301E-2</v>
      </c>
      <c r="AN10" s="211"/>
      <c r="AO10" s="21"/>
      <c r="AP10" s="110">
        <v>5.2083333333333301E-2</v>
      </c>
      <c r="AQ10" s="209"/>
      <c r="AR10" s="110">
        <v>5.2083333333333301E-2</v>
      </c>
      <c r="AS10" s="209"/>
      <c r="AT10" s="110">
        <v>5.2083333333333301E-2</v>
      </c>
      <c r="AU10" s="211"/>
      <c r="AV10" s="21"/>
      <c r="AW10" s="110">
        <v>5.2083333333333301E-2</v>
      </c>
      <c r="AX10" s="211"/>
      <c r="AY10" s="21"/>
      <c r="AZ10" s="110">
        <v>5.2083333333333301E-2</v>
      </c>
      <c r="BA10" s="264"/>
      <c r="BC10" s="260">
        <v>5.2083333333333301E-2</v>
      </c>
      <c r="BD10" s="211"/>
      <c r="BE10" s="110">
        <v>5.2083333333333301E-2</v>
      </c>
      <c r="BF10" s="211"/>
      <c r="BG10" s="110">
        <v>5.2083333333333301E-2</v>
      </c>
      <c r="BH10" s="211"/>
      <c r="BI10" s="21"/>
      <c r="BJ10" s="110">
        <v>5.2083333333333301E-2</v>
      </c>
      <c r="BK10" s="209"/>
      <c r="BL10" s="110">
        <v>5.2083333333333301E-2</v>
      </c>
      <c r="BM10" s="209"/>
      <c r="BN10" s="110">
        <v>5.2083333333333301E-2</v>
      </c>
      <c r="BO10" s="211"/>
      <c r="BP10" s="21"/>
      <c r="BQ10" s="110">
        <v>5.2083333333333301E-2</v>
      </c>
      <c r="BR10" s="209"/>
      <c r="BS10" s="110">
        <v>5.2083333333333301E-2</v>
      </c>
      <c r="BT10" s="209"/>
      <c r="BU10" s="110">
        <v>5.2083333333333301E-2</v>
      </c>
      <c r="BV10" s="211"/>
      <c r="BW10" s="21"/>
      <c r="BX10" s="110">
        <v>5.2083333333333301E-2</v>
      </c>
      <c r="BY10" s="209"/>
      <c r="BZ10" s="110">
        <v>5.2083333333333301E-2</v>
      </c>
      <c r="CA10" s="209"/>
      <c r="CB10" s="110">
        <v>5.2083333333333301E-2</v>
      </c>
      <c r="CC10" s="211"/>
      <c r="CD10" s="21"/>
      <c r="CE10" s="110">
        <v>5.2083333333333301E-2</v>
      </c>
      <c r="CF10" s="209"/>
      <c r="CG10" s="110">
        <v>5.2083333333333301E-2</v>
      </c>
      <c r="CH10" s="209"/>
      <c r="CI10" s="110">
        <v>5.2083333333333301E-2</v>
      </c>
      <c r="CJ10" s="211"/>
      <c r="CK10" s="21"/>
      <c r="CL10" s="110">
        <v>5.2083333333333301E-2</v>
      </c>
      <c r="CM10" s="209"/>
      <c r="CN10" s="110">
        <v>5.2083333333333301E-2</v>
      </c>
      <c r="CO10" s="209"/>
      <c r="CP10" s="110">
        <v>5.2083333333333301E-2</v>
      </c>
      <c r="CQ10" s="211"/>
      <c r="CR10" s="21"/>
      <c r="CS10" s="110">
        <v>5.2083333333333301E-2</v>
      </c>
      <c r="CT10" s="211"/>
      <c r="CU10" s="21"/>
      <c r="CV10" s="110">
        <v>5.2083333333333301E-2</v>
      </c>
      <c r="CW10" s="264"/>
      <c r="CY10" s="260">
        <v>5.2083333333333301E-2</v>
      </c>
      <c r="CZ10" s="178"/>
      <c r="DA10" s="110">
        <v>5.2083333333333301E-2</v>
      </c>
      <c r="DB10" s="263"/>
      <c r="DC10" s="110">
        <v>5.2083333333333301E-2</v>
      </c>
      <c r="DD10" s="211"/>
      <c r="DE10" s="21"/>
      <c r="DF10" s="110">
        <v>5.2083333333333301E-2</v>
      </c>
      <c r="DG10" s="209"/>
      <c r="DH10" s="110">
        <v>5.2083333333333301E-2</v>
      </c>
      <c r="DI10" s="209"/>
      <c r="DJ10" s="110">
        <v>5.2083333333333301E-2</v>
      </c>
      <c r="DK10" s="211"/>
      <c r="DL10" s="21"/>
      <c r="DM10" s="110">
        <v>5.2083333333333301E-2</v>
      </c>
      <c r="DN10" s="209"/>
      <c r="DO10" s="110">
        <v>5.2083333333333301E-2</v>
      </c>
      <c r="DP10" s="209"/>
      <c r="DQ10" s="110">
        <v>5.2083333333333301E-2</v>
      </c>
      <c r="DR10" s="211"/>
      <c r="DS10" s="21"/>
      <c r="DT10" s="110">
        <v>5.2083333333333301E-2</v>
      </c>
      <c r="DU10" s="209"/>
      <c r="DV10" s="110">
        <v>5.2083333333333301E-2</v>
      </c>
      <c r="DW10" s="209"/>
      <c r="DX10" s="110">
        <v>5.2083333333333301E-2</v>
      </c>
      <c r="DY10" s="211"/>
      <c r="DZ10" s="21"/>
      <c r="EA10" s="110">
        <v>5.2083333333333301E-2</v>
      </c>
      <c r="EB10" s="209">
        <f>IF('Temperature Profiles'!AA9&gt;18,(0.0018*('Temperature Profiles'!AA9^2)-(0.0475*'Temperature Profiles'!AA9)+0.3123)*1000,IF(AND('Temperature Profiles'!AA9&lt;17,'Temperature Profiles'!AA9&gt;-5.6),(0.0021*('Temperature Profiles'!AA9^2)-(0.0919*'Temperature Profiles'!AA9)+1.0491)*1000,IF(AND('Temperature Profiles'!AA9&lt;-5.6,'Temperature Profiles'!AA9&gt;-11.4),(((-0.2925*'Temperature Profiles'!AA9)-1.6914)*1000)+EB$208,IF('Temperature Profiles'!AA9&lt;-11.4,EB113,0))))</f>
        <v>6900</v>
      </c>
      <c r="EC10" s="110">
        <v>5.2083333333333301E-2</v>
      </c>
      <c r="ED10" s="209">
        <f>IF('Temperature Profiles'!AA9&gt;18,(0.0034*('Temperature Profiles'!AA9^2)-(0.087*'Temperature Profiles'!AA9)+0.5117)*1000,IF(AND('Temperature Profiles'!AA9&lt;17,'Temperature Profiles'!AA9&gt;-4.4),(0.0027*('Temperature Profiles'!AA9^2)-(0.149*'Temperature Profiles'!AA9)+1.7779)*1000,IF(AND('Temperature Profiles'!AA9&lt;-4.4,'Temperature Profiles'!AA9&gt;-8.5),(((-0.5391*'Temperature Profiles'!AA9)-2.0906)*1000)+ED$208,IF('Temperature Profiles'!AA9&lt;-8.5,ED113,0))))</f>
        <v>12300</v>
      </c>
      <c r="EE10" s="110">
        <v>5.2083333333333301E-2</v>
      </c>
      <c r="EF10" s="211">
        <f>IF('Temperature Profiles'!AA9&gt;18,(0.0048*('Temperature Profiles'!AA9^2)-(0.1352*'Temperature Profiles'!AA9)+0.9193)*1000,IF(AND('Temperature Profiles'!AA9&lt;17,'Temperature Profiles'!AA9&gt;-4.4),(0.0031*('Temperature Profiles'!AA9^2)-(0.2029*'Temperature Profiles'!AA9)+2.4264)*1000,IF(AND('Temperature Profiles'!AA9&lt;-4.4,'Temperature Profiles'!AA9&gt;-8.5),(((-0.7516*'Temperature Profiles'!AA9)-2.9985)*1000)+EF$208,IF('Temperature Profiles'!AA9&lt;-8.5,EF113,0))))</f>
        <v>16000</v>
      </c>
      <c r="EG10" s="21"/>
      <c r="EH10" s="110">
        <v>5.2083333333333301E-2</v>
      </c>
      <c r="EI10" s="211"/>
      <c r="EJ10" s="110">
        <v>5.2083333333333301E-2</v>
      </c>
      <c r="EK10" s="211"/>
      <c r="EL10" s="110">
        <v>5.2083333333333301E-2</v>
      </c>
      <c r="EM10" s="211"/>
      <c r="EN10" s="21"/>
      <c r="EO10" s="110">
        <v>5.2083333333333301E-2</v>
      </c>
      <c r="EP10" s="211"/>
      <c r="EQ10" s="21"/>
      <c r="ER10" s="110">
        <v>5.2083333333333301E-2</v>
      </c>
      <c r="ES10" s="264"/>
      <c r="EU10" s="260">
        <v>5.2083333333333301E-2</v>
      </c>
      <c r="EV10" s="209">
        <f>IF('Temperature Profiles'!AA9&gt;18,(0.0018*('Temperature Profiles'!AA9^2)-(0.0475*'Temperature Profiles'!AA9)+0.3123)*1000,IF(AND('Temperature Profiles'!AA9&lt;17,'Temperature Profiles'!AA9&gt;-5.6),(0.0021*('Temperature Profiles'!AA9^2)-(0.0919*'Temperature Profiles'!AA9)+1.0491)*1000,IF(AND('Temperature Profiles'!AA9&lt;-5.6,'Temperature Profiles'!AA9&gt;-11.4),EV$208,IF('Temperature Profiles'!AA9&lt;-11.4,EV113,0))))</f>
        <v>5400</v>
      </c>
      <c r="EW10" s="110">
        <v>5.2083333333333301E-2</v>
      </c>
      <c r="EX10" s="209">
        <f>IF('Temperature Profiles'!AA9&gt;18,(0.0034*('Temperature Profiles'!AA9^2)-(0.087*'Temperature Profiles'!AA9)+0.5117)*1000,IF(AND('Temperature Profiles'!AA9&lt;17,'Temperature Profiles'!AA9&gt;-4.4),(0.0027*('Temperature Profiles'!AA9^2)-(0.149*'Temperature Profiles'!AA9)+1.7779)*1000,IF(AND('Temperature Profiles'!AA9&lt;-4.4,'Temperature Profiles'!AA9&gt;-8.5),EX$208,IF('Temperature Profiles'!AA9&lt;-8.5,EX113,0))))</f>
        <v>5400</v>
      </c>
      <c r="EY10" s="110">
        <v>5.2083333333333301E-2</v>
      </c>
      <c r="EZ10" s="264">
        <f>IF('Temperature Profiles'!AA9&gt;18,(0.0048*('Temperature Profiles'!AA9^2)-(0.1352*'Temperature Profiles'!AA9)+0.9193)*1000,IF(AND('Temperature Profiles'!AA9&lt;17,'Temperature Profiles'!AA9&gt;-4.4),(0.0031*('Temperature Profiles'!AA9^2)-(0.2029*'Temperature Profiles'!AA9)+2.4264)*1000,IF(AND('Temperature Profiles'!AA9&lt;-4.4,'Temperature Profiles'!AA9&gt;-8.5),EZ$208,IF('Temperature Profiles'!AA9&lt;-8.5,EZ113,0))))</f>
        <v>5400</v>
      </c>
    </row>
    <row r="11" spans="1:197" x14ac:dyDescent="0.3">
      <c r="A11" s="108">
        <v>5.2083333333333301E-2</v>
      </c>
      <c r="B11" s="226">
        <f t="shared" si="0"/>
        <v>0</v>
      </c>
      <c r="C11" s="21">
        <f t="shared" si="1"/>
        <v>0</v>
      </c>
      <c r="D11" s="21">
        <f t="shared" si="2"/>
        <v>16000</v>
      </c>
      <c r="E11" s="20">
        <f t="shared" si="3"/>
        <v>5400</v>
      </c>
      <c r="G11" s="260">
        <v>6.25E-2</v>
      </c>
      <c r="H11" s="211"/>
      <c r="I11" s="110">
        <v>6.25E-2</v>
      </c>
      <c r="J11" s="211"/>
      <c r="K11" s="110">
        <v>6.25E-2</v>
      </c>
      <c r="L11" s="211"/>
      <c r="M11" s="21"/>
      <c r="N11" s="110">
        <v>6.25E-2</v>
      </c>
      <c r="O11" s="209"/>
      <c r="P11" s="110">
        <v>6.25E-2</v>
      </c>
      <c r="Q11" s="209"/>
      <c r="R11" s="110">
        <v>6.25E-2</v>
      </c>
      <c r="S11" s="211"/>
      <c r="T11" s="21"/>
      <c r="U11" s="110">
        <v>6.25E-2</v>
      </c>
      <c r="V11" s="209"/>
      <c r="W11" s="110">
        <v>6.25E-2</v>
      </c>
      <c r="X11" s="209"/>
      <c r="Y11" s="110">
        <v>6.25E-2</v>
      </c>
      <c r="Z11" s="211"/>
      <c r="AA11" s="21"/>
      <c r="AB11" s="110">
        <v>6.25E-2</v>
      </c>
      <c r="AC11" s="209"/>
      <c r="AD11" s="110">
        <v>6.25E-2</v>
      </c>
      <c r="AE11" s="209"/>
      <c r="AF11" s="110">
        <v>6.25E-2</v>
      </c>
      <c r="AG11" s="211"/>
      <c r="AH11" s="21"/>
      <c r="AI11" s="110">
        <v>6.25E-2</v>
      </c>
      <c r="AJ11" s="209"/>
      <c r="AK11" s="110">
        <v>6.25E-2</v>
      </c>
      <c r="AL11" s="209"/>
      <c r="AM11" s="110">
        <v>6.25E-2</v>
      </c>
      <c r="AN11" s="211"/>
      <c r="AO11" s="21"/>
      <c r="AP11" s="110">
        <v>6.25E-2</v>
      </c>
      <c r="AQ11" s="209"/>
      <c r="AR11" s="110">
        <v>6.25E-2</v>
      </c>
      <c r="AS11" s="209"/>
      <c r="AT11" s="110">
        <v>6.25E-2</v>
      </c>
      <c r="AU11" s="211"/>
      <c r="AV11" s="21"/>
      <c r="AW11" s="110">
        <v>6.25E-2</v>
      </c>
      <c r="AX11" s="211"/>
      <c r="AY11" s="21"/>
      <c r="AZ11" s="110">
        <v>6.25E-2</v>
      </c>
      <c r="BA11" s="264"/>
      <c r="BC11" s="260">
        <v>6.25E-2</v>
      </c>
      <c r="BD11" s="211"/>
      <c r="BE11" s="110">
        <v>6.25E-2</v>
      </c>
      <c r="BF11" s="211"/>
      <c r="BG11" s="110">
        <v>6.25E-2</v>
      </c>
      <c r="BH11" s="211"/>
      <c r="BI11" s="21"/>
      <c r="BJ11" s="110">
        <v>6.25E-2</v>
      </c>
      <c r="BK11" s="209"/>
      <c r="BL11" s="110">
        <v>6.25E-2</v>
      </c>
      <c r="BM11" s="209"/>
      <c r="BN11" s="110">
        <v>6.25E-2</v>
      </c>
      <c r="BO11" s="211"/>
      <c r="BP11" s="21"/>
      <c r="BQ11" s="110">
        <v>6.25E-2</v>
      </c>
      <c r="BR11" s="209"/>
      <c r="BS11" s="110">
        <v>6.25E-2</v>
      </c>
      <c r="BT11" s="209"/>
      <c r="BU11" s="110">
        <v>6.25E-2</v>
      </c>
      <c r="BV11" s="211"/>
      <c r="BW11" s="21"/>
      <c r="BX11" s="110">
        <v>6.25E-2</v>
      </c>
      <c r="BY11" s="209"/>
      <c r="BZ11" s="110">
        <v>6.25E-2</v>
      </c>
      <c r="CA11" s="209"/>
      <c r="CB11" s="110">
        <v>6.25E-2</v>
      </c>
      <c r="CC11" s="211"/>
      <c r="CD11" s="21"/>
      <c r="CE11" s="110">
        <v>6.25E-2</v>
      </c>
      <c r="CF11" s="209"/>
      <c r="CG11" s="110">
        <v>6.25E-2</v>
      </c>
      <c r="CH11" s="209"/>
      <c r="CI11" s="110">
        <v>6.25E-2</v>
      </c>
      <c r="CJ11" s="211"/>
      <c r="CK11" s="21"/>
      <c r="CL11" s="110">
        <v>6.25E-2</v>
      </c>
      <c r="CM11" s="209"/>
      <c r="CN11" s="110">
        <v>6.25E-2</v>
      </c>
      <c r="CO11" s="209"/>
      <c r="CP11" s="110">
        <v>6.25E-2</v>
      </c>
      <c r="CQ11" s="211"/>
      <c r="CR11" s="21"/>
      <c r="CS11" s="110">
        <v>6.25E-2</v>
      </c>
      <c r="CT11" s="211"/>
      <c r="CU11" s="21"/>
      <c r="CV11" s="110">
        <v>6.25E-2</v>
      </c>
      <c r="CW11" s="264"/>
      <c r="CY11" s="260">
        <v>6.25E-2</v>
      </c>
      <c r="CZ11" s="178"/>
      <c r="DA11" s="110">
        <v>6.25E-2</v>
      </c>
      <c r="DB11" s="263"/>
      <c r="DC11" s="110">
        <v>6.25E-2</v>
      </c>
      <c r="DD11" s="211"/>
      <c r="DE11" s="21"/>
      <c r="DF11" s="110">
        <v>6.25E-2</v>
      </c>
      <c r="DG11" s="209"/>
      <c r="DH11" s="110">
        <v>6.25E-2</v>
      </c>
      <c r="DI11" s="209"/>
      <c r="DJ11" s="110">
        <v>6.25E-2</v>
      </c>
      <c r="DK11" s="211"/>
      <c r="DL11" s="21"/>
      <c r="DM11" s="110">
        <v>6.25E-2</v>
      </c>
      <c r="DN11" s="209"/>
      <c r="DO11" s="110">
        <v>6.25E-2</v>
      </c>
      <c r="DP11" s="209"/>
      <c r="DQ11" s="110">
        <v>6.25E-2</v>
      </c>
      <c r="DR11" s="211"/>
      <c r="DS11" s="21"/>
      <c r="DT11" s="110">
        <v>6.25E-2</v>
      </c>
      <c r="DU11" s="209"/>
      <c r="DV11" s="110">
        <v>6.25E-2</v>
      </c>
      <c r="DW11" s="209"/>
      <c r="DX11" s="110">
        <v>6.25E-2</v>
      </c>
      <c r="DY11" s="211"/>
      <c r="DZ11" s="21"/>
      <c r="EA11" s="110">
        <v>6.25E-2</v>
      </c>
      <c r="EB11" s="209">
        <f>IF('Temperature Profiles'!AA10&gt;18,(0.0018*('Temperature Profiles'!AA10^2)-(0.0475*'Temperature Profiles'!AA10)+0.3123)*1000,IF(AND('Temperature Profiles'!AA10&lt;17,'Temperature Profiles'!AA10&gt;-5.6),(0.0021*('Temperature Profiles'!AA10^2)-(0.0919*'Temperature Profiles'!AA10)+1.0491)*1000,IF(AND('Temperature Profiles'!AA10&lt;-5.6,'Temperature Profiles'!AA10&gt;-11.4),(((-0.2925*'Temperature Profiles'!AA10)-1.6914)*1000)+EB$208,IF('Temperature Profiles'!AA10&lt;-11.4,EB114,0))))</f>
        <v>0</v>
      </c>
      <c r="EC11" s="110">
        <v>6.25E-2</v>
      </c>
      <c r="ED11" s="209">
        <f>IF('Temperature Profiles'!AA10&gt;18,(0.0034*('Temperature Profiles'!AA10^2)-(0.087*'Temperature Profiles'!AA10)+0.5117)*1000,IF(AND('Temperature Profiles'!AA10&lt;17,'Temperature Profiles'!AA10&gt;-4.4),(0.0027*('Temperature Profiles'!AA10^2)-(0.149*'Temperature Profiles'!AA10)+1.7779)*1000,IF(AND('Temperature Profiles'!AA10&lt;-4.4,'Temperature Profiles'!AA10&gt;-8.5),(((-0.5391*'Temperature Profiles'!AA10)-2.0906)*1000)+ED$208,IF('Temperature Profiles'!AA10&lt;-8.5,ED114,0))))</f>
        <v>0</v>
      </c>
      <c r="EE11" s="110">
        <v>6.25E-2</v>
      </c>
      <c r="EF11" s="211">
        <f>IF('Temperature Profiles'!AA10&gt;18,(0.0048*('Temperature Profiles'!AA10^2)-(0.1352*'Temperature Profiles'!AA10)+0.9193)*1000,IF(AND('Temperature Profiles'!AA10&lt;17,'Temperature Profiles'!AA10&gt;-4.4),(0.0031*('Temperature Profiles'!AA10^2)-(0.2029*'Temperature Profiles'!AA10)+2.4264)*1000,IF(AND('Temperature Profiles'!AA10&lt;-4.4,'Temperature Profiles'!AA10&gt;-8.5),(((-0.7516*'Temperature Profiles'!AA10)-2.9985)*1000)+EF$208,IF('Temperature Profiles'!AA10&lt;-8.5,EF114,0))))</f>
        <v>16000</v>
      </c>
      <c r="EG11" s="21"/>
      <c r="EH11" s="110">
        <v>6.25E-2</v>
      </c>
      <c r="EI11" s="211"/>
      <c r="EJ11" s="110">
        <v>6.25E-2</v>
      </c>
      <c r="EK11" s="211"/>
      <c r="EL11" s="110">
        <v>6.25E-2</v>
      </c>
      <c r="EM11" s="211"/>
      <c r="EN11" s="21"/>
      <c r="EO11" s="110">
        <v>6.25E-2</v>
      </c>
      <c r="EP11" s="211"/>
      <c r="EQ11" s="21"/>
      <c r="ER11" s="110">
        <v>6.25E-2</v>
      </c>
      <c r="ES11" s="264"/>
      <c r="EU11" s="260">
        <v>6.25E-2</v>
      </c>
      <c r="EV11" s="209">
        <f>IF('Temperature Profiles'!AA10&gt;18,(0.0018*('Temperature Profiles'!AA10^2)-(0.0475*'Temperature Profiles'!AA10)+0.3123)*1000,IF(AND('Temperature Profiles'!AA10&lt;17,'Temperature Profiles'!AA10&gt;-5.6),(0.0021*('Temperature Profiles'!AA10^2)-(0.0919*'Temperature Profiles'!AA10)+1.0491)*1000,IF(AND('Temperature Profiles'!AA10&lt;-5.6,'Temperature Profiles'!AA10&gt;-11.4),EV$208,IF('Temperature Profiles'!AA10&lt;-11.4,EV114,0))))</f>
        <v>0</v>
      </c>
      <c r="EW11" s="110">
        <v>6.25E-2</v>
      </c>
      <c r="EX11" s="209">
        <f>IF('Temperature Profiles'!AA10&gt;18,(0.0034*('Temperature Profiles'!AA10^2)-(0.087*'Temperature Profiles'!AA10)+0.5117)*1000,IF(AND('Temperature Profiles'!AA10&lt;17,'Temperature Profiles'!AA10&gt;-4.4),(0.0027*('Temperature Profiles'!AA10^2)-(0.149*'Temperature Profiles'!AA10)+1.7779)*1000,IF(AND('Temperature Profiles'!AA10&lt;-4.4,'Temperature Profiles'!AA10&gt;-8.5),EX$208,IF('Temperature Profiles'!AA10&lt;-8.5,EX114,0))))</f>
        <v>0</v>
      </c>
      <c r="EY11" s="110">
        <v>6.25E-2</v>
      </c>
      <c r="EZ11" s="264">
        <f>IF('Temperature Profiles'!AA10&gt;18,(0.0048*('Temperature Profiles'!AA10^2)-(0.1352*'Temperature Profiles'!AA10)+0.9193)*1000,IF(AND('Temperature Profiles'!AA10&lt;17,'Temperature Profiles'!AA10&gt;-4.4),(0.0031*('Temperature Profiles'!AA10^2)-(0.2029*'Temperature Profiles'!AA10)+2.4264)*1000,IF(AND('Temperature Profiles'!AA10&lt;-4.4,'Temperature Profiles'!AA10&gt;-8.5),EZ$208,IF('Temperature Profiles'!AA10&lt;-8.5,EZ114,0))))</f>
        <v>5400</v>
      </c>
    </row>
    <row r="12" spans="1:197" x14ac:dyDescent="0.3">
      <c r="A12" s="108">
        <v>6.25E-2</v>
      </c>
      <c r="B12" s="226">
        <f t="shared" si="0"/>
        <v>0</v>
      </c>
      <c r="C12" s="21">
        <f t="shared" si="1"/>
        <v>0</v>
      </c>
      <c r="D12" s="21">
        <f t="shared" si="2"/>
        <v>16000</v>
      </c>
      <c r="E12" s="20">
        <f t="shared" si="3"/>
        <v>5400</v>
      </c>
      <c r="G12" s="260">
        <v>7.2916666666666699E-2</v>
      </c>
      <c r="H12" s="211"/>
      <c r="I12" s="110">
        <v>7.2916666666666699E-2</v>
      </c>
      <c r="J12" s="211"/>
      <c r="K12" s="110">
        <v>7.2916666666666699E-2</v>
      </c>
      <c r="L12" s="211"/>
      <c r="M12" s="21"/>
      <c r="N12" s="110">
        <v>7.2916666666666699E-2</v>
      </c>
      <c r="O12" s="209"/>
      <c r="P12" s="110">
        <v>7.2916666666666699E-2</v>
      </c>
      <c r="Q12" s="209"/>
      <c r="R12" s="110">
        <v>7.2916666666666699E-2</v>
      </c>
      <c r="S12" s="211"/>
      <c r="T12" s="21"/>
      <c r="U12" s="110">
        <v>7.2916666666666699E-2</v>
      </c>
      <c r="V12" s="209"/>
      <c r="W12" s="110">
        <v>7.2916666666666699E-2</v>
      </c>
      <c r="X12" s="209"/>
      <c r="Y12" s="110">
        <v>7.2916666666666699E-2</v>
      </c>
      <c r="Z12" s="211"/>
      <c r="AA12" s="21"/>
      <c r="AB12" s="110">
        <v>7.2916666666666699E-2</v>
      </c>
      <c r="AC12" s="209"/>
      <c r="AD12" s="110">
        <v>7.2916666666666699E-2</v>
      </c>
      <c r="AE12" s="209"/>
      <c r="AF12" s="110">
        <v>7.2916666666666699E-2</v>
      </c>
      <c r="AG12" s="211"/>
      <c r="AH12" s="21"/>
      <c r="AI12" s="110">
        <v>7.2916666666666699E-2</v>
      </c>
      <c r="AJ12" s="209"/>
      <c r="AK12" s="110">
        <v>7.2916666666666699E-2</v>
      </c>
      <c r="AL12" s="209"/>
      <c r="AM12" s="110">
        <v>7.2916666666666699E-2</v>
      </c>
      <c r="AN12" s="211"/>
      <c r="AO12" s="21"/>
      <c r="AP12" s="110">
        <v>7.2916666666666699E-2</v>
      </c>
      <c r="AQ12" s="209"/>
      <c r="AR12" s="110">
        <v>7.2916666666666699E-2</v>
      </c>
      <c r="AS12" s="209"/>
      <c r="AT12" s="110">
        <v>7.2916666666666699E-2</v>
      </c>
      <c r="AU12" s="211"/>
      <c r="AV12" s="21"/>
      <c r="AW12" s="110">
        <v>7.2916666666666699E-2</v>
      </c>
      <c r="AX12" s="211"/>
      <c r="AY12" s="21"/>
      <c r="AZ12" s="110">
        <v>7.2916666666666699E-2</v>
      </c>
      <c r="BA12" s="264"/>
      <c r="BC12" s="260">
        <v>7.2916666666666699E-2</v>
      </c>
      <c r="BD12" s="211"/>
      <c r="BE12" s="110">
        <v>7.2916666666666699E-2</v>
      </c>
      <c r="BF12" s="211"/>
      <c r="BG12" s="110">
        <v>7.2916666666666699E-2</v>
      </c>
      <c r="BH12" s="211"/>
      <c r="BI12" s="21"/>
      <c r="BJ12" s="110">
        <v>7.2916666666666699E-2</v>
      </c>
      <c r="BK12" s="209"/>
      <c r="BL12" s="110">
        <v>7.2916666666666699E-2</v>
      </c>
      <c r="BM12" s="209"/>
      <c r="BN12" s="110">
        <v>7.2916666666666699E-2</v>
      </c>
      <c r="BO12" s="211"/>
      <c r="BP12" s="21"/>
      <c r="BQ12" s="110">
        <v>7.2916666666666699E-2</v>
      </c>
      <c r="BR12" s="209"/>
      <c r="BS12" s="110">
        <v>7.2916666666666699E-2</v>
      </c>
      <c r="BT12" s="209"/>
      <c r="BU12" s="110">
        <v>7.2916666666666699E-2</v>
      </c>
      <c r="BV12" s="211"/>
      <c r="BW12" s="21"/>
      <c r="BX12" s="110">
        <v>7.2916666666666699E-2</v>
      </c>
      <c r="BY12" s="209"/>
      <c r="BZ12" s="110">
        <v>7.2916666666666699E-2</v>
      </c>
      <c r="CA12" s="209"/>
      <c r="CB12" s="110">
        <v>7.2916666666666699E-2</v>
      </c>
      <c r="CC12" s="211"/>
      <c r="CD12" s="21"/>
      <c r="CE12" s="110">
        <v>7.2916666666666699E-2</v>
      </c>
      <c r="CF12" s="209"/>
      <c r="CG12" s="110">
        <v>7.2916666666666699E-2</v>
      </c>
      <c r="CH12" s="209"/>
      <c r="CI12" s="110">
        <v>7.2916666666666699E-2</v>
      </c>
      <c r="CJ12" s="211"/>
      <c r="CK12" s="21"/>
      <c r="CL12" s="110">
        <v>7.2916666666666699E-2</v>
      </c>
      <c r="CM12" s="209"/>
      <c r="CN12" s="110">
        <v>7.2916666666666699E-2</v>
      </c>
      <c r="CO12" s="209"/>
      <c r="CP12" s="110">
        <v>7.2916666666666699E-2</v>
      </c>
      <c r="CQ12" s="211"/>
      <c r="CR12" s="21"/>
      <c r="CS12" s="110">
        <v>7.2916666666666699E-2</v>
      </c>
      <c r="CT12" s="211"/>
      <c r="CU12" s="21"/>
      <c r="CV12" s="110">
        <v>7.2916666666666699E-2</v>
      </c>
      <c r="CW12" s="264"/>
      <c r="CY12" s="260">
        <v>7.2916666666666699E-2</v>
      </c>
      <c r="CZ12" s="178"/>
      <c r="DA12" s="110">
        <v>7.2916666666666699E-2</v>
      </c>
      <c r="DB12" s="263"/>
      <c r="DC12" s="110">
        <v>7.2916666666666699E-2</v>
      </c>
      <c r="DD12" s="211"/>
      <c r="DE12" s="21"/>
      <c r="DF12" s="110">
        <v>7.2916666666666699E-2</v>
      </c>
      <c r="DG12" s="209"/>
      <c r="DH12" s="110">
        <v>7.2916666666666699E-2</v>
      </c>
      <c r="DI12" s="209"/>
      <c r="DJ12" s="110">
        <v>7.2916666666666699E-2</v>
      </c>
      <c r="DK12" s="211"/>
      <c r="DL12" s="21"/>
      <c r="DM12" s="110">
        <v>7.2916666666666699E-2</v>
      </c>
      <c r="DN12" s="209"/>
      <c r="DO12" s="110">
        <v>7.2916666666666699E-2</v>
      </c>
      <c r="DP12" s="209"/>
      <c r="DQ12" s="110">
        <v>7.2916666666666699E-2</v>
      </c>
      <c r="DR12" s="211"/>
      <c r="DS12" s="21"/>
      <c r="DT12" s="110">
        <v>7.2916666666666699E-2</v>
      </c>
      <c r="DU12" s="209"/>
      <c r="DV12" s="110">
        <v>7.2916666666666699E-2</v>
      </c>
      <c r="DW12" s="209"/>
      <c r="DX12" s="110">
        <v>7.2916666666666699E-2</v>
      </c>
      <c r="DY12" s="211"/>
      <c r="DZ12" s="21"/>
      <c r="EA12" s="110">
        <v>7.2916666666666699E-2</v>
      </c>
      <c r="EB12" s="209">
        <f>IF('Temperature Profiles'!AA11&gt;18,(0.0018*('Temperature Profiles'!AA11^2)-(0.0475*'Temperature Profiles'!AA11)+0.3123)*1000,IF(AND('Temperature Profiles'!AA11&lt;17,'Temperature Profiles'!AA11&gt;-5.6),(0.0021*('Temperature Profiles'!AA11^2)-(0.0919*'Temperature Profiles'!AA11)+1.0491)*1000,IF(AND('Temperature Profiles'!AA11&lt;-5.6,'Temperature Profiles'!AA11&gt;-11.4),(((-0.2925*'Temperature Profiles'!AA11)-1.6914)*1000)+EB$208,IF('Temperature Profiles'!AA11&lt;-11.4,EB115,0))))</f>
        <v>0</v>
      </c>
      <c r="EC12" s="110">
        <v>7.2916666666666699E-2</v>
      </c>
      <c r="ED12" s="209">
        <f>IF('Temperature Profiles'!AA11&gt;18,(0.0034*('Temperature Profiles'!AA11^2)-(0.087*'Temperature Profiles'!AA11)+0.5117)*1000,IF(AND('Temperature Profiles'!AA11&lt;17,'Temperature Profiles'!AA11&gt;-4.4),(0.0027*('Temperature Profiles'!AA11^2)-(0.149*'Temperature Profiles'!AA11)+1.7779)*1000,IF(AND('Temperature Profiles'!AA11&lt;-4.4,'Temperature Profiles'!AA11&gt;-8.5),(((-0.5391*'Temperature Profiles'!AA11)-2.0906)*1000)+ED$208,IF('Temperature Profiles'!AA11&lt;-8.5,ED115,0))))</f>
        <v>0</v>
      </c>
      <c r="EE12" s="110">
        <v>7.2916666666666699E-2</v>
      </c>
      <c r="EF12" s="211">
        <f>IF('Temperature Profiles'!AA11&gt;18,(0.0048*('Temperature Profiles'!AA11^2)-(0.1352*'Temperature Profiles'!AA11)+0.9193)*1000,IF(AND('Temperature Profiles'!AA11&lt;17,'Temperature Profiles'!AA11&gt;-4.4),(0.0031*('Temperature Profiles'!AA11^2)-(0.2029*'Temperature Profiles'!AA11)+2.4264)*1000,IF(AND('Temperature Profiles'!AA11&lt;-4.4,'Temperature Profiles'!AA11&gt;-8.5),(((-0.7516*'Temperature Profiles'!AA11)-2.9985)*1000)+EF$208,IF('Temperature Profiles'!AA11&lt;-8.5,EF115,0))))</f>
        <v>0</v>
      </c>
      <c r="EG12" s="21"/>
      <c r="EH12" s="110">
        <v>7.2916666666666699E-2</v>
      </c>
      <c r="EI12" s="211"/>
      <c r="EJ12" s="110">
        <v>7.2916666666666699E-2</v>
      </c>
      <c r="EK12" s="211"/>
      <c r="EL12" s="110">
        <v>7.2916666666666699E-2</v>
      </c>
      <c r="EM12" s="211"/>
      <c r="EN12" s="21"/>
      <c r="EO12" s="110">
        <v>7.2916666666666699E-2</v>
      </c>
      <c r="EP12" s="211"/>
      <c r="EQ12" s="21"/>
      <c r="ER12" s="110">
        <v>7.2916666666666699E-2</v>
      </c>
      <c r="ES12" s="264"/>
      <c r="EU12" s="260">
        <v>7.2916666666666699E-2</v>
      </c>
      <c r="EV12" s="209">
        <f>IF('Temperature Profiles'!AA11&gt;18,(0.0018*('Temperature Profiles'!AA11^2)-(0.0475*'Temperature Profiles'!AA11)+0.3123)*1000,IF(AND('Temperature Profiles'!AA11&lt;17,'Temperature Profiles'!AA11&gt;-5.6),(0.0021*('Temperature Profiles'!AA11^2)-(0.0919*'Temperature Profiles'!AA11)+1.0491)*1000,IF(AND('Temperature Profiles'!AA11&lt;-5.6,'Temperature Profiles'!AA11&gt;-11.4),EV$208,IF('Temperature Profiles'!AA11&lt;-11.4,EV115,0))))</f>
        <v>0</v>
      </c>
      <c r="EW12" s="110">
        <v>7.2916666666666699E-2</v>
      </c>
      <c r="EX12" s="209">
        <f>IF('Temperature Profiles'!AA11&gt;18,(0.0034*('Temperature Profiles'!AA11^2)-(0.087*'Temperature Profiles'!AA11)+0.5117)*1000,IF(AND('Temperature Profiles'!AA11&lt;17,'Temperature Profiles'!AA11&gt;-4.4),(0.0027*('Temperature Profiles'!AA11^2)-(0.149*'Temperature Profiles'!AA11)+1.7779)*1000,IF(AND('Temperature Profiles'!AA11&lt;-4.4,'Temperature Profiles'!AA11&gt;-8.5),EX$208,IF('Temperature Profiles'!AA11&lt;-8.5,EX115,0))))</f>
        <v>0</v>
      </c>
      <c r="EY12" s="110">
        <v>7.2916666666666699E-2</v>
      </c>
      <c r="EZ12" s="264">
        <f>IF('Temperature Profiles'!AA11&gt;18,(0.0048*('Temperature Profiles'!AA11^2)-(0.1352*'Temperature Profiles'!AA11)+0.9193)*1000,IF(AND('Temperature Profiles'!AA11&lt;17,'Temperature Profiles'!AA11&gt;-4.4),(0.0031*('Temperature Profiles'!AA11^2)-(0.2029*'Temperature Profiles'!AA11)+2.4264)*1000,IF(AND('Temperature Profiles'!AA11&lt;-4.4,'Temperature Profiles'!AA11&gt;-8.5),EZ$208,IF('Temperature Profiles'!AA11&lt;-8.5,EZ115,0))))</f>
        <v>0</v>
      </c>
    </row>
    <row r="13" spans="1:197" x14ac:dyDescent="0.3">
      <c r="A13" s="108">
        <v>7.2916666666666699E-2</v>
      </c>
      <c r="B13" s="226">
        <f t="shared" si="0"/>
        <v>0</v>
      </c>
      <c r="C13" s="21">
        <f t="shared" si="1"/>
        <v>0</v>
      </c>
      <c r="D13" s="21">
        <f t="shared" si="2"/>
        <v>0</v>
      </c>
      <c r="E13" s="20">
        <f t="shared" si="3"/>
        <v>0</v>
      </c>
      <c r="G13" s="260">
        <v>8.3333333333333301E-2</v>
      </c>
      <c r="H13" s="211"/>
      <c r="I13" s="110">
        <v>8.3333333333333301E-2</v>
      </c>
      <c r="J13" s="211"/>
      <c r="K13" s="110">
        <v>8.3333333333333301E-2</v>
      </c>
      <c r="L13" s="211"/>
      <c r="M13" s="21"/>
      <c r="N13" s="110">
        <v>8.3333333333333301E-2</v>
      </c>
      <c r="O13" s="209"/>
      <c r="P13" s="110">
        <v>8.3333333333333301E-2</v>
      </c>
      <c r="Q13" s="209"/>
      <c r="R13" s="110">
        <v>8.3333333333333301E-2</v>
      </c>
      <c r="S13" s="211"/>
      <c r="T13" s="21"/>
      <c r="U13" s="110">
        <v>8.3333333333333301E-2</v>
      </c>
      <c r="V13" s="209"/>
      <c r="W13" s="110">
        <v>8.3333333333333301E-2</v>
      </c>
      <c r="X13" s="209"/>
      <c r="Y13" s="110">
        <v>8.3333333333333301E-2</v>
      </c>
      <c r="Z13" s="211"/>
      <c r="AA13" s="21"/>
      <c r="AB13" s="110">
        <v>8.3333333333333301E-2</v>
      </c>
      <c r="AC13" s="209"/>
      <c r="AD13" s="110">
        <v>8.3333333333333301E-2</v>
      </c>
      <c r="AE13" s="209"/>
      <c r="AF13" s="110">
        <v>8.3333333333333301E-2</v>
      </c>
      <c r="AG13" s="211"/>
      <c r="AH13" s="21"/>
      <c r="AI13" s="110">
        <v>8.3333333333333301E-2</v>
      </c>
      <c r="AJ13" s="209"/>
      <c r="AK13" s="110">
        <v>8.3333333333333301E-2</v>
      </c>
      <c r="AL13" s="209"/>
      <c r="AM13" s="110">
        <v>8.3333333333333301E-2</v>
      </c>
      <c r="AN13" s="211"/>
      <c r="AO13" s="21"/>
      <c r="AP13" s="110">
        <v>8.3333333333333301E-2</v>
      </c>
      <c r="AQ13" s="209"/>
      <c r="AR13" s="110">
        <v>8.3333333333333301E-2</v>
      </c>
      <c r="AS13" s="209"/>
      <c r="AT13" s="110">
        <v>8.3333333333333301E-2</v>
      </c>
      <c r="AU13" s="211"/>
      <c r="AV13" s="21"/>
      <c r="AW13" s="110">
        <v>8.3333333333333301E-2</v>
      </c>
      <c r="AX13" s="211"/>
      <c r="AY13" s="21"/>
      <c r="AZ13" s="110">
        <v>8.3333333333333301E-2</v>
      </c>
      <c r="BA13" s="264"/>
      <c r="BC13" s="260">
        <v>8.3333333333333301E-2</v>
      </c>
      <c r="BD13" s="211"/>
      <c r="BE13" s="110">
        <v>8.3333333333333301E-2</v>
      </c>
      <c r="BF13" s="211"/>
      <c r="BG13" s="110">
        <v>8.3333333333333301E-2</v>
      </c>
      <c r="BH13" s="211"/>
      <c r="BI13" s="21"/>
      <c r="BJ13" s="110">
        <v>8.3333333333333301E-2</v>
      </c>
      <c r="BK13" s="209"/>
      <c r="BL13" s="110">
        <v>8.3333333333333301E-2</v>
      </c>
      <c r="BM13" s="209"/>
      <c r="BN13" s="110">
        <v>8.3333333333333301E-2</v>
      </c>
      <c r="BO13" s="211"/>
      <c r="BP13" s="21"/>
      <c r="BQ13" s="110">
        <v>8.3333333333333301E-2</v>
      </c>
      <c r="BR13" s="209"/>
      <c r="BS13" s="110">
        <v>8.3333333333333301E-2</v>
      </c>
      <c r="BT13" s="209"/>
      <c r="BU13" s="110">
        <v>8.3333333333333301E-2</v>
      </c>
      <c r="BV13" s="211"/>
      <c r="BW13" s="21"/>
      <c r="BX13" s="110">
        <v>8.3333333333333301E-2</v>
      </c>
      <c r="BY13" s="209"/>
      <c r="BZ13" s="110">
        <v>8.3333333333333301E-2</v>
      </c>
      <c r="CA13" s="209"/>
      <c r="CB13" s="110">
        <v>8.3333333333333301E-2</v>
      </c>
      <c r="CC13" s="211"/>
      <c r="CD13" s="21"/>
      <c r="CE13" s="110">
        <v>8.3333333333333301E-2</v>
      </c>
      <c r="CF13" s="209"/>
      <c r="CG13" s="110">
        <v>8.3333333333333301E-2</v>
      </c>
      <c r="CH13" s="209"/>
      <c r="CI13" s="110">
        <v>8.3333333333333301E-2</v>
      </c>
      <c r="CJ13" s="211"/>
      <c r="CK13" s="21"/>
      <c r="CL13" s="110">
        <v>8.3333333333333301E-2</v>
      </c>
      <c r="CM13" s="209"/>
      <c r="CN13" s="110">
        <v>8.3333333333333301E-2</v>
      </c>
      <c r="CO13" s="209"/>
      <c r="CP13" s="110">
        <v>8.3333333333333301E-2</v>
      </c>
      <c r="CQ13" s="211"/>
      <c r="CR13" s="21"/>
      <c r="CS13" s="110">
        <v>8.3333333333333301E-2</v>
      </c>
      <c r="CT13" s="211"/>
      <c r="CU13" s="21"/>
      <c r="CV13" s="110">
        <v>8.3333333333333301E-2</v>
      </c>
      <c r="CW13" s="264"/>
      <c r="CY13" s="260">
        <v>8.3333333333333301E-2</v>
      </c>
      <c r="CZ13" s="178"/>
      <c r="DA13" s="110">
        <v>8.3333333333333301E-2</v>
      </c>
      <c r="DB13" s="263"/>
      <c r="DC13" s="110">
        <v>8.3333333333333301E-2</v>
      </c>
      <c r="DD13" s="211"/>
      <c r="DE13" s="21"/>
      <c r="DF13" s="110">
        <v>8.3333333333333301E-2</v>
      </c>
      <c r="DG13" s="209"/>
      <c r="DH13" s="110">
        <v>8.3333333333333301E-2</v>
      </c>
      <c r="DI13" s="209"/>
      <c r="DJ13" s="110">
        <v>8.3333333333333301E-2</v>
      </c>
      <c r="DK13" s="211"/>
      <c r="DL13" s="21"/>
      <c r="DM13" s="110">
        <v>8.3333333333333301E-2</v>
      </c>
      <c r="DN13" s="209"/>
      <c r="DO13" s="110">
        <v>8.3333333333333301E-2</v>
      </c>
      <c r="DP13" s="209"/>
      <c r="DQ13" s="110">
        <v>8.3333333333333301E-2</v>
      </c>
      <c r="DR13" s="211"/>
      <c r="DS13" s="21"/>
      <c r="DT13" s="110">
        <v>8.3333333333333301E-2</v>
      </c>
      <c r="DU13" s="209"/>
      <c r="DV13" s="110">
        <v>8.3333333333333301E-2</v>
      </c>
      <c r="DW13" s="209"/>
      <c r="DX13" s="110">
        <v>8.3333333333333301E-2</v>
      </c>
      <c r="DY13" s="211"/>
      <c r="DZ13" s="21"/>
      <c r="EA13" s="110">
        <v>8.3333333333333301E-2</v>
      </c>
      <c r="EB13" s="209">
        <f>IF('Temperature Profiles'!AA12&gt;18,(0.0018*('Temperature Profiles'!AA12^2)-(0.0475*'Temperature Profiles'!AA12)+0.3123)*1000,IF(AND('Temperature Profiles'!AA12&lt;17,'Temperature Profiles'!AA12&gt;-5.6),(0.0021*('Temperature Profiles'!AA12^2)-(0.0919*'Temperature Profiles'!AA12)+1.0491)*1000,IF(AND('Temperature Profiles'!AA12&lt;-5.6,'Temperature Profiles'!AA12&gt;-11.4),(((-0.2925*'Temperature Profiles'!AA12)-1.6914)*1000)+EB$208,IF('Temperature Profiles'!AA12&lt;-11.4,EB116,0))))</f>
        <v>6900</v>
      </c>
      <c r="EC13" s="110">
        <v>8.3333333333333301E-2</v>
      </c>
      <c r="ED13" s="209">
        <f>IF('Temperature Profiles'!AA12&gt;18,(0.0034*('Temperature Profiles'!AA12^2)-(0.087*'Temperature Profiles'!AA12)+0.5117)*1000,IF(AND('Temperature Profiles'!AA12&lt;17,'Temperature Profiles'!AA12&gt;-4.4),(0.0027*('Temperature Profiles'!AA12^2)-(0.149*'Temperature Profiles'!AA12)+1.7779)*1000,IF(AND('Temperature Profiles'!AA12&lt;-4.4,'Temperature Profiles'!AA12&gt;-8.5),(((-0.5391*'Temperature Profiles'!AA12)-2.0906)*1000)+ED$208,IF('Temperature Profiles'!AA12&lt;-8.5,ED116,0))))</f>
        <v>12300</v>
      </c>
      <c r="EE13" s="110">
        <v>8.3333333333333301E-2</v>
      </c>
      <c r="EF13" s="211">
        <f>IF('Temperature Profiles'!AA12&gt;18,(0.0048*('Temperature Profiles'!AA12^2)-(0.1352*'Temperature Profiles'!AA12)+0.9193)*1000,IF(AND('Temperature Profiles'!AA12&lt;17,'Temperature Profiles'!AA12&gt;-4.4),(0.0031*('Temperature Profiles'!AA12^2)-(0.2029*'Temperature Profiles'!AA12)+2.4264)*1000,IF(AND('Temperature Profiles'!AA12&lt;-4.4,'Temperature Profiles'!AA12&gt;-8.5),(((-0.7516*'Temperature Profiles'!AA12)-2.9985)*1000)+EF$208,IF('Temperature Profiles'!AA12&lt;-8.5,EF116,0))))</f>
        <v>16000</v>
      </c>
      <c r="EG13" s="21"/>
      <c r="EH13" s="110">
        <v>8.3333333333333301E-2</v>
      </c>
      <c r="EI13" s="211"/>
      <c r="EJ13" s="110">
        <v>8.3333333333333301E-2</v>
      </c>
      <c r="EK13" s="211"/>
      <c r="EL13" s="110">
        <v>8.3333333333333301E-2</v>
      </c>
      <c r="EM13" s="211"/>
      <c r="EN13" s="21"/>
      <c r="EO13" s="110">
        <v>8.3333333333333301E-2</v>
      </c>
      <c r="EP13" s="211"/>
      <c r="EQ13" s="21"/>
      <c r="ER13" s="110">
        <v>8.3333333333333301E-2</v>
      </c>
      <c r="ES13" s="264"/>
      <c r="EU13" s="260">
        <v>8.3333333333333301E-2</v>
      </c>
      <c r="EV13" s="209">
        <f>IF('Temperature Profiles'!AA12&gt;18,(0.0018*('Temperature Profiles'!AA12^2)-(0.0475*'Temperature Profiles'!AA12)+0.3123)*1000,IF(AND('Temperature Profiles'!AA12&lt;17,'Temperature Profiles'!AA12&gt;-5.6),(0.0021*('Temperature Profiles'!AA12^2)-(0.0919*'Temperature Profiles'!AA12)+1.0491)*1000,IF(AND('Temperature Profiles'!AA12&lt;-5.6,'Temperature Profiles'!AA12&gt;-11.4),EV$208,IF('Temperature Profiles'!AA12&lt;-11.4,EV116,0))))</f>
        <v>5400</v>
      </c>
      <c r="EW13" s="110">
        <v>8.3333333333333301E-2</v>
      </c>
      <c r="EX13" s="209">
        <f>IF('Temperature Profiles'!AA12&gt;18,(0.0034*('Temperature Profiles'!AA12^2)-(0.087*'Temperature Profiles'!AA12)+0.5117)*1000,IF(AND('Temperature Profiles'!AA12&lt;17,'Temperature Profiles'!AA12&gt;-4.4),(0.0027*('Temperature Profiles'!AA12^2)-(0.149*'Temperature Profiles'!AA12)+1.7779)*1000,IF(AND('Temperature Profiles'!AA12&lt;-4.4,'Temperature Profiles'!AA12&gt;-8.5),EX$208,IF('Temperature Profiles'!AA12&lt;-8.5,EX116,0))))</f>
        <v>5400</v>
      </c>
      <c r="EY13" s="110">
        <v>8.3333333333333301E-2</v>
      </c>
      <c r="EZ13" s="264">
        <f>IF('Temperature Profiles'!AA12&gt;18,(0.0048*('Temperature Profiles'!AA12^2)-(0.1352*'Temperature Profiles'!AA12)+0.9193)*1000,IF(AND('Temperature Profiles'!AA12&lt;17,'Temperature Profiles'!AA12&gt;-4.4),(0.0031*('Temperature Profiles'!AA12^2)-(0.2029*'Temperature Profiles'!AA12)+2.4264)*1000,IF(AND('Temperature Profiles'!AA12&lt;-4.4,'Temperature Profiles'!AA12&gt;-8.5),EZ$208,IF('Temperature Profiles'!AA12&lt;-8.5,EZ116,0))))</f>
        <v>5400</v>
      </c>
    </row>
    <row r="14" spans="1:197" x14ac:dyDescent="0.3">
      <c r="A14" s="108">
        <v>8.3333333333333301E-2</v>
      </c>
      <c r="B14" s="226">
        <f t="shared" si="0"/>
        <v>0</v>
      </c>
      <c r="C14" s="21">
        <f t="shared" si="1"/>
        <v>0</v>
      </c>
      <c r="D14" s="21">
        <f t="shared" si="2"/>
        <v>16000</v>
      </c>
      <c r="E14" s="20">
        <f t="shared" si="3"/>
        <v>5400</v>
      </c>
      <c r="G14" s="260">
        <v>9.375E-2</v>
      </c>
      <c r="H14" s="211"/>
      <c r="I14" s="110">
        <v>9.375E-2</v>
      </c>
      <c r="J14" s="211"/>
      <c r="K14" s="110">
        <v>9.375E-2</v>
      </c>
      <c r="L14" s="211"/>
      <c r="M14" s="21"/>
      <c r="N14" s="110">
        <v>9.375E-2</v>
      </c>
      <c r="O14" s="209"/>
      <c r="P14" s="110">
        <v>9.375E-2</v>
      </c>
      <c r="Q14" s="209"/>
      <c r="R14" s="110">
        <v>9.375E-2</v>
      </c>
      <c r="S14" s="211"/>
      <c r="T14" s="21"/>
      <c r="U14" s="110">
        <v>9.375E-2</v>
      </c>
      <c r="V14" s="209"/>
      <c r="W14" s="110">
        <v>9.375E-2</v>
      </c>
      <c r="X14" s="209"/>
      <c r="Y14" s="110">
        <v>9.375E-2</v>
      </c>
      <c r="Z14" s="211"/>
      <c r="AA14" s="21"/>
      <c r="AB14" s="110">
        <v>9.375E-2</v>
      </c>
      <c r="AC14" s="209"/>
      <c r="AD14" s="110">
        <v>9.375E-2</v>
      </c>
      <c r="AE14" s="209"/>
      <c r="AF14" s="110">
        <v>9.375E-2</v>
      </c>
      <c r="AG14" s="211"/>
      <c r="AH14" s="21"/>
      <c r="AI14" s="110">
        <v>9.375E-2</v>
      </c>
      <c r="AJ14" s="209"/>
      <c r="AK14" s="110">
        <v>9.375E-2</v>
      </c>
      <c r="AL14" s="209"/>
      <c r="AM14" s="110">
        <v>9.375E-2</v>
      </c>
      <c r="AN14" s="211"/>
      <c r="AO14" s="21"/>
      <c r="AP14" s="110">
        <v>9.375E-2</v>
      </c>
      <c r="AQ14" s="209"/>
      <c r="AR14" s="110">
        <v>9.375E-2</v>
      </c>
      <c r="AS14" s="209"/>
      <c r="AT14" s="110">
        <v>9.375E-2</v>
      </c>
      <c r="AU14" s="211"/>
      <c r="AV14" s="21"/>
      <c r="AW14" s="110">
        <v>9.375E-2</v>
      </c>
      <c r="AX14" s="211"/>
      <c r="AY14" s="21"/>
      <c r="AZ14" s="110">
        <v>9.375E-2</v>
      </c>
      <c r="BA14" s="264"/>
      <c r="BC14" s="260">
        <v>9.375E-2</v>
      </c>
      <c r="BD14" s="211"/>
      <c r="BE14" s="110">
        <v>9.375E-2</v>
      </c>
      <c r="BF14" s="211"/>
      <c r="BG14" s="110">
        <v>9.375E-2</v>
      </c>
      <c r="BH14" s="211"/>
      <c r="BI14" s="21"/>
      <c r="BJ14" s="110">
        <v>9.375E-2</v>
      </c>
      <c r="BK14" s="209"/>
      <c r="BL14" s="110">
        <v>9.375E-2</v>
      </c>
      <c r="BM14" s="209"/>
      <c r="BN14" s="110">
        <v>9.375E-2</v>
      </c>
      <c r="BO14" s="211"/>
      <c r="BP14" s="21"/>
      <c r="BQ14" s="110">
        <v>9.375E-2</v>
      </c>
      <c r="BR14" s="209"/>
      <c r="BS14" s="110">
        <v>9.375E-2</v>
      </c>
      <c r="BT14" s="209"/>
      <c r="BU14" s="110">
        <v>9.375E-2</v>
      </c>
      <c r="BV14" s="211"/>
      <c r="BW14" s="21"/>
      <c r="BX14" s="110">
        <v>9.375E-2</v>
      </c>
      <c r="BY14" s="209"/>
      <c r="BZ14" s="110">
        <v>9.375E-2</v>
      </c>
      <c r="CA14" s="209"/>
      <c r="CB14" s="110">
        <v>9.375E-2</v>
      </c>
      <c r="CC14" s="211"/>
      <c r="CD14" s="21"/>
      <c r="CE14" s="110">
        <v>9.375E-2</v>
      </c>
      <c r="CF14" s="209"/>
      <c r="CG14" s="110">
        <v>9.375E-2</v>
      </c>
      <c r="CH14" s="209"/>
      <c r="CI14" s="110">
        <v>9.375E-2</v>
      </c>
      <c r="CJ14" s="211"/>
      <c r="CK14" s="21"/>
      <c r="CL14" s="110">
        <v>9.375E-2</v>
      </c>
      <c r="CM14" s="209"/>
      <c r="CN14" s="110">
        <v>9.375E-2</v>
      </c>
      <c r="CO14" s="209"/>
      <c r="CP14" s="110">
        <v>9.375E-2</v>
      </c>
      <c r="CQ14" s="211"/>
      <c r="CR14" s="21"/>
      <c r="CS14" s="110">
        <v>9.375E-2</v>
      </c>
      <c r="CT14" s="211"/>
      <c r="CU14" s="21"/>
      <c r="CV14" s="110">
        <v>9.375E-2</v>
      </c>
      <c r="CW14" s="264"/>
      <c r="CY14" s="260">
        <v>9.375E-2</v>
      </c>
      <c r="CZ14" s="178"/>
      <c r="DA14" s="110">
        <v>9.375E-2</v>
      </c>
      <c r="DB14" s="263"/>
      <c r="DC14" s="110">
        <v>9.375E-2</v>
      </c>
      <c r="DD14" s="211"/>
      <c r="DE14" s="21"/>
      <c r="DF14" s="110">
        <v>9.375E-2</v>
      </c>
      <c r="DG14" s="209"/>
      <c r="DH14" s="110">
        <v>9.375E-2</v>
      </c>
      <c r="DI14" s="209"/>
      <c r="DJ14" s="110">
        <v>9.375E-2</v>
      </c>
      <c r="DK14" s="211"/>
      <c r="DL14" s="21"/>
      <c r="DM14" s="110">
        <v>9.375E-2</v>
      </c>
      <c r="DN14" s="209"/>
      <c r="DO14" s="110">
        <v>9.375E-2</v>
      </c>
      <c r="DP14" s="209"/>
      <c r="DQ14" s="110">
        <v>9.375E-2</v>
      </c>
      <c r="DR14" s="211"/>
      <c r="DS14" s="21"/>
      <c r="DT14" s="110">
        <v>9.375E-2</v>
      </c>
      <c r="DU14" s="209"/>
      <c r="DV14" s="110">
        <v>9.375E-2</v>
      </c>
      <c r="DW14" s="209"/>
      <c r="DX14" s="110">
        <v>9.375E-2</v>
      </c>
      <c r="DY14" s="211"/>
      <c r="DZ14" s="21"/>
      <c r="EA14" s="110">
        <v>9.375E-2</v>
      </c>
      <c r="EB14" s="209">
        <f>IF('Temperature Profiles'!AA13&gt;18,(0.0018*('Temperature Profiles'!AA13^2)-(0.0475*'Temperature Profiles'!AA13)+0.3123)*1000,IF(AND('Temperature Profiles'!AA13&lt;17,'Temperature Profiles'!AA13&gt;-5.6),(0.0021*('Temperature Profiles'!AA13^2)-(0.0919*'Temperature Profiles'!AA13)+1.0491)*1000,IF(AND('Temperature Profiles'!AA13&lt;-5.6,'Temperature Profiles'!AA13&gt;-11.4),(((-0.2925*'Temperature Profiles'!AA13)-1.6914)*1000)+EB$208,IF('Temperature Profiles'!AA13&lt;-11.4,EB117,0))))</f>
        <v>6900</v>
      </c>
      <c r="EC14" s="110">
        <v>9.375E-2</v>
      </c>
      <c r="ED14" s="209">
        <f>IF('Temperature Profiles'!AA13&gt;18,(0.0034*('Temperature Profiles'!AA13^2)-(0.087*'Temperature Profiles'!AA13)+0.5117)*1000,IF(AND('Temperature Profiles'!AA13&lt;17,'Temperature Profiles'!AA13&gt;-4.4),(0.0027*('Temperature Profiles'!AA13^2)-(0.149*'Temperature Profiles'!AA13)+1.7779)*1000,IF(AND('Temperature Profiles'!AA13&lt;-4.4,'Temperature Profiles'!AA13&gt;-8.5),(((-0.5391*'Temperature Profiles'!AA13)-2.0906)*1000)+ED$208,IF('Temperature Profiles'!AA13&lt;-8.5,ED117,0))))</f>
        <v>12300</v>
      </c>
      <c r="EE14" s="110">
        <v>9.375E-2</v>
      </c>
      <c r="EF14" s="211">
        <f>IF('Temperature Profiles'!AA13&gt;18,(0.0048*('Temperature Profiles'!AA13^2)-(0.1352*'Temperature Profiles'!AA13)+0.9193)*1000,IF(AND('Temperature Profiles'!AA13&lt;17,'Temperature Profiles'!AA13&gt;-4.4),(0.0031*('Temperature Profiles'!AA13^2)-(0.2029*'Temperature Profiles'!AA13)+2.4264)*1000,IF(AND('Temperature Profiles'!AA13&lt;-4.4,'Temperature Profiles'!AA13&gt;-8.5),(((-0.7516*'Temperature Profiles'!AA13)-2.9985)*1000)+EF$208,IF('Temperature Profiles'!AA13&lt;-8.5,EF117,0))))</f>
        <v>16000</v>
      </c>
      <c r="EG14" s="21"/>
      <c r="EH14" s="110">
        <v>9.375E-2</v>
      </c>
      <c r="EI14" s="211"/>
      <c r="EJ14" s="110">
        <v>9.375E-2</v>
      </c>
      <c r="EK14" s="211"/>
      <c r="EL14" s="110">
        <v>9.375E-2</v>
      </c>
      <c r="EM14" s="211"/>
      <c r="EN14" s="21"/>
      <c r="EO14" s="110">
        <v>9.375E-2</v>
      </c>
      <c r="EP14" s="211"/>
      <c r="EQ14" s="21"/>
      <c r="ER14" s="110">
        <v>9.375E-2</v>
      </c>
      <c r="ES14" s="264"/>
      <c r="EU14" s="260">
        <v>9.375E-2</v>
      </c>
      <c r="EV14" s="209">
        <f>IF('Temperature Profiles'!AA13&gt;18,(0.0018*('Temperature Profiles'!AA13^2)-(0.0475*'Temperature Profiles'!AA13)+0.3123)*1000,IF(AND('Temperature Profiles'!AA13&lt;17,'Temperature Profiles'!AA13&gt;-5.6),(0.0021*('Temperature Profiles'!AA13^2)-(0.0919*'Temperature Profiles'!AA13)+1.0491)*1000,IF(AND('Temperature Profiles'!AA13&lt;-5.6,'Temperature Profiles'!AA13&gt;-11.4),EV$208,IF('Temperature Profiles'!AA13&lt;-11.4,EV117,0))))</f>
        <v>5400</v>
      </c>
      <c r="EW14" s="110">
        <v>9.375E-2</v>
      </c>
      <c r="EX14" s="209">
        <f>IF('Temperature Profiles'!AA13&gt;18,(0.0034*('Temperature Profiles'!AA13^2)-(0.087*'Temperature Profiles'!AA13)+0.5117)*1000,IF(AND('Temperature Profiles'!AA13&lt;17,'Temperature Profiles'!AA13&gt;-4.4),(0.0027*('Temperature Profiles'!AA13^2)-(0.149*'Temperature Profiles'!AA13)+1.7779)*1000,IF(AND('Temperature Profiles'!AA13&lt;-4.4,'Temperature Profiles'!AA13&gt;-8.5),EX$208,IF('Temperature Profiles'!AA13&lt;-8.5,EX117,0))))</f>
        <v>5400</v>
      </c>
      <c r="EY14" s="110">
        <v>9.375E-2</v>
      </c>
      <c r="EZ14" s="264">
        <f>IF('Temperature Profiles'!AA13&gt;18,(0.0048*('Temperature Profiles'!AA13^2)-(0.1352*'Temperature Profiles'!AA13)+0.9193)*1000,IF(AND('Temperature Profiles'!AA13&lt;17,'Temperature Profiles'!AA13&gt;-4.4),(0.0031*('Temperature Profiles'!AA13^2)-(0.2029*'Temperature Profiles'!AA13)+2.4264)*1000,IF(AND('Temperature Profiles'!AA13&lt;-4.4,'Temperature Profiles'!AA13&gt;-8.5),EZ$208,IF('Temperature Profiles'!AA13&lt;-8.5,EZ117,0))))</f>
        <v>5400</v>
      </c>
    </row>
    <row r="15" spans="1:197" x14ac:dyDescent="0.3">
      <c r="A15" s="108">
        <v>9.375E-2</v>
      </c>
      <c r="B15" s="226">
        <f t="shared" si="0"/>
        <v>0</v>
      </c>
      <c r="C15" s="21">
        <f t="shared" si="1"/>
        <v>0</v>
      </c>
      <c r="D15" s="21">
        <f t="shared" si="2"/>
        <v>16000</v>
      </c>
      <c r="E15" s="20">
        <f t="shared" si="3"/>
        <v>5400</v>
      </c>
      <c r="G15" s="260">
        <v>0.104166666666667</v>
      </c>
      <c r="H15" s="211"/>
      <c r="I15" s="110">
        <v>0.104166666666667</v>
      </c>
      <c r="J15" s="211"/>
      <c r="K15" s="110">
        <v>0.104166666666667</v>
      </c>
      <c r="L15" s="211"/>
      <c r="M15" s="21"/>
      <c r="N15" s="110">
        <v>0.104166666666667</v>
      </c>
      <c r="O15" s="209"/>
      <c r="P15" s="110">
        <v>0.104166666666667</v>
      </c>
      <c r="Q15" s="209"/>
      <c r="R15" s="110">
        <v>0.104166666666667</v>
      </c>
      <c r="S15" s="211"/>
      <c r="T15" s="21"/>
      <c r="U15" s="110">
        <v>0.104166666666667</v>
      </c>
      <c r="V15" s="209"/>
      <c r="W15" s="110">
        <v>0.104166666666667</v>
      </c>
      <c r="X15" s="209"/>
      <c r="Y15" s="110">
        <v>0.104166666666667</v>
      </c>
      <c r="Z15" s="211"/>
      <c r="AA15" s="21"/>
      <c r="AB15" s="110">
        <v>0.104166666666667</v>
      </c>
      <c r="AC15" s="209"/>
      <c r="AD15" s="110">
        <v>0.104166666666667</v>
      </c>
      <c r="AE15" s="209"/>
      <c r="AF15" s="110">
        <v>0.104166666666667</v>
      </c>
      <c r="AG15" s="211"/>
      <c r="AH15" s="21"/>
      <c r="AI15" s="110">
        <v>0.104166666666667</v>
      </c>
      <c r="AJ15" s="209"/>
      <c r="AK15" s="110">
        <v>0.104166666666667</v>
      </c>
      <c r="AL15" s="209"/>
      <c r="AM15" s="110">
        <v>0.104166666666667</v>
      </c>
      <c r="AN15" s="211"/>
      <c r="AO15" s="21"/>
      <c r="AP15" s="110">
        <v>0.104166666666667</v>
      </c>
      <c r="AQ15" s="209"/>
      <c r="AR15" s="110">
        <v>0.104166666666667</v>
      </c>
      <c r="AS15" s="209"/>
      <c r="AT15" s="110">
        <v>0.104166666666667</v>
      </c>
      <c r="AU15" s="211"/>
      <c r="AV15" s="21"/>
      <c r="AW15" s="110">
        <v>0.104166666666667</v>
      </c>
      <c r="AX15" s="211"/>
      <c r="AY15" s="21"/>
      <c r="AZ15" s="110">
        <v>0.104166666666667</v>
      </c>
      <c r="BA15" s="264"/>
      <c r="BC15" s="260">
        <v>0.104166666666667</v>
      </c>
      <c r="BD15" s="211"/>
      <c r="BE15" s="110">
        <v>0.104166666666667</v>
      </c>
      <c r="BF15" s="211"/>
      <c r="BG15" s="110">
        <v>0.104166666666667</v>
      </c>
      <c r="BH15" s="211"/>
      <c r="BI15" s="21"/>
      <c r="BJ15" s="110">
        <v>0.104166666666667</v>
      </c>
      <c r="BK15" s="209"/>
      <c r="BL15" s="110">
        <v>0.104166666666667</v>
      </c>
      <c r="BM15" s="209"/>
      <c r="BN15" s="110">
        <v>0.104166666666667</v>
      </c>
      <c r="BO15" s="211"/>
      <c r="BP15" s="21"/>
      <c r="BQ15" s="110">
        <v>0.104166666666667</v>
      </c>
      <c r="BR15" s="209"/>
      <c r="BS15" s="110">
        <v>0.104166666666667</v>
      </c>
      <c r="BT15" s="209"/>
      <c r="BU15" s="110">
        <v>0.104166666666667</v>
      </c>
      <c r="BV15" s="211"/>
      <c r="BW15" s="21"/>
      <c r="BX15" s="110">
        <v>0.104166666666667</v>
      </c>
      <c r="BY15" s="209"/>
      <c r="BZ15" s="110">
        <v>0.104166666666667</v>
      </c>
      <c r="CA15" s="209"/>
      <c r="CB15" s="110">
        <v>0.104166666666667</v>
      </c>
      <c r="CC15" s="211"/>
      <c r="CD15" s="21"/>
      <c r="CE15" s="110">
        <v>0.104166666666667</v>
      </c>
      <c r="CF15" s="209"/>
      <c r="CG15" s="110">
        <v>0.104166666666667</v>
      </c>
      <c r="CH15" s="209"/>
      <c r="CI15" s="110">
        <v>0.104166666666667</v>
      </c>
      <c r="CJ15" s="211"/>
      <c r="CK15" s="21"/>
      <c r="CL15" s="110">
        <v>0.104166666666667</v>
      </c>
      <c r="CM15" s="209"/>
      <c r="CN15" s="110">
        <v>0.104166666666667</v>
      </c>
      <c r="CO15" s="209"/>
      <c r="CP15" s="110">
        <v>0.104166666666667</v>
      </c>
      <c r="CQ15" s="211"/>
      <c r="CR15" s="21"/>
      <c r="CS15" s="110">
        <v>0.104166666666667</v>
      </c>
      <c r="CT15" s="211"/>
      <c r="CU15" s="21"/>
      <c r="CV15" s="110">
        <v>0.104166666666667</v>
      </c>
      <c r="CW15" s="264"/>
      <c r="CY15" s="260">
        <v>0.104166666666667</v>
      </c>
      <c r="CZ15" s="178"/>
      <c r="DA15" s="110">
        <v>0.104166666666667</v>
      </c>
      <c r="DB15" s="263"/>
      <c r="DC15" s="110">
        <v>0.104166666666667</v>
      </c>
      <c r="DD15" s="211"/>
      <c r="DE15" s="21"/>
      <c r="DF15" s="110">
        <v>0.104166666666667</v>
      </c>
      <c r="DG15" s="209"/>
      <c r="DH15" s="110">
        <v>0.104166666666667</v>
      </c>
      <c r="DI15" s="209"/>
      <c r="DJ15" s="110">
        <v>0.104166666666667</v>
      </c>
      <c r="DK15" s="211"/>
      <c r="DL15" s="21"/>
      <c r="DM15" s="110">
        <v>0.104166666666667</v>
      </c>
      <c r="DN15" s="209"/>
      <c r="DO15" s="110">
        <v>0.104166666666667</v>
      </c>
      <c r="DP15" s="209"/>
      <c r="DQ15" s="110">
        <v>0.104166666666667</v>
      </c>
      <c r="DR15" s="211"/>
      <c r="DS15" s="21"/>
      <c r="DT15" s="110">
        <v>0.104166666666667</v>
      </c>
      <c r="DU15" s="209"/>
      <c r="DV15" s="110">
        <v>0.104166666666667</v>
      </c>
      <c r="DW15" s="209"/>
      <c r="DX15" s="110">
        <v>0.104166666666667</v>
      </c>
      <c r="DY15" s="211"/>
      <c r="DZ15" s="21"/>
      <c r="EA15" s="110">
        <v>0.104166666666667</v>
      </c>
      <c r="EB15" s="209">
        <f>IF('Temperature Profiles'!AA14&gt;18,(0.0018*('Temperature Profiles'!AA14^2)-(0.0475*'Temperature Profiles'!AA14)+0.3123)*1000,IF(AND('Temperature Profiles'!AA14&lt;17,'Temperature Profiles'!AA14&gt;-5.6),(0.0021*('Temperature Profiles'!AA14^2)-(0.0919*'Temperature Profiles'!AA14)+1.0491)*1000,IF(AND('Temperature Profiles'!AA14&lt;-5.6,'Temperature Profiles'!AA14&gt;-11.4),(((-0.2925*'Temperature Profiles'!AA14)-1.6914)*1000)+EB$208,IF('Temperature Profiles'!AA14&lt;-11.4,EB118,0))))</f>
        <v>0</v>
      </c>
      <c r="EC15" s="110">
        <v>0.104166666666667</v>
      </c>
      <c r="ED15" s="209">
        <f>IF('Temperature Profiles'!AA14&gt;18,(0.0034*('Temperature Profiles'!AA14^2)-(0.087*'Temperature Profiles'!AA14)+0.5117)*1000,IF(AND('Temperature Profiles'!AA14&lt;17,'Temperature Profiles'!AA14&gt;-4.4),(0.0027*('Temperature Profiles'!AA14^2)-(0.149*'Temperature Profiles'!AA14)+1.7779)*1000,IF(AND('Temperature Profiles'!AA14&lt;-4.4,'Temperature Profiles'!AA14&gt;-8.5),(((-0.5391*'Temperature Profiles'!AA14)-2.0906)*1000)+ED$208,IF('Temperature Profiles'!AA14&lt;-8.5,ED118,0))))</f>
        <v>0</v>
      </c>
      <c r="EE15" s="110">
        <v>0.104166666666667</v>
      </c>
      <c r="EF15" s="211">
        <f>IF('Temperature Profiles'!AA14&gt;18,(0.0048*('Temperature Profiles'!AA14^2)-(0.1352*'Temperature Profiles'!AA14)+0.9193)*1000,IF(AND('Temperature Profiles'!AA14&lt;17,'Temperature Profiles'!AA14&gt;-4.4),(0.0031*('Temperature Profiles'!AA14^2)-(0.2029*'Temperature Profiles'!AA14)+2.4264)*1000,IF(AND('Temperature Profiles'!AA14&lt;-4.4,'Temperature Profiles'!AA14&gt;-8.5),(((-0.7516*'Temperature Profiles'!AA14)-2.9985)*1000)+EF$208,IF('Temperature Profiles'!AA14&lt;-8.5,EF118,0))))</f>
        <v>16000</v>
      </c>
      <c r="EG15" s="21"/>
      <c r="EH15" s="110">
        <v>0.104166666666667</v>
      </c>
      <c r="EI15" s="211"/>
      <c r="EJ15" s="110">
        <v>0.104166666666667</v>
      </c>
      <c r="EK15" s="211"/>
      <c r="EL15" s="110">
        <v>0.104166666666667</v>
      </c>
      <c r="EM15" s="211"/>
      <c r="EN15" s="21"/>
      <c r="EO15" s="110">
        <v>0.104166666666667</v>
      </c>
      <c r="EP15" s="211"/>
      <c r="EQ15" s="21"/>
      <c r="ER15" s="110">
        <v>0.104166666666667</v>
      </c>
      <c r="ES15" s="264"/>
      <c r="EU15" s="260">
        <v>0.104166666666667</v>
      </c>
      <c r="EV15" s="209">
        <f>IF('Temperature Profiles'!AA14&gt;18,(0.0018*('Temperature Profiles'!AA14^2)-(0.0475*'Temperature Profiles'!AA14)+0.3123)*1000,IF(AND('Temperature Profiles'!AA14&lt;17,'Temperature Profiles'!AA14&gt;-5.6),(0.0021*('Temperature Profiles'!AA14^2)-(0.0919*'Temperature Profiles'!AA14)+1.0491)*1000,IF(AND('Temperature Profiles'!AA14&lt;-5.6,'Temperature Profiles'!AA14&gt;-11.4),EV$208,IF('Temperature Profiles'!AA14&lt;-11.4,EV118,0))))</f>
        <v>0</v>
      </c>
      <c r="EW15" s="110">
        <v>0.104166666666667</v>
      </c>
      <c r="EX15" s="209">
        <f>IF('Temperature Profiles'!AA14&gt;18,(0.0034*('Temperature Profiles'!AA14^2)-(0.087*'Temperature Profiles'!AA14)+0.5117)*1000,IF(AND('Temperature Profiles'!AA14&lt;17,'Temperature Profiles'!AA14&gt;-4.4),(0.0027*('Temperature Profiles'!AA14^2)-(0.149*'Temperature Profiles'!AA14)+1.7779)*1000,IF(AND('Temperature Profiles'!AA14&lt;-4.4,'Temperature Profiles'!AA14&gt;-8.5),EX$208,IF('Temperature Profiles'!AA14&lt;-8.5,EX118,0))))</f>
        <v>0</v>
      </c>
      <c r="EY15" s="110">
        <v>0.104166666666667</v>
      </c>
      <c r="EZ15" s="264">
        <f>IF('Temperature Profiles'!AA14&gt;18,(0.0048*('Temperature Profiles'!AA14^2)-(0.1352*'Temperature Profiles'!AA14)+0.9193)*1000,IF(AND('Temperature Profiles'!AA14&lt;17,'Temperature Profiles'!AA14&gt;-4.4),(0.0031*('Temperature Profiles'!AA14^2)-(0.2029*'Temperature Profiles'!AA14)+2.4264)*1000,IF(AND('Temperature Profiles'!AA14&lt;-4.4,'Temperature Profiles'!AA14&gt;-8.5),EZ$208,IF('Temperature Profiles'!AA14&lt;-8.5,EZ118,0))))</f>
        <v>5400</v>
      </c>
    </row>
    <row r="16" spans="1:197" x14ac:dyDescent="0.3">
      <c r="A16" s="108">
        <v>0.104166666666667</v>
      </c>
      <c r="B16" s="226">
        <f t="shared" si="0"/>
        <v>0</v>
      </c>
      <c r="C16" s="21">
        <f t="shared" si="1"/>
        <v>0</v>
      </c>
      <c r="D16" s="21">
        <f t="shared" si="2"/>
        <v>16000</v>
      </c>
      <c r="E16" s="20">
        <f t="shared" si="3"/>
        <v>5400</v>
      </c>
      <c r="G16" s="260">
        <v>0.114583333333333</v>
      </c>
      <c r="H16" s="211"/>
      <c r="I16" s="110">
        <v>0.114583333333333</v>
      </c>
      <c r="J16" s="211"/>
      <c r="K16" s="110">
        <v>0.114583333333333</v>
      </c>
      <c r="L16" s="211"/>
      <c r="M16" s="21"/>
      <c r="N16" s="110">
        <v>0.114583333333333</v>
      </c>
      <c r="O16" s="209"/>
      <c r="P16" s="110">
        <v>0.114583333333333</v>
      </c>
      <c r="Q16" s="209"/>
      <c r="R16" s="110">
        <v>0.114583333333333</v>
      </c>
      <c r="S16" s="211"/>
      <c r="T16" s="21"/>
      <c r="U16" s="110">
        <v>0.114583333333333</v>
      </c>
      <c r="V16" s="209"/>
      <c r="W16" s="110">
        <v>0.114583333333333</v>
      </c>
      <c r="X16" s="209"/>
      <c r="Y16" s="110">
        <v>0.114583333333333</v>
      </c>
      <c r="Z16" s="211"/>
      <c r="AA16" s="21"/>
      <c r="AB16" s="110">
        <v>0.114583333333333</v>
      </c>
      <c r="AC16" s="209"/>
      <c r="AD16" s="110">
        <v>0.114583333333333</v>
      </c>
      <c r="AE16" s="209"/>
      <c r="AF16" s="110">
        <v>0.114583333333333</v>
      </c>
      <c r="AG16" s="211"/>
      <c r="AH16" s="21"/>
      <c r="AI16" s="110">
        <v>0.114583333333333</v>
      </c>
      <c r="AJ16" s="209"/>
      <c r="AK16" s="110">
        <v>0.114583333333333</v>
      </c>
      <c r="AL16" s="209"/>
      <c r="AM16" s="110">
        <v>0.114583333333333</v>
      </c>
      <c r="AN16" s="211"/>
      <c r="AO16" s="21"/>
      <c r="AP16" s="110">
        <v>0.114583333333333</v>
      </c>
      <c r="AQ16" s="209"/>
      <c r="AR16" s="110">
        <v>0.114583333333333</v>
      </c>
      <c r="AS16" s="209"/>
      <c r="AT16" s="110">
        <v>0.114583333333333</v>
      </c>
      <c r="AU16" s="211"/>
      <c r="AV16" s="21"/>
      <c r="AW16" s="110">
        <v>0.114583333333333</v>
      </c>
      <c r="AX16" s="211"/>
      <c r="AY16" s="21"/>
      <c r="AZ16" s="110">
        <v>0.114583333333333</v>
      </c>
      <c r="BA16" s="264"/>
      <c r="BC16" s="260">
        <v>0.114583333333333</v>
      </c>
      <c r="BD16" s="211"/>
      <c r="BE16" s="110">
        <v>0.114583333333333</v>
      </c>
      <c r="BF16" s="211"/>
      <c r="BG16" s="110">
        <v>0.114583333333333</v>
      </c>
      <c r="BH16" s="211"/>
      <c r="BI16" s="21"/>
      <c r="BJ16" s="110">
        <v>0.114583333333333</v>
      </c>
      <c r="BK16" s="209"/>
      <c r="BL16" s="110">
        <v>0.114583333333333</v>
      </c>
      <c r="BM16" s="209"/>
      <c r="BN16" s="110">
        <v>0.114583333333333</v>
      </c>
      <c r="BO16" s="211"/>
      <c r="BP16" s="21"/>
      <c r="BQ16" s="110">
        <v>0.114583333333333</v>
      </c>
      <c r="BR16" s="209"/>
      <c r="BS16" s="110">
        <v>0.114583333333333</v>
      </c>
      <c r="BT16" s="209"/>
      <c r="BU16" s="110">
        <v>0.114583333333333</v>
      </c>
      <c r="BV16" s="211"/>
      <c r="BW16" s="21"/>
      <c r="BX16" s="110">
        <v>0.114583333333333</v>
      </c>
      <c r="BY16" s="209"/>
      <c r="BZ16" s="110">
        <v>0.114583333333333</v>
      </c>
      <c r="CA16" s="209"/>
      <c r="CB16" s="110">
        <v>0.114583333333333</v>
      </c>
      <c r="CC16" s="211"/>
      <c r="CD16" s="21"/>
      <c r="CE16" s="110">
        <v>0.114583333333333</v>
      </c>
      <c r="CF16" s="209"/>
      <c r="CG16" s="110">
        <v>0.114583333333333</v>
      </c>
      <c r="CH16" s="209"/>
      <c r="CI16" s="110">
        <v>0.114583333333333</v>
      </c>
      <c r="CJ16" s="211"/>
      <c r="CK16" s="21"/>
      <c r="CL16" s="110">
        <v>0.114583333333333</v>
      </c>
      <c r="CM16" s="209"/>
      <c r="CN16" s="110">
        <v>0.114583333333333</v>
      </c>
      <c r="CO16" s="209"/>
      <c r="CP16" s="110">
        <v>0.114583333333333</v>
      </c>
      <c r="CQ16" s="211"/>
      <c r="CR16" s="21"/>
      <c r="CS16" s="110">
        <v>0.114583333333333</v>
      </c>
      <c r="CT16" s="211"/>
      <c r="CU16" s="21"/>
      <c r="CV16" s="110">
        <v>0.114583333333333</v>
      </c>
      <c r="CW16" s="264"/>
      <c r="CY16" s="260">
        <v>0.114583333333333</v>
      </c>
      <c r="CZ16" s="178"/>
      <c r="DA16" s="110">
        <v>0.114583333333333</v>
      </c>
      <c r="DB16" s="263"/>
      <c r="DC16" s="110">
        <v>0.114583333333333</v>
      </c>
      <c r="DD16" s="211"/>
      <c r="DE16" s="21"/>
      <c r="DF16" s="110">
        <v>0.114583333333333</v>
      </c>
      <c r="DG16" s="209"/>
      <c r="DH16" s="110">
        <v>0.114583333333333</v>
      </c>
      <c r="DI16" s="209"/>
      <c r="DJ16" s="110">
        <v>0.114583333333333</v>
      </c>
      <c r="DK16" s="211"/>
      <c r="DL16" s="21"/>
      <c r="DM16" s="110">
        <v>0.114583333333333</v>
      </c>
      <c r="DN16" s="209"/>
      <c r="DO16" s="110">
        <v>0.114583333333333</v>
      </c>
      <c r="DP16" s="209"/>
      <c r="DQ16" s="110">
        <v>0.114583333333333</v>
      </c>
      <c r="DR16" s="211"/>
      <c r="DS16" s="21"/>
      <c r="DT16" s="110">
        <v>0.114583333333333</v>
      </c>
      <c r="DU16" s="209"/>
      <c r="DV16" s="110">
        <v>0.114583333333333</v>
      </c>
      <c r="DW16" s="209"/>
      <c r="DX16" s="110">
        <v>0.114583333333333</v>
      </c>
      <c r="DY16" s="211"/>
      <c r="DZ16" s="21"/>
      <c r="EA16" s="110">
        <v>0.114583333333333</v>
      </c>
      <c r="EB16" s="209">
        <f>IF('Temperature Profiles'!AA15&gt;18,(0.0018*('Temperature Profiles'!AA15^2)-(0.0475*'Temperature Profiles'!AA15)+0.3123)*1000,IF(AND('Temperature Profiles'!AA15&lt;17,'Temperature Profiles'!AA15&gt;-5.6),(0.0021*('Temperature Profiles'!AA15^2)-(0.0919*'Temperature Profiles'!AA15)+1.0491)*1000,IF(AND('Temperature Profiles'!AA15&lt;-5.6,'Temperature Profiles'!AA15&gt;-11.4),(((-0.2925*'Temperature Profiles'!AA15)-1.6914)*1000)+EB$208,IF('Temperature Profiles'!AA15&lt;-11.4,EB119,0))))</f>
        <v>0</v>
      </c>
      <c r="EC16" s="110">
        <v>0.114583333333333</v>
      </c>
      <c r="ED16" s="209">
        <f>IF('Temperature Profiles'!AA15&gt;18,(0.0034*('Temperature Profiles'!AA15^2)-(0.087*'Temperature Profiles'!AA15)+0.5117)*1000,IF(AND('Temperature Profiles'!AA15&lt;17,'Temperature Profiles'!AA15&gt;-4.4),(0.0027*('Temperature Profiles'!AA15^2)-(0.149*'Temperature Profiles'!AA15)+1.7779)*1000,IF(AND('Temperature Profiles'!AA15&lt;-4.4,'Temperature Profiles'!AA15&gt;-8.5),(((-0.5391*'Temperature Profiles'!AA15)-2.0906)*1000)+ED$208,IF('Temperature Profiles'!AA15&lt;-8.5,ED119,0))))</f>
        <v>0</v>
      </c>
      <c r="EE16" s="110">
        <v>0.114583333333333</v>
      </c>
      <c r="EF16" s="211">
        <f>IF('Temperature Profiles'!AA15&gt;18,(0.0048*('Temperature Profiles'!AA15^2)-(0.1352*'Temperature Profiles'!AA15)+0.9193)*1000,IF(AND('Temperature Profiles'!AA15&lt;17,'Temperature Profiles'!AA15&gt;-4.4),(0.0031*('Temperature Profiles'!AA15^2)-(0.2029*'Temperature Profiles'!AA15)+2.4264)*1000,IF(AND('Temperature Profiles'!AA15&lt;-4.4,'Temperature Profiles'!AA15&gt;-8.5),(((-0.7516*'Temperature Profiles'!AA15)-2.9985)*1000)+EF$208,IF('Temperature Profiles'!AA15&lt;-8.5,EF119,0))))</f>
        <v>0</v>
      </c>
      <c r="EG16" s="21"/>
      <c r="EH16" s="110">
        <v>0.114583333333333</v>
      </c>
      <c r="EI16" s="211"/>
      <c r="EJ16" s="110">
        <v>0.114583333333333</v>
      </c>
      <c r="EK16" s="211"/>
      <c r="EL16" s="110">
        <v>0.114583333333333</v>
      </c>
      <c r="EM16" s="211"/>
      <c r="EN16" s="21"/>
      <c r="EO16" s="110">
        <v>0.114583333333333</v>
      </c>
      <c r="EP16" s="211"/>
      <c r="EQ16" s="21"/>
      <c r="ER16" s="110">
        <v>0.114583333333333</v>
      </c>
      <c r="ES16" s="264"/>
      <c r="EU16" s="260">
        <v>0.114583333333333</v>
      </c>
      <c r="EV16" s="209">
        <f>IF('Temperature Profiles'!AA15&gt;18,(0.0018*('Temperature Profiles'!AA15^2)-(0.0475*'Temperature Profiles'!AA15)+0.3123)*1000,IF(AND('Temperature Profiles'!AA15&lt;17,'Temperature Profiles'!AA15&gt;-5.6),(0.0021*('Temperature Profiles'!AA15^2)-(0.0919*'Temperature Profiles'!AA15)+1.0491)*1000,IF(AND('Temperature Profiles'!AA15&lt;-5.6,'Temperature Profiles'!AA15&gt;-11.4),EV$208,IF('Temperature Profiles'!AA15&lt;-11.4,EV119,0))))</f>
        <v>0</v>
      </c>
      <c r="EW16" s="110">
        <v>0.114583333333333</v>
      </c>
      <c r="EX16" s="209">
        <f>IF('Temperature Profiles'!AA15&gt;18,(0.0034*('Temperature Profiles'!AA15^2)-(0.087*'Temperature Profiles'!AA15)+0.5117)*1000,IF(AND('Temperature Profiles'!AA15&lt;17,'Temperature Profiles'!AA15&gt;-4.4),(0.0027*('Temperature Profiles'!AA15^2)-(0.149*'Temperature Profiles'!AA15)+1.7779)*1000,IF(AND('Temperature Profiles'!AA15&lt;-4.4,'Temperature Profiles'!AA15&gt;-8.5),EX$208,IF('Temperature Profiles'!AA15&lt;-8.5,EX119,0))))</f>
        <v>0</v>
      </c>
      <c r="EY16" s="110">
        <v>0.114583333333333</v>
      </c>
      <c r="EZ16" s="264">
        <f>IF('Temperature Profiles'!AA15&gt;18,(0.0048*('Temperature Profiles'!AA15^2)-(0.1352*'Temperature Profiles'!AA15)+0.9193)*1000,IF(AND('Temperature Profiles'!AA15&lt;17,'Temperature Profiles'!AA15&gt;-4.4),(0.0031*('Temperature Profiles'!AA15^2)-(0.2029*'Temperature Profiles'!AA15)+2.4264)*1000,IF(AND('Temperature Profiles'!AA15&lt;-4.4,'Temperature Profiles'!AA15&gt;-8.5),EZ$208,IF('Temperature Profiles'!AA15&lt;-8.5,EZ119,0))))</f>
        <v>0</v>
      </c>
    </row>
    <row r="17" spans="1:156" x14ac:dyDescent="0.3">
      <c r="A17" s="108">
        <v>0.114583333333333</v>
      </c>
      <c r="B17" s="226">
        <f t="shared" si="0"/>
        <v>0</v>
      </c>
      <c r="C17" s="21">
        <f t="shared" si="1"/>
        <v>0</v>
      </c>
      <c r="D17" s="21">
        <f t="shared" si="2"/>
        <v>0</v>
      </c>
      <c r="E17" s="20">
        <f t="shared" si="3"/>
        <v>0</v>
      </c>
      <c r="G17" s="260">
        <v>0.125</v>
      </c>
      <c r="H17" s="211"/>
      <c r="I17" s="110">
        <v>0.125</v>
      </c>
      <c r="J17" s="211"/>
      <c r="K17" s="110">
        <v>0.125</v>
      </c>
      <c r="L17" s="211"/>
      <c r="M17" s="21"/>
      <c r="N17" s="110">
        <v>0.125</v>
      </c>
      <c r="O17" s="209"/>
      <c r="P17" s="110">
        <v>0.125</v>
      </c>
      <c r="Q17" s="209"/>
      <c r="R17" s="110">
        <v>0.125</v>
      </c>
      <c r="S17" s="211"/>
      <c r="T17" s="21"/>
      <c r="U17" s="110">
        <v>0.125</v>
      </c>
      <c r="V17" s="209"/>
      <c r="W17" s="110">
        <v>0.125</v>
      </c>
      <c r="X17" s="209"/>
      <c r="Y17" s="110">
        <v>0.125</v>
      </c>
      <c r="Z17" s="211"/>
      <c r="AA17" s="21"/>
      <c r="AB17" s="110">
        <v>0.125</v>
      </c>
      <c r="AC17" s="209"/>
      <c r="AD17" s="110">
        <v>0.125</v>
      </c>
      <c r="AE17" s="209"/>
      <c r="AF17" s="110">
        <v>0.125</v>
      </c>
      <c r="AG17" s="211"/>
      <c r="AH17" s="21"/>
      <c r="AI17" s="110">
        <v>0.125</v>
      </c>
      <c r="AJ17" s="209"/>
      <c r="AK17" s="110">
        <v>0.125</v>
      </c>
      <c r="AL17" s="209"/>
      <c r="AM17" s="110">
        <v>0.125</v>
      </c>
      <c r="AN17" s="211"/>
      <c r="AO17" s="21"/>
      <c r="AP17" s="110">
        <v>0.125</v>
      </c>
      <c r="AQ17" s="209"/>
      <c r="AR17" s="110">
        <v>0.125</v>
      </c>
      <c r="AS17" s="209"/>
      <c r="AT17" s="110">
        <v>0.125</v>
      </c>
      <c r="AU17" s="211"/>
      <c r="AV17" s="21"/>
      <c r="AW17" s="110">
        <v>0.125</v>
      </c>
      <c r="AX17" s="211"/>
      <c r="AY17" s="21"/>
      <c r="AZ17" s="110">
        <v>0.125</v>
      </c>
      <c r="BA17" s="264"/>
      <c r="BC17" s="260">
        <v>0.125</v>
      </c>
      <c r="BD17" s="211"/>
      <c r="BE17" s="110">
        <v>0.125</v>
      </c>
      <c r="BF17" s="211"/>
      <c r="BG17" s="110">
        <v>0.125</v>
      </c>
      <c r="BH17" s="211"/>
      <c r="BI17" s="21"/>
      <c r="BJ17" s="110">
        <v>0.125</v>
      </c>
      <c r="BK17" s="209"/>
      <c r="BL17" s="110">
        <v>0.125</v>
      </c>
      <c r="BM17" s="209"/>
      <c r="BN17" s="110">
        <v>0.125</v>
      </c>
      <c r="BO17" s="211"/>
      <c r="BP17" s="21"/>
      <c r="BQ17" s="110">
        <v>0.125</v>
      </c>
      <c r="BR17" s="209"/>
      <c r="BS17" s="110">
        <v>0.125</v>
      </c>
      <c r="BT17" s="209"/>
      <c r="BU17" s="110">
        <v>0.125</v>
      </c>
      <c r="BV17" s="211"/>
      <c r="BW17" s="21"/>
      <c r="BX17" s="110">
        <v>0.125</v>
      </c>
      <c r="BY17" s="209"/>
      <c r="BZ17" s="110">
        <v>0.125</v>
      </c>
      <c r="CA17" s="209"/>
      <c r="CB17" s="110">
        <v>0.125</v>
      </c>
      <c r="CC17" s="211"/>
      <c r="CD17" s="21"/>
      <c r="CE17" s="110">
        <v>0.125</v>
      </c>
      <c r="CF17" s="209"/>
      <c r="CG17" s="110">
        <v>0.125</v>
      </c>
      <c r="CH17" s="209"/>
      <c r="CI17" s="110">
        <v>0.125</v>
      </c>
      <c r="CJ17" s="211"/>
      <c r="CK17" s="21"/>
      <c r="CL17" s="110">
        <v>0.125</v>
      </c>
      <c r="CM17" s="209"/>
      <c r="CN17" s="110">
        <v>0.125</v>
      </c>
      <c r="CO17" s="209"/>
      <c r="CP17" s="110">
        <v>0.125</v>
      </c>
      <c r="CQ17" s="211"/>
      <c r="CR17" s="21"/>
      <c r="CS17" s="110">
        <v>0.125</v>
      </c>
      <c r="CT17" s="211"/>
      <c r="CU17" s="21"/>
      <c r="CV17" s="110">
        <v>0.125</v>
      </c>
      <c r="CW17" s="264"/>
      <c r="CY17" s="260">
        <v>0.125</v>
      </c>
      <c r="CZ17" s="178"/>
      <c r="DA17" s="110">
        <v>0.125</v>
      </c>
      <c r="DB17" s="263"/>
      <c r="DC17" s="110">
        <v>0.125</v>
      </c>
      <c r="DD17" s="211"/>
      <c r="DE17" s="21"/>
      <c r="DF17" s="110">
        <v>0.125</v>
      </c>
      <c r="DG17" s="209"/>
      <c r="DH17" s="110">
        <v>0.125</v>
      </c>
      <c r="DI17" s="209"/>
      <c r="DJ17" s="110">
        <v>0.125</v>
      </c>
      <c r="DK17" s="211"/>
      <c r="DL17" s="21"/>
      <c r="DM17" s="110">
        <v>0.125</v>
      </c>
      <c r="DN17" s="209"/>
      <c r="DO17" s="110">
        <v>0.125</v>
      </c>
      <c r="DP17" s="209"/>
      <c r="DQ17" s="110">
        <v>0.125</v>
      </c>
      <c r="DR17" s="211"/>
      <c r="DS17" s="21"/>
      <c r="DT17" s="110">
        <v>0.125</v>
      </c>
      <c r="DU17" s="209"/>
      <c r="DV17" s="110">
        <v>0.125</v>
      </c>
      <c r="DW17" s="209"/>
      <c r="DX17" s="110">
        <v>0.125</v>
      </c>
      <c r="DY17" s="211"/>
      <c r="DZ17" s="21"/>
      <c r="EA17" s="110">
        <v>0.125</v>
      </c>
      <c r="EB17" s="209">
        <f>IF('Temperature Profiles'!AA16&gt;18,(0.0018*('Temperature Profiles'!AA16^2)-(0.0475*'Temperature Profiles'!AA16)+0.3123)*1000,IF(AND('Temperature Profiles'!AA16&lt;17,'Temperature Profiles'!AA16&gt;-5.6),(0.0021*('Temperature Profiles'!AA16^2)-(0.0919*'Temperature Profiles'!AA16)+1.0491)*1000,IF(AND('Temperature Profiles'!AA16&lt;-5.6,'Temperature Profiles'!AA16&gt;-11.4),(((-0.2925*'Temperature Profiles'!AA16)-1.6914)*1000)+EB$208,IF('Temperature Profiles'!AA16&lt;-11.4,EB120,0))))</f>
        <v>6900</v>
      </c>
      <c r="EC17" s="110">
        <v>0.125</v>
      </c>
      <c r="ED17" s="209">
        <f>IF('Temperature Profiles'!AA16&gt;18,(0.0034*('Temperature Profiles'!AA16^2)-(0.087*'Temperature Profiles'!AA16)+0.5117)*1000,IF(AND('Temperature Profiles'!AA16&lt;17,'Temperature Profiles'!AA16&gt;-4.4),(0.0027*('Temperature Profiles'!AA16^2)-(0.149*'Temperature Profiles'!AA16)+1.7779)*1000,IF(AND('Temperature Profiles'!AA16&lt;-4.4,'Temperature Profiles'!AA16&gt;-8.5),(((-0.5391*'Temperature Profiles'!AA16)-2.0906)*1000)+ED$208,IF('Temperature Profiles'!AA16&lt;-8.5,ED120,0))))</f>
        <v>12300</v>
      </c>
      <c r="EE17" s="110">
        <v>0.125</v>
      </c>
      <c r="EF17" s="211">
        <f>IF('Temperature Profiles'!AA16&gt;18,(0.0048*('Temperature Profiles'!AA16^2)-(0.1352*'Temperature Profiles'!AA16)+0.9193)*1000,IF(AND('Temperature Profiles'!AA16&lt;17,'Temperature Profiles'!AA16&gt;-4.4),(0.0031*('Temperature Profiles'!AA16^2)-(0.2029*'Temperature Profiles'!AA16)+2.4264)*1000,IF(AND('Temperature Profiles'!AA16&lt;-4.4,'Temperature Profiles'!AA16&gt;-8.5),(((-0.7516*'Temperature Profiles'!AA16)-2.9985)*1000)+EF$208,IF('Temperature Profiles'!AA16&lt;-8.5,EF120,0))))</f>
        <v>16000</v>
      </c>
      <c r="EG17" s="21"/>
      <c r="EH17" s="110">
        <v>0.125</v>
      </c>
      <c r="EI17" s="211"/>
      <c r="EJ17" s="110">
        <v>0.125</v>
      </c>
      <c r="EK17" s="211"/>
      <c r="EL17" s="110">
        <v>0.125</v>
      </c>
      <c r="EM17" s="211"/>
      <c r="EN17" s="21"/>
      <c r="EO17" s="110">
        <v>0.125</v>
      </c>
      <c r="EP17" s="211"/>
      <c r="EQ17" s="21"/>
      <c r="ER17" s="110">
        <v>0.125</v>
      </c>
      <c r="ES17" s="264"/>
      <c r="EU17" s="260">
        <v>0.125</v>
      </c>
      <c r="EV17" s="209">
        <f>IF('Temperature Profiles'!AA16&gt;18,(0.0018*('Temperature Profiles'!AA16^2)-(0.0475*'Temperature Profiles'!AA16)+0.3123)*1000,IF(AND('Temperature Profiles'!AA16&lt;17,'Temperature Profiles'!AA16&gt;-5.6),(0.0021*('Temperature Profiles'!AA16^2)-(0.0919*'Temperature Profiles'!AA16)+1.0491)*1000,IF(AND('Temperature Profiles'!AA16&lt;-5.6,'Temperature Profiles'!AA16&gt;-11.4),EV$208,IF('Temperature Profiles'!AA16&lt;-11.4,EV120,0))))</f>
        <v>5400</v>
      </c>
      <c r="EW17" s="110">
        <v>0.125</v>
      </c>
      <c r="EX17" s="209">
        <f>IF('Temperature Profiles'!AA16&gt;18,(0.0034*('Temperature Profiles'!AA16^2)-(0.087*'Temperature Profiles'!AA16)+0.5117)*1000,IF(AND('Temperature Profiles'!AA16&lt;17,'Temperature Profiles'!AA16&gt;-4.4),(0.0027*('Temperature Profiles'!AA16^2)-(0.149*'Temperature Profiles'!AA16)+1.7779)*1000,IF(AND('Temperature Profiles'!AA16&lt;-4.4,'Temperature Profiles'!AA16&gt;-8.5),EX$208,IF('Temperature Profiles'!AA16&lt;-8.5,EX120,0))))</f>
        <v>5400</v>
      </c>
      <c r="EY17" s="110">
        <v>0.125</v>
      </c>
      <c r="EZ17" s="264">
        <f>IF('Temperature Profiles'!AA16&gt;18,(0.0048*('Temperature Profiles'!AA16^2)-(0.1352*'Temperature Profiles'!AA16)+0.9193)*1000,IF(AND('Temperature Profiles'!AA16&lt;17,'Temperature Profiles'!AA16&gt;-4.4),(0.0031*('Temperature Profiles'!AA16^2)-(0.2029*'Temperature Profiles'!AA16)+2.4264)*1000,IF(AND('Temperature Profiles'!AA16&lt;-4.4,'Temperature Profiles'!AA16&gt;-8.5),EZ$208,IF('Temperature Profiles'!AA16&lt;-8.5,EZ120,0))))</f>
        <v>5400</v>
      </c>
    </row>
    <row r="18" spans="1:156" x14ac:dyDescent="0.3">
      <c r="A18" s="108">
        <v>0.125</v>
      </c>
      <c r="B18" s="226">
        <f t="shared" si="0"/>
        <v>0</v>
      </c>
      <c r="C18" s="21">
        <f t="shared" si="1"/>
        <v>0</v>
      </c>
      <c r="D18" s="21">
        <f t="shared" si="2"/>
        <v>16000</v>
      </c>
      <c r="E18" s="20">
        <f t="shared" si="3"/>
        <v>5400</v>
      </c>
      <c r="G18" s="260">
        <v>0.13541666666666699</v>
      </c>
      <c r="H18" s="211"/>
      <c r="I18" s="110">
        <v>0.13541666666666699</v>
      </c>
      <c r="J18" s="211"/>
      <c r="K18" s="110">
        <v>0.13541666666666699</v>
      </c>
      <c r="L18" s="211"/>
      <c r="M18" s="21"/>
      <c r="N18" s="110">
        <v>0.13541666666666699</v>
      </c>
      <c r="O18" s="209"/>
      <c r="P18" s="110">
        <v>0.13541666666666699</v>
      </c>
      <c r="Q18" s="209"/>
      <c r="R18" s="110">
        <v>0.13541666666666699</v>
      </c>
      <c r="S18" s="211"/>
      <c r="T18" s="21"/>
      <c r="U18" s="110">
        <v>0.13541666666666699</v>
      </c>
      <c r="V18" s="209"/>
      <c r="W18" s="110">
        <v>0.13541666666666699</v>
      </c>
      <c r="X18" s="209"/>
      <c r="Y18" s="110">
        <v>0.13541666666666699</v>
      </c>
      <c r="Z18" s="211"/>
      <c r="AA18" s="21"/>
      <c r="AB18" s="110">
        <v>0.13541666666666699</v>
      </c>
      <c r="AC18" s="209"/>
      <c r="AD18" s="110">
        <v>0.13541666666666699</v>
      </c>
      <c r="AE18" s="209"/>
      <c r="AF18" s="110">
        <v>0.13541666666666699</v>
      </c>
      <c r="AG18" s="211"/>
      <c r="AH18" s="21"/>
      <c r="AI18" s="110">
        <v>0.13541666666666699</v>
      </c>
      <c r="AJ18" s="209"/>
      <c r="AK18" s="110">
        <v>0.13541666666666699</v>
      </c>
      <c r="AL18" s="209"/>
      <c r="AM18" s="110">
        <v>0.13541666666666699</v>
      </c>
      <c r="AN18" s="211"/>
      <c r="AO18" s="21"/>
      <c r="AP18" s="110">
        <v>0.13541666666666699</v>
      </c>
      <c r="AQ18" s="209"/>
      <c r="AR18" s="110">
        <v>0.13541666666666699</v>
      </c>
      <c r="AS18" s="209"/>
      <c r="AT18" s="110">
        <v>0.13541666666666699</v>
      </c>
      <c r="AU18" s="211"/>
      <c r="AV18" s="21"/>
      <c r="AW18" s="110">
        <v>0.13541666666666699</v>
      </c>
      <c r="AX18" s="211"/>
      <c r="AY18" s="21"/>
      <c r="AZ18" s="110">
        <v>0.13541666666666699</v>
      </c>
      <c r="BA18" s="264"/>
      <c r="BC18" s="260">
        <v>0.13541666666666699</v>
      </c>
      <c r="BD18" s="211"/>
      <c r="BE18" s="110">
        <v>0.13541666666666699</v>
      </c>
      <c r="BF18" s="211"/>
      <c r="BG18" s="110">
        <v>0.13541666666666699</v>
      </c>
      <c r="BH18" s="211"/>
      <c r="BI18" s="21"/>
      <c r="BJ18" s="110">
        <v>0.13541666666666699</v>
      </c>
      <c r="BK18" s="209"/>
      <c r="BL18" s="110">
        <v>0.13541666666666699</v>
      </c>
      <c r="BM18" s="209"/>
      <c r="BN18" s="110">
        <v>0.13541666666666699</v>
      </c>
      <c r="BO18" s="211"/>
      <c r="BP18" s="21"/>
      <c r="BQ18" s="110">
        <v>0.13541666666666699</v>
      </c>
      <c r="BR18" s="209"/>
      <c r="BS18" s="110">
        <v>0.13541666666666699</v>
      </c>
      <c r="BT18" s="209"/>
      <c r="BU18" s="110">
        <v>0.13541666666666699</v>
      </c>
      <c r="BV18" s="211"/>
      <c r="BW18" s="21"/>
      <c r="BX18" s="110">
        <v>0.13541666666666699</v>
      </c>
      <c r="BY18" s="209"/>
      <c r="BZ18" s="110">
        <v>0.13541666666666699</v>
      </c>
      <c r="CA18" s="209"/>
      <c r="CB18" s="110">
        <v>0.13541666666666699</v>
      </c>
      <c r="CC18" s="211"/>
      <c r="CD18" s="21"/>
      <c r="CE18" s="110">
        <v>0.13541666666666699</v>
      </c>
      <c r="CF18" s="209"/>
      <c r="CG18" s="110">
        <v>0.13541666666666699</v>
      </c>
      <c r="CH18" s="209"/>
      <c r="CI18" s="110">
        <v>0.13541666666666699</v>
      </c>
      <c r="CJ18" s="211"/>
      <c r="CK18" s="21"/>
      <c r="CL18" s="110">
        <v>0.13541666666666699</v>
      </c>
      <c r="CM18" s="209"/>
      <c r="CN18" s="110">
        <v>0.13541666666666699</v>
      </c>
      <c r="CO18" s="209"/>
      <c r="CP18" s="110">
        <v>0.13541666666666699</v>
      </c>
      <c r="CQ18" s="211"/>
      <c r="CR18" s="21"/>
      <c r="CS18" s="110">
        <v>0.13541666666666699</v>
      </c>
      <c r="CT18" s="211"/>
      <c r="CU18" s="21"/>
      <c r="CV18" s="110">
        <v>0.13541666666666699</v>
      </c>
      <c r="CW18" s="264"/>
      <c r="CY18" s="260">
        <v>0.13541666666666699</v>
      </c>
      <c r="CZ18" s="178"/>
      <c r="DA18" s="110">
        <v>0.13541666666666699</v>
      </c>
      <c r="DB18" s="263"/>
      <c r="DC18" s="110">
        <v>0.13541666666666699</v>
      </c>
      <c r="DD18" s="211"/>
      <c r="DE18" s="21"/>
      <c r="DF18" s="110">
        <v>0.13541666666666699</v>
      </c>
      <c r="DG18" s="209"/>
      <c r="DH18" s="110">
        <v>0.13541666666666699</v>
      </c>
      <c r="DI18" s="209"/>
      <c r="DJ18" s="110">
        <v>0.13541666666666699</v>
      </c>
      <c r="DK18" s="211"/>
      <c r="DL18" s="21"/>
      <c r="DM18" s="110">
        <v>0.13541666666666699</v>
      </c>
      <c r="DN18" s="209"/>
      <c r="DO18" s="110">
        <v>0.13541666666666699</v>
      </c>
      <c r="DP18" s="209"/>
      <c r="DQ18" s="110">
        <v>0.13541666666666699</v>
      </c>
      <c r="DR18" s="211"/>
      <c r="DS18" s="21"/>
      <c r="DT18" s="110">
        <v>0.13541666666666699</v>
      </c>
      <c r="DU18" s="209"/>
      <c r="DV18" s="110">
        <v>0.13541666666666699</v>
      </c>
      <c r="DW18" s="209"/>
      <c r="DX18" s="110">
        <v>0.13541666666666699</v>
      </c>
      <c r="DY18" s="211"/>
      <c r="DZ18" s="21"/>
      <c r="EA18" s="110">
        <v>0.13541666666666699</v>
      </c>
      <c r="EB18" s="209">
        <f>IF('Temperature Profiles'!AA17&gt;18,(0.0018*('Temperature Profiles'!AA17^2)-(0.0475*'Temperature Profiles'!AA17)+0.3123)*1000,IF(AND('Temperature Profiles'!AA17&lt;17,'Temperature Profiles'!AA17&gt;-5.6),(0.0021*('Temperature Profiles'!AA17^2)-(0.0919*'Temperature Profiles'!AA17)+1.0491)*1000,IF(AND('Temperature Profiles'!AA17&lt;-5.6,'Temperature Profiles'!AA17&gt;-11.4),(((-0.2925*'Temperature Profiles'!AA17)-1.6914)*1000)+EB$208,IF('Temperature Profiles'!AA17&lt;-11.4,EB121,0))))</f>
        <v>6900</v>
      </c>
      <c r="EC18" s="110">
        <v>0.13541666666666699</v>
      </c>
      <c r="ED18" s="209">
        <f>IF('Temperature Profiles'!AA17&gt;18,(0.0034*('Temperature Profiles'!AA17^2)-(0.087*'Temperature Profiles'!AA17)+0.5117)*1000,IF(AND('Temperature Profiles'!AA17&lt;17,'Temperature Profiles'!AA17&gt;-4.4),(0.0027*('Temperature Profiles'!AA17^2)-(0.149*'Temperature Profiles'!AA17)+1.7779)*1000,IF(AND('Temperature Profiles'!AA17&lt;-4.4,'Temperature Profiles'!AA17&gt;-8.5),(((-0.5391*'Temperature Profiles'!AA17)-2.0906)*1000)+ED$208,IF('Temperature Profiles'!AA17&lt;-8.5,ED121,0))))</f>
        <v>12300</v>
      </c>
      <c r="EE18" s="110">
        <v>0.13541666666666699</v>
      </c>
      <c r="EF18" s="211">
        <f>IF('Temperature Profiles'!AA17&gt;18,(0.0048*('Temperature Profiles'!AA17^2)-(0.1352*'Temperature Profiles'!AA17)+0.9193)*1000,IF(AND('Temperature Profiles'!AA17&lt;17,'Temperature Profiles'!AA17&gt;-4.4),(0.0031*('Temperature Profiles'!AA17^2)-(0.2029*'Temperature Profiles'!AA17)+2.4264)*1000,IF(AND('Temperature Profiles'!AA17&lt;-4.4,'Temperature Profiles'!AA17&gt;-8.5),(((-0.7516*'Temperature Profiles'!AA17)-2.9985)*1000)+EF$208,IF('Temperature Profiles'!AA17&lt;-8.5,EF121,0))))</f>
        <v>16000</v>
      </c>
      <c r="EG18" s="21"/>
      <c r="EH18" s="110">
        <v>0.13541666666666699</v>
      </c>
      <c r="EI18" s="211"/>
      <c r="EJ18" s="110">
        <v>0.13541666666666699</v>
      </c>
      <c r="EK18" s="211"/>
      <c r="EL18" s="110">
        <v>0.13541666666666699</v>
      </c>
      <c r="EM18" s="211"/>
      <c r="EN18" s="21"/>
      <c r="EO18" s="110">
        <v>0.13541666666666699</v>
      </c>
      <c r="EP18" s="211"/>
      <c r="EQ18" s="21"/>
      <c r="ER18" s="110">
        <v>0.13541666666666699</v>
      </c>
      <c r="ES18" s="264"/>
      <c r="EU18" s="260">
        <v>0.13541666666666699</v>
      </c>
      <c r="EV18" s="209">
        <f>IF('Temperature Profiles'!AA17&gt;18,(0.0018*('Temperature Profiles'!AA17^2)-(0.0475*'Temperature Profiles'!AA17)+0.3123)*1000,IF(AND('Temperature Profiles'!AA17&lt;17,'Temperature Profiles'!AA17&gt;-5.6),(0.0021*('Temperature Profiles'!AA17^2)-(0.0919*'Temperature Profiles'!AA17)+1.0491)*1000,IF(AND('Temperature Profiles'!AA17&lt;-5.6,'Temperature Profiles'!AA17&gt;-11.4),EV$208,IF('Temperature Profiles'!AA17&lt;-11.4,EV121,0))))</f>
        <v>5400</v>
      </c>
      <c r="EW18" s="110">
        <v>0.13541666666666699</v>
      </c>
      <c r="EX18" s="209">
        <f>IF('Temperature Profiles'!AA17&gt;18,(0.0034*('Temperature Profiles'!AA17^2)-(0.087*'Temperature Profiles'!AA17)+0.5117)*1000,IF(AND('Temperature Profiles'!AA17&lt;17,'Temperature Profiles'!AA17&gt;-4.4),(0.0027*('Temperature Profiles'!AA17^2)-(0.149*'Temperature Profiles'!AA17)+1.7779)*1000,IF(AND('Temperature Profiles'!AA17&lt;-4.4,'Temperature Profiles'!AA17&gt;-8.5),EX$208,IF('Temperature Profiles'!AA17&lt;-8.5,EX121,0))))</f>
        <v>5400</v>
      </c>
      <c r="EY18" s="110">
        <v>0.13541666666666699</v>
      </c>
      <c r="EZ18" s="264">
        <f>IF('Temperature Profiles'!AA17&gt;18,(0.0048*('Temperature Profiles'!AA17^2)-(0.1352*'Temperature Profiles'!AA17)+0.9193)*1000,IF(AND('Temperature Profiles'!AA17&lt;17,'Temperature Profiles'!AA17&gt;-4.4),(0.0031*('Temperature Profiles'!AA17^2)-(0.2029*'Temperature Profiles'!AA17)+2.4264)*1000,IF(AND('Temperature Profiles'!AA17&lt;-4.4,'Temperature Profiles'!AA17&gt;-8.5),EZ$208,IF('Temperature Profiles'!AA17&lt;-8.5,EZ121,0))))</f>
        <v>5400</v>
      </c>
    </row>
    <row r="19" spans="1:156" x14ac:dyDescent="0.3">
      <c r="A19" s="108">
        <v>0.13541666666666699</v>
      </c>
      <c r="B19" s="226">
        <f t="shared" si="0"/>
        <v>0</v>
      </c>
      <c r="C19" s="21">
        <f t="shared" si="1"/>
        <v>0</v>
      </c>
      <c r="D19" s="21">
        <f t="shared" si="2"/>
        <v>16000</v>
      </c>
      <c r="E19" s="20">
        <f t="shared" si="3"/>
        <v>5400</v>
      </c>
      <c r="G19" s="260">
        <v>0.14583333333333301</v>
      </c>
      <c r="H19" s="211"/>
      <c r="I19" s="110">
        <v>0.14583333333333301</v>
      </c>
      <c r="J19" s="211"/>
      <c r="K19" s="110">
        <v>0.14583333333333301</v>
      </c>
      <c r="L19" s="211"/>
      <c r="M19" s="21"/>
      <c r="N19" s="110">
        <v>0.14583333333333301</v>
      </c>
      <c r="O19" s="209"/>
      <c r="P19" s="110">
        <v>0.14583333333333301</v>
      </c>
      <c r="Q19" s="209"/>
      <c r="R19" s="110">
        <v>0.14583333333333301</v>
      </c>
      <c r="S19" s="211"/>
      <c r="T19" s="21"/>
      <c r="U19" s="110">
        <v>0.14583333333333301</v>
      </c>
      <c r="V19" s="209"/>
      <c r="W19" s="110">
        <v>0.14583333333333301</v>
      </c>
      <c r="X19" s="209"/>
      <c r="Y19" s="110">
        <v>0.14583333333333301</v>
      </c>
      <c r="Z19" s="211"/>
      <c r="AA19" s="21"/>
      <c r="AB19" s="110">
        <v>0.14583333333333301</v>
      </c>
      <c r="AC19" s="209"/>
      <c r="AD19" s="110">
        <v>0.14583333333333301</v>
      </c>
      <c r="AE19" s="209"/>
      <c r="AF19" s="110">
        <v>0.14583333333333301</v>
      </c>
      <c r="AG19" s="211"/>
      <c r="AH19" s="21"/>
      <c r="AI19" s="110">
        <v>0.14583333333333301</v>
      </c>
      <c r="AJ19" s="209"/>
      <c r="AK19" s="110">
        <v>0.14583333333333301</v>
      </c>
      <c r="AL19" s="209"/>
      <c r="AM19" s="110">
        <v>0.14583333333333301</v>
      </c>
      <c r="AN19" s="211"/>
      <c r="AO19" s="21"/>
      <c r="AP19" s="110">
        <v>0.14583333333333301</v>
      </c>
      <c r="AQ19" s="209"/>
      <c r="AR19" s="110">
        <v>0.14583333333333301</v>
      </c>
      <c r="AS19" s="209"/>
      <c r="AT19" s="110">
        <v>0.14583333333333301</v>
      </c>
      <c r="AU19" s="211"/>
      <c r="AV19" s="21"/>
      <c r="AW19" s="110">
        <v>0.14583333333333301</v>
      </c>
      <c r="AX19" s="211"/>
      <c r="AY19" s="21"/>
      <c r="AZ19" s="110">
        <v>0.14583333333333301</v>
      </c>
      <c r="BA19" s="264"/>
      <c r="BC19" s="260">
        <v>0.14583333333333301</v>
      </c>
      <c r="BD19" s="211"/>
      <c r="BE19" s="110">
        <v>0.14583333333333301</v>
      </c>
      <c r="BF19" s="211"/>
      <c r="BG19" s="110">
        <v>0.14583333333333301</v>
      </c>
      <c r="BH19" s="211"/>
      <c r="BI19" s="21"/>
      <c r="BJ19" s="110">
        <v>0.14583333333333301</v>
      </c>
      <c r="BK19" s="209"/>
      <c r="BL19" s="110">
        <v>0.14583333333333301</v>
      </c>
      <c r="BM19" s="209"/>
      <c r="BN19" s="110">
        <v>0.14583333333333301</v>
      </c>
      <c r="BO19" s="211"/>
      <c r="BP19" s="21"/>
      <c r="BQ19" s="110">
        <v>0.14583333333333301</v>
      </c>
      <c r="BR19" s="209"/>
      <c r="BS19" s="110">
        <v>0.14583333333333301</v>
      </c>
      <c r="BT19" s="209"/>
      <c r="BU19" s="110">
        <v>0.14583333333333301</v>
      </c>
      <c r="BV19" s="211"/>
      <c r="BW19" s="21"/>
      <c r="BX19" s="110">
        <v>0.14583333333333301</v>
      </c>
      <c r="BY19" s="209"/>
      <c r="BZ19" s="110">
        <v>0.14583333333333301</v>
      </c>
      <c r="CA19" s="209"/>
      <c r="CB19" s="110">
        <v>0.14583333333333301</v>
      </c>
      <c r="CC19" s="211"/>
      <c r="CD19" s="21"/>
      <c r="CE19" s="110">
        <v>0.14583333333333301</v>
      </c>
      <c r="CF19" s="209"/>
      <c r="CG19" s="110">
        <v>0.14583333333333301</v>
      </c>
      <c r="CH19" s="209"/>
      <c r="CI19" s="110">
        <v>0.14583333333333301</v>
      </c>
      <c r="CJ19" s="211"/>
      <c r="CK19" s="21"/>
      <c r="CL19" s="110">
        <v>0.14583333333333301</v>
      </c>
      <c r="CM19" s="209"/>
      <c r="CN19" s="110">
        <v>0.14583333333333301</v>
      </c>
      <c r="CO19" s="209"/>
      <c r="CP19" s="110">
        <v>0.14583333333333301</v>
      </c>
      <c r="CQ19" s="211"/>
      <c r="CR19" s="21"/>
      <c r="CS19" s="110">
        <v>0.14583333333333301</v>
      </c>
      <c r="CT19" s="211"/>
      <c r="CU19" s="21"/>
      <c r="CV19" s="110">
        <v>0.14583333333333301</v>
      </c>
      <c r="CW19" s="264"/>
      <c r="CY19" s="260">
        <v>0.14583333333333301</v>
      </c>
      <c r="CZ19" s="178"/>
      <c r="DA19" s="110">
        <v>0.14583333333333301</v>
      </c>
      <c r="DB19" s="263"/>
      <c r="DC19" s="110">
        <v>0.14583333333333301</v>
      </c>
      <c r="DD19" s="211"/>
      <c r="DE19" s="21"/>
      <c r="DF19" s="110">
        <v>0.14583333333333301</v>
      </c>
      <c r="DG19" s="209"/>
      <c r="DH19" s="110">
        <v>0.14583333333333301</v>
      </c>
      <c r="DI19" s="209"/>
      <c r="DJ19" s="110">
        <v>0.14583333333333301</v>
      </c>
      <c r="DK19" s="211"/>
      <c r="DL19" s="21"/>
      <c r="DM19" s="110">
        <v>0.14583333333333301</v>
      </c>
      <c r="DN19" s="209"/>
      <c r="DO19" s="110">
        <v>0.14583333333333301</v>
      </c>
      <c r="DP19" s="209"/>
      <c r="DQ19" s="110">
        <v>0.14583333333333301</v>
      </c>
      <c r="DR19" s="211"/>
      <c r="DS19" s="21"/>
      <c r="DT19" s="110">
        <v>0.14583333333333301</v>
      </c>
      <c r="DU19" s="209"/>
      <c r="DV19" s="110">
        <v>0.14583333333333301</v>
      </c>
      <c r="DW19" s="209"/>
      <c r="DX19" s="110">
        <v>0.14583333333333301</v>
      </c>
      <c r="DY19" s="211"/>
      <c r="DZ19" s="21"/>
      <c r="EA19" s="110">
        <v>0.14583333333333301</v>
      </c>
      <c r="EB19" s="209">
        <f>IF('Temperature Profiles'!AA18&gt;18,(0.0018*('Temperature Profiles'!AA18^2)-(0.0475*'Temperature Profiles'!AA18)+0.3123)*1000,IF(AND('Temperature Profiles'!AA18&lt;17,'Temperature Profiles'!AA18&gt;-5.6),(0.0021*('Temperature Profiles'!AA18^2)-(0.0919*'Temperature Profiles'!AA18)+1.0491)*1000,IF(AND('Temperature Profiles'!AA18&lt;-5.6,'Temperature Profiles'!AA18&gt;-11.4),(((-0.2925*'Temperature Profiles'!AA18)-1.6914)*1000)+EB$208,IF('Temperature Profiles'!AA18&lt;-11.4,EB122,0))))</f>
        <v>0</v>
      </c>
      <c r="EC19" s="110">
        <v>0.14583333333333301</v>
      </c>
      <c r="ED19" s="209">
        <f>IF('Temperature Profiles'!AA18&gt;18,(0.0034*('Temperature Profiles'!AA18^2)-(0.087*'Temperature Profiles'!AA18)+0.5117)*1000,IF(AND('Temperature Profiles'!AA18&lt;17,'Temperature Profiles'!AA18&gt;-4.4),(0.0027*('Temperature Profiles'!AA18^2)-(0.149*'Temperature Profiles'!AA18)+1.7779)*1000,IF(AND('Temperature Profiles'!AA18&lt;-4.4,'Temperature Profiles'!AA18&gt;-8.5),(((-0.5391*'Temperature Profiles'!AA18)-2.0906)*1000)+ED$208,IF('Temperature Profiles'!AA18&lt;-8.5,ED122,0))))</f>
        <v>12300</v>
      </c>
      <c r="EE19" s="110">
        <v>0.14583333333333301</v>
      </c>
      <c r="EF19" s="211">
        <f>IF('Temperature Profiles'!AA18&gt;18,(0.0048*('Temperature Profiles'!AA18^2)-(0.1352*'Temperature Profiles'!AA18)+0.9193)*1000,IF(AND('Temperature Profiles'!AA18&lt;17,'Temperature Profiles'!AA18&gt;-4.4),(0.0031*('Temperature Profiles'!AA18^2)-(0.2029*'Temperature Profiles'!AA18)+2.4264)*1000,IF(AND('Temperature Profiles'!AA18&lt;-4.4,'Temperature Profiles'!AA18&gt;-8.5),(((-0.7516*'Temperature Profiles'!AA18)-2.9985)*1000)+EF$208,IF('Temperature Profiles'!AA18&lt;-8.5,EF122,0))))</f>
        <v>16000</v>
      </c>
      <c r="EG19" s="21"/>
      <c r="EH19" s="110">
        <v>0.14583333333333301</v>
      </c>
      <c r="EI19" s="211"/>
      <c r="EJ19" s="110">
        <v>0.14583333333333301</v>
      </c>
      <c r="EK19" s="211"/>
      <c r="EL19" s="110">
        <v>0.14583333333333301</v>
      </c>
      <c r="EM19" s="211"/>
      <c r="EN19" s="21"/>
      <c r="EO19" s="110">
        <v>0.14583333333333301</v>
      </c>
      <c r="EP19" s="211"/>
      <c r="EQ19" s="21"/>
      <c r="ER19" s="110">
        <v>0.14583333333333301</v>
      </c>
      <c r="ES19" s="264"/>
      <c r="EU19" s="260">
        <v>0.14583333333333301</v>
      </c>
      <c r="EV19" s="209">
        <f>IF('Temperature Profiles'!AA18&gt;18,(0.0018*('Temperature Profiles'!AA18^2)-(0.0475*'Temperature Profiles'!AA18)+0.3123)*1000,IF(AND('Temperature Profiles'!AA18&lt;17,'Temperature Profiles'!AA18&gt;-5.6),(0.0021*('Temperature Profiles'!AA18^2)-(0.0919*'Temperature Profiles'!AA18)+1.0491)*1000,IF(AND('Temperature Profiles'!AA18&lt;-5.6,'Temperature Profiles'!AA18&gt;-11.4),EV$208,IF('Temperature Profiles'!AA18&lt;-11.4,EV122,0))))</f>
        <v>0</v>
      </c>
      <c r="EW19" s="110">
        <v>0.14583333333333301</v>
      </c>
      <c r="EX19" s="209">
        <f>IF('Temperature Profiles'!AA18&gt;18,(0.0034*('Temperature Profiles'!AA18^2)-(0.087*'Temperature Profiles'!AA18)+0.5117)*1000,IF(AND('Temperature Profiles'!AA18&lt;17,'Temperature Profiles'!AA18&gt;-4.4),(0.0027*('Temperature Profiles'!AA18^2)-(0.149*'Temperature Profiles'!AA18)+1.7779)*1000,IF(AND('Temperature Profiles'!AA18&lt;-4.4,'Temperature Profiles'!AA18&gt;-8.5),EX$208,IF('Temperature Profiles'!AA18&lt;-8.5,EX122,0))))</f>
        <v>5400</v>
      </c>
      <c r="EY19" s="110">
        <v>0.14583333333333301</v>
      </c>
      <c r="EZ19" s="264">
        <f>IF('Temperature Profiles'!AA18&gt;18,(0.0048*('Temperature Profiles'!AA18^2)-(0.1352*'Temperature Profiles'!AA18)+0.9193)*1000,IF(AND('Temperature Profiles'!AA18&lt;17,'Temperature Profiles'!AA18&gt;-4.4),(0.0031*('Temperature Profiles'!AA18^2)-(0.2029*'Temperature Profiles'!AA18)+2.4264)*1000,IF(AND('Temperature Profiles'!AA18&lt;-4.4,'Temperature Profiles'!AA18&gt;-8.5),EZ$208,IF('Temperature Profiles'!AA18&lt;-8.5,EZ122,0))))</f>
        <v>5400</v>
      </c>
    </row>
    <row r="20" spans="1:156" x14ac:dyDescent="0.3">
      <c r="A20" s="108">
        <v>0.14583333333333301</v>
      </c>
      <c r="B20" s="226">
        <f t="shared" si="0"/>
        <v>0</v>
      </c>
      <c r="C20" s="21">
        <f t="shared" si="1"/>
        <v>0</v>
      </c>
      <c r="D20" s="21">
        <f t="shared" si="2"/>
        <v>16000</v>
      </c>
      <c r="E20" s="20">
        <f t="shared" si="3"/>
        <v>5400</v>
      </c>
      <c r="G20" s="260">
        <v>0.15625</v>
      </c>
      <c r="H20" s="211"/>
      <c r="I20" s="110">
        <v>0.15625</v>
      </c>
      <c r="J20" s="211"/>
      <c r="K20" s="110">
        <v>0.15625</v>
      </c>
      <c r="L20" s="211"/>
      <c r="M20" s="21"/>
      <c r="N20" s="110">
        <v>0.15625</v>
      </c>
      <c r="O20" s="209"/>
      <c r="P20" s="110">
        <v>0.15625</v>
      </c>
      <c r="Q20" s="209"/>
      <c r="R20" s="110">
        <v>0.15625</v>
      </c>
      <c r="S20" s="211"/>
      <c r="T20" s="21"/>
      <c r="U20" s="110">
        <v>0.15625</v>
      </c>
      <c r="V20" s="209"/>
      <c r="W20" s="110">
        <v>0.15625</v>
      </c>
      <c r="X20" s="209"/>
      <c r="Y20" s="110">
        <v>0.15625</v>
      </c>
      <c r="Z20" s="211"/>
      <c r="AA20" s="21"/>
      <c r="AB20" s="110">
        <v>0.15625</v>
      </c>
      <c r="AC20" s="209"/>
      <c r="AD20" s="110">
        <v>0.15625</v>
      </c>
      <c r="AE20" s="209"/>
      <c r="AF20" s="110">
        <v>0.15625</v>
      </c>
      <c r="AG20" s="211"/>
      <c r="AH20" s="21"/>
      <c r="AI20" s="110">
        <v>0.15625</v>
      </c>
      <c r="AJ20" s="209"/>
      <c r="AK20" s="110">
        <v>0.15625</v>
      </c>
      <c r="AL20" s="209"/>
      <c r="AM20" s="110">
        <v>0.15625</v>
      </c>
      <c r="AN20" s="211"/>
      <c r="AO20" s="21"/>
      <c r="AP20" s="110">
        <v>0.15625</v>
      </c>
      <c r="AQ20" s="209"/>
      <c r="AR20" s="110">
        <v>0.15625</v>
      </c>
      <c r="AS20" s="209"/>
      <c r="AT20" s="110">
        <v>0.15625</v>
      </c>
      <c r="AU20" s="211"/>
      <c r="AV20" s="21"/>
      <c r="AW20" s="110">
        <v>0.15625</v>
      </c>
      <c r="AX20" s="211"/>
      <c r="AY20" s="21"/>
      <c r="AZ20" s="110">
        <v>0.15625</v>
      </c>
      <c r="BA20" s="264"/>
      <c r="BC20" s="260">
        <v>0.15625</v>
      </c>
      <c r="BD20" s="211"/>
      <c r="BE20" s="110">
        <v>0.15625</v>
      </c>
      <c r="BF20" s="211"/>
      <c r="BG20" s="110">
        <v>0.15625</v>
      </c>
      <c r="BH20" s="211"/>
      <c r="BI20" s="21"/>
      <c r="BJ20" s="110">
        <v>0.15625</v>
      </c>
      <c r="BK20" s="209"/>
      <c r="BL20" s="110">
        <v>0.15625</v>
      </c>
      <c r="BM20" s="209"/>
      <c r="BN20" s="110">
        <v>0.15625</v>
      </c>
      <c r="BO20" s="211"/>
      <c r="BP20" s="21"/>
      <c r="BQ20" s="110">
        <v>0.15625</v>
      </c>
      <c r="BR20" s="209"/>
      <c r="BS20" s="110">
        <v>0.15625</v>
      </c>
      <c r="BT20" s="209"/>
      <c r="BU20" s="110">
        <v>0.15625</v>
      </c>
      <c r="BV20" s="211"/>
      <c r="BW20" s="21"/>
      <c r="BX20" s="110">
        <v>0.15625</v>
      </c>
      <c r="BY20" s="209"/>
      <c r="BZ20" s="110">
        <v>0.15625</v>
      </c>
      <c r="CA20" s="209"/>
      <c r="CB20" s="110">
        <v>0.15625</v>
      </c>
      <c r="CC20" s="211"/>
      <c r="CD20" s="21"/>
      <c r="CE20" s="110">
        <v>0.15625</v>
      </c>
      <c r="CF20" s="209"/>
      <c r="CG20" s="110">
        <v>0.15625</v>
      </c>
      <c r="CH20" s="209"/>
      <c r="CI20" s="110">
        <v>0.15625</v>
      </c>
      <c r="CJ20" s="211"/>
      <c r="CK20" s="21"/>
      <c r="CL20" s="110">
        <v>0.15625</v>
      </c>
      <c r="CM20" s="209"/>
      <c r="CN20" s="110">
        <v>0.15625</v>
      </c>
      <c r="CO20" s="209"/>
      <c r="CP20" s="110">
        <v>0.15625</v>
      </c>
      <c r="CQ20" s="211"/>
      <c r="CR20" s="21"/>
      <c r="CS20" s="110">
        <v>0.15625</v>
      </c>
      <c r="CT20" s="211"/>
      <c r="CU20" s="21"/>
      <c r="CV20" s="110">
        <v>0.15625</v>
      </c>
      <c r="CW20" s="264"/>
      <c r="CY20" s="260">
        <v>0.15625</v>
      </c>
      <c r="CZ20" s="178"/>
      <c r="DA20" s="110">
        <v>0.15625</v>
      </c>
      <c r="DB20" s="263"/>
      <c r="DC20" s="110">
        <v>0.15625</v>
      </c>
      <c r="DD20" s="211"/>
      <c r="DE20" s="21"/>
      <c r="DF20" s="110">
        <v>0.15625</v>
      </c>
      <c r="DG20" s="209"/>
      <c r="DH20" s="110">
        <v>0.15625</v>
      </c>
      <c r="DI20" s="209"/>
      <c r="DJ20" s="110">
        <v>0.15625</v>
      </c>
      <c r="DK20" s="211"/>
      <c r="DL20" s="21"/>
      <c r="DM20" s="110">
        <v>0.15625</v>
      </c>
      <c r="DN20" s="209"/>
      <c r="DO20" s="110">
        <v>0.15625</v>
      </c>
      <c r="DP20" s="209"/>
      <c r="DQ20" s="110">
        <v>0.15625</v>
      </c>
      <c r="DR20" s="211"/>
      <c r="DS20" s="21"/>
      <c r="DT20" s="110">
        <v>0.15625</v>
      </c>
      <c r="DU20" s="209"/>
      <c r="DV20" s="110">
        <v>0.15625</v>
      </c>
      <c r="DW20" s="209"/>
      <c r="DX20" s="110">
        <v>0.15625</v>
      </c>
      <c r="DY20" s="211"/>
      <c r="DZ20" s="21"/>
      <c r="EA20" s="110">
        <v>0.15625</v>
      </c>
      <c r="EB20" s="209">
        <f>IF('Temperature Profiles'!AA19&gt;18,(0.0018*('Temperature Profiles'!AA19^2)-(0.0475*'Temperature Profiles'!AA19)+0.3123)*1000,IF(AND('Temperature Profiles'!AA19&lt;17,'Temperature Profiles'!AA19&gt;-5.6),(0.0021*('Temperature Profiles'!AA19^2)-(0.0919*'Temperature Profiles'!AA19)+1.0491)*1000,IF(AND('Temperature Profiles'!AA19&lt;-5.6,'Temperature Profiles'!AA19&gt;-11.4),(((-0.2925*'Temperature Profiles'!AA19)-1.6914)*1000)+EB$208,IF('Temperature Profiles'!AA19&lt;-11.4,EB123,0))))</f>
        <v>0</v>
      </c>
      <c r="EC20" s="110">
        <v>0.15625</v>
      </c>
      <c r="ED20" s="209">
        <f>IF('Temperature Profiles'!AA19&gt;18,(0.0034*('Temperature Profiles'!AA19^2)-(0.087*'Temperature Profiles'!AA19)+0.5117)*1000,IF(AND('Temperature Profiles'!AA19&lt;17,'Temperature Profiles'!AA19&gt;-4.4),(0.0027*('Temperature Profiles'!AA19^2)-(0.149*'Temperature Profiles'!AA19)+1.7779)*1000,IF(AND('Temperature Profiles'!AA19&lt;-4.4,'Temperature Profiles'!AA19&gt;-8.5),(((-0.5391*'Temperature Profiles'!AA19)-2.0906)*1000)+ED$208,IF('Temperature Profiles'!AA19&lt;-8.5,ED123,0))))</f>
        <v>0</v>
      </c>
      <c r="EE20" s="110">
        <v>0.15625</v>
      </c>
      <c r="EF20" s="211">
        <f>IF('Temperature Profiles'!AA19&gt;18,(0.0048*('Temperature Profiles'!AA19^2)-(0.1352*'Temperature Profiles'!AA19)+0.9193)*1000,IF(AND('Temperature Profiles'!AA19&lt;17,'Temperature Profiles'!AA19&gt;-4.4),(0.0031*('Temperature Profiles'!AA19^2)-(0.2029*'Temperature Profiles'!AA19)+2.4264)*1000,IF(AND('Temperature Profiles'!AA19&lt;-4.4,'Temperature Profiles'!AA19&gt;-8.5),(((-0.7516*'Temperature Profiles'!AA19)-2.9985)*1000)+EF$208,IF('Temperature Profiles'!AA19&lt;-8.5,EF123,0))))</f>
        <v>0</v>
      </c>
      <c r="EG20" s="21"/>
      <c r="EH20" s="110">
        <v>0.15625</v>
      </c>
      <c r="EI20" s="211"/>
      <c r="EJ20" s="110">
        <v>0.15625</v>
      </c>
      <c r="EK20" s="211"/>
      <c r="EL20" s="110">
        <v>0.15625</v>
      </c>
      <c r="EM20" s="211"/>
      <c r="EN20" s="21"/>
      <c r="EO20" s="110">
        <v>0.15625</v>
      </c>
      <c r="EP20" s="211"/>
      <c r="EQ20" s="21"/>
      <c r="ER20" s="110">
        <v>0.15625</v>
      </c>
      <c r="ES20" s="264"/>
      <c r="EU20" s="260">
        <v>0.15625</v>
      </c>
      <c r="EV20" s="209">
        <f>IF('Temperature Profiles'!AA19&gt;18,(0.0018*('Temperature Profiles'!AA19^2)-(0.0475*'Temperature Profiles'!AA19)+0.3123)*1000,IF(AND('Temperature Profiles'!AA19&lt;17,'Temperature Profiles'!AA19&gt;-5.6),(0.0021*('Temperature Profiles'!AA19^2)-(0.0919*'Temperature Profiles'!AA19)+1.0491)*1000,IF(AND('Temperature Profiles'!AA19&lt;-5.6,'Temperature Profiles'!AA19&gt;-11.4),EV$208,IF('Temperature Profiles'!AA19&lt;-11.4,EV123,0))))</f>
        <v>0</v>
      </c>
      <c r="EW20" s="110">
        <v>0.15625</v>
      </c>
      <c r="EX20" s="209">
        <f>IF('Temperature Profiles'!AA19&gt;18,(0.0034*('Temperature Profiles'!AA19^2)-(0.087*'Temperature Profiles'!AA19)+0.5117)*1000,IF(AND('Temperature Profiles'!AA19&lt;17,'Temperature Profiles'!AA19&gt;-4.4),(0.0027*('Temperature Profiles'!AA19^2)-(0.149*'Temperature Profiles'!AA19)+1.7779)*1000,IF(AND('Temperature Profiles'!AA19&lt;-4.4,'Temperature Profiles'!AA19&gt;-8.5),EX$208,IF('Temperature Profiles'!AA19&lt;-8.5,EX123,0))))</f>
        <v>0</v>
      </c>
      <c r="EY20" s="110">
        <v>0.15625</v>
      </c>
      <c r="EZ20" s="264">
        <f>IF('Temperature Profiles'!AA19&gt;18,(0.0048*('Temperature Profiles'!AA19^2)-(0.1352*'Temperature Profiles'!AA19)+0.9193)*1000,IF(AND('Temperature Profiles'!AA19&lt;17,'Temperature Profiles'!AA19&gt;-4.4),(0.0031*('Temperature Profiles'!AA19^2)-(0.2029*'Temperature Profiles'!AA19)+2.4264)*1000,IF(AND('Temperature Profiles'!AA19&lt;-4.4,'Temperature Profiles'!AA19&gt;-8.5),EZ$208,IF('Temperature Profiles'!AA19&lt;-8.5,EZ123,0))))</f>
        <v>0</v>
      </c>
    </row>
    <row r="21" spans="1:156" x14ac:dyDescent="0.3">
      <c r="A21" s="108">
        <v>0.15625</v>
      </c>
      <c r="B21" s="226">
        <f t="shared" si="0"/>
        <v>0</v>
      </c>
      <c r="C21" s="21">
        <f t="shared" si="1"/>
        <v>0</v>
      </c>
      <c r="D21" s="21">
        <f t="shared" si="2"/>
        <v>0</v>
      </c>
      <c r="E21" s="20">
        <f t="shared" si="3"/>
        <v>0</v>
      </c>
      <c r="G21" s="260">
        <v>0.16666666666666699</v>
      </c>
      <c r="H21" s="211"/>
      <c r="I21" s="110">
        <v>0.16666666666666699</v>
      </c>
      <c r="J21" s="211"/>
      <c r="K21" s="110">
        <v>0.16666666666666699</v>
      </c>
      <c r="L21" s="211"/>
      <c r="M21" s="21"/>
      <c r="N21" s="110">
        <v>0.16666666666666699</v>
      </c>
      <c r="O21" s="209"/>
      <c r="P21" s="110">
        <v>0.16666666666666699</v>
      </c>
      <c r="Q21" s="209"/>
      <c r="R21" s="110">
        <v>0.16666666666666699</v>
      </c>
      <c r="S21" s="211"/>
      <c r="T21" s="21"/>
      <c r="U21" s="110">
        <v>0.16666666666666699</v>
      </c>
      <c r="V21" s="209"/>
      <c r="W21" s="110">
        <v>0.16666666666666699</v>
      </c>
      <c r="X21" s="209"/>
      <c r="Y21" s="110">
        <v>0.16666666666666699</v>
      </c>
      <c r="Z21" s="211"/>
      <c r="AA21" s="21"/>
      <c r="AB21" s="110">
        <v>0.16666666666666699</v>
      </c>
      <c r="AC21" s="209"/>
      <c r="AD21" s="110">
        <v>0.16666666666666699</v>
      </c>
      <c r="AE21" s="209"/>
      <c r="AF21" s="110">
        <v>0.16666666666666699</v>
      </c>
      <c r="AG21" s="211"/>
      <c r="AH21" s="21"/>
      <c r="AI21" s="110">
        <v>0.16666666666666699</v>
      </c>
      <c r="AJ21" s="209"/>
      <c r="AK21" s="110">
        <v>0.16666666666666699</v>
      </c>
      <c r="AL21" s="209"/>
      <c r="AM21" s="110">
        <v>0.16666666666666699</v>
      </c>
      <c r="AN21" s="211"/>
      <c r="AO21" s="21"/>
      <c r="AP21" s="110">
        <v>0.16666666666666699</v>
      </c>
      <c r="AQ21" s="209"/>
      <c r="AR21" s="110">
        <v>0.16666666666666699</v>
      </c>
      <c r="AS21" s="209"/>
      <c r="AT21" s="110">
        <v>0.16666666666666699</v>
      </c>
      <c r="AU21" s="211"/>
      <c r="AV21" s="21"/>
      <c r="AW21" s="110">
        <v>0.16666666666666699</v>
      </c>
      <c r="AX21" s="211"/>
      <c r="AY21" s="21"/>
      <c r="AZ21" s="110">
        <v>0.16666666666666699</v>
      </c>
      <c r="BA21" s="264"/>
      <c r="BC21" s="260">
        <v>0.16666666666666699</v>
      </c>
      <c r="BD21" s="211"/>
      <c r="BE21" s="110">
        <v>0.16666666666666699</v>
      </c>
      <c r="BF21" s="211"/>
      <c r="BG21" s="110">
        <v>0.16666666666666699</v>
      </c>
      <c r="BH21" s="211"/>
      <c r="BI21" s="21"/>
      <c r="BJ21" s="110">
        <v>0.16666666666666699</v>
      </c>
      <c r="BK21" s="209"/>
      <c r="BL21" s="110">
        <v>0.16666666666666699</v>
      </c>
      <c r="BM21" s="209"/>
      <c r="BN21" s="110">
        <v>0.16666666666666699</v>
      </c>
      <c r="BO21" s="211"/>
      <c r="BP21" s="21"/>
      <c r="BQ21" s="110">
        <v>0.16666666666666699</v>
      </c>
      <c r="BR21" s="209"/>
      <c r="BS21" s="110">
        <v>0.16666666666666699</v>
      </c>
      <c r="BT21" s="209"/>
      <c r="BU21" s="110">
        <v>0.16666666666666699</v>
      </c>
      <c r="BV21" s="211"/>
      <c r="BW21" s="21"/>
      <c r="BX21" s="110">
        <v>0.16666666666666699</v>
      </c>
      <c r="BY21" s="209"/>
      <c r="BZ21" s="110">
        <v>0.16666666666666699</v>
      </c>
      <c r="CA21" s="209"/>
      <c r="CB21" s="110">
        <v>0.16666666666666699</v>
      </c>
      <c r="CC21" s="211"/>
      <c r="CD21" s="21"/>
      <c r="CE21" s="110">
        <v>0.16666666666666699</v>
      </c>
      <c r="CF21" s="209"/>
      <c r="CG21" s="110">
        <v>0.16666666666666699</v>
      </c>
      <c r="CH21" s="209"/>
      <c r="CI21" s="110">
        <v>0.16666666666666699</v>
      </c>
      <c r="CJ21" s="211"/>
      <c r="CK21" s="21"/>
      <c r="CL21" s="110">
        <v>0.16666666666666699</v>
      </c>
      <c r="CM21" s="209"/>
      <c r="CN21" s="110">
        <v>0.16666666666666699</v>
      </c>
      <c r="CO21" s="209"/>
      <c r="CP21" s="110">
        <v>0.16666666666666699</v>
      </c>
      <c r="CQ21" s="211"/>
      <c r="CR21" s="21"/>
      <c r="CS21" s="110">
        <v>0.16666666666666699</v>
      </c>
      <c r="CT21" s="211"/>
      <c r="CU21" s="21"/>
      <c r="CV21" s="110">
        <v>0.16666666666666699</v>
      </c>
      <c r="CW21" s="264"/>
      <c r="CY21" s="260">
        <v>0.16666666666666699</v>
      </c>
      <c r="CZ21" s="178"/>
      <c r="DA21" s="110">
        <v>0.16666666666666699</v>
      </c>
      <c r="DB21" s="263"/>
      <c r="DC21" s="110">
        <v>0.16666666666666699</v>
      </c>
      <c r="DD21" s="211"/>
      <c r="DE21" s="21"/>
      <c r="DF21" s="110">
        <v>0.16666666666666699</v>
      </c>
      <c r="DG21" s="209"/>
      <c r="DH21" s="110">
        <v>0.16666666666666699</v>
      </c>
      <c r="DI21" s="209"/>
      <c r="DJ21" s="110">
        <v>0.16666666666666699</v>
      </c>
      <c r="DK21" s="211"/>
      <c r="DL21" s="21"/>
      <c r="DM21" s="110">
        <v>0.16666666666666699</v>
      </c>
      <c r="DN21" s="209"/>
      <c r="DO21" s="110">
        <v>0.16666666666666699</v>
      </c>
      <c r="DP21" s="209"/>
      <c r="DQ21" s="110">
        <v>0.16666666666666699</v>
      </c>
      <c r="DR21" s="211"/>
      <c r="DS21" s="21"/>
      <c r="DT21" s="110">
        <v>0.16666666666666699</v>
      </c>
      <c r="DU21" s="209"/>
      <c r="DV21" s="110">
        <v>0.16666666666666699</v>
      </c>
      <c r="DW21" s="209"/>
      <c r="DX21" s="110">
        <v>0.16666666666666699</v>
      </c>
      <c r="DY21" s="211"/>
      <c r="DZ21" s="21"/>
      <c r="EA21" s="110">
        <v>0.16666666666666699</v>
      </c>
      <c r="EB21" s="209">
        <f>IF('Temperature Profiles'!AA20&gt;18,(0.0018*('Temperature Profiles'!AA20^2)-(0.0475*'Temperature Profiles'!AA20)+0.3123)*1000,IF(AND('Temperature Profiles'!AA20&lt;17,'Temperature Profiles'!AA20&gt;-5.6),(0.0021*('Temperature Profiles'!AA20^2)-(0.0919*'Temperature Profiles'!AA20)+1.0491)*1000,IF(AND('Temperature Profiles'!AA20&lt;-5.6,'Temperature Profiles'!AA20&gt;-11.4),(((-0.2925*'Temperature Profiles'!AA20)-1.6914)*1000)+EB$208,IF('Temperature Profiles'!AA20&lt;-11.4,EB124,0))))</f>
        <v>6900</v>
      </c>
      <c r="EC21" s="110">
        <v>0.16666666666666699</v>
      </c>
      <c r="ED21" s="209">
        <f>IF('Temperature Profiles'!AA20&gt;18,(0.0034*('Temperature Profiles'!AA20^2)-(0.087*'Temperature Profiles'!AA20)+0.5117)*1000,IF(AND('Temperature Profiles'!AA20&lt;17,'Temperature Profiles'!AA20&gt;-4.4),(0.0027*('Temperature Profiles'!AA20^2)-(0.149*'Temperature Profiles'!AA20)+1.7779)*1000,IF(AND('Temperature Profiles'!AA20&lt;-4.4,'Temperature Profiles'!AA20&gt;-8.5),(((-0.5391*'Temperature Profiles'!AA20)-2.0906)*1000)+ED$208,IF('Temperature Profiles'!AA20&lt;-8.5,ED124,0))))</f>
        <v>12300</v>
      </c>
      <c r="EE21" s="110">
        <v>0.16666666666666699</v>
      </c>
      <c r="EF21" s="211">
        <f>IF('Temperature Profiles'!AA20&gt;18,(0.0048*('Temperature Profiles'!AA20^2)-(0.1352*'Temperature Profiles'!AA20)+0.9193)*1000,IF(AND('Temperature Profiles'!AA20&lt;17,'Temperature Profiles'!AA20&gt;-4.4),(0.0031*('Temperature Profiles'!AA20^2)-(0.2029*'Temperature Profiles'!AA20)+2.4264)*1000,IF(AND('Temperature Profiles'!AA20&lt;-4.4,'Temperature Profiles'!AA20&gt;-8.5),(((-0.7516*'Temperature Profiles'!AA20)-2.9985)*1000)+EF$208,IF('Temperature Profiles'!AA20&lt;-8.5,EF124,0))))</f>
        <v>16000</v>
      </c>
      <c r="EG21" s="21"/>
      <c r="EH21" s="110">
        <v>0.16666666666666699</v>
      </c>
      <c r="EI21" s="211"/>
      <c r="EJ21" s="110">
        <v>0.16666666666666699</v>
      </c>
      <c r="EK21" s="211"/>
      <c r="EL21" s="110">
        <v>0.16666666666666699</v>
      </c>
      <c r="EM21" s="211"/>
      <c r="EN21" s="21"/>
      <c r="EO21" s="110">
        <v>0.16666666666666699</v>
      </c>
      <c r="EP21" s="211"/>
      <c r="EQ21" s="21"/>
      <c r="ER21" s="110">
        <v>0.16666666666666699</v>
      </c>
      <c r="ES21" s="264"/>
      <c r="EU21" s="260">
        <v>0.16666666666666699</v>
      </c>
      <c r="EV21" s="209">
        <f>IF('Temperature Profiles'!AA20&gt;18,(0.0018*('Temperature Profiles'!AA20^2)-(0.0475*'Temperature Profiles'!AA20)+0.3123)*1000,IF(AND('Temperature Profiles'!AA20&lt;17,'Temperature Profiles'!AA20&gt;-5.6),(0.0021*('Temperature Profiles'!AA20^2)-(0.0919*'Temperature Profiles'!AA20)+1.0491)*1000,IF(AND('Temperature Profiles'!AA20&lt;-5.6,'Temperature Profiles'!AA20&gt;-11.4),EV$208,IF('Temperature Profiles'!AA20&lt;-11.4,EV124,0))))</f>
        <v>5400</v>
      </c>
      <c r="EW21" s="110">
        <v>0.16666666666666699</v>
      </c>
      <c r="EX21" s="209">
        <f>IF('Temperature Profiles'!AA20&gt;18,(0.0034*('Temperature Profiles'!AA20^2)-(0.087*'Temperature Profiles'!AA20)+0.5117)*1000,IF(AND('Temperature Profiles'!AA20&lt;17,'Temperature Profiles'!AA20&gt;-4.4),(0.0027*('Temperature Profiles'!AA20^2)-(0.149*'Temperature Profiles'!AA20)+1.7779)*1000,IF(AND('Temperature Profiles'!AA20&lt;-4.4,'Temperature Profiles'!AA20&gt;-8.5),EX$208,IF('Temperature Profiles'!AA20&lt;-8.5,EX124,0))))</f>
        <v>5400</v>
      </c>
      <c r="EY21" s="110">
        <v>0.16666666666666699</v>
      </c>
      <c r="EZ21" s="264">
        <f>IF('Temperature Profiles'!AA20&gt;18,(0.0048*('Temperature Profiles'!AA20^2)-(0.1352*'Temperature Profiles'!AA20)+0.9193)*1000,IF(AND('Temperature Profiles'!AA20&lt;17,'Temperature Profiles'!AA20&gt;-4.4),(0.0031*('Temperature Profiles'!AA20^2)-(0.2029*'Temperature Profiles'!AA20)+2.4264)*1000,IF(AND('Temperature Profiles'!AA20&lt;-4.4,'Temperature Profiles'!AA20&gt;-8.5),EZ$208,IF('Temperature Profiles'!AA20&lt;-8.5,EZ124,0))))</f>
        <v>5400</v>
      </c>
    </row>
    <row r="22" spans="1:156" x14ac:dyDescent="0.3">
      <c r="A22" s="108">
        <v>0.16666666666666699</v>
      </c>
      <c r="B22" s="226">
        <f t="shared" si="0"/>
        <v>0</v>
      </c>
      <c r="C22" s="21">
        <f t="shared" si="1"/>
        <v>0</v>
      </c>
      <c r="D22" s="21">
        <f t="shared" si="2"/>
        <v>16000</v>
      </c>
      <c r="E22" s="20">
        <f t="shared" si="3"/>
        <v>5400</v>
      </c>
      <c r="G22" s="260">
        <v>0.17708333333333301</v>
      </c>
      <c r="H22" s="211"/>
      <c r="I22" s="110">
        <v>0.17708333333333301</v>
      </c>
      <c r="J22" s="211"/>
      <c r="K22" s="110">
        <v>0.17708333333333301</v>
      </c>
      <c r="L22" s="211"/>
      <c r="M22" s="21"/>
      <c r="N22" s="110">
        <v>0.17708333333333301</v>
      </c>
      <c r="O22" s="209"/>
      <c r="P22" s="110">
        <v>0.17708333333333301</v>
      </c>
      <c r="Q22" s="209"/>
      <c r="R22" s="110">
        <v>0.17708333333333301</v>
      </c>
      <c r="S22" s="211"/>
      <c r="T22" s="21"/>
      <c r="U22" s="110">
        <v>0.17708333333333301</v>
      </c>
      <c r="V22" s="209"/>
      <c r="W22" s="110">
        <v>0.17708333333333301</v>
      </c>
      <c r="X22" s="209"/>
      <c r="Y22" s="110">
        <v>0.17708333333333301</v>
      </c>
      <c r="Z22" s="211"/>
      <c r="AA22" s="21"/>
      <c r="AB22" s="110">
        <v>0.17708333333333301</v>
      </c>
      <c r="AC22" s="209"/>
      <c r="AD22" s="110">
        <v>0.17708333333333301</v>
      </c>
      <c r="AE22" s="209"/>
      <c r="AF22" s="110">
        <v>0.17708333333333301</v>
      </c>
      <c r="AG22" s="211"/>
      <c r="AH22" s="21"/>
      <c r="AI22" s="110">
        <v>0.17708333333333301</v>
      </c>
      <c r="AJ22" s="209"/>
      <c r="AK22" s="110">
        <v>0.17708333333333301</v>
      </c>
      <c r="AL22" s="209"/>
      <c r="AM22" s="110">
        <v>0.17708333333333301</v>
      </c>
      <c r="AN22" s="211"/>
      <c r="AO22" s="21"/>
      <c r="AP22" s="110">
        <v>0.17708333333333301</v>
      </c>
      <c r="AQ22" s="209"/>
      <c r="AR22" s="110">
        <v>0.17708333333333301</v>
      </c>
      <c r="AS22" s="209"/>
      <c r="AT22" s="110">
        <v>0.17708333333333301</v>
      </c>
      <c r="AU22" s="211"/>
      <c r="AV22" s="21"/>
      <c r="AW22" s="110">
        <v>0.17708333333333301</v>
      </c>
      <c r="AX22" s="211"/>
      <c r="AY22" s="21"/>
      <c r="AZ22" s="110">
        <v>0.17708333333333301</v>
      </c>
      <c r="BA22" s="264"/>
      <c r="BC22" s="260">
        <v>0.17708333333333301</v>
      </c>
      <c r="BD22" s="211"/>
      <c r="BE22" s="110">
        <v>0.17708333333333301</v>
      </c>
      <c r="BF22" s="211"/>
      <c r="BG22" s="110">
        <v>0.17708333333333301</v>
      </c>
      <c r="BH22" s="211"/>
      <c r="BI22" s="21"/>
      <c r="BJ22" s="110">
        <v>0.17708333333333301</v>
      </c>
      <c r="BK22" s="209"/>
      <c r="BL22" s="110">
        <v>0.17708333333333301</v>
      </c>
      <c r="BM22" s="209"/>
      <c r="BN22" s="110">
        <v>0.17708333333333301</v>
      </c>
      <c r="BO22" s="211"/>
      <c r="BP22" s="21"/>
      <c r="BQ22" s="110">
        <v>0.17708333333333301</v>
      </c>
      <c r="BR22" s="209"/>
      <c r="BS22" s="110">
        <v>0.17708333333333301</v>
      </c>
      <c r="BT22" s="209"/>
      <c r="BU22" s="110">
        <v>0.17708333333333301</v>
      </c>
      <c r="BV22" s="211"/>
      <c r="BW22" s="21"/>
      <c r="BX22" s="110">
        <v>0.17708333333333301</v>
      </c>
      <c r="BY22" s="209"/>
      <c r="BZ22" s="110">
        <v>0.17708333333333301</v>
      </c>
      <c r="CA22" s="209"/>
      <c r="CB22" s="110">
        <v>0.17708333333333301</v>
      </c>
      <c r="CC22" s="211"/>
      <c r="CD22" s="21"/>
      <c r="CE22" s="110">
        <v>0.17708333333333301</v>
      </c>
      <c r="CF22" s="209"/>
      <c r="CG22" s="110">
        <v>0.17708333333333301</v>
      </c>
      <c r="CH22" s="209"/>
      <c r="CI22" s="110">
        <v>0.17708333333333301</v>
      </c>
      <c r="CJ22" s="211"/>
      <c r="CK22" s="21"/>
      <c r="CL22" s="110">
        <v>0.17708333333333301</v>
      </c>
      <c r="CM22" s="209"/>
      <c r="CN22" s="110">
        <v>0.17708333333333301</v>
      </c>
      <c r="CO22" s="209"/>
      <c r="CP22" s="110">
        <v>0.17708333333333301</v>
      </c>
      <c r="CQ22" s="211"/>
      <c r="CR22" s="21"/>
      <c r="CS22" s="110">
        <v>0.17708333333333301</v>
      </c>
      <c r="CT22" s="211"/>
      <c r="CU22" s="21"/>
      <c r="CV22" s="110">
        <v>0.17708333333333301</v>
      </c>
      <c r="CW22" s="264"/>
      <c r="CY22" s="260">
        <v>0.17708333333333301</v>
      </c>
      <c r="CZ22" s="178"/>
      <c r="DA22" s="110">
        <v>0.17708333333333301</v>
      </c>
      <c r="DB22" s="263"/>
      <c r="DC22" s="110">
        <v>0.17708333333333301</v>
      </c>
      <c r="DD22" s="211"/>
      <c r="DE22" s="21"/>
      <c r="DF22" s="110">
        <v>0.17708333333333301</v>
      </c>
      <c r="DG22" s="209"/>
      <c r="DH22" s="110">
        <v>0.17708333333333301</v>
      </c>
      <c r="DI22" s="209"/>
      <c r="DJ22" s="110">
        <v>0.17708333333333301</v>
      </c>
      <c r="DK22" s="211"/>
      <c r="DL22" s="21"/>
      <c r="DM22" s="110">
        <v>0.17708333333333301</v>
      </c>
      <c r="DN22" s="209"/>
      <c r="DO22" s="110">
        <v>0.17708333333333301</v>
      </c>
      <c r="DP22" s="209"/>
      <c r="DQ22" s="110">
        <v>0.17708333333333301</v>
      </c>
      <c r="DR22" s="211"/>
      <c r="DS22" s="21"/>
      <c r="DT22" s="110">
        <v>0.17708333333333301</v>
      </c>
      <c r="DU22" s="209"/>
      <c r="DV22" s="110">
        <v>0.17708333333333301</v>
      </c>
      <c r="DW22" s="209"/>
      <c r="DX22" s="110">
        <v>0.17708333333333301</v>
      </c>
      <c r="DY22" s="211"/>
      <c r="DZ22" s="21"/>
      <c r="EA22" s="110">
        <v>0.17708333333333301</v>
      </c>
      <c r="EB22" s="209">
        <f>IF('Temperature Profiles'!AA21&gt;18,(0.0018*('Temperature Profiles'!AA21^2)-(0.0475*'Temperature Profiles'!AA21)+0.3123)*1000,IF(AND('Temperature Profiles'!AA21&lt;17,'Temperature Profiles'!AA21&gt;-5.6),(0.0021*('Temperature Profiles'!AA21^2)-(0.0919*'Temperature Profiles'!AA21)+1.0491)*1000,IF(AND('Temperature Profiles'!AA21&lt;-5.6,'Temperature Profiles'!AA21&gt;-11.4),(((-0.2925*'Temperature Profiles'!AA21)-1.6914)*1000)+EB$208,IF('Temperature Profiles'!AA21&lt;-11.4,EB125,0))))</f>
        <v>6900</v>
      </c>
      <c r="EC22" s="110">
        <v>0.17708333333333301</v>
      </c>
      <c r="ED22" s="209">
        <f>IF('Temperature Profiles'!AA21&gt;18,(0.0034*('Temperature Profiles'!AA21^2)-(0.087*'Temperature Profiles'!AA21)+0.5117)*1000,IF(AND('Temperature Profiles'!AA21&lt;17,'Temperature Profiles'!AA21&gt;-4.4),(0.0027*('Temperature Profiles'!AA21^2)-(0.149*'Temperature Profiles'!AA21)+1.7779)*1000,IF(AND('Temperature Profiles'!AA21&lt;-4.4,'Temperature Profiles'!AA21&gt;-8.5),(((-0.5391*'Temperature Profiles'!AA21)-2.0906)*1000)+ED$208,IF('Temperature Profiles'!AA21&lt;-8.5,ED125,0))))</f>
        <v>12300</v>
      </c>
      <c r="EE22" s="110">
        <v>0.17708333333333301</v>
      </c>
      <c r="EF22" s="211">
        <f>IF('Temperature Profiles'!AA21&gt;18,(0.0048*('Temperature Profiles'!AA21^2)-(0.1352*'Temperature Profiles'!AA21)+0.9193)*1000,IF(AND('Temperature Profiles'!AA21&lt;17,'Temperature Profiles'!AA21&gt;-4.4),(0.0031*('Temperature Profiles'!AA21^2)-(0.2029*'Temperature Profiles'!AA21)+2.4264)*1000,IF(AND('Temperature Profiles'!AA21&lt;-4.4,'Temperature Profiles'!AA21&gt;-8.5),(((-0.7516*'Temperature Profiles'!AA21)-2.9985)*1000)+EF$208,IF('Temperature Profiles'!AA21&lt;-8.5,EF125,0))))</f>
        <v>16000</v>
      </c>
      <c r="EG22" s="21"/>
      <c r="EH22" s="110">
        <v>0.17708333333333301</v>
      </c>
      <c r="EI22" s="211"/>
      <c r="EJ22" s="110">
        <v>0.17708333333333301</v>
      </c>
      <c r="EK22" s="211"/>
      <c r="EL22" s="110">
        <v>0.17708333333333301</v>
      </c>
      <c r="EM22" s="211"/>
      <c r="EN22" s="21"/>
      <c r="EO22" s="110">
        <v>0.17708333333333301</v>
      </c>
      <c r="EP22" s="211"/>
      <c r="EQ22" s="21"/>
      <c r="ER22" s="110">
        <v>0.17708333333333301</v>
      </c>
      <c r="ES22" s="264"/>
      <c r="EU22" s="260">
        <v>0.17708333333333301</v>
      </c>
      <c r="EV22" s="209">
        <f>IF('Temperature Profiles'!AA21&gt;18,(0.0018*('Temperature Profiles'!AA21^2)-(0.0475*'Temperature Profiles'!AA21)+0.3123)*1000,IF(AND('Temperature Profiles'!AA21&lt;17,'Temperature Profiles'!AA21&gt;-5.6),(0.0021*('Temperature Profiles'!AA21^2)-(0.0919*'Temperature Profiles'!AA21)+1.0491)*1000,IF(AND('Temperature Profiles'!AA21&lt;-5.6,'Temperature Profiles'!AA21&gt;-11.4),EV$208,IF('Temperature Profiles'!AA21&lt;-11.4,EV125,0))))</f>
        <v>5400</v>
      </c>
      <c r="EW22" s="110">
        <v>0.17708333333333301</v>
      </c>
      <c r="EX22" s="209">
        <f>IF('Temperature Profiles'!AA21&gt;18,(0.0034*('Temperature Profiles'!AA21^2)-(0.087*'Temperature Profiles'!AA21)+0.5117)*1000,IF(AND('Temperature Profiles'!AA21&lt;17,'Temperature Profiles'!AA21&gt;-4.4),(0.0027*('Temperature Profiles'!AA21^2)-(0.149*'Temperature Profiles'!AA21)+1.7779)*1000,IF(AND('Temperature Profiles'!AA21&lt;-4.4,'Temperature Profiles'!AA21&gt;-8.5),EX$208,IF('Temperature Profiles'!AA21&lt;-8.5,EX125,0))))</f>
        <v>5400</v>
      </c>
      <c r="EY22" s="110">
        <v>0.17708333333333301</v>
      </c>
      <c r="EZ22" s="264">
        <f>IF('Temperature Profiles'!AA21&gt;18,(0.0048*('Temperature Profiles'!AA21^2)-(0.1352*'Temperature Profiles'!AA21)+0.9193)*1000,IF(AND('Temperature Profiles'!AA21&lt;17,'Temperature Profiles'!AA21&gt;-4.4),(0.0031*('Temperature Profiles'!AA21^2)-(0.2029*'Temperature Profiles'!AA21)+2.4264)*1000,IF(AND('Temperature Profiles'!AA21&lt;-4.4,'Temperature Profiles'!AA21&gt;-8.5),EZ$208,IF('Temperature Profiles'!AA21&lt;-8.5,EZ125,0))))</f>
        <v>5400</v>
      </c>
    </row>
    <row r="23" spans="1:156" x14ac:dyDescent="0.3">
      <c r="A23" s="108">
        <v>0.17708333333333301</v>
      </c>
      <c r="B23" s="226">
        <f t="shared" si="0"/>
        <v>0</v>
      </c>
      <c r="C23" s="21">
        <f t="shared" si="1"/>
        <v>0</v>
      </c>
      <c r="D23" s="21">
        <f t="shared" si="2"/>
        <v>16000</v>
      </c>
      <c r="E23" s="20">
        <f t="shared" si="3"/>
        <v>5400</v>
      </c>
      <c r="G23" s="260">
        <v>0.1875</v>
      </c>
      <c r="H23" s="211"/>
      <c r="I23" s="110">
        <v>0.1875</v>
      </c>
      <c r="J23" s="211"/>
      <c r="K23" s="110">
        <v>0.1875</v>
      </c>
      <c r="L23" s="211"/>
      <c r="M23" s="21"/>
      <c r="N23" s="110">
        <v>0.1875</v>
      </c>
      <c r="O23" s="209"/>
      <c r="P23" s="110">
        <v>0.1875</v>
      </c>
      <c r="Q23" s="209"/>
      <c r="R23" s="110">
        <v>0.1875</v>
      </c>
      <c r="S23" s="211"/>
      <c r="T23" s="21"/>
      <c r="U23" s="110">
        <v>0.1875</v>
      </c>
      <c r="V23" s="209"/>
      <c r="W23" s="110">
        <v>0.1875</v>
      </c>
      <c r="X23" s="209"/>
      <c r="Y23" s="110">
        <v>0.1875</v>
      </c>
      <c r="Z23" s="211"/>
      <c r="AA23" s="21"/>
      <c r="AB23" s="110">
        <v>0.1875</v>
      </c>
      <c r="AC23" s="209"/>
      <c r="AD23" s="110">
        <v>0.1875</v>
      </c>
      <c r="AE23" s="209"/>
      <c r="AF23" s="110">
        <v>0.1875</v>
      </c>
      <c r="AG23" s="211"/>
      <c r="AH23" s="21"/>
      <c r="AI23" s="110">
        <v>0.1875</v>
      </c>
      <c r="AJ23" s="209"/>
      <c r="AK23" s="110">
        <v>0.1875</v>
      </c>
      <c r="AL23" s="209"/>
      <c r="AM23" s="110">
        <v>0.1875</v>
      </c>
      <c r="AN23" s="211"/>
      <c r="AO23" s="21"/>
      <c r="AP23" s="110">
        <v>0.1875</v>
      </c>
      <c r="AQ23" s="209"/>
      <c r="AR23" s="110">
        <v>0.1875</v>
      </c>
      <c r="AS23" s="209"/>
      <c r="AT23" s="110">
        <v>0.1875</v>
      </c>
      <c r="AU23" s="211"/>
      <c r="AV23" s="21"/>
      <c r="AW23" s="110">
        <v>0.1875</v>
      </c>
      <c r="AX23" s="211"/>
      <c r="AY23" s="21"/>
      <c r="AZ23" s="110">
        <v>0.1875</v>
      </c>
      <c r="BA23" s="264"/>
      <c r="BC23" s="260">
        <v>0.1875</v>
      </c>
      <c r="BD23" s="211"/>
      <c r="BE23" s="110">
        <v>0.1875</v>
      </c>
      <c r="BF23" s="211"/>
      <c r="BG23" s="110">
        <v>0.1875</v>
      </c>
      <c r="BH23" s="211"/>
      <c r="BI23" s="21"/>
      <c r="BJ23" s="110">
        <v>0.1875</v>
      </c>
      <c r="BK23" s="209"/>
      <c r="BL23" s="110">
        <v>0.1875</v>
      </c>
      <c r="BM23" s="209"/>
      <c r="BN23" s="110">
        <v>0.1875</v>
      </c>
      <c r="BO23" s="211"/>
      <c r="BP23" s="21"/>
      <c r="BQ23" s="110">
        <v>0.1875</v>
      </c>
      <c r="BR23" s="209"/>
      <c r="BS23" s="110">
        <v>0.1875</v>
      </c>
      <c r="BT23" s="209"/>
      <c r="BU23" s="110">
        <v>0.1875</v>
      </c>
      <c r="BV23" s="211"/>
      <c r="BW23" s="21"/>
      <c r="BX23" s="110">
        <v>0.1875</v>
      </c>
      <c r="BY23" s="209"/>
      <c r="BZ23" s="110">
        <v>0.1875</v>
      </c>
      <c r="CA23" s="209"/>
      <c r="CB23" s="110">
        <v>0.1875</v>
      </c>
      <c r="CC23" s="211"/>
      <c r="CD23" s="21"/>
      <c r="CE23" s="110">
        <v>0.1875</v>
      </c>
      <c r="CF23" s="209"/>
      <c r="CG23" s="110">
        <v>0.1875</v>
      </c>
      <c r="CH23" s="209"/>
      <c r="CI23" s="110">
        <v>0.1875</v>
      </c>
      <c r="CJ23" s="211"/>
      <c r="CK23" s="21"/>
      <c r="CL23" s="110">
        <v>0.1875</v>
      </c>
      <c r="CM23" s="209"/>
      <c r="CN23" s="110">
        <v>0.1875</v>
      </c>
      <c r="CO23" s="209"/>
      <c r="CP23" s="110">
        <v>0.1875</v>
      </c>
      <c r="CQ23" s="211"/>
      <c r="CR23" s="21"/>
      <c r="CS23" s="110">
        <v>0.1875</v>
      </c>
      <c r="CT23" s="211"/>
      <c r="CU23" s="21"/>
      <c r="CV23" s="110">
        <v>0.1875</v>
      </c>
      <c r="CW23" s="264"/>
      <c r="CY23" s="260">
        <v>0.1875</v>
      </c>
      <c r="CZ23" s="178"/>
      <c r="DA23" s="110">
        <v>0.1875</v>
      </c>
      <c r="DB23" s="263"/>
      <c r="DC23" s="110">
        <v>0.1875</v>
      </c>
      <c r="DD23" s="211"/>
      <c r="DE23" s="21"/>
      <c r="DF23" s="110">
        <v>0.1875</v>
      </c>
      <c r="DG23" s="209"/>
      <c r="DH23" s="110">
        <v>0.1875</v>
      </c>
      <c r="DI23" s="209"/>
      <c r="DJ23" s="110">
        <v>0.1875</v>
      </c>
      <c r="DK23" s="211"/>
      <c r="DL23" s="21"/>
      <c r="DM23" s="110">
        <v>0.1875</v>
      </c>
      <c r="DN23" s="209"/>
      <c r="DO23" s="110">
        <v>0.1875</v>
      </c>
      <c r="DP23" s="209"/>
      <c r="DQ23" s="110">
        <v>0.1875</v>
      </c>
      <c r="DR23" s="211"/>
      <c r="DS23" s="21"/>
      <c r="DT23" s="110">
        <v>0.1875</v>
      </c>
      <c r="DU23" s="209"/>
      <c r="DV23" s="110">
        <v>0.1875</v>
      </c>
      <c r="DW23" s="209"/>
      <c r="DX23" s="110">
        <v>0.1875</v>
      </c>
      <c r="DY23" s="211"/>
      <c r="DZ23" s="21"/>
      <c r="EA23" s="110">
        <v>0.1875</v>
      </c>
      <c r="EB23" s="209">
        <f>IF('Temperature Profiles'!AA22&gt;18,(0.0018*('Temperature Profiles'!AA22^2)-(0.0475*'Temperature Profiles'!AA22)+0.3123)*1000,IF(AND('Temperature Profiles'!AA22&lt;17,'Temperature Profiles'!AA22&gt;-5.6),(0.0021*('Temperature Profiles'!AA22^2)-(0.0919*'Temperature Profiles'!AA22)+1.0491)*1000,IF(AND('Temperature Profiles'!AA22&lt;-5.6,'Temperature Profiles'!AA22&gt;-11.4),(((-0.2925*'Temperature Profiles'!AA22)-1.6914)*1000)+EB$208,IF('Temperature Profiles'!AA22&lt;-11.4,EB126,0))))</f>
        <v>0</v>
      </c>
      <c r="EC23" s="110">
        <v>0.1875</v>
      </c>
      <c r="ED23" s="209">
        <f>IF('Temperature Profiles'!AA22&gt;18,(0.0034*('Temperature Profiles'!AA22^2)-(0.087*'Temperature Profiles'!AA22)+0.5117)*1000,IF(AND('Temperature Profiles'!AA22&lt;17,'Temperature Profiles'!AA22&gt;-4.4),(0.0027*('Temperature Profiles'!AA22^2)-(0.149*'Temperature Profiles'!AA22)+1.7779)*1000,IF(AND('Temperature Profiles'!AA22&lt;-4.4,'Temperature Profiles'!AA22&gt;-8.5),(((-0.5391*'Temperature Profiles'!AA22)-2.0906)*1000)+ED$208,IF('Temperature Profiles'!AA22&lt;-8.5,ED126,0))))</f>
        <v>12300</v>
      </c>
      <c r="EE23" s="110">
        <v>0.1875</v>
      </c>
      <c r="EF23" s="211">
        <f>IF('Temperature Profiles'!AA22&gt;18,(0.0048*('Temperature Profiles'!AA22^2)-(0.1352*'Temperature Profiles'!AA22)+0.9193)*1000,IF(AND('Temperature Profiles'!AA22&lt;17,'Temperature Profiles'!AA22&gt;-4.4),(0.0031*('Temperature Profiles'!AA22^2)-(0.2029*'Temperature Profiles'!AA22)+2.4264)*1000,IF(AND('Temperature Profiles'!AA22&lt;-4.4,'Temperature Profiles'!AA22&gt;-8.5),(((-0.7516*'Temperature Profiles'!AA22)-2.9985)*1000)+EF$208,IF('Temperature Profiles'!AA22&lt;-8.5,EF126,0))))</f>
        <v>16000</v>
      </c>
      <c r="EG23" s="21"/>
      <c r="EH23" s="110">
        <v>0.1875</v>
      </c>
      <c r="EI23" s="211"/>
      <c r="EJ23" s="110">
        <v>0.1875</v>
      </c>
      <c r="EK23" s="211"/>
      <c r="EL23" s="110">
        <v>0.1875</v>
      </c>
      <c r="EM23" s="211"/>
      <c r="EN23" s="21"/>
      <c r="EO23" s="110">
        <v>0.1875</v>
      </c>
      <c r="EP23" s="211"/>
      <c r="EQ23" s="21"/>
      <c r="ER23" s="110">
        <v>0.1875</v>
      </c>
      <c r="ES23" s="264"/>
      <c r="EU23" s="260">
        <v>0.1875</v>
      </c>
      <c r="EV23" s="209">
        <f>IF('Temperature Profiles'!AA22&gt;18,(0.0018*('Temperature Profiles'!AA22^2)-(0.0475*'Temperature Profiles'!AA22)+0.3123)*1000,IF(AND('Temperature Profiles'!AA22&lt;17,'Temperature Profiles'!AA22&gt;-5.6),(0.0021*('Temperature Profiles'!AA22^2)-(0.0919*'Temperature Profiles'!AA22)+1.0491)*1000,IF(AND('Temperature Profiles'!AA22&lt;-5.6,'Temperature Profiles'!AA22&gt;-11.4),EV$208,IF('Temperature Profiles'!AA22&lt;-11.4,EV126,0))))</f>
        <v>0</v>
      </c>
      <c r="EW23" s="110">
        <v>0.1875</v>
      </c>
      <c r="EX23" s="209">
        <f>IF('Temperature Profiles'!AA22&gt;18,(0.0034*('Temperature Profiles'!AA22^2)-(0.087*'Temperature Profiles'!AA22)+0.5117)*1000,IF(AND('Temperature Profiles'!AA22&lt;17,'Temperature Profiles'!AA22&gt;-4.4),(0.0027*('Temperature Profiles'!AA22^2)-(0.149*'Temperature Profiles'!AA22)+1.7779)*1000,IF(AND('Temperature Profiles'!AA22&lt;-4.4,'Temperature Profiles'!AA22&gt;-8.5),EX$208,IF('Temperature Profiles'!AA22&lt;-8.5,EX126,0))))</f>
        <v>5400</v>
      </c>
      <c r="EY23" s="110">
        <v>0.1875</v>
      </c>
      <c r="EZ23" s="264">
        <f>IF('Temperature Profiles'!AA22&gt;18,(0.0048*('Temperature Profiles'!AA22^2)-(0.1352*'Temperature Profiles'!AA22)+0.9193)*1000,IF(AND('Temperature Profiles'!AA22&lt;17,'Temperature Profiles'!AA22&gt;-4.4),(0.0031*('Temperature Profiles'!AA22^2)-(0.2029*'Temperature Profiles'!AA22)+2.4264)*1000,IF(AND('Temperature Profiles'!AA22&lt;-4.4,'Temperature Profiles'!AA22&gt;-8.5),EZ$208,IF('Temperature Profiles'!AA22&lt;-8.5,EZ126,0))))</f>
        <v>5400</v>
      </c>
    </row>
    <row r="24" spans="1:156" x14ac:dyDescent="0.3">
      <c r="A24" s="108">
        <v>0.1875</v>
      </c>
      <c r="B24" s="226">
        <f t="shared" si="0"/>
        <v>0</v>
      </c>
      <c r="C24" s="21">
        <f t="shared" si="1"/>
        <v>0</v>
      </c>
      <c r="D24" s="21">
        <f t="shared" si="2"/>
        <v>16000</v>
      </c>
      <c r="E24" s="20">
        <f t="shared" si="3"/>
        <v>5400</v>
      </c>
      <c r="G24" s="260">
        <v>0.19791666666666699</v>
      </c>
      <c r="H24" s="211"/>
      <c r="I24" s="110">
        <v>0.19791666666666699</v>
      </c>
      <c r="J24" s="211"/>
      <c r="K24" s="110">
        <v>0.19791666666666699</v>
      </c>
      <c r="L24" s="211"/>
      <c r="M24" s="21"/>
      <c r="N24" s="110">
        <v>0.19791666666666699</v>
      </c>
      <c r="O24" s="209"/>
      <c r="P24" s="110">
        <v>0.19791666666666699</v>
      </c>
      <c r="Q24" s="209"/>
      <c r="R24" s="110">
        <v>0.19791666666666699</v>
      </c>
      <c r="S24" s="211"/>
      <c r="T24" s="21"/>
      <c r="U24" s="110">
        <v>0.19791666666666699</v>
      </c>
      <c r="V24" s="209"/>
      <c r="W24" s="110">
        <v>0.19791666666666699</v>
      </c>
      <c r="X24" s="209"/>
      <c r="Y24" s="110">
        <v>0.19791666666666699</v>
      </c>
      <c r="Z24" s="211"/>
      <c r="AA24" s="21"/>
      <c r="AB24" s="110">
        <v>0.19791666666666699</v>
      </c>
      <c r="AC24" s="209"/>
      <c r="AD24" s="110">
        <v>0.19791666666666699</v>
      </c>
      <c r="AE24" s="209"/>
      <c r="AF24" s="110">
        <v>0.19791666666666699</v>
      </c>
      <c r="AG24" s="211"/>
      <c r="AH24" s="21"/>
      <c r="AI24" s="110">
        <v>0.19791666666666699</v>
      </c>
      <c r="AJ24" s="209"/>
      <c r="AK24" s="110">
        <v>0.19791666666666699</v>
      </c>
      <c r="AL24" s="209"/>
      <c r="AM24" s="110">
        <v>0.19791666666666699</v>
      </c>
      <c r="AN24" s="211"/>
      <c r="AO24" s="21"/>
      <c r="AP24" s="110">
        <v>0.19791666666666699</v>
      </c>
      <c r="AQ24" s="209"/>
      <c r="AR24" s="110">
        <v>0.19791666666666699</v>
      </c>
      <c r="AS24" s="209"/>
      <c r="AT24" s="110">
        <v>0.19791666666666699</v>
      </c>
      <c r="AU24" s="211"/>
      <c r="AV24" s="21"/>
      <c r="AW24" s="110">
        <v>0.19791666666666699</v>
      </c>
      <c r="AX24" s="211"/>
      <c r="AY24" s="21"/>
      <c r="AZ24" s="110">
        <v>0.19791666666666699</v>
      </c>
      <c r="BA24" s="264"/>
      <c r="BC24" s="260">
        <v>0.19791666666666699</v>
      </c>
      <c r="BD24" s="211"/>
      <c r="BE24" s="110">
        <v>0.19791666666666699</v>
      </c>
      <c r="BF24" s="211"/>
      <c r="BG24" s="110">
        <v>0.19791666666666699</v>
      </c>
      <c r="BH24" s="211"/>
      <c r="BI24" s="21"/>
      <c r="BJ24" s="110">
        <v>0.19791666666666699</v>
      </c>
      <c r="BK24" s="209"/>
      <c r="BL24" s="110">
        <v>0.19791666666666699</v>
      </c>
      <c r="BM24" s="209"/>
      <c r="BN24" s="110">
        <v>0.19791666666666699</v>
      </c>
      <c r="BO24" s="211"/>
      <c r="BP24" s="21"/>
      <c r="BQ24" s="110">
        <v>0.19791666666666699</v>
      </c>
      <c r="BR24" s="209"/>
      <c r="BS24" s="110">
        <v>0.19791666666666699</v>
      </c>
      <c r="BT24" s="209"/>
      <c r="BU24" s="110">
        <v>0.19791666666666699</v>
      </c>
      <c r="BV24" s="211"/>
      <c r="BW24" s="21"/>
      <c r="BX24" s="110">
        <v>0.19791666666666699</v>
      </c>
      <c r="BY24" s="209"/>
      <c r="BZ24" s="110">
        <v>0.19791666666666699</v>
      </c>
      <c r="CA24" s="209"/>
      <c r="CB24" s="110">
        <v>0.19791666666666699</v>
      </c>
      <c r="CC24" s="211"/>
      <c r="CD24" s="21"/>
      <c r="CE24" s="110">
        <v>0.19791666666666699</v>
      </c>
      <c r="CF24" s="209"/>
      <c r="CG24" s="110">
        <v>0.19791666666666699</v>
      </c>
      <c r="CH24" s="209"/>
      <c r="CI24" s="110">
        <v>0.19791666666666699</v>
      </c>
      <c r="CJ24" s="211"/>
      <c r="CK24" s="21"/>
      <c r="CL24" s="110">
        <v>0.19791666666666699</v>
      </c>
      <c r="CM24" s="209"/>
      <c r="CN24" s="110">
        <v>0.19791666666666699</v>
      </c>
      <c r="CO24" s="209"/>
      <c r="CP24" s="110">
        <v>0.19791666666666699</v>
      </c>
      <c r="CQ24" s="211"/>
      <c r="CR24" s="21"/>
      <c r="CS24" s="110">
        <v>0.19791666666666699</v>
      </c>
      <c r="CT24" s="211"/>
      <c r="CU24" s="21"/>
      <c r="CV24" s="110">
        <v>0.19791666666666699</v>
      </c>
      <c r="CW24" s="264"/>
      <c r="CY24" s="260">
        <v>0.19791666666666699</v>
      </c>
      <c r="CZ24" s="178"/>
      <c r="DA24" s="110">
        <v>0.19791666666666699</v>
      </c>
      <c r="DB24" s="263"/>
      <c r="DC24" s="110">
        <v>0.19791666666666699</v>
      </c>
      <c r="DD24" s="211"/>
      <c r="DE24" s="21"/>
      <c r="DF24" s="110">
        <v>0.19791666666666699</v>
      </c>
      <c r="DG24" s="209"/>
      <c r="DH24" s="110">
        <v>0.19791666666666699</v>
      </c>
      <c r="DI24" s="209"/>
      <c r="DJ24" s="110">
        <v>0.19791666666666699</v>
      </c>
      <c r="DK24" s="211"/>
      <c r="DL24" s="21"/>
      <c r="DM24" s="110">
        <v>0.19791666666666699</v>
      </c>
      <c r="DN24" s="209"/>
      <c r="DO24" s="110">
        <v>0.19791666666666699</v>
      </c>
      <c r="DP24" s="209"/>
      <c r="DQ24" s="110">
        <v>0.19791666666666699</v>
      </c>
      <c r="DR24" s="211"/>
      <c r="DS24" s="21"/>
      <c r="DT24" s="110">
        <v>0.19791666666666699</v>
      </c>
      <c r="DU24" s="209"/>
      <c r="DV24" s="110">
        <v>0.19791666666666699</v>
      </c>
      <c r="DW24" s="209"/>
      <c r="DX24" s="110">
        <v>0.19791666666666699</v>
      </c>
      <c r="DY24" s="211"/>
      <c r="DZ24" s="21"/>
      <c r="EA24" s="110">
        <v>0.19791666666666699</v>
      </c>
      <c r="EB24" s="209">
        <f>IF('Temperature Profiles'!AA23&gt;18,(0.0018*('Temperature Profiles'!AA23^2)-(0.0475*'Temperature Profiles'!AA23)+0.3123)*1000,IF(AND('Temperature Profiles'!AA23&lt;17,'Temperature Profiles'!AA23&gt;-5.6),(0.0021*('Temperature Profiles'!AA23^2)-(0.0919*'Temperature Profiles'!AA23)+1.0491)*1000,IF(AND('Temperature Profiles'!AA23&lt;-5.6,'Temperature Profiles'!AA23&gt;-11.4),(((-0.2925*'Temperature Profiles'!AA23)-1.6914)*1000)+EB$208,IF('Temperature Profiles'!AA23&lt;-11.4,EB127,0))))</f>
        <v>0</v>
      </c>
      <c r="EC24" s="110">
        <v>0.19791666666666699</v>
      </c>
      <c r="ED24" s="209">
        <f>IF('Temperature Profiles'!AA23&gt;18,(0.0034*('Temperature Profiles'!AA23^2)-(0.087*'Temperature Profiles'!AA23)+0.5117)*1000,IF(AND('Temperature Profiles'!AA23&lt;17,'Temperature Profiles'!AA23&gt;-4.4),(0.0027*('Temperature Profiles'!AA23^2)-(0.149*'Temperature Profiles'!AA23)+1.7779)*1000,IF(AND('Temperature Profiles'!AA23&lt;-4.4,'Temperature Profiles'!AA23&gt;-8.5),(((-0.5391*'Temperature Profiles'!AA23)-2.0906)*1000)+ED$208,IF('Temperature Profiles'!AA23&lt;-8.5,ED127,0))))</f>
        <v>0</v>
      </c>
      <c r="EE24" s="110">
        <v>0.19791666666666699</v>
      </c>
      <c r="EF24" s="211">
        <f>IF('Temperature Profiles'!AA23&gt;18,(0.0048*('Temperature Profiles'!AA23^2)-(0.1352*'Temperature Profiles'!AA23)+0.9193)*1000,IF(AND('Temperature Profiles'!AA23&lt;17,'Temperature Profiles'!AA23&gt;-4.4),(0.0031*('Temperature Profiles'!AA23^2)-(0.2029*'Temperature Profiles'!AA23)+2.4264)*1000,IF(AND('Temperature Profiles'!AA23&lt;-4.4,'Temperature Profiles'!AA23&gt;-8.5),(((-0.7516*'Temperature Profiles'!AA23)-2.9985)*1000)+EF$208,IF('Temperature Profiles'!AA23&lt;-8.5,EF127,0))))</f>
        <v>0</v>
      </c>
      <c r="EG24" s="21"/>
      <c r="EH24" s="110">
        <v>0.19791666666666699</v>
      </c>
      <c r="EI24" s="211"/>
      <c r="EJ24" s="110">
        <v>0.19791666666666699</v>
      </c>
      <c r="EK24" s="211"/>
      <c r="EL24" s="110">
        <v>0.19791666666666699</v>
      </c>
      <c r="EM24" s="211"/>
      <c r="EN24" s="21"/>
      <c r="EO24" s="110">
        <v>0.19791666666666699</v>
      </c>
      <c r="EP24" s="211"/>
      <c r="EQ24" s="21"/>
      <c r="ER24" s="110">
        <v>0.19791666666666699</v>
      </c>
      <c r="ES24" s="264"/>
      <c r="EU24" s="260">
        <v>0.19791666666666699</v>
      </c>
      <c r="EV24" s="209">
        <f>IF('Temperature Profiles'!AA23&gt;18,(0.0018*('Temperature Profiles'!AA23^2)-(0.0475*'Temperature Profiles'!AA23)+0.3123)*1000,IF(AND('Temperature Profiles'!AA23&lt;17,'Temperature Profiles'!AA23&gt;-5.6),(0.0021*('Temperature Profiles'!AA23^2)-(0.0919*'Temperature Profiles'!AA23)+1.0491)*1000,IF(AND('Temperature Profiles'!AA23&lt;-5.6,'Temperature Profiles'!AA23&gt;-11.4),EV$208,IF('Temperature Profiles'!AA23&lt;-11.4,EV127,0))))</f>
        <v>0</v>
      </c>
      <c r="EW24" s="110">
        <v>0.19791666666666699</v>
      </c>
      <c r="EX24" s="209">
        <f>IF('Temperature Profiles'!AA23&gt;18,(0.0034*('Temperature Profiles'!AA23^2)-(0.087*'Temperature Profiles'!AA23)+0.5117)*1000,IF(AND('Temperature Profiles'!AA23&lt;17,'Temperature Profiles'!AA23&gt;-4.4),(0.0027*('Temperature Profiles'!AA23^2)-(0.149*'Temperature Profiles'!AA23)+1.7779)*1000,IF(AND('Temperature Profiles'!AA23&lt;-4.4,'Temperature Profiles'!AA23&gt;-8.5),EX$208,IF('Temperature Profiles'!AA23&lt;-8.5,EX127,0))))</f>
        <v>0</v>
      </c>
      <c r="EY24" s="110">
        <v>0.19791666666666699</v>
      </c>
      <c r="EZ24" s="264">
        <f>IF('Temperature Profiles'!AA23&gt;18,(0.0048*('Temperature Profiles'!AA23^2)-(0.1352*'Temperature Profiles'!AA23)+0.9193)*1000,IF(AND('Temperature Profiles'!AA23&lt;17,'Temperature Profiles'!AA23&gt;-4.4),(0.0031*('Temperature Profiles'!AA23^2)-(0.2029*'Temperature Profiles'!AA23)+2.4264)*1000,IF(AND('Temperature Profiles'!AA23&lt;-4.4,'Temperature Profiles'!AA23&gt;-8.5),EZ$208,IF('Temperature Profiles'!AA23&lt;-8.5,EZ127,0))))</f>
        <v>0</v>
      </c>
    </row>
    <row r="25" spans="1:156" x14ac:dyDescent="0.3">
      <c r="A25" s="108">
        <v>0.19791666666666699</v>
      </c>
      <c r="B25" s="226">
        <f t="shared" si="0"/>
        <v>0</v>
      </c>
      <c r="C25" s="21">
        <f t="shared" si="1"/>
        <v>0</v>
      </c>
      <c r="D25" s="21">
        <f t="shared" si="2"/>
        <v>0</v>
      </c>
      <c r="E25" s="20">
        <f t="shared" si="3"/>
        <v>0</v>
      </c>
      <c r="G25" s="260">
        <v>0.20833333333333301</v>
      </c>
      <c r="H25" s="211"/>
      <c r="I25" s="110">
        <v>0.20833333333333301</v>
      </c>
      <c r="J25" s="211"/>
      <c r="K25" s="110">
        <v>0.20833333333333301</v>
      </c>
      <c r="L25" s="211"/>
      <c r="M25" s="21"/>
      <c r="N25" s="110">
        <v>0.20833333333333301</v>
      </c>
      <c r="O25" s="209"/>
      <c r="P25" s="110">
        <v>0.20833333333333301</v>
      </c>
      <c r="Q25" s="209"/>
      <c r="R25" s="110">
        <v>0.20833333333333301</v>
      </c>
      <c r="S25" s="211"/>
      <c r="T25" s="21"/>
      <c r="U25" s="110">
        <v>0.20833333333333301</v>
      </c>
      <c r="V25" s="209"/>
      <c r="W25" s="110">
        <v>0.20833333333333301</v>
      </c>
      <c r="X25" s="209"/>
      <c r="Y25" s="110">
        <v>0.20833333333333301</v>
      </c>
      <c r="Z25" s="211"/>
      <c r="AA25" s="21"/>
      <c r="AB25" s="110">
        <v>0.20833333333333301</v>
      </c>
      <c r="AC25" s="209"/>
      <c r="AD25" s="110">
        <v>0.20833333333333301</v>
      </c>
      <c r="AE25" s="209"/>
      <c r="AF25" s="110">
        <v>0.20833333333333301</v>
      </c>
      <c r="AG25" s="211"/>
      <c r="AH25" s="21"/>
      <c r="AI25" s="110">
        <v>0.20833333333333301</v>
      </c>
      <c r="AJ25" s="209"/>
      <c r="AK25" s="110">
        <v>0.20833333333333301</v>
      </c>
      <c r="AL25" s="209"/>
      <c r="AM25" s="110">
        <v>0.20833333333333301</v>
      </c>
      <c r="AN25" s="211"/>
      <c r="AO25" s="21"/>
      <c r="AP25" s="110">
        <v>0.20833333333333301</v>
      </c>
      <c r="AQ25" s="209"/>
      <c r="AR25" s="110">
        <v>0.20833333333333301</v>
      </c>
      <c r="AS25" s="209"/>
      <c r="AT25" s="110">
        <v>0.20833333333333301</v>
      </c>
      <c r="AU25" s="211"/>
      <c r="AV25" s="21"/>
      <c r="AW25" s="110">
        <v>0.20833333333333301</v>
      </c>
      <c r="AX25" s="211"/>
      <c r="AY25" s="21"/>
      <c r="AZ25" s="110">
        <v>0.20833333333333301</v>
      </c>
      <c r="BA25" s="264"/>
      <c r="BC25" s="260">
        <v>0.20833333333333301</v>
      </c>
      <c r="BD25" s="211"/>
      <c r="BE25" s="110">
        <v>0.20833333333333301</v>
      </c>
      <c r="BF25" s="211"/>
      <c r="BG25" s="110">
        <v>0.20833333333333301</v>
      </c>
      <c r="BH25" s="211"/>
      <c r="BI25" s="21"/>
      <c r="BJ25" s="110">
        <v>0.20833333333333301</v>
      </c>
      <c r="BK25" s="209"/>
      <c r="BL25" s="110">
        <v>0.20833333333333301</v>
      </c>
      <c r="BM25" s="209"/>
      <c r="BN25" s="110">
        <v>0.20833333333333301</v>
      </c>
      <c r="BO25" s="211"/>
      <c r="BP25" s="21"/>
      <c r="BQ25" s="110">
        <v>0.20833333333333301</v>
      </c>
      <c r="BR25" s="209"/>
      <c r="BS25" s="110">
        <v>0.20833333333333301</v>
      </c>
      <c r="BT25" s="209"/>
      <c r="BU25" s="110">
        <v>0.20833333333333301</v>
      </c>
      <c r="BV25" s="211"/>
      <c r="BW25" s="21"/>
      <c r="BX25" s="110">
        <v>0.20833333333333301</v>
      </c>
      <c r="BY25" s="209"/>
      <c r="BZ25" s="110">
        <v>0.20833333333333301</v>
      </c>
      <c r="CA25" s="209"/>
      <c r="CB25" s="110">
        <v>0.20833333333333301</v>
      </c>
      <c r="CC25" s="211"/>
      <c r="CD25" s="21"/>
      <c r="CE25" s="110">
        <v>0.20833333333333301</v>
      </c>
      <c r="CF25" s="209"/>
      <c r="CG25" s="110">
        <v>0.20833333333333301</v>
      </c>
      <c r="CH25" s="209"/>
      <c r="CI25" s="110">
        <v>0.20833333333333301</v>
      </c>
      <c r="CJ25" s="211"/>
      <c r="CK25" s="21"/>
      <c r="CL25" s="110">
        <v>0.20833333333333301</v>
      </c>
      <c r="CM25" s="209"/>
      <c r="CN25" s="110">
        <v>0.20833333333333301</v>
      </c>
      <c r="CO25" s="209"/>
      <c r="CP25" s="110">
        <v>0.20833333333333301</v>
      </c>
      <c r="CQ25" s="211"/>
      <c r="CR25" s="21"/>
      <c r="CS25" s="110">
        <v>0.20833333333333301</v>
      </c>
      <c r="CT25" s="211"/>
      <c r="CU25" s="21"/>
      <c r="CV25" s="110">
        <v>0.20833333333333301</v>
      </c>
      <c r="CW25" s="264"/>
      <c r="CY25" s="260">
        <v>0.20833333333333301</v>
      </c>
      <c r="CZ25" s="178"/>
      <c r="DA25" s="110">
        <v>0.20833333333333301</v>
      </c>
      <c r="DB25" s="263"/>
      <c r="DC25" s="110">
        <v>0.20833333333333301</v>
      </c>
      <c r="DD25" s="211"/>
      <c r="DE25" s="21"/>
      <c r="DF25" s="110">
        <v>0.20833333333333301</v>
      </c>
      <c r="DG25" s="209"/>
      <c r="DH25" s="110">
        <v>0.20833333333333301</v>
      </c>
      <c r="DI25" s="209"/>
      <c r="DJ25" s="110">
        <v>0.20833333333333301</v>
      </c>
      <c r="DK25" s="211"/>
      <c r="DL25" s="21"/>
      <c r="DM25" s="110">
        <v>0.20833333333333301</v>
      </c>
      <c r="DN25" s="209"/>
      <c r="DO25" s="110">
        <v>0.20833333333333301</v>
      </c>
      <c r="DP25" s="209"/>
      <c r="DQ25" s="110">
        <v>0.20833333333333301</v>
      </c>
      <c r="DR25" s="211"/>
      <c r="DS25" s="21"/>
      <c r="DT25" s="110">
        <v>0.20833333333333301</v>
      </c>
      <c r="DU25" s="209"/>
      <c r="DV25" s="110">
        <v>0.20833333333333301</v>
      </c>
      <c r="DW25" s="209"/>
      <c r="DX25" s="110">
        <v>0.20833333333333301</v>
      </c>
      <c r="DY25" s="211"/>
      <c r="DZ25" s="21"/>
      <c r="EA25" s="110">
        <v>0.20833333333333301</v>
      </c>
      <c r="EB25" s="209">
        <f>IF('Temperature Profiles'!AA24&gt;18,(0.0018*('Temperature Profiles'!AA24^2)-(0.0475*'Temperature Profiles'!AA24)+0.3123)*1000,IF(AND('Temperature Profiles'!AA24&lt;17,'Temperature Profiles'!AA24&gt;-5.6),(0.0021*('Temperature Profiles'!AA24^2)-(0.0919*'Temperature Profiles'!AA24)+1.0491)*1000,IF(AND('Temperature Profiles'!AA24&lt;-5.6,'Temperature Profiles'!AA24&gt;-11.4),(((-0.2925*'Temperature Profiles'!AA24)-1.6914)*1000)+EB$208,IF('Temperature Profiles'!AA24&lt;-11.4,EB128,0))))</f>
        <v>6900</v>
      </c>
      <c r="EC25" s="110">
        <v>0.20833333333333301</v>
      </c>
      <c r="ED25" s="209">
        <f>IF('Temperature Profiles'!AA24&gt;18,(0.0034*('Temperature Profiles'!AA24^2)-(0.087*'Temperature Profiles'!AA24)+0.5117)*1000,IF(AND('Temperature Profiles'!AA24&lt;17,'Temperature Profiles'!AA24&gt;-4.4),(0.0027*('Temperature Profiles'!AA24^2)-(0.149*'Temperature Profiles'!AA24)+1.7779)*1000,IF(AND('Temperature Profiles'!AA24&lt;-4.4,'Temperature Profiles'!AA24&gt;-8.5),(((-0.5391*'Temperature Profiles'!AA24)-2.0906)*1000)+ED$208,IF('Temperature Profiles'!AA24&lt;-8.5,ED128,0))))</f>
        <v>12300</v>
      </c>
      <c r="EE25" s="110">
        <v>0.20833333333333301</v>
      </c>
      <c r="EF25" s="211">
        <f>IF('Temperature Profiles'!AA24&gt;18,(0.0048*('Temperature Profiles'!AA24^2)-(0.1352*'Temperature Profiles'!AA24)+0.9193)*1000,IF(AND('Temperature Profiles'!AA24&lt;17,'Temperature Profiles'!AA24&gt;-4.4),(0.0031*('Temperature Profiles'!AA24^2)-(0.2029*'Temperature Profiles'!AA24)+2.4264)*1000,IF(AND('Temperature Profiles'!AA24&lt;-4.4,'Temperature Profiles'!AA24&gt;-8.5),(((-0.7516*'Temperature Profiles'!AA24)-2.9985)*1000)+EF$208,IF('Temperature Profiles'!AA24&lt;-8.5,EF128,0))))</f>
        <v>16000</v>
      </c>
      <c r="EG25" s="21"/>
      <c r="EH25" s="110">
        <v>0.20833333333333301</v>
      </c>
      <c r="EI25" s="211"/>
      <c r="EJ25" s="110">
        <v>0.20833333333333301</v>
      </c>
      <c r="EK25" s="211"/>
      <c r="EL25" s="110">
        <v>0.20833333333333301</v>
      </c>
      <c r="EM25" s="211"/>
      <c r="EN25" s="21"/>
      <c r="EO25" s="110">
        <v>0.20833333333333301</v>
      </c>
      <c r="EP25" s="211"/>
      <c r="EQ25" s="21"/>
      <c r="ER25" s="110">
        <v>0.20833333333333301</v>
      </c>
      <c r="ES25" s="264"/>
      <c r="EU25" s="260">
        <v>0.20833333333333301</v>
      </c>
      <c r="EV25" s="209">
        <f>IF('Temperature Profiles'!AA24&gt;18,(0.0018*('Temperature Profiles'!AA24^2)-(0.0475*'Temperature Profiles'!AA24)+0.3123)*1000,IF(AND('Temperature Profiles'!AA24&lt;17,'Temperature Profiles'!AA24&gt;-5.6),(0.0021*('Temperature Profiles'!AA24^2)-(0.0919*'Temperature Profiles'!AA24)+1.0491)*1000,IF(AND('Temperature Profiles'!AA24&lt;-5.6,'Temperature Profiles'!AA24&gt;-11.4),EV$208,IF('Temperature Profiles'!AA24&lt;-11.4,EV128,0))))</f>
        <v>5400</v>
      </c>
      <c r="EW25" s="110">
        <v>0.20833333333333301</v>
      </c>
      <c r="EX25" s="209">
        <f>IF('Temperature Profiles'!AA24&gt;18,(0.0034*('Temperature Profiles'!AA24^2)-(0.087*'Temperature Profiles'!AA24)+0.5117)*1000,IF(AND('Temperature Profiles'!AA24&lt;17,'Temperature Profiles'!AA24&gt;-4.4),(0.0027*('Temperature Profiles'!AA24^2)-(0.149*'Temperature Profiles'!AA24)+1.7779)*1000,IF(AND('Temperature Profiles'!AA24&lt;-4.4,'Temperature Profiles'!AA24&gt;-8.5),EX$208,IF('Temperature Profiles'!AA24&lt;-8.5,EX128,0))))</f>
        <v>5400</v>
      </c>
      <c r="EY25" s="110">
        <v>0.20833333333333301</v>
      </c>
      <c r="EZ25" s="264">
        <f>IF('Temperature Profiles'!AA24&gt;18,(0.0048*('Temperature Profiles'!AA24^2)-(0.1352*'Temperature Profiles'!AA24)+0.9193)*1000,IF(AND('Temperature Profiles'!AA24&lt;17,'Temperature Profiles'!AA24&gt;-4.4),(0.0031*('Temperature Profiles'!AA24^2)-(0.2029*'Temperature Profiles'!AA24)+2.4264)*1000,IF(AND('Temperature Profiles'!AA24&lt;-4.4,'Temperature Profiles'!AA24&gt;-8.5),EZ$208,IF('Temperature Profiles'!AA24&lt;-8.5,EZ128,0))))</f>
        <v>5400</v>
      </c>
    </row>
    <row r="26" spans="1:156" x14ac:dyDescent="0.3">
      <c r="A26" s="108">
        <v>0.20833333333333301</v>
      </c>
      <c r="B26" s="226">
        <f t="shared" si="0"/>
        <v>0</v>
      </c>
      <c r="C26" s="21">
        <f t="shared" si="1"/>
        <v>0</v>
      </c>
      <c r="D26" s="21">
        <f t="shared" si="2"/>
        <v>16000</v>
      </c>
      <c r="E26" s="20">
        <f t="shared" si="3"/>
        <v>5400</v>
      </c>
      <c r="G26" s="260">
        <v>0.21875</v>
      </c>
      <c r="H26" s="211"/>
      <c r="I26" s="110">
        <v>0.21875</v>
      </c>
      <c r="J26" s="211"/>
      <c r="K26" s="110">
        <v>0.21875</v>
      </c>
      <c r="L26" s="211"/>
      <c r="M26" s="21"/>
      <c r="N26" s="110">
        <v>0.21875</v>
      </c>
      <c r="O26" s="209"/>
      <c r="P26" s="110">
        <v>0.21875</v>
      </c>
      <c r="Q26" s="209"/>
      <c r="R26" s="110">
        <v>0.21875</v>
      </c>
      <c r="S26" s="211"/>
      <c r="T26" s="21"/>
      <c r="U26" s="110">
        <v>0.21875</v>
      </c>
      <c r="V26" s="209"/>
      <c r="W26" s="110">
        <v>0.21875</v>
      </c>
      <c r="X26" s="209"/>
      <c r="Y26" s="110">
        <v>0.21875</v>
      </c>
      <c r="Z26" s="211"/>
      <c r="AA26" s="21"/>
      <c r="AB26" s="110">
        <v>0.21875</v>
      </c>
      <c r="AC26" s="209"/>
      <c r="AD26" s="110">
        <v>0.21875</v>
      </c>
      <c r="AE26" s="209"/>
      <c r="AF26" s="110">
        <v>0.21875</v>
      </c>
      <c r="AG26" s="211"/>
      <c r="AH26" s="21"/>
      <c r="AI26" s="110">
        <v>0.21875</v>
      </c>
      <c r="AJ26" s="209"/>
      <c r="AK26" s="110">
        <v>0.21875</v>
      </c>
      <c r="AL26" s="209"/>
      <c r="AM26" s="110">
        <v>0.21875</v>
      </c>
      <c r="AN26" s="211"/>
      <c r="AO26" s="21"/>
      <c r="AP26" s="110">
        <v>0.21875</v>
      </c>
      <c r="AQ26" s="209"/>
      <c r="AR26" s="110">
        <v>0.21875</v>
      </c>
      <c r="AS26" s="209"/>
      <c r="AT26" s="110">
        <v>0.21875</v>
      </c>
      <c r="AU26" s="211"/>
      <c r="AV26" s="21"/>
      <c r="AW26" s="110">
        <v>0.21875</v>
      </c>
      <c r="AX26" s="211"/>
      <c r="AY26" s="21"/>
      <c r="AZ26" s="110">
        <v>0.21875</v>
      </c>
      <c r="BA26" s="264"/>
      <c r="BC26" s="260">
        <v>0.21875</v>
      </c>
      <c r="BD26" s="211"/>
      <c r="BE26" s="110">
        <v>0.21875</v>
      </c>
      <c r="BF26" s="211"/>
      <c r="BG26" s="110">
        <v>0.21875</v>
      </c>
      <c r="BH26" s="211"/>
      <c r="BI26" s="21"/>
      <c r="BJ26" s="110">
        <v>0.21875</v>
      </c>
      <c r="BK26" s="209"/>
      <c r="BL26" s="110">
        <v>0.21875</v>
      </c>
      <c r="BM26" s="209"/>
      <c r="BN26" s="110">
        <v>0.21875</v>
      </c>
      <c r="BO26" s="211"/>
      <c r="BP26" s="21"/>
      <c r="BQ26" s="110">
        <v>0.21875</v>
      </c>
      <c r="BR26" s="209"/>
      <c r="BS26" s="110">
        <v>0.21875</v>
      </c>
      <c r="BT26" s="209"/>
      <c r="BU26" s="110">
        <v>0.21875</v>
      </c>
      <c r="BV26" s="211"/>
      <c r="BW26" s="21"/>
      <c r="BX26" s="110">
        <v>0.21875</v>
      </c>
      <c r="BY26" s="209"/>
      <c r="BZ26" s="110">
        <v>0.21875</v>
      </c>
      <c r="CA26" s="209"/>
      <c r="CB26" s="110">
        <v>0.21875</v>
      </c>
      <c r="CC26" s="211"/>
      <c r="CD26" s="21"/>
      <c r="CE26" s="110">
        <v>0.21875</v>
      </c>
      <c r="CF26" s="209"/>
      <c r="CG26" s="110">
        <v>0.21875</v>
      </c>
      <c r="CH26" s="209"/>
      <c r="CI26" s="110">
        <v>0.21875</v>
      </c>
      <c r="CJ26" s="211"/>
      <c r="CK26" s="21"/>
      <c r="CL26" s="110">
        <v>0.21875</v>
      </c>
      <c r="CM26" s="209"/>
      <c r="CN26" s="110">
        <v>0.21875</v>
      </c>
      <c r="CO26" s="209"/>
      <c r="CP26" s="110">
        <v>0.21875</v>
      </c>
      <c r="CQ26" s="211"/>
      <c r="CR26" s="21"/>
      <c r="CS26" s="110">
        <v>0.21875</v>
      </c>
      <c r="CT26" s="211"/>
      <c r="CU26" s="21"/>
      <c r="CV26" s="110">
        <v>0.21875</v>
      </c>
      <c r="CW26" s="264"/>
      <c r="CY26" s="260">
        <v>0.21875</v>
      </c>
      <c r="CZ26" s="178"/>
      <c r="DA26" s="110">
        <v>0.21875</v>
      </c>
      <c r="DB26" s="263"/>
      <c r="DC26" s="110">
        <v>0.21875</v>
      </c>
      <c r="DD26" s="211"/>
      <c r="DE26" s="21"/>
      <c r="DF26" s="110">
        <v>0.21875</v>
      </c>
      <c r="DG26" s="209"/>
      <c r="DH26" s="110">
        <v>0.21875</v>
      </c>
      <c r="DI26" s="209"/>
      <c r="DJ26" s="110">
        <v>0.21875</v>
      </c>
      <c r="DK26" s="211"/>
      <c r="DL26" s="21"/>
      <c r="DM26" s="110">
        <v>0.21875</v>
      </c>
      <c r="DN26" s="209"/>
      <c r="DO26" s="110">
        <v>0.21875</v>
      </c>
      <c r="DP26" s="209"/>
      <c r="DQ26" s="110">
        <v>0.21875</v>
      </c>
      <c r="DR26" s="211"/>
      <c r="DS26" s="21"/>
      <c r="DT26" s="110">
        <v>0.21875</v>
      </c>
      <c r="DU26" s="209"/>
      <c r="DV26" s="110">
        <v>0.21875</v>
      </c>
      <c r="DW26" s="209"/>
      <c r="DX26" s="110">
        <v>0.21875</v>
      </c>
      <c r="DY26" s="211"/>
      <c r="DZ26" s="21"/>
      <c r="EA26" s="110">
        <v>0.21875</v>
      </c>
      <c r="EB26" s="209">
        <f>IF('Temperature Profiles'!AA25&gt;18,(0.0018*('Temperature Profiles'!AA25^2)-(0.0475*'Temperature Profiles'!AA25)+0.3123)*1000,IF(AND('Temperature Profiles'!AA25&lt;17,'Temperature Profiles'!AA25&gt;-5.6),(0.0021*('Temperature Profiles'!AA25^2)-(0.0919*'Temperature Profiles'!AA25)+1.0491)*1000,IF(AND('Temperature Profiles'!AA25&lt;-5.6,'Temperature Profiles'!AA25&gt;-11.4),(((-0.2925*'Temperature Profiles'!AA25)-1.6914)*1000)+EB$208,IF('Temperature Profiles'!AA25&lt;-11.4,EB129,0))))</f>
        <v>6900</v>
      </c>
      <c r="EC26" s="110">
        <v>0.21875</v>
      </c>
      <c r="ED26" s="209">
        <f>IF('Temperature Profiles'!AA25&gt;18,(0.0034*('Temperature Profiles'!AA25^2)-(0.087*'Temperature Profiles'!AA25)+0.5117)*1000,IF(AND('Temperature Profiles'!AA25&lt;17,'Temperature Profiles'!AA25&gt;-4.4),(0.0027*('Temperature Profiles'!AA25^2)-(0.149*'Temperature Profiles'!AA25)+1.7779)*1000,IF(AND('Temperature Profiles'!AA25&lt;-4.4,'Temperature Profiles'!AA25&gt;-8.5),(((-0.5391*'Temperature Profiles'!AA25)-2.0906)*1000)+ED$208,IF('Temperature Profiles'!AA25&lt;-8.5,ED129,0))))</f>
        <v>12300</v>
      </c>
      <c r="EE26" s="110">
        <v>0.21875</v>
      </c>
      <c r="EF26" s="211">
        <f>IF('Temperature Profiles'!AA25&gt;18,(0.0048*('Temperature Profiles'!AA25^2)-(0.1352*'Temperature Profiles'!AA25)+0.9193)*1000,IF(AND('Temperature Profiles'!AA25&lt;17,'Temperature Profiles'!AA25&gt;-4.4),(0.0031*('Temperature Profiles'!AA25^2)-(0.2029*'Temperature Profiles'!AA25)+2.4264)*1000,IF(AND('Temperature Profiles'!AA25&lt;-4.4,'Temperature Profiles'!AA25&gt;-8.5),(((-0.7516*'Temperature Profiles'!AA25)-2.9985)*1000)+EF$208,IF('Temperature Profiles'!AA25&lt;-8.5,EF129,0))))</f>
        <v>16000</v>
      </c>
      <c r="EG26" s="21"/>
      <c r="EH26" s="110">
        <v>0.21875</v>
      </c>
      <c r="EI26" s="211"/>
      <c r="EJ26" s="110">
        <v>0.21875</v>
      </c>
      <c r="EK26" s="211"/>
      <c r="EL26" s="110">
        <v>0.21875</v>
      </c>
      <c r="EM26" s="211"/>
      <c r="EN26" s="21"/>
      <c r="EO26" s="110">
        <v>0.21875</v>
      </c>
      <c r="EP26" s="211"/>
      <c r="EQ26" s="21"/>
      <c r="ER26" s="110">
        <v>0.21875</v>
      </c>
      <c r="ES26" s="264"/>
      <c r="EU26" s="260">
        <v>0.21875</v>
      </c>
      <c r="EV26" s="209">
        <f>IF('Temperature Profiles'!AA25&gt;18,(0.0018*('Temperature Profiles'!AA25^2)-(0.0475*'Temperature Profiles'!AA25)+0.3123)*1000,IF(AND('Temperature Profiles'!AA25&lt;17,'Temperature Profiles'!AA25&gt;-5.6),(0.0021*('Temperature Profiles'!AA25^2)-(0.0919*'Temperature Profiles'!AA25)+1.0491)*1000,IF(AND('Temperature Profiles'!AA25&lt;-5.6,'Temperature Profiles'!AA25&gt;-11.4),EV$208,IF('Temperature Profiles'!AA25&lt;-11.4,EV129,0))))</f>
        <v>5400</v>
      </c>
      <c r="EW26" s="110">
        <v>0.21875</v>
      </c>
      <c r="EX26" s="209">
        <f>IF('Temperature Profiles'!AA25&gt;18,(0.0034*('Temperature Profiles'!AA25^2)-(0.087*'Temperature Profiles'!AA25)+0.5117)*1000,IF(AND('Temperature Profiles'!AA25&lt;17,'Temperature Profiles'!AA25&gt;-4.4),(0.0027*('Temperature Profiles'!AA25^2)-(0.149*'Temperature Profiles'!AA25)+1.7779)*1000,IF(AND('Temperature Profiles'!AA25&lt;-4.4,'Temperature Profiles'!AA25&gt;-8.5),EX$208,IF('Temperature Profiles'!AA25&lt;-8.5,EX129,0))))</f>
        <v>5400</v>
      </c>
      <c r="EY26" s="110">
        <v>0.21875</v>
      </c>
      <c r="EZ26" s="264">
        <f>IF('Temperature Profiles'!AA25&gt;18,(0.0048*('Temperature Profiles'!AA25^2)-(0.1352*'Temperature Profiles'!AA25)+0.9193)*1000,IF(AND('Temperature Profiles'!AA25&lt;17,'Temperature Profiles'!AA25&gt;-4.4),(0.0031*('Temperature Profiles'!AA25^2)-(0.2029*'Temperature Profiles'!AA25)+2.4264)*1000,IF(AND('Temperature Profiles'!AA25&lt;-4.4,'Temperature Profiles'!AA25&gt;-8.5),EZ$208,IF('Temperature Profiles'!AA25&lt;-8.5,EZ129,0))))</f>
        <v>5400</v>
      </c>
    </row>
    <row r="27" spans="1:156" x14ac:dyDescent="0.3">
      <c r="A27" s="108">
        <v>0.21875</v>
      </c>
      <c r="B27" s="226">
        <f t="shared" si="0"/>
        <v>0</v>
      </c>
      <c r="C27" s="21">
        <f t="shared" si="1"/>
        <v>0</v>
      </c>
      <c r="D27" s="21">
        <f t="shared" si="2"/>
        <v>16000</v>
      </c>
      <c r="E27" s="20">
        <f t="shared" si="3"/>
        <v>5400</v>
      </c>
      <c r="G27" s="260">
        <v>0.22916666666666699</v>
      </c>
      <c r="H27" s="211"/>
      <c r="I27" s="110">
        <v>0.22916666666666699</v>
      </c>
      <c r="J27" s="211"/>
      <c r="K27" s="110">
        <v>0.22916666666666699</v>
      </c>
      <c r="L27" s="211"/>
      <c r="M27" s="21"/>
      <c r="N27" s="110">
        <v>0.22916666666666699</v>
      </c>
      <c r="O27" s="209"/>
      <c r="P27" s="110">
        <v>0.22916666666666699</v>
      </c>
      <c r="Q27" s="209"/>
      <c r="R27" s="110">
        <v>0.22916666666666699</v>
      </c>
      <c r="S27" s="211"/>
      <c r="T27" s="21"/>
      <c r="U27" s="110">
        <v>0.22916666666666699</v>
      </c>
      <c r="V27" s="209"/>
      <c r="W27" s="110">
        <v>0.22916666666666699</v>
      </c>
      <c r="X27" s="209"/>
      <c r="Y27" s="110">
        <v>0.22916666666666699</v>
      </c>
      <c r="Z27" s="211"/>
      <c r="AA27" s="21"/>
      <c r="AB27" s="110">
        <v>0.22916666666666699</v>
      </c>
      <c r="AC27" s="209"/>
      <c r="AD27" s="110">
        <v>0.22916666666666699</v>
      </c>
      <c r="AE27" s="209"/>
      <c r="AF27" s="110">
        <v>0.22916666666666699</v>
      </c>
      <c r="AG27" s="211"/>
      <c r="AH27" s="21"/>
      <c r="AI27" s="110">
        <v>0.22916666666666699</v>
      </c>
      <c r="AJ27" s="209"/>
      <c r="AK27" s="110">
        <v>0.22916666666666699</v>
      </c>
      <c r="AL27" s="209"/>
      <c r="AM27" s="110">
        <v>0.22916666666666699</v>
      </c>
      <c r="AN27" s="211"/>
      <c r="AO27" s="21"/>
      <c r="AP27" s="110">
        <v>0.22916666666666699</v>
      </c>
      <c r="AQ27" s="209"/>
      <c r="AR27" s="110">
        <v>0.22916666666666699</v>
      </c>
      <c r="AS27" s="209"/>
      <c r="AT27" s="110">
        <v>0.22916666666666699</v>
      </c>
      <c r="AU27" s="211"/>
      <c r="AV27" s="21"/>
      <c r="AW27" s="110">
        <v>0.22916666666666699</v>
      </c>
      <c r="AX27" s="211"/>
      <c r="AY27" s="21"/>
      <c r="AZ27" s="110">
        <v>0.22916666666666699</v>
      </c>
      <c r="BA27" s="264"/>
      <c r="BC27" s="260">
        <v>0.22916666666666699</v>
      </c>
      <c r="BD27" s="211"/>
      <c r="BE27" s="110">
        <v>0.22916666666666699</v>
      </c>
      <c r="BF27" s="211"/>
      <c r="BG27" s="110">
        <v>0.22916666666666699</v>
      </c>
      <c r="BH27" s="211"/>
      <c r="BI27" s="21"/>
      <c r="BJ27" s="110">
        <v>0.22916666666666699</v>
      </c>
      <c r="BK27" s="209"/>
      <c r="BL27" s="110">
        <v>0.22916666666666699</v>
      </c>
      <c r="BM27" s="209"/>
      <c r="BN27" s="110">
        <v>0.22916666666666699</v>
      </c>
      <c r="BO27" s="211"/>
      <c r="BP27" s="21"/>
      <c r="BQ27" s="110">
        <v>0.22916666666666699</v>
      </c>
      <c r="BR27" s="209"/>
      <c r="BS27" s="110">
        <v>0.22916666666666699</v>
      </c>
      <c r="BT27" s="209"/>
      <c r="BU27" s="110">
        <v>0.22916666666666699</v>
      </c>
      <c r="BV27" s="211"/>
      <c r="BW27" s="21"/>
      <c r="BX27" s="110">
        <v>0.22916666666666699</v>
      </c>
      <c r="BY27" s="209"/>
      <c r="BZ27" s="110">
        <v>0.22916666666666699</v>
      </c>
      <c r="CA27" s="209"/>
      <c r="CB27" s="110">
        <v>0.22916666666666699</v>
      </c>
      <c r="CC27" s="211"/>
      <c r="CD27" s="21"/>
      <c r="CE27" s="110">
        <v>0.22916666666666699</v>
      </c>
      <c r="CF27" s="209"/>
      <c r="CG27" s="110">
        <v>0.22916666666666699</v>
      </c>
      <c r="CH27" s="209"/>
      <c r="CI27" s="110">
        <v>0.22916666666666699</v>
      </c>
      <c r="CJ27" s="211"/>
      <c r="CK27" s="21"/>
      <c r="CL27" s="110">
        <v>0.22916666666666699</v>
      </c>
      <c r="CM27" s="209"/>
      <c r="CN27" s="110">
        <v>0.22916666666666699</v>
      </c>
      <c r="CO27" s="209"/>
      <c r="CP27" s="110">
        <v>0.22916666666666699</v>
      </c>
      <c r="CQ27" s="211"/>
      <c r="CR27" s="21"/>
      <c r="CS27" s="110">
        <v>0.22916666666666699</v>
      </c>
      <c r="CT27" s="211"/>
      <c r="CU27" s="21"/>
      <c r="CV27" s="110">
        <v>0.22916666666666699</v>
      </c>
      <c r="CW27" s="264"/>
      <c r="CY27" s="260">
        <v>0.22916666666666699</v>
      </c>
      <c r="CZ27" s="178"/>
      <c r="DA27" s="110">
        <v>0.22916666666666699</v>
      </c>
      <c r="DB27" s="263"/>
      <c r="DC27" s="110">
        <v>0.22916666666666699</v>
      </c>
      <c r="DD27" s="211"/>
      <c r="DE27" s="21"/>
      <c r="DF27" s="110">
        <v>0.22916666666666699</v>
      </c>
      <c r="DG27" s="209"/>
      <c r="DH27" s="110">
        <v>0.22916666666666699</v>
      </c>
      <c r="DI27" s="209"/>
      <c r="DJ27" s="110">
        <v>0.22916666666666699</v>
      </c>
      <c r="DK27" s="211"/>
      <c r="DL27" s="21"/>
      <c r="DM27" s="110">
        <v>0.22916666666666699</v>
      </c>
      <c r="DN27" s="209"/>
      <c r="DO27" s="110">
        <v>0.22916666666666699</v>
      </c>
      <c r="DP27" s="209"/>
      <c r="DQ27" s="110">
        <v>0.22916666666666699</v>
      </c>
      <c r="DR27" s="211"/>
      <c r="DS27" s="21"/>
      <c r="DT27" s="110">
        <v>0.22916666666666699</v>
      </c>
      <c r="DU27" s="209"/>
      <c r="DV27" s="110">
        <v>0.22916666666666699</v>
      </c>
      <c r="DW27" s="209"/>
      <c r="DX27" s="110">
        <v>0.22916666666666699</v>
      </c>
      <c r="DY27" s="211"/>
      <c r="DZ27" s="21"/>
      <c r="EA27" s="110">
        <v>0.22916666666666699</v>
      </c>
      <c r="EB27" s="209">
        <f>IF('Temperature Profiles'!AA26&gt;18,(0.0018*('Temperature Profiles'!AA26^2)-(0.0475*'Temperature Profiles'!AA26)+0.3123)*1000,IF(AND('Temperature Profiles'!AA26&lt;17,'Temperature Profiles'!AA26&gt;-5.6),(0.0021*('Temperature Profiles'!AA26^2)-(0.0919*'Temperature Profiles'!AA26)+1.0491)*1000,IF(AND('Temperature Profiles'!AA26&lt;-5.6,'Temperature Profiles'!AA26&gt;-11.4),(((-0.2925*'Temperature Profiles'!AA26)-1.6914)*1000)+EB$208,IF('Temperature Profiles'!AA26&lt;-11.4,EB130,0))))</f>
        <v>0</v>
      </c>
      <c r="EC27" s="110">
        <v>0.22916666666666699</v>
      </c>
      <c r="ED27" s="209">
        <f>IF('Temperature Profiles'!AA26&gt;18,(0.0034*('Temperature Profiles'!AA26^2)-(0.087*'Temperature Profiles'!AA26)+0.5117)*1000,IF(AND('Temperature Profiles'!AA26&lt;17,'Temperature Profiles'!AA26&gt;-4.4),(0.0027*('Temperature Profiles'!AA26^2)-(0.149*'Temperature Profiles'!AA26)+1.7779)*1000,IF(AND('Temperature Profiles'!AA26&lt;-4.4,'Temperature Profiles'!AA26&gt;-8.5),(((-0.5391*'Temperature Profiles'!AA26)-2.0906)*1000)+ED$208,IF('Temperature Profiles'!AA26&lt;-8.5,ED130,0))))</f>
        <v>12300</v>
      </c>
      <c r="EE27" s="110">
        <v>0.22916666666666699</v>
      </c>
      <c r="EF27" s="211">
        <f>IF('Temperature Profiles'!AA26&gt;18,(0.0048*('Temperature Profiles'!AA26^2)-(0.1352*'Temperature Profiles'!AA26)+0.9193)*1000,IF(AND('Temperature Profiles'!AA26&lt;17,'Temperature Profiles'!AA26&gt;-4.4),(0.0031*('Temperature Profiles'!AA26^2)-(0.2029*'Temperature Profiles'!AA26)+2.4264)*1000,IF(AND('Temperature Profiles'!AA26&lt;-4.4,'Temperature Profiles'!AA26&gt;-8.5),(((-0.7516*'Temperature Profiles'!AA26)-2.9985)*1000)+EF$208,IF('Temperature Profiles'!AA26&lt;-8.5,EF130,0))))</f>
        <v>16000</v>
      </c>
      <c r="EG27" s="21"/>
      <c r="EH27" s="110">
        <v>0.22916666666666699</v>
      </c>
      <c r="EI27" s="211"/>
      <c r="EJ27" s="110">
        <v>0.22916666666666699</v>
      </c>
      <c r="EK27" s="211"/>
      <c r="EL27" s="110">
        <v>0.22916666666666699</v>
      </c>
      <c r="EM27" s="211"/>
      <c r="EN27" s="21"/>
      <c r="EO27" s="110">
        <v>0.22916666666666699</v>
      </c>
      <c r="EP27" s="211"/>
      <c r="EQ27" s="21"/>
      <c r="ER27" s="110">
        <v>0.22916666666666699</v>
      </c>
      <c r="ES27" s="264"/>
      <c r="EU27" s="260">
        <v>0.22916666666666699</v>
      </c>
      <c r="EV27" s="209">
        <f>IF('Temperature Profiles'!AA26&gt;18,(0.0018*('Temperature Profiles'!AA26^2)-(0.0475*'Temperature Profiles'!AA26)+0.3123)*1000,IF(AND('Temperature Profiles'!AA26&lt;17,'Temperature Profiles'!AA26&gt;-5.6),(0.0021*('Temperature Profiles'!AA26^2)-(0.0919*'Temperature Profiles'!AA26)+1.0491)*1000,IF(AND('Temperature Profiles'!AA26&lt;-5.6,'Temperature Profiles'!AA26&gt;-11.4),EV$208,IF('Temperature Profiles'!AA26&lt;-11.4,EV130,0))))</f>
        <v>0</v>
      </c>
      <c r="EW27" s="110">
        <v>0.22916666666666699</v>
      </c>
      <c r="EX27" s="209">
        <f>IF('Temperature Profiles'!AA26&gt;18,(0.0034*('Temperature Profiles'!AA26^2)-(0.087*'Temperature Profiles'!AA26)+0.5117)*1000,IF(AND('Temperature Profiles'!AA26&lt;17,'Temperature Profiles'!AA26&gt;-4.4),(0.0027*('Temperature Profiles'!AA26^2)-(0.149*'Temperature Profiles'!AA26)+1.7779)*1000,IF(AND('Temperature Profiles'!AA26&lt;-4.4,'Temperature Profiles'!AA26&gt;-8.5),EX$208,IF('Temperature Profiles'!AA26&lt;-8.5,EX130,0))))</f>
        <v>5400</v>
      </c>
      <c r="EY27" s="110">
        <v>0.22916666666666699</v>
      </c>
      <c r="EZ27" s="264">
        <f>IF('Temperature Profiles'!AA26&gt;18,(0.0048*('Temperature Profiles'!AA26^2)-(0.1352*'Temperature Profiles'!AA26)+0.9193)*1000,IF(AND('Temperature Profiles'!AA26&lt;17,'Temperature Profiles'!AA26&gt;-4.4),(0.0031*('Temperature Profiles'!AA26^2)-(0.2029*'Temperature Profiles'!AA26)+2.4264)*1000,IF(AND('Temperature Profiles'!AA26&lt;-4.4,'Temperature Profiles'!AA26&gt;-8.5),EZ$208,IF('Temperature Profiles'!AA26&lt;-8.5,EZ130,0))))</f>
        <v>5400</v>
      </c>
    </row>
    <row r="28" spans="1:156" x14ac:dyDescent="0.3">
      <c r="A28" s="108">
        <v>0.22916666666666699</v>
      </c>
      <c r="B28" s="226">
        <f t="shared" si="0"/>
        <v>0</v>
      </c>
      <c r="C28" s="21">
        <f t="shared" si="1"/>
        <v>0</v>
      </c>
      <c r="D28" s="21">
        <f t="shared" si="2"/>
        <v>16000</v>
      </c>
      <c r="E28" s="20">
        <f t="shared" si="3"/>
        <v>5400</v>
      </c>
      <c r="G28" s="260">
        <v>0.23958333333333301</v>
      </c>
      <c r="H28" s="211"/>
      <c r="I28" s="110">
        <v>0.23958333333333301</v>
      </c>
      <c r="J28" s="211"/>
      <c r="K28" s="110">
        <v>0.23958333333333301</v>
      </c>
      <c r="L28" s="211"/>
      <c r="M28" s="21"/>
      <c r="N28" s="110">
        <v>0.23958333333333301</v>
      </c>
      <c r="O28" s="209"/>
      <c r="P28" s="110">
        <v>0.23958333333333301</v>
      </c>
      <c r="Q28" s="209"/>
      <c r="R28" s="110">
        <v>0.23958333333333301</v>
      </c>
      <c r="S28" s="211"/>
      <c r="T28" s="21"/>
      <c r="U28" s="110">
        <v>0.23958333333333301</v>
      </c>
      <c r="V28" s="209"/>
      <c r="W28" s="110">
        <v>0.23958333333333301</v>
      </c>
      <c r="X28" s="209"/>
      <c r="Y28" s="110">
        <v>0.23958333333333301</v>
      </c>
      <c r="Z28" s="211"/>
      <c r="AA28" s="21"/>
      <c r="AB28" s="110">
        <v>0.23958333333333301</v>
      </c>
      <c r="AC28" s="209"/>
      <c r="AD28" s="110">
        <v>0.23958333333333301</v>
      </c>
      <c r="AE28" s="209"/>
      <c r="AF28" s="110">
        <v>0.23958333333333301</v>
      </c>
      <c r="AG28" s="211"/>
      <c r="AH28" s="21"/>
      <c r="AI28" s="110">
        <v>0.23958333333333301</v>
      </c>
      <c r="AJ28" s="209"/>
      <c r="AK28" s="110">
        <v>0.23958333333333301</v>
      </c>
      <c r="AL28" s="209"/>
      <c r="AM28" s="110">
        <v>0.23958333333333301</v>
      </c>
      <c r="AN28" s="211"/>
      <c r="AO28" s="21"/>
      <c r="AP28" s="110">
        <v>0.23958333333333301</v>
      </c>
      <c r="AQ28" s="209"/>
      <c r="AR28" s="110">
        <v>0.23958333333333301</v>
      </c>
      <c r="AS28" s="209"/>
      <c r="AT28" s="110">
        <v>0.23958333333333301</v>
      </c>
      <c r="AU28" s="211"/>
      <c r="AV28" s="21"/>
      <c r="AW28" s="110">
        <v>0.23958333333333301</v>
      </c>
      <c r="AX28" s="211"/>
      <c r="AY28" s="21"/>
      <c r="AZ28" s="110">
        <v>0.23958333333333301</v>
      </c>
      <c r="BA28" s="264"/>
      <c r="BC28" s="260">
        <v>0.23958333333333301</v>
      </c>
      <c r="BD28" s="211"/>
      <c r="BE28" s="110">
        <v>0.23958333333333301</v>
      </c>
      <c r="BF28" s="211"/>
      <c r="BG28" s="110">
        <v>0.23958333333333301</v>
      </c>
      <c r="BH28" s="211"/>
      <c r="BI28" s="21"/>
      <c r="BJ28" s="110">
        <v>0.23958333333333301</v>
      </c>
      <c r="BK28" s="209"/>
      <c r="BL28" s="110">
        <v>0.23958333333333301</v>
      </c>
      <c r="BM28" s="209"/>
      <c r="BN28" s="110">
        <v>0.23958333333333301</v>
      </c>
      <c r="BO28" s="211"/>
      <c r="BP28" s="21"/>
      <c r="BQ28" s="110">
        <v>0.23958333333333301</v>
      </c>
      <c r="BR28" s="209"/>
      <c r="BS28" s="110">
        <v>0.23958333333333301</v>
      </c>
      <c r="BT28" s="209"/>
      <c r="BU28" s="110">
        <v>0.23958333333333301</v>
      </c>
      <c r="BV28" s="211"/>
      <c r="BW28" s="21"/>
      <c r="BX28" s="110">
        <v>0.23958333333333301</v>
      </c>
      <c r="BY28" s="209"/>
      <c r="BZ28" s="110">
        <v>0.23958333333333301</v>
      </c>
      <c r="CA28" s="209"/>
      <c r="CB28" s="110">
        <v>0.23958333333333301</v>
      </c>
      <c r="CC28" s="211"/>
      <c r="CD28" s="21"/>
      <c r="CE28" s="110">
        <v>0.23958333333333301</v>
      </c>
      <c r="CF28" s="209"/>
      <c r="CG28" s="110">
        <v>0.23958333333333301</v>
      </c>
      <c r="CH28" s="209"/>
      <c r="CI28" s="110">
        <v>0.23958333333333301</v>
      </c>
      <c r="CJ28" s="211"/>
      <c r="CK28" s="21"/>
      <c r="CL28" s="110">
        <v>0.23958333333333301</v>
      </c>
      <c r="CM28" s="209"/>
      <c r="CN28" s="110">
        <v>0.23958333333333301</v>
      </c>
      <c r="CO28" s="209"/>
      <c r="CP28" s="110">
        <v>0.23958333333333301</v>
      </c>
      <c r="CQ28" s="211"/>
      <c r="CR28" s="21"/>
      <c r="CS28" s="110">
        <v>0.23958333333333301</v>
      </c>
      <c r="CT28" s="211"/>
      <c r="CU28" s="21"/>
      <c r="CV28" s="110">
        <v>0.23958333333333301</v>
      </c>
      <c r="CW28" s="264"/>
      <c r="CY28" s="260">
        <v>0.23958333333333301</v>
      </c>
      <c r="CZ28" s="178"/>
      <c r="DA28" s="110">
        <v>0.23958333333333301</v>
      </c>
      <c r="DB28" s="263"/>
      <c r="DC28" s="110">
        <v>0.23958333333333301</v>
      </c>
      <c r="DD28" s="211"/>
      <c r="DE28" s="21"/>
      <c r="DF28" s="110">
        <v>0.23958333333333301</v>
      </c>
      <c r="DG28" s="209"/>
      <c r="DH28" s="110">
        <v>0.23958333333333301</v>
      </c>
      <c r="DI28" s="209"/>
      <c r="DJ28" s="110">
        <v>0.23958333333333301</v>
      </c>
      <c r="DK28" s="211"/>
      <c r="DL28" s="21"/>
      <c r="DM28" s="110">
        <v>0.23958333333333301</v>
      </c>
      <c r="DN28" s="209"/>
      <c r="DO28" s="110">
        <v>0.23958333333333301</v>
      </c>
      <c r="DP28" s="209"/>
      <c r="DQ28" s="110">
        <v>0.23958333333333301</v>
      </c>
      <c r="DR28" s="211"/>
      <c r="DS28" s="21"/>
      <c r="DT28" s="110">
        <v>0.23958333333333301</v>
      </c>
      <c r="DU28" s="209"/>
      <c r="DV28" s="110">
        <v>0.23958333333333301</v>
      </c>
      <c r="DW28" s="209"/>
      <c r="DX28" s="110">
        <v>0.23958333333333301</v>
      </c>
      <c r="DY28" s="211"/>
      <c r="DZ28" s="21"/>
      <c r="EA28" s="110">
        <v>0.23958333333333301</v>
      </c>
      <c r="EB28" s="209">
        <f>IF('Temperature Profiles'!AA27&gt;18,(0.0018*('Temperature Profiles'!AA27^2)-(0.0475*'Temperature Profiles'!AA27)+0.3123)*1000,IF(AND('Temperature Profiles'!AA27&lt;17,'Temperature Profiles'!AA27&gt;-5.6),(0.0021*('Temperature Profiles'!AA27^2)-(0.0919*'Temperature Profiles'!AA27)+1.0491)*1000,IF(AND('Temperature Profiles'!AA27&lt;-5.6,'Temperature Profiles'!AA27&gt;-11.4),(((-0.2925*'Temperature Profiles'!AA27)-1.6914)*1000)+EB$208,IF('Temperature Profiles'!AA27&lt;-11.4,EB131,0))))</f>
        <v>0</v>
      </c>
      <c r="EC28" s="110">
        <v>0.23958333333333301</v>
      </c>
      <c r="ED28" s="209">
        <f>IF('Temperature Profiles'!AA27&gt;18,(0.0034*('Temperature Profiles'!AA27^2)-(0.087*'Temperature Profiles'!AA27)+0.5117)*1000,IF(AND('Temperature Profiles'!AA27&lt;17,'Temperature Profiles'!AA27&gt;-4.4),(0.0027*('Temperature Profiles'!AA27^2)-(0.149*'Temperature Profiles'!AA27)+1.7779)*1000,IF(AND('Temperature Profiles'!AA27&lt;-4.4,'Temperature Profiles'!AA27&gt;-8.5),(((-0.5391*'Temperature Profiles'!AA27)-2.0906)*1000)+ED$208,IF('Temperature Profiles'!AA27&lt;-8.5,ED131,0))))</f>
        <v>0</v>
      </c>
      <c r="EE28" s="110">
        <v>0.23958333333333301</v>
      </c>
      <c r="EF28" s="211">
        <f>IF('Temperature Profiles'!AA27&gt;18,(0.0048*('Temperature Profiles'!AA27^2)-(0.1352*'Temperature Profiles'!AA27)+0.9193)*1000,IF(AND('Temperature Profiles'!AA27&lt;17,'Temperature Profiles'!AA27&gt;-4.4),(0.0031*('Temperature Profiles'!AA27^2)-(0.2029*'Temperature Profiles'!AA27)+2.4264)*1000,IF(AND('Temperature Profiles'!AA27&lt;-4.4,'Temperature Profiles'!AA27&gt;-8.5),(((-0.7516*'Temperature Profiles'!AA27)-2.9985)*1000)+EF$208,IF('Temperature Profiles'!AA27&lt;-8.5,EF131,0))))</f>
        <v>0</v>
      </c>
      <c r="EG28" s="21"/>
      <c r="EH28" s="110">
        <v>0.23958333333333301</v>
      </c>
      <c r="EI28" s="211"/>
      <c r="EJ28" s="110">
        <v>0.23958333333333301</v>
      </c>
      <c r="EK28" s="211"/>
      <c r="EL28" s="110">
        <v>0.23958333333333301</v>
      </c>
      <c r="EM28" s="211"/>
      <c r="EN28" s="21"/>
      <c r="EO28" s="110">
        <v>0.23958333333333301</v>
      </c>
      <c r="EP28" s="211"/>
      <c r="EQ28" s="21"/>
      <c r="ER28" s="110">
        <v>0.23958333333333301</v>
      </c>
      <c r="ES28" s="264"/>
      <c r="EU28" s="260">
        <v>0.23958333333333301</v>
      </c>
      <c r="EV28" s="209">
        <f>IF('Temperature Profiles'!AA27&gt;18,(0.0018*('Temperature Profiles'!AA27^2)-(0.0475*'Temperature Profiles'!AA27)+0.3123)*1000,IF(AND('Temperature Profiles'!AA27&lt;17,'Temperature Profiles'!AA27&gt;-5.6),(0.0021*('Temperature Profiles'!AA27^2)-(0.0919*'Temperature Profiles'!AA27)+1.0491)*1000,IF(AND('Temperature Profiles'!AA27&lt;-5.6,'Temperature Profiles'!AA27&gt;-11.4),EV$208,IF('Temperature Profiles'!AA27&lt;-11.4,EV131,0))))</f>
        <v>0</v>
      </c>
      <c r="EW28" s="110">
        <v>0.23958333333333301</v>
      </c>
      <c r="EX28" s="209">
        <f>IF('Temperature Profiles'!AA27&gt;18,(0.0034*('Temperature Profiles'!AA27^2)-(0.087*'Temperature Profiles'!AA27)+0.5117)*1000,IF(AND('Temperature Profiles'!AA27&lt;17,'Temperature Profiles'!AA27&gt;-4.4),(0.0027*('Temperature Profiles'!AA27^2)-(0.149*'Temperature Profiles'!AA27)+1.7779)*1000,IF(AND('Temperature Profiles'!AA27&lt;-4.4,'Temperature Profiles'!AA27&gt;-8.5),EX$208,IF('Temperature Profiles'!AA27&lt;-8.5,EX131,0))))</f>
        <v>0</v>
      </c>
      <c r="EY28" s="110">
        <v>0.23958333333333301</v>
      </c>
      <c r="EZ28" s="264">
        <f>IF('Temperature Profiles'!AA27&gt;18,(0.0048*('Temperature Profiles'!AA27^2)-(0.1352*'Temperature Profiles'!AA27)+0.9193)*1000,IF(AND('Temperature Profiles'!AA27&lt;17,'Temperature Profiles'!AA27&gt;-4.4),(0.0031*('Temperature Profiles'!AA27^2)-(0.2029*'Temperature Profiles'!AA27)+2.4264)*1000,IF(AND('Temperature Profiles'!AA27&lt;-4.4,'Temperature Profiles'!AA27&gt;-8.5),EZ$208,IF('Temperature Profiles'!AA27&lt;-8.5,EZ131,0))))</f>
        <v>0</v>
      </c>
    </row>
    <row r="29" spans="1:156" x14ac:dyDescent="0.3">
      <c r="A29" s="108">
        <v>0.23958333333333301</v>
      </c>
      <c r="B29" s="226">
        <f t="shared" si="0"/>
        <v>0</v>
      </c>
      <c r="C29" s="21">
        <f t="shared" si="1"/>
        <v>0</v>
      </c>
      <c r="D29" s="21">
        <f t="shared" si="2"/>
        <v>0</v>
      </c>
      <c r="E29" s="20">
        <f t="shared" si="3"/>
        <v>0</v>
      </c>
      <c r="G29" s="260">
        <v>0.25</v>
      </c>
      <c r="H29" s="211"/>
      <c r="I29" s="110">
        <v>0.25</v>
      </c>
      <c r="J29" s="211"/>
      <c r="K29" s="110">
        <v>0.25</v>
      </c>
      <c r="L29" s="211"/>
      <c r="M29" s="21"/>
      <c r="N29" s="110">
        <v>0.25</v>
      </c>
      <c r="O29" s="209"/>
      <c r="P29" s="110">
        <v>0.25</v>
      </c>
      <c r="Q29" s="209"/>
      <c r="R29" s="110">
        <v>0.25</v>
      </c>
      <c r="S29" s="211"/>
      <c r="T29" s="21"/>
      <c r="U29" s="110">
        <v>0.25</v>
      </c>
      <c r="V29" s="209"/>
      <c r="W29" s="110">
        <v>0.25</v>
      </c>
      <c r="X29" s="209"/>
      <c r="Y29" s="110">
        <v>0.25</v>
      </c>
      <c r="Z29" s="211"/>
      <c r="AA29" s="21"/>
      <c r="AB29" s="110">
        <v>0.25</v>
      </c>
      <c r="AC29" s="209"/>
      <c r="AD29" s="110">
        <v>0.25</v>
      </c>
      <c r="AE29" s="209"/>
      <c r="AF29" s="110">
        <v>0.25</v>
      </c>
      <c r="AG29" s="211"/>
      <c r="AH29" s="21"/>
      <c r="AI29" s="110">
        <v>0.25</v>
      </c>
      <c r="AJ29" s="209"/>
      <c r="AK29" s="110">
        <v>0.25</v>
      </c>
      <c r="AL29" s="209"/>
      <c r="AM29" s="110">
        <v>0.25</v>
      </c>
      <c r="AN29" s="211"/>
      <c r="AO29" s="21"/>
      <c r="AP29" s="110">
        <v>0.25</v>
      </c>
      <c r="AQ29" s="209"/>
      <c r="AR29" s="110">
        <v>0.25</v>
      </c>
      <c r="AS29" s="209"/>
      <c r="AT29" s="110">
        <v>0.25</v>
      </c>
      <c r="AU29" s="211"/>
      <c r="AV29" s="21"/>
      <c r="AW29" s="110">
        <v>0.25</v>
      </c>
      <c r="AX29" s="211"/>
      <c r="AY29" s="21"/>
      <c r="AZ29" s="110">
        <v>0.25</v>
      </c>
      <c r="BA29" s="264"/>
      <c r="BC29" s="260">
        <v>0.25</v>
      </c>
      <c r="BD29" s="211"/>
      <c r="BE29" s="110">
        <v>0.25</v>
      </c>
      <c r="BF29" s="211"/>
      <c r="BG29" s="110">
        <v>0.25</v>
      </c>
      <c r="BH29" s="211"/>
      <c r="BI29" s="21"/>
      <c r="BJ29" s="110">
        <v>0.25</v>
      </c>
      <c r="BK29" s="209"/>
      <c r="BL29" s="110">
        <v>0.25</v>
      </c>
      <c r="BM29" s="209"/>
      <c r="BN29" s="110">
        <v>0.25</v>
      </c>
      <c r="BO29" s="211"/>
      <c r="BP29" s="21"/>
      <c r="BQ29" s="110">
        <v>0.25</v>
      </c>
      <c r="BR29" s="209"/>
      <c r="BS29" s="110">
        <v>0.25</v>
      </c>
      <c r="BT29" s="209"/>
      <c r="BU29" s="110">
        <v>0.25</v>
      </c>
      <c r="BV29" s="211"/>
      <c r="BW29" s="21"/>
      <c r="BX29" s="110">
        <v>0.25</v>
      </c>
      <c r="BY29" s="209"/>
      <c r="BZ29" s="110">
        <v>0.25</v>
      </c>
      <c r="CA29" s="209"/>
      <c r="CB29" s="110">
        <v>0.25</v>
      </c>
      <c r="CC29" s="211"/>
      <c r="CD29" s="21"/>
      <c r="CE29" s="110">
        <v>0.25</v>
      </c>
      <c r="CF29" s="209"/>
      <c r="CG29" s="110">
        <v>0.25</v>
      </c>
      <c r="CH29" s="209"/>
      <c r="CI29" s="110">
        <v>0.25</v>
      </c>
      <c r="CJ29" s="211"/>
      <c r="CK29" s="21"/>
      <c r="CL29" s="110">
        <v>0.25</v>
      </c>
      <c r="CM29" s="209"/>
      <c r="CN29" s="110">
        <v>0.25</v>
      </c>
      <c r="CO29" s="209"/>
      <c r="CP29" s="110">
        <v>0.25</v>
      </c>
      <c r="CQ29" s="211"/>
      <c r="CR29" s="21"/>
      <c r="CS29" s="110">
        <v>0.25</v>
      </c>
      <c r="CT29" s="211"/>
      <c r="CU29" s="21"/>
      <c r="CV29" s="110">
        <v>0.25</v>
      </c>
      <c r="CW29" s="264"/>
      <c r="CY29" s="260">
        <v>0.25</v>
      </c>
      <c r="CZ29" s="178"/>
      <c r="DA29" s="110">
        <v>0.25</v>
      </c>
      <c r="DB29" s="263"/>
      <c r="DC29" s="110">
        <v>0.25</v>
      </c>
      <c r="DD29" s="211"/>
      <c r="DE29" s="21"/>
      <c r="DF29" s="110">
        <v>0.25</v>
      </c>
      <c r="DG29" s="209"/>
      <c r="DH29" s="110">
        <v>0.25</v>
      </c>
      <c r="DI29" s="209"/>
      <c r="DJ29" s="110">
        <v>0.25</v>
      </c>
      <c r="DK29" s="211"/>
      <c r="DL29" s="21"/>
      <c r="DM29" s="110">
        <v>0.25</v>
      </c>
      <c r="DN29" s="209"/>
      <c r="DO29" s="110">
        <v>0.25</v>
      </c>
      <c r="DP29" s="209"/>
      <c r="DQ29" s="110">
        <v>0.25</v>
      </c>
      <c r="DR29" s="211"/>
      <c r="DS29" s="21"/>
      <c r="DT29" s="110">
        <v>0.25</v>
      </c>
      <c r="DU29" s="209"/>
      <c r="DV29" s="110">
        <v>0.25</v>
      </c>
      <c r="DW29" s="209"/>
      <c r="DX29" s="110">
        <v>0.25</v>
      </c>
      <c r="DY29" s="211"/>
      <c r="DZ29" s="21"/>
      <c r="EA29" s="110">
        <v>0.25</v>
      </c>
      <c r="EB29" s="209">
        <f>IF('Temperature Profiles'!AA28&gt;18,(0.0018*('Temperature Profiles'!AA28^2)-(0.0475*'Temperature Profiles'!AA28)+0.3123)*1000,IF(AND('Temperature Profiles'!AA28&lt;17,'Temperature Profiles'!AA28&gt;-5.6),(0.0021*('Temperature Profiles'!AA28^2)-(0.0919*'Temperature Profiles'!AA28)+1.0491)*1000,IF(AND('Temperature Profiles'!AA28&lt;-5.6,'Temperature Profiles'!AA28&gt;-11.4),(((-0.2925*'Temperature Profiles'!AA28)-1.6914)*1000)+EB$208,IF('Temperature Profiles'!AA28&lt;-11.4,EB132,0))))</f>
        <v>6900</v>
      </c>
      <c r="EC29" s="110">
        <v>0.25</v>
      </c>
      <c r="ED29" s="209">
        <f>IF('Temperature Profiles'!AA28&gt;18,(0.0034*('Temperature Profiles'!AA28^2)-(0.087*'Temperature Profiles'!AA28)+0.5117)*1000,IF(AND('Temperature Profiles'!AA28&lt;17,'Temperature Profiles'!AA28&gt;-4.4),(0.0027*('Temperature Profiles'!AA28^2)-(0.149*'Temperature Profiles'!AA28)+1.7779)*1000,IF(AND('Temperature Profiles'!AA28&lt;-4.4,'Temperature Profiles'!AA28&gt;-8.5),(((-0.5391*'Temperature Profiles'!AA28)-2.0906)*1000)+ED$208,IF('Temperature Profiles'!AA28&lt;-8.5,ED132,0))))</f>
        <v>12300</v>
      </c>
      <c r="EE29" s="110">
        <v>0.25</v>
      </c>
      <c r="EF29" s="211">
        <f>IF('Temperature Profiles'!AA28&gt;18,(0.0048*('Temperature Profiles'!AA28^2)-(0.1352*'Temperature Profiles'!AA28)+0.9193)*1000,IF(AND('Temperature Profiles'!AA28&lt;17,'Temperature Profiles'!AA28&gt;-4.4),(0.0031*('Temperature Profiles'!AA28^2)-(0.2029*'Temperature Profiles'!AA28)+2.4264)*1000,IF(AND('Temperature Profiles'!AA28&lt;-4.4,'Temperature Profiles'!AA28&gt;-8.5),(((-0.7516*'Temperature Profiles'!AA28)-2.9985)*1000)+EF$208,IF('Temperature Profiles'!AA28&lt;-8.5,EF132,0))))</f>
        <v>16000</v>
      </c>
      <c r="EG29" s="21"/>
      <c r="EH29" s="110">
        <v>0.25</v>
      </c>
      <c r="EI29" s="211"/>
      <c r="EJ29" s="110">
        <v>0.25</v>
      </c>
      <c r="EK29" s="211"/>
      <c r="EL29" s="110">
        <v>0.25</v>
      </c>
      <c r="EM29" s="211"/>
      <c r="EN29" s="21"/>
      <c r="EO29" s="110">
        <v>0.25</v>
      </c>
      <c r="EP29" s="211"/>
      <c r="EQ29" s="21"/>
      <c r="ER29" s="110">
        <v>0.25</v>
      </c>
      <c r="ES29" s="264"/>
      <c r="EU29" s="260">
        <v>0.25</v>
      </c>
      <c r="EV29" s="209">
        <f>IF('Temperature Profiles'!AA28&gt;18,(0.0018*('Temperature Profiles'!AA28^2)-(0.0475*'Temperature Profiles'!AA28)+0.3123)*1000,IF(AND('Temperature Profiles'!AA28&lt;17,'Temperature Profiles'!AA28&gt;-5.6),(0.0021*('Temperature Profiles'!AA28^2)-(0.0919*'Temperature Profiles'!AA28)+1.0491)*1000,IF(AND('Temperature Profiles'!AA28&lt;-5.6,'Temperature Profiles'!AA28&gt;-11.4),EV$208,IF('Temperature Profiles'!AA28&lt;-11.4,EV132,0))))</f>
        <v>5400</v>
      </c>
      <c r="EW29" s="110">
        <v>0.25</v>
      </c>
      <c r="EX29" s="209">
        <f>IF('Temperature Profiles'!AA28&gt;18,(0.0034*('Temperature Profiles'!AA28^2)-(0.087*'Temperature Profiles'!AA28)+0.5117)*1000,IF(AND('Temperature Profiles'!AA28&lt;17,'Temperature Profiles'!AA28&gt;-4.4),(0.0027*('Temperature Profiles'!AA28^2)-(0.149*'Temperature Profiles'!AA28)+1.7779)*1000,IF(AND('Temperature Profiles'!AA28&lt;-4.4,'Temperature Profiles'!AA28&gt;-8.5),EX$208,IF('Temperature Profiles'!AA28&lt;-8.5,EX132,0))))</f>
        <v>5400</v>
      </c>
      <c r="EY29" s="110">
        <v>0.25</v>
      </c>
      <c r="EZ29" s="264">
        <f>IF('Temperature Profiles'!AA28&gt;18,(0.0048*('Temperature Profiles'!AA28^2)-(0.1352*'Temperature Profiles'!AA28)+0.9193)*1000,IF(AND('Temperature Profiles'!AA28&lt;17,'Temperature Profiles'!AA28&gt;-4.4),(0.0031*('Temperature Profiles'!AA28^2)-(0.2029*'Temperature Profiles'!AA28)+2.4264)*1000,IF(AND('Temperature Profiles'!AA28&lt;-4.4,'Temperature Profiles'!AA28&gt;-8.5),EZ$208,IF('Temperature Profiles'!AA28&lt;-8.5,EZ132,0))))</f>
        <v>5400</v>
      </c>
    </row>
    <row r="30" spans="1:156" x14ac:dyDescent="0.3">
      <c r="A30" s="108">
        <v>0.25</v>
      </c>
      <c r="B30" s="226">
        <f t="shared" si="0"/>
        <v>0</v>
      </c>
      <c r="C30" s="21">
        <f t="shared" si="1"/>
        <v>0</v>
      </c>
      <c r="D30" s="21">
        <f t="shared" si="2"/>
        <v>16000</v>
      </c>
      <c r="E30" s="20">
        <f t="shared" si="3"/>
        <v>5400</v>
      </c>
      <c r="G30" s="260">
        <v>0.26041666666666702</v>
      </c>
      <c r="H30" s="211"/>
      <c r="I30" s="110">
        <v>0.26041666666666702</v>
      </c>
      <c r="J30" s="211"/>
      <c r="K30" s="110">
        <v>0.26041666666666702</v>
      </c>
      <c r="L30" s="211"/>
      <c r="M30" s="21"/>
      <c r="N30" s="110">
        <v>0.26041666666666702</v>
      </c>
      <c r="O30" s="209"/>
      <c r="P30" s="110">
        <v>0.26041666666666702</v>
      </c>
      <c r="Q30" s="209"/>
      <c r="R30" s="110">
        <v>0.26041666666666702</v>
      </c>
      <c r="S30" s="211"/>
      <c r="T30" s="21"/>
      <c r="U30" s="110">
        <v>0.26041666666666702</v>
      </c>
      <c r="V30" s="209"/>
      <c r="W30" s="110">
        <v>0.26041666666666702</v>
      </c>
      <c r="X30" s="209"/>
      <c r="Y30" s="110">
        <v>0.26041666666666702</v>
      </c>
      <c r="Z30" s="211"/>
      <c r="AA30" s="21"/>
      <c r="AB30" s="110">
        <v>0.26041666666666702</v>
      </c>
      <c r="AC30" s="209"/>
      <c r="AD30" s="110">
        <v>0.26041666666666702</v>
      </c>
      <c r="AE30" s="209"/>
      <c r="AF30" s="110">
        <v>0.26041666666666702</v>
      </c>
      <c r="AG30" s="211"/>
      <c r="AH30" s="21"/>
      <c r="AI30" s="110">
        <v>0.26041666666666702</v>
      </c>
      <c r="AJ30" s="209"/>
      <c r="AK30" s="110">
        <v>0.26041666666666702</v>
      </c>
      <c r="AL30" s="209"/>
      <c r="AM30" s="110">
        <v>0.26041666666666702</v>
      </c>
      <c r="AN30" s="211"/>
      <c r="AO30" s="21"/>
      <c r="AP30" s="110">
        <v>0.26041666666666702</v>
      </c>
      <c r="AQ30" s="209"/>
      <c r="AR30" s="110">
        <v>0.26041666666666702</v>
      </c>
      <c r="AS30" s="209"/>
      <c r="AT30" s="110">
        <v>0.26041666666666702</v>
      </c>
      <c r="AU30" s="211"/>
      <c r="AV30" s="21"/>
      <c r="AW30" s="110">
        <v>0.26041666666666702</v>
      </c>
      <c r="AX30" s="211"/>
      <c r="AY30" s="21"/>
      <c r="AZ30" s="110">
        <v>0.26041666666666702</v>
      </c>
      <c r="BA30" s="264"/>
      <c r="BC30" s="260">
        <v>0.26041666666666702</v>
      </c>
      <c r="BD30" s="211"/>
      <c r="BE30" s="110">
        <v>0.26041666666666702</v>
      </c>
      <c r="BF30" s="211"/>
      <c r="BG30" s="110">
        <v>0.26041666666666702</v>
      </c>
      <c r="BH30" s="211"/>
      <c r="BI30" s="21"/>
      <c r="BJ30" s="110">
        <v>0.26041666666666702</v>
      </c>
      <c r="BK30" s="209"/>
      <c r="BL30" s="110">
        <v>0.26041666666666702</v>
      </c>
      <c r="BM30" s="209"/>
      <c r="BN30" s="110">
        <v>0.26041666666666702</v>
      </c>
      <c r="BO30" s="211"/>
      <c r="BP30" s="21"/>
      <c r="BQ30" s="110">
        <v>0.26041666666666702</v>
      </c>
      <c r="BR30" s="209"/>
      <c r="BS30" s="110">
        <v>0.26041666666666702</v>
      </c>
      <c r="BT30" s="209"/>
      <c r="BU30" s="110">
        <v>0.26041666666666702</v>
      </c>
      <c r="BV30" s="211"/>
      <c r="BW30" s="21"/>
      <c r="BX30" s="110">
        <v>0.26041666666666702</v>
      </c>
      <c r="BY30" s="209"/>
      <c r="BZ30" s="110">
        <v>0.26041666666666702</v>
      </c>
      <c r="CA30" s="209"/>
      <c r="CB30" s="110">
        <v>0.26041666666666702</v>
      </c>
      <c r="CC30" s="211"/>
      <c r="CD30" s="21"/>
      <c r="CE30" s="110">
        <v>0.26041666666666702</v>
      </c>
      <c r="CF30" s="209"/>
      <c r="CG30" s="110">
        <v>0.26041666666666702</v>
      </c>
      <c r="CH30" s="209"/>
      <c r="CI30" s="110">
        <v>0.26041666666666702</v>
      </c>
      <c r="CJ30" s="211"/>
      <c r="CK30" s="21"/>
      <c r="CL30" s="110">
        <v>0.26041666666666702</v>
      </c>
      <c r="CM30" s="209"/>
      <c r="CN30" s="110">
        <v>0.26041666666666702</v>
      </c>
      <c r="CO30" s="209"/>
      <c r="CP30" s="110">
        <v>0.26041666666666702</v>
      </c>
      <c r="CQ30" s="211"/>
      <c r="CR30" s="21"/>
      <c r="CS30" s="110">
        <v>0.26041666666666702</v>
      </c>
      <c r="CT30" s="211"/>
      <c r="CU30" s="21"/>
      <c r="CV30" s="110">
        <v>0.26041666666666702</v>
      </c>
      <c r="CW30" s="264"/>
      <c r="CY30" s="260">
        <v>0.26041666666666702</v>
      </c>
      <c r="CZ30" s="178"/>
      <c r="DA30" s="110">
        <v>0.26041666666666702</v>
      </c>
      <c r="DB30" s="263"/>
      <c r="DC30" s="110">
        <v>0.26041666666666702</v>
      </c>
      <c r="DD30" s="211"/>
      <c r="DE30" s="21"/>
      <c r="DF30" s="110">
        <v>0.26041666666666702</v>
      </c>
      <c r="DG30" s="209"/>
      <c r="DH30" s="110">
        <v>0.26041666666666702</v>
      </c>
      <c r="DI30" s="209"/>
      <c r="DJ30" s="110">
        <v>0.26041666666666702</v>
      </c>
      <c r="DK30" s="211"/>
      <c r="DL30" s="21"/>
      <c r="DM30" s="110">
        <v>0.26041666666666702</v>
      </c>
      <c r="DN30" s="209"/>
      <c r="DO30" s="110">
        <v>0.26041666666666702</v>
      </c>
      <c r="DP30" s="209"/>
      <c r="DQ30" s="110">
        <v>0.26041666666666702</v>
      </c>
      <c r="DR30" s="211"/>
      <c r="DS30" s="21"/>
      <c r="DT30" s="110">
        <v>0.26041666666666702</v>
      </c>
      <c r="DU30" s="209"/>
      <c r="DV30" s="110">
        <v>0.26041666666666702</v>
      </c>
      <c r="DW30" s="209"/>
      <c r="DX30" s="110">
        <v>0.26041666666666702</v>
      </c>
      <c r="DY30" s="211"/>
      <c r="DZ30" s="21"/>
      <c r="EA30" s="110">
        <v>0.26041666666666702</v>
      </c>
      <c r="EB30" s="209">
        <f>IF('Temperature Profiles'!AA29&gt;18,(0.0018*('Temperature Profiles'!AA29^2)-(0.0475*'Temperature Profiles'!AA29)+0.3123)*1000,IF(AND('Temperature Profiles'!AA29&lt;17,'Temperature Profiles'!AA29&gt;-5.6),(0.0021*('Temperature Profiles'!AA29^2)-(0.0919*'Temperature Profiles'!AA29)+1.0491)*1000,IF(AND('Temperature Profiles'!AA29&lt;-5.6,'Temperature Profiles'!AA29&gt;-11.4),(((-0.2925*'Temperature Profiles'!AA29)-1.6914)*1000)+EB$208,IF('Temperature Profiles'!AA29&lt;-11.4,EB133,0))))</f>
        <v>6900</v>
      </c>
      <c r="EC30" s="110">
        <v>0.26041666666666702</v>
      </c>
      <c r="ED30" s="209">
        <f>IF('Temperature Profiles'!AA29&gt;18,(0.0034*('Temperature Profiles'!AA29^2)-(0.087*'Temperature Profiles'!AA29)+0.5117)*1000,IF(AND('Temperature Profiles'!AA29&lt;17,'Temperature Profiles'!AA29&gt;-4.4),(0.0027*('Temperature Profiles'!AA29^2)-(0.149*'Temperature Profiles'!AA29)+1.7779)*1000,IF(AND('Temperature Profiles'!AA29&lt;-4.4,'Temperature Profiles'!AA29&gt;-8.5),(((-0.5391*'Temperature Profiles'!AA29)-2.0906)*1000)+ED$208,IF('Temperature Profiles'!AA29&lt;-8.5,ED133,0))))</f>
        <v>12300</v>
      </c>
      <c r="EE30" s="110">
        <v>0.26041666666666702</v>
      </c>
      <c r="EF30" s="211">
        <f>IF('Temperature Profiles'!AA29&gt;18,(0.0048*('Temperature Profiles'!AA29^2)-(0.1352*'Temperature Profiles'!AA29)+0.9193)*1000,IF(AND('Temperature Profiles'!AA29&lt;17,'Temperature Profiles'!AA29&gt;-4.4),(0.0031*('Temperature Profiles'!AA29^2)-(0.2029*'Temperature Profiles'!AA29)+2.4264)*1000,IF(AND('Temperature Profiles'!AA29&lt;-4.4,'Temperature Profiles'!AA29&gt;-8.5),(((-0.7516*'Temperature Profiles'!AA29)-2.9985)*1000)+EF$208,IF('Temperature Profiles'!AA29&lt;-8.5,EF133,0))))</f>
        <v>16000</v>
      </c>
      <c r="EG30" s="21"/>
      <c r="EH30" s="110">
        <v>0.26041666666666702</v>
      </c>
      <c r="EI30" s="211"/>
      <c r="EJ30" s="110">
        <v>0.26041666666666702</v>
      </c>
      <c r="EK30" s="211"/>
      <c r="EL30" s="110">
        <v>0.26041666666666702</v>
      </c>
      <c r="EM30" s="211"/>
      <c r="EN30" s="21"/>
      <c r="EO30" s="110">
        <v>0.26041666666666702</v>
      </c>
      <c r="EP30" s="211"/>
      <c r="EQ30" s="21"/>
      <c r="ER30" s="110">
        <v>0.26041666666666702</v>
      </c>
      <c r="ES30" s="264"/>
      <c r="EU30" s="260">
        <v>0.26041666666666702</v>
      </c>
      <c r="EV30" s="209">
        <f>IF('Temperature Profiles'!AA29&gt;18,(0.0018*('Temperature Profiles'!AA29^2)-(0.0475*'Temperature Profiles'!AA29)+0.3123)*1000,IF(AND('Temperature Profiles'!AA29&lt;17,'Temperature Profiles'!AA29&gt;-5.6),(0.0021*('Temperature Profiles'!AA29^2)-(0.0919*'Temperature Profiles'!AA29)+1.0491)*1000,IF(AND('Temperature Profiles'!AA29&lt;-5.6,'Temperature Profiles'!AA29&gt;-11.4),EV$208,IF('Temperature Profiles'!AA29&lt;-11.4,EV133,0))))</f>
        <v>5400</v>
      </c>
      <c r="EW30" s="110">
        <v>0.26041666666666702</v>
      </c>
      <c r="EX30" s="209">
        <f>IF('Temperature Profiles'!AA29&gt;18,(0.0034*('Temperature Profiles'!AA29^2)-(0.087*'Temperature Profiles'!AA29)+0.5117)*1000,IF(AND('Temperature Profiles'!AA29&lt;17,'Temperature Profiles'!AA29&gt;-4.4),(0.0027*('Temperature Profiles'!AA29^2)-(0.149*'Temperature Profiles'!AA29)+1.7779)*1000,IF(AND('Temperature Profiles'!AA29&lt;-4.4,'Temperature Profiles'!AA29&gt;-8.5),EX$208,IF('Temperature Profiles'!AA29&lt;-8.5,EX133,0))))</f>
        <v>5400</v>
      </c>
      <c r="EY30" s="110">
        <v>0.26041666666666702</v>
      </c>
      <c r="EZ30" s="264">
        <f>IF('Temperature Profiles'!AA29&gt;18,(0.0048*('Temperature Profiles'!AA29^2)-(0.1352*'Temperature Profiles'!AA29)+0.9193)*1000,IF(AND('Temperature Profiles'!AA29&lt;17,'Temperature Profiles'!AA29&gt;-4.4),(0.0031*('Temperature Profiles'!AA29^2)-(0.2029*'Temperature Profiles'!AA29)+2.4264)*1000,IF(AND('Temperature Profiles'!AA29&lt;-4.4,'Temperature Profiles'!AA29&gt;-8.5),EZ$208,IF('Temperature Profiles'!AA29&lt;-8.5,EZ133,0))))</f>
        <v>5400</v>
      </c>
    </row>
    <row r="31" spans="1:156" x14ac:dyDescent="0.3">
      <c r="A31" s="108">
        <v>0.26041666666666702</v>
      </c>
      <c r="B31" s="226">
        <f t="shared" si="0"/>
        <v>0</v>
      </c>
      <c r="C31" s="21">
        <f t="shared" si="1"/>
        <v>0</v>
      </c>
      <c r="D31" s="21">
        <f t="shared" si="2"/>
        <v>16000</v>
      </c>
      <c r="E31" s="20">
        <f t="shared" si="3"/>
        <v>5400</v>
      </c>
      <c r="G31" s="260">
        <v>0.27083333333333298</v>
      </c>
      <c r="H31" s="211"/>
      <c r="I31" s="110">
        <v>0.27083333333333298</v>
      </c>
      <c r="J31" s="211"/>
      <c r="K31" s="110">
        <v>0.27083333333333298</v>
      </c>
      <c r="L31" s="211"/>
      <c r="M31" s="21"/>
      <c r="N31" s="110">
        <v>0.27083333333333298</v>
      </c>
      <c r="O31" s="209"/>
      <c r="P31" s="110">
        <v>0.27083333333333298</v>
      </c>
      <c r="Q31" s="209"/>
      <c r="R31" s="110">
        <v>0.27083333333333298</v>
      </c>
      <c r="S31" s="211"/>
      <c r="T31" s="21"/>
      <c r="U31" s="110">
        <v>0.27083333333333298</v>
      </c>
      <c r="V31" s="209"/>
      <c r="W31" s="110">
        <v>0.27083333333333298</v>
      </c>
      <c r="X31" s="209"/>
      <c r="Y31" s="110">
        <v>0.27083333333333298</v>
      </c>
      <c r="Z31" s="211"/>
      <c r="AA31" s="21"/>
      <c r="AB31" s="110">
        <v>0.27083333333333298</v>
      </c>
      <c r="AC31" s="209"/>
      <c r="AD31" s="110">
        <v>0.27083333333333298</v>
      </c>
      <c r="AE31" s="209"/>
      <c r="AF31" s="110">
        <v>0.27083333333333298</v>
      </c>
      <c r="AG31" s="211"/>
      <c r="AH31" s="21"/>
      <c r="AI31" s="110">
        <v>0.27083333333333298</v>
      </c>
      <c r="AJ31" s="209"/>
      <c r="AK31" s="110">
        <v>0.27083333333333298</v>
      </c>
      <c r="AL31" s="209"/>
      <c r="AM31" s="110">
        <v>0.27083333333333298</v>
      </c>
      <c r="AN31" s="211"/>
      <c r="AO31" s="21"/>
      <c r="AP31" s="110">
        <v>0.27083333333333298</v>
      </c>
      <c r="AQ31" s="209"/>
      <c r="AR31" s="110">
        <v>0.27083333333333298</v>
      </c>
      <c r="AS31" s="209"/>
      <c r="AT31" s="110">
        <v>0.27083333333333298</v>
      </c>
      <c r="AU31" s="211"/>
      <c r="AV31" s="21"/>
      <c r="AW31" s="110">
        <v>0.27083333333333298</v>
      </c>
      <c r="AX31" s="211"/>
      <c r="AY31" s="21"/>
      <c r="AZ31" s="110">
        <v>0.27083333333333298</v>
      </c>
      <c r="BA31" s="264"/>
      <c r="BC31" s="260">
        <v>0.27083333333333298</v>
      </c>
      <c r="BD31" s="211"/>
      <c r="BE31" s="110">
        <v>0.27083333333333298</v>
      </c>
      <c r="BF31" s="211"/>
      <c r="BG31" s="110">
        <v>0.27083333333333298</v>
      </c>
      <c r="BH31" s="211"/>
      <c r="BI31" s="21"/>
      <c r="BJ31" s="110">
        <v>0.27083333333333298</v>
      </c>
      <c r="BK31" s="209"/>
      <c r="BL31" s="110">
        <v>0.27083333333333298</v>
      </c>
      <c r="BM31" s="209"/>
      <c r="BN31" s="110">
        <v>0.27083333333333298</v>
      </c>
      <c r="BO31" s="211"/>
      <c r="BP31" s="21"/>
      <c r="BQ31" s="110">
        <v>0.27083333333333298</v>
      </c>
      <c r="BR31" s="209"/>
      <c r="BS31" s="110">
        <v>0.27083333333333298</v>
      </c>
      <c r="BT31" s="209"/>
      <c r="BU31" s="110">
        <v>0.27083333333333298</v>
      </c>
      <c r="BV31" s="211"/>
      <c r="BW31" s="21"/>
      <c r="BX31" s="110">
        <v>0.27083333333333298</v>
      </c>
      <c r="BY31" s="209"/>
      <c r="BZ31" s="110">
        <v>0.27083333333333298</v>
      </c>
      <c r="CA31" s="209"/>
      <c r="CB31" s="110">
        <v>0.27083333333333298</v>
      </c>
      <c r="CC31" s="211"/>
      <c r="CD31" s="21"/>
      <c r="CE31" s="110">
        <v>0.27083333333333298</v>
      </c>
      <c r="CF31" s="209"/>
      <c r="CG31" s="110">
        <v>0.27083333333333298</v>
      </c>
      <c r="CH31" s="209"/>
      <c r="CI31" s="110">
        <v>0.27083333333333298</v>
      </c>
      <c r="CJ31" s="211"/>
      <c r="CK31" s="21"/>
      <c r="CL31" s="110">
        <v>0.27083333333333298</v>
      </c>
      <c r="CM31" s="209"/>
      <c r="CN31" s="110">
        <v>0.27083333333333298</v>
      </c>
      <c r="CO31" s="209"/>
      <c r="CP31" s="110">
        <v>0.27083333333333298</v>
      </c>
      <c r="CQ31" s="211"/>
      <c r="CR31" s="21"/>
      <c r="CS31" s="110">
        <v>0.27083333333333298</v>
      </c>
      <c r="CT31" s="211"/>
      <c r="CU31" s="21"/>
      <c r="CV31" s="110">
        <v>0.27083333333333298</v>
      </c>
      <c r="CW31" s="264"/>
      <c r="CY31" s="260">
        <v>0.27083333333333298</v>
      </c>
      <c r="CZ31" s="178"/>
      <c r="DA31" s="110">
        <v>0.27083333333333298</v>
      </c>
      <c r="DB31" s="263"/>
      <c r="DC31" s="110">
        <v>0.27083333333333298</v>
      </c>
      <c r="DD31" s="211"/>
      <c r="DE31" s="21"/>
      <c r="DF31" s="110">
        <v>0.27083333333333298</v>
      </c>
      <c r="DG31" s="209"/>
      <c r="DH31" s="110">
        <v>0.27083333333333298</v>
      </c>
      <c r="DI31" s="209"/>
      <c r="DJ31" s="110">
        <v>0.27083333333333298</v>
      </c>
      <c r="DK31" s="211"/>
      <c r="DL31" s="21"/>
      <c r="DM31" s="110">
        <v>0.27083333333333298</v>
      </c>
      <c r="DN31" s="209"/>
      <c r="DO31" s="110">
        <v>0.27083333333333298</v>
      </c>
      <c r="DP31" s="209"/>
      <c r="DQ31" s="110">
        <v>0.27083333333333298</v>
      </c>
      <c r="DR31" s="211"/>
      <c r="DS31" s="21"/>
      <c r="DT31" s="110">
        <v>0.27083333333333298</v>
      </c>
      <c r="DU31" s="209"/>
      <c r="DV31" s="110">
        <v>0.27083333333333298</v>
      </c>
      <c r="DW31" s="209"/>
      <c r="DX31" s="110">
        <v>0.27083333333333298</v>
      </c>
      <c r="DY31" s="211"/>
      <c r="DZ31" s="21"/>
      <c r="EA31" s="110">
        <v>0.27083333333333298</v>
      </c>
      <c r="EB31" s="209">
        <f>IF('Temperature Profiles'!AA30&gt;18,(0.0018*('Temperature Profiles'!AA30^2)-(0.0475*'Temperature Profiles'!AA30)+0.3123)*1000,IF(AND('Temperature Profiles'!AA30&lt;17,'Temperature Profiles'!AA30&gt;-5.6),(0.0021*('Temperature Profiles'!AA30^2)-(0.0919*'Temperature Profiles'!AA30)+1.0491)*1000,IF(AND('Temperature Profiles'!AA30&lt;-5.6,'Temperature Profiles'!AA30&gt;-11.4),(((-0.2925*'Temperature Profiles'!AA30)-1.6914)*1000)+EB$208,IF('Temperature Profiles'!AA30&lt;-11.4,EB134,0))))</f>
        <v>0</v>
      </c>
      <c r="EC31" s="110">
        <v>0.27083333333333298</v>
      </c>
      <c r="ED31" s="209">
        <f>IF('Temperature Profiles'!AA30&gt;18,(0.0034*('Temperature Profiles'!AA30^2)-(0.087*'Temperature Profiles'!AA30)+0.5117)*1000,IF(AND('Temperature Profiles'!AA30&lt;17,'Temperature Profiles'!AA30&gt;-4.4),(0.0027*('Temperature Profiles'!AA30^2)-(0.149*'Temperature Profiles'!AA30)+1.7779)*1000,IF(AND('Temperature Profiles'!AA30&lt;-4.4,'Temperature Profiles'!AA30&gt;-8.5),(((-0.5391*'Temperature Profiles'!AA30)-2.0906)*1000)+ED$208,IF('Temperature Profiles'!AA30&lt;-8.5,ED134,0))))</f>
        <v>12300</v>
      </c>
      <c r="EE31" s="110">
        <v>0.27083333333333298</v>
      </c>
      <c r="EF31" s="211">
        <f>IF('Temperature Profiles'!AA30&gt;18,(0.0048*('Temperature Profiles'!AA30^2)-(0.1352*'Temperature Profiles'!AA30)+0.9193)*1000,IF(AND('Temperature Profiles'!AA30&lt;17,'Temperature Profiles'!AA30&gt;-4.4),(0.0031*('Temperature Profiles'!AA30^2)-(0.2029*'Temperature Profiles'!AA30)+2.4264)*1000,IF(AND('Temperature Profiles'!AA30&lt;-4.4,'Temperature Profiles'!AA30&gt;-8.5),(((-0.7516*'Temperature Profiles'!AA30)-2.9985)*1000)+EF$208,IF('Temperature Profiles'!AA30&lt;-8.5,EF134,0))))</f>
        <v>16000</v>
      </c>
      <c r="EG31" s="21"/>
      <c r="EH31" s="110">
        <v>0.27083333333333298</v>
      </c>
      <c r="EI31" s="211"/>
      <c r="EJ31" s="110">
        <v>0.27083333333333298</v>
      </c>
      <c r="EK31" s="211"/>
      <c r="EL31" s="110">
        <v>0.27083333333333298</v>
      </c>
      <c r="EM31" s="211"/>
      <c r="EN31" s="21"/>
      <c r="EO31" s="110">
        <v>0.27083333333333298</v>
      </c>
      <c r="EP31" s="211"/>
      <c r="EQ31" s="21"/>
      <c r="ER31" s="110">
        <v>0.27083333333333298</v>
      </c>
      <c r="ES31" s="264"/>
      <c r="EU31" s="260">
        <v>0.27083333333333298</v>
      </c>
      <c r="EV31" s="209">
        <f>IF('Temperature Profiles'!AA30&gt;18,(0.0018*('Temperature Profiles'!AA30^2)-(0.0475*'Temperature Profiles'!AA30)+0.3123)*1000,IF(AND('Temperature Profiles'!AA30&lt;17,'Temperature Profiles'!AA30&gt;-5.6),(0.0021*('Temperature Profiles'!AA30^2)-(0.0919*'Temperature Profiles'!AA30)+1.0491)*1000,IF(AND('Temperature Profiles'!AA30&lt;-5.6,'Temperature Profiles'!AA30&gt;-11.4),EV$208,IF('Temperature Profiles'!AA30&lt;-11.4,EV134,0))))</f>
        <v>0</v>
      </c>
      <c r="EW31" s="110">
        <v>0.27083333333333298</v>
      </c>
      <c r="EX31" s="209">
        <f>IF('Temperature Profiles'!AA30&gt;18,(0.0034*('Temperature Profiles'!AA30^2)-(0.087*'Temperature Profiles'!AA30)+0.5117)*1000,IF(AND('Temperature Profiles'!AA30&lt;17,'Temperature Profiles'!AA30&gt;-4.4),(0.0027*('Temperature Profiles'!AA30^2)-(0.149*'Temperature Profiles'!AA30)+1.7779)*1000,IF(AND('Temperature Profiles'!AA30&lt;-4.4,'Temperature Profiles'!AA30&gt;-8.5),EX$208,IF('Temperature Profiles'!AA30&lt;-8.5,EX134,0))))</f>
        <v>5400</v>
      </c>
      <c r="EY31" s="110">
        <v>0.27083333333333298</v>
      </c>
      <c r="EZ31" s="264">
        <f>IF('Temperature Profiles'!AA30&gt;18,(0.0048*('Temperature Profiles'!AA30^2)-(0.1352*'Temperature Profiles'!AA30)+0.9193)*1000,IF(AND('Temperature Profiles'!AA30&lt;17,'Temperature Profiles'!AA30&gt;-4.4),(0.0031*('Temperature Profiles'!AA30^2)-(0.2029*'Temperature Profiles'!AA30)+2.4264)*1000,IF(AND('Temperature Profiles'!AA30&lt;-4.4,'Temperature Profiles'!AA30&gt;-8.5),EZ$208,IF('Temperature Profiles'!AA30&lt;-8.5,EZ134,0))))</f>
        <v>5400</v>
      </c>
    </row>
    <row r="32" spans="1:156" x14ac:dyDescent="0.3">
      <c r="A32" s="108">
        <v>0.27083333333333298</v>
      </c>
      <c r="B32" s="226">
        <f t="shared" si="0"/>
        <v>0</v>
      </c>
      <c r="C32" s="21">
        <f t="shared" si="1"/>
        <v>0</v>
      </c>
      <c r="D32" s="21">
        <f t="shared" si="2"/>
        <v>16000</v>
      </c>
      <c r="E32" s="20">
        <f t="shared" si="3"/>
        <v>5400</v>
      </c>
      <c r="G32" s="260">
        <v>0.28125</v>
      </c>
      <c r="H32" s="211"/>
      <c r="I32" s="110">
        <v>0.28125</v>
      </c>
      <c r="J32" s="211"/>
      <c r="K32" s="110">
        <v>0.28125</v>
      </c>
      <c r="L32" s="211"/>
      <c r="M32" s="21"/>
      <c r="N32" s="110">
        <v>0.28125</v>
      </c>
      <c r="O32" s="209"/>
      <c r="P32" s="110">
        <v>0.28125</v>
      </c>
      <c r="Q32" s="209"/>
      <c r="R32" s="110">
        <v>0.28125</v>
      </c>
      <c r="S32" s="211"/>
      <c r="T32" s="21"/>
      <c r="U32" s="110">
        <v>0.28125</v>
      </c>
      <c r="V32" s="209"/>
      <c r="W32" s="110">
        <v>0.28125</v>
      </c>
      <c r="X32" s="209"/>
      <c r="Y32" s="110">
        <v>0.28125</v>
      </c>
      <c r="Z32" s="211"/>
      <c r="AA32" s="21"/>
      <c r="AB32" s="110">
        <v>0.28125</v>
      </c>
      <c r="AC32" s="209"/>
      <c r="AD32" s="110">
        <v>0.28125</v>
      </c>
      <c r="AE32" s="209"/>
      <c r="AF32" s="110">
        <v>0.28125</v>
      </c>
      <c r="AG32" s="211"/>
      <c r="AH32" s="21"/>
      <c r="AI32" s="110">
        <v>0.28125</v>
      </c>
      <c r="AJ32" s="209"/>
      <c r="AK32" s="110">
        <v>0.28125</v>
      </c>
      <c r="AL32" s="209"/>
      <c r="AM32" s="110">
        <v>0.28125</v>
      </c>
      <c r="AN32" s="211"/>
      <c r="AO32" s="21"/>
      <c r="AP32" s="110">
        <v>0.28125</v>
      </c>
      <c r="AQ32" s="209"/>
      <c r="AR32" s="110">
        <v>0.28125</v>
      </c>
      <c r="AS32" s="209"/>
      <c r="AT32" s="110">
        <v>0.28125</v>
      </c>
      <c r="AU32" s="211"/>
      <c r="AV32" s="21"/>
      <c r="AW32" s="110">
        <v>0.28125</v>
      </c>
      <c r="AX32" s="211"/>
      <c r="AY32" s="21"/>
      <c r="AZ32" s="110">
        <v>0.28125</v>
      </c>
      <c r="BA32" s="264"/>
      <c r="BC32" s="260">
        <v>0.28125</v>
      </c>
      <c r="BD32" s="211"/>
      <c r="BE32" s="110">
        <v>0.28125</v>
      </c>
      <c r="BF32" s="211"/>
      <c r="BG32" s="110">
        <v>0.28125</v>
      </c>
      <c r="BH32" s="211"/>
      <c r="BI32" s="21"/>
      <c r="BJ32" s="110">
        <v>0.28125</v>
      </c>
      <c r="BK32" s="209"/>
      <c r="BL32" s="110">
        <v>0.28125</v>
      </c>
      <c r="BM32" s="209"/>
      <c r="BN32" s="110">
        <v>0.28125</v>
      </c>
      <c r="BO32" s="211"/>
      <c r="BP32" s="21"/>
      <c r="BQ32" s="110">
        <v>0.28125</v>
      </c>
      <c r="BR32" s="209"/>
      <c r="BS32" s="110">
        <v>0.28125</v>
      </c>
      <c r="BT32" s="209"/>
      <c r="BU32" s="110">
        <v>0.28125</v>
      </c>
      <c r="BV32" s="211"/>
      <c r="BW32" s="21"/>
      <c r="BX32" s="110">
        <v>0.28125</v>
      </c>
      <c r="BY32" s="209"/>
      <c r="BZ32" s="110">
        <v>0.28125</v>
      </c>
      <c r="CA32" s="209"/>
      <c r="CB32" s="110">
        <v>0.28125</v>
      </c>
      <c r="CC32" s="211"/>
      <c r="CD32" s="21"/>
      <c r="CE32" s="110">
        <v>0.28125</v>
      </c>
      <c r="CF32" s="209"/>
      <c r="CG32" s="110">
        <v>0.28125</v>
      </c>
      <c r="CH32" s="209"/>
      <c r="CI32" s="110">
        <v>0.28125</v>
      </c>
      <c r="CJ32" s="211"/>
      <c r="CK32" s="21"/>
      <c r="CL32" s="110">
        <v>0.28125</v>
      </c>
      <c r="CM32" s="209"/>
      <c r="CN32" s="110">
        <v>0.28125</v>
      </c>
      <c r="CO32" s="209"/>
      <c r="CP32" s="110">
        <v>0.28125</v>
      </c>
      <c r="CQ32" s="211"/>
      <c r="CR32" s="21"/>
      <c r="CS32" s="110">
        <v>0.28125</v>
      </c>
      <c r="CT32" s="211"/>
      <c r="CU32" s="21"/>
      <c r="CV32" s="110">
        <v>0.28125</v>
      </c>
      <c r="CW32" s="264"/>
      <c r="CY32" s="260">
        <v>0.28125</v>
      </c>
      <c r="CZ32" s="178"/>
      <c r="DA32" s="110">
        <v>0.28125</v>
      </c>
      <c r="DB32" s="263"/>
      <c r="DC32" s="110">
        <v>0.28125</v>
      </c>
      <c r="DD32" s="211"/>
      <c r="DE32" s="21"/>
      <c r="DF32" s="110">
        <v>0.28125</v>
      </c>
      <c r="DG32" s="209"/>
      <c r="DH32" s="110">
        <v>0.28125</v>
      </c>
      <c r="DI32" s="209"/>
      <c r="DJ32" s="110">
        <v>0.28125</v>
      </c>
      <c r="DK32" s="211"/>
      <c r="DL32" s="21"/>
      <c r="DM32" s="110">
        <v>0.28125</v>
      </c>
      <c r="DN32" s="209"/>
      <c r="DO32" s="110">
        <v>0.28125</v>
      </c>
      <c r="DP32" s="209"/>
      <c r="DQ32" s="110">
        <v>0.28125</v>
      </c>
      <c r="DR32" s="211"/>
      <c r="DS32" s="21"/>
      <c r="DT32" s="110">
        <v>0.28125</v>
      </c>
      <c r="DU32" s="209"/>
      <c r="DV32" s="110">
        <v>0.28125</v>
      </c>
      <c r="DW32" s="209"/>
      <c r="DX32" s="110">
        <v>0.28125</v>
      </c>
      <c r="DY32" s="211"/>
      <c r="DZ32" s="21"/>
      <c r="EA32" s="110">
        <v>0.28125</v>
      </c>
      <c r="EB32" s="209">
        <f>IF('Temperature Profiles'!AA31&gt;18,(0.0018*('Temperature Profiles'!AA31^2)-(0.0475*'Temperature Profiles'!AA31)+0.3123)*1000,IF(AND('Temperature Profiles'!AA31&lt;17,'Temperature Profiles'!AA31&gt;-5.6),(0.0021*('Temperature Profiles'!AA31^2)-(0.0919*'Temperature Profiles'!AA31)+1.0491)*1000,IF(AND('Temperature Profiles'!AA31&lt;-5.6,'Temperature Profiles'!AA31&gt;-11.4),(((-0.2925*'Temperature Profiles'!AA31)-1.6914)*1000)+EB$208,IF('Temperature Profiles'!AA31&lt;-11.4,EB135,0))))</f>
        <v>0</v>
      </c>
      <c r="EC32" s="110">
        <v>0.28125</v>
      </c>
      <c r="ED32" s="209">
        <f>IF('Temperature Profiles'!AA31&gt;18,(0.0034*('Temperature Profiles'!AA31^2)-(0.087*'Temperature Profiles'!AA31)+0.5117)*1000,IF(AND('Temperature Profiles'!AA31&lt;17,'Temperature Profiles'!AA31&gt;-4.4),(0.0027*('Temperature Profiles'!AA31^2)-(0.149*'Temperature Profiles'!AA31)+1.7779)*1000,IF(AND('Temperature Profiles'!AA31&lt;-4.4,'Temperature Profiles'!AA31&gt;-8.5),(((-0.5391*'Temperature Profiles'!AA31)-2.0906)*1000)+ED$208,IF('Temperature Profiles'!AA31&lt;-8.5,ED135,0))))</f>
        <v>0</v>
      </c>
      <c r="EE32" s="110">
        <v>0.28125</v>
      </c>
      <c r="EF32" s="211">
        <f>IF('Temperature Profiles'!AA31&gt;18,(0.0048*('Temperature Profiles'!AA31^2)-(0.1352*'Temperature Profiles'!AA31)+0.9193)*1000,IF(AND('Temperature Profiles'!AA31&lt;17,'Temperature Profiles'!AA31&gt;-4.4),(0.0031*('Temperature Profiles'!AA31^2)-(0.2029*'Temperature Profiles'!AA31)+2.4264)*1000,IF(AND('Temperature Profiles'!AA31&lt;-4.4,'Temperature Profiles'!AA31&gt;-8.5),(((-0.7516*'Temperature Profiles'!AA31)-2.9985)*1000)+EF$208,IF('Temperature Profiles'!AA31&lt;-8.5,EF135,0))))</f>
        <v>0</v>
      </c>
      <c r="EG32" s="21"/>
      <c r="EH32" s="110">
        <v>0.28125</v>
      </c>
      <c r="EI32" s="211"/>
      <c r="EJ32" s="110">
        <v>0.28125</v>
      </c>
      <c r="EK32" s="211"/>
      <c r="EL32" s="110">
        <v>0.28125</v>
      </c>
      <c r="EM32" s="211"/>
      <c r="EN32" s="21"/>
      <c r="EO32" s="110">
        <v>0.28125</v>
      </c>
      <c r="EP32" s="211"/>
      <c r="EQ32" s="21"/>
      <c r="ER32" s="110">
        <v>0.28125</v>
      </c>
      <c r="ES32" s="264"/>
      <c r="EU32" s="260">
        <v>0.28125</v>
      </c>
      <c r="EV32" s="209">
        <f>IF('Temperature Profiles'!AA31&gt;18,(0.0018*('Temperature Profiles'!AA31^2)-(0.0475*'Temperature Profiles'!AA31)+0.3123)*1000,IF(AND('Temperature Profiles'!AA31&lt;17,'Temperature Profiles'!AA31&gt;-5.6),(0.0021*('Temperature Profiles'!AA31^2)-(0.0919*'Temperature Profiles'!AA31)+1.0491)*1000,IF(AND('Temperature Profiles'!AA31&lt;-5.6,'Temperature Profiles'!AA31&gt;-11.4),EV$208,IF('Temperature Profiles'!AA31&lt;-11.4,EV135,0))))</f>
        <v>0</v>
      </c>
      <c r="EW32" s="110">
        <v>0.28125</v>
      </c>
      <c r="EX32" s="209">
        <f>IF('Temperature Profiles'!AA31&gt;18,(0.0034*('Temperature Profiles'!AA31^2)-(0.087*'Temperature Profiles'!AA31)+0.5117)*1000,IF(AND('Temperature Profiles'!AA31&lt;17,'Temperature Profiles'!AA31&gt;-4.4),(0.0027*('Temperature Profiles'!AA31^2)-(0.149*'Temperature Profiles'!AA31)+1.7779)*1000,IF(AND('Temperature Profiles'!AA31&lt;-4.4,'Temperature Profiles'!AA31&gt;-8.5),EX$208,IF('Temperature Profiles'!AA31&lt;-8.5,EX135,0))))</f>
        <v>0</v>
      </c>
      <c r="EY32" s="110">
        <v>0.28125</v>
      </c>
      <c r="EZ32" s="264">
        <f>IF('Temperature Profiles'!AA31&gt;18,(0.0048*('Temperature Profiles'!AA31^2)-(0.1352*'Temperature Profiles'!AA31)+0.9193)*1000,IF(AND('Temperature Profiles'!AA31&lt;17,'Temperature Profiles'!AA31&gt;-4.4),(0.0031*('Temperature Profiles'!AA31^2)-(0.2029*'Temperature Profiles'!AA31)+2.4264)*1000,IF(AND('Temperature Profiles'!AA31&lt;-4.4,'Temperature Profiles'!AA31&gt;-8.5),EZ$208,IF('Temperature Profiles'!AA31&lt;-8.5,EZ135,0))))</f>
        <v>0</v>
      </c>
    </row>
    <row r="33" spans="1:156" x14ac:dyDescent="0.3">
      <c r="A33" s="108">
        <v>0.28125</v>
      </c>
      <c r="B33" s="226">
        <f t="shared" si="0"/>
        <v>0</v>
      </c>
      <c r="C33" s="21">
        <f t="shared" si="1"/>
        <v>0</v>
      </c>
      <c r="D33" s="21">
        <f t="shared" si="2"/>
        <v>0</v>
      </c>
      <c r="E33" s="20">
        <f t="shared" si="3"/>
        <v>0</v>
      </c>
      <c r="G33" s="260">
        <v>0.29166666666666702</v>
      </c>
      <c r="H33" s="211"/>
      <c r="I33" s="110">
        <v>0.29166666666666702</v>
      </c>
      <c r="J33" s="211"/>
      <c r="K33" s="110">
        <v>0.29166666666666702</v>
      </c>
      <c r="L33" s="211"/>
      <c r="M33" s="21"/>
      <c r="N33" s="110">
        <v>0.29166666666666702</v>
      </c>
      <c r="O33" s="209"/>
      <c r="P33" s="110">
        <v>0.29166666666666702</v>
      </c>
      <c r="Q33" s="209"/>
      <c r="R33" s="110">
        <v>0.29166666666666702</v>
      </c>
      <c r="S33" s="211"/>
      <c r="T33" s="21"/>
      <c r="U33" s="110">
        <v>0.29166666666666702</v>
      </c>
      <c r="V33" s="209"/>
      <c r="W33" s="110">
        <v>0.29166666666666702</v>
      </c>
      <c r="X33" s="209"/>
      <c r="Y33" s="110">
        <v>0.29166666666666702</v>
      </c>
      <c r="Z33" s="211"/>
      <c r="AA33" s="21"/>
      <c r="AB33" s="110">
        <v>0.29166666666666702</v>
      </c>
      <c r="AC33" s="209"/>
      <c r="AD33" s="110">
        <v>0.29166666666666702</v>
      </c>
      <c r="AE33" s="209"/>
      <c r="AF33" s="110">
        <v>0.29166666666666702</v>
      </c>
      <c r="AG33" s="211"/>
      <c r="AH33" s="21"/>
      <c r="AI33" s="110">
        <v>0.29166666666666702</v>
      </c>
      <c r="AJ33" s="209"/>
      <c r="AK33" s="110">
        <v>0.29166666666666702</v>
      </c>
      <c r="AL33" s="209"/>
      <c r="AM33" s="110">
        <v>0.29166666666666702</v>
      </c>
      <c r="AN33" s="211"/>
      <c r="AO33" s="21"/>
      <c r="AP33" s="110">
        <v>0.29166666666666702</v>
      </c>
      <c r="AQ33" s="209"/>
      <c r="AR33" s="110">
        <v>0.29166666666666702</v>
      </c>
      <c r="AS33" s="209"/>
      <c r="AT33" s="110">
        <v>0.29166666666666702</v>
      </c>
      <c r="AU33" s="211"/>
      <c r="AV33" s="21"/>
      <c r="AW33" s="110">
        <v>0.29166666666666702</v>
      </c>
      <c r="AX33" s="211"/>
      <c r="AY33" s="21"/>
      <c r="AZ33" s="110">
        <v>0.29166666666666702</v>
      </c>
      <c r="BA33" s="264"/>
      <c r="BC33" s="260">
        <v>0.29166666666666702</v>
      </c>
      <c r="BD33" s="211"/>
      <c r="BE33" s="110">
        <v>0.29166666666666702</v>
      </c>
      <c r="BF33" s="211"/>
      <c r="BG33" s="110">
        <v>0.29166666666666702</v>
      </c>
      <c r="BH33" s="211"/>
      <c r="BI33" s="21"/>
      <c r="BJ33" s="110">
        <v>0.29166666666666702</v>
      </c>
      <c r="BK33" s="209"/>
      <c r="BL33" s="110">
        <v>0.29166666666666702</v>
      </c>
      <c r="BM33" s="209"/>
      <c r="BN33" s="110">
        <v>0.29166666666666702</v>
      </c>
      <c r="BO33" s="211"/>
      <c r="BP33" s="21"/>
      <c r="BQ33" s="110">
        <v>0.29166666666666702</v>
      </c>
      <c r="BR33" s="209"/>
      <c r="BS33" s="110">
        <v>0.29166666666666702</v>
      </c>
      <c r="BT33" s="209"/>
      <c r="BU33" s="110">
        <v>0.29166666666666702</v>
      </c>
      <c r="BV33" s="211"/>
      <c r="BW33" s="21"/>
      <c r="BX33" s="110">
        <v>0.29166666666666702</v>
      </c>
      <c r="BY33" s="209"/>
      <c r="BZ33" s="110">
        <v>0.29166666666666702</v>
      </c>
      <c r="CA33" s="209"/>
      <c r="CB33" s="110">
        <v>0.29166666666666702</v>
      </c>
      <c r="CC33" s="211"/>
      <c r="CD33" s="21"/>
      <c r="CE33" s="110">
        <v>0.29166666666666702</v>
      </c>
      <c r="CF33" s="209"/>
      <c r="CG33" s="110">
        <v>0.29166666666666702</v>
      </c>
      <c r="CH33" s="209"/>
      <c r="CI33" s="110">
        <v>0.29166666666666702</v>
      </c>
      <c r="CJ33" s="211"/>
      <c r="CK33" s="21"/>
      <c r="CL33" s="110">
        <v>0.29166666666666702</v>
      </c>
      <c r="CM33" s="209"/>
      <c r="CN33" s="110">
        <v>0.29166666666666702</v>
      </c>
      <c r="CO33" s="209"/>
      <c r="CP33" s="110">
        <v>0.29166666666666702</v>
      </c>
      <c r="CQ33" s="211"/>
      <c r="CR33" s="21"/>
      <c r="CS33" s="110">
        <v>0.29166666666666702</v>
      </c>
      <c r="CT33" s="211"/>
      <c r="CU33" s="21"/>
      <c r="CV33" s="110">
        <v>0.29166666666666702</v>
      </c>
      <c r="CW33" s="264"/>
      <c r="CY33" s="260">
        <v>0.29166666666666702</v>
      </c>
      <c r="CZ33" s="178"/>
      <c r="DA33" s="110">
        <v>0.29166666666666702</v>
      </c>
      <c r="DB33" s="263"/>
      <c r="DC33" s="110">
        <v>0.29166666666666702</v>
      </c>
      <c r="DD33" s="211"/>
      <c r="DE33" s="21"/>
      <c r="DF33" s="110">
        <v>0.29166666666666702</v>
      </c>
      <c r="DG33" s="209"/>
      <c r="DH33" s="110">
        <v>0.29166666666666702</v>
      </c>
      <c r="DI33" s="209"/>
      <c r="DJ33" s="110">
        <v>0.29166666666666702</v>
      </c>
      <c r="DK33" s="211"/>
      <c r="DL33" s="21"/>
      <c r="DM33" s="110">
        <v>0.29166666666666702</v>
      </c>
      <c r="DN33" s="209"/>
      <c r="DO33" s="110">
        <v>0.29166666666666702</v>
      </c>
      <c r="DP33" s="209"/>
      <c r="DQ33" s="110">
        <v>0.29166666666666702</v>
      </c>
      <c r="DR33" s="211"/>
      <c r="DS33" s="21"/>
      <c r="DT33" s="110">
        <v>0.29166666666666702</v>
      </c>
      <c r="DU33" s="209"/>
      <c r="DV33" s="110">
        <v>0.29166666666666702</v>
      </c>
      <c r="DW33" s="209"/>
      <c r="DX33" s="110">
        <v>0.29166666666666702</v>
      </c>
      <c r="DY33" s="211"/>
      <c r="DZ33" s="21"/>
      <c r="EA33" s="110">
        <v>0.29166666666666702</v>
      </c>
      <c r="EB33" s="209">
        <f>IF('Temperature Profiles'!AA32&gt;18,(0.0018*('Temperature Profiles'!AA32^2)-(0.0475*'Temperature Profiles'!AA32)+0.3123)*1000,IF(AND('Temperature Profiles'!AA32&lt;17,'Temperature Profiles'!AA32&gt;-5.6),(0.0021*('Temperature Profiles'!AA32^2)-(0.0919*'Temperature Profiles'!AA32)+1.0491)*1000,IF(AND('Temperature Profiles'!AA32&lt;-5.6,'Temperature Profiles'!AA32&gt;-11.4),(((-0.2925*'Temperature Profiles'!AA32)-1.6914)*1000)+EB$208,IF('Temperature Profiles'!AA32&lt;-11.4,EB136,0))))</f>
        <v>6900</v>
      </c>
      <c r="EC33" s="110">
        <v>0.29166666666666702</v>
      </c>
      <c r="ED33" s="209">
        <f>IF('Temperature Profiles'!AA32&gt;18,(0.0034*('Temperature Profiles'!AA32^2)-(0.087*'Temperature Profiles'!AA32)+0.5117)*1000,IF(AND('Temperature Profiles'!AA32&lt;17,'Temperature Profiles'!AA32&gt;-4.4),(0.0027*('Temperature Profiles'!AA32^2)-(0.149*'Temperature Profiles'!AA32)+1.7779)*1000,IF(AND('Temperature Profiles'!AA32&lt;-4.4,'Temperature Profiles'!AA32&gt;-8.5),(((-0.5391*'Temperature Profiles'!AA32)-2.0906)*1000)+ED$208,IF('Temperature Profiles'!AA32&lt;-8.5,ED136,0))))</f>
        <v>12300</v>
      </c>
      <c r="EE33" s="110">
        <v>0.29166666666666702</v>
      </c>
      <c r="EF33" s="211">
        <f>IF('Temperature Profiles'!AA32&gt;18,(0.0048*('Temperature Profiles'!AA32^2)-(0.1352*'Temperature Profiles'!AA32)+0.9193)*1000,IF(AND('Temperature Profiles'!AA32&lt;17,'Temperature Profiles'!AA32&gt;-4.4),(0.0031*('Temperature Profiles'!AA32^2)-(0.2029*'Temperature Profiles'!AA32)+2.4264)*1000,IF(AND('Temperature Profiles'!AA32&lt;-4.4,'Temperature Profiles'!AA32&gt;-8.5),(((-0.7516*'Temperature Profiles'!AA32)-2.9985)*1000)+EF$208,IF('Temperature Profiles'!AA32&lt;-8.5,EF136,0))))</f>
        <v>16000</v>
      </c>
      <c r="EG33" s="21"/>
      <c r="EH33" s="110">
        <v>0.29166666666666702</v>
      </c>
      <c r="EI33" s="211"/>
      <c r="EJ33" s="110">
        <v>0.29166666666666702</v>
      </c>
      <c r="EK33" s="211"/>
      <c r="EL33" s="110">
        <v>0.29166666666666702</v>
      </c>
      <c r="EM33" s="211"/>
      <c r="EN33" s="21"/>
      <c r="EO33" s="110">
        <v>0.29166666666666702</v>
      </c>
      <c r="EP33" s="211"/>
      <c r="EQ33" s="21"/>
      <c r="ER33" s="110">
        <v>0.29166666666666702</v>
      </c>
      <c r="ES33" s="264"/>
      <c r="EU33" s="260">
        <v>0.29166666666666702</v>
      </c>
      <c r="EV33" s="209">
        <f>IF('Temperature Profiles'!AA32&gt;18,(0.0018*('Temperature Profiles'!AA32^2)-(0.0475*'Temperature Profiles'!AA32)+0.3123)*1000,IF(AND('Temperature Profiles'!AA32&lt;17,'Temperature Profiles'!AA32&gt;-5.6),(0.0021*('Temperature Profiles'!AA32^2)-(0.0919*'Temperature Profiles'!AA32)+1.0491)*1000,IF(AND('Temperature Profiles'!AA32&lt;-5.6,'Temperature Profiles'!AA32&gt;-11.4),EV$208,IF('Temperature Profiles'!AA32&lt;-11.4,EV136,0))))</f>
        <v>5400</v>
      </c>
      <c r="EW33" s="110">
        <v>0.29166666666666702</v>
      </c>
      <c r="EX33" s="209">
        <f>IF('Temperature Profiles'!AA32&gt;18,(0.0034*('Temperature Profiles'!AA32^2)-(0.087*'Temperature Profiles'!AA32)+0.5117)*1000,IF(AND('Temperature Profiles'!AA32&lt;17,'Temperature Profiles'!AA32&gt;-4.4),(0.0027*('Temperature Profiles'!AA32^2)-(0.149*'Temperature Profiles'!AA32)+1.7779)*1000,IF(AND('Temperature Profiles'!AA32&lt;-4.4,'Temperature Profiles'!AA32&gt;-8.5),EX$208,IF('Temperature Profiles'!AA32&lt;-8.5,EX136,0))))</f>
        <v>5400</v>
      </c>
      <c r="EY33" s="110">
        <v>0.29166666666666702</v>
      </c>
      <c r="EZ33" s="264">
        <f>IF('Temperature Profiles'!AA32&gt;18,(0.0048*('Temperature Profiles'!AA32^2)-(0.1352*'Temperature Profiles'!AA32)+0.9193)*1000,IF(AND('Temperature Profiles'!AA32&lt;17,'Temperature Profiles'!AA32&gt;-4.4),(0.0031*('Temperature Profiles'!AA32^2)-(0.2029*'Temperature Profiles'!AA32)+2.4264)*1000,IF(AND('Temperature Profiles'!AA32&lt;-4.4,'Temperature Profiles'!AA32&gt;-8.5),EZ$208,IF('Temperature Profiles'!AA32&lt;-8.5,EZ136,0))))</f>
        <v>5400</v>
      </c>
    </row>
    <row r="34" spans="1:156" x14ac:dyDescent="0.3">
      <c r="A34" s="108">
        <v>0.29166666666666702</v>
      </c>
      <c r="B34" s="226">
        <f t="shared" si="0"/>
        <v>0</v>
      </c>
      <c r="C34" s="21">
        <f t="shared" si="1"/>
        <v>0</v>
      </c>
      <c r="D34" s="21">
        <f t="shared" si="2"/>
        <v>16000</v>
      </c>
      <c r="E34" s="20">
        <f t="shared" si="3"/>
        <v>5400</v>
      </c>
      <c r="G34" s="260">
        <v>0.30208333333333298</v>
      </c>
      <c r="H34" s="211"/>
      <c r="I34" s="110">
        <v>0.30208333333333298</v>
      </c>
      <c r="J34" s="211"/>
      <c r="K34" s="110">
        <v>0.30208333333333298</v>
      </c>
      <c r="L34" s="211"/>
      <c r="M34" s="21"/>
      <c r="N34" s="110">
        <v>0.30208333333333298</v>
      </c>
      <c r="O34" s="209"/>
      <c r="P34" s="110">
        <v>0.30208333333333298</v>
      </c>
      <c r="Q34" s="209"/>
      <c r="R34" s="110">
        <v>0.30208333333333298</v>
      </c>
      <c r="S34" s="211"/>
      <c r="T34" s="21"/>
      <c r="U34" s="110">
        <v>0.30208333333333298</v>
      </c>
      <c r="V34" s="209"/>
      <c r="W34" s="110">
        <v>0.30208333333333298</v>
      </c>
      <c r="X34" s="209"/>
      <c r="Y34" s="110">
        <v>0.30208333333333298</v>
      </c>
      <c r="Z34" s="211"/>
      <c r="AA34" s="21"/>
      <c r="AB34" s="110">
        <v>0.30208333333333298</v>
      </c>
      <c r="AC34" s="209"/>
      <c r="AD34" s="110">
        <v>0.30208333333333298</v>
      </c>
      <c r="AE34" s="209"/>
      <c r="AF34" s="110">
        <v>0.30208333333333298</v>
      </c>
      <c r="AG34" s="211"/>
      <c r="AH34" s="21"/>
      <c r="AI34" s="110">
        <v>0.30208333333333298</v>
      </c>
      <c r="AJ34" s="209"/>
      <c r="AK34" s="110">
        <v>0.30208333333333298</v>
      </c>
      <c r="AL34" s="209"/>
      <c r="AM34" s="110">
        <v>0.30208333333333298</v>
      </c>
      <c r="AN34" s="211"/>
      <c r="AO34" s="21"/>
      <c r="AP34" s="110">
        <v>0.30208333333333298</v>
      </c>
      <c r="AQ34" s="209"/>
      <c r="AR34" s="110">
        <v>0.30208333333333298</v>
      </c>
      <c r="AS34" s="209"/>
      <c r="AT34" s="110">
        <v>0.30208333333333298</v>
      </c>
      <c r="AU34" s="211"/>
      <c r="AV34" s="21"/>
      <c r="AW34" s="110">
        <v>0.30208333333333298</v>
      </c>
      <c r="AX34" s="211"/>
      <c r="AY34" s="21"/>
      <c r="AZ34" s="110">
        <v>0.30208333333333298</v>
      </c>
      <c r="BA34" s="264"/>
      <c r="BC34" s="260">
        <v>0.30208333333333298</v>
      </c>
      <c r="BD34" s="211"/>
      <c r="BE34" s="110">
        <v>0.30208333333333298</v>
      </c>
      <c r="BF34" s="211"/>
      <c r="BG34" s="110">
        <v>0.30208333333333298</v>
      </c>
      <c r="BH34" s="211"/>
      <c r="BI34" s="21"/>
      <c r="BJ34" s="110">
        <v>0.30208333333333298</v>
      </c>
      <c r="BK34" s="209"/>
      <c r="BL34" s="110">
        <v>0.30208333333333298</v>
      </c>
      <c r="BM34" s="209"/>
      <c r="BN34" s="110">
        <v>0.30208333333333298</v>
      </c>
      <c r="BO34" s="211"/>
      <c r="BP34" s="21"/>
      <c r="BQ34" s="110">
        <v>0.30208333333333298</v>
      </c>
      <c r="BR34" s="209"/>
      <c r="BS34" s="110">
        <v>0.30208333333333298</v>
      </c>
      <c r="BT34" s="209"/>
      <c r="BU34" s="110">
        <v>0.30208333333333298</v>
      </c>
      <c r="BV34" s="211"/>
      <c r="BW34" s="21"/>
      <c r="BX34" s="110">
        <v>0.30208333333333298</v>
      </c>
      <c r="BY34" s="209"/>
      <c r="BZ34" s="110">
        <v>0.30208333333333298</v>
      </c>
      <c r="CA34" s="209"/>
      <c r="CB34" s="110">
        <v>0.30208333333333298</v>
      </c>
      <c r="CC34" s="211"/>
      <c r="CD34" s="21"/>
      <c r="CE34" s="110">
        <v>0.30208333333333298</v>
      </c>
      <c r="CF34" s="209"/>
      <c r="CG34" s="110">
        <v>0.30208333333333298</v>
      </c>
      <c r="CH34" s="209"/>
      <c r="CI34" s="110">
        <v>0.30208333333333298</v>
      </c>
      <c r="CJ34" s="211"/>
      <c r="CK34" s="21"/>
      <c r="CL34" s="110">
        <v>0.30208333333333298</v>
      </c>
      <c r="CM34" s="209"/>
      <c r="CN34" s="110">
        <v>0.30208333333333298</v>
      </c>
      <c r="CO34" s="209"/>
      <c r="CP34" s="110">
        <v>0.30208333333333298</v>
      </c>
      <c r="CQ34" s="211"/>
      <c r="CR34" s="21"/>
      <c r="CS34" s="110">
        <v>0.30208333333333298</v>
      </c>
      <c r="CT34" s="211"/>
      <c r="CU34" s="21"/>
      <c r="CV34" s="110">
        <v>0.30208333333333298</v>
      </c>
      <c r="CW34" s="264"/>
      <c r="CY34" s="260">
        <v>0.30208333333333298</v>
      </c>
      <c r="CZ34" s="178"/>
      <c r="DA34" s="110">
        <v>0.30208333333333298</v>
      </c>
      <c r="DB34" s="263"/>
      <c r="DC34" s="110">
        <v>0.30208333333333298</v>
      </c>
      <c r="DD34" s="211"/>
      <c r="DE34" s="21"/>
      <c r="DF34" s="110">
        <v>0.30208333333333298</v>
      </c>
      <c r="DG34" s="209"/>
      <c r="DH34" s="110">
        <v>0.30208333333333298</v>
      </c>
      <c r="DI34" s="209"/>
      <c r="DJ34" s="110">
        <v>0.30208333333333298</v>
      </c>
      <c r="DK34" s="211"/>
      <c r="DL34" s="21"/>
      <c r="DM34" s="110">
        <v>0.30208333333333298</v>
      </c>
      <c r="DN34" s="209"/>
      <c r="DO34" s="110">
        <v>0.30208333333333298</v>
      </c>
      <c r="DP34" s="209"/>
      <c r="DQ34" s="110">
        <v>0.30208333333333298</v>
      </c>
      <c r="DR34" s="211"/>
      <c r="DS34" s="21"/>
      <c r="DT34" s="110">
        <v>0.30208333333333298</v>
      </c>
      <c r="DU34" s="209"/>
      <c r="DV34" s="110">
        <v>0.30208333333333298</v>
      </c>
      <c r="DW34" s="209"/>
      <c r="DX34" s="110">
        <v>0.30208333333333298</v>
      </c>
      <c r="DY34" s="211"/>
      <c r="DZ34" s="21"/>
      <c r="EA34" s="110">
        <v>0.30208333333333298</v>
      </c>
      <c r="EB34" s="209">
        <f>IF('Temperature Profiles'!AA33&gt;18,(0.0018*('Temperature Profiles'!AA33^2)-(0.0475*'Temperature Profiles'!AA33)+0.3123)*1000,IF(AND('Temperature Profiles'!AA33&lt;17,'Temperature Profiles'!AA33&gt;-5.6),(0.0021*('Temperature Profiles'!AA33^2)-(0.0919*'Temperature Profiles'!AA33)+1.0491)*1000,IF(AND('Temperature Profiles'!AA33&lt;-5.6,'Temperature Profiles'!AA33&gt;-11.4),(((-0.2925*'Temperature Profiles'!AA33)-1.6914)*1000)+EB$208,IF('Temperature Profiles'!AA33&lt;-11.4,EB137,0))))</f>
        <v>6900</v>
      </c>
      <c r="EC34" s="110">
        <v>0.30208333333333298</v>
      </c>
      <c r="ED34" s="209">
        <f>IF('Temperature Profiles'!AA33&gt;18,(0.0034*('Temperature Profiles'!AA33^2)-(0.087*'Temperature Profiles'!AA33)+0.5117)*1000,IF(AND('Temperature Profiles'!AA33&lt;17,'Temperature Profiles'!AA33&gt;-4.4),(0.0027*('Temperature Profiles'!AA33^2)-(0.149*'Temperature Profiles'!AA33)+1.7779)*1000,IF(AND('Temperature Profiles'!AA33&lt;-4.4,'Temperature Profiles'!AA33&gt;-8.5),(((-0.5391*'Temperature Profiles'!AA33)-2.0906)*1000)+ED$208,IF('Temperature Profiles'!AA33&lt;-8.5,ED137,0))))</f>
        <v>12300</v>
      </c>
      <c r="EE34" s="110">
        <v>0.30208333333333298</v>
      </c>
      <c r="EF34" s="211">
        <f>IF('Temperature Profiles'!AA33&gt;18,(0.0048*('Temperature Profiles'!AA33^2)-(0.1352*'Temperature Profiles'!AA33)+0.9193)*1000,IF(AND('Temperature Profiles'!AA33&lt;17,'Temperature Profiles'!AA33&gt;-4.4),(0.0031*('Temperature Profiles'!AA33^2)-(0.2029*'Temperature Profiles'!AA33)+2.4264)*1000,IF(AND('Temperature Profiles'!AA33&lt;-4.4,'Temperature Profiles'!AA33&gt;-8.5),(((-0.7516*'Temperature Profiles'!AA33)-2.9985)*1000)+EF$208,IF('Temperature Profiles'!AA33&lt;-8.5,EF137,0))))</f>
        <v>16000</v>
      </c>
      <c r="EG34" s="21"/>
      <c r="EH34" s="110">
        <v>0.30208333333333298</v>
      </c>
      <c r="EI34" s="211"/>
      <c r="EJ34" s="110">
        <v>0.30208333333333298</v>
      </c>
      <c r="EK34" s="211"/>
      <c r="EL34" s="110">
        <v>0.30208333333333298</v>
      </c>
      <c r="EM34" s="211"/>
      <c r="EN34" s="21"/>
      <c r="EO34" s="110">
        <v>0.30208333333333298</v>
      </c>
      <c r="EP34" s="211"/>
      <c r="EQ34" s="21"/>
      <c r="ER34" s="110">
        <v>0.30208333333333298</v>
      </c>
      <c r="ES34" s="264"/>
      <c r="EU34" s="260">
        <v>0.30208333333333298</v>
      </c>
      <c r="EV34" s="209">
        <f>IF('Temperature Profiles'!AA33&gt;18,(0.0018*('Temperature Profiles'!AA33^2)-(0.0475*'Temperature Profiles'!AA33)+0.3123)*1000,IF(AND('Temperature Profiles'!AA33&lt;17,'Temperature Profiles'!AA33&gt;-5.6),(0.0021*('Temperature Profiles'!AA33^2)-(0.0919*'Temperature Profiles'!AA33)+1.0491)*1000,IF(AND('Temperature Profiles'!AA33&lt;-5.6,'Temperature Profiles'!AA33&gt;-11.4),EV$208,IF('Temperature Profiles'!AA33&lt;-11.4,EV137,0))))</f>
        <v>5400</v>
      </c>
      <c r="EW34" s="110">
        <v>0.30208333333333298</v>
      </c>
      <c r="EX34" s="209">
        <f>IF('Temperature Profiles'!AA33&gt;18,(0.0034*('Temperature Profiles'!AA33^2)-(0.087*'Temperature Profiles'!AA33)+0.5117)*1000,IF(AND('Temperature Profiles'!AA33&lt;17,'Temperature Profiles'!AA33&gt;-4.4),(0.0027*('Temperature Profiles'!AA33^2)-(0.149*'Temperature Profiles'!AA33)+1.7779)*1000,IF(AND('Temperature Profiles'!AA33&lt;-4.4,'Temperature Profiles'!AA33&gt;-8.5),EX$208,IF('Temperature Profiles'!AA33&lt;-8.5,EX137,0))))</f>
        <v>5400</v>
      </c>
      <c r="EY34" s="110">
        <v>0.30208333333333298</v>
      </c>
      <c r="EZ34" s="264">
        <f>IF('Temperature Profiles'!AA33&gt;18,(0.0048*('Temperature Profiles'!AA33^2)-(0.1352*'Temperature Profiles'!AA33)+0.9193)*1000,IF(AND('Temperature Profiles'!AA33&lt;17,'Temperature Profiles'!AA33&gt;-4.4),(0.0031*('Temperature Profiles'!AA33^2)-(0.2029*'Temperature Profiles'!AA33)+2.4264)*1000,IF(AND('Temperature Profiles'!AA33&lt;-4.4,'Temperature Profiles'!AA33&gt;-8.5),EZ$208,IF('Temperature Profiles'!AA33&lt;-8.5,EZ137,0))))</f>
        <v>5400</v>
      </c>
    </row>
    <row r="35" spans="1:156" x14ac:dyDescent="0.3">
      <c r="A35" s="108">
        <v>0.30208333333333298</v>
      </c>
      <c r="B35" s="226">
        <f t="shared" si="0"/>
        <v>0</v>
      </c>
      <c r="C35" s="21">
        <f t="shared" si="1"/>
        <v>0</v>
      </c>
      <c r="D35" s="21">
        <f t="shared" si="2"/>
        <v>16000</v>
      </c>
      <c r="E35" s="20">
        <f t="shared" si="3"/>
        <v>5400</v>
      </c>
      <c r="G35" s="260">
        <v>0.3125</v>
      </c>
      <c r="H35" s="211"/>
      <c r="I35" s="110">
        <v>0.3125</v>
      </c>
      <c r="J35" s="211"/>
      <c r="K35" s="110">
        <v>0.3125</v>
      </c>
      <c r="L35" s="211"/>
      <c r="M35" s="21"/>
      <c r="N35" s="110">
        <v>0.3125</v>
      </c>
      <c r="O35" s="209"/>
      <c r="P35" s="110">
        <v>0.3125</v>
      </c>
      <c r="Q35" s="209"/>
      <c r="R35" s="110">
        <v>0.3125</v>
      </c>
      <c r="S35" s="211"/>
      <c r="T35" s="21"/>
      <c r="U35" s="110">
        <v>0.3125</v>
      </c>
      <c r="V35" s="209"/>
      <c r="W35" s="110">
        <v>0.3125</v>
      </c>
      <c r="X35" s="209"/>
      <c r="Y35" s="110">
        <v>0.3125</v>
      </c>
      <c r="Z35" s="211"/>
      <c r="AA35" s="21"/>
      <c r="AB35" s="110">
        <v>0.3125</v>
      </c>
      <c r="AC35" s="209"/>
      <c r="AD35" s="110">
        <v>0.3125</v>
      </c>
      <c r="AE35" s="209"/>
      <c r="AF35" s="110">
        <v>0.3125</v>
      </c>
      <c r="AG35" s="211"/>
      <c r="AH35" s="21"/>
      <c r="AI35" s="110">
        <v>0.3125</v>
      </c>
      <c r="AJ35" s="209"/>
      <c r="AK35" s="110">
        <v>0.3125</v>
      </c>
      <c r="AL35" s="209"/>
      <c r="AM35" s="110">
        <v>0.3125</v>
      </c>
      <c r="AN35" s="211"/>
      <c r="AO35" s="21"/>
      <c r="AP35" s="110">
        <v>0.3125</v>
      </c>
      <c r="AQ35" s="209"/>
      <c r="AR35" s="110">
        <v>0.3125</v>
      </c>
      <c r="AS35" s="209"/>
      <c r="AT35" s="110">
        <v>0.3125</v>
      </c>
      <c r="AU35" s="211"/>
      <c r="AV35" s="21"/>
      <c r="AW35" s="110">
        <v>0.3125</v>
      </c>
      <c r="AX35" s="211"/>
      <c r="AY35" s="21"/>
      <c r="AZ35" s="110">
        <v>0.3125</v>
      </c>
      <c r="BA35" s="264"/>
      <c r="BC35" s="260">
        <v>0.3125</v>
      </c>
      <c r="BD35" s="211"/>
      <c r="BE35" s="110">
        <v>0.3125</v>
      </c>
      <c r="BF35" s="211"/>
      <c r="BG35" s="110">
        <v>0.3125</v>
      </c>
      <c r="BH35" s="211"/>
      <c r="BI35" s="21"/>
      <c r="BJ35" s="110">
        <v>0.3125</v>
      </c>
      <c r="BK35" s="209"/>
      <c r="BL35" s="110">
        <v>0.3125</v>
      </c>
      <c r="BM35" s="209"/>
      <c r="BN35" s="110">
        <v>0.3125</v>
      </c>
      <c r="BO35" s="211"/>
      <c r="BP35" s="21"/>
      <c r="BQ35" s="110">
        <v>0.3125</v>
      </c>
      <c r="BR35" s="209"/>
      <c r="BS35" s="110">
        <v>0.3125</v>
      </c>
      <c r="BT35" s="209"/>
      <c r="BU35" s="110">
        <v>0.3125</v>
      </c>
      <c r="BV35" s="211"/>
      <c r="BW35" s="21"/>
      <c r="BX35" s="110">
        <v>0.3125</v>
      </c>
      <c r="BY35" s="209"/>
      <c r="BZ35" s="110">
        <v>0.3125</v>
      </c>
      <c r="CA35" s="209"/>
      <c r="CB35" s="110">
        <v>0.3125</v>
      </c>
      <c r="CC35" s="211"/>
      <c r="CD35" s="21"/>
      <c r="CE35" s="110">
        <v>0.3125</v>
      </c>
      <c r="CF35" s="209"/>
      <c r="CG35" s="110">
        <v>0.3125</v>
      </c>
      <c r="CH35" s="209"/>
      <c r="CI35" s="110">
        <v>0.3125</v>
      </c>
      <c r="CJ35" s="211"/>
      <c r="CK35" s="21"/>
      <c r="CL35" s="110">
        <v>0.3125</v>
      </c>
      <c r="CM35" s="209"/>
      <c r="CN35" s="110">
        <v>0.3125</v>
      </c>
      <c r="CO35" s="209"/>
      <c r="CP35" s="110">
        <v>0.3125</v>
      </c>
      <c r="CQ35" s="211"/>
      <c r="CR35" s="21"/>
      <c r="CS35" s="110">
        <v>0.3125</v>
      </c>
      <c r="CT35" s="211"/>
      <c r="CU35" s="21"/>
      <c r="CV35" s="110">
        <v>0.3125</v>
      </c>
      <c r="CW35" s="264"/>
      <c r="CY35" s="260">
        <v>0.3125</v>
      </c>
      <c r="CZ35" s="178"/>
      <c r="DA35" s="110">
        <v>0.3125</v>
      </c>
      <c r="DB35" s="263"/>
      <c r="DC35" s="110">
        <v>0.3125</v>
      </c>
      <c r="DD35" s="211"/>
      <c r="DE35" s="21"/>
      <c r="DF35" s="110">
        <v>0.3125</v>
      </c>
      <c r="DG35" s="209"/>
      <c r="DH35" s="110">
        <v>0.3125</v>
      </c>
      <c r="DI35" s="209"/>
      <c r="DJ35" s="110">
        <v>0.3125</v>
      </c>
      <c r="DK35" s="211"/>
      <c r="DL35" s="21"/>
      <c r="DM35" s="110">
        <v>0.3125</v>
      </c>
      <c r="DN35" s="209"/>
      <c r="DO35" s="110">
        <v>0.3125</v>
      </c>
      <c r="DP35" s="209"/>
      <c r="DQ35" s="110">
        <v>0.3125</v>
      </c>
      <c r="DR35" s="211"/>
      <c r="DS35" s="21"/>
      <c r="DT35" s="110">
        <v>0.3125</v>
      </c>
      <c r="DU35" s="209"/>
      <c r="DV35" s="110">
        <v>0.3125</v>
      </c>
      <c r="DW35" s="209"/>
      <c r="DX35" s="110">
        <v>0.3125</v>
      </c>
      <c r="DY35" s="211"/>
      <c r="DZ35" s="21"/>
      <c r="EA35" s="110">
        <v>0.3125</v>
      </c>
      <c r="EB35" s="209">
        <f>IF('Temperature Profiles'!AA34&gt;18,(0.0018*('Temperature Profiles'!AA34^2)-(0.0475*'Temperature Profiles'!AA34)+0.3123)*1000,IF(AND('Temperature Profiles'!AA34&lt;17,'Temperature Profiles'!AA34&gt;-5.6),(0.0021*('Temperature Profiles'!AA34^2)-(0.0919*'Temperature Profiles'!AA34)+1.0491)*1000,IF(AND('Temperature Profiles'!AA34&lt;-5.6,'Temperature Profiles'!AA34&gt;-11.4),(((-0.2925*'Temperature Profiles'!AA34)-1.6914)*1000)+EB$208,IF('Temperature Profiles'!AA34&lt;-11.4,EB138,0))))</f>
        <v>0</v>
      </c>
      <c r="EC35" s="110">
        <v>0.3125</v>
      </c>
      <c r="ED35" s="209">
        <f>IF('Temperature Profiles'!AA34&gt;18,(0.0034*('Temperature Profiles'!AA34^2)-(0.087*'Temperature Profiles'!AA34)+0.5117)*1000,IF(AND('Temperature Profiles'!AA34&lt;17,'Temperature Profiles'!AA34&gt;-4.4),(0.0027*('Temperature Profiles'!AA34^2)-(0.149*'Temperature Profiles'!AA34)+1.7779)*1000,IF(AND('Temperature Profiles'!AA34&lt;-4.4,'Temperature Profiles'!AA34&gt;-8.5),(((-0.5391*'Temperature Profiles'!AA34)-2.0906)*1000)+ED$208,IF('Temperature Profiles'!AA34&lt;-8.5,ED138,0))))</f>
        <v>12300</v>
      </c>
      <c r="EE35" s="110">
        <v>0.3125</v>
      </c>
      <c r="EF35" s="211">
        <f>IF('Temperature Profiles'!AA34&gt;18,(0.0048*('Temperature Profiles'!AA34^2)-(0.1352*'Temperature Profiles'!AA34)+0.9193)*1000,IF(AND('Temperature Profiles'!AA34&lt;17,'Temperature Profiles'!AA34&gt;-4.4),(0.0031*('Temperature Profiles'!AA34^2)-(0.2029*'Temperature Profiles'!AA34)+2.4264)*1000,IF(AND('Temperature Profiles'!AA34&lt;-4.4,'Temperature Profiles'!AA34&gt;-8.5),(((-0.7516*'Temperature Profiles'!AA34)-2.9985)*1000)+EF$208,IF('Temperature Profiles'!AA34&lt;-8.5,EF138,0))))</f>
        <v>16000</v>
      </c>
      <c r="EG35" s="21"/>
      <c r="EH35" s="110">
        <v>0.3125</v>
      </c>
      <c r="EI35" s="211"/>
      <c r="EJ35" s="110">
        <v>0.3125</v>
      </c>
      <c r="EK35" s="211"/>
      <c r="EL35" s="110">
        <v>0.3125</v>
      </c>
      <c r="EM35" s="211"/>
      <c r="EN35" s="21"/>
      <c r="EO35" s="110">
        <v>0.3125</v>
      </c>
      <c r="EP35" s="211"/>
      <c r="EQ35" s="21"/>
      <c r="ER35" s="110">
        <v>0.3125</v>
      </c>
      <c r="ES35" s="264"/>
      <c r="EU35" s="260">
        <v>0.3125</v>
      </c>
      <c r="EV35" s="209">
        <f>IF('Temperature Profiles'!AA34&gt;18,(0.0018*('Temperature Profiles'!AA34^2)-(0.0475*'Temperature Profiles'!AA34)+0.3123)*1000,IF(AND('Temperature Profiles'!AA34&lt;17,'Temperature Profiles'!AA34&gt;-5.6),(0.0021*('Temperature Profiles'!AA34^2)-(0.0919*'Temperature Profiles'!AA34)+1.0491)*1000,IF(AND('Temperature Profiles'!AA34&lt;-5.6,'Temperature Profiles'!AA34&gt;-11.4),EV$208,IF('Temperature Profiles'!AA34&lt;-11.4,EV138,0))))</f>
        <v>0</v>
      </c>
      <c r="EW35" s="110">
        <v>0.3125</v>
      </c>
      <c r="EX35" s="209">
        <f>IF('Temperature Profiles'!AA34&gt;18,(0.0034*('Temperature Profiles'!AA34^2)-(0.087*'Temperature Profiles'!AA34)+0.5117)*1000,IF(AND('Temperature Profiles'!AA34&lt;17,'Temperature Profiles'!AA34&gt;-4.4),(0.0027*('Temperature Profiles'!AA34^2)-(0.149*'Temperature Profiles'!AA34)+1.7779)*1000,IF(AND('Temperature Profiles'!AA34&lt;-4.4,'Temperature Profiles'!AA34&gt;-8.5),EX$208,IF('Temperature Profiles'!AA34&lt;-8.5,EX138,0))))</f>
        <v>5400</v>
      </c>
      <c r="EY35" s="110">
        <v>0.3125</v>
      </c>
      <c r="EZ35" s="264">
        <f>IF('Temperature Profiles'!AA34&gt;18,(0.0048*('Temperature Profiles'!AA34^2)-(0.1352*'Temperature Profiles'!AA34)+0.9193)*1000,IF(AND('Temperature Profiles'!AA34&lt;17,'Temperature Profiles'!AA34&gt;-4.4),(0.0031*('Temperature Profiles'!AA34^2)-(0.2029*'Temperature Profiles'!AA34)+2.4264)*1000,IF(AND('Temperature Profiles'!AA34&lt;-4.4,'Temperature Profiles'!AA34&gt;-8.5),EZ$208,IF('Temperature Profiles'!AA34&lt;-8.5,EZ138,0))))</f>
        <v>5400</v>
      </c>
    </row>
    <row r="36" spans="1:156" x14ac:dyDescent="0.3">
      <c r="A36" s="108">
        <v>0.3125</v>
      </c>
      <c r="B36" s="226">
        <f t="shared" si="0"/>
        <v>0</v>
      </c>
      <c r="C36" s="21">
        <f t="shared" si="1"/>
        <v>0</v>
      </c>
      <c r="D36" s="21">
        <f t="shared" si="2"/>
        <v>16000</v>
      </c>
      <c r="E36" s="20">
        <f t="shared" si="3"/>
        <v>5400</v>
      </c>
      <c r="G36" s="260">
        <v>0.32291666666666702</v>
      </c>
      <c r="H36" s="211"/>
      <c r="I36" s="110">
        <v>0.32291666666666702</v>
      </c>
      <c r="J36" s="211"/>
      <c r="K36" s="110">
        <v>0.32291666666666702</v>
      </c>
      <c r="L36" s="211"/>
      <c r="M36" s="21"/>
      <c r="N36" s="110">
        <v>0.32291666666666702</v>
      </c>
      <c r="O36" s="209"/>
      <c r="P36" s="110">
        <v>0.32291666666666702</v>
      </c>
      <c r="Q36" s="209"/>
      <c r="R36" s="110">
        <v>0.32291666666666702</v>
      </c>
      <c r="S36" s="211"/>
      <c r="T36" s="21"/>
      <c r="U36" s="110">
        <v>0.32291666666666702</v>
      </c>
      <c r="V36" s="209"/>
      <c r="W36" s="110">
        <v>0.32291666666666702</v>
      </c>
      <c r="X36" s="209"/>
      <c r="Y36" s="110">
        <v>0.32291666666666702</v>
      </c>
      <c r="Z36" s="211"/>
      <c r="AA36" s="21"/>
      <c r="AB36" s="110">
        <v>0.32291666666666702</v>
      </c>
      <c r="AC36" s="209"/>
      <c r="AD36" s="110">
        <v>0.32291666666666702</v>
      </c>
      <c r="AE36" s="209"/>
      <c r="AF36" s="110">
        <v>0.32291666666666702</v>
      </c>
      <c r="AG36" s="211"/>
      <c r="AH36" s="21"/>
      <c r="AI36" s="110">
        <v>0.32291666666666702</v>
      </c>
      <c r="AJ36" s="209"/>
      <c r="AK36" s="110">
        <v>0.32291666666666702</v>
      </c>
      <c r="AL36" s="209"/>
      <c r="AM36" s="110">
        <v>0.32291666666666702</v>
      </c>
      <c r="AN36" s="211"/>
      <c r="AO36" s="21"/>
      <c r="AP36" s="110">
        <v>0.32291666666666702</v>
      </c>
      <c r="AQ36" s="209"/>
      <c r="AR36" s="110">
        <v>0.32291666666666702</v>
      </c>
      <c r="AS36" s="209"/>
      <c r="AT36" s="110">
        <v>0.32291666666666702</v>
      </c>
      <c r="AU36" s="211"/>
      <c r="AV36" s="21"/>
      <c r="AW36" s="110">
        <v>0.32291666666666702</v>
      </c>
      <c r="AX36" s="211"/>
      <c r="AY36" s="21"/>
      <c r="AZ36" s="110">
        <v>0.32291666666666702</v>
      </c>
      <c r="BA36" s="264"/>
      <c r="BC36" s="260">
        <v>0.32291666666666702</v>
      </c>
      <c r="BD36" s="211"/>
      <c r="BE36" s="110">
        <v>0.32291666666666702</v>
      </c>
      <c r="BF36" s="211"/>
      <c r="BG36" s="110">
        <v>0.32291666666666702</v>
      </c>
      <c r="BH36" s="211"/>
      <c r="BI36" s="21"/>
      <c r="BJ36" s="110">
        <v>0.32291666666666702</v>
      </c>
      <c r="BK36" s="209"/>
      <c r="BL36" s="110">
        <v>0.32291666666666702</v>
      </c>
      <c r="BM36" s="209"/>
      <c r="BN36" s="110">
        <v>0.32291666666666702</v>
      </c>
      <c r="BO36" s="211"/>
      <c r="BP36" s="21"/>
      <c r="BQ36" s="110">
        <v>0.32291666666666702</v>
      </c>
      <c r="BR36" s="209"/>
      <c r="BS36" s="110">
        <v>0.32291666666666702</v>
      </c>
      <c r="BT36" s="209"/>
      <c r="BU36" s="110">
        <v>0.32291666666666702</v>
      </c>
      <c r="BV36" s="211"/>
      <c r="BW36" s="21"/>
      <c r="BX36" s="110">
        <v>0.32291666666666702</v>
      </c>
      <c r="BY36" s="209"/>
      <c r="BZ36" s="110">
        <v>0.32291666666666702</v>
      </c>
      <c r="CA36" s="209"/>
      <c r="CB36" s="110">
        <v>0.32291666666666702</v>
      </c>
      <c r="CC36" s="211"/>
      <c r="CD36" s="21"/>
      <c r="CE36" s="110">
        <v>0.32291666666666702</v>
      </c>
      <c r="CF36" s="209"/>
      <c r="CG36" s="110">
        <v>0.32291666666666702</v>
      </c>
      <c r="CH36" s="209"/>
      <c r="CI36" s="110">
        <v>0.32291666666666702</v>
      </c>
      <c r="CJ36" s="211"/>
      <c r="CK36" s="21"/>
      <c r="CL36" s="110">
        <v>0.32291666666666702</v>
      </c>
      <c r="CM36" s="209"/>
      <c r="CN36" s="110">
        <v>0.32291666666666702</v>
      </c>
      <c r="CO36" s="209"/>
      <c r="CP36" s="110">
        <v>0.32291666666666702</v>
      </c>
      <c r="CQ36" s="211"/>
      <c r="CR36" s="21"/>
      <c r="CS36" s="110">
        <v>0.32291666666666702</v>
      </c>
      <c r="CT36" s="211"/>
      <c r="CU36" s="21"/>
      <c r="CV36" s="110">
        <v>0.32291666666666702</v>
      </c>
      <c r="CW36" s="264"/>
      <c r="CY36" s="260">
        <v>0.32291666666666702</v>
      </c>
      <c r="CZ36" s="178"/>
      <c r="DA36" s="110">
        <v>0.32291666666666702</v>
      </c>
      <c r="DB36" s="263"/>
      <c r="DC36" s="110">
        <v>0.32291666666666702</v>
      </c>
      <c r="DD36" s="211"/>
      <c r="DE36" s="21"/>
      <c r="DF36" s="110">
        <v>0.32291666666666702</v>
      </c>
      <c r="DG36" s="209"/>
      <c r="DH36" s="110">
        <v>0.32291666666666702</v>
      </c>
      <c r="DI36" s="209"/>
      <c r="DJ36" s="110">
        <v>0.32291666666666702</v>
      </c>
      <c r="DK36" s="211"/>
      <c r="DL36" s="21"/>
      <c r="DM36" s="110">
        <v>0.32291666666666702</v>
      </c>
      <c r="DN36" s="209"/>
      <c r="DO36" s="110">
        <v>0.32291666666666702</v>
      </c>
      <c r="DP36" s="209"/>
      <c r="DQ36" s="110">
        <v>0.32291666666666702</v>
      </c>
      <c r="DR36" s="211"/>
      <c r="DS36" s="21"/>
      <c r="DT36" s="110">
        <v>0.32291666666666702</v>
      </c>
      <c r="DU36" s="209"/>
      <c r="DV36" s="110">
        <v>0.32291666666666702</v>
      </c>
      <c r="DW36" s="209"/>
      <c r="DX36" s="110">
        <v>0.32291666666666702</v>
      </c>
      <c r="DY36" s="211"/>
      <c r="DZ36" s="21"/>
      <c r="EA36" s="110">
        <v>0.32291666666666702</v>
      </c>
      <c r="EB36" s="209">
        <f>IF('Temperature Profiles'!AA35&gt;18,(0.0018*('Temperature Profiles'!AA35^2)-(0.0475*'Temperature Profiles'!AA35)+0.3123)*1000,IF(AND('Temperature Profiles'!AA35&lt;17,'Temperature Profiles'!AA35&gt;-5.6),(0.0021*('Temperature Profiles'!AA35^2)-(0.0919*'Temperature Profiles'!AA35)+1.0491)*1000,IF(AND('Temperature Profiles'!AA35&lt;-5.6,'Temperature Profiles'!AA35&gt;-11.4),(((-0.2925*'Temperature Profiles'!AA35)-1.6914)*1000)+EB$208,IF('Temperature Profiles'!AA35&lt;-11.4,EB139,0))))</f>
        <v>0</v>
      </c>
      <c r="EC36" s="110">
        <v>0.32291666666666702</v>
      </c>
      <c r="ED36" s="209">
        <f>IF('Temperature Profiles'!AA35&gt;18,(0.0034*('Temperature Profiles'!AA35^2)-(0.087*'Temperature Profiles'!AA35)+0.5117)*1000,IF(AND('Temperature Profiles'!AA35&lt;17,'Temperature Profiles'!AA35&gt;-4.4),(0.0027*('Temperature Profiles'!AA35^2)-(0.149*'Temperature Profiles'!AA35)+1.7779)*1000,IF(AND('Temperature Profiles'!AA35&lt;-4.4,'Temperature Profiles'!AA35&gt;-8.5),(((-0.5391*'Temperature Profiles'!AA35)-2.0906)*1000)+ED$208,IF('Temperature Profiles'!AA35&lt;-8.5,ED139,0))))</f>
        <v>0</v>
      </c>
      <c r="EE36" s="110">
        <v>0.32291666666666702</v>
      </c>
      <c r="EF36" s="211">
        <f>IF('Temperature Profiles'!AA35&gt;18,(0.0048*('Temperature Profiles'!AA35^2)-(0.1352*'Temperature Profiles'!AA35)+0.9193)*1000,IF(AND('Temperature Profiles'!AA35&lt;17,'Temperature Profiles'!AA35&gt;-4.4),(0.0031*('Temperature Profiles'!AA35^2)-(0.2029*'Temperature Profiles'!AA35)+2.4264)*1000,IF(AND('Temperature Profiles'!AA35&lt;-4.4,'Temperature Profiles'!AA35&gt;-8.5),(((-0.7516*'Temperature Profiles'!AA35)-2.9985)*1000)+EF$208,IF('Temperature Profiles'!AA35&lt;-8.5,EF139,0))))</f>
        <v>0</v>
      </c>
      <c r="EG36" s="21"/>
      <c r="EH36" s="110">
        <v>0.32291666666666702</v>
      </c>
      <c r="EI36" s="211"/>
      <c r="EJ36" s="110">
        <v>0.32291666666666702</v>
      </c>
      <c r="EK36" s="211"/>
      <c r="EL36" s="110">
        <v>0.32291666666666702</v>
      </c>
      <c r="EM36" s="211"/>
      <c r="EN36" s="21"/>
      <c r="EO36" s="110">
        <v>0.32291666666666702</v>
      </c>
      <c r="EP36" s="211"/>
      <c r="EQ36" s="21"/>
      <c r="ER36" s="110">
        <v>0.32291666666666702</v>
      </c>
      <c r="ES36" s="264"/>
      <c r="EU36" s="260">
        <v>0.32291666666666702</v>
      </c>
      <c r="EV36" s="209">
        <f>IF('Temperature Profiles'!AA35&gt;18,(0.0018*('Temperature Profiles'!AA35^2)-(0.0475*'Temperature Profiles'!AA35)+0.3123)*1000,IF(AND('Temperature Profiles'!AA35&lt;17,'Temperature Profiles'!AA35&gt;-5.6),(0.0021*('Temperature Profiles'!AA35^2)-(0.0919*'Temperature Profiles'!AA35)+1.0491)*1000,IF(AND('Temperature Profiles'!AA35&lt;-5.6,'Temperature Profiles'!AA35&gt;-11.4),EV$208,IF('Temperature Profiles'!AA35&lt;-11.4,EV139,0))))</f>
        <v>0</v>
      </c>
      <c r="EW36" s="110">
        <v>0.32291666666666702</v>
      </c>
      <c r="EX36" s="209">
        <f>IF('Temperature Profiles'!AA35&gt;18,(0.0034*('Temperature Profiles'!AA35^2)-(0.087*'Temperature Profiles'!AA35)+0.5117)*1000,IF(AND('Temperature Profiles'!AA35&lt;17,'Temperature Profiles'!AA35&gt;-4.4),(0.0027*('Temperature Profiles'!AA35^2)-(0.149*'Temperature Profiles'!AA35)+1.7779)*1000,IF(AND('Temperature Profiles'!AA35&lt;-4.4,'Temperature Profiles'!AA35&gt;-8.5),EX$208,IF('Temperature Profiles'!AA35&lt;-8.5,EX139,0))))</f>
        <v>0</v>
      </c>
      <c r="EY36" s="110">
        <v>0.32291666666666702</v>
      </c>
      <c r="EZ36" s="264">
        <f>IF('Temperature Profiles'!AA35&gt;18,(0.0048*('Temperature Profiles'!AA35^2)-(0.1352*'Temperature Profiles'!AA35)+0.9193)*1000,IF(AND('Temperature Profiles'!AA35&lt;17,'Temperature Profiles'!AA35&gt;-4.4),(0.0031*('Temperature Profiles'!AA35^2)-(0.2029*'Temperature Profiles'!AA35)+2.4264)*1000,IF(AND('Temperature Profiles'!AA35&lt;-4.4,'Temperature Profiles'!AA35&gt;-8.5),EZ$208,IF('Temperature Profiles'!AA35&lt;-8.5,EZ139,0))))</f>
        <v>0</v>
      </c>
    </row>
    <row r="37" spans="1:156" x14ac:dyDescent="0.3">
      <c r="A37" s="108">
        <v>0.32291666666666702</v>
      </c>
      <c r="B37" s="226">
        <f t="shared" si="0"/>
        <v>0</v>
      </c>
      <c r="C37" s="21">
        <f t="shared" si="1"/>
        <v>0</v>
      </c>
      <c r="D37" s="21">
        <f t="shared" si="2"/>
        <v>0</v>
      </c>
      <c r="E37" s="20">
        <f t="shared" si="3"/>
        <v>0</v>
      </c>
      <c r="G37" s="260">
        <v>0.33333333333333298</v>
      </c>
      <c r="H37" s="211"/>
      <c r="I37" s="110">
        <v>0.33333333333333298</v>
      </c>
      <c r="J37" s="211"/>
      <c r="K37" s="110">
        <v>0.33333333333333298</v>
      </c>
      <c r="L37" s="211"/>
      <c r="M37" s="21"/>
      <c r="N37" s="110">
        <v>0.33333333333333298</v>
      </c>
      <c r="O37" s="209"/>
      <c r="P37" s="110">
        <v>0.33333333333333298</v>
      </c>
      <c r="Q37" s="209"/>
      <c r="R37" s="110">
        <v>0.33333333333333298</v>
      </c>
      <c r="S37" s="211"/>
      <c r="T37" s="21"/>
      <c r="U37" s="110">
        <v>0.33333333333333298</v>
      </c>
      <c r="V37" s="209"/>
      <c r="W37" s="110">
        <v>0.33333333333333298</v>
      </c>
      <c r="X37" s="209"/>
      <c r="Y37" s="110">
        <v>0.33333333333333298</v>
      </c>
      <c r="Z37" s="211"/>
      <c r="AA37" s="21"/>
      <c r="AB37" s="110">
        <v>0.33333333333333298</v>
      </c>
      <c r="AC37" s="209"/>
      <c r="AD37" s="110">
        <v>0.33333333333333298</v>
      </c>
      <c r="AE37" s="209"/>
      <c r="AF37" s="110">
        <v>0.33333333333333298</v>
      </c>
      <c r="AG37" s="211"/>
      <c r="AH37" s="21"/>
      <c r="AI37" s="110">
        <v>0.33333333333333298</v>
      </c>
      <c r="AJ37" s="209"/>
      <c r="AK37" s="110">
        <v>0.33333333333333298</v>
      </c>
      <c r="AL37" s="209"/>
      <c r="AM37" s="110">
        <v>0.33333333333333298</v>
      </c>
      <c r="AN37" s="211"/>
      <c r="AO37" s="21"/>
      <c r="AP37" s="110">
        <v>0.33333333333333298</v>
      </c>
      <c r="AQ37" s="209"/>
      <c r="AR37" s="110">
        <v>0.33333333333333298</v>
      </c>
      <c r="AS37" s="209"/>
      <c r="AT37" s="110">
        <v>0.33333333333333298</v>
      </c>
      <c r="AU37" s="211"/>
      <c r="AV37" s="21"/>
      <c r="AW37" s="110">
        <v>0.33333333333333298</v>
      </c>
      <c r="AX37" s="211"/>
      <c r="AY37" s="21"/>
      <c r="AZ37" s="110">
        <v>0.33333333333333298</v>
      </c>
      <c r="BA37" s="264"/>
      <c r="BC37" s="260">
        <v>0.33333333333333298</v>
      </c>
      <c r="BD37" s="211"/>
      <c r="BE37" s="110">
        <v>0.33333333333333298</v>
      </c>
      <c r="BF37" s="211"/>
      <c r="BG37" s="110">
        <v>0.33333333333333298</v>
      </c>
      <c r="BH37" s="211"/>
      <c r="BI37" s="21"/>
      <c r="BJ37" s="110">
        <v>0.33333333333333298</v>
      </c>
      <c r="BK37" s="209"/>
      <c r="BL37" s="110">
        <v>0.33333333333333298</v>
      </c>
      <c r="BM37" s="209"/>
      <c r="BN37" s="110">
        <v>0.33333333333333298</v>
      </c>
      <c r="BO37" s="211"/>
      <c r="BP37" s="21"/>
      <c r="BQ37" s="110">
        <v>0.33333333333333298</v>
      </c>
      <c r="BR37" s="209"/>
      <c r="BS37" s="110">
        <v>0.33333333333333298</v>
      </c>
      <c r="BT37" s="209"/>
      <c r="BU37" s="110">
        <v>0.33333333333333298</v>
      </c>
      <c r="BV37" s="211"/>
      <c r="BW37" s="21"/>
      <c r="BX37" s="110">
        <v>0.33333333333333298</v>
      </c>
      <c r="BY37" s="209"/>
      <c r="BZ37" s="110">
        <v>0.33333333333333298</v>
      </c>
      <c r="CA37" s="209"/>
      <c r="CB37" s="110">
        <v>0.33333333333333298</v>
      </c>
      <c r="CC37" s="211"/>
      <c r="CD37" s="21"/>
      <c r="CE37" s="110">
        <v>0.33333333333333298</v>
      </c>
      <c r="CF37" s="209"/>
      <c r="CG37" s="110">
        <v>0.33333333333333298</v>
      </c>
      <c r="CH37" s="209"/>
      <c r="CI37" s="110">
        <v>0.33333333333333298</v>
      </c>
      <c r="CJ37" s="211"/>
      <c r="CK37" s="21"/>
      <c r="CL37" s="110">
        <v>0.33333333333333298</v>
      </c>
      <c r="CM37" s="209"/>
      <c r="CN37" s="110">
        <v>0.33333333333333298</v>
      </c>
      <c r="CO37" s="209"/>
      <c r="CP37" s="110">
        <v>0.33333333333333298</v>
      </c>
      <c r="CQ37" s="211"/>
      <c r="CR37" s="21"/>
      <c r="CS37" s="110">
        <v>0.33333333333333298</v>
      </c>
      <c r="CT37" s="211"/>
      <c r="CU37" s="21"/>
      <c r="CV37" s="110">
        <v>0.33333333333333298</v>
      </c>
      <c r="CW37" s="264"/>
      <c r="CY37" s="260">
        <v>0.33333333333333298</v>
      </c>
      <c r="CZ37" s="178"/>
      <c r="DA37" s="110">
        <v>0.33333333333333298</v>
      </c>
      <c r="DB37" s="263"/>
      <c r="DC37" s="110">
        <v>0.33333333333333298</v>
      </c>
      <c r="DD37" s="211"/>
      <c r="DE37" s="21"/>
      <c r="DF37" s="110">
        <v>0.33333333333333298</v>
      </c>
      <c r="DG37" s="209"/>
      <c r="DH37" s="110">
        <v>0.33333333333333298</v>
      </c>
      <c r="DI37" s="209"/>
      <c r="DJ37" s="110">
        <v>0.33333333333333298</v>
      </c>
      <c r="DK37" s="211"/>
      <c r="DL37" s="21"/>
      <c r="DM37" s="110">
        <v>0.33333333333333298</v>
      </c>
      <c r="DN37" s="209"/>
      <c r="DO37" s="110">
        <v>0.33333333333333298</v>
      </c>
      <c r="DP37" s="209"/>
      <c r="DQ37" s="110">
        <v>0.33333333333333298</v>
      </c>
      <c r="DR37" s="211"/>
      <c r="DS37" s="21"/>
      <c r="DT37" s="110">
        <v>0.33333333333333298</v>
      </c>
      <c r="DU37" s="209"/>
      <c r="DV37" s="110">
        <v>0.33333333333333298</v>
      </c>
      <c r="DW37" s="209"/>
      <c r="DX37" s="110">
        <v>0.33333333333333298</v>
      </c>
      <c r="DY37" s="211"/>
      <c r="DZ37" s="21"/>
      <c r="EA37" s="110">
        <v>0.33333333333333298</v>
      </c>
      <c r="EB37" s="209">
        <f>IF('Temperature Profiles'!AA36&gt;18,(0.0018*('Temperature Profiles'!AA36^2)-(0.0475*'Temperature Profiles'!AA36)+0.3123)*1000,IF(AND('Temperature Profiles'!AA36&lt;17,'Temperature Profiles'!AA36&gt;-5.6),(0.0021*('Temperature Profiles'!AA36^2)-(0.0919*'Temperature Profiles'!AA36)+1.0491)*1000,IF(AND('Temperature Profiles'!AA36&lt;-5.6,'Temperature Profiles'!AA36&gt;-11.4),(((-0.2925*'Temperature Profiles'!AA36)-1.6914)*1000)+EB$208,IF('Temperature Profiles'!AA36&lt;-11.4,EB140,0))))</f>
        <v>6900</v>
      </c>
      <c r="EC37" s="110">
        <v>0.33333333333333298</v>
      </c>
      <c r="ED37" s="209">
        <f>IF('Temperature Profiles'!AA36&gt;18,(0.0034*('Temperature Profiles'!AA36^2)-(0.087*'Temperature Profiles'!AA36)+0.5117)*1000,IF(AND('Temperature Profiles'!AA36&lt;17,'Temperature Profiles'!AA36&gt;-4.4),(0.0027*('Temperature Profiles'!AA36^2)-(0.149*'Temperature Profiles'!AA36)+1.7779)*1000,IF(AND('Temperature Profiles'!AA36&lt;-4.4,'Temperature Profiles'!AA36&gt;-8.5),(((-0.5391*'Temperature Profiles'!AA36)-2.0906)*1000)+ED$208,IF('Temperature Profiles'!AA36&lt;-8.5,ED140,0))))</f>
        <v>12300</v>
      </c>
      <c r="EE37" s="110">
        <v>0.33333333333333298</v>
      </c>
      <c r="EF37" s="211">
        <f>IF('Temperature Profiles'!AA36&gt;18,(0.0048*('Temperature Profiles'!AA36^2)-(0.1352*'Temperature Profiles'!AA36)+0.9193)*1000,IF(AND('Temperature Profiles'!AA36&lt;17,'Temperature Profiles'!AA36&gt;-4.4),(0.0031*('Temperature Profiles'!AA36^2)-(0.2029*'Temperature Profiles'!AA36)+2.4264)*1000,IF(AND('Temperature Profiles'!AA36&lt;-4.4,'Temperature Profiles'!AA36&gt;-8.5),(((-0.7516*'Temperature Profiles'!AA36)-2.9985)*1000)+EF$208,IF('Temperature Profiles'!AA36&lt;-8.5,EF140,0))))</f>
        <v>16000</v>
      </c>
      <c r="EG37" s="21"/>
      <c r="EH37" s="110">
        <v>0.33333333333333298</v>
      </c>
      <c r="EI37" s="211"/>
      <c r="EJ37" s="110">
        <v>0.33333333333333298</v>
      </c>
      <c r="EK37" s="211"/>
      <c r="EL37" s="110">
        <v>0.33333333333333298</v>
      </c>
      <c r="EM37" s="211"/>
      <c r="EN37" s="21"/>
      <c r="EO37" s="110">
        <v>0.33333333333333298</v>
      </c>
      <c r="EP37" s="211"/>
      <c r="EQ37" s="21"/>
      <c r="ER37" s="110">
        <v>0.33333333333333298</v>
      </c>
      <c r="ES37" s="264"/>
      <c r="EU37" s="260">
        <v>0.33333333333333298</v>
      </c>
      <c r="EV37" s="209">
        <f>IF('Temperature Profiles'!AA36&gt;18,(0.0018*('Temperature Profiles'!AA36^2)-(0.0475*'Temperature Profiles'!AA36)+0.3123)*1000,IF(AND('Temperature Profiles'!AA36&lt;17,'Temperature Profiles'!AA36&gt;-5.6),(0.0021*('Temperature Profiles'!AA36^2)-(0.0919*'Temperature Profiles'!AA36)+1.0491)*1000,IF(AND('Temperature Profiles'!AA36&lt;-5.6,'Temperature Profiles'!AA36&gt;-11.4),EV$208,IF('Temperature Profiles'!AA36&lt;-11.4,EV140,0))))</f>
        <v>5400</v>
      </c>
      <c r="EW37" s="110">
        <v>0.33333333333333298</v>
      </c>
      <c r="EX37" s="209">
        <f>IF('Temperature Profiles'!AA36&gt;18,(0.0034*('Temperature Profiles'!AA36^2)-(0.087*'Temperature Profiles'!AA36)+0.5117)*1000,IF(AND('Temperature Profiles'!AA36&lt;17,'Temperature Profiles'!AA36&gt;-4.4),(0.0027*('Temperature Profiles'!AA36^2)-(0.149*'Temperature Profiles'!AA36)+1.7779)*1000,IF(AND('Temperature Profiles'!AA36&lt;-4.4,'Temperature Profiles'!AA36&gt;-8.5),EX$208,IF('Temperature Profiles'!AA36&lt;-8.5,EX140,0))))</f>
        <v>5400</v>
      </c>
      <c r="EY37" s="110">
        <v>0.33333333333333298</v>
      </c>
      <c r="EZ37" s="264">
        <f>IF('Temperature Profiles'!AA36&gt;18,(0.0048*('Temperature Profiles'!AA36^2)-(0.1352*'Temperature Profiles'!AA36)+0.9193)*1000,IF(AND('Temperature Profiles'!AA36&lt;17,'Temperature Profiles'!AA36&gt;-4.4),(0.0031*('Temperature Profiles'!AA36^2)-(0.2029*'Temperature Profiles'!AA36)+2.4264)*1000,IF(AND('Temperature Profiles'!AA36&lt;-4.4,'Temperature Profiles'!AA36&gt;-8.5),EZ$208,IF('Temperature Profiles'!AA36&lt;-8.5,EZ140,0))))</f>
        <v>5400</v>
      </c>
    </row>
    <row r="38" spans="1:156" x14ac:dyDescent="0.3">
      <c r="A38" s="108">
        <v>0.33333333333333298</v>
      </c>
      <c r="B38" s="226">
        <f t="shared" ref="B38:B69" si="4">IF(AND($B$3=$G$2,$D$3=$G$3),H37,IF(AND($B$3=$G$2,$D$3=$I$3),J37,IF(AND($B$3=$G$2,$D$3=$K$3),L37,IF(AND($B$3=$N$2,$D$3=$N$3),O37,IF(AND($B$3=$N$2,$D$3=$P$3),Q37,IF(AND($B$3=$N$2,$D$3=$R$3),S37,IF(AND($B$3=$U$2,$D$3=$U$3),V37,IF(AND($B$3=$U$2,$D$3=$W$3),X37,IF(AND($B$3=$U$2,$D$3=$Y$3),Z37,IF(AND($B$3=$AB$2,$D$3=$AB$3),AC37,IF(AND($B$3=$AB$2,$D$3=$AD$3),AE37,IF(AND($B$3=$AB$2,$D$3=$AF$3),AG37,IF(AND($B$3=$AI$2,$D$3=$AI$3),AJ37,IF(AND($B$3=$AI$2,$D$3=$AK$3),AL37,IF(AND($B$3=$AI$2,$D$3=$AM$3),AN37,IF(AND($B$3=$AP$2,$D$3=$AP$3),AQ37,IF(AND($B$3=$AP$2,$D$3=$AR$3),AS37,IF(AND($B$3=$AP$2,$D$3=$AT$3),AU37,IF($B$3=$AW$3,AX37,IF($B$3=$AZ$3,BA37,0))))))))))))))))))))</f>
        <v>0</v>
      </c>
      <c r="C38" s="21">
        <f t="shared" ref="C38:C69" si="5">IF(AND($B$3=$BC$2,$D$3=$BC$3),BD37,IF(AND($B$3=$BC$2,$D$3=$BE$3),BF37,IF(AND($B$3=$BC$2,$D$3=$BG$3),BH37,IF(AND($B$3=$BJ$2,$D$3=$BJ$3),BK37,IF(AND($B$3=$BJ$2,$D$3=$BL$3),BM37,IF(AND($B$3=$BJ$2,$D$3=$BN$3),BO37,IF(AND($B$3=$BQ$2,$D$3=$BQ$3),BR37,IF(AND($B$3=$BQ$2,$D$3=$BS$3),BT37,IF(AND($B$3=$BQ$2,$D$3=$BU$3),BV37,IF(AND($B$3=$BX$2,$D$3=$BX$3),BY37,IF(AND($B$3=$BX$2,$D$3=$BZ$3),CA37,IF(AND($B$3=$BX$2,$D$3=$CB$3),CC37,IF(AND($B$3=$CE$2,$D$3=$CE$3),CF37,IF(AND($B$3=$CE$2,$D$3=$CG$3),CH37,IF(AND($B$3=$CE$2,$D$3=$CI$3),CJ37,IF(AND($B$3=$CL$2,$D$3=$CL$3),CM37,IF(AND($B$3=$CL$2,$D$3=$CN$3),CO37,IF(AND($B$3=$CL$2,$D$3=$CP$3),CQ37,IF($B$3=$CS$3,CT37,IF($B$3=$CV$3,CW37,0))))))))))))))))))))</f>
        <v>0</v>
      </c>
      <c r="D38" s="21">
        <f t="shared" ref="D38:D69" si="6">IF(AND($B$3=$CY$2,$D$3=$CY$3),CZ37,IF(AND($B$3=$CY$2,$D$3=$DA$3),DB37,IF(AND($B$3=$CY$2,$D$3=$DC$3),DD37,IF(AND($B$3=$DF$2,$D$3=$DF$3),DG37,IF(AND($B$3=$DF$2,$D$3=$DH$3),DI37,IF(AND($B$3=$DF$2,$D$3=$DJ$3),DK37,IF(AND($B$3=$DM$2,$D$3=$DM$3),DN37,IF(AND($B$3=$DM$2,$D$3=$DO$3),DP37,IF(AND($B$3=$DM$2,$D$3=$DQ$3),DR37,IF(AND($B$3=$DT$2,$D$3=$DT$3),DU37,IF(AND($B$3=$DT$2,$D$3=$DV$3),DW37,IF(AND($B$3=$DT$2,$D$3=$DX$3),DY37,IF(AND($B$3=$EA$2,$D$3=$EA$3),EB37,IF(AND($B$3=$EA$2,$D$3=$EC$3),ED37,IF(AND($B$3=$EA$2,$D$3=$EE$3),EF37,IF(AND($B$3=$EH$2,$D$3=$EH$3),EI37,IF(AND($B$3=$EH$2,$D$3=$EJ$3),EK37,IF(AND($B$3=$EH$2,$D$3=$EL$3),EM37,IF($B$3=$EO$3,EP37,IF($B$3=$ER$3,ES37,0))))))))))))))))))))</f>
        <v>16000</v>
      </c>
      <c r="E38" s="20">
        <f t="shared" si="3"/>
        <v>5400</v>
      </c>
      <c r="G38" s="260">
        <v>0.34375</v>
      </c>
      <c r="H38" s="211"/>
      <c r="I38" s="110">
        <v>0.34375</v>
      </c>
      <c r="J38" s="211"/>
      <c r="K38" s="110">
        <v>0.34375</v>
      </c>
      <c r="L38" s="211"/>
      <c r="M38" s="21"/>
      <c r="N38" s="110">
        <v>0.34375</v>
      </c>
      <c r="O38" s="209"/>
      <c r="P38" s="110">
        <v>0.34375</v>
      </c>
      <c r="Q38" s="209"/>
      <c r="R38" s="110">
        <v>0.34375</v>
      </c>
      <c r="S38" s="211"/>
      <c r="T38" s="21"/>
      <c r="U38" s="110">
        <v>0.34375</v>
      </c>
      <c r="V38" s="209"/>
      <c r="W38" s="110">
        <v>0.34375</v>
      </c>
      <c r="X38" s="209"/>
      <c r="Y38" s="110">
        <v>0.34375</v>
      </c>
      <c r="Z38" s="211"/>
      <c r="AA38" s="21"/>
      <c r="AB38" s="110">
        <v>0.34375</v>
      </c>
      <c r="AC38" s="209"/>
      <c r="AD38" s="110">
        <v>0.34375</v>
      </c>
      <c r="AE38" s="209"/>
      <c r="AF38" s="110">
        <v>0.34375</v>
      </c>
      <c r="AG38" s="211"/>
      <c r="AH38" s="21"/>
      <c r="AI38" s="110">
        <v>0.34375</v>
      </c>
      <c r="AJ38" s="209"/>
      <c r="AK38" s="110">
        <v>0.34375</v>
      </c>
      <c r="AL38" s="209"/>
      <c r="AM38" s="110">
        <v>0.34375</v>
      </c>
      <c r="AN38" s="211"/>
      <c r="AO38" s="21"/>
      <c r="AP38" s="110">
        <v>0.34375</v>
      </c>
      <c r="AQ38" s="209"/>
      <c r="AR38" s="110">
        <v>0.34375</v>
      </c>
      <c r="AS38" s="209"/>
      <c r="AT38" s="110">
        <v>0.34375</v>
      </c>
      <c r="AU38" s="211"/>
      <c r="AV38" s="21"/>
      <c r="AW38" s="110">
        <v>0.34375</v>
      </c>
      <c r="AX38" s="211"/>
      <c r="AY38" s="21"/>
      <c r="AZ38" s="110">
        <v>0.34375</v>
      </c>
      <c r="BA38" s="264"/>
      <c r="BC38" s="260">
        <v>0.34375</v>
      </c>
      <c r="BD38" s="211"/>
      <c r="BE38" s="110">
        <v>0.34375</v>
      </c>
      <c r="BF38" s="211"/>
      <c r="BG38" s="110">
        <v>0.34375</v>
      </c>
      <c r="BH38" s="211"/>
      <c r="BI38" s="21"/>
      <c r="BJ38" s="110">
        <v>0.34375</v>
      </c>
      <c r="BK38" s="209"/>
      <c r="BL38" s="110">
        <v>0.34375</v>
      </c>
      <c r="BM38" s="209"/>
      <c r="BN38" s="110">
        <v>0.34375</v>
      </c>
      <c r="BO38" s="211"/>
      <c r="BP38" s="21"/>
      <c r="BQ38" s="110">
        <v>0.34375</v>
      </c>
      <c r="BR38" s="209"/>
      <c r="BS38" s="110">
        <v>0.34375</v>
      </c>
      <c r="BT38" s="209"/>
      <c r="BU38" s="110">
        <v>0.34375</v>
      </c>
      <c r="BV38" s="211"/>
      <c r="BW38" s="21"/>
      <c r="BX38" s="110">
        <v>0.34375</v>
      </c>
      <c r="BY38" s="209"/>
      <c r="BZ38" s="110">
        <v>0.34375</v>
      </c>
      <c r="CA38" s="209"/>
      <c r="CB38" s="110">
        <v>0.34375</v>
      </c>
      <c r="CC38" s="211"/>
      <c r="CD38" s="21"/>
      <c r="CE38" s="110">
        <v>0.34375</v>
      </c>
      <c r="CF38" s="209"/>
      <c r="CG38" s="110">
        <v>0.34375</v>
      </c>
      <c r="CH38" s="209"/>
      <c r="CI38" s="110">
        <v>0.34375</v>
      </c>
      <c r="CJ38" s="211"/>
      <c r="CK38" s="21"/>
      <c r="CL38" s="110">
        <v>0.34375</v>
      </c>
      <c r="CM38" s="209"/>
      <c r="CN38" s="110">
        <v>0.34375</v>
      </c>
      <c r="CO38" s="209"/>
      <c r="CP38" s="110">
        <v>0.34375</v>
      </c>
      <c r="CQ38" s="211"/>
      <c r="CR38" s="21"/>
      <c r="CS38" s="110">
        <v>0.34375</v>
      </c>
      <c r="CT38" s="211"/>
      <c r="CU38" s="21"/>
      <c r="CV38" s="110">
        <v>0.34375</v>
      </c>
      <c r="CW38" s="264"/>
      <c r="CY38" s="260">
        <v>0.34375</v>
      </c>
      <c r="CZ38" s="178"/>
      <c r="DA38" s="110">
        <v>0.34375</v>
      </c>
      <c r="DB38" s="263"/>
      <c r="DC38" s="110">
        <v>0.34375</v>
      </c>
      <c r="DD38" s="211"/>
      <c r="DE38" s="21"/>
      <c r="DF38" s="110">
        <v>0.34375</v>
      </c>
      <c r="DG38" s="209"/>
      <c r="DH38" s="110">
        <v>0.34375</v>
      </c>
      <c r="DI38" s="209"/>
      <c r="DJ38" s="110">
        <v>0.34375</v>
      </c>
      <c r="DK38" s="211"/>
      <c r="DL38" s="21"/>
      <c r="DM38" s="110">
        <v>0.34375</v>
      </c>
      <c r="DN38" s="209"/>
      <c r="DO38" s="110">
        <v>0.34375</v>
      </c>
      <c r="DP38" s="209"/>
      <c r="DQ38" s="110">
        <v>0.34375</v>
      </c>
      <c r="DR38" s="211"/>
      <c r="DS38" s="21"/>
      <c r="DT38" s="110">
        <v>0.34375</v>
      </c>
      <c r="DU38" s="209"/>
      <c r="DV38" s="110">
        <v>0.34375</v>
      </c>
      <c r="DW38" s="209"/>
      <c r="DX38" s="110">
        <v>0.34375</v>
      </c>
      <c r="DY38" s="211"/>
      <c r="DZ38" s="21"/>
      <c r="EA38" s="110">
        <v>0.34375</v>
      </c>
      <c r="EB38" s="209">
        <f>IF('Temperature Profiles'!AA37&gt;18,(0.0018*('Temperature Profiles'!AA37^2)-(0.0475*'Temperature Profiles'!AA37)+0.3123)*1000,IF(AND('Temperature Profiles'!AA37&lt;17,'Temperature Profiles'!AA37&gt;-5.6),(0.0021*('Temperature Profiles'!AA37^2)-(0.0919*'Temperature Profiles'!AA37)+1.0491)*1000,IF(AND('Temperature Profiles'!AA37&lt;-5.6,'Temperature Profiles'!AA37&gt;-11.4),(((-0.2925*'Temperature Profiles'!AA37)-1.6914)*1000)+EB$208,IF('Temperature Profiles'!AA37&lt;-11.4,EB141,0))))</f>
        <v>6900</v>
      </c>
      <c r="EC38" s="110">
        <v>0.34375</v>
      </c>
      <c r="ED38" s="209">
        <f>IF('Temperature Profiles'!AA37&gt;18,(0.0034*('Temperature Profiles'!AA37^2)-(0.087*'Temperature Profiles'!AA37)+0.5117)*1000,IF(AND('Temperature Profiles'!AA37&lt;17,'Temperature Profiles'!AA37&gt;-4.4),(0.0027*('Temperature Profiles'!AA37^2)-(0.149*'Temperature Profiles'!AA37)+1.7779)*1000,IF(AND('Temperature Profiles'!AA37&lt;-4.4,'Temperature Profiles'!AA37&gt;-8.5),(((-0.5391*'Temperature Profiles'!AA37)-2.0906)*1000)+ED$208,IF('Temperature Profiles'!AA37&lt;-8.5,ED141,0))))</f>
        <v>12300</v>
      </c>
      <c r="EE38" s="110">
        <v>0.34375</v>
      </c>
      <c r="EF38" s="211">
        <f>IF('Temperature Profiles'!AA37&gt;18,(0.0048*('Temperature Profiles'!AA37^2)-(0.1352*'Temperature Profiles'!AA37)+0.9193)*1000,IF(AND('Temperature Profiles'!AA37&lt;17,'Temperature Profiles'!AA37&gt;-4.4),(0.0031*('Temperature Profiles'!AA37^2)-(0.2029*'Temperature Profiles'!AA37)+2.4264)*1000,IF(AND('Temperature Profiles'!AA37&lt;-4.4,'Temperature Profiles'!AA37&gt;-8.5),(((-0.7516*'Temperature Profiles'!AA37)-2.9985)*1000)+EF$208,IF('Temperature Profiles'!AA37&lt;-8.5,EF141,0))))</f>
        <v>16000</v>
      </c>
      <c r="EG38" s="21"/>
      <c r="EH38" s="110">
        <v>0.34375</v>
      </c>
      <c r="EI38" s="211"/>
      <c r="EJ38" s="110">
        <v>0.34375</v>
      </c>
      <c r="EK38" s="211"/>
      <c r="EL38" s="110">
        <v>0.34375</v>
      </c>
      <c r="EM38" s="211"/>
      <c r="EN38" s="21"/>
      <c r="EO38" s="110">
        <v>0.34375</v>
      </c>
      <c r="EP38" s="211"/>
      <c r="EQ38" s="21"/>
      <c r="ER38" s="110">
        <v>0.34375</v>
      </c>
      <c r="ES38" s="264"/>
      <c r="EU38" s="260">
        <v>0.34375</v>
      </c>
      <c r="EV38" s="209">
        <f>IF('Temperature Profiles'!AA37&gt;18,(0.0018*('Temperature Profiles'!AA37^2)-(0.0475*'Temperature Profiles'!AA37)+0.3123)*1000,IF(AND('Temperature Profiles'!AA37&lt;17,'Temperature Profiles'!AA37&gt;-5.6),(0.0021*('Temperature Profiles'!AA37^2)-(0.0919*'Temperature Profiles'!AA37)+1.0491)*1000,IF(AND('Temperature Profiles'!AA37&lt;-5.6,'Temperature Profiles'!AA37&gt;-11.4),EV$208,IF('Temperature Profiles'!AA37&lt;-11.4,EV141,0))))</f>
        <v>5400</v>
      </c>
      <c r="EW38" s="110">
        <v>0.34375</v>
      </c>
      <c r="EX38" s="209">
        <f>IF('Temperature Profiles'!AA37&gt;18,(0.0034*('Temperature Profiles'!AA37^2)-(0.087*'Temperature Profiles'!AA37)+0.5117)*1000,IF(AND('Temperature Profiles'!AA37&lt;17,'Temperature Profiles'!AA37&gt;-4.4),(0.0027*('Temperature Profiles'!AA37^2)-(0.149*'Temperature Profiles'!AA37)+1.7779)*1000,IF(AND('Temperature Profiles'!AA37&lt;-4.4,'Temperature Profiles'!AA37&gt;-8.5),EX$208,IF('Temperature Profiles'!AA37&lt;-8.5,EX141,0))))</f>
        <v>5400</v>
      </c>
      <c r="EY38" s="110">
        <v>0.34375</v>
      </c>
      <c r="EZ38" s="264">
        <f>IF('Temperature Profiles'!AA37&gt;18,(0.0048*('Temperature Profiles'!AA37^2)-(0.1352*'Temperature Profiles'!AA37)+0.9193)*1000,IF(AND('Temperature Profiles'!AA37&lt;17,'Temperature Profiles'!AA37&gt;-4.4),(0.0031*('Temperature Profiles'!AA37^2)-(0.2029*'Temperature Profiles'!AA37)+2.4264)*1000,IF(AND('Temperature Profiles'!AA37&lt;-4.4,'Temperature Profiles'!AA37&gt;-8.5),EZ$208,IF('Temperature Profiles'!AA37&lt;-8.5,EZ141,0))))</f>
        <v>5400</v>
      </c>
    </row>
    <row r="39" spans="1:156" x14ac:dyDescent="0.3">
      <c r="A39" s="108">
        <v>0.34375</v>
      </c>
      <c r="B39" s="226">
        <f t="shared" si="4"/>
        <v>0</v>
      </c>
      <c r="C39" s="21">
        <f t="shared" si="5"/>
        <v>0</v>
      </c>
      <c r="D39" s="21">
        <f t="shared" si="6"/>
        <v>16000</v>
      </c>
      <c r="E39" s="20">
        <f t="shared" si="3"/>
        <v>5400</v>
      </c>
      <c r="G39" s="260">
        <v>0.35416666666666702</v>
      </c>
      <c r="H39" s="211"/>
      <c r="I39" s="110">
        <v>0.35416666666666702</v>
      </c>
      <c r="J39" s="211"/>
      <c r="K39" s="110">
        <v>0.35416666666666702</v>
      </c>
      <c r="L39" s="211"/>
      <c r="M39" s="21"/>
      <c r="N39" s="110">
        <v>0.35416666666666702</v>
      </c>
      <c r="O39" s="209"/>
      <c r="P39" s="110">
        <v>0.35416666666666702</v>
      </c>
      <c r="Q39" s="209"/>
      <c r="R39" s="110">
        <v>0.35416666666666702</v>
      </c>
      <c r="S39" s="211"/>
      <c r="T39" s="21"/>
      <c r="U39" s="110">
        <v>0.35416666666666702</v>
      </c>
      <c r="V39" s="209"/>
      <c r="W39" s="110">
        <v>0.35416666666666702</v>
      </c>
      <c r="X39" s="209"/>
      <c r="Y39" s="110">
        <v>0.35416666666666702</v>
      </c>
      <c r="Z39" s="211"/>
      <c r="AA39" s="21"/>
      <c r="AB39" s="110">
        <v>0.35416666666666702</v>
      </c>
      <c r="AC39" s="209"/>
      <c r="AD39" s="110">
        <v>0.35416666666666702</v>
      </c>
      <c r="AE39" s="209"/>
      <c r="AF39" s="110">
        <v>0.35416666666666702</v>
      </c>
      <c r="AG39" s="211"/>
      <c r="AH39" s="21"/>
      <c r="AI39" s="110">
        <v>0.35416666666666702</v>
      </c>
      <c r="AJ39" s="209"/>
      <c r="AK39" s="110">
        <v>0.35416666666666702</v>
      </c>
      <c r="AL39" s="209"/>
      <c r="AM39" s="110">
        <v>0.35416666666666702</v>
      </c>
      <c r="AN39" s="211"/>
      <c r="AO39" s="21"/>
      <c r="AP39" s="110">
        <v>0.35416666666666702</v>
      </c>
      <c r="AQ39" s="209"/>
      <c r="AR39" s="110">
        <v>0.35416666666666702</v>
      </c>
      <c r="AS39" s="209"/>
      <c r="AT39" s="110">
        <v>0.35416666666666702</v>
      </c>
      <c r="AU39" s="211"/>
      <c r="AV39" s="21"/>
      <c r="AW39" s="110">
        <v>0.35416666666666702</v>
      </c>
      <c r="AX39" s="211"/>
      <c r="AY39" s="21"/>
      <c r="AZ39" s="110">
        <v>0.35416666666666702</v>
      </c>
      <c r="BA39" s="264"/>
      <c r="BC39" s="260">
        <v>0.35416666666666702</v>
      </c>
      <c r="BD39" s="211"/>
      <c r="BE39" s="110">
        <v>0.35416666666666702</v>
      </c>
      <c r="BF39" s="211"/>
      <c r="BG39" s="110">
        <v>0.35416666666666702</v>
      </c>
      <c r="BH39" s="211"/>
      <c r="BI39" s="21"/>
      <c r="BJ39" s="110">
        <v>0.35416666666666702</v>
      </c>
      <c r="BK39" s="209"/>
      <c r="BL39" s="110">
        <v>0.35416666666666702</v>
      </c>
      <c r="BM39" s="209"/>
      <c r="BN39" s="110">
        <v>0.35416666666666702</v>
      </c>
      <c r="BO39" s="211"/>
      <c r="BP39" s="21"/>
      <c r="BQ39" s="110">
        <v>0.35416666666666702</v>
      </c>
      <c r="BR39" s="209"/>
      <c r="BS39" s="110">
        <v>0.35416666666666702</v>
      </c>
      <c r="BT39" s="209"/>
      <c r="BU39" s="110">
        <v>0.35416666666666702</v>
      </c>
      <c r="BV39" s="211"/>
      <c r="BW39" s="21"/>
      <c r="BX39" s="110">
        <v>0.35416666666666702</v>
      </c>
      <c r="BY39" s="209"/>
      <c r="BZ39" s="110">
        <v>0.35416666666666702</v>
      </c>
      <c r="CA39" s="209"/>
      <c r="CB39" s="110">
        <v>0.35416666666666702</v>
      </c>
      <c r="CC39" s="211"/>
      <c r="CD39" s="21"/>
      <c r="CE39" s="110">
        <v>0.35416666666666702</v>
      </c>
      <c r="CF39" s="209"/>
      <c r="CG39" s="110">
        <v>0.35416666666666702</v>
      </c>
      <c r="CH39" s="209"/>
      <c r="CI39" s="110">
        <v>0.35416666666666702</v>
      </c>
      <c r="CJ39" s="211"/>
      <c r="CK39" s="21"/>
      <c r="CL39" s="110">
        <v>0.35416666666666702</v>
      </c>
      <c r="CM39" s="209"/>
      <c r="CN39" s="110">
        <v>0.35416666666666702</v>
      </c>
      <c r="CO39" s="209"/>
      <c r="CP39" s="110">
        <v>0.35416666666666702</v>
      </c>
      <c r="CQ39" s="211"/>
      <c r="CR39" s="21"/>
      <c r="CS39" s="110">
        <v>0.35416666666666702</v>
      </c>
      <c r="CT39" s="211"/>
      <c r="CU39" s="21"/>
      <c r="CV39" s="110">
        <v>0.35416666666666702</v>
      </c>
      <c r="CW39" s="264"/>
      <c r="CY39" s="260">
        <v>0.35416666666666702</v>
      </c>
      <c r="CZ39" s="178"/>
      <c r="DA39" s="110">
        <v>0.35416666666666702</v>
      </c>
      <c r="DB39" s="263"/>
      <c r="DC39" s="110">
        <v>0.35416666666666702</v>
      </c>
      <c r="DD39" s="211"/>
      <c r="DE39" s="21"/>
      <c r="DF39" s="110">
        <v>0.35416666666666702</v>
      </c>
      <c r="DG39" s="209"/>
      <c r="DH39" s="110">
        <v>0.35416666666666702</v>
      </c>
      <c r="DI39" s="209"/>
      <c r="DJ39" s="110">
        <v>0.35416666666666702</v>
      </c>
      <c r="DK39" s="211"/>
      <c r="DL39" s="21"/>
      <c r="DM39" s="110">
        <v>0.35416666666666702</v>
      </c>
      <c r="DN39" s="209"/>
      <c r="DO39" s="110">
        <v>0.35416666666666702</v>
      </c>
      <c r="DP39" s="209"/>
      <c r="DQ39" s="110">
        <v>0.35416666666666702</v>
      </c>
      <c r="DR39" s="211"/>
      <c r="DS39" s="21"/>
      <c r="DT39" s="110">
        <v>0.35416666666666702</v>
      </c>
      <c r="DU39" s="209"/>
      <c r="DV39" s="110">
        <v>0.35416666666666702</v>
      </c>
      <c r="DW39" s="209"/>
      <c r="DX39" s="110">
        <v>0.35416666666666702</v>
      </c>
      <c r="DY39" s="211"/>
      <c r="DZ39" s="21"/>
      <c r="EA39" s="110">
        <v>0.35416666666666702</v>
      </c>
      <c r="EB39" s="209">
        <f>IF('Temperature Profiles'!AA38&gt;18,(0.0018*('Temperature Profiles'!AA38^2)-(0.0475*'Temperature Profiles'!AA38)+0.3123)*1000,IF(AND('Temperature Profiles'!AA38&lt;17,'Temperature Profiles'!AA38&gt;-5.6),(0.0021*('Temperature Profiles'!AA38^2)-(0.0919*'Temperature Profiles'!AA38)+1.0491)*1000,IF(AND('Temperature Profiles'!AA38&lt;-5.6,'Temperature Profiles'!AA38&gt;-11.4),(((-0.2925*'Temperature Profiles'!AA38)-1.6914)*1000)+EB$208,IF('Temperature Profiles'!AA38&lt;-11.4,EB142,0))))</f>
        <v>0</v>
      </c>
      <c r="EC39" s="110">
        <v>0.35416666666666702</v>
      </c>
      <c r="ED39" s="209">
        <f>IF('Temperature Profiles'!AA38&gt;18,(0.0034*('Temperature Profiles'!AA38^2)-(0.087*'Temperature Profiles'!AA38)+0.5117)*1000,IF(AND('Temperature Profiles'!AA38&lt;17,'Temperature Profiles'!AA38&gt;-4.4),(0.0027*('Temperature Profiles'!AA38^2)-(0.149*'Temperature Profiles'!AA38)+1.7779)*1000,IF(AND('Temperature Profiles'!AA38&lt;-4.4,'Temperature Profiles'!AA38&gt;-8.5),(((-0.5391*'Temperature Profiles'!AA38)-2.0906)*1000)+ED$208,IF('Temperature Profiles'!AA38&lt;-8.5,ED142,0))))</f>
        <v>0</v>
      </c>
      <c r="EE39" s="110">
        <v>0.35416666666666702</v>
      </c>
      <c r="EF39" s="211">
        <f>IF('Temperature Profiles'!AA38&gt;18,(0.0048*('Temperature Profiles'!AA38^2)-(0.1352*'Temperature Profiles'!AA38)+0.9193)*1000,IF(AND('Temperature Profiles'!AA38&lt;17,'Temperature Profiles'!AA38&gt;-4.4),(0.0031*('Temperature Profiles'!AA38^2)-(0.2029*'Temperature Profiles'!AA38)+2.4264)*1000,IF(AND('Temperature Profiles'!AA38&lt;-4.4,'Temperature Profiles'!AA38&gt;-8.5),(((-0.7516*'Temperature Profiles'!AA38)-2.9985)*1000)+EF$208,IF('Temperature Profiles'!AA38&lt;-8.5,EF142,0))))</f>
        <v>0</v>
      </c>
      <c r="EG39" s="21"/>
      <c r="EH39" s="110">
        <v>0.35416666666666702</v>
      </c>
      <c r="EI39" s="211"/>
      <c r="EJ39" s="110">
        <v>0.35416666666666702</v>
      </c>
      <c r="EK39" s="211"/>
      <c r="EL39" s="110">
        <v>0.35416666666666702</v>
      </c>
      <c r="EM39" s="211"/>
      <c r="EN39" s="21"/>
      <c r="EO39" s="110">
        <v>0.35416666666666702</v>
      </c>
      <c r="EP39" s="211"/>
      <c r="EQ39" s="21"/>
      <c r="ER39" s="110">
        <v>0.35416666666666702</v>
      </c>
      <c r="ES39" s="264"/>
      <c r="EU39" s="260">
        <v>0.35416666666666702</v>
      </c>
      <c r="EV39" s="209">
        <f>IF('Temperature Profiles'!AA38&gt;18,(0.0018*('Temperature Profiles'!AA38^2)-(0.0475*'Temperature Profiles'!AA38)+0.3123)*1000,IF(AND('Temperature Profiles'!AA38&lt;17,'Temperature Profiles'!AA38&gt;-5.6),(0.0021*('Temperature Profiles'!AA38^2)-(0.0919*'Temperature Profiles'!AA38)+1.0491)*1000,IF(AND('Temperature Profiles'!AA38&lt;-5.6,'Temperature Profiles'!AA38&gt;-11.4),EV$208,IF('Temperature Profiles'!AA38&lt;-11.4,EV142,0))))</f>
        <v>0</v>
      </c>
      <c r="EW39" s="110">
        <v>0.35416666666666702</v>
      </c>
      <c r="EX39" s="209">
        <f>IF('Temperature Profiles'!AA38&gt;18,(0.0034*('Temperature Profiles'!AA38^2)-(0.087*'Temperature Profiles'!AA38)+0.5117)*1000,IF(AND('Temperature Profiles'!AA38&lt;17,'Temperature Profiles'!AA38&gt;-4.4),(0.0027*('Temperature Profiles'!AA38^2)-(0.149*'Temperature Profiles'!AA38)+1.7779)*1000,IF(AND('Temperature Profiles'!AA38&lt;-4.4,'Temperature Profiles'!AA38&gt;-8.5),EX$208,IF('Temperature Profiles'!AA38&lt;-8.5,EX142,0))))</f>
        <v>0</v>
      </c>
      <c r="EY39" s="110">
        <v>0.35416666666666702</v>
      </c>
      <c r="EZ39" s="264">
        <f>IF('Temperature Profiles'!AA38&gt;18,(0.0048*('Temperature Profiles'!AA38^2)-(0.1352*'Temperature Profiles'!AA38)+0.9193)*1000,IF(AND('Temperature Profiles'!AA38&lt;17,'Temperature Profiles'!AA38&gt;-4.4),(0.0031*('Temperature Profiles'!AA38^2)-(0.2029*'Temperature Profiles'!AA38)+2.4264)*1000,IF(AND('Temperature Profiles'!AA38&lt;-4.4,'Temperature Profiles'!AA38&gt;-8.5),EZ$208,IF('Temperature Profiles'!AA38&lt;-8.5,EZ142,0))))</f>
        <v>0</v>
      </c>
    </row>
    <row r="40" spans="1:156" x14ac:dyDescent="0.3">
      <c r="A40" s="108">
        <v>0.35416666666666702</v>
      </c>
      <c r="B40" s="226">
        <f t="shared" si="4"/>
        <v>0</v>
      </c>
      <c r="C40" s="21">
        <f t="shared" si="5"/>
        <v>0</v>
      </c>
      <c r="D40" s="21">
        <f t="shared" si="6"/>
        <v>0</v>
      </c>
      <c r="E40" s="20">
        <f t="shared" si="3"/>
        <v>0</v>
      </c>
      <c r="G40" s="260">
        <v>0.36458333333333298</v>
      </c>
      <c r="H40" s="211"/>
      <c r="I40" s="110">
        <v>0.36458333333333298</v>
      </c>
      <c r="J40" s="211"/>
      <c r="K40" s="110">
        <v>0.36458333333333298</v>
      </c>
      <c r="L40" s="211"/>
      <c r="M40" s="21"/>
      <c r="N40" s="110">
        <v>0.36458333333333298</v>
      </c>
      <c r="O40" s="209"/>
      <c r="P40" s="110">
        <v>0.36458333333333298</v>
      </c>
      <c r="Q40" s="209"/>
      <c r="R40" s="110">
        <v>0.36458333333333298</v>
      </c>
      <c r="S40" s="211"/>
      <c r="T40" s="21"/>
      <c r="U40" s="110">
        <v>0.36458333333333298</v>
      </c>
      <c r="V40" s="209"/>
      <c r="W40" s="110">
        <v>0.36458333333333298</v>
      </c>
      <c r="X40" s="209"/>
      <c r="Y40" s="110">
        <v>0.36458333333333298</v>
      </c>
      <c r="Z40" s="211"/>
      <c r="AA40" s="21"/>
      <c r="AB40" s="110">
        <v>0.36458333333333298</v>
      </c>
      <c r="AC40" s="209"/>
      <c r="AD40" s="110">
        <v>0.36458333333333298</v>
      </c>
      <c r="AE40" s="209"/>
      <c r="AF40" s="110">
        <v>0.36458333333333298</v>
      </c>
      <c r="AG40" s="211"/>
      <c r="AH40" s="21"/>
      <c r="AI40" s="110">
        <v>0.36458333333333298</v>
      </c>
      <c r="AJ40" s="209"/>
      <c r="AK40" s="110">
        <v>0.36458333333333298</v>
      </c>
      <c r="AL40" s="209"/>
      <c r="AM40" s="110">
        <v>0.36458333333333298</v>
      </c>
      <c r="AN40" s="211"/>
      <c r="AO40" s="21"/>
      <c r="AP40" s="110">
        <v>0.36458333333333298</v>
      </c>
      <c r="AQ40" s="209"/>
      <c r="AR40" s="110">
        <v>0.36458333333333298</v>
      </c>
      <c r="AS40" s="209"/>
      <c r="AT40" s="110">
        <v>0.36458333333333298</v>
      </c>
      <c r="AU40" s="211"/>
      <c r="AV40" s="21"/>
      <c r="AW40" s="110">
        <v>0.36458333333333298</v>
      </c>
      <c r="AX40" s="211"/>
      <c r="AY40" s="21"/>
      <c r="AZ40" s="110">
        <v>0.36458333333333298</v>
      </c>
      <c r="BA40" s="264"/>
      <c r="BC40" s="260">
        <v>0.36458333333333298</v>
      </c>
      <c r="BD40" s="211"/>
      <c r="BE40" s="110">
        <v>0.36458333333333298</v>
      </c>
      <c r="BF40" s="211"/>
      <c r="BG40" s="110">
        <v>0.36458333333333298</v>
      </c>
      <c r="BH40" s="211"/>
      <c r="BI40" s="21"/>
      <c r="BJ40" s="110">
        <v>0.36458333333333298</v>
      </c>
      <c r="BK40" s="209"/>
      <c r="BL40" s="110">
        <v>0.36458333333333298</v>
      </c>
      <c r="BM40" s="209"/>
      <c r="BN40" s="110">
        <v>0.36458333333333298</v>
      </c>
      <c r="BO40" s="211"/>
      <c r="BP40" s="21"/>
      <c r="BQ40" s="110">
        <v>0.36458333333333298</v>
      </c>
      <c r="BR40" s="209"/>
      <c r="BS40" s="110">
        <v>0.36458333333333298</v>
      </c>
      <c r="BT40" s="209"/>
      <c r="BU40" s="110">
        <v>0.36458333333333298</v>
      </c>
      <c r="BV40" s="211"/>
      <c r="BW40" s="21"/>
      <c r="BX40" s="110">
        <v>0.36458333333333298</v>
      </c>
      <c r="BY40" s="209"/>
      <c r="BZ40" s="110">
        <v>0.36458333333333298</v>
      </c>
      <c r="CA40" s="209"/>
      <c r="CB40" s="110">
        <v>0.36458333333333298</v>
      </c>
      <c r="CC40" s="211"/>
      <c r="CD40" s="21"/>
      <c r="CE40" s="110">
        <v>0.36458333333333298</v>
      </c>
      <c r="CF40" s="209"/>
      <c r="CG40" s="110">
        <v>0.36458333333333298</v>
      </c>
      <c r="CH40" s="209"/>
      <c r="CI40" s="110">
        <v>0.36458333333333298</v>
      </c>
      <c r="CJ40" s="211"/>
      <c r="CK40" s="21"/>
      <c r="CL40" s="110">
        <v>0.36458333333333298</v>
      </c>
      <c r="CM40" s="209"/>
      <c r="CN40" s="110">
        <v>0.36458333333333298</v>
      </c>
      <c r="CO40" s="209"/>
      <c r="CP40" s="110">
        <v>0.36458333333333298</v>
      </c>
      <c r="CQ40" s="211"/>
      <c r="CR40" s="21"/>
      <c r="CS40" s="110">
        <v>0.36458333333333298</v>
      </c>
      <c r="CT40" s="211"/>
      <c r="CU40" s="21"/>
      <c r="CV40" s="110">
        <v>0.36458333333333298</v>
      </c>
      <c r="CW40" s="264"/>
      <c r="CY40" s="260">
        <v>0.36458333333333298</v>
      </c>
      <c r="CZ40" s="178"/>
      <c r="DA40" s="110">
        <v>0.36458333333333298</v>
      </c>
      <c r="DB40" s="263"/>
      <c r="DC40" s="110">
        <v>0.36458333333333298</v>
      </c>
      <c r="DD40" s="211"/>
      <c r="DE40" s="21"/>
      <c r="DF40" s="110">
        <v>0.36458333333333298</v>
      </c>
      <c r="DG40" s="209"/>
      <c r="DH40" s="110">
        <v>0.36458333333333298</v>
      </c>
      <c r="DI40" s="209"/>
      <c r="DJ40" s="110">
        <v>0.36458333333333298</v>
      </c>
      <c r="DK40" s="211"/>
      <c r="DL40" s="21"/>
      <c r="DM40" s="110">
        <v>0.36458333333333298</v>
      </c>
      <c r="DN40" s="209"/>
      <c r="DO40" s="110">
        <v>0.36458333333333298</v>
      </c>
      <c r="DP40" s="209"/>
      <c r="DQ40" s="110">
        <v>0.36458333333333298</v>
      </c>
      <c r="DR40" s="211"/>
      <c r="DS40" s="21"/>
      <c r="DT40" s="110">
        <v>0.36458333333333298</v>
      </c>
      <c r="DU40" s="209"/>
      <c r="DV40" s="110">
        <v>0.36458333333333298</v>
      </c>
      <c r="DW40" s="209"/>
      <c r="DX40" s="110">
        <v>0.36458333333333298</v>
      </c>
      <c r="DY40" s="211"/>
      <c r="DZ40" s="21"/>
      <c r="EA40" s="110">
        <v>0.36458333333333298</v>
      </c>
      <c r="EB40" s="209">
        <f>IF('Temperature Profiles'!AA39&gt;18,(0.0018*('Temperature Profiles'!AA39^2)-(0.0475*'Temperature Profiles'!AA39)+0.3123)*1000,IF(AND('Temperature Profiles'!AA39&lt;17,'Temperature Profiles'!AA39&gt;-5.6),(0.0021*('Temperature Profiles'!AA39^2)-(0.0919*'Temperature Profiles'!AA39)+1.0491)*1000,IF(AND('Temperature Profiles'!AA39&lt;-5.6,'Temperature Profiles'!AA39&gt;-11.4),(((-0.2925*'Temperature Profiles'!AA39)-1.6914)*1000)+EB$208,IF('Temperature Profiles'!AA39&lt;-11.4,EB143,0))))</f>
        <v>0</v>
      </c>
      <c r="EC40" s="110">
        <v>0.36458333333333298</v>
      </c>
      <c r="ED40" s="209">
        <f>IF('Temperature Profiles'!AA39&gt;18,(0.0034*('Temperature Profiles'!AA39^2)-(0.087*'Temperature Profiles'!AA39)+0.5117)*1000,IF(AND('Temperature Profiles'!AA39&lt;17,'Temperature Profiles'!AA39&gt;-4.4),(0.0027*('Temperature Profiles'!AA39^2)-(0.149*'Temperature Profiles'!AA39)+1.7779)*1000,IF(AND('Temperature Profiles'!AA39&lt;-4.4,'Temperature Profiles'!AA39&gt;-8.5),(((-0.5391*'Temperature Profiles'!AA39)-2.0906)*1000)+ED$208,IF('Temperature Profiles'!AA39&lt;-8.5,ED143,0))))</f>
        <v>0</v>
      </c>
      <c r="EE40" s="110">
        <v>0.36458333333333298</v>
      </c>
      <c r="EF40" s="211">
        <f>IF('Temperature Profiles'!AA39&gt;18,(0.0048*('Temperature Profiles'!AA39^2)-(0.1352*'Temperature Profiles'!AA39)+0.9193)*1000,IF(AND('Temperature Profiles'!AA39&lt;17,'Temperature Profiles'!AA39&gt;-4.4),(0.0031*('Temperature Profiles'!AA39^2)-(0.2029*'Temperature Profiles'!AA39)+2.4264)*1000,IF(AND('Temperature Profiles'!AA39&lt;-4.4,'Temperature Profiles'!AA39&gt;-8.5),(((-0.7516*'Temperature Profiles'!AA39)-2.9985)*1000)+EF$208,IF('Temperature Profiles'!AA39&lt;-8.5,EF143,0))))</f>
        <v>0</v>
      </c>
      <c r="EG40" s="21"/>
      <c r="EH40" s="110">
        <v>0.36458333333333298</v>
      </c>
      <c r="EI40" s="211"/>
      <c r="EJ40" s="110">
        <v>0.36458333333333298</v>
      </c>
      <c r="EK40" s="211"/>
      <c r="EL40" s="110">
        <v>0.36458333333333298</v>
      </c>
      <c r="EM40" s="211"/>
      <c r="EN40" s="21"/>
      <c r="EO40" s="110">
        <v>0.36458333333333298</v>
      </c>
      <c r="EP40" s="211"/>
      <c r="EQ40" s="21"/>
      <c r="ER40" s="110">
        <v>0.36458333333333298</v>
      </c>
      <c r="ES40" s="264"/>
      <c r="EU40" s="260">
        <v>0.36458333333333298</v>
      </c>
      <c r="EV40" s="209">
        <f>IF('Temperature Profiles'!AA39&gt;18,(0.0018*('Temperature Profiles'!AA39^2)-(0.0475*'Temperature Profiles'!AA39)+0.3123)*1000,IF(AND('Temperature Profiles'!AA39&lt;17,'Temperature Profiles'!AA39&gt;-5.6),(0.0021*('Temperature Profiles'!AA39^2)-(0.0919*'Temperature Profiles'!AA39)+1.0491)*1000,IF(AND('Temperature Profiles'!AA39&lt;-5.6,'Temperature Profiles'!AA39&gt;-11.4),EV$208,IF('Temperature Profiles'!AA39&lt;-11.4,EV143,0))))</f>
        <v>0</v>
      </c>
      <c r="EW40" s="110">
        <v>0.36458333333333298</v>
      </c>
      <c r="EX40" s="209">
        <f>IF('Temperature Profiles'!AA39&gt;18,(0.0034*('Temperature Profiles'!AA39^2)-(0.087*'Temperature Profiles'!AA39)+0.5117)*1000,IF(AND('Temperature Profiles'!AA39&lt;17,'Temperature Profiles'!AA39&gt;-4.4),(0.0027*('Temperature Profiles'!AA39^2)-(0.149*'Temperature Profiles'!AA39)+1.7779)*1000,IF(AND('Temperature Profiles'!AA39&lt;-4.4,'Temperature Profiles'!AA39&gt;-8.5),EX$208,IF('Temperature Profiles'!AA39&lt;-8.5,EX143,0))))</f>
        <v>0</v>
      </c>
      <c r="EY40" s="110">
        <v>0.36458333333333298</v>
      </c>
      <c r="EZ40" s="264">
        <f>IF('Temperature Profiles'!AA39&gt;18,(0.0048*('Temperature Profiles'!AA39^2)-(0.1352*'Temperature Profiles'!AA39)+0.9193)*1000,IF(AND('Temperature Profiles'!AA39&lt;17,'Temperature Profiles'!AA39&gt;-4.4),(0.0031*('Temperature Profiles'!AA39^2)-(0.2029*'Temperature Profiles'!AA39)+2.4264)*1000,IF(AND('Temperature Profiles'!AA39&lt;-4.4,'Temperature Profiles'!AA39&gt;-8.5),EZ$208,IF('Temperature Profiles'!AA39&lt;-8.5,EZ143,0))))</f>
        <v>0</v>
      </c>
    </row>
    <row r="41" spans="1:156" x14ac:dyDescent="0.3">
      <c r="A41" s="108">
        <v>0.36458333333333298</v>
      </c>
      <c r="B41" s="226">
        <f t="shared" si="4"/>
        <v>0</v>
      </c>
      <c r="C41" s="21">
        <f t="shared" si="5"/>
        <v>0</v>
      </c>
      <c r="D41" s="21">
        <f t="shared" si="6"/>
        <v>0</v>
      </c>
      <c r="E41" s="20">
        <f t="shared" si="3"/>
        <v>0</v>
      </c>
      <c r="G41" s="260">
        <v>0.375</v>
      </c>
      <c r="H41" s="211"/>
      <c r="I41" s="110">
        <v>0.375</v>
      </c>
      <c r="J41" s="211"/>
      <c r="K41" s="110">
        <v>0.375</v>
      </c>
      <c r="L41" s="211"/>
      <c r="M41" s="21"/>
      <c r="N41" s="110">
        <v>0.375</v>
      </c>
      <c r="O41" s="209"/>
      <c r="P41" s="110">
        <v>0.375</v>
      </c>
      <c r="Q41" s="209"/>
      <c r="R41" s="110">
        <v>0.375</v>
      </c>
      <c r="S41" s="211"/>
      <c r="T41" s="21"/>
      <c r="U41" s="110">
        <v>0.375</v>
      </c>
      <c r="V41" s="209"/>
      <c r="W41" s="110">
        <v>0.375</v>
      </c>
      <c r="X41" s="209"/>
      <c r="Y41" s="110">
        <v>0.375</v>
      </c>
      <c r="Z41" s="211"/>
      <c r="AA41" s="21"/>
      <c r="AB41" s="110">
        <v>0.375</v>
      </c>
      <c r="AC41" s="209"/>
      <c r="AD41" s="110">
        <v>0.375</v>
      </c>
      <c r="AE41" s="209"/>
      <c r="AF41" s="110">
        <v>0.375</v>
      </c>
      <c r="AG41" s="211"/>
      <c r="AH41" s="21"/>
      <c r="AI41" s="110">
        <v>0.375</v>
      </c>
      <c r="AJ41" s="209"/>
      <c r="AK41" s="110">
        <v>0.375</v>
      </c>
      <c r="AL41" s="209"/>
      <c r="AM41" s="110">
        <v>0.375</v>
      </c>
      <c r="AN41" s="211"/>
      <c r="AO41" s="21"/>
      <c r="AP41" s="110">
        <v>0.375</v>
      </c>
      <c r="AQ41" s="209"/>
      <c r="AR41" s="110">
        <v>0.375</v>
      </c>
      <c r="AS41" s="209"/>
      <c r="AT41" s="110">
        <v>0.375</v>
      </c>
      <c r="AU41" s="211"/>
      <c r="AV41" s="21"/>
      <c r="AW41" s="110">
        <v>0.375</v>
      </c>
      <c r="AX41" s="211"/>
      <c r="AY41" s="21"/>
      <c r="AZ41" s="110">
        <v>0.375</v>
      </c>
      <c r="BA41" s="264"/>
      <c r="BC41" s="260">
        <v>0.375</v>
      </c>
      <c r="BD41" s="211"/>
      <c r="BE41" s="110">
        <v>0.375</v>
      </c>
      <c r="BF41" s="211"/>
      <c r="BG41" s="110">
        <v>0.375</v>
      </c>
      <c r="BH41" s="211"/>
      <c r="BI41" s="21"/>
      <c r="BJ41" s="110">
        <v>0.375</v>
      </c>
      <c r="BK41" s="209"/>
      <c r="BL41" s="110">
        <v>0.375</v>
      </c>
      <c r="BM41" s="209"/>
      <c r="BN41" s="110">
        <v>0.375</v>
      </c>
      <c r="BO41" s="211"/>
      <c r="BP41" s="21"/>
      <c r="BQ41" s="110">
        <v>0.375</v>
      </c>
      <c r="BR41" s="209"/>
      <c r="BS41" s="110">
        <v>0.375</v>
      </c>
      <c r="BT41" s="209"/>
      <c r="BU41" s="110">
        <v>0.375</v>
      </c>
      <c r="BV41" s="211"/>
      <c r="BW41" s="21"/>
      <c r="BX41" s="110">
        <v>0.375</v>
      </c>
      <c r="BY41" s="209"/>
      <c r="BZ41" s="110">
        <v>0.375</v>
      </c>
      <c r="CA41" s="209"/>
      <c r="CB41" s="110">
        <v>0.375</v>
      </c>
      <c r="CC41" s="211"/>
      <c r="CD41" s="21"/>
      <c r="CE41" s="110">
        <v>0.375</v>
      </c>
      <c r="CF41" s="209"/>
      <c r="CG41" s="110">
        <v>0.375</v>
      </c>
      <c r="CH41" s="209"/>
      <c r="CI41" s="110">
        <v>0.375</v>
      </c>
      <c r="CJ41" s="211"/>
      <c r="CK41" s="21"/>
      <c r="CL41" s="110">
        <v>0.375</v>
      </c>
      <c r="CM41" s="209"/>
      <c r="CN41" s="110">
        <v>0.375</v>
      </c>
      <c r="CO41" s="209"/>
      <c r="CP41" s="110">
        <v>0.375</v>
      </c>
      <c r="CQ41" s="211"/>
      <c r="CR41" s="21"/>
      <c r="CS41" s="110">
        <v>0.375</v>
      </c>
      <c r="CT41" s="211"/>
      <c r="CU41" s="21"/>
      <c r="CV41" s="110">
        <v>0.375</v>
      </c>
      <c r="CW41" s="264"/>
      <c r="CY41" s="260">
        <v>0.375</v>
      </c>
      <c r="CZ41" s="178"/>
      <c r="DA41" s="110">
        <v>0.375</v>
      </c>
      <c r="DB41" s="263"/>
      <c r="DC41" s="110">
        <v>0.375</v>
      </c>
      <c r="DD41" s="211"/>
      <c r="DE41" s="21"/>
      <c r="DF41" s="110">
        <v>0.375</v>
      </c>
      <c r="DG41" s="209"/>
      <c r="DH41" s="110">
        <v>0.375</v>
      </c>
      <c r="DI41" s="209"/>
      <c r="DJ41" s="110">
        <v>0.375</v>
      </c>
      <c r="DK41" s="211"/>
      <c r="DL41" s="21"/>
      <c r="DM41" s="110">
        <v>0.375</v>
      </c>
      <c r="DN41" s="209"/>
      <c r="DO41" s="110">
        <v>0.375</v>
      </c>
      <c r="DP41" s="209"/>
      <c r="DQ41" s="110">
        <v>0.375</v>
      </c>
      <c r="DR41" s="211"/>
      <c r="DS41" s="21"/>
      <c r="DT41" s="110">
        <v>0.375</v>
      </c>
      <c r="DU41" s="209"/>
      <c r="DV41" s="110">
        <v>0.375</v>
      </c>
      <c r="DW41" s="209"/>
      <c r="DX41" s="110">
        <v>0.375</v>
      </c>
      <c r="DY41" s="211"/>
      <c r="DZ41" s="21"/>
      <c r="EA41" s="110">
        <v>0.375</v>
      </c>
      <c r="EB41" s="209">
        <f>IF('Temperature Profiles'!AA40&gt;18,(0.0018*('Temperature Profiles'!AA40^2)-(0.0475*'Temperature Profiles'!AA40)+0.3123)*1000,IF(AND('Temperature Profiles'!AA40&lt;17,'Temperature Profiles'!AA40&gt;-5.6),(0.0021*('Temperature Profiles'!AA40^2)-(0.0919*'Temperature Profiles'!AA40)+1.0491)*1000,IF(AND('Temperature Profiles'!AA40&lt;-5.6,'Temperature Profiles'!AA40&gt;-11.4),(((-0.2925*'Temperature Profiles'!AA40)-1.6914)*1000)+EB$208,IF('Temperature Profiles'!AA40&lt;-11.4,EB144,0))))</f>
        <v>6900</v>
      </c>
      <c r="EC41" s="110">
        <v>0.375</v>
      </c>
      <c r="ED41" s="209">
        <f>IF('Temperature Profiles'!AA40&gt;18,(0.0034*('Temperature Profiles'!AA40^2)-(0.087*'Temperature Profiles'!AA40)+0.5117)*1000,IF(AND('Temperature Profiles'!AA40&lt;17,'Temperature Profiles'!AA40&gt;-4.4),(0.0027*('Temperature Profiles'!AA40^2)-(0.149*'Temperature Profiles'!AA40)+1.7779)*1000,IF(AND('Temperature Profiles'!AA40&lt;-4.4,'Temperature Profiles'!AA40&gt;-8.5),(((-0.5391*'Temperature Profiles'!AA40)-2.0906)*1000)+ED$208,IF('Temperature Profiles'!AA40&lt;-8.5,ED144,0))))</f>
        <v>12300</v>
      </c>
      <c r="EE41" s="110">
        <v>0.375</v>
      </c>
      <c r="EF41" s="211">
        <f>IF('Temperature Profiles'!AA40&gt;18,(0.0048*('Temperature Profiles'!AA40^2)-(0.1352*'Temperature Profiles'!AA40)+0.9193)*1000,IF(AND('Temperature Profiles'!AA40&lt;17,'Temperature Profiles'!AA40&gt;-4.4),(0.0031*('Temperature Profiles'!AA40^2)-(0.2029*'Temperature Profiles'!AA40)+2.4264)*1000,IF(AND('Temperature Profiles'!AA40&lt;-4.4,'Temperature Profiles'!AA40&gt;-8.5),(((-0.7516*'Temperature Profiles'!AA40)-2.9985)*1000)+EF$208,IF('Temperature Profiles'!AA40&lt;-8.5,EF144,0))))</f>
        <v>16000</v>
      </c>
      <c r="EG41" s="21"/>
      <c r="EH41" s="110">
        <v>0.375</v>
      </c>
      <c r="EI41" s="211"/>
      <c r="EJ41" s="110">
        <v>0.375</v>
      </c>
      <c r="EK41" s="211"/>
      <c r="EL41" s="110">
        <v>0.375</v>
      </c>
      <c r="EM41" s="211"/>
      <c r="EN41" s="21"/>
      <c r="EO41" s="110">
        <v>0.375</v>
      </c>
      <c r="EP41" s="211"/>
      <c r="EQ41" s="21"/>
      <c r="ER41" s="110">
        <v>0.375</v>
      </c>
      <c r="ES41" s="264"/>
      <c r="EU41" s="260">
        <v>0.375</v>
      </c>
      <c r="EV41" s="209">
        <f>IF('Temperature Profiles'!AA40&gt;18,(0.0018*('Temperature Profiles'!AA40^2)-(0.0475*'Temperature Profiles'!AA40)+0.3123)*1000,IF(AND('Temperature Profiles'!AA40&lt;17,'Temperature Profiles'!AA40&gt;-5.6),(0.0021*('Temperature Profiles'!AA40^2)-(0.0919*'Temperature Profiles'!AA40)+1.0491)*1000,IF(AND('Temperature Profiles'!AA40&lt;-5.6,'Temperature Profiles'!AA40&gt;-11.4),EV$208,IF('Temperature Profiles'!AA40&lt;-11.4,EV144,0))))</f>
        <v>5400</v>
      </c>
      <c r="EW41" s="110">
        <v>0.375</v>
      </c>
      <c r="EX41" s="209">
        <f>IF('Temperature Profiles'!AA40&gt;18,(0.0034*('Temperature Profiles'!AA40^2)-(0.087*'Temperature Profiles'!AA40)+0.5117)*1000,IF(AND('Temperature Profiles'!AA40&lt;17,'Temperature Profiles'!AA40&gt;-4.4),(0.0027*('Temperature Profiles'!AA40^2)-(0.149*'Temperature Profiles'!AA40)+1.7779)*1000,IF(AND('Temperature Profiles'!AA40&lt;-4.4,'Temperature Profiles'!AA40&gt;-8.5),EX$208,IF('Temperature Profiles'!AA40&lt;-8.5,EX144,0))))</f>
        <v>5400</v>
      </c>
      <c r="EY41" s="110">
        <v>0.375</v>
      </c>
      <c r="EZ41" s="264">
        <f>IF('Temperature Profiles'!AA40&gt;18,(0.0048*('Temperature Profiles'!AA40^2)-(0.1352*'Temperature Profiles'!AA40)+0.9193)*1000,IF(AND('Temperature Profiles'!AA40&lt;17,'Temperature Profiles'!AA40&gt;-4.4),(0.0031*('Temperature Profiles'!AA40^2)-(0.2029*'Temperature Profiles'!AA40)+2.4264)*1000,IF(AND('Temperature Profiles'!AA40&lt;-4.4,'Temperature Profiles'!AA40&gt;-8.5),EZ$208,IF('Temperature Profiles'!AA40&lt;-8.5,EZ144,0))))</f>
        <v>5400</v>
      </c>
    </row>
    <row r="42" spans="1:156" x14ac:dyDescent="0.3">
      <c r="A42" s="108">
        <v>0.375</v>
      </c>
      <c r="B42" s="226">
        <f t="shared" si="4"/>
        <v>0</v>
      </c>
      <c r="C42" s="21">
        <f t="shared" si="5"/>
        <v>0</v>
      </c>
      <c r="D42" s="21">
        <f t="shared" si="6"/>
        <v>16000</v>
      </c>
      <c r="E42" s="20">
        <f t="shared" si="3"/>
        <v>5400</v>
      </c>
      <c r="G42" s="260">
        <v>0.38541666666666702</v>
      </c>
      <c r="H42" s="211"/>
      <c r="I42" s="110">
        <v>0.38541666666666702</v>
      </c>
      <c r="J42" s="211"/>
      <c r="K42" s="110">
        <v>0.38541666666666702</v>
      </c>
      <c r="L42" s="211"/>
      <c r="M42" s="21"/>
      <c r="N42" s="110">
        <v>0.38541666666666702</v>
      </c>
      <c r="O42" s="209"/>
      <c r="P42" s="110">
        <v>0.38541666666666702</v>
      </c>
      <c r="Q42" s="209"/>
      <c r="R42" s="110">
        <v>0.38541666666666702</v>
      </c>
      <c r="S42" s="211"/>
      <c r="T42" s="21"/>
      <c r="U42" s="110">
        <v>0.38541666666666702</v>
      </c>
      <c r="V42" s="209"/>
      <c r="W42" s="110">
        <v>0.38541666666666702</v>
      </c>
      <c r="X42" s="209"/>
      <c r="Y42" s="110">
        <v>0.38541666666666702</v>
      </c>
      <c r="Z42" s="211"/>
      <c r="AA42" s="21"/>
      <c r="AB42" s="110">
        <v>0.38541666666666702</v>
      </c>
      <c r="AC42" s="209"/>
      <c r="AD42" s="110">
        <v>0.38541666666666702</v>
      </c>
      <c r="AE42" s="209"/>
      <c r="AF42" s="110">
        <v>0.38541666666666702</v>
      </c>
      <c r="AG42" s="211"/>
      <c r="AH42" s="21"/>
      <c r="AI42" s="110">
        <v>0.38541666666666702</v>
      </c>
      <c r="AJ42" s="209"/>
      <c r="AK42" s="110">
        <v>0.38541666666666702</v>
      </c>
      <c r="AL42" s="209"/>
      <c r="AM42" s="110">
        <v>0.38541666666666702</v>
      </c>
      <c r="AN42" s="211"/>
      <c r="AO42" s="21"/>
      <c r="AP42" s="110">
        <v>0.38541666666666702</v>
      </c>
      <c r="AQ42" s="209"/>
      <c r="AR42" s="110">
        <v>0.38541666666666702</v>
      </c>
      <c r="AS42" s="209"/>
      <c r="AT42" s="110">
        <v>0.38541666666666702</v>
      </c>
      <c r="AU42" s="211"/>
      <c r="AV42" s="21"/>
      <c r="AW42" s="110">
        <v>0.38541666666666702</v>
      </c>
      <c r="AX42" s="211"/>
      <c r="AY42" s="21"/>
      <c r="AZ42" s="110">
        <v>0.38541666666666702</v>
      </c>
      <c r="BA42" s="264"/>
      <c r="BC42" s="260">
        <v>0.38541666666666702</v>
      </c>
      <c r="BD42" s="211"/>
      <c r="BE42" s="110">
        <v>0.38541666666666702</v>
      </c>
      <c r="BF42" s="211"/>
      <c r="BG42" s="110">
        <v>0.38541666666666702</v>
      </c>
      <c r="BH42" s="211"/>
      <c r="BI42" s="21"/>
      <c r="BJ42" s="110">
        <v>0.38541666666666702</v>
      </c>
      <c r="BK42" s="209"/>
      <c r="BL42" s="110">
        <v>0.38541666666666702</v>
      </c>
      <c r="BM42" s="209"/>
      <c r="BN42" s="110">
        <v>0.38541666666666702</v>
      </c>
      <c r="BO42" s="211"/>
      <c r="BP42" s="21"/>
      <c r="BQ42" s="110">
        <v>0.38541666666666702</v>
      </c>
      <c r="BR42" s="209"/>
      <c r="BS42" s="110">
        <v>0.38541666666666702</v>
      </c>
      <c r="BT42" s="209"/>
      <c r="BU42" s="110">
        <v>0.38541666666666702</v>
      </c>
      <c r="BV42" s="211"/>
      <c r="BW42" s="21"/>
      <c r="BX42" s="110">
        <v>0.38541666666666702</v>
      </c>
      <c r="BY42" s="209"/>
      <c r="BZ42" s="110">
        <v>0.38541666666666702</v>
      </c>
      <c r="CA42" s="209"/>
      <c r="CB42" s="110">
        <v>0.38541666666666702</v>
      </c>
      <c r="CC42" s="211"/>
      <c r="CD42" s="21"/>
      <c r="CE42" s="110">
        <v>0.38541666666666702</v>
      </c>
      <c r="CF42" s="209"/>
      <c r="CG42" s="110">
        <v>0.38541666666666702</v>
      </c>
      <c r="CH42" s="209"/>
      <c r="CI42" s="110">
        <v>0.38541666666666702</v>
      </c>
      <c r="CJ42" s="211"/>
      <c r="CK42" s="21"/>
      <c r="CL42" s="110">
        <v>0.38541666666666702</v>
      </c>
      <c r="CM42" s="209"/>
      <c r="CN42" s="110">
        <v>0.38541666666666702</v>
      </c>
      <c r="CO42" s="209"/>
      <c r="CP42" s="110">
        <v>0.38541666666666702</v>
      </c>
      <c r="CQ42" s="211"/>
      <c r="CR42" s="21"/>
      <c r="CS42" s="110">
        <v>0.38541666666666702</v>
      </c>
      <c r="CT42" s="211"/>
      <c r="CU42" s="21"/>
      <c r="CV42" s="110">
        <v>0.38541666666666702</v>
      </c>
      <c r="CW42" s="264"/>
      <c r="CY42" s="260">
        <v>0.38541666666666702</v>
      </c>
      <c r="CZ42" s="178"/>
      <c r="DA42" s="110">
        <v>0.38541666666666702</v>
      </c>
      <c r="DB42" s="263"/>
      <c r="DC42" s="110">
        <v>0.38541666666666702</v>
      </c>
      <c r="DD42" s="211"/>
      <c r="DE42" s="21"/>
      <c r="DF42" s="110">
        <v>0.38541666666666702</v>
      </c>
      <c r="DG42" s="209"/>
      <c r="DH42" s="110">
        <v>0.38541666666666702</v>
      </c>
      <c r="DI42" s="209"/>
      <c r="DJ42" s="110">
        <v>0.38541666666666702</v>
      </c>
      <c r="DK42" s="211"/>
      <c r="DL42" s="21"/>
      <c r="DM42" s="110">
        <v>0.38541666666666702</v>
      </c>
      <c r="DN42" s="209"/>
      <c r="DO42" s="110">
        <v>0.38541666666666702</v>
      </c>
      <c r="DP42" s="209"/>
      <c r="DQ42" s="110">
        <v>0.38541666666666702</v>
      </c>
      <c r="DR42" s="211"/>
      <c r="DS42" s="21"/>
      <c r="DT42" s="110">
        <v>0.38541666666666702</v>
      </c>
      <c r="DU42" s="209"/>
      <c r="DV42" s="110">
        <v>0.38541666666666702</v>
      </c>
      <c r="DW42" s="209"/>
      <c r="DX42" s="110">
        <v>0.38541666666666702</v>
      </c>
      <c r="DY42" s="211"/>
      <c r="DZ42" s="21"/>
      <c r="EA42" s="110">
        <v>0.38541666666666702</v>
      </c>
      <c r="EB42" s="209">
        <f>IF('Temperature Profiles'!AA41&gt;18,(0.0018*('Temperature Profiles'!AA41^2)-(0.0475*'Temperature Profiles'!AA41)+0.3123)*1000,IF(AND('Temperature Profiles'!AA41&lt;17,'Temperature Profiles'!AA41&gt;-5.6),(0.0021*('Temperature Profiles'!AA41^2)-(0.0919*'Temperature Profiles'!AA41)+1.0491)*1000,IF(AND('Temperature Profiles'!AA41&lt;-5.6,'Temperature Profiles'!AA41&gt;-11.4),(((-0.2925*'Temperature Profiles'!AA41)-1.6914)*1000)+EB$208,IF('Temperature Profiles'!AA41&lt;-11.4,EB145,0))))</f>
        <v>6900</v>
      </c>
      <c r="EC42" s="110">
        <v>0.38541666666666702</v>
      </c>
      <c r="ED42" s="209">
        <f>IF('Temperature Profiles'!AA41&gt;18,(0.0034*('Temperature Profiles'!AA41^2)-(0.087*'Temperature Profiles'!AA41)+0.5117)*1000,IF(AND('Temperature Profiles'!AA41&lt;17,'Temperature Profiles'!AA41&gt;-4.4),(0.0027*('Temperature Profiles'!AA41^2)-(0.149*'Temperature Profiles'!AA41)+1.7779)*1000,IF(AND('Temperature Profiles'!AA41&lt;-4.4,'Temperature Profiles'!AA41&gt;-8.5),(((-0.5391*'Temperature Profiles'!AA41)-2.0906)*1000)+ED$208,IF('Temperature Profiles'!AA41&lt;-8.5,ED145,0))))</f>
        <v>12300</v>
      </c>
      <c r="EE42" s="110">
        <v>0.38541666666666702</v>
      </c>
      <c r="EF42" s="211">
        <f>IF('Temperature Profiles'!AA41&gt;18,(0.0048*('Temperature Profiles'!AA41^2)-(0.1352*'Temperature Profiles'!AA41)+0.9193)*1000,IF(AND('Temperature Profiles'!AA41&lt;17,'Temperature Profiles'!AA41&gt;-4.4),(0.0031*('Temperature Profiles'!AA41^2)-(0.2029*'Temperature Profiles'!AA41)+2.4264)*1000,IF(AND('Temperature Profiles'!AA41&lt;-4.4,'Temperature Profiles'!AA41&gt;-8.5),(((-0.7516*'Temperature Profiles'!AA41)-2.9985)*1000)+EF$208,IF('Temperature Profiles'!AA41&lt;-8.5,EF145,0))))</f>
        <v>16000</v>
      </c>
      <c r="EG42" s="21"/>
      <c r="EH42" s="110">
        <v>0.38541666666666702</v>
      </c>
      <c r="EI42" s="211"/>
      <c r="EJ42" s="110">
        <v>0.38541666666666702</v>
      </c>
      <c r="EK42" s="211"/>
      <c r="EL42" s="110">
        <v>0.38541666666666702</v>
      </c>
      <c r="EM42" s="211"/>
      <c r="EN42" s="21"/>
      <c r="EO42" s="110">
        <v>0.38541666666666702</v>
      </c>
      <c r="EP42" s="211"/>
      <c r="EQ42" s="21"/>
      <c r="ER42" s="110">
        <v>0.38541666666666702</v>
      </c>
      <c r="ES42" s="264"/>
      <c r="EU42" s="260">
        <v>0.38541666666666702</v>
      </c>
      <c r="EV42" s="209">
        <f>IF('Temperature Profiles'!AA41&gt;18,(0.0018*('Temperature Profiles'!AA41^2)-(0.0475*'Temperature Profiles'!AA41)+0.3123)*1000,IF(AND('Temperature Profiles'!AA41&lt;17,'Temperature Profiles'!AA41&gt;-5.6),(0.0021*('Temperature Profiles'!AA41^2)-(0.0919*'Temperature Profiles'!AA41)+1.0491)*1000,IF(AND('Temperature Profiles'!AA41&lt;-5.6,'Temperature Profiles'!AA41&gt;-11.4),EV$208,IF('Temperature Profiles'!AA41&lt;-11.4,EV145,0))))</f>
        <v>5400</v>
      </c>
      <c r="EW42" s="110">
        <v>0.38541666666666702</v>
      </c>
      <c r="EX42" s="209">
        <f>IF('Temperature Profiles'!AA41&gt;18,(0.0034*('Temperature Profiles'!AA41^2)-(0.087*'Temperature Profiles'!AA41)+0.5117)*1000,IF(AND('Temperature Profiles'!AA41&lt;17,'Temperature Profiles'!AA41&gt;-4.4),(0.0027*('Temperature Profiles'!AA41^2)-(0.149*'Temperature Profiles'!AA41)+1.7779)*1000,IF(AND('Temperature Profiles'!AA41&lt;-4.4,'Temperature Profiles'!AA41&gt;-8.5),EX$208,IF('Temperature Profiles'!AA41&lt;-8.5,EX145,0))))</f>
        <v>5400</v>
      </c>
      <c r="EY42" s="110">
        <v>0.38541666666666702</v>
      </c>
      <c r="EZ42" s="264">
        <f>IF('Temperature Profiles'!AA41&gt;18,(0.0048*('Temperature Profiles'!AA41^2)-(0.1352*'Temperature Profiles'!AA41)+0.9193)*1000,IF(AND('Temperature Profiles'!AA41&lt;17,'Temperature Profiles'!AA41&gt;-4.4),(0.0031*('Temperature Profiles'!AA41^2)-(0.2029*'Temperature Profiles'!AA41)+2.4264)*1000,IF(AND('Temperature Profiles'!AA41&lt;-4.4,'Temperature Profiles'!AA41&gt;-8.5),EZ$208,IF('Temperature Profiles'!AA41&lt;-8.5,EZ145,0))))</f>
        <v>5400</v>
      </c>
    </row>
    <row r="43" spans="1:156" x14ac:dyDescent="0.3">
      <c r="A43" s="108">
        <v>0.38541666666666702</v>
      </c>
      <c r="B43" s="226">
        <f t="shared" si="4"/>
        <v>0</v>
      </c>
      <c r="C43" s="21">
        <f t="shared" si="5"/>
        <v>0</v>
      </c>
      <c r="D43" s="21">
        <f t="shared" si="6"/>
        <v>16000</v>
      </c>
      <c r="E43" s="20">
        <f t="shared" si="3"/>
        <v>5400</v>
      </c>
      <c r="G43" s="260">
        <v>0.39583333333333298</v>
      </c>
      <c r="H43" s="211"/>
      <c r="I43" s="110">
        <v>0.39583333333333298</v>
      </c>
      <c r="J43" s="211"/>
      <c r="K43" s="110">
        <v>0.39583333333333298</v>
      </c>
      <c r="L43" s="211"/>
      <c r="M43" s="21"/>
      <c r="N43" s="110">
        <v>0.39583333333333298</v>
      </c>
      <c r="O43" s="209"/>
      <c r="P43" s="110">
        <v>0.39583333333333298</v>
      </c>
      <c r="Q43" s="209"/>
      <c r="R43" s="110">
        <v>0.39583333333333298</v>
      </c>
      <c r="S43" s="211"/>
      <c r="T43" s="21"/>
      <c r="U43" s="110">
        <v>0.39583333333333298</v>
      </c>
      <c r="V43" s="209"/>
      <c r="W43" s="110">
        <v>0.39583333333333298</v>
      </c>
      <c r="X43" s="209"/>
      <c r="Y43" s="110">
        <v>0.39583333333333298</v>
      </c>
      <c r="Z43" s="211"/>
      <c r="AA43" s="21"/>
      <c r="AB43" s="110">
        <v>0.39583333333333298</v>
      </c>
      <c r="AC43" s="209"/>
      <c r="AD43" s="110">
        <v>0.39583333333333298</v>
      </c>
      <c r="AE43" s="209"/>
      <c r="AF43" s="110">
        <v>0.39583333333333298</v>
      </c>
      <c r="AG43" s="211"/>
      <c r="AH43" s="21"/>
      <c r="AI43" s="110">
        <v>0.39583333333333298</v>
      </c>
      <c r="AJ43" s="209"/>
      <c r="AK43" s="110">
        <v>0.39583333333333298</v>
      </c>
      <c r="AL43" s="209"/>
      <c r="AM43" s="110">
        <v>0.39583333333333298</v>
      </c>
      <c r="AN43" s="211"/>
      <c r="AO43" s="21"/>
      <c r="AP43" s="110">
        <v>0.39583333333333298</v>
      </c>
      <c r="AQ43" s="209"/>
      <c r="AR43" s="110">
        <v>0.39583333333333298</v>
      </c>
      <c r="AS43" s="209"/>
      <c r="AT43" s="110">
        <v>0.39583333333333298</v>
      </c>
      <c r="AU43" s="211"/>
      <c r="AV43" s="21"/>
      <c r="AW43" s="110">
        <v>0.39583333333333298</v>
      </c>
      <c r="AX43" s="211"/>
      <c r="AY43" s="21"/>
      <c r="AZ43" s="110">
        <v>0.39583333333333298</v>
      </c>
      <c r="BA43" s="264"/>
      <c r="BC43" s="260">
        <v>0.39583333333333298</v>
      </c>
      <c r="BD43" s="211"/>
      <c r="BE43" s="110">
        <v>0.39583333333333298</v>
      </c>
      <c r="BF43" s="211"/>
      <c r="BG43" s="110">
        <v>0.39583333333333298</v>
      </c>
      <c r="BH43" s="211"/>
      <c r="BI43" s="21"/>
      <c r="BJ43" s="110">
        <v>0.39583333333333298</v>
      </c>
      <c r="BK43" s="209"/>
      <c r="BL43" s="110">
        <v>0.39583333333333298</v>
      </c>
      <c r="BM43" s="209"/>
      <c r="BN43" s="110">
        <v>0.39583333333333298</v>
      </c>
      <c r="BO43" s="211"/>
      <c r="BP43" s="21"/>
      <c r="BQ43" s="110">
        <v>0.39583333333333298</v>
      </c>
      <c r="BR43" s="209"/>
      <c r="BS43" s="110">
        <v>0.39583333333333298</v>
      </c>
      <c r="BT43" s="209"/>
      <c r="BU43" s="110">
        <v>0.39583333333333298</v>
      </c>
      <c r="BV43" s="211"/>
      <c r="BW43" s="21"/>
      <c r="BX43" s="110">
        <v>0.39583333333333298</v>
      </c>
      <c r="BY43" s="209"/>
      <c r="BZ43" s="110">
        <v>0.39583333333333298</v>
      </c>
      <c r="CA43" s="209"/>
      <c r="CB43" s="110">
        <v>0.39583333333333298</v>
      </c>
      <c r="CC43" s="211"/>
      <c r="CD43" s="21"/>
      <c r="CE43" s="110">
        <v>0.39583333333333298</v>
      </c>
      <c r="CF43" s="209"/>
      <c r="CG43" s="110">
        <v>0.39583333333333298</v>
      </c>
      <c r="CH43" s="209"/>
      <c r="CI43" s="110">
        <v>0.39583333333333298</v>
      </c>
      <c r="CJ43" s="211"/>
      <c r="CK43" s="21"/>
      <c r="CL43" s="110">
        <v>0.39583333333333298</v>
      </c>
      <c r="CM43" s="209"/>
      <c r="CN43" s="110">
        <v>0.39583333333333298</v>
      </c>
      <c r="CO43" s="209"/>
      <c r="CP43" s="110">
        <v>0.39583333333333298</v>
      </c>
      <c r="CQ43" s="211"/>
      <c r="CR43" s="21"/>
      <c r="CS43" s="110">
        <v>0.39583333333333298</v>
      </c>
      <c r="CT43" s="211"/>
      <c r="CU43" s="21"/>
      <c r="CV43" s="110">
        <v>0.39583333333333298</v>
      </c>
      <c r="CW43" s="264"/>
      <c r="CY43" s="260">
        <v>0.39583333333333298</v>
      </c>
      <c r="CZ43" s="178"/>
      <c r="DA43" s="110">
        <v>0.39583333333333298</v>
      </c>
      <c r="DB43" s="263"/>
      <c r="DC43" s="110">
        <v>0.39583333333333298</v>
      </c>
      <c r="DD43" s="211"/>
      <c r="DE43" s="21"/>
      <c r="DF43" s="110">
        <v>0.39583333333333298</v>
      </c>
      <c r="DG43" s="209"/>
      <c r="DH43" s="110">
        <v>0.39583333333333298</v>
      </c>
      <c r="DI43" s="209"/>
      <c r="DJ43" s="110">
        <v>0.39583333333333298</v>
      </c>
      <c r="DK43" s="211"/>
      <c r="DL43" s="21"/>
      <c r="DM43" s="110">
        <v>0.39583333333333298</v>
      </c>
      <c r="DN43" s="209"/>
      <c r="DO43" s="110">
        <v>0.39583333333333298</v>
      </c>
      <c r="DP43" s="209"/>
      <c r="DQ43" s="110">
        <v>0.39583333333333298</v>
      </c>
      <c r="DR43" s="211"/>
      <c r="DS43" s="21"/>
      <c r="DT43" s="110">
        <v>0.39583333333333298</v>
      </c>
      <c r="DU43" s="209"/>
      <c r="DV43" s="110">
        <v>0.39583333333333298</v>
      </c>
      <c r="DW43" s="209"/>
      <c r="DX43" s="110">
        <v>0.39583333333333298</v>
      </c>
      <c r="DY43" s="211"/>
      <c r="DZ43" s="21"/>
      <c r="EA43" s="110">
        <v>0.39583333333333298</v>
      </c>
      <c r="EB43" s="209">
        <f>IF('Temperature Profiles'!AA42&gt;18,(0.0018*('Temperature Profiles'!AA42^2)-(0.0475*'Temperature Profiles'!AA42)+0.3123)*1000,IF(AND('Temperature Profiles'!AA42&lt;17,'Temperature Profiles'!AA42&gt;-5.6),(0.0021*('Temperature Profiles'!AA42^2)-(0.0919*'Temperature Profiles'!AA42)+1.0491)*1000,IF(AND('Temperature Profiles'!AA42&lt;-5.6,'Temperature Profiles'!AA42&gt;-11.4),(((-0.2925*'Temperature Profiles'!AA42)-1.6914)*1000)+EB$208,IF('Temperature Profiles'!AA42&lt;-11.4,EB146,0))))</f>
        <v>0</v>
      </c>
      <c r="EC43" s="110">
        <v>0.39583333333333298</v>
      </c>
      <c r="ED43" s="209">
        <f>IF('Temperature Profiles'!AA42&gt;18,(0.0034*('Temperature Profiles'!AA42^2)-(0.087*'Temperature Profiles'!AA42)+0.5117)*1000,IF(AND('Temperature Profiles'!AA42&lt;17,'Temperature Profiles'!AA42&gt;-4.4),(0.0027*('Temperature Profiles'!AA42^2)-(0.149*'Temperature Profiles'!AA42)+1.7779)*1000,IF(AND('Temperature Profiles'!AA42&lt;-4.4,'Temperature Profiles'!AA42&gt;-8.5),(((-0.5391*'Temperature Profiles'!AA42)-2.0906)*1000)+ED$208,IF('Temperature Profiles'!AA42&lt;-8.5,ED146,0))))</f>
        <v>0</v>
      </c>
      <c r="EE43" s="110">
        <v>0.39583333333333298</v>
      </c>
      <c r="EF43" s="211">
        <f>IF('Temperature Profiles'!AA42&gt;18,(0.0048*('Temperature Profiles'!AA42^2)-(0.1352*'Temperature Profiles'!AA42)+0.9193)*1000,IF(AND('Temperature Profiles'!AA42&lt;17,'Temperature Profiles'!AA42&gt;-4.4),(0.0031*('Temperature Profiles'!AA42^2)-(0.2029*'Temperature Profiles'!AA42)+2.4264)*1000,IF(AND('Temperature Profiles'!AA42&lt;-4.4,'Temperature Profiles'!AA42&gt;-8.5),(((-0.7516*'Temperature Profiles'!AA42)-2.9985)*1000)+EF$208,IF('Temperature Profiles'!AA42&lt;-8.5,EF146,0))))</f>
        <v>0</v>
      </c>
      <c r="EG43" s="21"/>
      <c r="EH43" s="110">
        <v>0.39583333333333298</v>
      </c>
      <c r="EI43" s="211"/>
      <c r="EJ43" s="110">
        <v>0.39583333333333298</v>
      </c>
      <c r="EK43" s="211"/>
      <c r="EL43" s="110">
        <v>0.39583333333333298</v>
      </c>
      <c r="EM43" s="211"/>
      <c r="EN43" s="21"/>
      <c r="EO43" s="110">
        <v>0.39583333333333298</v>
      </c>
      <c r="EP43" s="211"/>
      <c r="EQ43" s="21"/>
      <c r="ER43" s="110">
        <v>0.39583333333333298</v>
      </c>
      <c r="ES43" s="264"/>
      <c r="EU43" s="260">
        <v>0.39583333333333298</v>
      </c>
      <c r="EV43" s="209">
        <f>IF('Temperature Profiles'!AA42&gt;18,(0.0018*('Temperature Profiles'!AA42^2)-(0.0475*'Temperature Profiles'!AA42)+0.3123)*1000,IF(AND('Temperature Profiles'!AA42&lt;17,'Temperature Profiles'!AA42&gt;-5.6),(0.0021*('Temperature Profiles'!AA42^2)-(0.0919*'Temperature Profiles'!AA42)+1.0491)*1000,IF(AND('Temperature Profiles'!AA42&lt;-5.6,'Temperature Profiles'!AA42&gt;-11.4),EV$208,IF('Temperature Profiles'!AA42&lt;-11.4,EV146,0))))</f>
        <v>0</v>
      </c>
      <c r="EW43" s="110">
        <v>0.39583333333333298</v>
      </c>
      <c r="EX43" s="209">
        <f>IF('Temperature Profiles'!AA42&gt;18,(0.0034*('Temperature Profiles'!AA42^2)-(0.087*'Temperature Profiles'!AA42)+0.5117)*1000,IF(AND('Temperature Profiles'!AA42&lt;17,'Temperature Profiles'!AA42&gt;-4.4),(0.0027*('Temperature Profiles'!AA42^2)-(0.149*'Temperature Profiles'!AA42)+1.7779)*1000,IF(AND('Temperature Profiles'!AA42&lt;-4.4,'Temperature Profiles'!AA42&gt;-8.5),EX$208,IF('Temperature Profiles'!AA42&lt;-8.5,EX146,0))))</f>
        <v>0</v>
      </c>
      <c r="EY43" s="110">
        <v>0.39583333333333298</v>
      </c>
      <c r="EZ43" s="264">
        <f>IF('Temperature Profiles'!AA42&gt;18,(0.0048*('Temperature Profiles'!AA42^2)-(0.1352*'Temperature Profiles'!AA42)+0.9193)*1000,IF(AND('Temperature Profiles'!AA42&lt;17,'Temperature Profiles'!AA42&gt;-4.4),(0.0031*('Temperature Profiles'!AA42^2)-(0.2029*'Temperature Profiles'!AA42)+2.4264)*1000,IF(AND('Temperature Profiles'!AA42&lt;-4.4,'Temperature Profiles'!AA42&gt;-8.5),EZ$208,IF('Temperature Profiles'!AA42&lt;-8.5,EZ146,0))))</f>
        <v>0</v>
      </c>
    </row>
    <row r="44" spans="1:156" x14ac:dyDescent="0.3">
      <c r="A44" s="108">
        <v>0.39583333333333298</v>
      </c>
      <c r="B44" s="226">
        <f t="shared" si="4"/>
        <v>0</v>
      </c>
      <c r="C44" s="21">
        <f t="shared" si="5"/>
        <v>0</v>
      </c>
      <c r="D44" s="21">
        <f t="shared" si="6"/>
        <v>0</v>
      </c>
      <c r="E44" s="20">
        <f t="shared" si="3"/>
        <v>0</v>
      </c>
      <c r="G44" s="260">
        <v>0.40625</v>
      </c>
      <c r="H44" s="211"/>
      <c r="I44" s="110">
        <v>0.40625</v>
      </c>
      <c r="J44" s="211"/>
      <c r="K44" s="110">
        <v>0.40625</v>
      </c>
      <c r="L44" s="211"/>
      <c r="M44" s="21"/>
      <c r="N44" s="110">
        <v>0.40625</v>
      </c>
      <c r="O44" s="209"/>
      <c r="P44" s="110">
        <v>0.40625</v>
      </c>
      <c r="Q44" s="209"/>
      <c r="R44" s="110">
        <v>0.40625</v>
      </c>
      <c r="S44" s="211"/>
      <c r="T44" s="21"/>
      <c r="U44" s="110">
        <v>0.40625</v>
      </c>
      <c r="V44" s="209"/>
      <c r="W44" s="110">
        <v>0.40625</v>
      </c>
      <c r="X44" s="209"/>
      <c r="Y44" s="110">
        <v>0.40625</v>
      </c>
      <c r="Z44" s="211"/>
      <c r="AA44" s="21"/>
      <c r="AB44" s="110">
        <v>0.40625</v>
      </c>
      <c r="AC44" s="209"/>
      <c r="AD44" s="110">
        <v>0.40625</v>
      </c>
      <c r="AE44" s="209"/>
      <c r="AF44" s="110">
        <v>0.40625</v>
      </c>
      <c r="AG44" s="211"/>
      <c r="AH44" s="21"/>
      <c r="AI44" s="110">
        <v>0.40625</v>
      </c>
      <c r="AJ44" s="209"/>
      <c r="AK44" s="110">
        <v>0.40625</v>
      </c>
      <c r="AL44" s="209"/>
      <c r="AM44" s="110">
        <v>0.40625</v>
      </c>
      <c r="AN44" s="211"/>
      <c r="AO44" s="21"/>
      <c r="AP44" s="110">
        <v>0.40625</v>
      </c>
      <c r="AQ44" s="209"/>
      <c r="AR44" s="110">
        <v>0.40625</v>
      </c>
      <c r="AS44" s="209"/>
      <c r="AT44" s="110">
        <v>0.40625</v>
      </c>
      <c r="AU44" s="211"/>
      <c r="AV44" s="21"/>
      <c r="AW44" s="110">
        <v>0.40625</v>
      </c>
      <c r="AX44" s="211"/>
      <c r="AY44" s="21"/>
      <c r="AZ44" s="110">
        <v>0.40625</v>
      </c>
      <c r="BA44" s="264"/>
      <c r="BC44" s="260">
        <v>0.40625</v>
      </c>
      <c r="BD44" s="211"/>
      <c r="BE44" s="110">
        <v>0.40625</v>
      </c>
      <c r="BF44" s="211"/>
      <c r="BG44" s="110">
        <v>0.40625</v>
      </c>
      <c r="BH44" s="211"/>
      <c r="BI44" s="21"/>
      <c r="BJ44" s="110">
        <v>0.40625</v>
      </c>
      <c r="BK44" s="209"/>
      <c r="BL44" s="110">
        <v>0.40625</v>
      </c>
      <c r="BM44" s="209"/>
      <c r="BN44" s="110">
        <v>0.40625</v>
      </c>
      <c r="BO44" s="211"/>
      <c r="BP44" s="21"/>
      <c r="BQ44" s="110">
        <v>0.40625</v>
      </c>
      <c r="BR44" s="209"/>
      <c r="BS44" s="110">
        <v>0.40625</v>
      </c>
      <c r="BT44" s="209"/>
      <c r="BU44" s="110">
        <v>0.40625</v>
      </c>
      <c r="BV44" s="211"/>
      <c r="BW44" s="21"/>
      <c r="BX44" s="110">
        <v>0.40625</v>
      </c>
      <c r="BY44" s="209"/>
      <c r="BZ44" s="110">
        <v>0.40625</v>
      </c>
      <c r="CA44" s="209"/>
      <c r="CB44" s="110">
        <v>0.40625</v>
      </c>
      <c r="CC44" s="211"/>
      <c r="CD44" s="21"/>
      <c r="CE44" s="110">
        <v>0.40625</v>
      </c>
      <c r="CF44" s="209"/>
      <c r="CG44" s="110">
        <v>0.40625</v>
      </c>
      <c r="CH44" s="209"/>
      <c r="CI44" s="110">
        <v>0.40625</v>
      </c>
      <c r="CJ44" s="211"/>
      <c r="CK44" s="21"/>
      <c r="CL44" s="110">
        <v>0.40625</v>
      </c>
      <c r="CM44" s="209"/>
      <c r="CN44" s="110">
        <v>0.40625</v>
      </c>
      <c r="CO44" s="209"/>
      <c r="CP44" s="110">
        <v>0.40625</v>
      </c>
      <c r="CQ44" s="211"/>
      <c r="CR44" s="21"/>
      <c r="CS44" s="110">
        <v>0.40625</v>
      </c>
      <c r="CT44" s="211"/>
      <c r="CU44" s="21"/>
      <c r="CV44" s="110">
        <v>0.40625</v>
      </c>
      <c r="CW44" s="264"/>
      <c r="CY44" s="260">
        <v>0.40625</v>
      </c>
      <c r="CZ44" s="178"/>
      <c r="DA44" s="110">
        <v>0.40625</v>
      </c>
      <c r="DB44" s="263"/>
      <c r="DC44" s="110">
        <v>0.40625</v>
      </c>
      <c r="DD44" s="211"/>
      <c r="DE44" s="21"/>
      <c r="DF44" s="110">
        <v>0.40625</v>
      </c>
      <c r="DG44" s="209"/>
      <c r="DH44" s="110">
        <v>0.40625</v>
      </c>
      <c r="DI44" s="209"/>
      <c r="DJ44" s="110">
        <v>0.40625</v>
      </c>
      <c r="DK44" s="211"/>
      <c r="DL44" s="21"/>
      <c r="DM44" s="110">
        <v>0.40625</v>
      </c>
      <c r="DN44" s="209"/>
      <c r="DO44" s="110">
        <v>0.40625</v>
      </c>
      <c r="DP44" s="209"/>
      <c r="DQ44" s="110">
        <v>0.40625</v>
      </c>
      <c r="DR44" s="211"/>
      <c r="DS44" s="21"/>
      <c r="DT44" s="110">
        <v>0.40625</v>
      </c>
      <c r="DU44" s="209"/>
      <c r="DV44" s="110">
        <v>0.40625</v>
      </c>
      <c r="DW44" s="209"/>
      <c r="DX44" s="110">
        <v>0.40625</v>
      </c>
      <c r="DY44" s="211"/>
      <c r="DZ44" s="21"/>
      <c r="EA44" s="110">
        <v>0.40625</v>
      </c>
      <c r="EB44" s="209">
        <f>IF('Temperature Profiles'!AA43&gt;18,(0.0018*('Temperature Profiles'!AA43^2)-(0.0475*'Temperature Profiles'!AA43)+0.3123)*1000,IF(AND('Temperature Profiles'!AA43&lt;17,'Temperature Profiles'!AA43&gt;-5.6),(0.0021*('Temperature Profiles'!AA43^2)-(0.0919*'Temperature Profiles'!AA43)+1.0491)*1000,IF(AND('Temperature Profiles'!AA43&lt;-5.6,'Temperature Profiles'!AA43&gt;-11.4),(((-0.2925*'Temperature Profiles'!AA43)-1.6914)*1000)+EB$208,IF('Temperature Profiles'!AA43&lt;-11.4,EB147,0))))</f>
        <v>0</v>
      </c>
      <c r="EC44" s="110">
        <v>0.40625</v>
      </c>
      <c r="ED44" s="209">
        <f>IF('Temperature Profiles'!AA43&gt;18,(0.0034*('Temperature Profiles'!AA43^2)-(0.087*'Temperature Profiles'!AA43)+0.5117)*1000,IF(AND('Temperature Profiles'!AA43&lt;17,'Temperature Profiles'!AA43&gt;-4.4),(0.0027*('Temperature Profiles'!AA43^2)-(0.149*'Temperature Profiles'!AA43)+1.7779)*1000,IF(AND('Temperature Profiles'!AA43&lt;-4.4,'Temperature Profiles'!AA43&gt;-8.5),(((-0.5391*'Temperature Profiles'!AA43)-2.0906)*1000)+ED$208,IF('Temperature Profiles'!AA43&lt;-8.5,ED147,0))))</f>
        <v>0</v>
      </c>
      <c r="EE44" s="110">
        <v>0.40625</v>
      </c>
      <c r="EF44" s="211">
        <f>IF('Temperature Profiles'!AA43&gt;18,(0.0048*('Temperature Profiles'!AA43^2)-(0.1352*'Temperature Profiles'!AA43)+0.9193)*1000,IF(AND('Temperature Profiles'!AA43&lt;17,'Temperature Profiles'!AA43&gt;-4.4),(0.0031*('Temperature Profiles'!AA43^2)-(0.2029*'Temperature Profiles'!AA43)+2.4264)*1000,IF(AND('Temperature Profiles'!AA43&lt;-4.4,'Temperature Profiles'!AA43&gt;-8.5),(((-0.7516*'Temperature Profiles'!AA43)-2.9985)*1000)+EF$208,IF('Temperature Profiles'!AA43&lt;-8.5,EF147,0))))</f>
        <v>0</v>
      </c>
      <c r="EG44" s="21"/>
      <c r="EH44" s="110">
        <v>0.40625</v>
      </c>
      <c r="EI44" s="211"/>
      <c r="EJ44" s="110">
        <v>0.40625</v>
      </c>
      <c r="EK44" s="211"/>
      <c r="EL44" s="110">
        <v>0.40625</v>
      </c>
      <c r="EM44" s="211"/>
      <c r="EN44" s="21"/>
      <c r="EO44" s="110">
        <v>0.40625</v>
      </c>
      <c r="EP44" s="211"/>
      <c r="EQ44" s="21"/>
      <c r="ER44" s="110">
        <v>0.40625</v>
      </c>
      <c r="ES44" s="264"/>
      <c r="EU44" s="260">
        <v>0.40625</v>
      </c>
      <c r="EV44" s="209">
        <f>IF('Temperature Profiles'!AA43&gt;18,(0.0018*('Temperature Profiles'!AA43^2)-(0.0475*'Temperature Profiles'!AA43)+0.3123)*1000,IF(AND('Temperature Profiles'!AA43&lt;17,'Temperature Profiles'!AA43&gt;-5.6),(0.0021*('Temperature Profiles'!AA43^2)-(0.0919*'Temperature Profiles'!AA43)+1.0491)*1000,IF(AND('Temperature Profiles'!AA43&lt;-5.6,'Temperature Profiles'!AA43&gt;-11.4),EV$208,IF('Temperature Profiles'!AA43&lt;-11.4,EV147,0))))</f>
        <v>0</v>
      </c>
      <c r="EW44" s="110">
        <v>0.40625</v>
      </c>
      <c r="EX44" s="209">
        <f>IF('Temperature Profiles'!AA43&gt;18,(0.0034*('Temperature Profiles'!AA43^2)-(0.087*'Temperature Profiles'!AA43)+0.5117)*1000,IF(AND('Temperature Profiles'!AA43&lt;17,'Temperature Profiles'!AA43&gt;-4.4),(0.0027*('Temperature Profiles'!AA43^2)-(0.149*'Temperature Profiles'!AA43)+1.7779)*1000,IF(AND('Temperature Profiles'!AA43&lt;-4.4,'Temperature Profiles'!AA43&gt;-8.5),EX$208,IF('Temperature Profiles'!AA43&lt;-8.5,EX147,0))))</f>
        <v>0</v>
      </c>
      <c r="EY44" s="110">
        <v>0.40625</v>
      </c>
      <c r="EZ44" s="264">
        <f>IF('Temperature Profiles'!AA43&gt;18,(0.0048*('Temperature Profiles'!AA43^2)-(0.1352*'Temperature Profiles'!AA43)+0.9193)*1000,IF(AND('Temperature Profiles'!AA43&lt;17,'Temperature Profiles'!AA43&gt;-4.4),(0.0031*('Temperature Profiles'!AA43^2)-(0.2029*'Temperature Profiles'!AA43)+2.4264)*1000,IF(AND('Temperature Profiles'!AA43&lt;-4.4,'Temperature Profiles'!AA43&gt;-8.5),EZ$208,IF('Temperature Profiles'!AA43&lt;-8.5,EZ147,0))))</f>
        <v>0</v>
      </c>
    </row>
    <row r="45" spans="1:156" x14ac:dyDescent="0.3">
      <c r="A45" s="108">
        <v>0.40625</v>
      </c>
      <c r="B45" s="226">
        <f t="shared" si="4"/>
        <v>0</v>
      </c>
      <c r="C45" s="21">
        <f t="shared" si="5"/>
        <v>0</v>
      </c>
      <c r="D45" s="21">
        <f t="shared" si="6"/>
        <v>0</v>
      </c>
      <c r="E45" s="20">
        <f t="shared" si="3"/>
        <v>0</v>
      </c>
      <c r="G45" s="260">
        <v>0.41666666666666702</v>
      </c>
      <c r="H45" s="211"/>
      <c r="I45" s="110">
        <v>0.41666666666666702</v>
      </c>
      <c r="J45" s="211"/>
      <c r="K45" s="110">
        <v>0.41666666666666702</v>
      </c>
      <c r="L45" s="211"/>
      <c r="M45" s="21"/>
      <c r="N45" s="110">
        <v>0.41666666666666702</v>
      </c>
      <c r="O45" s="209"/>
      <c r="P45" s="110">
        <v>0.41666666666666702</v>
      </c>
      <c r="Q45" s="209"/>
      <c r="R45" s="110">
        <v>0.41666666666666702</v>
      </c>
      <c r="S45" s="211"/>
      <c r="T45" s="21"/>
      <c r="U45" s="110">
        <v>0.41666666666666702</v>
      </c>
      <c r="V45" s="209"/>
      <c r="W45" s="110">
        <v>0.41666666666666702</v>
      </c>
      <c r="X45" s="209"/>
      <c r="Y45" s="110">
        <v>0.41666666666666702</v>
      </c>
      <c r="Z45" s="211"/>
      <c r="AA45" s="21"/>
      <c r="AB45" s="110">
        <v>0.41666666666666702</v>
      </c>
      <c r="AC45" s="209"/>
      <c r="AD45" s="110">
        <v>0.41666666666666702</v>
      </c>
      <c r="AE45" s="209"/>
      <c r="AF45" s="110">
        <v>0.41666666666666702</v>
      </c>
      <c r="AG45" s="211"/>
      <c r="AH45" s="21"/>
      <c r="AI45" s="110">
        <v>0.41666666666666702</v>
      </c>
      <c r="AJ45" s="209"/>
      <c r="AK45" s="110">
        <v>0.41666666666666702</v>
      </c>
      <c r="AL45" s="209"/>
      <c r="AM45" s="110">
        <v>0.41666666666666702</v>
      </c>
      <c r="AN45" s="211"/>
      <c r="AO45" s="21"/>
      <c r="AP45" s="110">
        <v>0.41666666666666702</v>
      </c>
      <c r="AQ45" s="209"/>
      <c r="AR45" s="110">
        <v>0.41666666666666702</v>
      </c>
      <c r="AS45" s="209"/>
      <c r="AT45" s="110">
        <v>0.41666666666666702</v>
      </c>
      <c r="AU45" s="211"/>
      <c r="AV45" s="21"/>
      <c r="AW45" s="110">
        <v>0.41666666666666702</v>
      </c>
      <c r="AX45" s="211"/>
      <c r="AY45" s="21"/>
      <c r="AZ45" s="110">
        <v>0.41666666666666702</v>
      </c>
      <c r="BA45" s="264"/>
      <c r="BC45" s="260">
        <v>0.41666666666666702</v>
      </c>
      <c r="BD45" s="211"/>
      <c r="BE45" s="110">
        <v>0.41666666666666702</v>
      </c>
      <c r="BF45" s="211"/>
      <c r="BG45" s="110">
        <v>0.41666666666666702</v>
      </c>
      <c r="BH45" s="211"/>
      <c r="BI45" s="21"/>
      <c r="BJ45" s="110">
        <v>0.41666666666666702</v>
      </c>
      <c r="BK45" s="209"/>
      <c r="BL45" s="110">
        <v>0.41666666666666702</v>
      </c>
      <c r="BM45" s="209"/>
      <c r="BN45" s="110">
        <v>0.41666666666666702</v>
      </c>
      <c r="BO45" s="211"/>
      <c r="BP45" s="21"/>
      <c r="BQ45" s="110">
        <v>0.41666666666666702</v>
      </c>
      <c r="BR45" s="209"/>
      <c r="BS45" s="110">
        <v>0.41666666666666702</v>
      </c>
      <c r="BT45" s="209"/>
      <c r="BU45" s="110">
        <v>0.41666666666666702</v>
      </c>
      <c r="BV45" s="211"/>
      <c r="BW45" s="21"/>
      <c r="BX45" s="110">
        <v>0.41666666666666702</v>
      </c>
      <c r="BY45" s="209"/>
      <c r="BZ45" s="110">
        <v>0.41666666666666702</v>
      </c>
      <c r="CA45" s="209"/>
      <c r="CB45" s="110">
        <v>0.41666666666666702</v>
      </c>
      <c r="CC45" s="211"/>
      <c r="CD45" s="21"/>
      <c r="CE45" s="110">
        <v>0.41666666666666702</v>
      </c>
      <c r="CF45" s="209"/>
      <c r="CG45" s="110">
        <v>0.41666666666666702</v>
      </c>
      <c r="CH45" s="209"/>
      <c r="CI45" s="110">
        <v>0.41666666666666702</v>
      </c>
      <c r="CJ45" s="211"/>
      <c r="CK45" s="21"/>
      <c r="CL45" s="110">
        <v>0.41666666666666702</v>
      </c>
      <c r="CM45" s="209"/>
      <c r="CN45" s="110">
        <v>0.41666666666666702</v>
      </c>
      <c r="CO45" s="209"/>
      <c r="CP45" s="110">
        <v>0.41666666666666702</v>
      </c>
      <c r="CQ45" s="211"/>
      <c r="CR45" s="21"/>
      <c r="CS45" s="110">
        <v>0.41666666666666702</v>
      </c>
      <c r="CT45" s="211"/>
      <c r="CU45" s="21"/>
      <c r="CV45" s="110">
        <v>0.41666666666666702</v>
      </c>
      <c r="CW45" s="264"/>
      <c r="CY45" s="260">
        <v>0.41666666666666702</v>
      </c>
      <c r="CZ45" s="178"/>
      <c r="DA45" s="110">
        <v>0.41666666666666702</v>
      </c>
      <c r="DB45" s="263"/>
      <c r="DC45" s="110">
        <v>0.41666666666666702</v>
      </c>
      <c r="DD45" s="211"/>
      <c r="DE45" s="21"/>
      <c r="DF45" s="110">
        <v>0.41666666666666702</v>
      </c>
      <c r="DG45" s="209"/>
      <c r="DH45" s="110">
        <v>0.41666666666666702</v>
      </c>
      <c r="DI45" s="209"/>
      <c r="DJ45" s="110">
        <v>0.41666666666666702</v>
      </c>
      <c r="DK45" s="211"/>
      <c r="DL45" s="21"/>
      <c r="DM45" s="110">
        <v>0.41666666666666702</v>
      </c>
      <c r="DN45" s="209"/>
      <c r="DO45" s="110">
        <v>0.41666666666666702</v>
      </c>
      <c r="DP45" s="209"/>
      <c r="DQ45" s="110">
        <v>0.41666666666666702</v>
      </c>
      <c r="DR45" s="211"/>
      <c r="DS45" s="21"/>
      <c r="DT45" s="110">
        <v>0.41666666666666702</v>
      </c>
      <c r="DU45" s="209"/>
      <c r="DV45" s="110">
        <v>0.41666666666666702</v>
      </c>
      <c r="DW45" s="209"/>
      <c r="DX45" s="110">
        <v>0.41666666666666702</v>
      </c>
      <c r="DY45" s="211"/>
      <c r="DZ45" s="21"/>
      <c r="EA45" s="110">
        <v>0.41666666666666702</v>
      </c>
      <c r="EB45" s="209">
        <f>IF('Temperature Profiles'!AA44&gt;18,(0.0018*('Temperature Profiles'!AA44^2)-(0.0475*'Temperature Profiles'!AA44)+0.3123)*1000,IF(AND('Temperature Profiles'!AA44&lt;17,'Temperature Profiles'!AA44&gt;-5.6),(0.0021*('Temperature Profiles'!AA44^2)-(0.0919*'Temperature Profiles'!AA44)+1.0491)*1000,IF(AND('Temperature Profiles'!AA44&lt;-5.6,'Temperature Profiles'!AA44&gt;-11.4),(((-0.2925*'Temperature Profiles'!AA44)-1.6914)*1000)+EB$208,IF('Temperature Profiles'!AA44&lt;-11.4,EB148,0))))</f>
        <v>2931.6000000000004</v>
      </c>
      <c r="EC45" s="110">
        <v>0.41666666666666702</v>
      </c>
      <c r="ED45" s="209">
        <f>IF('Temperature Profiles'!AA44&gt;18,(0.0034*('Temperature Profiles'!AA44^2)-(0.087*'Temperature Profiles'!AA44)+0.5117)*1000,IF(AND('Temperature Profiles'!AA44&lt;17,'Temperature Profiles'!AA44&gt;-4.4),(0.0027*('Temperature Profiles'!AA44^2)-(0.149*'Temperature Profiles'!AA44)+1.7779)*1000,IF(AND('Temperature Profiles'!AA44&lt;-4.4,'Temperature Profiles'!AA44&gt;-8.5),(((-0.5391*'Temperature Profiles'!AA44)-2.0906)*1000)+ED$208,IF('Temperature Profiles'!AA44&lt;-8.5,ED148,0))))</f>
        <v>12300</v>
      </c>
      <c r="EE45" s="110">
        <v>0.41666666666666702</v>
      </c>
      <c r="EF45" s="211">
        <f>IF('Temperature Profiles'!AA44&gt;18,(0.0048*('Temperature Profiles'!AA44^2)-(0.1352*'Temperature Profiles'!AA44)+0.9193)*1000,IF(AND('Temperature Profiles'!AA44&lt;17,'Temperature Profiles'!AA44&gt;-4.4),(0.0031*('Temperature Profiles'!AA44^2)-(0.2029*'Temperature Profiles'!AA44)+2.4264)*1000,IF(AND('Temperature Profiles'!AA44&lt;-4.4,'Temperature Profiles'!AA44&gt;-8.5),(((-0.7516*'Temperature Profiles'!AA44)-2.9985)*1000)+EF$208,IF('Temperature Profiles'!AA44&lt;-8.5,EF148,0))))</f>
        <v>16000</v>
      </c>
      <c r="EG45" s="21"/>
      <c r="EH45" s="110">
        <v>0.41666666666666702</v>
      </c>
      <c r="EI45" s="211"/>
      <c r="EJ45" s="110">
        <v>0.41666666666666702</v>
      </c>
      <c r="EK45" s="211"/>
      <c r="EL45" s="110">
        <v>0.41666666666666702</v>
      </c>
      <c r="EM45" s="211"/>
      <c r="EN45" s="21"/>
      <c r="EO45" s="110">
        <v>0.41666666666666702</v>
      </c>
      <c r="EP45" s="211"/>
      <c r="EQ45" s="21"/>
      <c r="ER45" s="110">
        <v>0.41666666666666702</v>
      </c>
      <c r="ES45" s="264"/>
      <c r="EU45" s="260">
        <v>0.41666666666666702</v>
      </c>
      <c r="EV45" s="209">
        <f>IF('Temperature Profiles'!AA44&gt;18,(0.0018*('Temperature Profiles'!AA44^2)-(0.0475*'Temperature Profiles'!AA44)+0.3123)*1000,IF(AND('Temperature Profiles'!AA44&lt;17,'Temperature Profiles'!AA44&gt;-5.6),(0.0021*('Temperature Profiles'!AA44^2)-(0.0919*'Temperature Profiles'!AA44)+1.0491)*1000,IF(AND('Temperature Profiles'!AA44&lt;-5.6,'Temperature Profiles'!AA44&gt;-11.4),EV$208,IF('Temperature Profiles'!AA44&lt;-11.4,EV148,0))))</f>
        <v>1620</v>
      </c>
      <c r="EW45" s="110">
        <v>0.41666666666666702</v>
      </c>
      <c r="EX45" s="209">
        <f>IF('Temperature Profiles'!AA44&gt;18,(0.0034*('Temperature Profiles'!AA44^2)-(0.087*'Temperature Profiles'!AA44)+0.5117)*1000,IF(AND('Temperature Profiles'!AA44&lt;17,'Temperature Profiles'!AA44&gt;-4.4),(0.0027*('Temperature Profiles'!AA44^2)-(0.149*'Temperature Profiles'!AA44)+1.7779)*1000,IF(AND('Temperature Profiles'!AA44&lt;-4.4,'Temperature Profiles'!AA44&gt;-8.5),EX$208,IF('Temperature Profiles'!AA44&lt;-8.5,EX148,0))))</f>
        <v>5400</v>
      </c>
      <c r="EY45" s="110">
        <v>0.41666666666666702</v>
      </c>
      <c r="EZ45" s="264">
        <f>IF('Temperature Profiles'!AA44&gt;18,(0.0048*('Temperature Profiles'!AA44^2)-(0.1352*'Temperature Profiles'!AA44)+0.9193)*1000,IF(AND('Temperature Profiles'!AA44&lt;17,'Temperature Profiles'!AA44&gt;-4.4),(0.0031*('Temperature Profiles'!AA44^2)-(0.2029*'Temperature Profiles'!AA44)+2.4264)*1000,IF(AND('Temperature Profiles'!AA44&lt;-4.4,'Temperature Profiles'!AA44&gt;-8.5),EZ$208,IF('Temperature Profiles'!AA44&lt;-8.5,EZ148,0))))</f>
        <v>5400</v>
      </c>
    </row>
    <row r="46" spans="1:156" x14ac:dyDescent="0.3">
      <c r="A46" s="108">
        <v>0.41666666666666702</v>
      </c>
      <c r="B46" s="226">
        <f t="shared" si="4"/>
        <v>0</v>
      </c>
      <c r="C46" s="21">
        <f t="shared" si="5"/>
        <v>0</v>
      </c>
      <c r="D46" s="21">
        <f t="shared" si="6"/>
        <v>16000</v>
      </c>
      <c r="E46" s="20">
        <f t="shared" si="3"/>
        <v>5400</v>
      </c>
      <c r="G46" s="260">
        <v>0.42708333333333298</v>
      </c>
      <c r="H46" s="211"/>
      <c r="I46" s="110">
        <v>0.42708333333333298</v>
      </c>
      <c r="J46" s="211"/>
      <c r="K46" s="110">
        <v>0.42708333333333298</v>
      </c>
      <c r="L46" s="211"/>
      <c r="M46" s="21"/>
      <c r="N46" s="110">
        <v>0.42708333333333298</v>
      </c>
      <c r="O46" s="209"/>
      <c r="P46" s="110">
        <v>0.42708333333333298</v>
      </c>
      <c r="Q46" s="209"/>
      <c r="R46" s="110">
        <v>0.42708333333333298</v>
      </c>
      <c r="S46" s="211"/>
      <c r="T46" s="21"/>
      <c r="U46" s="110">
        <v>0.42708333333333298</v>
      </c>
      <c r="V46" s="209"/>
      <c r="W46" s="110">
        <v>0.42708333333333298</v>
      </c>
      <c r="X46" s="209"/>
      <c r="Y46" s="110">
        <v>0.42708333333333298</v>
      </c>
      <c r="Z46" s="211"/>
      <c r="AA46" s="21"/>
      <c r="AB46" s="110">
        <v>0.42708333333333298</v>
      </c>
      <c r="AC46" s="209"/>
      <c r="AD46" s="110">
        <v>0.42708333333333298</v>
      </c>
      <c r="AE46" s="209"/>
      <c r="AF46" s="110">
        <v>0.42708333333333298</v>
      </c>
      <c r="AG46" s="211"/>
      <c r="AH46" s="21"/>
      <c r="AI46" s="110">
        <v>0.42708333333333298</v>
      </c>
      <c r="AJ46" s="209"/>
      <c r="AK46" s="110">
        <v>0.42708333333333298</v>
      </c>
      <c r="AL46" s="209"/>
      <c r="AM46" s="110">
        <v>0.42708333333333298</v>
      </c>
      <c r="AN46" s="211"/>
      <c r="AO46" s="21"/>
      <c r="AP46" s="110">
        <v>0.42708333333333298</v>
      </c>
      <c r="AQ46" s="209"/>
      <c r="AR46" s="110">
        <v>0.42708333333333298</v>
      </c>
      <c r="AS46" s="209"/>
      <c r="AT46" s="110">
        <v>0.42708333333333298</v>
      </c>
      <c r="AU46" s="211"/>
      <c r="AV46" s="21"/>
      <c r="AW46" s="110">
        <v>0.42708333333333298</v>
      </c>
      <c r="AX46" s="211"/>
      <c r="AY46" s="21"/>
      <c r="AZ46" s="110">
        <v>0.42708333333333298</v>
      </c>
      <c r="BA46" s="264"/>
      <c r="BC46" s="260">
        <v>0.42708333333333298</v>
      </c>
      <c r="BD46" s="211"/>
      <c r="BE46" s="110">
        <v>0.42708333333333298</v>
      </c>
      <c r="BF46" s="211"/>
      <c r="BG46" s="110">
        <v>0.42708333333333298</v>
      </c>
      <c r="BH46" s="211"/>
      <c r="BI46" s="21"/>
      <c r="BJ46" s="110">
        <v>0.42708333333333298</v>
      </c>
      <c r="BK46" s="209"/>
      <c r="BL46" s="110">
        <v>0.42708333333333298</v>
      </c>
      <c r="BM46" s="209"/>
      <c r="BN46" s="110">
        <v>0.42708333333333298</v>
      </c>
      <c r="BO46" s="211"/>
      <c r="BP46" s="21"/>
      <c r="BQ46" s="110">
        <v>0.42708333333333298</v>
      </c>
      <c r="BR46" s="209"/>
      <c r="BS46" s="110">
        <v>0.42708333333333298</v>
      </c>
      <c r="BT46" s="209"/>
      <c r="BU46" s="110">
        <v>0.42708333333333298</v>
      </c>
      <c r="BV46" s="211"/>
      <c r="BW46" s="21"/>
      <c r="BX46" s="110">
        <v>0.42708333333333298</v>
      </c>
      <c r="BY46" s="209"/>
      <c r="BZ46" s="110">
        <v>0.42708333333333298</v>
      </c>
      <c r="CA46" s="209"/>
      <c r="CB46" s="110">
        <v>0.42708333333333298</v>
      </c>
      <c r="CC46" s="211"/>
      <c r="CD46" s="21"/>
      <c r="CE46" s="110">
        <v>0.42708333333333298</v>
      </c>
      <c r="CF46" s="209"/>
      <c r="CG46" s="110">
        <v>0.42708333333333298</v>
      </c>
      <c r="CH46" s="209"/>
      <c r="CI46" s="110">
        <v>0.42708333333333298</v>
      </c>
      <c r="CJ46" s="211"/>
      <c r="CK46" s="21"/>
      <c r="CL46" s="110">
        <v>0.42708333333333298</v>
      </c>
      <c r="CM46" s="209"/>
      <c r="CN46" s="110">
        <v>0.42708333333333298</v>
      </c>
      <c r="CO46" s="209"/>
      <c r="CP46" s="110">
        <v>0.42708333333333298</v>
      </c>
      <c r="CQ46" s="211"/>
      <c r="CR46" s="21"/>
      <c r="CS46" s="110">
        <v>0.42708333333333298</v>
      </c>
      <c r="CT46" s="211"/>
      <c r="CU46" s="21"/>
      <c r="CV46" s="110">
        <v>0.42708333333333298</v>
      </c>
      <c r="CW46" s="264"/>
      <c r="CY46" s="260">
        <v>0.42708333333333298</v>
      </c>
      <c r="CZ46" s="178"/>
      <c r="DA46" s="110">
        <v>0.42708333333333298</v>
      </c>
      <c r="DB46" s="263"/>
      <c r="DC46" s="110">
        <v>0.42708333333333298</v>
      </c>
      <c r="DD46" s="211"/>
      <c r="DE46" s="21"/>
      <c r="DF46" s="110">
        <v>0.42708333333333298</v>
      </c>
      <c r="DG46" s="209"/>
      <c r="DH46" s="110">
        <v>0.42708333333333298</v>
      </c>
      <c r="DI46" s="209"/>
      <c r="DJ46" s="110">
        <v>0.42708333333333298</v>
      </c>
      <c r="DK46" s="211"/>
      <c r="DL46" s="21"/>
      <c r="DM46" s="110">
        <v>0.42708333333333298</v>
      </c>
      <c r="DN46" s="209"/>
      <c r="DO46" s="110">
        <v>0.42708333333333298</v>
      </c>
      <c r="DP46" s="209"/>
      <c r="DQ46" s="110">
        <v>0.42708333333333298</v>
      </c>
      <c r="DR46" s="211"/>
      <c r="DS46" s="21"/>
      <c r="DT46" s="110">
        <v>0.42708333333333298</v>
      </c>
      <c r="DU46" s="209"/>
      <c r="DV46" s="110">
        <v>0.42708333333333298</v>
      </c>
      <c r="DW46" s="209"/>
      <c r="DX46" s="110">
        <v>0.42708333333333298</v>
      </c>
      <c r="DY46" s="211"/>
      <c r="DZ46" s="21"/>
      <c r="EA46" s="110">
        <v>0.42708333333333298</v>
      </c>
      <c r="EB46" s="209">
        <f>IF('Temperature Profiles'!AA45&gt;18,(0.0018*('Temperature Profiles'!AA45^2)-(0.0475*'Temperature Profiles'!AA45)+0.3123)*1000,IF(AND('Temperature Profiles'!AA45&lt;17,'Temperature Profiles'!AA45&gt;-5.6),(0.0021*('Temperature Profiles'!AA45^2)-(0.0919*'Temperature Profiles'!AA45)+1.0491)*1000,IF(AND('Temperature Profiles'!AA45&lt;-5.6,'Temperature Profiles'!AA45&gt;-11.4),(((-0.2925*'Temperature Profiles'!AA45)-1.6914)*1000)+EB$208,IF('Temperature Profiles'!AA45&lt;-11.4,EB149,0))))</f>
        <v>2931.6000000000004</v>
      </c>
      <c r="EC46" s="110">
        <v>0.42708333333333298</v>
      </c>
      <c r="ED46" s="209">
        <f>IF('Temperature Profiles'!AA45&gt;18,(0.0034*('Temperature Profiles'!AA45^2)-(0.087*'Temperature Profiles'!AA45)+0.5117)*1000,IF(AND('Temperature Profiles'!AA45&lt;17,'Temperature Profiles'!AA45&gt;-4.4),(0.0027*('Temperature Profiles'!AA45^2)-(0.149*'Temperature Profiles'!AA45)+1.7779)*1000,IF(AND('Temperature Profiles'!AA45&lt;-4.4,'Temperature Profiles'!AA45&gt;-8.5),(((-0.5391*'Temperature Profiles'!AA45)-2.0906)*1000)+ED$208,IF('Temperature Profiles'!AA45&lt;-8.5,ED149,0))))</f>
        <v>0</v>
      </c>
      <c r="EE46" s="110">
        <v>0.42708333333333298</v>
      </c>
      <c r="EF46" s="211">
        <f>IF('Temperature Profiles'!AA45&gt;18,(0.0048*('Temperature Profiles'!AA45^2)-(0.1352*'Temperature Profiles'!AA45)+0.9193)*1000,IF(AND('Temperature Profiles'!AA45&lt;17,'Temperature Profiles'!AA45&gt;-4.4),(0.0031*('Temperature Profiles'!AA45^2)-(0.2029*'Temperature Profiles'!AA45)+2.4264)*1000,IF(AND('Temperature Profiles'!AA45&lt;-4.4,'Temperature Profiles'!AA45&gt;-8.5),(((-0.7516*'Temperature Profiles'!AA45)-2.9985)*1000)+EF$208,IF('Temperature Profiles'!AA45&lt;-8.5,EF149,0))))</f>
        <v>0</v>
      </c>
      <c r="EG46" s="21"/>
      <c r="EH46" s="110">
        <v>0.42708333333333298</v>
      </c>
      <c r="EI46" s="211"/>
      <c r="EJ46" s="110">
        <v>0.42708333333333298</v>
      </c>
      <c r="EK46" s="211"/>
      <c r="EL46" s="110">
        <v>0.42708333333333298</v>
      </c>
      <c r="EM46" s="211"/>
      <c r="EN46" s="21"/>
      <c r="EO46" s="110">
        <v>0.42708333333333298</v>
      </c>
      <c r="EP46" s="211"/>
      <c r="EQ46" s="21"/>
      <c r="ER46" s="110">
        <v>0.42708333333333298</v>
      </c>
      <c r="ES46" s="264"/>
      <c r="EU46" s="260">
        <v>0.42708333333333298</v>
      </c>
      <c r="EV46" s="209">
        <f>IF('Temperature Profiles'!AA45&gt;18,(0.0018*('Temperature Profiles'!AA45^2)-(0.0475*'Temperature Profiles'!AA45)+0.3123)*1000,IF(AND('Temperature Profiles'!AA45&lt;17,'Temperature Profiles'!AA45&gt;-5.6),(0.0021*('Temperature Profiles'!AA45^2)-(0.0919*'Temperature Profiles'!AA45)+1.0491)*1000,IF(AND('Temperature Profiles'!AA45&lt;-5.6,'Temperature Profiles'!AA45&gt;-11.4),EV$208,IF('Temperature Profiles'!AA45&lt;-11.4,EV149,0))))</f>
        <v>1620</v>
      </c>
      <c r="EW46" s="110">
        <v>0.42708333333333298</v>
      </c>
      <c r="EX46" s="209">
        <f>IF('Temperature Profiles'!AA45&gt;18,(0.0034*('Temperature Profiles'!AA45^2)-(0.087*'Temperature Profiles'!AA45)+0.5117)*1000,IF(AND('Temperature Profiles'!AA45&lt;17,'Temperature Profiles'!AA45&gt;-4.4),(0.0027*('Temperature Profiles'!AA45^2)-(0.149*'Temperature Profiles'!AA45)+1.7779)*1000,IF(AND('Temperature Profiles'!AA45&lt;-4.4,'Temperature Profiles'!AA45&gt;-8.5),EX$208,IF('Temperature Profiles'!AA45&lt;-8.5,EX149,0))))</f>
        <v>0</v>
      </c>
      <c r="EY46" s="110">
        <v>0.42708333333333298</v>
      </c>
      <c r="EZ46" s="264">
        <f>IF('Temperature Profiles'!AA45&gt;18,(0.0048*('Temperature Profiles'!AA45^2)-(0.1352*'Temperature Profiles'!AA45)+0.9193)*1000,IF(AND('Temperature Profiles'!AA45&lt;17,'Temperature Profiles'!AA45&gt;-4.4),(0.0031*('Temperature Profiles'!AA45^2)-(0.2029*'Temperature Profiles'!AA45)+2.4264)*1000,IF(AND('Temperature Profiles'!AA45&lt;-4.4,'Temperature Profiles'!AA45&gt;-8.5),EZ$208,IF('Temperature Profiles'!AA45&lt;-8.5,EZ149,0))))</f>
        <v>0</v>
      </c>
    </row>
    <row r="47" spans="1:156" x14ac:dyDescent="0.3">
      <c r="A47" s="108">
        <v>0.42708333333333298</v>
      </c>
      <c r="B47" s="226">
        <f t="shared" si="4"/>
        <v>0</v>
      </c>
      <c r="C47" s="21">
        <f t="shared" si="5"/>
        <v>0</v>
      </c>
      <c r="D47" s="21">
        <f t="shared" si="6"/>
        <v>0</v>
      </c>
      <c r="E47" s="20">
        <f t="shared" si="3"/>
        <v>0</v>
      </c>
      <c r="G47" s="260">
        <v>0.4375</v>
      </c>
      <c r="H47" s="211"/>
      <c r="I47" s="110">
        <v>0.4375</v>
      </c>
      <c r="J47" s="211"/>
      <c r="K47" s="110">
        <v>0.4375</v>
      </c>
      <c r="L47" s="211"/>
      <c r="M47" s="21"/>
      <c r="N47" s="110">
        <v>0.4375</v>
      </c>
      <c r="O47" s="209"/>
      <c r="P47" s="110">
        <v>0.4375</v>
      </c>
      <c r="Q47" s="209"/>
      <c r="R47" s="110">
        <v>0.4375</v>
      </c>
      <c r="S47" s="211"/>
      <c r="T47" s="21"/>
      <c r="U47" s="110">
        <v>0.4375</v>
      </c>
      <c r="V47" s="209"/>
      <c r="W47" s="110">
        <v>0.4375</v>
      </c>
      <c r="X47" s="209"/>
      <c r="Y47" s="110">
        <v>0.4375</v>
      </c>
      <c r="Z47" s="211"/>
      <c r="AA47" s="21"/>
      <c r="AB47" s="110">
        <v>0.4375</v>
      </c>
      <c r="AC47" s="209"/>
      <c r="AD47" s="110">
        <v>0.4375</v>
      </c>
      <c r="AE47" s="209"/>
      <c r="AF47" s="110">
        <v>0.4375</v>
      </c>
      <c r="AG47" s="211"/>
      <c r="AH47" s="21"/>
      <c r="AI47" s="110">
        <v>0.4375</v>
      </c>
      <c r="AJ47" s="209"/>
      <c r="AK47" s="110">
        <v>0.4375</v>
      </c>
      <c r="AL47" s="209"/>
      <c r="AM47" s="110">
        <v>0.4375</v>
      </c>
      <c r="AN47" s="211"/>
      <c r="AO47" s="21"/>
      <c r="AP47" s="110">
        <v>0.4375</v>
      </c>
      <c r="AQ47" s="209"/>
      <c r="AR47" s="110">
        <v>0.4375</v>
      </c>
      <c r="AS47" s="209"/>
      <c r="AT47" s="110">
        <v>0.4375</v>
      </c>
      <c r="AU47" s="211"/>
      <c r="AV47" s="21"/>
      <c r="AW47" s="110">
        <v>0.4375</v>
      </c>
      <c r="AX47" s="211"/>
      <c r="AY47" s="21"/>
      <c r="AZ47" s="110">
        <v>0.4375</v>
      </c>
      <c r="BA47" s="264"/>
      <c r="BC47" s="260">
        <v>0.4375</v>
      </c>
      <c r="BD47" s="211"/>
      <c r="BE47" s="110">
        <v>0.4375</v>
      </c>
      <c r="BF47" s="211"/>
      <c r="BG47" s="110">
        <v>0.4375</v>
      </c>
      <c r="BH47" s="211"/>
      <c r="BI47" s="21"/>
      <c r="BJ47" s="110">
        <v>0.4375</v>
      </c>
      <c r="BK47" s="209"/>
      <c r="BL47" s="110">
        <v>0.4375</v>
      </c>
      <c r="BM47" s="209"/>
      <c r="BN47" s="110">
        <v>0.4375</v>
      </c>
      <c r="BO47" s="211"/>
      <c r="BP47" s="21"/>
      <c r="BQ47" s="110">
        <v>0.4375</v>
      </c>
      <c r="BR47" s="209"/>
      <c r="BS47" s="110">
        <v>0.4375</v>
      </c>
      <c r="BT47" s="209"/>
      <c r="BU47" s="110">
        <v>0.4375</v>
      </c>
      <c r="BV47" s="211"/>
      <c r="BW47" s="21"/>
      <c r="BX47" s="110">
        <v>0.4375</v>
      </c>
      <c r="BY47" s="209"/>
      <c r="BZ47" s="110">
        <v>0.4375</v>
      </c>
      <c r="CA47" s="209"/>
      <c r="CB47" s="110">
        <v>0.4375</v>
      </c>
      <c r="CC47" s="211"/>
      <c r="CD47" s="21"/>
      <c r="CE47" s="110">
        <v>0.4375</v>
      </c>
      <c r="CF47" s="209"/>
      <c r="CG47" s="110">
        <v>0.4375</v>
      </c>
      <c r="CH47" s="209"/>
      <c r="CI47" s="110">
        <v>0.4375</v>
      </c>
      <c r="CJ47" s="211"/>
      <c r="CK47" s="21"/>
      <c r="CL47" s="110">
        <v>0.4375</v>
      </c>
      <c r="CM47" s="209"/>
      <c r="CN47" s="110">
        <v>0.4375</v>
      </c>
      <c r="CO47" s="209"/>
      <c r="CP47" s="110">
        <v>0.4375</v>
      </c>
      <c r="CQ47" s="211"/>
      <c r="CR47" s="21"/>
      <c r="CS47" s="110">
        <v>0.4375</v>
      </c>
      <c r="CT47" s="211"/>
      <c r="CU47" s="21"/>
      <c r="CV47" s="110">
        <v>0.4375</v>
      </c>
      <c r="CW47" s="264"/>
      <c r="CY47" s="260">
        <v>0.4375</v>
      </c>
      <c r="CZ47" s="178"/>
      <c r="DA47" s="110">
        <v>0.4375</v>
      </c>
      <c r="DB47" s="263"/>
      <c r="DC47" s="110">
        <v>0.4375</v>
      </c>
      <c r="DD47" s="211"/>
      <c r="DE47" s="21"/>
      <c r="DF47" s="110">
        <v>0.4375</v>
      </c>
      <c r="DG47" s="209"/>
      <c r="DH47" s="110">
        <v>0.4375</v>
      </c>
      <c r="DI47" s="209"/>
      <c r="DJ47" s="110">
        <v>0.4375</v>
      </c>
      <c r="DK47" s="211"/>
      <c r="DL47" s="21"/>
      <c r="DM47" s="110">
        <v>0.4375</v>
      </c>
      <c r="DN47" s="209"/>
      <c r="DO47" s="110">
        <v>0.4375</v>
      </c>
      <c r="DP47" s="209"/>
      <c r="DQ47" s="110">
        <v>0.4375</v>
      </c>
      <c r="DR47" s="211"/>
      <c r="DS47" s="21"/>
      <c r="DT47" s="110">
        <v>0.4375</v>
      </c>
      <c r="DU47" s="209"/>
      <c r="DV47" s="110">
        <v>0.4375</v>
      </c>
      <c r="DW47" s="209"/>
      <c r="DX47" s="110">
        <v>0.4375</v>
      </c>
      <c r="DY47" s="211"/>
      <c r="DZ47" s="21"/>
      <c r="EA47" s="110">
        <v>0.4375</v>
      </c>
      <c r="EB47" s="209">
        <f>IF('Temperature Profiles'!AA46&gt;18,(0.0018*('Temperature Profiles'!AA46^2)-(0.0475*'Temperature Profiles'!AA46)+0.3123)*1000,IF(AND('Temperature Profiles'!AA46&lt;17,'Temperature Profiles'!AA46&gt;-5.6),(0.0021*('Temperature Profiles'!AA46^2)-(0.0919*'Temperature Profiles'!AA46)+1.0491)*1000,IF(AND('Temperature Profiles'!AA46&lt;-5.6,'Temperature Profiles'!AA46&gt;-11.4),(((-0.2925*'Temperature Profiles'!AA46)-1.6914)*1000)+EB$208,IF('Temperature Profiles'!AA46&lt;-11.4,EB150,0))))</f>
        <v>2931.6000000000004</v>
      </c>
      <c r="EC47" s="110">
        <v>0.4375</v>
      </c>
      <c r="ED47" s="209">
        <f>IF('Temperature Profiles'!AA46&gt;18,(0.0034*('Temperature Profiles'!AA46^2)-(0.087*'Temperature Profiles'!AA46)+0.5117)*1000,IF(AND('Temperature Profiles'!AA46&lt;17,'Temperature Profiles'!AA46&gt;-4.4),(0.0027*('Temperature Profiles'!AA46^2)-(0.149*'Temperature Profiles'!AA46)+1.7779)*1000,IF(AND('Temperature Profiles'!AA46&lt;-4.4,'Temperature Profiles'!AA46&gt;-8.5),(((-0.5391*'Temperature Profiles'!AA46)-2.0906)*1000)+ED$208,IF('Temperature Profiles'!AA46&lt;-8.5,ED150,0))))</f>
        <v>0</v>
      </c>
      <c r="EE47" s="110">
        <v>0.4375</v>
      </c>
      <c r="EF47" s="211">
        <f>IF('Temperature Profiles'!AA46&gt;18,(0.0048*('Temperature Profiles'!AA46^2)-(0.1352*'Temperature Profiles'!AA46)+0.9193)*1000,IF(AND('Temperature Profiles'!AA46&lt;17,'Temperature Profiles'!AA46&gt;-4.4),(0.0031*('Temperature Profiles'!AA46^2)-(0.2029*'Temperature Profiles'!AA46)+2.4264)*1000,IF(AND('Temperature Profiles'!AA46&lt;-4.4,'Temperature Profiles'!AA46&gt;-8.5),(((-0.7516*'Temperature Profiles'!AA46)-2.9985)*1000)+EF$208,IF('Temperature Profiles'!AA46&lt;-8.5,EF150,0))))</f>
        <v>0</v>
      </c>
      <c r="EG47" s="21"/>
      <c r="EH47" s="110">
        <v>0.4375</v>
      </c>
      <c r="EI47" s="211"/>
      <c r="EJ47" s="110">
        <v>0.4375</v>
      </c>
      <c r="EK47" s="211"/>
      <c r="EL47" s="110">
        <v>0.4375</v>
      </c>
      <c r="EM47" s="211"/>
      <c r="EN47" s="21"/>
      <c r="EO47" s="110">
        <v>0.4375</v>
      </c>
      <c r="EP47" s="211"/>
      <c r="EQ47" s="21"/>
      <c r="ER47" s="110">
        <v>0.4375</v>
      </c>
      <c r="ES47" s="264"/>
      <c r="EU47" s="260">
        <v>0.4375</v>
      </c>
      <c r="EV47" s="209">
        <f>IF('Temperature Profiles'!AA46&gt;18,(0.0018*('Temperature Profiles'!AA46^2)-(0.0475*'Temperature Profiles'!AA46)+0.3123)*1000,IF(AND('Temperature Profiles'!AA46&lt;17,'Temperature Profiles'!AA46&gt;-5.6),(0.0021*('Temperature Profiles'!AA46^2)-(0.0919*'Temperature Profiles'!AA46)+1.0491)*1000,IF(AND('Temperature Profiles'!AA46&lt;-5.6,'Temperature Profiles'!AA46&gt;-11.4),EV$208,IF('Temperature Profiles'!AA46&lt;-11.4,EV150,0))))</f>
        <v>1620</v>
      </c>
      <c r="EW47" s="110">
        <v>0.4375</v>
      </c>
      <c r="EX47" s="209">
        <f>IF('Temperature Profiles'!AA46&gt;18,(0.0034*('Temperature Profiles'!AA46^2)-(0.087*'Temperature Profiles'!AA46)+0.5117)*1000,IF(AND('Temperature Profiles'!AA46&lt;17,'Temperature Profiles'!AA46&gt;-4.4),(0.0027*('Temperature Profiles'!AA46^2)-(0.149*'Temperature Profiles'!AA46)+1.7779)*1000,IF(AND('Temperature Profiles'!AA46&lt;-4.4,'Temperature Profiles'!AA46&gt;-8.5),EX$208,IF('Temperature Profiles'!AA46&lt;-8.5,EX150,0))))</f>
        <v>0</v>
      </c>
      <c r="EY47" s="110">
        <v>0.4375</v>
      </c>
      <c r="EZ47" s="264">
        <f>IF('Temperature Profiles'!AA46&gt;18,(0.0048*('Temperature Profiles'!AA46^2)-(0.1352*'Temperature Profiles'!AA46)+0.9193)*1000,IF(AND('Temperature Profiles'!AA46&lt;17,'Temperature Profiles'!AA46&gt;-4.4),(0.0031*('Temperature Profiles'!AA46^2)-(0.2029*'Temperature Profiles'!AA46)+2.4264)*1000,IF(AND('Temperature Profiles'!AA46&lt;-4.4,'Temperature Profiles'!AA46&gt;-8.5),EZ$208,IF('Temperature Profiles'!AA46&lt;-8.5,EZ150,0))))</f>
        <v>0</v>
      </c>
    </row>
    <row r="48" spans="1:156" x14ac:dyDescent="0.3">
      <c r="A48" s="108">
        <v>0.4375</v>
      </c>
      <c r="B48" s="226">
        <f t="shared" si="4"/>
        <v>0</v>
      </c>
      <c r="C48" s="21">
        <f t="shared" si="5"/>
        <v>0</v>
      </c>
      <c r="D48" s="21">
        <f t="shared" si="6"/>
        <v>0</v>
      </c>
      <c r="E48" s="20">
        <f t="shared" si="3"/>
        <v>0</v>
      </c>
      <c r="G48" s="260">
        <v>0.44791666666666702</v>
      </c>
      <c r="H48" s="211"/>
      <c r="I48" s="110">
        <v>0.44791666666666702</v>
      </c>
      <c r="J48" s="211"/>
      <c r="K48" s="110">
        <v>0.44791666666666702</v>
      </c>
      <c r="L48" s="211"/>
      <c r="M48" s="21"/>
      <c r="N48" s="110">
        <v>0.44791666666666702</v>
      </c>
      <c r="O48" s="209"/>
      <c r="P48" s="110">
        <v>0.44791666666666702</v>
      </c>
      <c r="Q48" s="209"/>
      <c r="R48" s="110">
        <v>0.44791666666666702</v>
      </c>
      <c r="S48" s="211"/>
      <c r="T48" s="21"/>
      <c r="U48" s="110">
        <v>0.44791666666666702</v>
      </c>
      <c r="V48" s="209"/>
      <c r="W48" s="110">
        <v>0.44791666666666702</v>
      </c>
      <c r="X48" s="209"/>
      <c r="Y48" s="110">
        <v>0.44791666666666702</v>
      </c>
      <c r="Z48" s="211"/>
      <c r="AA48" s="21"/>
      <c r="AB48" s="110">
        <v>0.44791666666666702</v>
      </c>
      <c r="AC48" s="209"/>
      <c r="AD48" s="110">
        <v>0.44791666666666702</v>
      </c>
      <c r="AE48" s="209"/>
      <c r="AF48" s="110">
        <v>0.44791666666666702</v>
      </c>
      <c r="AG48" s="211"/>
      <c r="AH48" s="21"/>
      <c r="AI48" s="110">
        <v>0.44791666666666702</v>
      </c>
      <c r="AJ48" s="209"/>
      <c r="AK48" s="110">
        <v>0.44791666666666702</v>
      </c>
      <c r="AL48" s="209"/>
      <c r="AM48" s="110">
        <v>0.44791666666666702</v>
      </c>
      <c r="AN48" s="211"/>
      <c r="AO48" s="21"/>
      <c r="AP48" s="110">
        <v>0.44791666666666702</v>
      </c>
      <c r="AQ48" s="209"/>
      <c r="AR48" s="110">
        <v>0.44791666666666702</v>
      </c>
      <c r="AS48" s="209"/>
      <c r="AT48" s="110">
        <v>0.44791666666666702</v>
      </c>
      <c r="AU48" s="211"/>
      <c r="AV48" s="21"/>
      <c r="AW48" s="110">
        <v>0.44791666666666702</v>
      </c>
      <c r="AX48" s="211"/>
      <c r="AY48" s="21"/>
      <c r="AZ48" s="110">
        <v>0.44791666666666702</v>
      </c>
      <c r="BA48" s="264"/>
      <c r="BC48" s="260">
        <v>0.44791666666666702</v>
      </c>
      <c r="BD48" s="211"/>
      <c r="BE48" s="110">
        <v>0.44791666666666702</v>
      </c>
      <c r="BF48" s="211"/>
      <c r="BG48" s="110">
        <v>0.44791666666666702</v>
      </c>
      <c r="BH48" s="211"/>
      <c r="BI48" s="21"/>
      <c r="BJ48" s="110">
        <v>0.44791666666666702</v>
      </c>
      <c r="BK48" s="209"/>
      <c r="BL48" s="110">
        <v>0.44791666666666702</v>
      </c>
      <c r="BM48" s="209"/>
      <c r="BN48" s="110">
        <v>0.44791666666666702</v>
      </c>
      <c r="BO48" s="211"/>
      <c r="BP48" s="21"/>
      <c r="BQ48" s="110">
        <v>0.44791666666666702</v>
      </c>
      <c r="BR48" s="209"/>
      <c r="BS48" s="110">
        <v>0.44791666666666702</v>
      </c>
      <c r="BT48" s="209"/>
      <c r="BU48" s="110">
        <v>0.44791666666666702</v>
      </c>
      <c r="BV48" s="211"/>
      <c r="BW48" s="21"/>
      <c r="BX48" s="110">
        <v>0.44791666666666702</v>
      </c>
      <c r="BY48" s="209"/>
      <c r="BZ48" s="110">
        <v>0.44791666666666702</v>
      </c>
      <c r="CA48" s="209"/>
      <c r="CB48" s="110">
        <v>0.44791666666666702</v>
      </c>
      <c r="CC48" s="211"/>
      <c r="CD48" s="21"/>
      <c r="CE48" s="110">
        <v>0.44791666666666702</v>
      </c>
      <c r="CF48" s="209"/>
      <c r="CG48" s="110">
        <v>0.44791666666666702</v>
      </c>
      <c r="CH48" s="209"/>
      <c r="CI48" s="110">
        <v>0.44791666666666702</v>
      </c>
      <c r="CJ48" s="211"/>
      <c r="CK48" s="21"/>
      <c r="CL48" s="110">
        <v>0.44791666666666702</v>
      </c>
      <c r="CM48" s="209"/>
      <c r="CN48" s="110">
        <v>0.44791666666666702</v>
      </c>
      <c r="CO48" s="209"/>
      <c r="CP48" s="110">
        <v>0.44791666666666702</v>
      </c>
      <c r="CQ48" s="211"/>
      <c r="CR48" s="21"/>
      <c r="CS48" s="110">
        <v>0.44791666666666702</v>
      </c>
      <c r="CT48" s="211"/>
      <c r="CU48" s="21"/>
      <c r="CV48" s="110">
        <v>0.44791666666666702</v>
      </c>
      <c r="CW48" s="264"/>
      <c r="CY48" s="260">
        <v>0.44791666666666702</v>
      </c>
      <c r="CZ48" s="178"/>
      <c r="DA48" s="110">
        <v>0.44791666666666702</v>
      </c>
      <c r="DB48" s="263"/>
      <c r="DC48" s="110">
        <v>0.44791666666666702</v>
      </c>
      <c r="DD48" s="211"/>
      <c r="DE48" s="21"/>
      <c r="DF48" s="110">
        <v>0.44791666666666702</v>
      </c>
      <c r="DG48" s="209"/>
      <c r="DH48" s="110">
        <v>0.44791666666666702</v>
      </c>
      <c r="DI48" s="209"/>
      <c r="DJ48" s="110">
        <v>0.44791666666666702</v>
      </c>
      <c r="DK48" s="211"/>
      <c r="DL48" s="21"/>
      <c r="DM48" s="110">
        <v>0.44791666666666702</v>
      </c>
      <c r="DN48" s="209"/>
      <c r="DO48" s="110">
        <v>0.44791666666666702</v>
      </c>
      <c r="DP48" s="209"/>
      <c r="DQ48" s="110">
        <v>0.44791666666666702</v>
      </c>
      <c r="DR48" s="211"/>
      <c r="DS48" s="21"/>
      <c r="DT48" s="110">
        <v>0.44791666666666702</v>
      </c>
      <c r="DU48" s="209"/>
      <c r="DV48" s="110">
        <v>0.44791666666666702</v>
      </c>
      <c r="DW48" s="209"/>
      <c r="DX48" s="110">
        <v>0.44791666666666702</v>
      </c>
      <c r="DY48" s="211"/>
      <c r="DZ48" s="21"/>
      <c r="EA48" s="110">
        <v>0.44791666666666702</v>
      </c>
      <c r="EB48" s="209">
        <f>IF('Temperature Profiles'!AA47&gt;18,(0.0018*('Temperature Profiles'!AA47^2)-(0.0475*'Temperature Profiles'!AA47)+0.3123)*1000,IF(AND('Temperature Profiles'!AA47&lt;17,'Temperature Profiles'!AA47&gt;-5.6),(0.0021*('Temperature Profiles'!AA47^2)-(0.0919*'Temperature Profiles'!AA47)+1.0491)*1000,IF(AND('Temperature Profiles'!AA47&lt;-5.6,'Temperature Profiles'!AA47&gt;-11.4),(((-0.2925*'Temperature Profiles'!AA47)-1.6914)*1000)+EB$208,IF('Temperature Profiles'!AA47&lt;-11.4,EB151,0))))</f>
        <v>2931.6000000000004</v>
      </c>
      <c r="EC48" s="110">
        <v>0.44791666666666702</v>
      </c>
      <c r="ED48" s="209">
        <f>IF('Temperature Profiles'!AA47&gt;18,(0.0034*('Temperature Profiles'!AA47^2)-(0.087*'Temperature Profiles'!AA47)+0.5117)*1000,IF(AND('Temperature Profiles'!AA47&lt;17,'Temperature Profiles'!AA47&gt;-4.4),(0.0027*('Temperature Profiles'!AA47^2)-(0.149*'Temperature Profiles'!AA47)+1.7779)*1000,IF(AND('Temperature Profiles'!AA47&lt;-4.4,'Temperature Profiles'!AA47&gt;-8.5),(((-0.5391*'Temperature Profiles'!AA47)-2.0906)*1000)+ED$208,IF('Temperature Profiles'!AA47&lt;-8.5,ED151,0))))</f>
        <v>0</v>
      </c>
      <c r="EE48" s="110">
        <v>0.44791666666666702</v>
      </c>
      <c r="EF48" s="211">
        <f>IF('Temperature Profiles'!AA47&gt;18,(0.0048*('Temperature Profiles'!AA47^2)-(0.1352*'Temperature Profiles'!AA47)+0.9193)*1000,IF(AND('Temperature Profiles'!AA47&lt;17,'Temperature Profiles'!AA47&gt;-4.4),(0.0031*('Temperature Profiles'!AA47^2)-(0.2029*'Temperature Profiles'!AA47)+2.4264)*1000,IF(AND('Temperature Profiles'!AA47&lt;-4.4,'Temperature Profiles'!AA47&gt;-8.5),(((-0.7516*'Temperature Profiles'!AA47)-2.9985)*1000)+EF$208,IF('Temperature Profiles'!AA47&lt;-8.5,EF151,0))))</f>
        <v>0</v>
      </c>
      <c r="EG48" s="21"/>
      <c r="EH48" s="110">
        <v>0.44791666666666702</v>
      </c>
      <c r="EI48" s="211"/>
      <c r="EJ48" s="110">
        <v>0.44791666666666702</v>
      </c>
      <c r="EK48" s="211"/>
      <c r="EL48" s="110">
        <v>0.44791666666666702</v>
      </c>
      <c r="EM48" s="211"/>
      <c r="EN48" s="21"/>
      <c r="EO48" s="110">
        <v>0.44791666666666702</v>
      </c>
      <c r="EP48" s="211"/>
      <c r="EQ48" s="21"/>
      <c r="ER48" s="110">
        <v>0.44791666666666702</v>
      </c>
      <c r="ES48" s="264"/>
      <c r="EU48" s="260">
        <v>0.44791666666666702</v>
      </c>
      <c r="EV48" s="209">
        <f>IF('Temperature Profiles'!AA47&gt;18,(0.0018*('Temperature Profiles'!AA47^2)-(0.0475*'Temperature Profiles'!AA47)+0.3123)*1000,IF(AND('Temperature Profiles'!AA47&lt;17,'Temperature Profiles'!AA47&gt;-5.6),(0.0021*('Temperature Profiles'!AA47^2)-(0.0919*'Temperature Profiles'!AA47)+1.0491)*1000,IF(AND('Temperature Profiles'!AA47&lt;-5.6,'Temperature Profiles'!AA47&gt;-11.4),EV$208,IF('Temperature Profiles'!AA47&lt;-11.4,EV151,0))))</f>
        <v>1620</v>
      </c>
      <c r="EW48" s="110">
        <v>0.44791666666666702</v>
      </c>
      <c r="EX48" s="209">
        <f>IF('Temperature Profiles'!AA47&gt;18,(0.0034*('Temperature Profiles'!AA47^2)-(0.087*'Temperature Profiles'!AA47)+0.5117)*1000,IF(AND('Temperature Profiles'!AA47&lt;17,'Temperature Profiles'!AA47&gt;-4.4),(0.0027*('Temperature Profiles'!AA47^2)-(0.149*'Temperature Profiles'!AA47)+1.7779)*1000,IF(AND('Temperature Profiles'!AA47&lt;-4.4,'Temperature Profiles'!AA47&gt;-8.5),EX$208,IF('Temperature Profiles'!AA47&lt;-8.5,EX151,0))))</f>
        <v>0</v>
      </c>
      <c r="EY48" s="110">
        <v>0.44791666666666702</v>
      </c>
      <c r="EZ48" s="264">
        <f>IF('Temperature Profiles'!AA47&gt;18,(0.0048*('Temperature Profiles'!AA47^2)-(0.1352*'Temperature Profiles'!AA47)+0.9193)*1000,IF(AND('Temperature Profiles'!AA47&lt;17,'Temperature Profiles'!AA47&gt;-4.4),(0.0031*('Temperature Profiles'!AA47^2)-(0.2029*'Temperature Profiles'!AA47)+2.4264)*1000,IF(AND('Temperature Profiles'!AA47&lt;-4.4,'Temperature Profiles'!AA47&gt;-8.5),EZ$208,IF('Temperature Profiles'!AA47&lt;-8.5,EZ151,0))))</f>
        <v>0</v>
      </c>
    </row>
    <row r="49" spans="1:156" x14ac:dyDescent="0.3">
      <c r="A49" s="108">
        <v>0.44791666666666702</v>
      </c>
      <c r="B49" s="226">
        <f t="shared" si="4"/>
        <v>0</v>
      </c>
      <c r="C49" s="21">
        <f t="shared" si="5"/>
        <v>0</v>
      </c>
      <c r="D49" s="21">
        <f t="shared" si="6"/>
        <v>0</v>
      </c>
      <c r="E49" s="20">
        <f t="shared" si="3"/>
        <v>0</v>
      </c>
      <c r="G49" s="260">
        <v>0.45833333333333298</v>
      </c>
      <c r="H49" s="211"/>
      <c r="I49" s="110">
        <v>0.45833333333333298</v>
      </c>
      <c r="J49" s="211"/>
      <c r="K49" s="110">
        <v>0.45833333333333298</v>
      </c>
      <c r="L49" s="211"/>
      <c r="M49" s="21"/>
      <c r="N49" s="110">
        <v>0.45833333333333298</v>
      </c>
      <c r="O49" s="209"/>
      <c r="P49" s="110">
        <v>0.45833333333333298</v>
      </c>
      <c r="Q49" s="209"/>
      <c r="R49" s="110">
        <v>0.45833333333333298</v>
      </c>
      <c r="S49" s="211"/>
      <c r="T49" s="21"/>
      <c r="U49" s="110">
        <v>0.45833333333333298</v>
      </c>
      <c r="V49" s="209"/>
      <c r="W49" s="110">
        <v>0.45833333333333298</v>
      </c>
      <c r="X49" s="209"/>
      <c r="Y49" s="110">
        <v>0.45833333333333298</v>
      </c>
      <c r="Z49" s="211"/>
      <c r="AA49" s="21"/>
      <c r="AB49" s="110">
        <v>0.45833333333333298</v>
      </c>
      <c r="AC49" s="209"/>
      <c r="AD49" s="110">
        <v>0.45833333333333298</v>
      </c>
      <c r="AE49" s="209"/>
      <c r="AF49" s="110">
        <v>0.45833333333333298</v>
      </c>
      <c r="AG49" s="211"/>
      <c r="AH49" s="21"/>
      <c r="AI49" s="110">
        <v>0.45833333333333298</v>
      </c>
      <c r="AJ49" s="209"/>
      <c r="AK49" s="110">
        <v>0.45833333333333298</v>
      </c>
      <c r="AL49" s="209"/>
      <c r="AM49" s="110">
        <v>0.45833333333333298</v>
      </c>
      <c r="AN49" s="211"/>
      <c r="AO49" s="21"/>
      <c r="AP49" s="110">
        <v>0.45833333333333298</v>
      </c>
      <c r="AQ49" s="209"/>
      <c r="AR49" s="110">
        <v>0.45833333333333298</v>
      </c>
      <c r="AS49" s="209"/>
      <c r="AT49" s="110">
        <v>0.45833333333333298</v>
      </c>
      <c r="AU49" s="211"/>
      <c r="AV49" s="21"/>
      <c r="AW49" s="110">
        <v>0.45833333333333298</v>
      </c>
      <c r="AX49" s="211"/>
      <c r="AY49" s="21"/>
      <c r="AZ49" s="110">
        <v>0.45833333333333298</v>
      </c>
      <c r="BA49" s="264"/>
      <c r="BC49" s="260">
        <v>0.45833333333333298</v>
      </c>
      <c r="BD49" s="211"/>
      <c r="BE49" s="110">
        <v>0.45833333333333298</v>
      </c>
      <c r="BF49" s="211"/>
      <c r="BG49" s="110">
        <v>0.45833333333333298</v>
      </c>
      <c r="BH49" s="211"/>
      <c r="BI49" s="21"/>
      <c r="BJ49" s="110">
        <v>0.45833333333333298</v>
      </c>
      <c r="BK49" s="209"/>
      <c r="BL49" s="110">
        <v>0.45833333333333298</v>
      </c>
      <c r="BM49" s="209"/>
      <c r="BN49" s="110">
        <v>0.45833333333333298</v>
      </c>
      <c r="BO49" s="211"/>
      <c r="BP49" s="21"/>
      <c r="BQ49" s="110">
        <v>0.45833333333333298</v>
      </c>
      <c r="BR49" s="209"/>
      <c r="BS49" s="110">
        <v>0.45833333333333298</v>
      </c>
      <c r="BT49" s="209"/>
      <c r="BU49" s="110">
        <v>0.45833333333333298</v>
      </c>
      <c r="BV49" s="211"/>
      <c r="BW49" s="21"/>
      <c r="BX49" s="110">
        <v>0.45833333333333298</v>
      </c>
      <c r="BY49" s="209"/>
      <c r="BZ49" s="110">
        <v>0.45833333333333298</v>
      </c>
      <c r="CA49" s="209"/>
      <c r="CB49" s="110">
        <v>0.45833333333333298</v>
      </c>
      <c r="CC49" s="211"/>
      <c r="CD49" s="21"/>
      <c r="CE49" s="110">
        <v>0.45833333333333298</v>
      </c>
      <c r="CF49" s="209"/>
      <c r="CG49" s="110">
        <v>0.45833333333333298</v>
      </c>
      <c r="CH49" s="209"/>
      <c r="CI49" s="110">
        <v>0.45833333333333298</v>
      </c>
      <c r="CJ49" s="211"/>
      <c r="CK49" s="21"/>
      <c r="CL49" s="110">
        <v>0.45833333333333298</v>
      </c>
      <c r="CM49" s="209"/>
      <c r="CN49" s="110">
        <v>0.45833333333333298</v>
      </c>
      <c r="CO49" s="209"/>
      <c r="CP49" s="110">
        <v>0.45833333333333298</v>
      </c>
      <c r="CQ49" s="211"/>
      <c r="CR49" s="21"/>
      <c r="CS49" s="110">
        <v>0.45833333333333298</v>
      </c>
      <c r="CT49" s="211"/>
      <c r="CU49" s="21"/>
      <c r="CV49" s="110">
        <v>0.45833333333333298</v>
      </c>
      <c r="CW49" s="264"/>
      <c r="CY49" s="260">
        <v>0.45833333333333298</v>
      </c>
      <c r="CZ49" s="178"/>
      <c r="DA49" s="110">
        <v>0.45833333333333298</v>
      </c>
      <c r="DB49" s="263"/>
      <c r="DC49" s="110">
        <v>0.45833333333333298</v>
      </c>
      <c r="DD49" s="211"/>
      <c r="DE49" s="21"/>
      <c r="DF49" s="110">
        <v>0.45833333333333298</v>
      </c>
      <c r="DG49" s="209"/>
      <c r="DH49" s="110">
        <v>0.45833333333333298</v>
      </c>
      <c r="DI49" s="209"/>
      <c r="DJ49" s="110">
        <v>0.45833333333333298</v>
      </c>
      <c r="DK49" s="211"/>
      <c r="DL49" s="21"/>
      <c r="DM49" s="110">
        <v>0.45833333333333298</v>
      </c>
      <c r="DN49" s="209"/>
      <c r="DO49" s="110">
        <v>0.45833333333333298</v>
      </c>
      <c r="DP49" s="209"/>
      <c r="DQ49" s="110">
        <v>0.45833333333333298</v>
      </c>
      <c r="DR49" s="211"/>
      <c r="DS49" s="21"/>
      <c r="DT49" s="110">
        <v>0.45833333333333298</v>
      </c>
      <c r="DU49" s="209"/>
      <c r="DV49" s="110">
        <v>0.45833333333333298</v>
      </c>
      <c r="DW49" s="209"/>
      <c r="DX49" s="110">
        <v>0.45833333333333298</v>
      </c>
      <c r="DY49" s="211"/>
      <c r="DZ49" s="21"/>
      <c r="EA49" s="110">
        <v>0.45833333333333298</v>
      </c>
      <c r="EB49" s="209">
        <f>IF('Temperature Profiles'!AA48&gt;18,(0.0018*('Temperature Profiles'!AA48^2)-(0.0475*'Temperature Profiles'!AA48)+0.3123)*1000,IF(AND('Temperature Profiles'!AA48&lt;17,'Temperature Profiles'!AA48&gt;-5.6),(0.0021*('Temperature Profiles'!AA48^2)-(0.0919*'Temperature Profiles'!AA48)+1.0491)*1000,IF(AND('Temperature Profiles'!AA48&lt;-5.6,'Temperature Profiles'!AA48&gt;-11.4),(((-0.2925*'Temperature Profiles'!AA48)-1.6914)*1000)+EB$208,IF('Temperature Profiles'!AA48&lt;-11.4,EB152,0))))</f>
        <v>2266.1625000000004</v>
      </c>
      <c r="EC49" s="110">
        <v>0.45833333333333298</v>
      </c>
      <c r="ED49" s="209">
        <f>IF('Temperature Profiles'!AA48&gt;18,(0.0034*('Temperature Profiles'!AA48^2)-(0.087*'Temperature Profiles'!AA48)+0.5117)*1000,IF(AND('Temperature Profiles'!AA48&lt;17,'Temperature Profiles'!AA48&gt;-4.4),(0.0027*('Temperature Profiles'!AA48^2)-(0.149*'Temperature Profiles'!AA48)+1.7779)*1000,IF(AND('Temperature Profiles'!AA48&lt;-4.4,'Temperature Profiles'!AA48&gt;-8.5),(((-0.5391*'Temperature Profiles'!AA48)-2.0906)*1000)+ED$208,IF('Temperature Profiles'!AA48&lt;-8.5,ED152,0))))</f>
        <v>4697.7075000000004</v>
      </c>
      <c r="EE49" s="110">
        <v>0.45833333333333298</v>
      </c>
      <c r="EF49" s="211">
        <f>IF('Temperature Profiles'!AA48&gt;18,(0.0048*('Temperature Profiles'!AA48^2)-(0.1352*'Temperature Profiles'!AA48)+0.9193)*1000,IF(AND('Temperature Profiles'!AA48&lt;17,'Temperature Profiles'!AA48&gt;-4.4),(0.0031*('Temperature Profiles'!AA48^2)-(0.2029*'Temperature Profiles'!AA48)+2.4264)*1000,IF(AND('Temperature Profiles'!AA48&lt;-4.4,'Temperature Profiles'!AA48&gt;-8.5),(((-0.7516*'Temperature Profiles'!AA48)-2.9985)*1000)+EF$208,IF('Temperature Profiles'!AA48&lt;-8.5,EF152,0))))</f>
        <v>6398.0366666666687</v>
      </c>
      <c r="EG49" s="21"/>
      <c r="EH49" s="110">
        <v>0.45833333333333298</v>
      </c>
      <c r="EI49" s="211"/>
      <c r="EJ49" s="110">
        <v>0.45833333333333298</v>
      </c>
      <c r="EK49" s="211"/>
      <c r="EL49" s="110">
        <v>0.45833333333333298</v>
      </c>
      <c r="EM49" s="211"/>
      <c r="EN49" s="21"/>
      <c r="EO49" s="110">
        <v>0.45833333333333298</v>
      </c>
      <c r="EP49" s="211"/>
      <c r="EQ49" s="21"/>
      <c r="ER49" s="110">
        <v>0.45833333333333298</v>
      </c>
      <c r="ES49" s="264"/>
      <c r="EU49" s="260">
        <v>0.45833333333333298</v>
      </c>
      <c r="EV49" s="209">
        <f>IF('Temperature Profiles'!AA48&gt;18,(0.0018*('Temperature Profiles'!AA48^2)-(0.0475*'Temperature Profiles'!AA48)+0.3123)*1000,IF(AND('Temperature Profiles'!AA48&lt;17,'Temperature Profiles'!AA48&gt;-5.6),(0.0021*('Temperature Profiles'!AA48^2)-(0.0919*'Temperature Profiles'!AA48)+1.0491)*1000,IF(AND('Temperature Profiles'!AA48&lt;-5.6,'Temperature Profiles'!AA48&gt;-11.4),EV$208,IF('Temperature Profiles'!AA48&lt;-11.4,EV152,0))))</f>
        <v>1620</v>
      </c>
      <c r="EW49" s="110">
        <v>0.45833333333333298</v>
      </c>
      <c r="EX49" s="209">
        <f>IF('Temperature Profiles'!AA48&gt;18,(0.0034*('Temperature Profiles'!AA48^2)-(0.087*'Temperature Profiles'!AA48)+0.5117)*1000,IF(AND('Temperature Profiles'!AA48&lt;17,'Temperature Profiles'!AA48&gt;-4.4),(0.0027*('Temperature Profiles'!AA48^2)-(0.149*'Temperature Profiles'!AA48)+1.7779)*1000,IF(AND('Temperature Profiles'!AA48&lt;-4.4,'Temperature Profiles'!AA48&gt;-8.5),EX$208,IF('Temperature Profiles'!AA48&lt;-8.5,EX152,0))))</f>
        <v>2480</v>
      </c>
      <c r="EY49" s="110">
        <v>0.45833333333333298</v>
      </c>
      <c r="EZ49" s="264">
        <f>IF('Temperature Profiles'!AA48&gt;18,(0.0048*('Temperature Profiles'!AA48^2)-(0.1352*'Temperature Profiles'!AA48)+0.9193)*1000,IF(AND('Temperature Profiles'!AA48&lt;17,'Temperature Profiles'!AA48&gt;-4.4),(0.0031*('Temperature Profiles'!AA48^2)-(0.2029*'Temperature Profiles'!AA48)+2.4264)*1000,IF(AND('Temperature Profiles'!AA48&lt;-4.4,'Temperature Profiles'!AA48&gt;-8.5),EZ$208,IF('Temperature Profiles'!AA48&lt;-8.5,EZ152,0))))</f>
        <v>3390</v>
      </c>
    </row>
    <row r="50" spans="1:156" x14ac:dyDescent="0.3">
      <c r="A50" s="108">
        <v>0.45833333333333298</v>
      </c>
      <c r="B50" s="226">
        <f t="shared" si="4"/>
        <v>0</v>
      </c>
      <c r="C50" s="21">
        <f t="shared" si="5"/>
        <v>0</v>
      </c>
      <c r="D50" s="21">
        <f t="shared" si="6"/>
        <v>6398.0366666666687</v>
      </c>
      <c r="E50" s="20">
        <f t="shared" si="3"/>
        <v>3390</v>
      </c>
      <c r="G50" s="260">
        <v>0.46875</v>
      </c>
      <c r="H50" s="211"/>
      <c r="I50" s="110">
        <v>0.46875</v>
      </c>
      <c r="J50" s="211"/>
      <c r="K50" s="110">
        <v>0.46875</v>
      </c>
      <c r="L50" s="211"/>
      <c r="M50" s="21"/>
      <c r="N50" s="110">
        <v>0.46875</v>
      </c>
      <c r="O50" s="209"/>
      <c r="P50" s="110">
        <v>0.46875</v>
      </c>
      <c r="Q50" s="209"/>
      <c r="R50" s="110">
        <v>0.46875</v>
      </c>
      <c r="S50" s="211"/>
      <c r="T50" s="21"/>
      <c r="U50" s="110">
        <v>0.46875</v>
      </c>
      <c r="V50" s="209"/>
      <c r="W50" s="110">
        <v>0.46875</v>
      </c>
      <c r="X50" s="209"/>
      <c r="Y50" s="110">
        <v>0.46875</v>
      </c>
      <c r="Z50" s="211"/>
      <c r="AA50" s="21"/>
      <c r="AB50" s="110">
        <v>0.46875</v>
      </c>
      <c r="AC50" s="209"/>
      <c r="AD50" s="110">
        <v>0.46875</v>
      </c>
      <c r="AE50" s="209"/>
      <c r="AF50" s="110">
        <v>0.46875</v>
      </c>
      <c r="AG50" s="211"/>
      <c r="AH50" s="21"/>
      <c r="AI50" s="110">
        <v>0.46875</v>
      </c>
      <c r="AJ50" s="209"/>
      <c r="AK50" s="110">
        <v>0.46875</v>
      </c>
      <c r="AL50" s="209"/>
      <c r="AM50" s="110">
        <v>0.46875</v>
      </c>
      <c r="AN50" s="211"/>
      <c r="AO50" s="21"/>
      <c r="AP50" s="110">
        <v>0.46875</v>
      </c>
      <c r="AQ50" s="209"/>
      <c r="AR50" s="110">
        <v>0.46875</v>
      </c>
      <c r="AS50" s="209"/>
      <c r="AT50" s="110">
        <v>0.46875</v>
      </c>
      <c r="AU50" s="211"/>
      <c r="AV50" s="21"/>
      <c r="AW50" s="110">
        <v>0.46875</v>
      </c>
      <c r="AX50" s="211"/>
      <c r="AY50" s="21"/>
      <c r="AZ50" s="110">
        <v>0.46875</v>
      </c>
      <c r="BA50" s="264"/>
      <c r="BC50" s="260">
        <v>0.46875</v>
      </c>
      <c r="BD50" s="211"/>
      <c r="BE50" s="110">
        <v>0.46875</v>
      </c>
      <c r="BF50" s="211"/>
      <c r="BG50" s="110">
        <v>0.46875</v>
      </c>
      <c r="BH50" s="211"/>
      <c r="BI50" s="21"/>
      <c r="BJ50" s="110">
        <v>0.46875</v>
      </c>
      <c r="BK50" s="209"/>
      <c r="BL50" s="110">
        <v>0.46875</v>
      </c>
      <c r="BM50" s="209"/>
      <c r="BN50" s="110">
        <v>0.46875</v>
      </c>
      <c r="BO50" s="211"/>
      <c r="BP50" s="21"/>
      <c r="BQ50" s="110">
        <v>0.46875</v>
      </c>
      <c r="BR50" s="209"/>
      <c r="BS50" s="110">
        <v>0.46875</v>
      </c>
      <c r="BT50" s="209"/>
      <c r="BU50" s="110">
        <v>0.46875</v>
      </c>
      <c r="BV50" s="211"/>
      <c r="BW50" s="21"/>
      <c r="BX50" s="110">
        <v>0.46875</v>
      </c>
      <c r="BY50" s="209"/>
      <c r="BZ50" s="110">
        <v>0.46875</v>
      </c>
      <c r="CA50" s="209"/>
      <c r="CB50" s="110">
        <v>0.46875</v>
      </c>
      <c r="CC50" s="211"/>
      <c r="CD50" s="21"/>
      <c r="CE50" s="110">
        <v>0.46875</v>
      </c>
      <c r="CF50" s="209"/>
      <c r="CG50" s="110">
        <v>0.46875</v>
      </c>
      <c r="CH50" s="209"/>
      <c r="CI50" s="110">
        <v>0.46875</v>
      </c>
      <c r="CJ50" s="211"/>
      <c r="CK50" s="21"/>
      <c r="CL50" s="110">
        <v>0.46875</v>
      </c>
      <c r="CM50" s="209"/>
      <c r="CN50" s="110">
        <v>0.46875</v>
      </c>
      <c r="CO50" s="209"/>
      <c r="CP50" s="110">
        <v>0.46875</v>
      </c>
      <c r="CQ50" s="211"/>
      <c r="CR50" s="21"/>
      <c r="CS50" s="110">
        <v>0.46875</v>
      </c>
      <c r="CT50" s="211"/>
      <c r="CU50" s="21"/>
      <c r="CV50" s="110">
        <v>0.46875</v>
      </c>
      <c r="CW50" s="264"/>
      <c r="CY50" s="260">
        <v>0.46875</v>
      </c>
      <c r="CZ50" s="178"/>
      <c r="DA50" s="110">
        <v>0.46875</v>
      </c>
      <c r="DB50" s="263"/>
      <c r="DC50" s="110">
        <v>0.46875</v>
      </c>
      <c r="DD50" s="211"/>
      <c r="DE50" s="21"/>
      <c r="DF50" s="110">
        <v>0.46875</v>
      </c>
      <c r="DG50" s="209"/>
      <c r="DH50" s="110">
        <v>0.46875</v>
      </c>
      <c r="DI50" s="209"/>
      <c r="DJ50" s="110">
        <v>0.46875</v>
      </c>
      <c r="DK50" s="211"/>
      <c r="DL50" s="21"/>
      <c r="DM50" s="110">
        <v>0.46875</v>
      </c>
      <c r="DN50" s="209"/>
      <c r="DO50" s="110">
        <v>0.46875</v>
      </c>
      <c r="DP50" s="209"/>
      <c r="DQ50" s="110">
        <v>0.46875</v>
      </c>
      <c r="DR50" s="211"/>
      <c r="DS50" s="21"/>
      <c r="DT50" s="110">
        <v>0.46875</v>
      </c>
      <c r="DU50" s="209"/>
      <c r="DV50" s="110">
        <v>0.46875</v>
      </c>
      <c r="DW50" s="209"/>
      <c r="DX50" s="110">
        <v>0.46875</v>
      </c>
      <c r="DY50" s="211"/>
      <c r="DZ50" s="21"/>
      <c r="EA50" s="110">
        <v>0.46875</v>
      </c>
      <c r="EB50" s="209">
        <f>IF('Temperature Profiles'!AA49&gt;18,(0.0018*('Temperature Profiles'!AA49^2)-(0.0475*'Temperature Profiles'!AA49)+0.3123)*1000,IF(AND('Temperature Profiles'!AA49&lt;17,'Temperature Profiles'!AA49&gt;-5.6),(0.0021*('Temperature Profiles'!AA49^2)-(0.0919*'Temperature Profiles'!AA49)+1.0491)*1000,IF(AND('Temperature Profiles'!AA49&lt;-5.6,'Temperature Profiles'!AA49&gt;-11.4),(((-0.2925*'Temperature Profiles'!AA49)-1.6914)*1000)+EB$208,IF('Temperature Profiles'!AA49&lt;-11.4,EB153,0))))</f>
        <v>2266.1625000000004</v>
      </c>
      <c r="EC50" s="110">
        <v>0.46875</v>
      </c>
      <c r="ED50" s="209">
        <f>IF('Temperature Profiles'!AA49&gt;18,(0.0034*('Temperature Profiles'!AA49^2)-(0.087*'Temperature Profiles'!AA49)+0.5117)*1000,IF(AND('Temperature Profiles'!AA49&lt;17,'Temperature Profiles'!AA49&gt;-4.4),(0.0027*('Temperature Profiles'!AA49^2)-(0.149*'Temperature Profiles'!AA49)+1.7779)*1000,IF(AND('Temperature Profiles'!AA49&lt;-4.4,'Temperature Profiles'!AA49&gt;-8.5),(((-0.5391*'Temperature Profiles'!AA49)-2.0906)*1000)+ED$208,IF('Temperature Profiles'!AA49&lt;-8.5,ED153,0))))</f>
        <v>4697.7075000000004</v>
      </c>
      <c r="EE50" s="110">
        <v>0.46875</v>
      </c>
      <c r="EF50" s="211">
        <f>IF('Temperature Profiles'!AA49&gt;18,(0.0048*('Temperature Profiles'!AA49^2)-(0.1352*'Temperature Profiles'!AA49)+0.9193)*1000,IF(AND('Temperature Profiles'!AA49&lt;17,'Temperature Profiles'!AA49&gt;-4.4),(0.0031*('Temperature Profiles'!AA49^2)-(0.2029*'Temperature Profiles'!AA49)+2.4264)*1000,IF(AND('Temperature Profiles'!AA49&lt;-4.4,'Temperature Profiles'!AA49&gt;-8.5),(((-0.7516*'Temperature Profiles'!AA49)-2.9985)*1000)+EF$208,IF('Temperature Profiles'!AA49&lt;-8.5,EF153,0))))</f>
        <v>6398.0366666666687</v>
      </c>
      <c r="EG50" s="21"/>
      <c r="EH50" s="110">
        <v>0.46875</v>
      </c>
      <c r="EI50" s="211"/>
      <c r="EJ50" s="110">
        <v>0.46875</v>
      </c>
      <c r="EK50" s="211"/>
      <c r="EL50" s="110">
        <v>0.46875</v>
      </c>
      <c r="EM50" s="211"/>
      <c r="EN50" s="21"/>
      <c r="EO50" s="110">
        <v>0.46875</v>
      </c>
      <c r="EP50" s="211"/>
      <c r="EQ50" s="21"/>
      <c r="ER50" s="110">
        <v>0.46875</v>
      </c>
      <c r="ES50" s="264"/>
      <c r="EU50" s="260">
        <v>0.46875</v>
      </c>
      <c r="EV50" s="209">
        <f>IF('Temperature Profiles'!AA49&gt;18,(0.0018*('Temperature Profiles'!AA49^2)-(0.0475*'Temperature Profiles'!AA49)+0.3123)*1000,IF(AND('Temperature Profiles'!AA49&lt;17,'Temperature Profiles'!AA49&gt;-5.6),(0.0021*('Temperature Profiles'!AA49^2)-(0.0919*'Temperature Profiles'!AA49)+1.0491)*1000,IF(AND('Temperature Profiles'!AA49&lt;-5.6,'Temperature Profiles'!AA49&gt;-11.4),EV$208,IF('Temperature Profiles'!AA49&lt;-11.4,EV153,0))))</f>
        <v>1620</v>
      </c>
      <c r="EW50" s="110">
        <v>0.46875</v>
      </c>
      <c r="EX50" s="209">
        <f>IF('Temperature Profiles'!AA49&gt;18,(0.0034*('Temperature Profiles'!AA49^2)-(0.087*'Temperature Profiles'!AA49)+0.5117)*1000,IF(AND('Temperature Profiles'!AA49&lt;17,'Temperature Profiles'!AA49&gt;-4.4),(0.0027*('Temperature Profiles'!AA49^2)-(0.149*'Temperature Profiles'!AA49)+1.7779)*1000,IF(AND('Temperature Profiles'!AA49&lt;-4.4,'Temperature Profiles'!AA49&gt;-8.5),EX$208,IF('Temperature Profiles'!AA49&lt;-8.5,EX153,0))))</f>
        <v>2480</v>
      </c>
      <c r="EY50" s="110">
        <v>0.46875</v>
      </c>
      <c r="EZ50" s="264">
        <f>IF('Temperature Profiles'!AA49&gt;18,(0.0048*('Temperature Profiles'!AA49^2)-(0.1352*'Temperature Profiles'!AA49)+0.9193)*1000,IF(AND('Temperature Profiles'!AA49&lt;17,'Temperature Profiles'!AA49&gt;-4.4),(0.0031*('Temperature Profiles'!AA49^2)-(0.2029*'Temperature Profiles'!AA49)+2.4264)*1000,IF(AND('Temperature Profiles'!AA49&lt;-4.4,'Temperature Profiles'!AA49&gt;-8.5),EZ$208,IF('Temperature Profiles'!AA49&lt;-8.5,EZ153,0))))</f>
        <v>3390</v>
      </c>
    </row>
    <row r="51" spans="1:156" x14ac:dyDescent="0.3">
      <c r="A51" s="108">
        <v>0.46875</v>
      </c>
      <c r="B51" s="226">
        <f t="shared" si="4"/>
        <v>0</v>
      </c>
      <c r="C51" s="21">
        <f t="shared" si="5"/>
        <v>0</v>
      </c>
      <c r="D51" s="21">
        <f t="shared" si="6"/>
        <v>6398.0366666666687</v>
      </c>
      <c r="E51" s="20">
        <f t="shared" si="3"/>
        <v>3390</v>
      </c>
      <c r="G51" s="260">
        <v>0.47916666666666702</v>
      </c>
      <c r="H51" s="211"/>
      <c r="I51" s="110">
        <v>0.47916666666666702</v>
      </c>
      <c r="J51" s="211"/>
      <c r="K51" s="110">
        <v>0.47916666666666702</v>
      </c>
      <c r="L51" s="211"/>
      <c r="M51" s="21"/>
      <c r="N51" s="110">
        <v>0.47916666666666702</v>
      </c>
      <c r="O51" s="209"/>
      <c r="P51" s="110">
        <v>0.47916666666666702</v>
      </c>
      <c r="Q51" s="209"/>
      <c r="R51" s="110">
        <v>0.47916666666666702</v>
      </c>
      <c r="S51" s="211"/>
      <c r="T51" s="21"/>
      <c r="U51" s="110">
        <v>0.47916666666666702</v>
      </c>
      <c r="V51" s="209"/>
      <c r="W51" s="110">
        <v>0.47916666666666702</v>
      </c>
      <c r="X51" s="209"/>
      <c r="Y51" s="110">
        <v>0.47916666666666702</v>
      </c>
      <c r="Z51" s="211"/>
      <c r="AA51" s="21"/>
      <c r="AB51" s="110">
        <v>0.47916666666666702</v>
      </c>
      <c r="AC51" s="209"/>
      <c r="AD51" s="110">
        <v>0.47916666666666702</v>
      </c>
      <c r="AE51" s="209"/>
      <c r="AF51" s="110">
        <v>0.47916666666666702</v>
      </c>
      <c r="AG51" s="211"/>
      <c r="AH51" s="21"/>
      <c r="AI51" s="110">
        <v>0.47916666666666702</v>
      </c>
      <c r="AJ51" s="209"/>
      <c r="AK51" s="110">
        <v>0.47916666666666702</v>
      </c>
      <c r="AL51" s="209"/>
      <c r="AM51" s="110">
        <v>0.47916666666666702</v>
      </c>
      <c r="AN51" s="211"/>
      <c r="AO51" s="21"/>
      <c r="AP51" s="110">
        <v>0.47916666666666702</v>
      </c>
      <c r="AQ51" s="209"/>
      <c r="AR51" s="110">
        <v>0.47916666666666702</v>
      </c>
      <c r="AS51" s="209"/>
      <c r="AT51" s="110">
        <v>0.47916666666666702</v>
      </c>
      <c r="AU51" s="211"/>
      <c r="AV51" s="21"/>
      <c r="AW51" s="110">
        <v>0.47916666666666702</v>
      </c>
      <c r="AX51" s="211"/>
      <c r="AY51" s="21"/>
      <c r="AZ51" s="110">
        <v>0.47916666666666702</v>
      </c>
      <c r="BA51" s="264"/>
      <c r="BC51" s="260">
        <v>0.47916666666666702</v>
      </c>
      <c r="BD51" s="211"/>
      <c r="BE51" s="110">
        <v>0.47916666666666702</v>
      </c>
      <c r="BF51" s="211"/>
      <c r="BG51" s="110">
        <v>0.47916666666666702</v>
      </c>
      <c r="BH51" s="211"/>
      <c r="BI51" s="21"/>
      <c r="BJ51" s="110">
        <v>0.47916666666666702</v>
      </c>
      <c r="BK51" s="209"/>
      <c r="BL51" s="110">
        <v>0.47916666666666702</v>
      </c>
      <c r="BM51" s="209"/>
      <c r="BN51" s="110">
        <v>0.47916666666666702</v>
      </c>
      <c r="BO51" s="211"/>
      <c r="BP51" s="21"/>
      <c r="BQ51" s="110">
        <v>0.47916666666666702</v>
      </c>
      <c r="BR51" s="209"/>
      <c r="BS51" s="110">
        <v>0.47916666666666702</v>
      </c>
      <c r="BT51" s="209"/>
      <c r="BU51" s="110">
        <v>0.47916666666666702</v>
      </c>
      <c r="BV51" s="211"/>
      <c r="BW51" s="21"/>
      <c r="BX51" s="110">
        <v>0.47916666666666702</v>
      </c>
      <c r="BY51" s="209"/>
      <c r="BZ51" s="110">
        <v>0.47916666666666702</v>
      </c>
      <c r="CA51" s="209"/>
      <c r="CB51" s="110">
        <v>0.47916666666666702</v>
      </c>
      <c r="CC51" s="211"/>
      <c r="CD51" s="21"/>
      <c r="CE51" s="110">
        <v>0.47916666666666702</v>
      </c>
      <c r="CF51" s="209"/>
      <c r="CG51" s="110">
        <v>0.47916666666666702</v>
      </c>
      <c r="CH51" s="209"/>
      <c r="CI51" s="110">
        <v>0.47916666666666702</v>
      </c>
      <c r="CJ51" s="211"/>
      <c r="CK51" s="21"/>
      <c r="CL51" s="110">
        <v>0.47916666666666702</v>
      </c>
      <c r="CM51" s="209"/>
      <c r="CN51" s="110">
        <v>0.47916666666666702</v>
      </c>
      <c r="CO51" s="209"/>
      <c r="CP51" s="110">
        <v>0.47916666666666702</v>
      </c>
      <c r="CQ51" s="211"/>
      <c r="CR51" s="21"/>
      <c r="CS51" s="110">
        <v>0.47916666666666702</v>
      </c>
      <c r="CT51" s="211"/>
      <c r="CU51" s="21"/>
      <c r="CV51" s="110">
        <v>0.47916666666666702</v>
      </c>
      <c r="CW51" s="264"/>
      <c r="CY51" s="260">
        <v>0.47916666666666702</v>
      </c>
      <c r="CZ51" s="178"/>
      <c r="DA51" s="110">
        <v>0.47916666666666702</v>
      </c>
      <c r="DB51" s="263"/>
      <c r="DC51" s="110">
        <v>0.47916666666666702</v>
      </c>
      <c r="DD51" s="211"/>
      <c r="DE51" s="21"/>
      <c r="DF51" s="110">
        <v>0.47916666666666702</v>
      </c>
      <c r="DG51" s="209"/>
      <c r="DH51" s="110">
        <v>0.47916666666666702</v>
      </c>
      <c r="DI51" s="209"/>
      <c r="DJ51" s="110">
        <v>0.47916666666666702</v>
      </c>
      <c r="DK51" s="211"/>
      <c r="DL51" s="21"/>
      <c r="DM51" s="110">
        <v>0.47916666666666702</v>
      </c>
      <c r="DN51" s="209"/>
      <c r="DO51" s="110">
        <v>0.47916666666666702</v>
      </c>
      <c r="DP51" s="209"/>
      <c r="DQ51" s="110">
        <v>0.47916666666666702</v>
      </c>
      <c r="DR51" s="211"/>
      <c r="DS51" s="21"/>
      <c r="DT51" s="110">
        <v>0.47916666666666702</v>
      </c>
      <c r="DU51" s="209"/>
      <c r="DV51" s="110">
        <v>0.47916666666666702</v>
      </c>
      <c r="DW51" s="209"/>
      <c r="DX51" s="110">
        <v>0.47916666666666702</v>
      </c>
      <c r="DY51" s="211"/>
      <c r="DZ51" s="21"/>
      <c r="EA51" s="110">
        <v>0.47916666666666702</v>
      </c>
      <c r="EB51" s="209">
        <f>IF('Temperature Profiles'!AA50&gt;18,(0.0018*('Temperature Profiles'!AA50^2)-(0.0475*'Temperature Profiles'!AA50)+0.3123)*1000,IF(AND('Temperature Profiles'!AA50&lt;17,'Temperature Profiles'!AA50&gt;-5.6),(0.0021*('Temperature Profiles'!AA50^2)-(0.0919*'Temperature Profiles'!AA50)+1.0491)*1000,IF(AND('Temperature Profiles'!AA50&lt;-5.6,'Temperature Profiles'!AA50&gt;-11.4),(((-0.2925*'Temperature Profiles'!AA50)-1.6914)*1000)+EB$208,IF('Temperature Profiles'!AA50&lt;-11.4,EB154,0))))</f>
        <v>2266.1625000000004</v>
      </c>
      <c r="EC51" s="110">
        <v>0.47916666666666702</v>
      </c>
      <c r="ED51" s="209">
        <f>IF('Temperature Profiles'!AA50&gt;18,(0.0034*('Temperature Profiles'!AA50^2)-(0.087*'Temperature Profiles'!AA50)+0.5117)*1000,IF(AND('Temperature Profiles'!AA50&lt;17,'Temperature Profiles'!AA50&gt;-4.4),(0.0027*('Temperature Profiles'!AA50^2)-(0.149*'Temperature Profiles'!AA50)+1.7779)*1000,IF(AND('Temperature Profiles'!AA50&lt;-4.4,'Temperature Profiles'!AA50&gt;-8.5),(((-0.5391*'Temperature Profiles'!AA50)-2.0906)*1000)+ED$208,IF('Temperature Profiles'!AA50&lt;-8.5,ED154,0))))</f>
        <v>4697.7075000000004</v>
      </c>
      <c r="EE51" s="110">
        <v>0.47916666666666702</v>
      </c>
      <c r="EF51" s="211">
        <f>IF('Temperature Profiles'!AA50&gt;18,(0.0048*('Temperature Profiles'!AA50^2)-(0.1352*'Temperature Profiles'!AA50)+0.9193)*1000,IF(AND('Temperature Profiles'!AA50&lt;17,'Temperature Profiles'!AA50&gt;-4.4),(0.0031*('Temperature Profiles'!AA50^2)-(0.2029*'Temperature Profiles'!AA50)+2.4264)*1000,IF(AND('Temperature Profiles'!AA50&lt;-4.4,'Temperature Profiles'!AA50&gt;-8.5),(((-0.7516*'Temperature Profiles'!AA50)-2.9985)*1000)+EF$208,IF('Temperature Profiles'!AA50&lt;-8.5,EF154,0))))</f>
        <v>6398.0366666666687</v>
      </c>
      <c r="EG51" s="21"/>
      <c r="EH51" s="110">
        <v>0.47916666666666702</v>
      </c>
      <c r="EI51" s="211"/>
      <c r="EJ51" s="110">
        <v>0.47916666666666702</v>
      </c>
      <c r="EK51" s="211"/>
      <c r="EL51" s="110">
        <v>0.47916666666666702</v>
      </c>
      <c r="EM51" s="211"/>
      <c r="EN51" s="21"/>
      <c r="EO51" s="110">
        <v>0.47916666666666702</v>
      </c>
      <c r="EP51" s="211"/>
      <c r="EQ51" s="21"/>
      <c r="ER51" s="110">
        <v>0.47916666666666702</v>
      </c>
      <c r="ES51" s="264"/>
      <c r="EU51" s="260">
        <v>0.47916666666666702</v>
      </c>
      <c r="EV51" s="209">
        <f>IF('Temperature Profiles'!AA50&gt;18,(0.0018*('Temperature Profiles'!AA50^2)-(0.0475*'Temperature Profiles'!AA50)+0.3123)*1000,IF(AND('Temperature Profiles'!AA50&lt;17,'Temperature Profiles'!AA50&gt;-5.6),(0.0021*('Temperature Profiles'!AA50^2)-(0.0919*'Temperature Profiles'!AA50)+1.0491)*1000,IF(AND('Temperature Profiles'!AA50&lt;-5.6,'Temperature Profiles'!AA50&gt;-11.4),EV$208,IF('Temperature Profiles'!AA50&lt;-11.4,EV154,0))))</f>
        <v>1620</v>
      </c>
      <c r="EW51" s="110">
        <v>0.47916666666666702</v>
      </c>
      <c r="EX51" s="209">
        <f>IF('Temperature Profiles'!AA50&gt;18,(0.0034*('Temperature Profiles'!AA50^2)-(0.087*'Temperature Profiles'!AA50)+0.5117)*1000,IF(AND('Temperature Profiles'!AA50&lt;17,'Temperature Profiles'!AA50&gt;-4.4),(0.0027*('Temperature Profiles'!AA50^2)-(0.149*'Temperature Profiles'!AA50)+1.7779)*1000,IF(AND('Temperature Profiles'!AA50&lt;-4.4,'Temperature Profiles'!AA50&gt;-8.5),EX$208,IF('Temperature Profiles'!AA50&lt;-8.5,EX154,0))))</f>
        <v>2480</v>
      </c>
      <c r="EY51" s="110">
        <v>0.47916666666666702</v>
      </c>
      <c r="EZ51" s="264">
        <f>IF('Temperature Profiles'!AA50&gt;18,(0.0048*('Temperature Profiles'!AA50^2)-(0.1352*'Temperature Profiles'!AA50)+0.9193)*1000,IF(AND('Temperature Profiles'!AA50&lt;17,'Temperature Profiles'!AA50&gt;-4.4),(0.0031*('Temperature Profiles'!AA50^2)-(0.2029*'Temperature Profiles'!AA50)+2.4264)*1000,IF(AND('Temperature Profiles'!AA50&lt;-4.4,'Temperature Profiles'!AA50&gt;-8.5),EZ$208,IF('Temperature Profiles'!AA50&lt;-8.5,EZ154,0))))</f>
        <v>3390</v>
      </c>
    </row>
    <row r="52" spans="1:156" x14ac:dyDescent="0.3">
      <c r="A52" s="108">
        <v>0.47916666666666702</v>
      </c>
      <c r="B52" s="226">
        <f t="shared" si="4"/>
        <v>0</v>
      </c>
      <c r="C52" s="21">
        <f t="shared" si="5"/>
        <v>0</v>
      </c>
      <c r="D52" s="21">
        <f t="shared" si="6"/>
        <v>6398.0366666666687</v>
      </c>
      <c r="E52" s="20">
        <f t="shared" si="3"/>
        <v>3390</v>
      </c>
      <c r="G52" s="260">
        <v>0.48958333333333298</v>
      </c>
      <c r="H52" s="211"/>
      <c r="I52" s="110">
        <v>0.48958333333333298</v>
      </c>
      <c r="J52" s="211"/>
      <c r="K52" s="110">
        <v>0.48958333333333298</v>
      </c>
      <c r="L52" s="211"/>
      <c r="M52" s="21"/>
      <c r="N52" s="110">
        <v>0.48958333333333298</v>
      </c>
      <c r="O52" s="209"/>
      <c r="P52" s="110">
        <v>0.48958333333333298</v>
      </c>
      <c r="Q52" s="209"/>
      <c r="R52" s="110">
        <v>0.48958333333333298</v>
      </c>
      <c r="S52" s="211"/>
      <c r="T52" s="21"/>
      <c r="U52" s="110">
        <v>0.48958333333333298</v>
      </c>
      <c r="V52" s="209"/>
      <c r="W52" s="110">
        <v>0.48958333333333298</v>
      </c>
      <c r="X52" s="209"/>
      <c r="Y52" s="110">
        <v>0.48958333333333298</v>
      </c>
      <c r="Z52" s="211"/>
      <c r="AA52" s="21"/>
      <c r="AB52" s="110">
        <v>0.48958333333333298</v>
      </c>
      <c r="AC52" s="209"/>
      <c r="AD52" s="110">
        <v>0.48958333333333298</v>
      </c>
      <c r="AE52" s="209"/>
      <c r="AF52" s="110">
        <v>0.48958333333333298</v>
      </c>
      <c r="AG52" s="211"/>
      <c r="AH52" s="21"/>
      <c r="AI52" s="110">
        <v>0.48958333333333298</v>
      </c>
      <c r="AJ52" s="209"/>
      <c r="AK52" s="110">
        <v>0.48958333333333298</v>
      </c>
      <c r="AL52" s="209"/>
      <c r="AM52" s="110">
        <v>0.48958333333333298</v>
      </c>
      <c r="AN52" s="211"/>
      <c r="AO52" s="21"/>
      <c r="AP52" s="110">
        <v>0.48958333333333298</v>
      </c>
      <c r="AQ52" s="209"/>
      <c r="AR52" s="110">
        <v>0.48958333333333298</v>
      </c>
      <c r="AS52" s="209"/>
      <c r="AT52" s="110">
        <v>0.48958333333333298</v>
      </c>
      <c r="AU52" s="211"/>
      <c r="AV52" s="21"/>
      <c r="AW52" s="110">
        <v>0.48958333333333298</v>
      </c>
      <c r="AX52" s="211"/>
      <c r="AY52" s="21"/>
      <c r="AZ52" s="110">
        <v>0.48958333333333298</v>
      </c>
      <c r="BA52" s="264"/>
      <c r="BC52" s="260">
        <v>0.48958333333333298</v>
      </c>
      <c r="BD52" s="211"/>
      <c r="BE52" s="110">
        <v>0.48958333333333298</v>
      </c>
      <c r="BF52" s="211"/>
      <c r="BG52" s="110">
        <v>0.48958333333333298</v>
      </c>
      <c r="BH52" s="211"/>
      <c r="BI52" s="21"/>
      <c r="BJ52" s="110">
        <v>0.48958333333333298</v>
      </c>
      <c r="BK52" s="209"/>
      <c r="BL52" s="110">
        <v>0.48958333333333298</v>
      </c>
      <c r="BM52" s="209"/>
      <c r="BN52" s="110">
        <v>0.48958333333333298</v>
      </c>
      <c r="BO52" s="211"/>
      <c r="BP52" s="21"/>
      <c r="BQ52" s="110">
        <v>0.48958333333333298</v>
      </c>
      <c r="BR52" s="209"/>
      <c r="BS52" s="110">
        <v>0.48958333333333298</v>
      </c>
      <c r="BT52" s="209"/>
      <c r="BU52" s="110">
        <v>0.48958333333333298</v>
      </c>
      <c r="BV52" s="211"/>
      <c r="BW52" s="21"/>
      <c r="BX52" s="110">
        <v>0.48958333333333298</v>
      </c>
      <c r="BY52" s="209"/>
      <c r="BZ52" s="110">
        <v>0.48958333333333298</v>
      </c>
      <c r="CA52" s="209"/>
      <c r="CB52" s="110">
        <v>0.48958333333333298</v>
      </c>
      <c r="CC52" s="211"/>
      <c r="CD52" s="21"/>
      <c r="CE52" s="110">
        <v>0.48958333333333298</v>
      </c>
      <c r="CF52" s="209"/>
      <c r="CG52" s="110">
        <v>0.48958333333333298</v>
      </c>
      <c r="CH52" s="209"/>
      <c r="CI52" s="110">
        <v>0.48958333333333298</v>
      </c>
      <c r="CJ52" s="211"/>
      <c r="CK52" s="21"/>
      <c r="CL52" s="110">
        <v>0.48958333333333298</v>
      </c>
      <c r="CM52" s="209"/>
      <c r="CN52" s="110">
        <v>0.48958333333333298</v>
      </c>
      <c r="CO52" s="209"/>
      <c r="CP52" s="110">
        <v>0.48958333333333298</v>
      </c>
      <c r="CQ52" s="211"/>
      <c r="CR52" s="21"/>
      <c r="CS52" s="110">
        <v>0.48958333333333298</v>
      </c>
      <c r="CT52" s="211"/>
      <c r="CU52" s="21"/>
      <c r="CV52" s="110">
        <v>0.48958333333333298</v>
      </c>
      <c r="CW52" s="264"/>
      <c r="CY52" s="260">
        <v>0.48958333333333298</v>
      </c>
      <c r="CZ52" s="178"/>
      <c r="DA52" s="110">
        <v>0.48958333333333298</v>
      </c>
      <c r="DB52" s="263"/>
      <c r="DC52" s="110">
        <v>0.48958333333333298</v>
      </c>
      <c r="DD52" s="211"/>
      <c r="DE52" s="21"/>
      <c r="DF52" s="110">
        <v>0.48958333333333298</v>
      </c>
      <c r="DG52" s="209"/>
      <c r="DH52" s="110">
        <v>0.48958333333333298</v>
      </c>
      <c r="DI52" s="209"/>
      <c r="DJ52" s="110">
        <v>0.48958333333333298</v>
      </c>
      <c r="DK52" s="211"/>
      <c r="DL52" s="21"/>
      <c r="DM52" s="110">
        <v>0.48958333333333298</v>
      </c>
      <c r="DN52" s="209"/>
      <c r="DO52" s="110">
        <v>0.48958333333333298</v>
      </c>
      <c r="DP52" s="209"/>
      <c r="DQ52" s="110">
        <v>0.48958333333333298</v>
      </c>
      <c r="DR52" s="211"/>
      <c r="DS52" s="21"/>
      <c r="DT52" s="110">
        <v>0.48958333333333298</v>
      </c>
      <c r="DU52" s="209"/>
      <c r="DV52" s="110">
        <v>0.48958333333333298</v>
      </c>
      <c r="DW52" s="209"/>
      <c r="DX52" s="110">
        <v>0.48958333333333298</v>
      </c>
      <c r="DY52" s="211"/>
      <c r="DZ52" s="21"/>
      <c r="EA52" s="110">
        <v>0.48958333333333298</v>
      </c>
      <c r="EB52" s="209">
        <f>IF('Temperature Profiles'!AA51&gt;18,(0.0018*('Temperature Profiles'!AA51^2)-(0.0475*'Temperature Profiles'!AA51)+0.3123)*1000,IF(AND('Temperature Profiles'!AA51&lt;17,'Temperature Profiles'!AA51&gt;-5.6),(0.0021*('Temperature Profiles'!AA51^2)-(0.0919*'Temperature Profiles'!AA51)+1.0491)*1000,IF(AND('Temperature Profiles'!AA51&lt;-5.6,'Temperature Profiles'!AA51&gt;-11.4),(((-0.2925*'Temperature Profiles'!AA51)-1.6914)*1000)+EB$208,IF('Temperature Profiles'!AA51&lt;-11.4,EB155,0))))</f>
        <v>2266.1625000000004</v>
      </c>
      <c r="EC52" s="110">
        <v>0.48958333333333298</v>
      </c>
      <c r="ED52" s="209">
        <f>IF('Temperature Profiles'!AA51&gt;18,(0.0034*('Temperature Profiles'!AA51^2)-(0.087*'Temperature Profiles'!AA51)+0.5117)*1000,IF(AND('Temperature Profiles'!AA51&lt;17,'Temperature Profiles'!AA51&gt;-4.4),(0.0027*('Temperature Profiles'!AA51^2)-(0.149*'Temperature Profiles'!AA51)+1.7779)*1000,IF(AND('Temperature Profiles'!AA51&lt;-4.4,'Temperature Profiles'!AA51&gt;-8.5),(((-0.5391*'Temperature Profiles'!AA51)-2.0906)*1000)+ED$208,IF('Temperature Profiles'!AA51&lt;-8.5,ED155,0))))</f>
        <v>4697.7075000000004</v>
      </c>
      <c r="EE52" s="110">
        <v>0.48958333333333298</v>
      </c>
      <c r="EF52" s="211">
        <f>IF('Temperature Profiles'!AA51&gt;18,(0.0048*('Temperature Profiles'!AA51^2)-(0.1352*'Temperature Profiles'!AA51)+0.9193)*1000,IF(AND('Temperature Profiles'!AA51&lt;17,'Temperature Profiles'!AA51&gt;-4.4),(0.0031*('Temperature Profiles'!AA51^2)-(0.2029*'Temperature Profiles'!AA51)+2.4264)*1000,IF(AND('Temperature Profiles'!AA51&lt;-4.4,'Temperature Profiles'!AA51&gt;-8.5),(((-0.7516*'Temperature Profiles'!AA51)-2.9985)*1000)+EF$208,IF('Temperature Profiles'!AA51&lt;-8.5,EF155,0))))</f>
        <v>6398.0366666666687</v>
      </c>
      <c r="EG52" s="21"/>
      <c r="EH52" s="110">
        <v>0.48958333333333298</v>
      </c>
      <c r="EI52" s="211"/>
      <c r="EJ52" s="110">
        <v>0.48958333333333298</v>
      </c>
      <c r="EK52" s="211"/>
      <c r="EL52" s="110">
        <v>0.48958333333333298</v>
      </c>
      <c r="EM52" s="211"/>
      <c r="EN52" s="21"/>
      <c r="EO52" s="110">
        <v>0.48958333333333298</v>
      </c>
      <c r="EP52" s="211"/>
      <c r="EQ52" s="21"/>
      <c r="ER52" s="110">
        <v>0.48958333333333298</v>
      </c>
      <c r="ES52" s="264"/>
      <c r="EU52" s="260">
        <v>0.48958333333333298</v>
      </c>
      <c r="EV52" s="209">
        <f>IF('Temperature Profiles'!AA51&gt;18,(0.0018*('Temperature Profiles'!AA51^2)-(0.0475*'Temperature Profiles'!AA51)+0.3123)*1000,IF(AND('Temperature Profiles'!AA51&lt;17,'Temperature Profiles'!AA51&gt;-5.6),(0.0021*('Temperature Profiles'!AA51^2)-(0.0919*'Temperature Profiles'!AA51)+1.0491)*1000,IF(AND('Temperature Profiles'!AA51&lt;-5.6,'Temperature Profiles'!AA51&gt;-11.4),EV$208,IF('Temperature Profiles'!AA51&lt;-11.4,EV155,0))))</f>
        <v>1620</v>
      </c>
      <c r="EW52" s="110">
        <v>0.48958333333333298</v>
      </c>
      <c r="EX52" s="209">
        <f>IF('Temperature Profiles'!AA51&gt;18,(0.0034*('Temperature Profiles'!AA51^2)-(0.087*'Temperature Profiles'!AA51)+0.5117)*1000,IF(AND('Temperature Profiles'!AA51&lt;17,'Temperature Profiles'!AA51&gt;-4.4),(0.0027*('Temperature Profiles'!AA51^2)-(0.149*'Temperature Profiles'!AA51)+1.7779)*1000,IF(AND('Temperature Profiles'!AA51&lt;-4.4,'Temperature Profiles'!AA51&gt;-8.5),EX$208,IF('Temperature Profiles'!AA51&lt;-8.5,EX155,0))))</f>
        <v>2480</v>
      </c>
      <c r="EY52" s="110">
        <v>0.48958333333333298</v>
      </c>
      <c r="EZ52" s="264">
        <f>IF('Temperature Profiles'!AA51&gt;18,(0.0048*('Temperature Profiles'!AA51^2)-(0.1352*'Temperature Profiles'!AA51)+0.9193)*1000,IF(AND('Temperature Profiles'!AA51&lt;17,'Temperature Profiles'!AA51&gt;-4.4),(0.0031*('Temperature Profiles'!AA51^2)-(0.2029*'Temperature Profiles'!AA51)+2.4264)*1000,IF(AND('Temperature Profiles'!AA51&lt;-4.4,'Temperature Profiles'!AA51&gt;-8.5),EZ$208,IF('Temperature Profiles'!AA51&lt;-8.5,EZ155,0))))</f>
        <v>3390</v>
      </c>
    </row>
    <row r="53" spans="1:156" x14ac:dyDescent="0.3">
      <c r="A53" s="108">
        <v>0.48958333333333298</v>
      </c>
      <c r="B53" s="226">
        <f t="shared" si="4"/>
        <v>0</v>
      </c>
      <c r="C53" s="21">
        <f t="shared" si="5"/>
        <v>0</v>
      </c>
      <c r="D53" s="21">
        <f t="shared" si="6"/>
        <v>6398.0366666666687</v>
      </c>
      <c r="E53" s="20">
        <f t="shared" si="3"/>
        <v>3390</v>
      </c>
      <c r="G53" s="260">
        <v>0.5</v>
      </c>
      <c r="H53" s="211"/>
      <c r="I53" s="110">
        <v>0.5</v>
      </c>
      <c r="J53" s="211"/>
      <c r="K53" s="110">
        <v>0.5</v>
      </c>
      <c r="L53" s="211"/>
      <c r="M53" s="21"/>
      <c r="N53" s="110">
        <v>0.5</v>
      </c>
      <c r="O53" s="209"/>
      <c r="P53" s="110">
        <v>0.5</v>
      </c>
      <c r="Q53" s="209"/>
      <c r="R53" s="110">
        <v>0.5</v>
      </c>
      <c r="S53" s="211"/>
      <c r="T53" s="21"/>
      <c r="U53" s="110">
        <v>0.5</v>
      </c>
      <c r="V53" s="209"/>
      <c r="W53" s="110">
        <v>0.5</v>
      </c>
      <c r="X53" s="209"/>
      <c r="Y53" s="110">
        <v>0.5</v>
      </c>
      <c r="Z53" s="211"/>
      <c r="AA53" s="21"/>
      <c r="AB53" s="110">
        <v>0.5</v>
      </c>
      <c r="AC53" s="209"/>
      <c r="AD53" s="110">
        <v>0.5</v>
      </c>
      <c r="AE53" s="209"/>
      <c r="AF53" s="110">
        <v>0.5</v>
      </c>
      <c r="AG53" s="211"/>
      <c r="AH53" s="21"/>
      <c r="AI53" s="110">
        <v>0.5</v>
      </c>
      <c r="AJ53" s="209"/>
      <c r="AK53" s="110">
        <v>0.5</v>
      </c>
      <c r="AL53" s="209"/>
      <c r="AM53" s="110">
        <v>0.5</v>
      </c>
      <c r="AN53" s="211"/>
      <c r="AO53" s="21"/>
      <c r="AP53" s="110">
        <v>0.5</v>
      </c>
      <c r="AQ53" s="209"/>
      <c r="AR53" s="110">
        <v>0.5</v>
      </c>
      <c r="AS53" s="209"/>
      <c r="AT53" s="110">
        <v>0.5</v>
      </c>
      <c r="AU53" s="211"/>
      <c r="AV53" s="21"/>
      <c r="AW53" s="110">
        <v>0.5</v>
      </c>
      <c r="AX53" s="211"/>
      <c r="AY53" s="21"/>
      <c r="AZ53" s="110">
        <v>0.5</v>
      </c>
      <c r="BA53" s="264"/>
      <c r="BC53" s="260">
        <v>0.5</v>
      </c>
      <c r="BD53" s="211"/>
      <c r="BE53" s="110">
        <v>0.5</v>
      </c>
      <c r="BF53" s="211"/>
      <c r="BG53" s="110">
        <v>0.5</v>
      </c>
      <c r="BH53" s="211"/>
      <c r="BI53" s="21"/>
      <c r="BJ53" s="110">
        <v>0.5</v>
      </c>
      <c r="BK53" s="209"/>
      <c r="BL53" s="110">
        <v>0.5</v>
      </c>
      <c r="BM53" s="209"/>
      <c r="BN53" s="110">
        <v>0.5</v>
      </c>
      <c r="BO53" s="211"/>
      <c r="BP53" s="21"/>
      <c r="BQ53" s="110">
        <v>0.5</v>
      </c>
      <c r="BR53" s="209"/>
      <c r="BS53" s="110">
        <v>0.5</v>
      </c>
      <c r="BT53" s="209"/>
      <c r="BU53" s="110">
        <v>0.5</v>
      </c>
      <c r="BV53" s="211"/>
      <c r="BW53" s="21"/>
      <c r="BX53" s="110">
        <v>0.5</v>
      </c>
      <c r="BY53" s="209"/>
      <c r="BZ53" s="110">
        <v>0.5</v>
      </c>
      <c r="CA53" s="209"/>
      <c r="CB53" s="110">
        <v>0.5</v>
      </c>
      <c r="CC53" s="211"/>
      <c r="CD53" s="21"/>
      <c r="CE53" s="110">
        <v>0.5</v>
      </c>
      <c r="CF53" s="209"/>
      <c r="CG53" s="110">
        <v>0.5</v>
      </c>
      <c r="CH53" s="209"/>
      <c r="CI53" s="110">
        <v>0.5</v>
      </c>
      <c r="CJ53" s="211"/>
      <c r="CK53" s="21"/>
      <c r="CL53" s="110">
        <v>0.5</v>
      </c>
      <c r="CM53" s="209"/>
      <c r="CN53" s="110">
        <v>0.5</v>
      </c>
      <c r="CO53" s="209"/>
      <c r="CP53" s="110">
        <v>0.5</v>
      </c>
      <c r="CQ53" s="211"/>
      <c r="CR53" s="21"/>
      <c r="CS53" s="110">
        <v>0.5</v>
      </c>
      <c r="CT53" s="211"/>
      <c r="CU53" s="21"/>
      <c r="CV53" s="110">
        <v>0.5</v>
      </c>
      <c r="CW53" s="264"/>
      <c r="CY53" s="260">
        <v>0.5</v>
      </c>
      <c r="CZ53" s="178"/>
      <c r="DA53" s="110">
        <v>0.5</v>
      </c>
      <c r="DB53" s="263"/>
      <c r="DC53" s="110">
        <v>0.5</v>
      </c>
      <c r="DD53" s="211"/>
      <c r="DE53" s="21"/>
      <c r="DF53" s="110">
        <v>0.5</v>
      </c>
      <c r="DG53" s="209"/>
      <c r="DH53" s="110">
        <v>0.5</v>
      </c>
      <c r="DI53" s="209"/>
      <c r="DJ53" s="110">
        <v>0.5</v>
      </c>
      <c r="DK53" s="211"/>
      <c r="DL53" s="21"/>
      <c r="DM53" s="110">
        <v>0.5</v>
      </c>
      <c r="DN53" s="209"/>
      <c r="DO53" s="110">
        <v>0.5</v>
      </c>
      <c r="DP53" s="209"/>
      <c r="DQ53" s="110">
        <v>0.5</v>
      </c>
      <c r="DR53" s="211"/>
      <c r="DS53" s="21"/>
      <c r="DT53" s="110">
        <v>0.5</v>
      </c>
      <c r="DU53" s="209"/>
      <c r="DV53" s="110">
        <v>0.5</v>
      </c>
      <c r="DW53" s="209"/>
      <c r="DX53" s="110">
        <v>0.5</v>
      </c>
      <c r="DY53" s="211"/>
      <c r="DZ53" s="21"/>
      <c r="EA53" s="110">
        <v>0.5</v>
      </c>
      <c r="EB53" s="209">
        <f>IF('Temperature Profiles'!AA52&gt;18,(0.0018*('Temperature Profiles'!AA52^2)-(0.0475*'Temperature Profiles'!AA52)+0.3123)*1000,IF(AND('Temperature Profiles'!AA52&lt;17,'Temperature Profiles'!AA52&gt;-5.6),(0.0021*('Temperature Profiles'!AA52^2)-(0.0919*'Temperature Profiles'!AA52)+1.0491)*1000,IF(AND('Temperature Profiles'!AA52&lt;-5.6,'Temperature Profiles'!AA52&gt;-11.4),(((-0.2925*'Temperature Profiles'!AA52)-1.6914)*1000)+EB$208,IF('Temperature Profiles'!AA52&lt;-11.4,EB156,0))))</f>
        <v>1744.5374999999999</v>
      </c>
      <c r="EC53" s="110">
        <v>0.5</v>
      </c>
      <c r="ED53" s="209">
        <f>IF('Temperature Profiles'!AA52&gt;18,(0.0034*('Temperature Profiles'!AA52^2)-(0.087*'Temperature Profiles'!AA52)+0.5117)*1000,IF(AND('Temperature Profiles'!AA52&lt;17,'Temperature Profiles'!AA52&gt;-4.4),(0.0027*('Temperature Profiles'!AA52^2)-(0.149*'Temperature Profiles'!AA52)+1.7779)*1000,IF(AND('Temperature Profiles'!AA52&lt;-4.4,'Temperature Profiles'!AA52&gt;-8.5),(((-0.5391*'Temperature Profiles'!AA52)-2.0906)*1000)+ED$208,IF('Temperature Profiles'!AA52&lt;-8.5,ED156,0))))</f>
        <v>3736.3125000000009</v>
      </c>
      <c r="EE53" s="110">
        <v>0.5</v>
      </c>
      <c r="EF53" s="211">
        <f>IF('Temperature Profiles'!AA52&gt;18,(0.0048*('Temperature Profiles'!AA52^2)-(0.1352*'Temperature Profiles'!AA52)+0.9193)*1000,IF(AND('Temperature Profiles'!AA52&lt;17,'Temperature Profiles'!AA52&gt;-4.4),(0.0031*('Temperature Profiles'!AA52^2)-(0.2029*'Temperature Profiles'!AA52)+2.4264)*1000,IF(AND('Temperature Profiles'!AA52&lt;-4.4,'Temperature Profiles'!AA52&gt;-8.5),(((-0.7516*'Temperature Profiles'!AA52)-2.9985)*1000)+EF$208,IF('Temperature Profiles'!AA52&lt;-8.5,EF156,0))))</f>
        <v>5057.6833333333343</v>
      </c>
      <c r="EG53" s="21"/>
      <c r="EH53" s="110">
        <v>0.5</v>
      </c>
      <c r="EI53" s="211"/>
      <c r="EJ53" s="110">
        <v>0.5</v>
      </c>
      <c r="EK53" s="211"/>
      <c r="EL53" s="110">
        <v>0.5</v>
      </c>
      <c r="EM53" s="211"/>
      <c r="EN53" s="21"/>
      <c r="EO53" s="110">
        <v>0.5</v>
      </c>
      <c r="EP53" s="211"/>
      <c r="EQ53" s="21"/>
      <c r="ER53" s="110">
        <v>0.5</v>
      </c>
      <c r="ES53" s="264"/>
      <c r="EU53" s="260">
        <v>0.5</v>
      </c>
      <c r="EV53" s="209">
        <f>IF('Temperature Profiles'!AA52&gt;18,(0.0018*('Temperature Profiles'!AA52^2)-(0.0475*'Temperature Profiles'!AA52)+0.3123)*1000,IF(AND('Temperature Profiles'!AA52&lt;17,'Temperature Profiles'!AA52&gt;-5.6),(0.0021*('Temperature Profiles'!AA52^2)-(0.0919*'Temperature Profiles'!AA52)+1.0491)*1000,IF(AND('Temperature Profiles'!AA52&lt;-5.6,'Temperature Profiles'!AA52&gt;-11.4),EV$208,IF('Temperature Profiles'!AA52&lt;-11.4,EV156,0))))</f>
        <v>1620</v>
      </c>
      <c r="EW53" s="110">
        <v>0.5</v>
      </c>
      <c r="EX53" s="209">
        <f>IF('Temperature Profiles'!AA52&gt;18,(0.0034*('Temperature Profiles'!AA52^2)-(0.087*'Temperature Profiles'!AA52)+0.5117)*1000,IF(AND('Temperature Profiles'!AA52&lt;17,'Temperature Profiles'!AA52&gt;-4.4),(0.0027*('Temperature Profiles'!AA52^2)-(0.149*'Temperature Profiles'!AA52)+1.7779)*1000,IF(AND('Temperature Profiles'!AA52&lt;-4.4,'Temperature Profiles'!AA52&gt;-8.5),EX$208,IF('Temperature Profiles'!AA52&lt;-8.5,EX156,0))))</f>
        <v>2480</v>
      </c>
      <c r="EY53" s="110">
        <v>0.5</v>
      </c>
      <c r="EZ53" s="264">
        <f>IF('Temperature Profiles'!AA52&gt;18,(0.0048*('Temperature Profiles'!AA52^2)-(0.1352*'Temperature Profiles'!AA52)+0.9193)*1000,IF(AND('Temperature Profiles'!AA52&lt;17,'Temperature Profiles'!AA52&gt;-4.4),(0.0031*('Temperature Profiles'!AA52^2)-(0.2029*'Temperature Profiles'!AA52)+2.4264)*1000,IF(AND('Temperature Profiles'!AA52&lt;-4.4,'Temperature Profiles'!AA52&gt;-8.5),EZ$208,IF('Temperature Profiles'!AA52&lt;-8.5,EZ156,0))))</f>
        <v>3390</v>
      </c>
    </row>
    <row r="54" spans="1:156" x14ac:dyDescent="0.3">
      <c r="A54" s="108">
        <v>0.5</v>
      </c>
      <c r="B54" s="226">
        <f t="shared" si="4"/>
        <v>0</v>
      </c>
      <c r="C54" s="21">
        <f t="shared" si="5"/>
        <v>0</v>
      </c>
      <c r="D54" s="21">
        <f t="shared" si="6"/>
        <v>5057.6833333333343</v>
      </c>
      <c r="E54" s="20">
        <f t="shared" si="3"/>
        <v>3390</v>
      </c>
      <c r="G54" s="260">
        <v>0.51041666666666696</v>
      </c>
      <c r="H54" s="211"/>
      <c r="I54" s="110">
        <v>0.51041666666666696</v>
      </c>
      <c r="J54" s="211"/>
      <c r="K54" s="110">
        <v>0.51041666666666696</v>
      </c>
      <c r="L54" s="211"/>
      <c r="M54" s="21"/>
      <c r="N54" s="110">
        <v>0.51041666666666696</v>
      </c>
      <c r="O54" s="209"/>
      <c r="P54" s="110">
        <v>0.51041666666666696</v>
      </c>
      <c r="Q54" s="209"/>
      <c r="R54" s="110">
        <v>0.51041666666666696</v>
      </c>
      <c r="S54" s="211"/>
      <c r="T54" s="21"/>
      <c r="U54" s="110">
        <v>0.51041666666666696</v>
      </c>
      <c r="V54" s="209"/>
      <c r="W54" s="110">
        <v>0.51041666666666696</v>
      </c>
      <c r="X54" s="209"/>
      <c r="Y54" s="110">
        <v>0.51041666666666696</v>
      </c>
      <c r="Z54" s="211"/>
      <c r="AA54" s="21"/>
      <c r="AB54" s="110">
        <v>0.51041666666666696</v>
      </c>
      <c r="AC54" s="209"/>
      <c r="AD54" s="110">
        <v>0.51041666666666696</v>
      </c>
      <c r="AE54" s="209"/>
      <c r="AF54" s="110">
        <v>0.51041666666666696</v>
      </c>
      <c r="AG54" s="211"/>
      <c r="AH54" s="21"/>
      <c r="AI54" s="110">
        <v>0.51041666666666696</v>
      </c>
      <c r="AJ54" s="209"/>
      <c r="AK54" s="110">
        <v>0.51041666666666696</v>
      </c>
      <c r="AL54" s="209"/>
      <c r="AM54" s="110">
        <v>0.51041666666666696</v>
      </c>
      <c r="AN54" s="211"/>
      <c r="AO54" s="21"/>
      <c r="AP54" s="110">
        <v>0.51041666666666696</v>
      </c>
      <c r="AQ54" s="209"/>
      <c r="AR54" s="110">
        <v>0.51041666666666696</v>
      </c>
      <c r="AS54" s="209"/>
      <c r="AT54" s="110">
        <v>0.51041666666666696</v>
      </c>
      <c r="AU54" s="211"/>
      <c r="AV54" s="21"/>
      <c r="AW54" s="110">
        <v>0.51041666666666696</v>
      </c>
      <c r="AX54" s="211"/>
      <c r="AY54" s="21"/>
      <c r="AZ54" s="110">
        <v>0.51041666666666696</v>
      </c>
      <c r="BA54" s="264"/>
      <c r="BC54" s="260">
        <v>0.51041666666666696</v>
      </c>
      <c r="BD54" s="211"/>
      <c r="BE54" s="110">
        <v>0.51041666666666696</v>
      </c>
      <c r="BF54" s="211"/>
      <c r="BG54" s="110">
        <v>0.51041666666666696</v>
      </c>
      <c r="BH54" s="211"/>
      <c r="BI54" s="21"/>
      <c r="BJ54" s="110">
        <v>0.51041666666666696</v>
      </c>
      <c r="BK54" s="209"/>
      <c r="BL54" s="110">
        <v>0.51041666666666696</v>
      </c>
      <c r="BM54" s="209"/>
      <c r="BN54" s="110">
        <v>0.51041666666666696</v>
      </c>
      <c r="BO54" s="211"/>
      <c r="BP54" s="21"/>
      <c r="BQ54" s="110">
        <v>0.51041666666666696</v>
      </c>
      <c r="BR54" s="209"/>
      <c r="BS54" s="110">
        <v>0.51041666666666696</v>
      </c>
      <c r="BT54" s="209"/>
      <c r="BU54" s="110">
        <v>0.51041666666666696</v>
      </c>
      <c r="BV54" s="211"/>
      <c r="BW54" s="21"/>
      <c r="BX54" s="110">
        <v>0.51041666666666696</v>
      </c>
      <c r="BY54" s="209"/>
      <c r="BZ54" s="110">
        <v>0.51041666666666696</v>
      </c>
      <c r="CA54" s="209"/>
      <c r="CB54" s="110">
        <v>0.51041666666666696</v>
      </c>
      <c r="CC54" s="211"/>
      <c r="CD54" s="21"/>
      <c r="CE54" s="110">
        <v>0.51041666666666696</v>
      </c>
      <c r="CF54" s="209"/>
      <c r="CG54" s="110">
        <v>0.51041666666666696</v>
      </c>
      <c r="CH54" s="209"/>
      <c r="CI54" s="110">
        <v>0.51041666666666696</v>
      </c>
      <c r="CJ54" s="211"/>
      <c r="CK54" s="21"/>
      <c r="CL54" s="110">
        <v>0.51041666666666696</v>
      </c>
      <c r="CM54" s="209"/>
      <c r="CN54" s="110">
        <v>0.51041666666666696</v>
      </c>
      <c r="CO54" s="209"/>
      <c r="CP54" s="110">
        <v>0.51041666666666696</v>
      </c>
      <c r="CQ54" s="211"/>
      <c r="CR54" s="21"/>
      <c r="CS54" s="110">
        <v>0.51041666666666696</v>
      </c>
      <c r="CT54" s="211"/>
      <c r="CU54" s="21"/>
      <c r="CV54" s="110">
        <v>0.51041666666666696</v>
      </c>
      <c r="CW54" s="264"/>
      <c r="CY54" s="260">
        <v>0.51041666666666696</v>
      </c>
      <c r="CZ54" s="178"/>
      <c r="DA54" s="110">
        <v>0.51041666666666696</v>
      </c>
      <c r="DB54" s="263"/>
      <c r="DC54" s="110">
        <v>0.51041666666666696</v>
      </c>
      <c r="DD54" s="211"/>
      <c r="DE54" s="21"/>
      <c r="DF54" s="110">
        <v>0.51041666666666696</v>
      </c>
      <c r="DG54" s="209"/>
      <c r="DH54" s="110">
        <v>0.51041666666666696</v>
      </c>
      <c r="DI54" s="209"/>
      <c r="DJ54" s="110">
        <v>0.51041666666666696</v>
      </c>
      <c r="DK54" s="211"/>
      <c r="DL54" s="21"/>
      <c r="DM54" s="110">
        <v>0.51041666666666696</v>
      </c>
      <c r="DN54" s="209"/>
      <c r="DO54" s="110">
        <v>0.51041666666666696</v>
      </c>
      <c r="DP54" s="209"/>
      <c r="DQ54" s="110">
        <v>0.51041666666666696</v>
      </c>
      <c r="DR54" s="211"/>
      <c r="DS54" s="21"/>
      <c r="DT54" s="110">
        <v>0.51041666666666696</v>
      </c>
      <c r="DU54" s="209"/>
      <c r="DV54" s="110">
        <v>0.51041666666666696</v>
      </c>
      <c r="DW54" s="209"/>
      <c r="DX54" s="110">
        <v>0.51041666666666696</v>
      </c>
      <c r="DY54" s="211"/>
      <c r="DZ54" s="21"/>
      <c r="EA54" s="110">
        <v>0.51041666666666696</v>
      </c>
      <c r="EB54" s="209">
        <f>IF('Temperature Profiles'!AA53&gt;18,(0.0018*('Temperature Profiles'!AA53^2)-(0.0475*'Temperature Profiles'!AA53)+0.3123)*1000,IF(AND('Temperature Profiles'!AA53&lt;17,'Temperature Profiles'!AA53&gt;-5.6),(0.0021*('Temperature Profiles'!AA53^2)-(0.0919*'Temperature Profiles'!AA53)+1.0491)*1000,IF(AND('Temperature Profiles'!AA53&lt;-5.6,'Temperature Profiles'!AA53&gt;-11.4),(((-0.2925*'Temperature Profiles'!AA53)-1.6914)*1000)+EB$208,IF('Temperature Profiles'!AA53&lt;-11.4,EB157,0))))</f>
        <v>1744.5374999999999</v>
      </c>
      <c r="EC54" s="110">
        <v>0.51041666666666696</v>
      </c>
      <c r="ED54" s="209">
        <f>IF('Temperature Profiles'!AA53&gt;18,(0.0034*('Temperature Profiles'!AA53^2)-(0.087*'Temperature Profiles'!AA53)+0.5117)*1000,IF(AND('Temperature Profiles'!AA53&lt;17,'Temperature Profiles'!AA53&gt;-4.4),(0.0027*('Temperature Profiles'!AA53^2)-(0.149*'Temperature Profiles'!AA53)+1.7779)*1000,IF(AND('Temperature Profiles'!AA53&lt;-4.4,'Temperature Profiles'!AA53&gt;-8.5),(((-0.5391*'Temperature Profiles'!AA53)-2.0906)*1000)+ED$208,IF('Temperature Profiles'!AA53&lt;-8.5,ED157,0))))</f>
        <v>3736.3125000000009</v>
      </c>
      <c r="EE54" s="110">
        <v>0.51041666666666696</v>
      </c>
      <c r="EF54" s="211">
        <f>IF('Temperature Profiles'!AA53&gt;18,(0.0048*('Temperature Profiles'!AA53^2)-(0.1352*'Temperature Profiles'!AA53)+0.9193)*1000,IF(AND('Temperature Profiles'!AA53&lt;17,'Temperature Profiles'!AA53&gt;-4.4),(0.0031*('Temperature Profiles'!AA53^2)-(0.2029*'Temperature Profiles'!AA53)+2.4264)*1000,IF(AND('Temperature Profiles'!AA53&lt;-4.4,'Temperature Profiles'!AA53&gt;-8.5),(((-0.7516*'Temperature Profiles'!AA53)-2.9985)*1000)+EF$208,IF('Temperature Profiles'!AA53&lt;-8.5,EF157,0))))</f>
        <v>5057.6833333333343</v>
      </c>
      <c r="EG54" s="21"/>
      <c r="EH54" s="110">
        <v>0.51041666666666696</v>
      </c>
      <c r="EI54" s="211"/>
      <c r="EJ54" s="110">
        <v>0.51041666666666696</v>
      </c>
      <c r="EK54" s="211"/>
      <c r="EL54" s="110">
        <v>0.51041666666666696</v>
      </c>
      <c r="EM54" s="211"/>
      <c r="EN54" s="21"/>
      <c r="EO54" s="110">
        <v>0.51041666666666696</v>
      </c>
      <c r="EP54" s="211"/>
      <c r="EQ54" s="21"/>
      <c r="ER54" s="110">
        <v>0.51041666666666696</v>
      </c>
      <c r="ES54" s="264"/>
      <c r="EU54" s="260">
        <v>0.51041666666666696</v>
      </c>
      <c r="EV54" s="209">
        <f>IF('Temperature Profiles'!AA53&gt;18,(0.0018*('Temperature Profiles'!AA53^2)-(0.0475*'Temperature Profiles'!AA53)+0.3123)*1000,IF(AND('Temperature Profiles'!AA53&lt;17,'Temperature Profiles'!AA53&gt;-5.6),(0.0021*('Temperature Profiles'!AA53^2)-(0.0919*'Temperature Profiles'!AA53)+1.0491)*1000,IF(AND('Temperature Profiles'!AA53&lt;-5.6,'Temperature Profiles'!AA53&gt;-11.4),EV$208,IF('Temperature Profiles'!AA53&lt;-11.4,EV157,0))))</f>
        <v>1620</v>
      </c>
      <c r="EW54" s="110">
        <v>0.51041666666666696</v>
      </c>
      <c r="EX54" s="209">
        <f>IF('Temperature Profiles'!AA53&gt;18,(0.0034*('Temperature Profiles'!AA53^2)-(0.087*'Temperature Profiles'!AA53)+0.5117)*1000,IF(AND('Temperature Profiles'!AA53&lt;17,'Temperature Profiles'!AA53&gt;-4.4),(0.0027*('Temperature Profiles'!AA53^2)-(0.149*'Temperature Profiles'!AA53)+1.7779)*1000,IF(AND('Temperature Profiles'!AA53&lt;-4.4,'Temperature Profiles'!AA53&gt;-8.5),EX$208,IF('Temperature Profiles'!AA53&lt;-8.5,EX157,0))))</f>
        <v>2480</v>
      </c>
      <c r="EY54" s="110">
        <v>0.51041666666666696</v>
      </c>
      <c r="EZ54" s="264">
        <f>IF('Temperature Profiles'!AA53&gt;18,(0.0048*('Temperature Profiles'!AA53^2)-(0.1352*'Temperature Profiles'!AA53)+0.9193)*1000,IF(AND('Temperature Profiles'!AA53&lt;17,'Temperature Profiles'!AA53&gt;-4.4),(0.0031*('Temperature Profiles'!AA53^2)-(0.2029*'Temperature Profiles'!AA53)+2.4264)*1000,IF(AND('Temperature Profiles'!AA53&lt;-4.4,'Temperature Profiles'!AA53&gt;-8.5),EZ$208,IF('Temperature Profiles'!AA53&lt;-8.5,EZ157,0))))</f>
        <v>3390</v>
      </c>
    </row>
    <row r="55" spans="1:156" x14ac:dyDescent="0.3">
      <c r="A55" s="108">
        <v>0.51041666666666696</v>
      </c>
      <c r="B55" s="226">
        <f t="shared" si="4"/>
        <v>0</v>
      </c>
      <c r="C55" s="21">
        <f t="shared" si="5"/>
        <v>0</v>
      </c>
      <c r="D55" s="21">
        <f t="shared" si="6"/>
        <v>5057.6833333333343</v>
      </c>
      <c r="E55" s="20">
        <f t="shared" si="3"/>
        <v>3390</v>
      </c>
      <c r="G55" s="260">
        <v>0.52083333333333304</v>
      </c>
      <c r="H55" s="211"/>
      <c r="I55" s="110">
        <v>0.52083333333333304</v>
      </c>
      <c r="J55" s="211"/>
      <c r="K55" s="110">
        <v>0.52083333333333304</v>
      </c>
      <c r="L55" s="211"/>
      <c r="M55" s="21"/>
      <c r="N55" s="110">
        <v>0.52083333333333304</v>
      </c>
      <c r="O55" s="209"/>
      <c r="P55" s="110">
        <v>0.52083333333333304</v>
      </c>
      <c r="Q55" s="209"/>
      <c r="R55" s="110">
        <v>0.52083333333333304</v>
      </c>
      <c r="S55" s="211"/>
      <c r="T55" s="21"/>
      <c r="U55" s="110">
        <v>0.52083333333333304</v>
      </c>
      <c r="V55" s="209"/>
      <c r="W55" s="110">
        <v>0.52083333333333304</v>
      </c>
      <c r="X55" s="209"/>
      <c r="Y55" s="110">
        <v>0.52083333333333304</v>
      </c>
      <c r="Z55" s="211"/>
      <c r="AA55" s="21"/>
      <c r="AB55" s="110">
        <v>0.52083333333333304</v>
      </c>
      <c r="AC55" s="209"/>
      <c r="AD55" s="110">
        <v>0.52083333333333304</v>
      </c>
      <c r="AE55" s="209"/>
      <c r="AF55" s="110">
        <v>0.52083333333333304</v>
      </c>
      <c r="AG55" s="211"/>
      <c r="AH55" s="21"/>
      <c r="AI55" s="110">
        <v>0.52083333333333304</v>
      </c>
      <c r="AJ55" s="209"/>
      <c r="AK55" s="110">
        <v>0.52083333333333304</v>
      </c>
      <c r="AL55" s="209"/>
      <c r="AM55" s="110">
        <v>0.52083333333333304</v>
      </c>
      <c r="AN55" s="211"/>
      <c r="AO55" s="21"/>
      <c r="AP55" s="110">
        <v>0.52083333333333304</v>
      </c>
      <c r="AQ55" s="209"/>
      <c r="AR55" s="110">
        <v>0.52083333333333304</v>
      </c>
      <c r="AS55" s="209"/>
      <c r="AT55" s="110">
        <v>0.52083333333333304</v>
      </c>
      <c r="AU55" s="211"/>
      <c r="AV55" s="21"/>
      <c r="AW55" s="110">
        <v>0.52083333333333304</v>
      </c>
      <c r="AX55" s="211"/>
      <c r="AY55" s="21"/>
      <c r="AZ55" s="110">
        <v>0.52083333333333304</v>
      </c>
      <c r="BA55" s="264"/>
      <c r="BC55" s="260">
        <v>0.52083333333333304</v>
      </c>
      <c r="BD55" s="211"/>
      <c r="BE55" s="110">
        <v>0.52083333333333304</v>
      </c>
      <c r="BF55" s="211"/>
      <c r="BG55" s="110">
        <v>0.52083333333333304</v>
      </c>
      <c r="BH55" s="211"/>
      <c r="BI55" s="21"/>
      <c r="BJ55" s="110">
        <v>0.52083333333333304</v>
      </c>
      <c r="BK55" s="209"/>
      <c r="BL55" s="110">
        <v>0.52083333333333304</v>
      </c>
      <c r="BM55" s="209"/>
      <c r="BN55" s="110">
        <v>0.52083333333333304</v>
      </c>
      <c r="BO55" s="211"/>
      <c r="BP55" s="21"/>
      <c r="BQ55" s="110">
        <v>0.52083333333333304</v>
      </c>
      <c r="BR55" s="209"/>
      <c r="BS55" s="110">
        <v>0.52083333333333304</v>
      </c>
      <c r="BT55" s="209"/>
      <c r="BU55" s="110">
        <v>0.52083333333333304</v>
      </c>
      <c r="BV55" s="211"/>
      <c r="BW55" s="21"/>
      <c r="BX55" s="110">
        <v>0.52083333333333304</v>
      </c>
      <c r="BY55" s="209"/>
      <c r="BZ55" s="110">
        <v>0.52083333333333304</v>
      </c>
      <c r="CA55" s="209"/>
      <c r="CB55" s="110">
        <v>0.52083333333333304</v>
      </c>
      <c r="CC55" s="211"/>
      <c r="CD55" s="21"/>
      <c r="CE55" s="110">
        <v>0.52083333333333304</v>
      </c>
      <c r="CF55" s="209"/>
      <c r="CG55" s="110">
        <v>0.52083333333333304</v>
      </c>
      <c r="CH55" s="209"/>
      <c r="CI55" s="110">
        <v>0.52083333333333304</v>
      </c>
      <c r="CJ55" s="211"/>
      <c r="CK55" s="21"/>
      <c r="CL55" s="110">
        <v>0.52083333333333304</v>
      </c>
      <c r="CM55" s="209"/>
      <c r="CN55" s="110">
        <v>0.52083333333333304</v>
      </c>
      <c r="CO55" s="209"/>
      <c r="CP55" s="110">
        <v>0.52083333333333304</v>
      </c>
      <c r="CQ55" s="211"/>
      <c r="CR55" s="21"/>
      <c r="CS55" s="110">
        <v>0.52083333333333304</v>
      </c>
      <c r="CT55" s="211"/>
      <c r="CU55" s="21"/>
      <c r="CV55" s="110">
        <v>0.52083333333333304</v>
      </c>
      <c r="CW55" s="264"/>
      <c r="CY55" s="260">
        <v>0.52083333333333304</v>
      </c>
      <c r="CZ55" s="178"/>
      <c r="DA55" s="110">
        <v>0.52083333333333304</v>
      </c>
      <c r="DB55" s="263"/>
      <c r="DC55" s="110">
        <v>0.52083333333333304</v>
      </c>
      <c r="DD55" s="211"/>
      <c r="DE55" s="21"/>
      <c r="DF55" s="110">
        <v>0.52083333333333304</v>
      </c>
      <c r="DG55" s="209"/>
      <c r="DH55" s="110">
        <v>0.52083333333333304</v>
      </c>
      <c r="DI55" s="209"/>
      <c r="DJ55" s="110">
        <v>0.52083333333333304</v>
      </c>
      <c r="DK55" s="211"/>
      <c r="DL55" s="21"/>
      <c r="DM55" s="110">
        <v>0.52083333333333304</v>
      </c>
      <c r="DN55" s="209"/>
      <c r="DO55" s="110">
        <v>0.52083333333333304</v>
      </c>
      <c r="DP55" s="209"/>
      <c r="DQ55" s="110">
        <v>0.52083333333333304</v>
      </c>
      <c r="DR55" s="211"/>
      <c r="DS55" s="21"/>
      <c r="DT55" s="110">
        <v>0.52083333333333304</v>
      </c>
      <c r="DU55" s="209"/>
      <c r="DV55" s="110">
        <v>0.52083333333333304</v>
      </c>
      <c r="DW55" s="209"/>
      <c r="DX55" s="110">
        <v>0.52083333333333304</v>
      </c>
      <c r="DY55" s="211"/>
      <c r="DZ55" s="21"/>
      <c r="EA55" s="110">
        <v>0.52083333333333304</v>
      </c>
      <c r="EB55" s="209">
        <f>IF('Temperature Profiles'!AA54&gt;18,(0.0018*('Temperature Profiles'!AA54^2)-(0.0475*'Temperature Profiles'!AA54)+0.3123)*1000,IF(AND('Temperature Profiles'!AA54&lt;17,'Temperature Profiles'!AA54&gt;-5.6),(0.0021*('Temperature Profiles'!AA54^2)-(0.0919*'Temperature Profiles'!AA54)+1.0491)*1000,IF(AND('Temperature Profiles'!AA54&lt;-5.6,'Temperature Profiles'!AA54&gt;-11.4),(((-0.2925*'Temperature Profiles'!AA54)-1.6914)*1000)+EB$208,IF('Temperature Profiles'!AA54&lt;-11.4,EB158,0))))</f>
        <v>1744.5374999999999</v>
      </c>
      <c r="EC55" s="110">
        <v>0.52083333333333304</v>
      </c>
      <c r="ED55" s="209">
        <f>IF('Temperature Profiles'!AA54&gt;18,(0.0034*('Temperature Profiles'!AA54^2)-(0.087*'Temperature Profiles'!AA54)+0.5117)*1000,IF(AND('Temperature Profiles'!AA54&lt;17,'Temperature Profiles'!AA54&gt;-4.4),(0.0027*('Temperature Profiles'!AA54^2)-(0.149*'Temperature Profiles'!AA54)+1.7779)*1000,IF(AND('Temperature Profiles'!AA54&lt;-4.4,'Temperature Profiles'!AA54&gt;-8.5),(((-0.5391*'Temperature Profiles'!AA54)-2.0906)*1000)+ED$208,IF('Temperature Profiles'!AA54&lt;-8.5,ED158,0))))</f>
        <v>3736.3125000000009</v>
      </c>
      <c r="EE55" s="110">
        <v>0.52083333333333304</v>
      </c>
      <c r="EF55" s="211">
        <f>IF('Temperature Profiles'!AA54&gt;18,(0.0048*('Temperature Profiles'!AA54^2)-(0.1352*'Temperature Profiles'!AA54)+0.9193)*1000,IF(AND('Temperature Profiles'!AA54&lt;17,'Temperature Profiles'!AA54&gt;-4.4),(0.0031*('Temperature Profiles'!AA54^2)-(0.2029*'Temperature Profiles'!AA54)+2.4264)*1000,IF(AND('Temperature Profiles'!AA54&lt;-4.4,'Temperature Profiles'!AA54&gt;-8.5),(((-0.7516*'Temperature Profiles'!AA54)-2.9985)*1000)+EF$208,IF('Temperature Profiles'!AA54&lt;-8.5,EF158,0))))</f>
        <v>5057.6833333333343</v>
      </c>
      <c r="EG55" s="21"/>
      <c r="EH55" s="110">
        <v>0.52083333333333304</v>
      </c>
      <c r="EI55" s="211"/>
      <c r="EJ55" s="110">
        <v>0.52083333333333304</v>
      </c>
      <c r="EK55" s="211"/>
      <c r="EL55" s="110">
        <v>0.52083333333333304</v>
      </c>
      <c r="EM55" s="211"/>
      <c r="EN55" s="21"/>
      <c r="EO55" s="110">
        <v>0.52083333333333304</v>
      </c>
      <c r="EP55" s="211"/>
      <c r="EQ55" s="21"/>
      <c r="ER55" s="110">
        <v>0.52083333333333304</v>
      </c>
      <c r="ES55" s="264"/>
      <c r="EU55" s="260">
        <v>0.52083333333333304</v>
      </c>
      <c r="EV55" s="209">
        <f>IF('Temperature Profiles'!AA54&gt;18,(0.0018*('Temperature Profiles'!AA54^2)-(0.0475*'Temperature Profiles'!AA54)+0.3123)*1000,IF(AND('Temperature Profiles'!AA54&lt;17,'Temperature Profiles'!AA54&gt;-5.6),(0.0021*('Temperature Profiles'!AA54^2)-(0.0919*'Temperature Profiles'!AA54)+1.0491)*1000,IF(AND('Temperature Profiles'!AA54&lt;-5.6,'Temperature Profiles'!AA54&gt;-11.4),EV$208,IF('Temperature Profiles'!AA54&lt;-11.4,EV158,0))))</f>
        <v>1620</v>
      </c>
      <c r="EW55" s="110">
        <v>0.52083333333333304</v>
      </c>
      <c r="EX55" s="209">
        <f>IF('Temperature Profiles'!AA54&gt;18,(0.0034*('Temperature Profiles'!AA54^2)-(0.087*'Temperature Profiles'!AA54)+0.5117)*1000,IF(AND('Temperature Profiles'!AA54&lt;17,'Temperature Profiles'!AA54&gt;-4.4),(0.0027*('Temperature Profiles'!AA54^2)-(0.149*'Temperature Profiles'!AA54)+1.7779)*1000,IF(AND('Temperature Profiles'!AA54&lt;-4.4,'Temperature Profiles'!AA54&gt;-8.5),EX$208,IF('Temperature Profiles'!AA54&lt;-8.5,EX158,0))))</f>
        <v>2480</v>
      </c>
      <c r="EY55" s="110">
        <v>0.52083333333333304</v>
      </c>
      <c r="EZ55" s="264">
        <f>IF('Temperature Profiles'!AA54&gt;18,(0.0048*('Temperature Profiles'!AA54^2)-(0.1352*'Temperature Profiles'!AA54)+0.9193)*1000,IF(AND('Temperature Profiles'!AA54&lt;17,'Temperature Profiles'!AA54&gt;-4.4),(0.0031*('Temperature Profiles'!AA54^2)-(0.2029*'Temperature Profiles'!AA54)+2.4264)*1000,IF(AND('Temperature Profiles'!AA54&lt;-4.4,'Temperature Profiles'!AA54&gt;-8.5),EZ$208,IF('Temperature Profiles'!AA54&lt;-8.5,EZ158,0))))</f>
        <v>3390</v>
      </c>
    </row>
    <row r="56" spans="1:156" x14ac:dyDescent="0.3">
      <c r="A56" s="108">
        <v>0.52083333333333304</v>
      </c>
      <c r="B56" s="226">
        <f t="shared" si="4"/>
        <v>0</v>
      </c>
      <c r="C56" s="21">
        <f t="shared" si="5"/>
        <v>0</v>
      </c>
      <c r="D56" s="21">
        <f t="shared" si="6"/>
        <v>5057.6833333333343</v>
      </c>
      <c r="E56" s="20">
        <f t="shared" si="3"/>
        <v>3390</v>
      </c>
      <c r="G56" s="260">
        <v>0.53125</v>
      </c>
      <c r="H56" s="211"/>
      <c r="I56" s="110">
        <v>0.53125</v>
      </c>
      <c r="J56" s="211"/>
      <c r="K56" s="110">
        <v>0.53125</v>
      </c>
      <c r="L56" s="211"/>
      <c r="M56" s="21"/>
      <c r="N56" s="110">
        <v>0.53125</v>
      </c>
      <c r="O56" s="209"/>
      <c r="P56" s="110">
        <v>0.53125</v>
      </c>
      <c r="Q56" s="209"/>
      <c r="R56" s="110">
        <v>0.53125</v>
      </c>
      <c r="S56" s="211"/>
      <c r="T56" s="21"/>
      <c r="U56" s="110">
        <v>0.53125</v>
      </c>
      <c r="V56" s="209"/>
      <c r="W56" s="110">
        <v>0.53125</v>
      </c>
      <c r="X56" s="209"/>
      <c r="Y56" s="110">
        <v>0.53125</v>
      </c>
      <c r="Z56" s="211"/>
      <c r="AA56" s="21"/>
      <c r="AB56" s="110">
        <v>0.53125</v>
      </c>
      <c r="AC56" s="209"/>
      <c r="AD56" s="110">
        <v>0.53125</v>
      </c>
      <c r="AE56" s="209"/>
      <c r="AF56" s="110">
        <v>0.53125</v>
      </c>
      <c r="AG56" s="211"/>
      <c r="AH56" s="21"/>
      <c r="AI56" s="110">
        <v>0.53125</v>
      </c>
      <c r="AJ56" s="209"/>
      <c r="AK56" s="110">
        <v>0.53125</v>
      </c>
      <c r="AL56" s="209"/>
      <c r="AM56" s="110">
        <v>0.53125</v>
      </c>
      <c r="AN56" s="211"/>
      <c r="AO56" s="21"/>
      <c r="AP56" s="110">
        <v>0.53125</v>
      </c>
      <c r="AQ56" s="209"/>
      <c r="AR56" s="110">
        <v>0.53125</v>
      </c>
      <c r="AS56" s="209"/>
      <c r="AT56" s="110">
        <v>0.53125</v>
      </c>
      <c r="AU56" s="211"/>
      <c r="AV56" s="21"/>
      <c r="AW56" s="110">
        <v>0.53125</v>
      </c>
      <c r="AX56" s="211"/>
      <c r="AY56" s="21"/>
      <c r="AZ56" s="110">
        <v>0.53125</v>
      </c>
      <c r="BA56" s="264"/>
      <c r="BC56" s="260">
        <v>0.53125</v>
      </c>
      <c r="BD56" s="211"/>
      <c r="BE56" s="110">
        <v>0.53125</v>
      </c>
      <c r="BF56" s="211"/>
      <c r="BG56" s="110">
        <v>0.53125</v>
      </c>
      <c r="BH56" s="211"/>
      <c r="BI56" s="21"/>
      <c r="BJ56" s="110">
        <v>0.53125</v>
      </c>
      <c r="BK56" s="209"/>
      <c r="BL56" s="110">
        <v>0.53125</v>
      </c>
      <c r="BM56" s="209"/>
      <c r="BN56" s="110">
        <v>0.53125</v>
      </c>
      <c r="BO56" s="211"/>
      <c r="BP56" s="21"/>
      <c r="BQ56" s="110">
        <v>0.53125</v>
      </c>
      <c r="BR56" s="209"/>
      <c r="BS56" s="110">
        <v>0.53125</v>
      </c>
      <c r="BT56" s="209"/>
      <c r="BU56" s="110">
        <v>0.53125</v>
      </c>
      <c r="BV56" s="211"/>
      <c r="BW56" s="21"/>
      <c r="BX56" s="110">
        <v>0.53125</v>
      </c>
      <c r="BY56" s="209"/>
      <c r="BZ56" s="110">
        <v>0.53125</v>
      </c>
      <c r="CA56" s="209"/>
      <c r="CB56" s="110">
        <v>0.53125</v>
      </c>
      <c r="CC56" s="211"/>
      <c r="CD56" s="21"/>
      <c r="CE56" s="110">
        <v>0.53125</v>
      </c>
      <c r="CF56" s="209"/>
      <c r="CG56" s="110">
        <v>0.53125</v>
      </c>
      <c r="CH56" s="209"/>
      <c r="CI56" s="110">
        <v>0.53125</v>
      </c>
      <c r="CJ56" s="211"/>
      <c r="CK56" s="21"/>
      <c r="CL56" s="110">
        <v>0.53125</v>
      </c>
      <c r="CM56" s="209"/>
      <c r="CN56" s="110">
        <v>0.53125</v>
      </c>
      <c r="CO56" s="209"/>
      <c r="CP56" s="110">
        <v>0.53125</v>
      </c>
      <c r="CQ56" s="211"/>
      <c r="CR56" s="21"/>
      <c r="CS56" s="110">
        <v>0.53125</v>
      </c>
      <c r="CT56" s="211"/>
      <c r="CU56" s="21"/>
      <c r="CV56" s="110">
        <v>0.53125</v>
      </c>
      <c r="CW56" s="264"/>
      <c r="CY56" s="260">
        <v>0.53125</v>
      </c>
      <c r="CZ56" s="178"/>
      <c r="DA56" s="110">
        <v>0.53125</v>
      </c>
      <c r="DB56" s="263"/>
      <c r="DC56" s="110">
        <v>0.53125</v>
      </c>
      <c r="DD56" s="211"/>
      <c r="DE56" s="21"/>
      <c r="DF56" s="110">
        <v>0.53125</v>
      </c>
      <c r="DG56" s="209"/>
      <c r="DH56" s="110">
        <v>0.53125</v>
      </c>
      <c r="DI56" s="209"/>
      <c r="DJ56" s="110">
        <v>0.53125</v>
      </c>
      <c r="DK56" s="211"/>
      <c r="DL56" s="21"/>
      <c r="DM56" s="110">
        <v>0.53125</v>
      </c>
      <c r="DN56" s="209"/>
      <c r="DO56" s="110">
        <v>0.53125</v>
      </c>
      <c r="DP56" s="209"/>
      <c r="DQ56" s="110">
        <v>0.53125</v>
      </c>
      <c r="DR56" s="211"/>
      <c r="DS56" s="21"/>
      <c r="DT56" s="110">
        <v>0.53125</v>
      </c>
      <c r="DU56" s="209"/>
      <c r="DV56" s="110">
        <v>0.53125</v>
      </c>
      <c r="DW56" s="209"/>
      <c r="DX56" s="110">
        <v>0.53125</v>
      </c>
      <c r="DY56" s="211"/>
      <c r="DZ56" s="21"/>
      <c r="EA56" s="110">
        <v>0.53125</v>
      </c>
      <c r="EB56" s="209">
        <f>IF('Temperature Profiles'!AA55&gt;18,(0.0018*('Temperature Profiles'!AA55^2)-(0.0475*'Temperature Profiles'!AA55)+0.3123)*1000,IF(AND('Temperature Profiles'!AA55&lt;17,'Temperature Profiles'!AA55&gt;-5.6),(0.0021*('Temperature Profiles'!AA55^2)-(0.0919*'Temperature Profiles'!AA55)+1.0491)*1000,IF(AND('Temperature Profiles'!AA55&lt;-5.6,'Temperature Profiles'!AA55&gt;-11.4),(((-0.2925*'Temperature Profiles'!AA55)-1.6914)*1000)+EB$208,IF('Temperature Profiles'!AA55&lt;-11.4,EB159,0))))</f>
        <v>1744.5374999999999</v>
      </c>
      <c r="EC56" s="110">
        <v>0.53125</v>
      </c>
      <c r="ED56" s="209">
        <f>IF('Temperature Profiles'!AA55&gt;18,(0.0034*('Temperature Profiles'!AA55^2)-(0.087*'Temperature Profiles'!AA55)+0.5117)*1000,IF(AND('Temperature Profiles'!AA55&lt;17,'Temperature Profiles'!AA55&gt;-4.4),(0.0027*('Temperature Profiles'!AA55^2)-(0.149*'Temperature Profiles'!AA55)+1.7779)*1000,IF(AND('Temperature Profiles'!AA55&lt;-4.4,'Temperature Profiles'!AA55&gt;-8.5),(((-0.5391*'Temperature Profiles'!AA55)-2.0906)*1000)+ED$208,IF('Temperature Profiles'!AA55&lt;-8.5,ED159,0))))</f>
        <v>3736.3125000000009</v>
      </c>
      <c r="EE56" s="110">
        <v>0.53125</v>
      </c>
      <c r="EF56" s="211">
        <f>IF('Temperature Profiles'!AA55&gt;18,(0.0048*('Temperature Profiles'!AA55^2)-(0.1352*'Temperature Profiles'!AA55)+0.9193)*1000,IF(AND('Temperature Profiles'!AA55&lt;17,'Temperature Profiles'!AA55&gt;-4.4),(0.0031*('Temperature Profiles'!AA55^2)-(0.2029*'Temperature Profiles'!AA55)+2.4264)*1000,IF(AND('Temperature Profiles'!AA55&lt;-4.4,'Temperature Profiles'!AA55&gt;-8.5),(((-0.7516*'Temperature Profiles'!AA55)-2.9985)*1000)+EF$208,IF('Temperature Profiles'!AA55&lt;-8.5,EF159,0))))</f>
        <v>5057.6833333333343</v>
      </c>
      <c r="EG56" s="21"/>
      <c r="EH56" s="110">
        <v>0.53125</v>
      </c>
      <c r="EI56" s="211"/>
      <c r="EJ56" s="110">
        <v>0.53125</v>
      </c>
      <c r="EK56" s="211"/>
      <c r="EL56" s="110">
        <v>0.53125</v>
      </c>
      <c r="EM56" s="211"/>
      <c r="EN56" s="21"/>
      <c r="EO56" s="110">
        <v>0.53125</v>
      </c>
      <c r="EP56" s="211"/>
      <c r="EQ56" s="21"/>
      <c r="ER56" s="110">
        <v>0.53125</v>
      </c>
      <c r="ES56" s="264"/>
      <c r="EU56" s="260">
        <v>0.53125</v>
      </c>
      <c r="EV56" s="209">
        <f>IF('Temperature Profiles'!AA55&gt;18,(0.0018*('Temperature Profiles'!AA55^2)-(0.0475*'Temperature Profiles'!AA55)+0.3123)*1000,IF(AND('Temperature Profiles'!AA55&lt;17,'Temperature Profiles'!AA55&gt;-5.6),(0.0021*('Temperature Profiles'!AA55^2)-(0.0919*'Temperature Profiles'!AA55)+1.0491)*1000,IF(AND('Temperature Profiles'!AA55&lt;-5.6,'Temperature Profiles'!AA55&gt;-11.4),EV$208,IF('Temperature Profiles'!AA55&lt;-11.4,EV159,0))))</f>
        <v>1620</v>
      </c>
      <c r="EW56" s="110">
        <v>0.53125</v>
      </c>
      <c r="EX56" s="209">
        <f>IF('Temperature Profiles'!AA55&gt;18,(0.0034*('Temperature Profiles'!AA55^2)-(0.087*'Temperature Profiles'!AA55)+0.5117)*1000,IF(AND('Temperature Profiles'!AA55&lt;17,'Temperature Profiles'!AA55&gt;-4.4),(0.0027*('Temperature Profiles'!AA55^2)-(0.149*'Temperature Profiles'!AA55)+1.7779)*1000,IF(AND('Temperature Profiles'!AA55&lt;-4.4,'Temperature Profiles'!AA55&gt;-8.5),EX$208,IF('Temperature Profiles'!AA55&lt;-8.5,EX159,0))))</f>
        <v>2480</v>
      </c>
      <c r="EY56" s="110">
        <v>0.53125</v>
      </c>
      <c r="EZ56" s="264">
        <f>IF('Temperature Profiles'!AA55&gt;18,(0.0048*('Temperature Profiles'!AA55^2)-(0.1352*'Temperature Profiles'!AA55)+0.9193)*1000,IF(AND('Temperature Profiles'!AA55&lt;17,'Temperature Profiles'!AA55&gt;-4.4),(0.0031*('Temperature Profiles'!AA55^2)-(0.2029*'Temperature Profiles'!AA55)+2.4264)*1000,IF(AND('Temperature Profiles'!AA55&lt;-4.4,'Temperature Profiles'!AA55&gt;-8.5),EZ$208,IF('Temperature Profiles'!AA55&lt;-8.5,EZ159,0))))</f>
        <v>3390</v>
      </c>
    </row>
    <row r="57" spans="1:156" x14ac:dyDescent="0.3">
      <c r="A57" s="108">
        <v>0.53125</v>
      </c>
      <c r="B57" s="226">
        <f t="shared" si="4"/>
        <v>0</v>
      </c>
      <c r="C57" s="21">
        <f t="shared" si="5"/>
        <v>0</v>
      </c>
      <c r="D57" s="21">
        <f t="shared" si="6"/>
        <v>5057.6833333333343</v>
      </c>
      <c r="E57" s="20">
        <f t="shared" si="3"/>
        <v>3390</v>
      </c>
      <c r="G57" s="260">
        <v>0.54166666666666696</v>
      </c>
      <c r="H57" s="211"/>
      <c r="I57" s="110">
        <v>0.54166666666666696</v>
      </c>
      <c r="J57" s="211"/>
      <c r="K57" s="110">
        <v>0.54166666666666696</v>
      </c>
      <c r="L57" s="211"/>
      <c r="M57" s="21"/>
      <c r="N57" s="110">
        <v>0.54166666666666696</v>
      </c>
      <c r="O57" s="209"/>
      <c r="P57" s="110">
        <v>0.54166666666666696</v>
      </c>
      <c r="Q57" s="209"/>
      <c r="R57" s="110">
        <v>0.54166666666666696</v>
      </c>
      <c r="S57" s="211"/>
      <c r="T57" s="21"/>
      <c r="U57" s="110">
        <v>0.54166666666666696</v>
      </c>
      <c r="V57" s="209"/>
      <c r="W57" s="110">
        <v>0.54166666666666696</v>
      </c>
      <c r="X57" s="209"/>
      <c r="Y57" s="110">
        <v>0.54166666666666696</v>
      </c>
      <c r="Z57" s="211"/>
      <c r="AA57" s="21"/>
      <c r="AB57" s="110">
        <v>0.54166666666666696</v>
      </c>
      <c r="AC57" s="209"/>
      <c r="AD57" s="110">
        <v>0.54166666666666696</v>
      </c>
      <c r="AE57" s="209"/>
      <c r="AF57" s="110">
        <v>0.54166666666666696</v>
      </c>
      <c r="AG57" s="211"/>
      <c r="AH57" s="21"/>
      <c r="AI57" s="110">
        <v>0.54166666666666696</v>
      </c>
      <c r="AJ57" s="209"/>
      <c r="AK57" s="110">
        <v>0.54166666666666696</v>
      </c>
      <c r="AL57" s="209"/>
      <c r="AM57" s="110">
        <v>0.54166666666666696</v>
      </c>
      <c r="AN57" s="211"/>
      <c r="AO57" s="21"/>
      <c r="AP57" s="110">
        <v>0.54166666666666696</v>
      </c>
      <c r="AQ57" s="209"/>
      <c r="AR57" s="110">
        <v>0.54166666666666696</v>
      </c>
      <c r="AS57" s="209"/>
      <c r="AT57" s="110">
        <v>0.54166666666666696</v>
      </c>
      <c r="AU57" s="211"/>
      <c r="AV57" s="21"/>
      <c r="AW57" s="110">
        <v>0.54166666666666696</v>
      </c>
      <c r="AX57" s="211"/>
      <c r="AY57" s="21"/>
      <c r="AZ57" s="110">
        <v>0.54166666666666696</v>
      </c>
      <c r="BA57" s="264"/>
      <c r="BC57" s="260">
        <v>0.54166666666666696</v>
      </c>
      <c r="BD57" s="211"/>
      <c r="BE57" s="110">
        <v>0.54166666666666696</v>
      </c>
      <c r="BF57" s="211"/>
      <c r="BG57" s="110">
        <v>0.54166666666666696</v>
      </c>
      <c r="BH57" s="211"/>
      <c r="BI57" s="21"/>
      <c r="BJ57" s="110">
        <v>0.54166666666666696</v>
      </c>
      <c r="BK57" s="209"/>
      <c r="BL57" s="110">
        <v>0.54166666666666696</v>
      </c>
      <c r="BM57" s="209"/>
      <c r="BN57" s="110">
        <v>0.54166666666666696</v>
      </c>
      <c r="BO57" s="211"/>
      <c r="BP57" s="21"/>
      <c r="BQ57" s="110">
        <v>0.54166666666666696</v>
      </c>
      <c r="BR57" s="209"/>
      <c r="BS57" s="110">
        <v>0.54166666666666696</v>
      </c>
      <c r="BT57" s="209"/>
      <c r="BU57" s="110">
        <v>0.54166666666666696</v>
      </c>
      <c r="BV57" s="211"/>
      <c r="BW57" s="21"/>
      <c r="BX57" s="110">
        <v>0.54166666666666696</v>
      </c>
      <c r="BY57" s="209"/>
      <c r="BZ57" s="110">
        <v>0.54166666666666696</v>
      </c>
      <c r="CA57" s="209"/>
      <c r="CB57" s="110">
        <v>0.54166666666666696</v>
      </c>
      <c r="CC57" s="211"/>
      <c r="CD57" s="21"/>
      <c r="CE57" s="110">
        <v>0.54166666666666696</v>
      </c>
      <c r="CF57" s="209"/>
      <c r="CG57" s="110">
        <v>0.54166666666666696</v>
      </c>
      <c r="CH57" s="209"/>
      <c r="CI57" s="110">
        <v>0.54166666666666696</v>
      </c>
      <c r="CJ57" s="211"/>
      <c r="CK57" s="21"/>
      <c r="CL57" s="110">
        <v>0.54166666666666696</v>
      </c>
      <c r="CM57" s="209"/>
      <c r="CN57" s="110">
        <v>0.54166666666666696</v>
      </c>
      <c r="CO57" s="209"/>
      <c r="CP57" s="110">
        <v>0.54166666666666696</v>
      </c>
      <c r="CQ57" s="211"/>
      <c r="CR57" s="21"/>
      <c r="CS57" s="110">
        <v>0.54166666666666696</v>
      </c>
      <c r="CT57" s="211"/>
      <c r="CU57" s="21"/>
      <c r="CV57" s="110">
        <v>0.54166666666666696</v>
      </c>
      <c r="CW57" s="264"/>
      <c r="CY57" s="260">
        <v>0.54166666666666696</v>
      </c>
      <c r="CZ57" s="178"/>
      <c r="DA57" s="110">
        <v>0.54166666666666696</v>
      </c>
      <c r="DB57" s="263"/>
      <c r="DC57" s="110">
        <v>0.54166666666666696</v>
      </c>
      <c r="DD57" s="211"/>
      <c r="DE57" s="21"/>
      <c r="DF57" s="110">
        <v>0.54166666666666696</v>
      </c>
      <c r="DG57" s="209"/>
      <c r="DH57" s="110">
        <v>0.54166666666666696</v>
      </c>
      <c r="DI57" s="209"/>
      <c r="DJ57" s="110">
        <v>0.54166666666666696</v>
      </c>
      <c r="DK57" s="211"/>
      <c r="DL57" s="21"/>
      <c r="DM57" s="110">
        <v>0.54166666666666696</v>
      </c>
      <c r="DN57" s="209"/>
      <c r="DO57" s="110">
        <v>0.54166666666666696</v>
      </c>
      <c r="DP57" s="209"/>
      <c r="DQ57" s="110">
        <v>0.54166666666666696</v>
      </c>
      <c r="DR57" s="211"/>
      <c r="DS57" s="21"/>
      <c r="DT57" s="110">
        <v>0.54166666666666696</v>
      </c>
      <c r="DU57" s="209"/>
      <c r="DV57" s="110">
        <v>0.54166666666666696</v>
      </c>
      <c r="DW57" s="209"/>
      <c r="DX57" s="110">
        <v>0.54166666666666696</v>
      </c>
      <c r="DY57" s="211"/>
      <c r="DZ57" s="21"/>
      <c r="EA57" s="110">
        <v>0.54166666666666696</v>
      </c>
      <c r="EB57" s="209">
        <f>IF('Temperature Profiles'!AA56&gt;18,(0.0018*('Temperature Profiles'!AA56^2)-(0.0475*'Temperature Profiles'!AA56)+0.3123)*1000,IF(AND('Temperature Profiles'!AA56&lt;17,'Temperature Profiles'!AA56&gt;-5.6),(0.0021*('Temperature Profiles'!AA56^2)-(0.0919*'Temperature Profiles'!AA56)+1.0491)*1000,IF(AND('Temperature Profiles'!AA56&lt;-5.6,'Temperature Profiles'!AA56&gt;-11.4),(((-0.2925*'Temperature Profiles'!AA56)-1.6914)*1000)+EB$208,IF('Temperature Profiles'!AA56&lt;-11.4,EB160,0))))</f>
        <v>1538.6039999999998</v>
      </c>
      <c r="EC57" s="110">
        <v>0.54166666666666696</v>
      </c>
      <c r="ED57" s="209">
        <f>IF('Temperature Profiles'!AA56&gt;18,(0.0034*('Temperature Profiles'!AA56^2)-(0.087*'Temperature Profiles'!AA56)+0.5117)*1000,IF(AND('Temperature Profiles'!AA56&lt;17,'Temperature Profiles'!AA56&gt;-4.4),(0.0027*('Temperature Profiles'!AA56^2)-(0.149*'Temperature Profiles'!AA56)+1.7779)*1000,IF(AND('Temperature Profiles'!AA56&lt;-4.4,'Temperature Profiles'!AA56&gt;-8.5),(((-0.5391*'Temperature Profiles'!AA56)-2.0906)*1000)+ED$208,IF('Temperature Profiles'!AA56&lt;-8.5,ED160,0))))</f>
        <v>2977.0800000000008</v>
      </c>
      <c r="EE57" s="110">
        <v>0.54166666666666696</v>
      </c>
      <c r="EF57" s="211">
        <f>IF('Temperature Profiles'!AA56&gt;18,(0.0048*('Temperature Profiles'!AA56^2)-(0.1352*'Temperature Profiles'!AA56)+0.9193)*1000,IF(AND('Temperature Profiles'!AA56&lt;17,'Temperature Profiles'!AA56&gt;-4.4),(0.0031*('Temperature Profiles'!AA56^2)-(0.2029*'Temperature Profiles'!AA56)+2.4264)*1000,IF(AND('Temperature Profiles'!AA56&lt;-4.4,'Temperature Profiles'!AA56&gt;-8.5),(((-0.7516*'Temperature Profiles'!AA56)-2.9985)*1000)+EF$208,IF('Temperature Profiles'!AA56&lt;-8.5,EF160,0))))</f>
        <v>3999.1800000000007</v>
      </c>
      <c r="EG57" s="21"/>
      <c r="EH57" s="110">
        <v>0.54166666666666696</v>
      </c>
      <c r="EI57" s="211"/>
      <c r="EJ57" s="110">
        <v>0.54166666666666696</v>
      </c>
      <c r="EK57" s="211"/>
      <c r="EL57" s="110">
        <v>0.54166666666666696</v>
      </c>
      <c r="EM57" s="211"/>
      <c r="EN57" s="21"/>
      <c r="EO57" s="110">
        <v>0.54166666666666696</v>
      </c>
      <c r="EP57" s="211"/>
      <c r="EQ57" s="21"/>
      <c r="ER57" s="110">
        <v>0.54166666666666696</v>
      </c>
      <c r="ES57" s="264"/>
      <c r="EU57" s="260">
        <v>0.54166666666666696</v>
      </c>
      <c r="EV57" s="209">
        <f>IF('Temperature Profiles'!AA56&gt;18,(0.0018*('Temperature Profiles'!AA56^2)-(0.0475*'Temperature Profiles'!AA56)+0.3123)*1000,IF(AND('Temperature Profiles'!AA56&lt;17,'Temperature Profiles'!AA56&gt;-5.6),(0.0021*('Temperature Profiles'!AA56^2)-(0.0919*'Temperature Profiles'!AA56)+1.0491)*1000,IF(AND('Temperature Profiles'!AA56&lt;-5.6,'Temperature Profiles'!AA56&gt;-11.4),EV$208,IF('Temperature Profiles'!AA56&lt;-11.4,EV160,0))))</f>
        <v>1538.6039999999998</v>
      </c>
      <c r="EW57" s="110">
        <v>0.54166666666666696</v>
      </c>
      <c r="EX57" s="209">
        <f>IF('Temperature Profiles'!AA56&gt;18,(0.0034*('Temperature Profiles'!AA56^2)-(0.087*'Temperature Profiles'!AA56)+0.5117)*1000,IF(AND('Temperature Profiles'!AA56&lt;17,'Temperature Profiles'!AA56&gt;-4.4),(0.0027*('Temperature Profiles'!AA56^2)-(0.149*'Temperature Profiles'!AA56)+1.7779)*1000,IF(AND('Temperature Profiles'!AA56&lt;-4.4,'Temperature Profiles'!AA56&gt;-8.5),EX$208,IF('Temperature Profiles'!AA56&lt;-8.5,EX160,0))))</f>
        <v>2480</v>
      </c>
      <c r="EY57" s="110">
        <v>0.54166666666666696</v>
      </c>
      <c r="EZ57" s="264">
        <f>IF('Temperature Profiles'!AA56&gt;18,(0.0048*('Temperature Profiles'!AA56^2)-(0.1352*'Temperature Profiles'!AA56)+0.9193)*1000,IF(AND('Temperature Profiles'!AA56&lt;17,'Temperature Profiles'!AA56&gt;-4.4),(0.0031*('Temperature Profiles'!AA56^2)-(0.2029*'Temperature Profiles'!AA56)+2.4264)*1000,IF(AND('Temperature Profiles'!AA56&lt;-4.4,'Temperature Profiles'!AA56&gt;-8.5),EZ$208,IF('Temperature Profiles'!AA56&lt;-8.5,EZ160,0))))</f>
        <v>3390</v>
      </c>
    </row>
    <row r="58" spans="1:156" x14ac:dyDescent="0.3">
      <c r="A58" s="108">
        <v>0.54166666666666696</v>
      </c>
      <c r="B58" s="226">
        <f t="shared" si="4"/>
        <v>0</v>
      </c>
      <c r="C58" s="21">
        <f t="shared" si="5"/>
        <v>0</v>
      </c>
      <c r="D58" s="21">
        <f t="shared" si="6"/>
        <v>3999.1800000000007</v>
      </c>
      <c r="E58" s="20">
        <f t="shared" si="3"/>
        <v>3390</v>
      </c>
      <c r="G58" s="260">
        <v>0.55208333333333304</v>
      </c>
      <c r="H58" s="211"/>
      <c r="I58" s="110">
        <v>0.55208333333333304</v>
      </c>
      <c r="J58" s="211"/>
      <c r="K58" s="110">
        <v>0.55208333333333304</v>
      </c>
      <c r="L58" s="211"/>
      <c r="M58" s="21"/>
      <c r="N58" s="110">
        <v>0.55208333333333304</v>
      </c>
      <c r="O58" s="209"/>
      <c r="P58" s="110">
        <v>0.55208333333333304</v>
      </c>
      <c r="Q58" s="209"/>
      <c r="R58" s="110">
        <v>0.55208333333333304</v>
      </c>
      <c r="S58" s="211"/>
      <c r="T58" s="21"/>
      <c r="U58" s="110">
        <v>0.55208333333333304</v>
      </c>
      <c r="V58" s="209"/>
      <c r="W58" s="110">
        <v>0.55208333333333304</v>
      </c>
      <c r="X58" s="209"/>
      <c r="Y58" s="110">
        <v>0.55208333333333304</v>
      </c>
      <c r="Z58" s="211"/>
      <c r="AA58" s="21"/>
      <c r="AB58" s="110">
        <v>0.55208333333333304</v>
      </c>
      <c r="AC58" s="209"/>
      <c r="AD58" s="110">
        <v>0.55208333333333304</v>
      </c>
      <c r="AE58" s="209"/>
      <c r="AF58" s="110">
        <v>0.55208333333333304</v>
      </c>
      <c r="AG58" s="211"/>
      <c r="AH58" s="21"/>
      <c r="AI58" s="110">
        <v>0.55208333333333304</v>
      </c>
      <c r="AJ58" s="209"/>
      <c r="AK58" s="110">
        <v>0.55208333333333304</v>
      </c>
      <c r="AL58" s="209"/>
      <c r="AM58" s="110">
        <v>0.55208333333333304</v>
      </c>
      <c r="AN58" s="211"/>
      <c r="AO58" s="21"/>
      <c r="AP58" s="110">
        <v>0.55208333333333304</v>
      </c>
      <c r="AQ58" s="209"/>
      <c r="AR58" s="110">
        <v>0.55208333333333304</v>
      </c>
      <c r="AS58" s="209"/>
      <c r="AT58" s="110">
        <v>0.55208333333333304</v>
      </c>
      <c r="AU58" s="211"/>
      <c r="AV58" s="21"/>
      <c r="AW58" s="110">
        <v>0.55208333333333304</v>
      </c>
      <c r="AX58" s="211"/>
      <c r="AY58" s="21"/>
      <c r="AZ58" s="110">
        <v>0.55208333333333304</v>
      </c>
      <c r="BA58" s="264"/>
      <c r="BC58" s="260">
        <v>0.55208333333333304</v>
      </c>
      <c r="BD58" s="211"/>
      <c r="BE58" s="110">
        <v>0.55208333333333304</v>
      </c>
      <c r="BF58" s="211"/>
      <c r="BG58" s="110">
        <v>0.55208333333333304</v>
      </c>
      <c r="BH58" s="211"/>
      <c r="BI58" s="21"/>
      <c r="BJ58" s="110">
        <v>0.55208333333333304</v>
      </c>
      <c r="BK58" s="209"/>
      <c r="BL58" s="110">
        <v>0.55208333333333304</v>
      </c>
      <c r="BM58" s="209"/>
      <c r="BN58" s="110">
        <v>0.55208333333333304</v>
      </c>
      <c r="BO58" s="211"/>
      <c r="BP58" s="21"/>
      <c r="BQ58" s="110">
        <v>0.55208333333333304</v>
      </c>
      <c r="BR58" s="209"/>
      <c r="BS58" s="110">
        <v>0.55208333333333304</v>
      </c>
      <c r="BT58" s="209"/>
      <c r="BU58" s="110">
        <v>0.55208333333333304</v>
      </c>
      <c r="BV58" s="211"/>
      <c r="BW58" s="21"/>
      <c r="BX58" s="110">
        <v>0.55208333333333304</v>
      </c>
      <c r="BY58" s="209"/>
      <c r="BZ58" s="110">
        <v>0.55208333333333304</v>
      </c>
      <c r="CA58" s="209"/>
      <c r="CB58" s="110">
        <v>0.55208333333333304</v>
      </c>
      <c r="CC58" s="211"/>
      <c r="CD58" s="21"/>
      <c r="CE58" s="110">
        <v>0.55208333333333304</v>
      </c>
      <c r="CF58" s="209"/>
      <c r="CG58" s="110">
        <v>0.55208333333333304</v>
      </c>
      <c r="CH58" s="209"/>
      <c r="CI58" s="110">
        <v>0.55208333333333304</v>
      </c>
      <c r="CJ58" s="211"/>
      <c r="CK58" s="21"/>
      <c r="CL58" s="110">
        <v>0.55208333333333304</v>
      </c>
      <c r="CM58" s="209"/>
      <c r="CN58" s="110">
        <v>0.55208333333333304</v>
      </c>
      <c r="CO58" s="209"/>
      <c r="CP58" s="110">
        <v>0.55208333333333304</v>
      </c>
      <c r="CQ58" s="211"/>
      <c r="CR58" s="21"/>
      <c r="CS58" s="110">
        <v>0.55208333333333304</v>
      </c>
      <c r="CT58" s="211"/>
      <c r="CU58" s="21"/>
      <c r="CV58" s="110">
        <v>0.55208333333333304</v>
      </c>
      <c r="CW58" s="264"/>
      <c r="CY58" s="260">
        <v>0.55208333333333304</v>
      </c>
      <c r="CZ58" s="178"/>
      <c r="DA58" s="110">
        <v>0.55208333333333304</v>
      </c>
      <c r="DB58" s="263"/>
      <c r="DC58" s="110">
        <v>0.55208333333333304</v>
      </c>
      <c r="DD58" s="211"/>
      <c r="DE58" s="21"/>
      <c r="DF58" s="110">
        <v>0.55208333333333304</v>
      </c>
      <c r="DG58" s="209"/>
      <c r="DH58" s="110">
        <v>0.55208333333333304</v>
      </c>
      <c r="DI58" s="209"/>
      <c r="DJ58" s="110">
        <v>0.55208333333333304</v>
      </c>
      <c r="DK58" s="211"/>
      <c r="DL58" s="21"/>
      <c r="DM58" s="110">
        <v>0.55208333333333304</v>
      </c>
      <c r="DN58" s="209"/>
      <c r="DO58" s="110">
        <v>0.55208333333333304</v>
      </c>
      <c r="DP58" s="209"/>
      <c r="DQ58" s="110">
        <v>0.55208333333333304</v>
      </c>
      <c r="DR58" s="211"/>
      <c r="DS58" s="21"/>
      <c r="DT58" s="110">
        <v>0.55208333333333304</v>
      </c>
      <c r="DU58" s="209"/>
      <c r="DV58" s="110">
        <v>0.55208333333333304</v>
      </c>
      <c r="DW58" s="209"/>
      <c r="DX58" s="110">
        <v>0.55208333333333304</v>
      </c>
      <c r="DY58" s="211"/>
      <c r="DZ58" s="21"/>
      <c r="EA58" s="110">
        <v>0.55208333333333304</v>
      </c>
      <c r="EB58" s="209">
        <f>IF('Temperature Profiles'!AA57&gt;18,(0.0018*('Temperature Profiles'!AA57^2)-(0.0475*'Temperature Profiles'!AA57)+0.3123)*1000,IF(AND('Temperature Profiles'!AA57&lt;17,'Temperature Profiles'!AA57&gt;-5.6),(0.0021*('Temperature Profiles'!AA57^2)-(0.0919*'Temperature Profiles'!AA57)+1.0491)*1000,IF(AND('Temperature Profiles'!AA57&lt;-5.6,'Temperature Profiles'!AA57&gt;-11.4),(((-0.2925*'Temperature Profiles'!AA57)-1.6914)*1000)+EB$208,IF('Temperature Profiles'!AA57&lt;-11.4,EB161,0))))</f>
        <v>1538.6039999999998</v>
      </c>
      <c r="EC58" s="110">
        <v>0.55208333333333304</v>
      </c>
      <c r="ED58" s="209">
        <f>IF('Temperature Profiles'!AA57&gt;18,(0.0034*('Temperature Profiles'!AA57^2)-(0.087*'Temperature Profiles'!AA57)+0.5117)*1000,IF(AND('Temperature Profiles'!AA57&lt;17,'Temperature Profiles'!AA57&gt;-4.4),(0.0027*('Temperature Profiles'!AA57^2)-(0.149*'Temperature Profiles'!AA57)+1.7779)*1000,IF(AND('Temperature Profiles'!AA57&lt;-4.4,'Temperature Profiles'!AA57&gt;-8.5),(((-0.5391*'Temperature Profiles'!AA57)-2.0906)*1000)+ED$208,IF('Temperature Profiles'!AA57&lt;-8.5,ED161,0))))</f>
        <v>2977.0800000000008</v>
      </c>
      <c r="EE58" s="110">
        <v>0.55208333333333304</v>
      </c>
      <c r="EF58" s="211">
        <f>IF('Temperature Profiles'!AA57&gt;18,(0.0048*('Temperature Profiles'!AA57^2)-(0.1352*'Temperature Profiles'!AA57)+0.9193)*1000,IF(AND('Temperature Profiles'!AA57&lt;17,'Temperature Profiles'!AA57&gt;-4.4),(0.0031*('Temperature Profiles'!AA57^2)-(0.2029*'Temperature Profiles'!AA57)+2.4264)*1000,IF(AND('Temperature Profiles'!AA57&lt;-4.4,'Temperature Profiles'!AA57&gt;-8.5),(((-0.7516*'Temperature Profiles'!AA57)-2.9985)*1000)+EF$208,IF('Temperature Profiles'!AA57&lt;-8.5,EF161,0))))</f>
        <v>3999.1800000000007</v>
      </c>
      <c r="EG58" s="21"/>
      <c r="EH58" s="110">
        <v>0.55208333333333304</v>
      </c>
      <c r="EI58" s="211"/>
      <c r="EJ58" s="110">
        <v>0.55208333333333304</v>
      </c>
      <c r="EK58" s="211"/>
      <c r="EL58" s="110">
        <v>0.55208333333333304</v>
      </c>
      <c r="EM58" s="211"/>
      <c r="EN58" s="21"/>
      <c r="EO58" s="110">
        <v>0.55208333333333304</v>
      </c>
      <c r="EP58" s="211"/>
      <c r="EQ58" s="21"/>
      <c r="ER58" s="110">
        <v>0.55208333333333304</v>
      </c>
      <c r="ES58" s="264"/>
      <c r="EU58" s="260">
        <v>0.55208333333333304</v>
      </c>
      <c r="EV58" s="209">
        <f>IF('Temperature Profiles'!AA57&gt;18,(0.0018*('Temperature Profiles'!AA57^2)-(0.0475*'Temperature Profiles'!AA57)+0.3123)*1000,IF(AND('Temperature Profiles'!AA57&lt;17,'Temperature Profiles'!AA57&gt;-5.6),(0.0021*('Temperature Profiles'!AA57^2)-(0.0919*'Temperature Profiles'!AA57)+1.0491)*1000,IF(AND('Temperature Profiles'!AA57&lt;-5.6,'Temperature Profiles'!AA57&gt;-11.4),EV$208,IF('Temperature Profiles'!AA57&lt;-11.4,EV161,0))))</f>
        <v>1538.6039999999998</v>
      </c>
      <c r="EW58" s="110">
        <v>0.55208333333333304</v>
      </c>
      <c r="EX58" s="209">
        <f>IF('Temperature Profiles'!AA57&gt;18,(0.0034*('Temperature Profiles'!AA57^2)-(0.087*'Temperature Profiles'!AA57)+0.5117)*1000,IF(AND('Temperature Profiles'!AA57&lt;17,'Temperature Profiles'!AA57&gt;-4.4),(0.0027*('Temperature Profiles'!AA57^2)-(0.149*'Temperature Profiles'!AA57)+1.7779)*1000,IF(AND('Temperature Profiles'!AA57&lt;-4.4,'Temperature Profiles'!AA57&gt;-8.5),EX$208,IF('Temperature Profiles'!AA57&lt;-8.5,EX161,0))))</f>
        <v>2480</v>
      </c>
      <c r="EY58" s="110">
        <v>0.55208333333333304</v>
      </c>
      <c r="EZ58" s="264">
        <f>IF('Temperature Profiles'!AA57&gt;18,(0.0048*('Temperature Profiles'!AA57^2)-(0.1352*'Temperature Profiles'!AA57)+0.9193)*1000,IF(AND('Temperature Profiles'!AA57&lt;17,'Temperature Profiles'!AA57&gt;-4.4),(0.0031*('Temperature Profiles'!AA57^2)-(0.2029*'Temperature Profiles'!AA57)+2.4264)*1000,IF(AND('Temperature Profiles'!AA57&lt;-4.4,'Temperature Profiles'!AA57&gt;-8.5),EZ$208,IF('Temperature Profiles'!AA57&lt;-8.5,EZ161,0))))</f>
        <v>3390</v>
      </c>
    </row>
    <row r="59" spans="1:156" x14ac:dyDescent="0.3">
      <c r="A59" s="108">
        <v>0.55208333333333304</v>
      </c>
      <c r="B59" s="226">
        <f t="shared" si="4"/>
        <v>0</v>
      </c>
      <c r="C59" s="21">
        <f t="shared" si="5"/>
        <v>0</v>
      </c>
      <c r="D59" s="21">
        <f t="shared" si="6"/>
        <v>3999.1800000000007</v>
      </c>
      <c r="E59" s="20">
        <f t="shared" si="3"/>
        <v>3390</v>
      </c>
      <c r="G59" s="260">
        <v>0.5625</v>
      </c>
      <c r="H59" s="211"/>
      <c r="I59" s="110">
        <v>0.5625</v>
      </c>
      <c r="J59" s="211"/>
      <c r="K59" s="110">
        <v>0.5625</v>
      </c>
      <c r="L59" s="211"/>
      <c r="M59" s="21"/>
      <c r="N59" s="110">
        <v>0.5625</v>
      </c>
      <c r="O59" s="209"/>
      <c r="P59" s="110">
        <v>0.5625</v>
      </c>
      <c r="Q59" s="209"/>
      <c r="R59" s="110">
        <v>0.5625</v>
      </c>
      <c r="S59" s="211"/>
      <c r="T59" s="21"/>
      <c r="U59" s="110">
        <v>0.5625</v>
      </c>
      <c r="V59" s="209"/>
      <c r="W59" s="110">
        <v>0.5625</v>
      </c>
      <c r="X59" s="209"/>
      <c r="Y59" s="110">
        <v>0.5625</v>
      </c>
      <c r="Z59" s="211"/>
      <c r="AA59" s="21"/>
      <c r="AB59" s="110">
        <v>0.5625</v>
      </c>
      <c r="AC59" s="209"/>
      <c r="AD59" s="110">
        <v>0.5625</v>
      </c>
      <c r="AE59" s="209"/>
      <c r="AF59" s="110">
        <v>0.5625</v>
      </c>
      <c r="AG59" s="211"/>
      <c r="AH59" s="21"/>
      <c r="AI59" s="110">
        <v>0.5625</v>
      </c>
      <c r="AJ59" s="209"/>
      <c r="AK59" s="110">
        <v>0.5625</v>
      </c>
      <c r="AL59" s="209"/>
      <c r="AM59" s="110">
        <v>0.5625</v>
      </c>
      <c r="AN59" s="211"/>
      <c r="AO59" s="21"/>
      <c r="AP59" s="110">
        <v>0.5625</v>
      </c>
      <c r="AQ59" s="209"/>
      <c r="AR59" s="110">
        <v>0.5625</v>
      </c>
      <c r="AS59" s="209"/>
      <c r="AT59" s="110">
        <v>0.5625</v>
      </c>
      <c r="AU59" s="211"/>
      <c r="AV59" s="21"/>
      <c r="AW59" s="110">
        <v>0.5625</v>
      </c>
      <c r="AX59" s="211"/>
      <c r="AY59" s="21"/>
      <c r="AZ59" s="110">
        <v>0.5625</v>
      </c>
      <c r="BA59" s="264"/>
      <c r="BC59" s="260">
        <v>0.5625</v>
      </c>
      <c r="BD59" s="211"/>
      <c r="BE59" s="110">
        <v>0.5625</v>
      </c>
      <c r="BF59" s="211"/>
      <c r="BG59" s="110">
        <v>0.5625</v>
      </c>
      <c r="BH59" s="211"/>
      <c r="BI59" s="21"/>
      <c r="BJ59" s="110">
        <v>0.5625</v>
      </c>
      <c r="BK59" s="209"/>
      <c r="BL59" s="110">
        <v>0.5625</v>
      </c>
      <c r="BM59" s="209"/>
      <c r="BN59" s="110">
        <v>0.5625</v>
      </c>
      <c r="BO59" s="211"/>
      <c r="BP59" s="21"/>
      <c r="BQ59" s="110">
        <v>0.5625</v>
      </c>
      <c r="BR59" s="209"/>
      <c r="BS59" s="110">
        <v>0.5625</v>
      </c>
      <c r="BT59" s="209"/>
      <c r="BU59" s="110">
        <v>0.5625</v>
      </c>
      <c r="BV59" s="211"/>
      <c r="BW59" s="21"/>
      <c r="BX59" s="110">
        <v>0.5625</v>
      </c>
      <c r="BY59" s="209"/>
      <c r="BZ59" s="110">
        <v>0.5625</v>
      </c>
      <c r="CA59" s="209"/>
      <c r="CB59" s="110">
        <v>0.5625</v>
      </c>
      <c r="CC59" s="211"/>
      <c r="CD59" s="21"/>
      <c r="CE59" s="110">
        <v>0.5625</v>
      </c>
      <c r="CF59" s="209"/>
      <c r="CG59" s="110">
        <v>0.5625</v>
      </c>
      <c r="CH59" s="209"/>
      <c r="CI59" s="110">
        <v>0.5625</v>
      </c>
      <c r="CJ59" s="211"/>
      <c r="CK59" s="21"/>
      <c r="CL59" s="110">
        <v>0.5625</v>
      </c>
      <c r="CM59" s="209"/>
      <c r="CN59" s="110">
        <v>0.5625</v>
      </c>
      <c r="CO59" s="209"/>
      <c r="CP59" s="110">
        <v>0.5625</v>
      </c>
      <c r="CQ59" s="211"/>
      <c r="CR59" s="21"/>
      <c r="CS59" s="110">
        <v>0.5625</v>
      </c>
      <c r="CT59" s="211"/>
      <c r="CU59" s="21"/>
      <c r="CV59" s="110">
        <v>0.5625</v>
      </c>
      <c r="CW59" s="264"/>
      <c r="CY59" s="260">
        <v>0.5625</v>
      </c>
      <c r="CZ59" s="178"/>
      <c r="DA59" s="110">
        <v>0.5625</v>
      </c>
      <c r="DB59" s="263"/>
      <c r="DC59" s="110">
        <v>0.5625</v>
      </c>
      <c r="DD59" s="211"/>
      <c r="DE59" s="21"/>
      <c r="DF59" s="110">
        <v>0.5625</v>
      </c>
      <c r="DG59" s="209"/>
      <c r="DH59" s="110">
        <v>0.5625</v>
      </c>
      <c r="DI59" s="209"/>
      <c r="DJ59" s="110">
        <v>0.5625</v>
      </c>
      <c r="DK59" s="211"/>
      <c r="DL59" s="21"/>
      <c r="DM59" s="110">
        <v>0.5625</v>
      </c>
      <c r="DN59" s="209"/>
      <c r="DO59" s="110">
        <v>0.5625</v>
      </c>
      <c r="DP59" s="209"/>
      <c r="DQ59" s="110">
        <v>0.5625</v>
      </c>
      <c r="DR59" s="211"/>
      <c r="DS59" s="21"/>
      <c r="DT59" s="110">
        <v>0.5625</v>
      </c>
      <c r="DU59" s="209"/>
      <c r="DV59" s="110">
        <v>0.5625</v>
      </c>
      <c r="DW59" s="209"/>
      <c r="DX59" s="110">
        <v>0.5625</v>
      </c>
      <c r="DY59" s="211"/>
      <c r="DZ59" s="21"/>
      <c r="EA59" s="110">
        <v>0.5625</v>
      </c>
      <c r="EB59" s="209">
        <f>IF('Temperature Profiles'!AA58&gt;18,(0.0018*('Temperature Profiles'!AA58^2)-(0.0475*'Temperature Profiles'!AA58)+0.3123)*1000,IF(AND('Temperature Profiles'!AA58&lt;17,'Temperature Profiles'!AA58&gt;-5.6),(0.0021*('Temperature Profiles'!AA58^2)-(0.0919*'Temperature Profiles'!AA58)+1.0491)*1000,IF(AND('Temperature Profiles'!AA58&lt;-5.6,'Temperature Profiles'!AA58&gt;-11.4),(((-0.2925*'Temperature Profiles'!AA58)-1.6914)*1000)+EB$208,IF('Temperature Profiles'!AA58&lt;-11.4,EB162,0))))</f>
        <v>1538.6039999999998</v>
      </c>
      <c r="EC59" s="110">
        <v>0.5625</v>
      </c>
      <c r="ED59" s="209">
        <f>IF('Temperature Profiles'!AA58&gt;18,(0.0034*('Temperature Profiles'!AA58^2)-(0.087*'Temperature Profiles'!AA58)+0.5117)*1000,IF(AND('Temperature Profiles'!AA58&lt;17,'Temperature Profiles'!AA58&gt;-4.4),(0.0027*('Temperature Profiles'!AA58^2)-(0.149*'Temperature Profiles'!AA58)+1.7779)*1000,IF(AND('Temperature Profiles'!AA58&lt;-4.4,'Temperature Profiles'!AA58&gt;-8.5),(((-0.5391*'Temperature Profiles'!AA58)-2.0906)*1000)+ED$208,IF('Temperature Profiles'!AA58&lt;-8.5,ED162,0))))</f>
        <v>2977.0800000000008</v>
      </c>
      <c r="EE59" s="110">
        <v>0.5625</v>
      </c>
      <c r="EF59" s="211">
        <f>IF('Temperature Profiles'!AA58&gt;18,(0.0048*('Temperature Profiles'!AA58^2)-(0.1352*'Temperature Profiles'!AA58)+0.9193)*1000,IF(AND('Temperature Profiles'!AA58&lt;17,'Temperature Profiles'!AA58&gt;-4.4),(0.0031*('Temperature Profiles'!AA58^2)-(0.2029*'Temperature Profiles'!AA58)+2.4264)*1000,IF(AND('Temperature Profiles'!AA58&lt;-4.4,'Temperature Profiles'!AA58&gt;-8.5),(((-0.7516*'Temperature Profiles'!AA58)-2.9985)*1000)+EF$208,IF('Temperature Profiles'!AA58&lt;-8.5,EF162,0))))</f>
        <v>3999.1800000000007</v>
      </c>
      <c r="EG59" s="21"/>
      <c r="EH59" s="110">
        <v>0.5625</v>
      </c>
      <c r="EI59" s="211"/>
      <c r="EJ59" s="110">
        <v>0.5625</v>
      </c>
      <c r="EK59" s="211"/>
      <c r="EL59" s="110">
        <v>0.5625</v>
      </c>
      <c r="EM59" s="211"/>
      <c r="EN59" s="21"/>
      <c r="EO59" s="110">
        <v>0.5625</v>
      </c>
      <c r="EP59" s="211"/>
      <c r="EQ59" s="21"/>
      <c r="ER59" s="110">
        <v>0.5625</v>
      </c>
      <c r="ES59" s="264"/>
      <c r="EU59" s="260">
        <v>0.5625</v>
      </c>
      <c r="EV59" s="209">
        <f>IF('Temperature Profiles'!AA58&gt;18,(0.0018*('Temperature Profiles'!AA58^2)-(0.0475*'Temperature Profiles'!AA58)+0.3123)*1000,IF(AND('Temperature Profiles'!AA58&lt;17,'Temperature Profiles'!AA58&gt;-5.6),(0.0021*('Temperature Profiles'!AA58^2)-(0.0919*'Temperature Profiles'!AA58)+1.0491)*1000,IF(AND('Temperature Profiles'!AA58&lt;-5.6,'Temperature Profiles'!AA58&gt;-11.4),EV$208,IF('Temperature Profiles'!AA58&lt;-11.4,EV162,0))))</f>
        <v>1538.6039999999998</v>
      </c>
      <c r="EW59" s="110">
        <v>0.5625</v>
      </c>
      <c r="EX59" s="209">
        <f>IF('Temperature Profiles'!AA58&gt;18,(0.0034*('Temperature Profiles'!AA58^2)-(0.087*'Temperature Profiles'!AA58)+0.5117)*1000,IF(AND('Temperature Profiles'!AA58&lt;17,'Temperature Profiles'!AA58&gt;-4.4),(0.0027*('Temperature Profiles'!AA58^2)-(0.149*'Temperature Profiles'!AA58)+1.7779)*1000,IF(AND('Temperature Profiles'!AA58&lt;-4.4,'Temperature Profiles'!AA58&gt;-8.5),EX$208,IF('Temperature Profiles'!AA58&lt;-8.5,EX162,0))))</f>
        <v>2480</v>
      </c>
      <c r="EY59" s="110">
        <v>0.5625</v>
      </c>
      <c r="EZ59" s="264">
        <f>IF('Temperature Profiles'!AA58&gt;18,(0.0048*('Temperature Profiles'!AA58^2)-(0.1352*'Temperature Profiles'!AA58)+0.9193)*1000,IF(AND('Temperature Profiles'!AA58&lt;17,'Temperature Profiles'!AA58&gt;-4.4),(0.0031*('Temperature Profiles'!AA58^2)-(0.2029*'Temperature Profiles'!AA58)+2.4264)*1000,IF(AND('Temperature Profiles'!AA58&lt;-4.4,'Temperature Profiles'!AA58&gt;-8.5),EZ$208,IF('Temperature Profiles'!AA58&lt;-8.5,EZ162,0))))</f>
        <v>3390</v>
      </c>
    </row>
    <row r="60" spans="1:156" x14ac:dyDescent="0.3">
      <c r="A60" s="108">
        <v>0.5625</v>
      </c>
      <c r="B60" s="226">
        <f t="shared" si="4"/>
        <v>0</v>
      </c>
      <c r="C60" s="21">
        <f t="shared" si="5"/>
        <v>0</v>
      </c>
      <c r="D60" s="21">
        <f t="shared" si="6"/>
        <v>3999.1800000000007</v>
      </c>
      <c r="E60" s="20">
        <f t="shared" si="3"/>
        <v>3390</v>
      </c>
      <c r="G60" s="260">
        <v>0.57291666666666696</v>
      </c>
      <c r="H60" s="211"/>
      <c r="I60" s="110">
        <v>0.57291666666666696</v>
      </c>
      <c r="J60" s="211"/>
      <c r="K60" s="110">
        <v>0.57291666666666696</v>
      </c>
      <c r="L60" s="211"/>
      <c r="M60" s="21"/>
      <c r="N60" s="110">
        <v>0.57291666666666696</v>
      </c>
      <c r="O60" s="209"/>
      <c r="P60" s="110">
        <v>0.57291666666666696</v>
      </c>
      <c r="Q60" s="209"/>
      <c r="R60" s="110">
        <v>0.57291666666666696</v>
      </c>
      <c r="S60" s="211"/>
      <c r="T60" s="21"/>
      <c r="U60" s="110">
        <v>0.57291666666666696</v>
      </c>
      <c r="V60" s="209"/>
      <c r="W60" s="110">
        <v>0.57291666666666696</v>
      </c>
      <c r="X60" s="209"/>
      <c r="Y60" s="110">
        <v>0.57291666666666696</v>
      </c>
      <c r="Z60" s="211"/>
      <c r="AA60" s="21"/>
      <c r="AB60" s="110">
        <v>0.57291666666666696</v>
      </c>
      <c r="AC60" s="209"/>
      <c r="AD60" s="110">
        <v>0.57291666666666696</v>
      </c>
      <c r="AE60" s="209"/>
      <c r="AF60" s="110">
        <v>0.57291666666666696</v>
      </c>
      <c r="AG60" s="211"/>
      <c r="AH60" s="21"/>
      <c r="AI60" s="110">
        <v>0.57291666666666696</v>
      </c>
      <c r="AJ60" s="209"/>
      <c r="AK60" s="110">
        <v>0.57291666666666696</v>
      </c>
      <c r="AL60" s="209"/>
      <c r="AM60" s="110">
        <v>0.57291666666666696</v>
      </c>
      <c r="AN60" s="211"/>
      <c r="AO60" s="21"/>
      <c r="AP60" s="110">
        <v>0.57291666666666696</v>
      </c>
      <c r="AQ60" s="209"/>
      <c r="AR60" s="110">
        <v>0.57291666666666696</v>
      </c>
      <c r="AS60" s="209"/>
      <c r="AT60" s="110">
        <v>0.57291666666666696</v>
      </c>
      <c r="AU60" s="211"/>
      <c r="AV60" s="21"/>
      <c r="AW60" s="110">
        <v>0.57291666666666696</v>
      </c>
      <c r="AX60" s="211"/>
      <c r="AY60" s="21"/>
      <c r="AZ60" s="110">
        <v>0.57291666666666696</v>
      </c>
      <c r="BA60" s="264"/>
      <c r="BC60" s="260">
        <v>0.57291666666666696</v>
      </c>
      <c r="BD60" s="211"/>
      <c r="BE60" s="110">
        <v>0.57291666666666696</v>
      </c>
      <c r="BF60" s="211"/>
      <c r="BG60" s="110">
        <v>0.57291666666666696</v>
      </c>
      <c r="BH60" s="211"/>
      <c r="BI60" s="21"/>
      <c r="BJ60" s="110">
        <v>0.57291666666666696</v>
      </c>
      <c r="BK60" s="209"/>
      <c r="BL60" s="110">
        <v>0.57291666666666696</v>
      </c>
      <c r="BM60" s="209"/>
      <c r="BN60" s="110">
        <v>0.57291666666666696</v>
      </c>
      <c r="BO60" s="211"/>
      <c r="BP60" s="21"/>
      <c r="BQ60" s="110">
        <v>0.57291666666666696</v>
      </c>
      <c r="BR60" s="209"/>
      <c r="BS60" s="110">
        <v>0.57291666666666696</v>
      </c>
      <c r="BT60" s="209"/>
      <c r="BU60" s="110">
        <v>0.57291666666666696</v>
      </c>
      <c r="BV60" s="211"/>
      <c r="BW60" s="21"/>
      <c r="BX60" s="110">
        <v>0.57291666666666696</v>
      </c>
      <c r="BY60" s="209"/>
      <c r="BZ60" s="110">
        <v>0.57291666666666696</v>
      </c>
      <c r="CA60" s="209"/>
      <c r="CB60" s="110">
        <v>0.57291666666666696</v>
      </c>
      <c r="CC60" s="211"/>
      <c r="CD60" s="21"/>
      <c r="CE60" s="110">
        <v>0.57291666666666696</v>
      </c>
      <c r="CF60" s="209"/>
      <c r="CG60" s="110">
        <v>0.57291666666666696</v>
      </c>
      <c r="CH60" s="209"/>
      <c r="CI60" s="110">
        <v>0.57291666666666696</v>
      </c>
      <c r="CJ60" s="211"/>
      <c r="CK60" s="21"/>
      <c r="CL60" s="110">
        <v>0.57291666666666696</v>
      </c>
      <c r="CM60" s="209"/>
      <c r="CN60" s="110">
        <v>0.57291666666666696</v>
      </c>
      <c r="CO60" s="209"/>
      <c r="CP60" s="110">
        <v>0.57291666666666696</v>
      </c>
      <c r="CQ60" s="211"/>
      <c r="CR60" s="21"/>
      <c r="CS60" s="110">
        <v>0.57291666666666696</v>
      </c>
      <c r="CT60" s="211"/>
      <c r="CU60" s="21"/>
      <c r="CV60" s="110">
        <v>0.57291666666666696</v>
      </c>
      <c r="CW60" s="264"/>
      <c r="CY60" s="260">
        <v>0.57291666666666696</v>
      </c>
      <c r="CZ60" s="178"/>
      <c r="DA60" s="110">
        <v>0.57291666666666696</v>
      </c>
      <c r="DB60" s="263"/>
      <c r="DC60" s="110">
        <v>0.57291666666666696</v>
      </c>
      <c r="DD60" s="211"/>
      <c r="DE60" s="21"/>
      <c r="DF60" s="110">
        <v>0.57291666666666696</v>
      </c>
      <c r="DG60" s="209"/>
      <c r="DH60" s="110">
        <v>0.57291666666666696</v>
      </c>
      <c r="DI60" s="209"/>
      <c r="DJ60" s="110">
        <v>0.57291666666666696</v>
      </c>
      <c r="DK60" s="211"/>
      <c r="DL60" s="21"/>
      <c r="DM60" s="110">
        <v>0.57291666666666696</v>
      </c>
      <c r="DN60" s="209"/>
      <c r="DO60" s="110">
        <v>0.57291666666666696</v>
      </c>
      <c r="DP60" s="209"/>
      <c r="DQ60" s="110">
        <v>0.57291666666666696</v>
      </c>
      <c r="DR60" s="211"/>
      <c r="DS60" s="21"/>
      <c r="DT60" s="110">
        <v>0.57291666666666696</v>
      </c>
      <c r="DU60" s="209"/>
      <c r="DV60" s="110">
        <v>0.57291666666666696</v>
      </c>
      <c r="DW60" s="209"/>
      <c r="DX60" s="110">
        <v>0.57291666666666696</v>
      </c>
      <c r="DY60" s="211"/>
      <c r="DZ60" s="21"/>
      <c r="EA60" s="110">
        <v>0.57291666666666696</v>
      </c>
      <c r="EB60" s="209">
        <f>IF('Temperature Profiles'!AA59&gt;18,(0.0018*('Temperature Profiles'!AA59^2)-(0.0475*'Temperature Profiles'!AA59)+0.3123)*1000,IF(AND('Temperature Profiles'!AA59&lt;17,'Temperature Profiles'!AA59&gt;-5.6),(0.0021*('Temperature Profiles'!AA59^2)-(0.0919*'Temperature Profiles'!AA59)+1.0491)*1000,IF(AND('Temperature Profiles'!AA59&lt;-5.6,'Temperature Profiles'!AA59&gt;-11.4),(((-0.2925*'Temperature Profiles'!AA59)-1.6914)*1000)+EB$208,IF('Temperature Profiles'!AA59&lt;-11.4,EB163,0))))</f>
        <v>1538.6039999999998</v>
      </c>
      <c r="EC60" s="110">
        <v>0.57291666666666696</v>
      </c>
      <c r="ED60" s="209">
        <f>IF('Temperature Profiles'!AA59&gt;18,(0.0034*('Temperature Profiles'!AA59^2)-(0.087*'Temperature Profiles'!AA59)+0.5117)*1000,IF(AND('Temperature Profiles'!AA59&lt;17,'Temperature Profiles'!AA59&gt;-4.4),(0.0027*('Temperature Profiles'!AA59^2)-(0.149*'Temperature Profiles'!AA59)+1.7779)*1000,IF(AND('Temperature Profiles'!AA59&lt;-4.4,'Temperature Profiles'!AA59&gt;-8.5),(((-0.5391*'Temperature Profiles'!AA59)-2.0906)*1000)+ED$208,IF('Temperature Profiles'!AA59&lt;-8.5,ED163,0))))</f>
        <v>2977.0800000000008</v>
      </c>
      <c r="EE60" s="110">
        <v>0.57291666666666696</v>
      </c>
      <c r="EF60" s="211">
        <f>IF('Temperature Profiles'!AA59&gt;18,(0.0048*('Temperature Profiles'!AA59^2)-(0.1352*'Temperature Profiles'!AA59)+0.9193)*1000,IF(AND('Temperature Profiles'!AA59&lt;17,'Temperature Profiles'!AA59&gt;-4.4),(0.0031*('Temperature Profiles'!AA59^2)-(0.2029*'Temperature Profiles'!AA59)+2.4264)*1000,IF(AND('Temperature Profiles'!AA59&lt;-4.4,'Temperature Profiles'!AA59&gt;-8.5),(((-0.7516*'Temperature Profiles'!AA59)-2.9985)*1000)+EF$208,IF('Temperature Profiles'!AA59&lt;-8.5,EF163,0))))</f>
        <v>3999.1800000000007</v>
      </c>
      <c r="EG60" s="21"/>
      <c r="EH60" s="110">
        <v>0.57291666666666696</v>
      </c>
      <c r="EI60" s="211"/>
      <c r="EJ60" s="110">
        <v>0.57291666666666696</v>
      </c>
      <c r="EK60" s="211"/>
      <c r="EL60" s="110">
        <v>0.57291666666666696</v>
      </c>
      <c r="EM60" s="211"/>
      <c r="EN60" s="21"/>
      <c r="EO60" s="110">
        <v>0.57291666666666696</v>
      </c>
      <c r="EP60" s="211"/>
      <c r="EQ60" s="21"/>
      <c r="ER60" s="110">
        <v>0.57291666666666696</v>
      </c>
      <c r="ES60" s="264"/>
      <c r="EU60" s="260">
        <v>0.57291666666666696</v>
      </c>
      <c r="EV60" s="209">
        <f>IF('Temperature Profiles'!AA59&gt;18,(0.0018*('Temperature Profiles'!AA59^2)-(0.0475*'Temperature Profiles'!AA59)+0.3123)*1000,IF(AND('Temperature Profiles'!AA59&lt;17,'Temperature Profiles'!AA59&gt;-5.6),(0.0021*('Temperature Profiles'!AA59^2)-(0.0919*'Temperature Profiles'!AA59)+1.0491)*1000,IF(AND('Temperature Profiles'!AA59&lt;-5.6,'Temperature Profiles'!AA59&gt;-11.4),EV$208,IF('Temperature Profiles'!AA59&lt;-11.4,EV163,0))))</f>
        <v>1538.6039999999998</v>
      </c>
      <c r="EW60" s="110">
        <v>0.57291666666666696</v>
      </c>
      <c r="EX60" s="209">
        <f>IF('Temperature Profiles'!AA59&gt;18,(0.0034*('Temperature Profiles'!AA59^2)-(0.087*'Temperature Profiles'!AA59)+0.5117)*1000,IF(AND('Temperature Profiles'!AA59&lt;17,'Temperature Profiles'!AA59&gt;-4.4),(0.0027*('Temperature Profiles'!AA59^2)-(0.149*'Temperature Profiles'!AA59)+1.7779)*1000,IF(AND('Temperature Profiles'!AA59&lt;-4.4,'Temperature Profiles'!AA59&gt;-8.5),EX$208,IF('Temperature Profiles'!AA59&lt;-8.5,EX163,0))))</f>
        <v>2480</v>
      </c>
      <c r="EY60" s="110">
        <v>0.57291666666666696</v>
      </c>
      <c r="EZ60" s="264">
        <f>IF('Temperature Profiles'!AA59&gt;18,(0.0048*('Temperature Profiles'!AA59^2)-(0.1352*'Temperature Profiles'!AA59)+0.9193)*1000,IF(AND('Temperature Profiles'!AA59&lt;17,'Temperature Profiles'!AA59&gt;-4.4),(0.0031*('Temperature Profiles'!AA59^2)-(0.2029*'Temperature Profiles'!AA59)+2.4264)*1000,IF(AND('Temperature Profiles'!AA59&lt;-4.4,'Temperature Profiles'!AA59&gt;-8.5),EZ$208,IF('Temperature Profiles'!AA59&lt;-8.5,EZ163,0))))</f>
        <v>3390</v>
      </c>
    </row>
    <row r="61" spans="1:156" x14ac:dyDescent="0.3">
      <c r="A61" s="108">
        <v>0.57291666666666696</v>
      </c>
      <c r="B61" s="226">
        <f t="shared" si="4"/>
        <v>0</v>
      </c>
      <c r="C61" s="21">
        <f t="shared" si="5"/>
        <v>0</v>
      </c>
      <c r="D61" s="21">
        <f t="shared" si="6"/>
        <v>3999.1800000000007</v>
      </c>
      <c r="E61" s="20">
        <f t="shared" si="3"/>
        <v>3390</v>
      </c>
      <c r="G61" s="260">
        <v>0.58333333333333304</v>
      </c>
      <c r="H61" s="211"/>
      <c r="I61" s="110">
        <v>0.58333333333333304</v>
      </c>
      <c r="J61" s="211"/>
      <c r="K61" s="110">
        <v>0.58333333333333304</v>
      </c>
      <c r="L61" s="211"/>
      <c r="M61" s="21"/>
      <c r="N61" s="110">
        <v>0.58333333333333304</v>
      </c>
      <c r="O61" s="209"/>
      <c r="P61" s="110">
        <v>0.58333333333333304</v>
      </c>
      <c r="Q61" s="209"/>
      <c r="R61" s="110">
        <v>0.58333333333333304</v>
      </c>
      <c r="S61" s="211"/>
      <c r="T61" s="21"/>
      <c r="U61" s="110">
        <v>0.58333333333333304</v>
      </c>
      <c r="V61" s="209"/>
      <c r="W61" s="110">
        <v>0.58333333333333304</v>
      </c>
      <c r="X61" s="209"/>
      <c r="Y61" s="110">
        <v>0.58333333333333304</v>
      </c>
      <c r="Z61" s="211"/>
      <c r="AA61" s="21"/>
      <c r="AB61" s="110">
        <v>0.58333333333333304</v>
      </c>
      <c r="AC61" s="209"/>
      <c r="AD61" s="110">
        <v>0.58333333333333304</v>
      </c>
      <c r="AE61" s="209"/>
      <c r="AF61" s="110">
        <v>0.58333333333333304</v>
      </c>
      <c r="AG61" s="211"/>
      <c r="AH61" s="21"/>
      <c r="AI61" s="110">
        <v>0.58333333333333304</v>
      </c>
      <c r="AJ61" s="209"/>
      <c r="AK61" s="110">
        <v>0.58333333333333304</v>
      </c>
      <c r="AL61" s="209"/>
      <c r="AM61" s="110">
        <v>0.58333333333333304</v>
      </c>
      <c r="AN61" s="211"/>
      <c r="AO61" s="21"/>
      <c r="AP61" s="110">
        <v>0.58333333333333304</v>
      </c>
      <c r="AQ61" s="209"/>
      <c r="AR61" s="110">
        <v>0.58333333333333304</v>
      </c>
      <c r="AS61" s="209"/>
      <c r="AT61" s="110">
        <v>0.58333333333333304</v>
      </c>
      <c r="AU61" s="211"/>
      <c r="AV61" s="21"/>
      <c r="AW61" s="110">
        <v>0.58333333333333304</v>
      </c>
      <c r="AX61" s="211"/>
      <c r="AY61" s="21"/>
      <c r="AZ61" s="110">
        <v>0.58333333333333304</v>
      </c>
      <c r="BA61" s="264"/>
      <c r="BC61" s="260">
        <v>0.58333333333333304</v>
      </c>
      <c r="BD61" s="211"/>
      <c r="BE61" s="110">
        <v>0.58333333333333304</v>
      </c>
      <c r="BF61" s="211"/>
      <c r="BG61" s="110">
        <v>0.58333333333333304</v>
      </c>
      <c r="BH61" s="211"/>
      <c r="BI61" s="21"/>
      <c r="BJ61" s="110">
        <v>0.58333333333333304</v>
      </c>
      <c r="BK61" s="209"/>
      <c r="BL61" s="110">
        <v>0.58333333333333304</v>
      </c>
      <c r="BM61" s="209"/>
      <c r="BN61" s="110">
        <v>0.58333333333333304</v>
      </c>
      <c r="BO61" s="211"/>
      <c r="BP61" s="21"/>
      <c r="BQ61" s="110">
        <v>0.58333333333333304</v>
      </c>
      <c r="BR61" s="209"/>
      <c r="BS61" s="110">
        <v>0.58333333333333304</v>
      </c>
      <c r="BT61" s="209"/>
      <c r="BU61" s="110">
        <v>0.58333333333333304</v>
      </c>
      <c r="BV61" s="211"/>
      <c r="BW61" s="21"/>
      <c r="BX61" s="110">
        <v>0.58333333333333304</v>
      </c>
      <c r="BY61" s="209"/>
      <c r="BZ61" s="110">
        <v>0.58333333333333304</v>
      </c>
      <c r="CA61" s="209"/>
      <c r="CB61" s="110">
        <v>0.58333333333333304</v>
      </c>
      <c r="CC61" s="211"/>
      <c r="CD61" s="21"/>
      <c r="CE61" s="110">
        <v>0.58333333333333304</v>
      </c>
      <c r="CF61" s="209"/>
      <c r="CG61" s="110">
        <v>0.58333333333333304</v>
      </c>
      <c r="CH61" s="209"/>
      <c r="CI61" s="110">
        <v>0.58333333333333304</v>
      </c>
      <c r="CJ61" s="211"/>
      <c r="CK61" s="21"/>
      <c r="CL61" s="110">
        <v>0.58333333333333304</v>
      </c>
      <c r="CM61" s="209"/>
      <c r="CN61" s="110">
        <v>0.58333333333333304</v>
      </c>
      <c r="CO61" s="209"/>
      <c r="CP61" s="110">
        <v>0.58333333333333304</v>
      </c>
      <c r="CQ61" s="211"/>
      <c r="CR61" s="21"/>
      <c r="CS61" s="110">
        <v>0.58333333333333304</v>
      </c>
      <c r="CT61" s="211"/>
      <c r="CU61" s="21"/>
      <c r="CV61" s="110">
        <v>0.58333333333333304</v>
      </c>
      <c r="CW61" s="264"/>
      <c r="CY61" s="260">
        <v>0.58333333333333304</v>
      </c>
      <c r="CZ61" s="178"/>
      <c r="DA61" s="110">
        <v>0.58333333333333304</v>
      </c>
      <c r="DB61" s="263"/>
      <c r="DC61" s="110">
        <v>0.58333333333333304</v>
      </c>
      <c r="DD61" s="211"/>
      <c r="DE61" s="21"/>
      <c r="DF61" s="110">
        <v>0.58333333333333304</v>
      </c>
      <c r="DG61" s="209"/>
      <c r="DH61" s="110">
        <v>0.58333333333333304</v>
      </c>
      <c r="DI61" s="209"/>
      <c r="DJ61" s="110">
        <v>0.58333333333333304</v>
      </c>
      <c r="DK61" s="211"/>
      <c r="DL61" s="21"/>
      <c r="DM61" s="110">
        <v>0.58333333333333304</v>
      </c>
      <c r="DN61" s="209"/>
      <c r="DO61" s="110">
        <v>0.58333333333333304</v>
      </c>
      <c r="DP61" s="209"/>
      <c r="DQ61" s="110">
        <v>0.58333333333333304</v>
      </c>
      <c r="DR61" s="211"/>
      <c r="DS61" s="21"/>
      <c r="DT61" s="110">
        <v>0.58333333333333304</v>
      </c>
      <c r="DU61" s="209"/>
      <c r="DV61" s="110">
        <v>0.58333333333333304</v>
      </c>
      <c r="DW61" s="209"/>
      <c r="DX61" s="110">
        <v>0.58333333333333304</v>
      </c>
      <c r="DY61" s="211"/>
      <c r="DZ61" s="21"/>
      <c r="EA61" s="110">
        <v>0.58333333333333304</v>
      </c>
      <c r="EB61" s="209">
        <f>IF('Temperature Profiles'!AA60&gt;18,(0.0018*('Temperature Profiles'!AA60^2)-(0.0475*'Temperature Profiles'!AA60)+0.3123)*1000,IF(AND('Temperature Profiles'!AA60&lt;17,'Temperature Profiles'!AA60&gt;-5.6),(0.0021*('Temperature Profiles'!AA60^2)-(0.0919*'Temperature Profiles'!AA60)+1.0491)*1000,IF(AND('Temperature Profiles'!AA60&lt;-5.6,'Temperature Profiles'!AA60&gt;-11.4),(((-0.2925*'Temperature Profiles'!AA60)-1.6914)*1000)+EB$208,IF('Temperature Profiles'!AA60&lt;-11.4,EB164,0))))</f>
        <v>1457.5559999999998</v>
      </c>
      <c r="EC61" s="110">
        <v>0.58333333333333304</v>
      </c>
      <c r="ED61" s="209">
        <f>IF('Temperature Profiles'!AA60&gt;18,(0.0034*('Temperature Profiles'!AA60^2)-(0.087*'Temperature Profiles'!AA60)+0.5117)*1000,IF(AND('Temperature Profiles'!AA60&lt;17,'Temperature Profiles'!AA60&gt;-4.4),(0.0027*('Temperature Profiles'!AA60^2)-(0.149*'Temperature Profiles'!AA60)+1.7779)*1000,IF(AND('Temperature Profiles'!AA60&lt;-4.4,'Temperature Profiles'!AA60&gt;-8.5),(((-0.5391*'Temperature Profiles'!AA60)-2.0906)*1000)+ED$208,IF('Temperature Profiles'!AA60&lt;-8.5,ED164,0))))</f>
        <v>2428.4853333333335</v>
      </c>
      <c r="EE61" s="110">
        <v>0.58333333333333304</v>
      </c>
      <c r="EF61" s="211">
        <f>IF('Temperature Profiles'!AA60&gt;18,(0.0048*('Temperature Profiles'!AA60^2)-(0.1352*'Temperature Profiles'!AA60)+0.9193)*1000,IF(AND('Temperature Profiles'!AA60&lt;17,'Temperature Profiles'!AA60&gt;-4.4),(0.0031*('Temperature Profiles'!AA60^2)-(0.2029*'Temperature Profiles'!AA60)+2.4264)*1000,IF(AND('Temperature Profiles'!AA60&lt;-4.4,'Temperature Profiles'!AA60&gt;-8.5),(((-0.7516*'Temperature Profiles'!AA60)-2.9985)*1000)+EF$208,IF('Temperature Profiles'!AA60&lt;-8.5,EF164,0))))</f>
        <v>3302.7937777777779</v>
      </c>
      <c r="EG61" s="21"/>
      <c r="EH61" s="110">
        <v>0.58333333333333304</v>
      </c>
      <c r="EI61" s="211"/>
      <c r="EJ61" s="110">
        <v>0.58333333333333304</v>
      </c>
      <c r="EK61" s="211"/>
      <c r="EL61" s="110">
        <v>0.58333333333333304</v>
      </c>
      <c r="EM61" s="211"/>
      <c r="EN61" s="21"/>
      <c r="EO61" s="110">
        <v>0.58333333333333304</v>
      </c>
      <c r="EP61" s="211"/>
      <c r="EQ61" s="21"/>
      <c r="ER61" s="110">
        <v>0.58333333333333304</v>
      </c>
      <c r="ES61" s="264"/>
      <c r="EU61" s="260">
        <v>0.58333333333333304</v>
      </c>
      <c r="EV61" s="209">
        <f>IF('Temperature Profiles'!AA60&gt;18,(0.0018*('Temperature Profiles'!AA60^2)-(0.0475*'Temperature Profiles'!AA60)+0.3123)*1000,IF(AND('Temperature Profiles'!AA60&lt;17,'Temperature Profiles'!AA60&gt;-5.6),(0.0021*('Temperature Profiles'!AA60^2)-(0.0919*'Temperature Profiles'!AA60)+1.0491)*1000,IF(AND('Temperature Profiles'!AA60&lt;-5.6,'Temperature Profiles'!AA60&gt;-11.4),EV$208,IF('Temperature Profiles'!AA60&lt;-11.4,EV164,0))))</f>
        <v>1457.5559999999998</v>
      </c>
      <c r="EW61" s="110">
        <v>0.58333333333333304</v>
      </c>
      <c r="EX61" s="209">
        <f>IF('Temperature Profiles'!AA60&gt;18,(0.0034*('Temperature Profiles'!AA60^2)-(0.087*'Temperature Profiles'!AA60)+0.5117)*1000,IF(AND('Temperature Profiles'!AA60&lt;17,'Temperature Profiles'!AA60&gt;-4.4),(0.0027*('Temperature Profiles'!AA60^2)-(0.149*'Temperature Profiles'!AA60)+1.7779)*1000,IF(AND('Temperature Profiles'!AA60&lt;-4.4,'Temperature Profiles'!AA60&gt;-8.5),EX$208,IF('Temperature Profiles'!AA60&lt;-8.5,EX164,0))))</f>
        <v>2428.4853333333335</v>
      </c>
      <c r="EY61" s="110">
        <v>0.58333333333333304</v>
      </c>
      <c r="EZ61" s="264">
        <f>IF('Temperature Profiles'!AA60&gt;18,(0.0048*('Temperature Profiles'!AA60^2)-(0.1352*'Temperature Profiles'!AA60)+0.9193)*1000,IF(AND('Temperature Profiles'!AA60&lt;17,'Temperature Profiles'!AA60&gt;-4.4),(0.0031*('Temperature Profiles'!AA60^2)-(0.2029*'Temperature Profiles'!AA60)+2.4264)*1000,IF(AND('Temperature Profiles'!AA60&lt;-4.4,'Temperature Profiles'!AA60&gt;-8.5),EZ$208,IF('Temperature Profiles'!AA60&lt;-8.5,EZ164,0))))</f>
        <v>3302.7937777777779</v>
      </c>
    </row>
    <row r="62" spans="1:156" x14ac:dyDescent="0.3">
      <c r="A62" s="108">
        <v>0.58333333333333304</v>
      </c>
      <c r="B62" s="226">
        <f t="shared" si="4"/>
        <v>0</v>
      </c>
      <c r="C62" s="21">
        <f t="shared" si="5"/>
        <v>0</v>
      </c>
      <c r="D62" s="21">
        <f t="shared" si="6"/>
        <v>3302.7937777777779</v>
      </c>
      <c r="E62" s="20">
        <f t="shared" si="3"/>
        <v>3302.7937777777779</v>
      </c>
      <c r="G62" s="260">
        <v>0.59375</v>
      </c>
      <c r="H62" s="211"/>
      <c r="I62" s="110">
        <v>0.59375</v>
      </c>
      <c r="J62" s="211"/>
      <c r="K62" s="110">
        <v>0.59375</v>
      </c>
      <c r="L62" s="211"/>
      <c r="M62" s="21"/>
      <c r="N62" s="110">
        <v>0.59375</v>
      </c>
      <c r="O62" s="209"/>
      <c r="P62" s="110">
        <v>0.59375</v>
      </c>
      <c r="Q62" s="209"/>
      <c r="R62" s="110">
        <v>0.59375</v>
      </c>
      <c r="S62" s="211"/>
      <c r="T62" s="21"/>
      <c r="U62" s="110">
        <v>0.59375</v>
      </c>
      <c r="V62" s="209"/>
      <c r="W62" s="110">
        <v>0.59375</v>
      </c>
      <c r="X62" s="209"/>
      <c r="Y62" s="110">
        <v>0.59375</v>
      </c>
      <c r="Z62" s="211"/>
      <c r="AA62" s="21"/>
      <c r="AB62" s="110">
        <v>0.59375</v>
      </c>
      <c r="AC62" s="209"/>
      <c r="AD62" s="110">
        <v>0.59375</v>
      </c>
      <c r="AE62" s="209"/>
      <c r="AF62" s="110">
        <v>0.59375</v>
      </c>
      <c r="AG62" s="211"/>
      <c r="AH62" s="21"/>
      <c r="AI62" s="110">
        <v>0.59375</v>
      </c>
      <c r="AJ62" s="209"/>
      <c r="AK62" s="110">
        <v>0.59375</v>
      </c>
      <c r="AL62" s="209"/>
      <c r="AM62" s="110">
        <v>0.59375</v>
      </c>
      <c r="AN62" s="211"/>
      <c r="AO62" s="21"/>
      <c r="AP62" s="110">
        <v>0.59375</v>
      </c>
      <c r="AQ62" s="209"/>
      <c r="AR62" s="110">
        <v>0.59375</v>
      </c>
      <c r="AS62" s="209"/>
      <c r="AT62" s="110">
        <v>0.59375</v>
      </c>
      <c r="AU62" s="211"/>
      <c r="AV62" s="21"/>
      <c r="AW62" s="110">
        <v>0.59375</v>
      </c>
      <c r="AX62" s="211"/>
      <c r="AY62" s="21"/>
      <c r="AZ62" s="110">
        <v>0.59375</v>
      </c>
      <c r="BA62" s="264"/>
      <c r="BC62" s="260">
        <v>0.59375</v>
      </c>
      <c r="BD62" s="211"/>
      <c r="BE62" s="110">
        <v>0.59375</v>
      </c>
      <c r="BF62" s="211"/>
      <c r="BG62" s="110">
        <v>0.59375</v>
      </c>
      <c r="BH62" s="211"/>
      <c r="BI62" s="21"/>
      <c r="BJ62" s="110">
        <v>0.59375</v>
      </c>
      <c r="BK62" s="209"/>
      <c r="BL62" s="110">
        <v>0.59375</v>
      </c>
      <c r="BM62" s="209"/>
      <c r="BN62" s="110">
        <v>0.59375</v>
      </c>
      <c r="BO62" s="211"/>
      <c r="BP62" s="21"/>
      <c r="BQ62" s="110">
        <v>0.59375</v>
      </c>
      <c r="BR62" s="209"/>
      <c r="BS62" s="110">
        <v>0.59375</v>
      </c>
      <c r="BT62" s="209"/>
      <c r="BU62" s="110">
        <v>0.59375</v>
      </c>
      <c r="BV62" s="211"/>
      <c r="BW62" s="21"/>
      <c r="BX62" s="110">
        <v>0.59375</v>
      </c>
      <c r="BY62" s="209"/>
      <c r="BZ62" s="110">
        <v>0.59375</v>
      </c>
      <c r="CA62" s="209"/>
      <c r="CB62" s="110">
        <v>0.59375</v>
      </c>
      <c r="CC62" s="211"/>
      <c r="CD62" s="21"/>
      <c r="CE62" s="110">
        <v>0.59375</v>
      </c>
      <c r="CF62" s="209"/>
      <c r="CG62" s="110">
        <v>0.59375</v>
      </c>
      <c r="CH62" s="209"/>
      <c r="CI62" s="110">
        <v>0.59375</v>
      </c>
      <c r="CJ62" s="211"/>
      <c r="CK62" s="21"/>
      <c r="CL62" s="110">
        <v>0.59375</v>
      </c>
      <c r="CM62" s="209"/>
      <c r="CN62" s="110">
        <v>0.59375</v>
      </c>
      <c r="CO62" s="209"/>
      <c r="CP62" s="110">
        <v>0.59375</v>
      </c>
      <c r="CQ62" s="211"/>
      <c r="CR62" s="21"/>
      <c r="CS62" s="110">
        <v>0.59375</v>
      </c>
      <c r="CT62" s="211"/>
      <c r="CU62" s="21"/>
      <c r="CV62" s="110">
        <v>0.59375</v>
      </c>
      <c r="CW62" s="264"/>
      <c r="CY62" s="260">
        <v>0.59375</v>
      </c>
      <c r="CZ62" s="178"/>
      <c r="DA62" s="110">
        <v>0.59375</v>
      </c>
      <c r="DB62" s="263"/>
      <c r="DC62" s="110">
        <v>0.59375</v>
      </c>
      <c r="DD62" s="211"/>
      <c r="DE62" s="21"/>
      <c r="DF62" s="110">
        <v>0.59375</v>
      </c>
      <c r="DG62" s="209"/>
      <c r="DH62" s="110">
        <v>0.59375</v>
      </c>
      <c r="DI62" s="209"/>
      <c r="DJ62" s="110">
        <v>0.59375</v>
      </c>
      <c r="DK62" s="211"/>
      <c r="DL62" s="21"/>
      <c r="DM62" s="110">
        <v>0.59375</v>
      </c>
      <c r="DN62" s="209"/>
      <c r="DO62" s="110">
        <v>0.59375</v>
      </c>
      <c r="DP62" s="209"/>
      <c r="DQ62" s="110">
        <v>0.59375</v>
      </c>
      <c r="DR62" s="211"/>
      <c r="DS62" s="21"/>
      <c r="DT62" s="110">
        <v>0.59375</v>
      </c>
      <c r="DU62" s="209"/>
      <c r="DV62" s="110">
        <v>0.59375</v>
      </c>
      <c r="DW62" s="209"/>
      <c r="DX62" s="110">
        <v>0.59375</v>
      </c>
      <c r="DY62" s="211"/>
      <c r="DZ62" s="21"/>
      <c r="EA62" s="110">
        <v>0.59375</v>
      </c>
      <c r="EB62" s="209">
        <f>IF('Temperature Profiles'!AA61&gt;18,(0.0018*('Temperature Profiles'!AA61^2)-(0.0475*'Temperature Profiles'!AA61)+0.3123)*1000,IF(AND('Temperature Profiles'!AA61&lt;17,'Temperature Profiles'!AA61&gt;-5.6),(0.0021*('Temperature Profiles'!AA61^2)-(0.0919*'Temperature Profiles'!AA61)+1.0491)*1000,IF(AND('Temperature Profiles'!AA61&lt;-5.6,'Temperature Profiles'!AA61&gt;-11.4),(((-0.2925*'Temperature Profiles'!AA61)-1.6914)*1000)+EB$208,IF('Temperature Profiles'!AA61&lt;-11.4,EB165,0))))</f>
        <v>1457.5559999999998</v>
      </c>
      <c r="EC62" s="110">
        <v>0.59375</v>
      </c>
      <c r="ED62" s="209">
        <f>IF('Temperature Profiles'!AA61&gt;18,(0.0034*('Temperature Profiles'!AA61^2)-(0.087*'Temperature Profiles'!AA61)+0.5117)*1000,IF(AND('Temperature Profiles'!AA61&lt;17,'Temperature Profiles'!AA61&gt;-4.4),(0.0027*('Temperature Profiles'!AA61^2)-(0.149*'Temperature Profiles'!AA61)+1.7779)*1000,IF(AND('Temperature Profiles'!AA61&lt;-4.4,'Temperature Profiles'!AA61&gt;-8.5),(((-0.5391*'Temperature Profiles'!AA61)-2.0906)*1000)+ED$208,IF('Temperature Profiles'!AA61&lt;-8.5,ED165,0))))</f>
        <v>2428.4853333333335</v>
      </c>
      <c r="EE62" s="110">
        <v>0.59375</v>
      </c>
      <c r="EF62" s="211">
        <f>IF('Temperature Profiles'!AA61&gt;18,(0.0048*('Temperature Profiles'!AA61^2)-(0.1352*'Temperature Profiles'!AA61)+0.9193)*1000,IF(AND('Temperature Profiles'!AA61&lt;17,'Temperature Profiles'!AA61&gt;-4.4),(0.0031*('Temperature Profiles'!AA61^2)-(0.2029*'Temperature Profiles'!AA61)+2.4264)*1000,IF(AND('Temperature Profiles'!AA61&lt;-4.4,'Temperature Profiles'!AA61&gt;-8.5),(((-0.7516*'Temperature Profiles'!AA61)-2.9985)*1000)+EF$208,IF('Temperature Profiles'!AA61&lt;-8.5,EF165,0))))</f>
        <v>3302.7937777777779</v>
      </c>
      <c r="EG62" s="21"/>
      <c r="EH62" s="110">
        <v>0.59375</v>
      </c>
      <c r="EI62" s="211"/>
      <c r="EJ62" s="110">
        <v>0.59375</v>
      </c>
      <c r="EK62" s="211"/>
      <c r="EL62" s="110">
        <v>0.59375</v>
      </c>
      <c r="EM62" s="211"/>
      <c r="EN62" s="21"/>
      <c r="EO62" s="110">
        <v>0.59375</v>
      </c>
      <c r="EP62" s="211"/>
      <c r="EQ62" s="21"/>
      <c r="ER62" s="110">
        <v>0.59375</v>
      </c>
      <c r="ES62" s="264"/>
      <c r="EU62" s="260">
        <v>0.59375</v>
      </c>
      <c r="EV62" s="209">
        <f>IF('Temperature Profiles'!AA61&gt;18,(0.0018*('Temperature Profiles'!AA61^2)-(0.0475*'Temperature Profiles'!AA61)+0.3123)*1000,IF(AND('Temperature Profiles'!AA61&lt;17,'Temperature Profiles'!AA61&gt;-5.6),(0.0021*('Temperature Profiles'!AA61^2)-(0.0919*'Temperature Profiles'!AA61)+1.0491)*1000,IF(AND('Temperature Profiles'!AA61&lt;-5.6,'Temperature Profiles'!AA61&gt;-11.4),EV$208,IF('Temperature Profiles'!AA61&lt;-11.4,EV165,0))))</f>
        <v>1457.5559999999998</v>
      </c>
      <c r="EW62" s="110">
        <v>0.59375</v>
      </c>
      <c r="EX62" s="209">
        <f>IF('Temperature Profiles'!AA61&gt;18,(0.0034*('Temperature Profiles'!AA61^2)-(0.087*'Temperature Profiles'!AA61)+0.5117)*1000,IF(AND('Temperature Profiles'!AA61&lt;17,'Temperature Profiles'!AA61&gt;-4.4),(0.0027*('Temperature Profiles'!AA61^2)-(0.149*'Temperature Profiles'!AA61)+1.7779)*1000,IF(AND('Temperature Profiles'!AA61&lt;-4.4,'Temperature Profiles'!AA61&gt;-8.5),EX$208,IF('Temperature Profiles'!AA61&lt;-8.5,EX165,0))))</f>
        <v>2428.4853333333335</v>
      </c>
      <c r="EY62" s="110">
        <v>0.59375</v>
      </c>
      <c r="EZ62" s="264">
        <f>IF('Temperature Profiles'!AA61&gt;18,(0.0048*('Temperature Profiles'!AA61^2)-(0.1352*'Temperature Profiles'!AA61)+0.9193)*1000,IF(AND('Temperature Profiles'!AA61&lt;17,'Temperature Profiles'!AA61&gt;-4.4),(0.0031*('Temperature Profiles'!AA61^2)-(0.2029*'Temperature Profiles'!AA61)+2.4264)*1000,IF(AND('Temperature Profiles'!AA61&lt;-4.4,'Temperature Profiles'!AA61&gt;-8.5),EZ$208,IF('Temperature Profiles'!AA61&lt;-8.5,EZ165,0))))</f>
        <v>3302.7937777777779</v>
      </c>
    </row>
    <row r="63" spans="1:156" x14ac:dyDescent="0.3">
      <c r="A63" s="108">
        <v>0.59375</v>
      </c>
      <c r="B63" s="226">
        <f t="shared" si="4"/>
        <v>0</v>
      </c>
      <c r="C63" s="21">
        <f t="shared" si="5"/>
        <v>0</v>
      </c>
      <c r="D63" s="21">
        <f t="shared" si="6"/>
        <v>3302.7937777777779</v>
      </c>
      <c r="E63" s="20">
        <f t="shared" si="3"/>
        <v>3302.7937777777779</v>
      </c>
      <c r="G63" s="260">
        <v>0.60416666666666696</v>
      </c>
      <c r="H63" s="211"/>
      <c r="I63" s="110">
        <v>0.60416666666666696</v>
      </c>
      <c r="J63" s="211"/>
      <c r="K63" s="110">
        <v>0.60416666666666696</v>
      </c>
      <c r="L63" s="211"/>
      <c r="M63" s="21"/>
      <c r="N63" s="110">
        <v>0.60416666666666696</v>
      </c>
      <c r="O63" s="209"/>
      <c r="P63" s="110">
        <v>0.60416666666666696</v>
      </c>
      <c r="Q63" s="209"/>
      <c r="R63" s="110">
        <v>0.60416666666666696</v>
      </c>
      <c r="S63" s="211"/>
      <c r="T63" s="21"/>
      <c r="U63" s="110">
        <v>0.60416666666666696</v>
      </c>
      <c r="V63" s="209"/>
      <c r="W63" s="110">
        <v>0.60416666666666696</v>
      </c>
      <c r="X63" s="209"/>
      <c r="Y63" s="110">
        <v>0.60416666666666696</v>
      </c>
      <c r="Z63" s="211"/>
      <c r="AA63" s="21"/>
      <c r="AB63" s="110">
        <v>0.60416666666666696</v>
      </c>
      <c r="AC63" s="209"/>
      <c r="AD63" s="110">
        <v>0.60416666666666696</v>
      </c>
      <c r="AE63" s="209"/>
      <c r="AF63" s="110">
        <v>0.60416666666666696</v>
      </c>
      <c r="AG63" s="211"/>
      <c r="AH63" s="21"/>
      <c r="AI63" s="110">
        <v>0.60416666666666696</v>
      </c>
      <c r="AJ63" s="209"/>
      <c r="AK63" s="110">
        <v>0.60416666666666696</v>
      </c>
      <c r="AL63" s="209"/>
      <c r="AM63" s="110">
        <v>0.60416666666666696</v>
      </c>
      <c r="AN63" s="211"/>
      <c r="AO63" s="21"/>
      <c r="AP63" s="110">
        <v>0.60416666666666696</v>
      </c>
      <c r="AQ63" s="209"/>
      <c r="AR63" s="110">
        <v>0.60416666666666696</v>
      </c>
      <c r="AS63" s="209"/>
      <c r="AT63" s="110">
        <v>0.60416666666666696</v>
      </c>
      <c r="AU63" s="211"/>
      <c r="AV63" s="21"/>
      <c r="AW63" s="110">
        <v>0.60416666666666696</v>
      </c>
      <c r="AX63" s="211"/>
      <c r="AY63" s="21"/>
      <c r="AZ63" s="110">
        <v>0.60416666666666696</v>
      </c>
      <c r="BA63" s="264"/>
      <c r="BC63" s="260">
        <v>0.60416666666666696</v>
      </c>
      <c r="BD63" s="211"/>
      <c r="BE63" s="110">
        <v>0.60416666666666696</v>
      </c>
      <c r="BF63" s="211"/>
      <c r="BG63" s="110">
        <v>0.60416666666666696</v>
      </c>
      <c r="BH63" s="211"/>
      <c r="BI63" s="21"/>
      <c r="BJ63" s="110">
        <v>0.60416666666666696</v>
      </c>
      <c r="BK63" s="209"/>
      <c r="BL63" s="110">
        <v>0.60416666666666696</v>
      </c>
      <c r="BM63" s="209"/>
      <c r="BN63" s="110">
        <v>0.60416666666666696</v>
      </c>
      <c r="BO63" s="211"/>
      <c r="BP63" s="21"/>
      <c r="BQ63" s="110">
        <v>0.60416666666666696</v>
      </c>
      <c r="BR63" s="209"/>
      <c r="BS63" s="110">
        <v>0.60416666666666696</v>
      </c>
      <c r="BT63" s="209"/>
      <c r="BU63" s="110">
        <v>0.60416666666666696</v>
      </c>
      <c r="BV63" s="211"/>
      <c r="BW63" s="21"/>
      <c r="BX63" s="110">
        <v>0.60416666666666696</v>
      </c>
      <c r="BY63" s="209"/>
      <c r="BZ63" s="110">
        <v>0.60416666666666696</v>
      </c>
      <c r="CA63" s="209"/>
      <c r="CB63" s="110">
        <v>0.60416666666666696</v>
      </c>
      <c r="CC63" s="211"/>
      <c r="CD63" s="21"/>
      <c r="CE63" s="110">
        <v>0.60416666666666696</v>
      </c>
      <c r="CF63" s="209"/>
      <c r="CG63" s="110">
        <v>0.60416666666666696</v>
      </c>
      <c r="CH63" s="209"/>
      <c r="CI63" s="110">
        <v>0.60416666666666696</v>
      </c>
      <c r="CJ63" s="211"/>
      <c r="CK63" s="21"/>
      <c r="CL63" s="110">
        <v>0.60416666666666696</v>
      </c>
      <c r="CM63" s="209"/>
      <c r="CN63" s="110">
        <v>0.60416666666666696</v>
      </c>
      <c r="CO63" s="209"/>
      <c r="CP63" s="110">
        <v>0.60416666666666696</v>
      </c>
      <c r="CQ63" s="211"/>
      <c r="CR63" s="21"/>
      <c r="CS63" s="110">
        <v>0.60416666666666696</v>
      </c>
      <c r="CT63" s="211"/>
      <c r="CU63" s="21"/>
      <c r="CV63" s="110">
        <v>0.60416666666666696</v>
      </c>
      <c r="CW63" s="264"/>
      <c r="CY63" s="260">
        <v>0.60416666666666696</v>
      </c>
      <c r="CZ63" s="178"/>
      <c r="DA63" s="110">
        <v>0.60416666666666696</v>
      </c>
      <c r="DB63" s="263"/>
      <c r="DC63" s="110">
        <v>0.60416666666666696</v>
      </c>
      <c r="DD63" s="211"/>
      <c r="DE63" s="21"/>
      <c r="DF63" s="110">
        <v>0.60416666666666696</v>
      </c>
      <c r="DG63" s="209"/>
      <c r="DH63" s="110">
        <v>0.60416666666666696</v>
      </c>
      <c r="DI63" s="209"/>
      <c r="DJ63" s="110">
        <v>0.60416666666666696</v>
      </c>
      <c r="DK63" s="211"/>
      <c r="DL63" s="21"/>
      <c r="DM63" s="110">
        <v>0.60416666666666696</v>
      </c>
      <c r="DN63" s="209"/>
      <c r="DO63" s="110">
        <v>0.60416666666666696</v>
      </c>
      <c r="DP63" s="209"/>
      <c r="DQ63" s="110">
        <v>0.60416666666666696</v>
      </c>
      <c r="DR63" s="211"/>
      <c r="DS63" s="21"/>
      <c r="DT63" s="110">
        <v>0.60416666666666696</v>
      </c>
      <c r="DU63" s="209"/>
      <c r="DV63" s="110">
        <v>0.60416666666666696</v>
      </c>
      <c r="DW63" s="209"/>
      <c r="DX63" s="110">
        <v>0.60416666666666696</v>
      </c>
      <c r="DY63" s="211"/>
      <c r="DZ63" s="21"/>
      <c r="EA63" s="110">
        <v>0.60416666666666696</v>
      </c>
      <c r="EB63" s="209">
        <f>IF('Temperature Profiles'!AA62&gt;18,(0.0018*('Temperature Profiles'!AA62^2)-(0.0475*'Temperature Profiles'!AA62)+0.3123)*1000,IF(AND('Temperature Profiles'!AA62&lt;17,'Temperature Profiles'!AA62&gt;-5.6),(0.0021*('Temperature Profiles'!AA62^2)-(0.0919*'Temperature Profiles'!AA62)+1.0491)*1000,IF(AND('Temperature Profiles'!AA62&lt;-5.6,'Temperature Profiles'!AA62&gt;-11.4),(((-0.2925*'Temperature Profiles'!AA62)-1.6914)*1000)+EB$208,IF('Temperature Profiles'!AA62&lt;-11.4,EB166,0))))</f>
        <v>1457.5559999999998</v>
      </c>
      <c r="EC63" s="110">
        <v>0.60416666666666696</v>
      </c>
      <c r="ED63" s="209">
        <f>IF('Temperature Profiles'!AA62&gt;18,(0.0034*('Temperature Profiles'!AA62^2)-(0.087*'Temperature Profiles'!AA62)+0.5117)*1000,IF(AND('Temperature Profiles'!AA62&lt;17,'Temperature Profiles'!AA62&gt;-4.4),(0.0027*('Temperature Profiles'!AA62^2)-(0.149*'Temperature Profiles'!AA62)+1.7779)*1000,IF(AND('Temperature Profiles'!AA62&lt;-4.4,'Temperature Profiles'!AA62&gt;-8.5),(((-0.5391*'Temperature Profiles'!AA62)-2.0906)*1000)+ED$208,IF('Temperature Profiles'!AA62&lt;-8.5,ED166,0))))</f>
        <v>2428.4853333333335</v>
      </c>
      <c r="EE63" s="110">
        <v>0.60416666666666696</v>
      </c>
      <c r="EF63" s="211">
        <f>IF('Temperature Profiles'!AA62&gt;18,(0.0048*('Temperature Profiles'!AA62^2)-(0.1352*'Temperature Profiles'!AA62)+0.9193)*1000,IF(AND('Temperature Profiles'!AA62&lt;17,'Temperature Profiles'!AA62&gt;-4.4),(0.0031*('Temperature Profiles'!AA62^2)-(0.2029*'Temperature Profiles'!AA62)+2.4264)*1000,IF(AND('Temperature Profiles'!AA62&lt;-4.4,'Temperature Profiles'!AA62&gt;-8.5),(((-0.7516*'Temperature Profiles'!AA62)-2.9985)*1000)+EF$208,IF('Temperature Profiles'!AA62&lt;-8.5,EF166,0))))</f>
        <v>3302.7937777777779</v>
      </c>
      <c r="EG63" s="21"/>
      <c r="EH63" s="110">
        <v>0.60416666666666696</v>
      </c>
      <c r="EI63" s="211"/>
      <c r="EJ63" s="110">
        <v>0.60416666666666696</v>
      </c>
      <c r="EK63" s="211"/>
      <c r="EL63" s="110">
        <v>0.60416666666666696</v>
      </c>
      <c r="EM63" s="211"/>
      <c r="EN63" s="21"/>
      <c r="EO63" s="110">
        <v>0.60416666666666696</v>
      </c>
      <c r="EP63" s="211"/>
      <c r="EQ63" s="21"/>
      <c r="ER63" s="110">
        <v>0.60416666666666696</v>
      </c>
      <c r="ES63" s="264"/>
      <c r="EU63" s="260">
        <v>0.60416666666666696</v>
      </c>
      <c r="EV63" s="209">
        <f>IF('Temperature Profiles'!AA62&gt;18,(0.0018*('Temperature Profiles'!AA62^2)-(0.0475*'Temperature Profiles'!AA62)+0.3123)*1000,IF(AND('Temperature Profiles'!AA62&lt;17,'Temperature Profiles'!AA62&gt;-5.6),(0.0021*('Temperature Profiles'!AA62^2)-(0.0919*'Temperature Profiles'!AA62)+1.0491)*1000,IF(AND('Temperature Profiles'!AA62&lt;-5.6,'Temperature Profiles'!AA62&gt;-11.4),EV$208,IF('Temperature Profiles'!AA62&lt;-11.4,EV166,0))))</f>
        <v>1457.5559999999998</v>
      </c>
      <c r="EW63" s="110">
        <v>0.60416666666666696</v>
      </c>
      <c r="EX63" s="209">
        <f>IF('Temperature Profiles'!AA62&gt;18,(0.0034*('Temperature Profiles'!AA62^2)-(0.087*'Temperature Profiles'!AA62)+0.5117)*1000,IF(AND('Temperature Profiles'!AA62&lt;17,'Temperature Profiles'!AA62&gt;-4.4),(0.0027*('Temperature Profiles'!AA62^2)-(0.149*'Temperature Profiles'!AA62)+1.7779)*1000,IF(AND('Temperature Profiles'!AA62&lt;-4.4,'Temperature Profiles'!AA62&gt;-8.5),EX$208,IF('Temperature Profiles'!AA62&lt;-8.5,EX166,0))))</f>
        <v>2428.4853333333335</v>
      </c>
      <c r="EY63" s="110">
        <v>0.60416666666666696</v>
      </c>
      <c r="EZ63" s="264">
        <f>IF('Temperature Profiles'!AA62&gt;18,(0.0048*('Temperature Profiles'!AA62^2)-(0.1352*'Temperature Profiles'!AA62)+0.9193)*1000,IF(AND('Temperature Profiles'!AA62&lt;17,'Temperature Profiles'!AA62&gt;-4.4),(0.0031*('Temperature Profiles'!AA62^2)-(0.2029*'Temperature Profiles'!AA62)+2.4264)*1000,IF(AND('Temperature Profiles'!AA62&lt;-4.4,'Temperature Profiles'!AA62&gt;-8.5),EZ$208,IF('Temperature Profiles'!AA62&lt;-8.5,EZ166,0))))</f>
        <v>3302.7937777777779</v>
      </c>
    </row>
    <row r="64" spans="1:156" x14ac:dyDescent="0.3">
      <c r="A64" s="108">
        <v>0.60416666666666696</v>
      </c>
      <c r="B64" s="226">
        <f t="shared" si="4"/>
        <v>0</v>
      </c>
      <c r="C64" s="21">
        <f t="shared" si="5"/>
        <v>0</v>
      </c>
      <c r="D64" s="21">
        <f t="shared" si="6"/>
        <v>3302.7937777777779</v>
      </c>
      <c r="E64" s="20">
        <f t="shared" si="3"/>
        <v>3302.7937777777779</v>
      </c>
      <c r="G64" s="260">
        <v>0.61458333333333304</v>
      </c>
      <c r="H64" s="211"/>
      <c r="I64" s="110">
        <v>0.61458333333333304</v>
      </c>
      <c r="J64" s="211"/>
      <c r="K64" s="110">
        <v>0.61458333333333304</v>
      </c>
      <c r="L64" s="211"/>
      <c r="M64" s="21"/>
      <c r="N64" s="110">
        <v>0.61458333333333304</v>
      </c>
      <c r="O64" s="209"/>
      <c r="P64" s="110">
        <v>0.61458333333333304</v>
      </c>
      <c r="Q64" s="209"/>
      <c r="R64" s="110">
        <v>0.61458333333333304</v>
      </c>
      <c r="S64" s="211"/>
      <c r="T64" s="21"/>
      <c r="U64" s="110">
        <v>0.61458333333333304</v>
      </c>
      <c r="V64" s="209"/>
      <c r="W64" s="110">
        <v>0.61458333333333304</v>
      </c>
      <c r="X64" s="209"/>
      <c r="Y64" s="110">
        <v>0.61458333333333304</v>
      </c>
      <c r="Z64" s="211"/>
      <c r="AA64" s="21"/>
      <c r="AB64" s="110">
        <v>0.61458333333333304</v>
      </c>
      <c r="AC64" s="209"/>
      <c r="AD64" s="110">
        <v>0.61458333333333304</v>
      </c>
      <c r="AE64" s="209"/>
      <c r="AF64" s="110">
        <v>0.61458333333333304</v>
      </c>
      <c r="AG64" s="211"/>
      <c r="AH64" s="21"/>
      <c r="AI64" s="110">
        <v>0.61458333333333304</v>
      </c>
      <c r="AJ64" s="209"/>
      <c r="AK64" s="110">
        <v>0.61458333333333304</v>
      </c>
      <c r="AL64" s="209"/>
      <c r="AM64" s="110">
        <v>0.61458333333333304</v>
      </c>
      <c r="AN64" s="211"/>
      <c r="AO64" s="21"/>
      <c r="AP64" s="110">
        <v>0.61458333333333304</v>
      </c>
      <c r="AQ64" s="209"/>
      <c r="AR64" s="110">
        <v>0.61458333333333304</v>
      </c>
      <c r="AS64" s="209"/>
      <c r="AT64" s="110">
        <v>0.61458333333333304</v>
      </c>
      <c r="AU64" s="211"/>
      <c r="AV64" s="21"/>
      <c r="AW64" s="110">
        <v>0.61458333333333304</v>
      </c>
      <c r="AX64" s="211"/>
      <c r="AY64" s="21"/>
      <c r="AZ64" s="110">
        <v>0.61458333333333304</v>
      </c>
      <c r="BA64" s="264"/>
      <c r="BC64" s="260">
        <v>0.61458333333333304</v>
      </c>
      <c r="BD64" s="211"/>
      <c r="BE64" s="110">
        <v>0.61458333333333304</v>
      </c>
      <c r="BF64" s="211"/>
      <c r="BG64" s="110">
        <v>0.61458333333333304</v>
      </c>
      <c r="BH64" s="211"/>
      <c r="BI64" s="21"/>
      <c r="BJ64" s="110">
        <v>0.61458333333333304</v>
      </c>
      <c r="BK64" s="209"/>
      <c r="BL64" s="110">
        <v>0.61458333333333304</v>
      </c>
      <c r="BM64" s="209"/>
      <c r="BN64" s="110">
        <v>0.61458333333333304</v>
      </c>
      <c r="BO64" s="211"/>
      <c r="BP64" s="21"/>
      <c r="BQ64" s="110">
        <v>0.61458333333333304</v>
      </c>
      <c r="BR64" s="209"/>
      <c r="BS64" s="110">
        <v>0.61458333333333304</v>
      </c>
      <c r="BT64" s="209"/>
      <c r="BU64" s="110">
        <v>0.61458333333333304</v>
      </c>
      <c r="BV64" s="211"/>
      <c r="BW64" s="21"/>
      <c r="BX64" s="110">
        <v>0.61458333333333304</v>
      </c>
      <c r="BY64" s="209"/>
      <c r="BZ64" s="110">
        <v>0.61458333333333304</v>
      </c>
      <c r="CA64" s="209"/>
      <c r="CB64" s="110">
        <v>0.61458333333333304</v>
      </c>
      <c r="CC64" s="211"/>
      <c r="CD64" s="21"/>
      <c r="CE64" s="110">
        <v>0.61458333333333304</v>
      </c>
      <c r="CF64" s="209"/>
      <c r="CG64" s="110">
        <v>0.61458333333333304</v>
      </c>
      <c r="CH64" s="209"/>
      <c r="CI64" s="110">
        <v>0.61458333333333304</v>
      </c>
      <c r="CJ64" s="211"/>
      <c r="CK64" s="21"/>
      <c r="CL64" s="110">
        <v>0.61458333333333304</v>
      </c>
      <c r="CM64" s="209"/>
      <c r="CN64" s="110">
        <v>0.61458333333333304</v>
      </c>
      <c r="CO64" s="209"/>
      <c r="CP64" s="110">
        <v>0.61458333333333304</v>
      </c>
      <c r="CQ64" s="211"/>
      <c r="CR64" s="21"/>
      <c r="CS64" s="110">
        <v>0.61458333333333304</v>
      </c>
      <c r="CT64" s="211"/>
      <c r="CU64" s="21"/>
      <c r="CV64" s="110">
        <v>0.61458333333333304</v>
      </c>
      <c r="CW64" s="264"/>
      <c r="CY64" s="260">
        <v>0.61458333333333304</v>
      </c>
      <c r="CZ64" s="178"/>
      <c r="DA64" s="110">
        <v>0.61458333333333304</v>
      </c>
      <c r="DB64" s="263"/>
      <c r="DC64" s="110">
        <v>0.61458333333333304</v>
      </c>
      <c r="DD64" s="211"/>
      <c r="DE64" s="21"/>
      <c r="DF64" s="110">
        <v>0.61458333333333304</v>
      </c>
      <c r="DG64" s="209"/>
      <c r="DH64" s="110">
        <v>0.61458333333333304</v>
      </c>
      <c r="DI64" s="209"/>
      <c r="DJ64" s="110">
        <v>0.61458333333333304</v>
      </c>
      <c r="DK64" s="211"/>
      <c r="DL64" s="21"/>
      <c r="DM64" s="110">
        <v>0.61458333333333304</v>
      </c>
      <c r="DN64" s="209"/>
      <c r="DO64" s="110">
        <v>0.61458333333333304</v>
      </c>
      <c r="DP64" s="209"/>
      <c r="DQ64" s="110">
        <v>0.61458333333333304</v>
      </c>
      <c r="DR64" s="211"/>
      <c r="DS64" s="21"/>
      <c r="DT64" s="110">
        <v>0.61458333333333304</v>
      </c>
      <c r="DU64" s="209"/>
      <c r="DV64" s="110">
        <v>0.61458333333333304</v>
      </c>
      <c r="DW64" s="209"/>
      <c r="DX64" s="110">
        <v>0.61458333333333304</v>
      </c>
      <c r="DY64" s="211"/>
      <c r="DZ64" s="21"/>
      <c r="EA64" s="110">
        <v>0.61458333333333304</v>
      </c>
      <c r="EB64" s="209">
        <f>IF('Temperature Profiles'!AA63&gt;18,(0.0018*('Temperature Profiles'!AA63^2)-(0.0475*'Temperature Profiles'!AA63)+0.3123)*1000,IF(AND('Temperature Profiles'!AA63&lt;17,'Temperature Profiles'!AA63&gt;-5.6),(0.0021*('Temperature Profiles'!AA63^2)-(0.0919*'Temperature Profiles'!AA63)+1.0491)*1000,IF(AND('Temperature Profiles'!AA63&lt;-5.6,'Temperature Profiles'!AA63&gt;-11.4),(((-0.2925*'Temperature Profiles'!AA63)-1.6914)*1000)+EB$208,IF('Temperature Profiles'!AA63&lt;-11.4,EB167,0))))</f>
        <v>1457.5559999999998</v>
      </c>
      <c r="EC64" s="110">
        <v>0.61458333333333304</v>
      </c>
      <c r="ED64" s="209">
        <f>IF('Temperature Profiles'!AA63&gt;18,(0.0034*('Temperature Profiles'!AA63^2)-(0.087*'Temperature Profiles'!AA63)+0.5117)*1000,IF(AND('Temperature Profiles'!AA63&lt;17,'Temperature Profiles'!AA63&gt;-4.4),(0.0027*('Temperature Profiles'!AA63^2)-(0.149*'Temperature Profiles'!AA63)+1.7779)*1000,IF(AND('Temperature Profiles'!AA63&lt;-4.4,'Temperature Profiles'!AA63&gt;-8.5),(((-0.5391*'Temperature Profiles'!AA63)-2.0906)*1000)+ED$208,IF('Temperature Profiles'!AA63&lt;-8.5,ED167,0))))</f>
        <v>2428.4853333333335</v>
      </c>
      <c r="EE64" s="110">
        <v>0.61458333333333304</v>
      </c>
      <c r="EF64" s="211">
        <f>IF('Temperature Profiles'!AA63&gt;18,(0.0048*('Temperature Profiles'!AA63^2)-(0.1352*'Temperature Profiles'!AA63)+0.9193)*1000,IF(AND('Temperature Profiles'!AA63&lt;17,'Temperature Profiles'!AA63&gt;-4.4),(0.0031*('Temperature Profiles'!AA63^2)-(0.2029*'Temperature Profiles'!AA63)+2.4264)*1000,IF(AND('Temperature Profiles'!AA63&lt;-4.4,'Temperature Profiles'!AA63&gt;-8.5),(((-0.7516*'Temperature Profiles'!AA63)-2.9985)*1000)+EF$208,IF('Temperature Profiles'!AA63&lt;-8.5,EF167,0))))</f>
        <v>3302.7937777777779</v>
      </c>
      <c r="EG64" s="21"/>
      <c r="EH64" s="110">
        <v>0.61458333333333304</v>
      </c>
      <c r="EI64" s="211"/>
      <c r="EJ64" s="110">
        <v>0.61458333333333304</v>
      </c>
      <c r="EK64" s="211"/>
      <c r="EL64" s="110">
        <v>0.61458333333333304</v>
      </c>
      <c r="EM64" s="211"/>
      <c r="EN64" s="21"/>
      <c r="EO64" s="110">
        <v>0.61458333333333304</v>
      </c>
      <c r="EP64" s="211"/>
      <c r="EQ64" s="21"/>
      <c r="ER64" s="110">
        <v>0.61458333333333304</v>
      </c>
      <c r="ES64" s="264"/>
      <c r="EU64" s="260">
        <v>0.61458333333333304</v>
      </c>
      <c r="EV64" s="209">
        <f>IF('Temperature Profiles'!AA63&gt;18,(0.0018*('Temperature Profiles'!AA63^2)-(0.0475*'Temperature Profiles'!AA63)+0.3123)*1000,IF(AND('Temperature Profiles'!AA63&lt;17,'Temperature Profiles'!AA63&gt;-5.6),(0.0021*('Temperature Profiles'!AA63^2)-(0.0919*'Temperature Profiles'!AA63)+1.0491)*1000,IF(AND('Temperature Profiles'!AA63&lt;-5.6,'Temperature Profiles'!AA63&gt;-11.4),EV$208,IF('Temperature Profiles'!AA63&lt;-11.4,EV167,0))))</f>
        <v>1457.5559999999998</v>
      </c>
      <c r="EW64" s="110">
        <v>0.61458333333333304</v>
      </c>
      <c r="EX64" s="209">
        <f>IF('Temperature Profiles'!AA63&gt;18,(0.0034*('Temperature Profiles'!AA63^2)-(0.087*'Temperature Profiles'!AA63)+0.5117)*1000,IF(AND('Temperature Profiles'!AA63&lt;17,'Temperature Profiles'!AA63&gt;-4.4),(0.0027*('Temperature Profiles'!AA63^2)-(0.149*'Temperature Profiles'!AA63)+1.7779)*1000,IF(AND('Temperature Profiles'!AA63&lt;-4.4,'Temperature Profiles'!AA63&gt;-8.5),EX$208,IF('Temperature Profiles'!AA63&lt;-8.5,EX167,0))))</f>
        <v>2428.4853333333335</v>
      </c>
      <c r="EY64" s="110">
        <v>0.61458333333333304</v>
      </c>
      <c r="EZ64" s="264">
        <f>IF('Temperature Profiles'!AA63&gt;18,(0.0048*('Temperature Profiles'!AA63^2)-(0.1352*'Temperature Profiles'!AA63)+0.9193)*1000,IF(AND('Temperature Profiles'!AA63&lt;17,'Temperature Profiles'!AA63&gt;-4.4),(0.0031*('Temperature Profiles'!AA63^2)-(0.2029*'Temperature Profiles'!AA63)+2.4264)*1000,IF(AND('Temperature Profiles'!AA63&lt;-4.4,'Temperature Profiles'!AA63&gt;-8.5),EZ$208,IF('Temperature Profiles'!AA63&lt;-8.5,EZ167,0))))</f>
        <v>3302.7937777777779</v>
      </c>
    </row>
    <row r="65" spans="1:156" x14ac:dyDescent="0.3">
      <c r="A65" s="108">
        <v>0.61458333333333304</v>
      </c>
      <c r="B65" s="226">
        <f t="shared" si="4"/>
        <v>0</v>
      </c>
      <c r="C65" s="21">
        <f t="shared" si="5"/>
        <v>0</v>
      </c>
      <c r="D65" s="21">
        <f t="shared" si="6"/>
        <v>3302.7937777777779</v>
      </c>
      <c r="E65" s="20">
        <f t="shared" si="3"/>
        <v>3302.7937777777779</v>
      </c>
      <c r="G65" s="260">
        <v>0.625</v>
      </c>
      <c r="H65" s="211"/>
      <c r="I65" s="110">
        <v>0.625</v>
      </c>
      <c r="J65" s="211"/>
      <c r="K65" s="110">
        <v>0.625</v>
      </c>
      <c r="L65" s="211"/>
      <c r="M65" s="21"/>
      <c r="N65" s="110">
        <v>0.625</v>
      </c>
      <c r="O65" s="209"/>
      <c r="P65" s="110">
        <v>0.625</v>
      </c>
      <c r="Q65" s="209"/>
      <c r="R65" s="110">
        <v>0.625</v>
      </c>
      <c r="S65" s="211"/>
      <c r="T65" s="21"/>
      <c r="U65" s="110">
        <v>0.625</v>
      </c>
      <c r="V65" s="209"/>
      <c r="W65" s="110">
        <v>0.625</v>
      </c>
      <c r="X65" s="209"/>
      <c r="Y65" s="110">
        <v>0.625</v>
      </c>
      <c r="Z65" s="211"/>
      <c r="AA65" s="21"/>
      <c r="AB65" s="110">
        <v>0.625</v>
      </c>
      <c r="AC65" s="209"/>
      <c r="AD65" s="110">
        <v>0.625</v>
      </c>
      <c r="AE65" s="209"/>
      <c r="AF65" s="110">
        <v>0.625</v>
      </c>
      <c r="AG65" s="211"/>
      <c r="AH65" s="21"/>
      <c r="AI65" s="110">
        <v>0.625</v>
      </c>
      <c r="AJ65" s="209"/>
      <c r="AK65" s="110">
        <v>0.625</v>
      </c>
      <c r="AL65" s="209"/>
      <c r="AM65" s="110">
        <v>0.625</v>
      </c>
      <c r="AN65" s="211"/>
      <c r="AO65" s="21"/>
      <c r="AP65" s="110">
        <v>0.625</v>
      </c>
      <c r="AQ65" s="209"/>
      <c r="AR65" s="110">
        <v>0.625</v>
      </c>
      <c r="AS65" s="209"/>
      <c r="AT65" s="110">
        <v>0.625</v>
      </c>
      <c r="AU65" s="211"/>
      <c r="AV65" s="21"/>
      <c r="AW65" s="110">
        <v>0.625</v>
      </c>
      <c r="AX65" s="211"/>
      <c r="AY65" s="21"/>
      <c r="AZ65" s="110">
        <v>0.625</v>
      </c>
      <c r="BA65" s="264"/>
      <c r="BC65" s="260">
        <v>0.625</v>
      </c>
      <c r="BD65" s="211"/>
      <c r="BE65" s="110">
        <v>0.625</v>
      </c>
      <c r="BF65" s="211"/>
      <c r="BG65" s="110">
        <v>0.625</v>
      </c>
      <c r="BH65" s="211"/>
      <c r="BI65" s="21"/>
      <c r="BJ65" s="110">
        <v>0.625</v>
      </c>
      <c r="BK65" s="209"/>
      <c r="BL65" s="110">
        <v>0.625</v>
      </c>
      <c r="BM65" s="209"/>
      <c r="BN65" s="110">
        <v>0.625</v>
      </c>
      <c r="BO65" s="211"/>
      <c r="BP65" s="21"/>
      <c r="BQ65" s="110">
        <v>0.625</v>
      </c>
      <c r="BR65" s="209"/>
      <c r="BS65" s="110">
        <v>0.625</v>
      </c>
      <c r="BT65" s="209"/>
      <c r="BU65" s="110">
        <v>0.625</v>
      </c>
      <c r="BV65" s="211"/>
      <c r="BW65" s="21"/>
      <c r="BX65" s="110">
        <v>0.625</v>
      </c>
      <c r="BY65" s="209"/>
      <c r="BZ65" s="110">
        <v>0.625</v>
      </c>
      <c r="CA65" s="209"/>
      <c r="CB65" s="110">
        <v>0.625</v>
      </c>
      <c r="CC65" s="211"/>
      <c r="CD65" s="21"/>
      <c r="CE65" s="110">
        <v>0.625</v>
      </c>
      <c r="CF65" s="209"/>
      <c r="CG65" s="110">
        <v>0.625</v>
      </c>
      <c r="CH65" s="209"/>
      <c r="CI65" s="110">
        <v>0.625</v>
      </c>
      <c r="CJ65" s="211"/>
      <c r="CK65" s="21"/>
      <c r="CL65" s="110">
        <v>0.625</v>
      </c>
      <c r="CM65" s="209"/>
      <c r="CN65" s="110">
        <v>0.625</v>
      </c>
      <c r="CO65" s="209"/>
      <c r="CP65" s="110">
        <v>0.625</v>
      </c>
      <c r="CQ65" s="211"/>
      <c r="CR65" s="21"/>
      <c r="CS65" s="110">
        <v>0.625</v>
      </c>
      <c r="CT65" s="211"/>
      <c r="CU65" s="21"/>
      <c r="CV65" s="110">
        <v>0.625</v>
      </c>
      <c r="CW65" s="264"/>
      <c r="CY65" s="260">
        <v>0.625</v>
      </c>
      <c r="CZ65" s="178"/>
      <c r="DA65" s="110">
        <v>0.625</v>
      </c>
      <c r="DB65" s="263"/>
      <c r="DC65" s="110">
        <v>0.625</v>
      </c>
      <c r="DD65" s="211"/>
      <c r="DE65" s="21"/>
      <c r="DF65" s="110">
        <v>0.625</v>
      </c>
      <c r="DG65" s="209"/>
      <c r="DH65" s="110">
        <v>0.625</v>
      </c>
      <c r="DI65" s="209"/>
      <c r="DJ65" s="110">
        <v>0.625</v>
      </c>
      <c r="DK65" s="211"/>
      <c r="DL65" s="21"/>
      <c r="DM65" s="110">
        <v>0.625</v>
      </c>
      <c r="DN65" s="209"/>
      <c r="DO65" s="110">
        <v>0.625</v>
      </c>
      <c r="DP65" s="209"/>
      <c r="DQ65" s="110">
        <v>0.625</v>
      </c>
      <c r="DR65" s="211"/>
      <c r="DS65" s="21"/>
      <c r="DT65" s="110">
        <v>0.625</v>
      </c>
      <c r="DU65" s="209"/>
      <c r="DV65" s="110">
        <v>0.625</v>
      </c>
      <c r="DW65" s="209"/>
      <c r="DX65" s="110">
        <v>0.625</v>
      </c>
      <c r="DY65" s="211"/>
      <c r="DZ65" s="21"/>
      <c r="EA65" s="110">
        <v>0.625</v>
      </c>
      <c r="EB65" s="209">
        <f>IF('Temperature Profiles'!AA64&gt;18,(0.0018*('Temperature Profiles'!AA64^2)-(0.0475*'Temperature Profiles'!AA64)+0.3123)*1000,IF(AND('Temperature Profiles'!AA64&lt;17,'Temperature Profiles'!AA64&gt;-5.6),(0.0021*('Temperature Profiles'!AA64^2)-(0.0919*'Temperature Profiles'!AA64)+1.0491)*1000,IF(AND('Temperature Profiles'!AA64&lt;-5.6,'Temperature Profiles'!AA64&gt;-11.4),(((-0.2925*'Temperature Profiles'!AA64)-1.6914)*1000)+EB$208,IF('Temperature Profiles'!AA64&lt;-11.4,EB168,0))))</f>
        <v>1408.0479791666667</v>
      </c>
      <c r="EC65" s="110">
        <v>0.625</v>
      </c>
      <c r="ED65" s="209">
        <f>IF('Temperature Profiles'!AA64&gt;18,(0.0034*('Temperature Profiles'!AA64^2)-(0.087*'Temperature Profiles'!AA64)+0.5117)*1000,IF(AND('Temperature Profiles'!AA64&lt;17,'Temperature Profiles'!AA64&gt;-4.4),(0.0027*('Temperature Profiles'!AA64^2)-(0.149*'Temperature Profiles'!AA64)+1.7779)*1000,IF(AND('Temperature Profiles'!AA64&lt;-4.4,'Temperature Profiles'!AA64&gt;-8.5),(((-0.5391*'Temperature Profiles'!AA64)-2.0906)*1000)+ED$208,IF('Temperature Profiles'!AA64&lt;-8.5,ED168,0))))</f>
        <v>2350.6958541666668</v>
      </c>
      <c r="EE65" s="110">
        <v>0.625</v>
      </c>
      <c r="EF65" s="211">
        <f>IF('Temperature Profiles'!AA64&gt;18,(0.0048*('Temperature Profiles'!AA64^2)-(0.1352*'Temperature Profiles'!AA64)+0.9193)*1000,IF(AND('Temperature Profiles'!AA64&lt;17,'Temperature Profiles'!AA64&gt;-4.4),(0.0031*('Temperature Profiles'!AA64^2)-(0.2029*'Temperature Profiles'!AA64)+2.4264)*1000,IF(AND('Temperature Profiles'!AA64&lt;-4.4,'Temperature Profiles'!AA64&gt;-8.5),(((-0.7516*'Temperature Profiles'!AA64)-2.9985)*1000)+EF$208,IF('Temperature Profiles'!AA64&lt;-8.5,EF168,0))))</f>
        <v>3198.8930486111117</v>
      </c>
      <c r="EG65" s="21"/>
      <c r="EH65" s="110">
        <v>0.625</v>
      </c>
      <c r="EI65" s="211"/>
      <c r="EJ65" s="110">
        <v>0.625</v>
      </c>
      <c r="EK65" s="211"/>
      <c r="EL65" s="110">
        <v>0.625</v>
      </c>
      <c r="EM65" s="211"/>
      <c r="EN65" s="21"/>
      <c r="EO65" s="110">
        <v>0.625</v>
      </c>
      <c r="EP65" s="211"/>
      <c r="EQ65" s="21"/>
      <c r="ER65" s="110">
        <v>0.625</v>
      </c>
      <c r="ES65" s="264"/>
      <c r="EU65" s="260">
        <v>0.625</v>
      </c>
      <c r="EV65" s="209">
        <f>IF('Temperature Profiles'!AA64&gt;18,(0.0018*('Temperature Profiles'!AA64^2)-(0.0475*'Temperature Profiles'!AA64)+0.3123)*1000,IF(AND('Temperature Profiles'!AA64&lt;17,'Temperature Profiles'!AA64&gt;-5.6),(0.0021*('Temperature Profiles'!AA64^2)-(0.0919*'Temperature Profiles'!AA64)+1.0491)*1000,IF(AND('Temperature Profiles'!AA64&lt;-5.6,'Temperature Profiles'!AA64&gt;-11.4),EV$208,IF('Temperature Profiles'!AA64&lt;-11.4,EV168,0))))</f>
        <v>1408.0479791666667</v>
      </c>
      <c r="EW65" s="110">
        <v>0.625</v>
      </c>
      <c r="EX65" s="209">
        <f>IF('Temperature Profiles'!AA64&gt;18,(0.0034*('Temperature Profiles'!AA64^2)-(0.087*'Temperature Profiles'!AA64)+0.5117)*1000,IF(AND('Temperature Profiles'!AA64&lt;17,'Temperature Profiles'!AA64&gt;-4.4),(0.0027*('Temperature Profiles'!AA64^2)-(0.149*'Temperature Profiles'!AA64)+1.7779)*1000,IF(AND('Temperature Profiles'!AA64&lt;-4.4,'Temperature Profiles'!AA64&gt;-8.5),EX$208,IF('Temperature Profiles'!AA64&lt;-8.5,EX168,0))))</f>
        <v>2350.6958541666668</v>
      </c>
      <c r="EY65" s="110">
        <v>0.625</v>
      </c>
      <c r="EZ65" s="264">
        <f>IF('Temperature Profiles'!AA64&gt;18,(0.0048*('Temperature Profiles'!AA64^2)-(0.1352*'Temperature Profiles'!AA64)+0.9193)*1000,IF(AND('Temperature Profiles'!AA64&lt;17,'Temperature Profiles'!AA64&gt;-4.4),(0.0031*('Temperature Profiles'!AA64^2)-(0.2029*'Temperature Profiles'!AA64)+2.4264)*1000,IF(AND('Temperature Profiles'!AA64&lt;-4.4,'Temperature Profiles'!AA64&gt;-8.5),EZ$208,IF('Temperature Profiles'!AA64&lt;-8.5,EZ168,0))))</f>
        <v>3198.8930486111117</v>
      </c>
    </row>
    <row r="66" spans="1:156" x14ac:dyDescent="0.3">
      <c r="A66" s="108">
        <v>0.625</v>
      </c>
      <c r="B66" s="226">
        <f t="shared" si="4"/>
        <v>0</v>
      </c>
      <c r="C66" s="21">
        <f t="shared" si="5"/>
        <v>0</v>
      </c>
      <c r="D66" s="21">
        <f t="shared" si="6"/>
        <v>3198.8930486111117</v>
      </c>
      <c r="E66" s="20">
        <f t="shared" si="3"/>
        <v>3198.8930486111117</v>
      </c>
      <c r="G66" s="260">
        <v>0.63541666666666696</v>
      </c>
      <c r="H66" s="211"/>
      <c r="I66" s="110">
        <v>0.63541666666666696</v>
      </c>
      <c r="J66" s="211"/>
      <c r="K66" s="110">
        <v>0.63541666666666696</v>
      </c>
      <c r="L66" s="211"/>
      <c r="M66" s="21"/>
      <c r="N66" s="110">
        <v>0.63541666666666696</v>
      </c>
      <c r="O66" s="209"/>
      <c r="P66" s="110">
        <v>0.63541666666666696</v>
      </c>
      <c r="Q66" s="209"/>
      <c r="R66" s="110">
        <v>0.63541666666666696</v>
      </c>
      <c r="S66" s="211"/>
      <c r="T66" s="21"/>
      <c r="U66" s="110">
        <v>0.63541666666666696</v>
      </c>
      <c r="V66" s="209"/>
      <c r="W66" s="110">
        <v>0.63541666666666696</v>
      </c>
      <c r="X66" s="209"/>
      <c r="Y66" s="110">
        <v>0.63541666666666696</v>
      </c>
      <c r="Z66" s="211"/>
      <c r="AA66" s="21"/>
      <c r="AB66" s="110">
        <v>0.63541666666666696</v>
      </c>
      <c r="AC66" s="209"/>
      <c r="AD66" s="110">
        <v>0.63541666666666696</v>
      </c>
      <c r="AE66" s="209"/>
      <c r="AF66" s="110">
        <v>0.63541666666666696</v>
      </c>
      <c r="AG66" s="211"/>
      <c r="AH66" s="21"/>
      <c r="AI66" s="110">
        <v>0.63541666666666696</v>
      </c>
      <c r="AJ66" s="209"/>
      <c r="AK66" s="110">
        <v>0.63541666666666696</v>
      </c>
      <c r="AL66" s="209"/>
      <c r="AM66" s="110">
        <v>0.63541666666666696</v>
      </c>
      <c r="AN66" s="211"/>
      <c r="AO66" s="21"/>
      <c r="AP66" s="110">
        <v>0.63541666666666696</v>
      </c>
      <c r="AQ66" s="209"/>
      <c r="AR66" s="110">
        <v>0.63541666666666696</v>
      </c>
      <c r="AS66" s="209"/>
      <c r="AT66" s="110">
        <v>0.63541666666666696</v>
      </c>
      <c r="AU66" s="211"/>
      <c r="AV66" s="21"/>
      <c r="AW66" s="110">
        <v>0.63541666666666696</v>
      </c>
      <c r="AX66" s="211"/>
      <c r="AY66" s="21"/>
      <c r="AZ66" s="110">
        <v>0.63541666666666696</v>
      </c>
      <c r="BA66" s="264"/>
      <c r="BC66" s="260">
        <v>0.63541666666666696</v>
      </c>
      <c r="BD66" s="211"/>
      <c r="BE66" s="110">
        <v>0.63541666666666696</v>
      </c>
      <c r="BF66" s="211"/>
      <c r="BG66" s="110">
        <v>0.63541666666666696</v>
      </c>
      <c r="BH66" s="211"/>
      <c r="BI66" s="21"/>
      <c r="BJ66" s="110">
        <v>0.63541666666666696</v>
      </c>
      <c r="BK66" s="209"/>
      <c r="BL66" s="110">
        <v>0.63541666666666696</v>
      </c>
      <c r="BM66" s="209"/>
      <c r="BN66" s="110">
        <v>0.63541666666666696</v>
      </c>
      <c r="BO66" s="211"/>
      <c r="BP66" s="21"/>
      <c r="BQ66" s="110">
        <v>0.63541666666666696</v>
      </c>
      <c r="BR66" s="209"/>
      <c r="BS66" s="110">
        <v>0.63541666666666696</v>
      </c>
      <c r="BT66" s="209"/>
      <c r="BU66" s="110">
        <v>0.63541666666666696</v>
      </c>
      <c r="BV66" s="211"/>
      <c r="BW66" s="21"/>
      <c r="BX66" s="110">
        <v>0.63541666666666696</v>
      </c>
      <c r="BY66" s="209"/>
      <c r="BZ66" s="110">
        <v>0.63541666666666696</v>
      </c>
      <c r="CA66" s="209"/>
      <c r="CB66" s="110">
        <v>0.63541666666666696</v>
      </c>
      <c r="CC66" s="211"/>
      <c r="CD66" s="21"/>
      <c r="CE66" s="110">
        <v>0.63541666666666696</v>
      </c>
      <c r="CF66" s="209"/>
      <c r="CG66" s="110">
        <v>0.63541666666666696</v>
      </c>
      <c r="CH66" s="209"/>
      <c r="CI66" s="110">
        <v>0.63541666666666696</v>
      </c>
      <c r="CJ66" s="211"/>
      <c r="CK66" s="21"/>
      <c r="CL66" s="110">
        <v>0.63541666666666696</v>
      </c>
      <c r="CM66" s="209"/>
      <c r="CN66" s="110">
        <v>0.63541666666666696</v>
      </c>
      <c r="CO66" s="209"/>
      <c r="CP66" s="110">
        <v>0.63541666666666696</v>
      </c>
      <c r="CQ66" s="211"/>
      <c r="CR66" s="21"/>
      <c r="CS66" s="110">
        <v>0.63541666666666696</v>
      </c>
      <c r="CT66" s="211"/>
      <c r="CU66" s="21"/>
      <c r="CV66" s="110">
        <v>0.63541666666666696</v>
      </c>
      <c r="CW66" s="264"/>
      <c r="CY66" s="260">
        <v>0.63541666666666696</v>
      </c>
      <c r="CZ66" s="178"/>
      <c r="DA66" s="110">
        <v>0.63541666666666696</v>
      </c>
      <c r="DB66" s="263"/>
      <c r="DC66" s="110">
        <v>0.63541666666666696</v>
      </c>
      <c r="DD66" s="211"/>
      <c r="DE66" s="21"/>
      <c r="DF66" s="110">
        <v>0.63541666666666696</v>
      </c>
      <c r="DG66" s="209"/>
      <c r="DH66" s="110">
        <v>0.63541666666666696</v>
      </c>
      <c r="DI66" s="209"/>
      <c r="DJ66" s="110">
        <v>0.63541666666666696</v>
      </c>
      <c r="DK66" s="211"/>
      <c r="DL66" s="21"/>
      <c r="DM66" s="110">
        <v>0.63541666666666696</v>
      </c>
      <c r="DN66" s="209"/>
      <c r="DO66" s="110">
        <v>0.63541666666666696</v>
      </c>
      <c r="DP66" s="209"/>
      <c r="DQ66" s="110">
        <v>0.63541666666666696</v>
      </c>
      <c r="DR66" s="211"/>
      <c r="DS66" s="21"/>
      <c r="DT66" s="110">
        <v>0.63541666666666696</v>
      </c>
      <c r="DU66" s="209"/>
      <c r="DV66" s="110">
        <v>0.63541666666666696</v>
      </c>
      <c r="DW66" s="209"/>
      <c r="DX66" s="110">
        <v>0.63541666666666696</v>
      </c>
      <c r="DY66" s="211"/>
      <c r="DZ66" s="21"/>
      <c r="EA66" s="110">
        <v>0.63541666666666696</v>
      </c>
      <c r="EB66" s="209">
        <f>IF('Temperature Profiles'!AA65&gt;18,(0.0018*('Temperature Profiles'!AA65^2)-(0.0475*'Temperature Profiles'!AA65)+0.3123)*1000,IF(AND('Temperature Profiles'!AA65&lt;17,'Temperature Profiles'!AA65&gt;-5.6),(0.0021*('Temperature Profiles'!AA65^2)-(0.0919*'Temperature Profiles'!AA65)+1.0491)*1000,IF(AND('Temperature Profiles'!AA65&lt;-5.6,'Temperature Profiles'!AA65&gt;-11.4),(((-0.2925*'Temperature Profiles'!AA65)-1.6914)*1000)+EB$208,IF('Temperature Profiles'!AA65&lt;-11.4,EB169,0))))</f>
        <v>1408.0479791666667</v>
      </c>
      <c r="EC66" s="110">
        <v>0.63541666666666696</v>
      </c>
      <c r="ED66" s="209">
        <f>IF('Temperature Profiles'!AA65&gt;18,(0.0034*('Temperature Profiles'!AA65^2)-(0.087*'Temperature Profiles'!AA65)+0.5117)*1000,IF(AND('Temperature Profiles'!AA65&lt;17,'Temperature Profiles'!AA65&gt;-4.4),(0.0027*('Temperature Profiles'!AA65^2)-(0.149*'Temperature Profiles'!AA65)+1.7779)*1000,IF(AND('Temperature Profiles'!AA65&lt;-4.4,'Temperature Profiles'!AA65&gt;-8.5),(((-0.5391*'Temperature Profiles'!AA65)-2.0906)*1000)+ED$208,IF('Temperature Profiles'!AA65&lt;-8.5,ED169,0))))</f>
        <v>2350.6958541666668</v>
      </c>
      <c r="EE66" s="110">
        <v>0.63541666666666696</v>
      </c>
      <c r="EF66" s="211">
        <f>IF('Temperature Profiles'!AA65&gt;18,(0.0048*('Temperature Profiles'!AA65^2)-(0.1352*'Temperature Profiles'!AA65)+0.9193)*1000,IF(AND('Temperature Profiles'!AA65&lt;17,'Temperature Profiles'!AA65&gt;-4.4),(0.0031*('Temperature Profiles'!AA65^2)-(0.2029*'Temperature Profiles'!AA65)+2.4264)*1000,IF(AND('Temperature Profiles'!AA65&lt;-4.4,'Temperature Profiles'!AA65&gt;-8.5),(((-0.7516*'Temperature Profiles'!AA65)-2.9985)*1000)+EF$208,IF('Temperature Profiles'!AA65&lt;-8.5,EF169,0))))</f>
        <v>3198.8930486111117</v>
      </c>
      <c r="EG66" s="21"/>
      <c r="EH66" s="110">
        <v>0.63541666666666696</v>
      </c>
      <c r="EI66" s="211"/>
      <c r="EJ66" s="110">
        <v>0.63541666666666696</v>
      </c>
      <c r="EK66" s="211"/>
      <c r="EL66" s="110">
        <v>0.63541666666666696</v>
      </c>
      <c r="EM66" s="211"/>
      <c r="EN66" s="21"/>
      <c r="EO66" s="110">
        <v>0.63541666666666696</v>
      </c>
      <c r="EP66" s="211"/>
      <c r="EQ66" s="21"/>
      <c r="ER66" s="110">
        <v>0.63541666666666696</v>
      </c>
      <c r="ES66" s="264"/>
      <c r="EU66" s="260">
        <v>0.63541666666666696</v>
      </c>
      <c r="EV66" s="209">
        <f>IF('Temperature Profiles'!AA65&gt;18,(0.0018*('Temperature Profiles'!AA65^2)-(0.0475*'Temperature Profiles'!AA65)+0.3123)*1000,IF(AND('Temperature Profiles'!AA65&lt;17,'Temperature Profiles'!AA65&gt;-5.6),(0.0021*('Temperature Profiles'!AA65^2)-(0.0919*'Temperature Profiles'!AA65)+1.0491)*1000,IF(AND('Temperature Profiles'!AA65&lt;-5.6,'Temperature Profiles'!AA65&gt;-11.4),EV$208,IF('Temperature Profiles'!AA65&lt;-11.4,EV169,0))))</f>
        <v>1408.0479791666667</v>
      </c>
      <c r="EW66" s="110">
        <v>0.63541666666666696</v>
      </c>
      <c r="EX66" s="209">
        <f>IF('Temperature Profiles'!AA65&gt;18,(0.0034*('Temperature Profiles'!AA65^2)-(0.087*'Temperature Profiles'!AA65)+0.5117)*1000,IF(AND('Temperature Profiles'!AA65&lt;17,'Temperature Profiles'!AA65&gt;-4.4),(0.0027*('Temperature Profiles'!AA65^2)-(0.149*'Temperature Profiles'!AA65)+1.7779)*1000,IF(AND('Temperature Profiles'!AA65&lt;-4.4,'Temperature Profiles'!AA65&gt;-8.5),EX$208,IF('Temperature Profiles'!AA65&lt;-8.5,EX169,0))))</f>
        <v>2350.6958541666668</v>
      </c>
      <c r="EY66" s="110">
        <v>0.63541666666666696</v>
      </c>
      <c r="EZ66" s="264">
        <f>IF('Temperature Profiles'!AA65&gt;18,(0.0048*('Temperature Profiles'!AA65^2)-(0.1352*'Temperature Profiles'!AA65)+0.9193)*1000,IF(AND('Temperature Profiles'!AA65&lt;17,'Temperature Profiles'!AA65&gt;-4.4),(0.0031*('Temperature Profiles'!AA65^2)-(0.2029*'Temperature Profiles'!AA65)+2.4264)*1000,IF(AND('Temperature Profiles'!AA65&lt;-4.4,'Temperature Profiles'!AA65&gt;-8.5),EZ$208,IF('Temperature Profiles'!AA65&lt;-8.5,EZ169,0))))</f>
        <v>3198.8930486111117</v>
      </c>
    </row>
    <row r="67" spans="1:156" x14ac:dyDescent="0.3">
      <c r="A67" s="108">
        <v>0.63541666666666696</v>
      </c>
      <c r="B67" s="226">
        <f t="shared" si="4"/>
        <v>0</v>
      </c>
      <c r="C67" s="21">
        <f t="shared" si="5"/>
        <v>0</v>
      </c>
      <c r="D67" s="21">
        <f t="shared" si="6"/>
        <v>3198.8930486111117</v>
      </c>
      <c r="E67" s="20">
        <f t="shared" si="3"/>
        <v>3198.8930486111117</v>
      </c>
      <c r="G67" s="260">
        <v>0.64583333333333304</v>
      </c>
      <c r="H67" s="211"/>
      <c r="I67" s="110">
        <v>0.64583333333333304</v>
      </c>
      <c r="J67" s="211"/>
      <c r="K67" s="110">
        <v>0.64583333333333304</v>
      </c>
      <c r="L67" s="211"/>
      <c r="M67" s="21"/>
      <c r="N67" s="110">
        <v>0.64583333333333304</v>
      </c>
      <c r="O67" s="209"/>
      <c r="P67" s="110">
        <v>0.64583333333333304</v>
      </c>
      <c r="Q67" s="209"/>
      <c r="R67" s="110">
        <v>0.64583333333333304</v>
      </c>
      <c r="S67" s="211"/>
      <c r="T67" s="21"/>
      <c r="U67" s="110">
        <v>0.64583333333333304</v>
      </c>
      <c r="V67" s="209"/>
      <c r="W67" s="110">
        <v>0.64583333333333304</v>
      </c>
      <c r="X67" s="209"/>
      <c r="Y67" s="110">
        <v>0.64583333333333304</v>
      </c>
      <c r="Z67" s="211"/>
      <c r="AA67" s="21"/>
      <c r="AB67" s="110">
        <v>0.64583333333333304</v>
      </c>
      <c r="AC67" s="209"/>
      <c r="AD67" s="110">
        <v>0.64583333333333304</v>
      </c>
      <c r="AE67" s="209"/>
      <c r="AF67" s="110">
        <v>0.64583333333333304</v>
      </c>
      <c r="AG67" s="211"/>
      <c r="AH67" s="21"/>
      <c r="AI67" s="110">
        <v>0.64583333333333304</v>
      </c>
      <c r="AJ67" s="209"/>
      <c r="AK67" s="110">
        <v>0.64583333333333304</v>
      </c>
      <c r="AL67" s="209"/>
      <c r="AM67" s="110">
        <v>0.64583333333333304</v>
      </c>
      <c r="AN67" s="211"/>
      <c r="AO67" s="21"/>
      <c r="AP67" s="110">
        <v>0.64583333333333304</v>
      </c>
      <c r="AQ67" s="209"/>
      <c r="AR67" s="110">
        <v>0.64583333333333304</v>
      </c>
      <c r="AS67" s="209"/>
      <c r="AT67" s="110">
        <v>0.64583333333333304</v>
      </c>
      <c r="AU67" s="211"/>
      <c r="AV67" s="21"/>
      <c r="AW67" s="110">
        <v>0.64583333333333304</v>
      </c>
      <c r="AX67" s="211"/>
      <c r="AY67" s="21"/>
      <c r="AZ67" s="110">
        <v>0.64583333333333304</v>
      </c>
      <c r="BA67" s="264"/>
      <c r="BC67" s="260">
        <v>0.64583333333333304</v>
      </c>
      <c r="BD67" s="211"/>
      <c r="BE67" s="110">
        <v>0.64583333333333304</v>
      </c>
      <c r="BF67" s="211"/>
      <c r="BG67" s="110">
        <v>0.64583333333333304</v>
      </c>
      <c r="BH67" s="211"/>
      <c r="BI67" s="21"/>
      <c r="BJ67" s="110">
        <v>0.64583333333333304</v>
      </c>
      <c r="BK67" s="209"/>
      <c r="BL67" s="110">
        <v>0.64583333333333304</v>
      </c>
      <c r="BM67" s="209"/>
      <c r="BN67" s="110">
        <v>0.64583333333333304</v>
      </c>
      <c r="BO67" s="211"/>
      <c r="BP67" s="21"/>
      <c r="BQ67" s="110">
        <v>0.64583333333333304</v>
      </c>
      <c r="BR67" s="209"/>
      <c r="BS67" s="110">
        <v>0.64583333333333304</v>
      </c>
      <c r="BT67" s="209"/>
      <c r="BU67" s="110">
        <v>0.64583333333333304</v>
      </c>
      <c r="BV67" s="211"/>
      <c r="BW67" s="21"/>
      <c r="BX67" s="110">
        <v>0.64583333333333304</v>
      </c>
      <c r="BY67" s="209"/>
      <c r="BZ67" s="110">
        <v>0.64583333333333304</v>
      </c>
      <c r="CA67" s="209"/>
      <c r="CB67" s="110">
        <v>0.64583333333333304</v>
      </c>
      <c r="CC67" s="211"/>
      <c r="CD67" s="21"/>
      <c r="CE67" s="110">
        <v>0.64583333333333304</v>
      </c>
      <c r="CF67" s="209"/>
      <c r="CG67" s="110">
        <v>0.64583333333333304</v>
      </c>
      <c r="CH67" s="209"/>
      <c r="CI67" s="110">
        <v>0.64583333333333304</v>
      </c>
      <c r="CJ67" s="211"/>
      <c r="CK67" s="21"/>
      <c r="CL67" s="110">
        <v>0.64583333333333304</v>
      </c>
      <c r="CM67" s="209"/>
      <c r="CN67" s="110">
        <v>0.64583333333333304</v>
      </c>
      <c r="CO67" s="209"/>
      <c r="CP67" s="110">
        <v>0.64583333333333304</v>
      </c>
      <c r="CQ67" s="211"/>
      <c r="CR67" s="21"/>
      <c r="CS67" s="110">
        <v>0.64583333333333304</v>
      </c>
      <c r="CT67" s="211"/>
      <c r="CU67" s="21"/>
      <c r="CV67" s="110">
        <v>0.64583333333333304</v>
      </c>
      <c r="CW67" s="264"/>
      <c r="CY67" s="260">
        <v>0.64583333333333304</v>
      </c>
      <c r="CZ67" s="178"/>
      <c r="DA67" s="110">
        <v>0.64583333333333304</v>
      </c>
      <c r="DB67" s="263"/>
      <c r="DC67" s="110">
        <v>0.64583333333333304</v>
      </c>
      <c r="DD67" s="211"/>
      <c r="DE67" s="21"/>
      <c r="DF67" s="110">
        <v>0.64583333333333304</v>
      </c>
      <c r="DG67" s="209"/>
      <c r="DH67" s="110">
        <v>0.64583333333333304</v>
      </c>
      <c r="DI67" s="209"/>
      <c r="DJ67" s="110">
        <v>0.64583333333333304</v>
      </c>
      <c r="DK67" s="211"/>
      <c r="DL67" s="21"/>
      <c r="DM67" s="110">
        <v>0.64583333333333304</v>
      </c>
      <c r="DN67" s="209"/>
      <c r="DO67" s="110">
        <v>0.64583333333333304</v>
      </c>
      <c r="DP67" s="209"/>
      <c r="DQ67" s="110">
        <v>0.64583333333333304</v>
      </c>
      <c r="DR67" s="211"/>
      <c r="DS67" s="21"/>
      <c r="DT67" s="110">
        <v>0.64583333333333304</v>
      </c>
      <c r="DU67" s="209"/>
      <c r="DV67" s="110">
        <v>0.64583333333333304</v>
      </c>
      <c r="DW67" s="209"/>
      <c r="DX67" s="110">
        <v>0.64583333333333304</v>
      </c>
      <c r="DY67" s="211"/>
      <c r="DZ67" s="21"/>
      <c r="EA67" s="110">
        <v>0.64583333333333304</v>
      </c>
      <c r="EB67" s="209">
        <f>IF('Temperature Profiles'!AA66&gt;18,(0.0018*('Temperature Profiles'!AA66^2)-(0.0475*'Temperature Profiles'!AA66)+0.3123)*1000,IF(AND('Temperature Profiles'!AA66&lt;17,'Temperature Profiles'!AA66&gt;-5.6),(0.0021*('Temperature Profiles'!AA66^2)-(0.0919*'Temperature Profiles'!AA66)+1.0491)*1000,IF(AND('Temperature Profiles'!AA66&lt;-5.6,'Temperature Profiles'!AA66&gt;-11.4),(((-0.2925*'Temperature Profiles'!AA66)-1.6914)*1000)+EB$208,IF('Temperature Profiles'!AA66&lt;-11.4,EB170,0))))</f>
        <v>1408.0479791666667</v>
      </c>
      <c r="EC67" s="110">
        <v>0.64583333333333304</v>
      </c>
      <c r="ED67" s="209">
        <f>IF('Temperature Profiles'!AA66&gt;18,(0.0034*('Temperature Profiles'!AA66^2)-(0.087*'Temperature Profiles'!AA66)+0.5117)*1000,IF(AND('Temperature Profiles'!AA66&lt;17,'Temperature Profiles'!AA66&gt;-4.4),(0.0027*('Temperature Profiles'!AA66^2)-(0.149*'Temperature Profiles'!AA66)+1.7779)*1000,IF(AND('Temperature Profiles'!AA66&lt;-4.4,'Temperature Profiles'!AA66&gt;-8.5),(((-0.5391*'Temperature Profiles'!AA66)-2.0906)*1000)+ED$208,IF('Temperature Profiles'!AA66&lt;-8.5,ED170,0))))</f>
        <v>2350.6958541666668</v>
      </c>
      <c r="EE67" s="110">
        <v>0.64583333333333304</v>
      </c>
      <c r="EF67" s="211">
        <f>IF('Temperature Profiles'!AA66&gt;18,(0.0048*('Temperature Profiles'!AA66^2)-(0.1352*'Temperature Profiles'!AA66)+0.9193)*1000,IF(AND('Temperature Profiles'!AA66&lt;17,'Temperature Profiles'!AA66&gt;-4.4),(0.0031*('Temperature Profiles'!AA66^2)-(0.2029*'Temperature Profiles'!AA66)+2.4264)*1000,IF(AND('Temperature Profiles'!AA66&lt;-4.4,'Temperature Profiles'!AA66&gt;-8.5),(((-0.7516*'Temperature Profiles'!AA66)-2.9985)*1000)+EF$208,IF('Temperature Profiles'!AA66&lt;-8.5,EF170,0))))</f>
        <v>3198.8930486111117</v>
      </c>
      <c r="EG67" s="21"/>
      <c r="EH67" s="110">
        <v>0.64583333333333304</v>
      </c>
      <c r="EI67" s="211"/>
      <c r="EJ67" s="110">
        <v>0.64583333333333304</v>
      </c>
      <c r="EK67" s="211"/>
      <c r="EL67" s="110">
        <v>0.64583333333333304</v>
      </c>
      <c r="EM67" s="211"/>
      <c r="EN67" s="21"/>
      <c r="EO67" s="110">
        <v>0.64583333333333304</v>
      </c>
      <c r="EP67" s="211"/>
      <c r="EQ67" s="21"/>
      <c r="ER67" s="110">
        <v>0.64583333333333304</v>
      </c>
      <c r="ES67" s="264"/>
      <c r="EU67" s="260">
        <v>0.64583333333333304</v>
      </c>
      <c r="EV67" s="209">
        <f>IF('Temperature Profiles'!AA66&gt;18,(0.0018*('Temperature Profiles'!AA66^2)-(0.0475*'Temperature Profiles'!AA66)+0.3123)*1000,IF(AND('Temperature Profiles'!AA66&lt;17,'Temperature Profiles'!AA66&gt;-5.6),(0.0021*('Temperature Profiles'!AA66^2)-(0.0919*'Temperature Profiles'!AA66)+1.0491)*1000,IF(AND('Temperature Profiles'!AA66&lt;-5.6,'Temperature Profiles'!AA66&gt;-11.4),EV$208,IF('Temperature Profiles'!AA66&lt;-11.4,EV170,0))))</f>
        <v>1408.0479791666667</v>
      </c>
      <c r="EW67" s="110">
        <v>0.64583333333333304</v>
      </c>
      <c r="EX67" s="209">
        <f>IF('Temperature Profiles'!AA66&gt;18,(0.0034*('Temperature Profiles'!AA66^2)-(0.087*'Temperature Profiles'!AA66)+0.5117)*1000,IF(AND('Temperature Profiles'!AA66&lt;17,'Temperature Profiles'!AA66&gt;-4.4),(0.0027*('Temperature Profiles'!AA66^2)-(0.149*'Temperature Profiles'!AA66)+1.7779)*1000,IF(AND('Temperature Profiles'!AA66&lt;-4.4,'Temperature Profiles'!AA66&gt;-8.5),EX$208,IF('Temperature Profiles'!AA66&lt;-8.5,EX170,0))))</f>
        <v>2350.6958541666668</v>
      </c>
      <c r="EY67" s="110">
        <v>0.64583333333333304</v>
      </c>
      <c r="EZ67" s="264">
        <f>IF('Temperature Profiles'!AA66&gt;18,(0.0048*('Temperature Profiles'!AA66^2)-(0.1352*'Temperature Profiles'!AA66)+0.9193)*1000,IF(AND('Temperature Profiles'!AA66&lt;17,'Temperature Profiles'!AA66&gt;-4.4),(0.0031*('Temperature Profiles'!AA66^2)-(0.2029*'Temperature Profiles'!AA66)+2.4264)*1000,IF(AND('Temperature Profiles'!AA66&lt;-4.4,'Temperature Profiles'!AA66&gt;-8.5),EZ$208,IF('Temperature Profiles'!AA66&lt;-8.5,EZ170,0))))</f>
        <v>3198.8930486111117</v>
      </c>
    </row>
    <row r="68" spans="1:156" x14ac:dyDescent="0.3">
      <c r="A68" s="108">
        <v>0.64583333333333304</v>
      </c>
      <c r="B68" s="226">
        <f t="shared" si="4"/>
        <v>0</v>
      </c>
      <c r="C68" s="21">
        <f t="shared" si="5"/>
        <v>0</v>
      </c>
      <c r="D68" s="21">
        <f t="shared" si="6"/>
        <v>3198.8930486111117</v>
      </c>
      <c r="E68" s="20">
        <f t="shared" si="3"/>
        <v>3198.8930486111117</v>
      </c>
      <c r="G68" s="260">
        <v>0.65625</v>
      </c>
      <c r="H68" s="211"/>
      <c r="I68" s="110">
        <v>0.65625</v>
      </c>
      <c r="J68" s="211"/>
      <c r="K68" s="110">
        <v>0.65625</v>
      </c>
      <c r="L68" s="211"/>
      <c r="M68" s="21"/>
      <c r="N68" s="110">
        <v>0.65625</v>
      </c>
      <c r="O68" s="209"/>
      <c r="P68" s="110">
        <v>0.65625</v>
      </c>
      <c r="Q68" s="209"/>
      <c r="R68" s="110">
        <v>0.65625</v>
      </c>
      <c r="S68" s="211"/>
      <c r="T68" s="21"/>
      <c r="U68" s="110">
        <v>0.65625</v>
      </c>
      <c r="V68" s="209"/>
      <c r="W68" s="110">
        <v>0.65625</v>
      </c>
      <c r="X68" s="209"/>
      <c r="Y68" s="110">
        <v>0.65625</v>
      </c>
      <c r="Z68" s="211"/>
      <c r="AA68" s="21"/>
      <c r="AB68" s="110">
        <v>0.65625</v>
      </c>
      <c r="AC68" s="209"/>
      <c r="AD68" s="110">
        <v>0.65625</v>
      </c>
      <c r="AE68" s="209"/>
      <c r="AF68" s="110">
        <v>0.65625</v>
      </c>
      <c r="AG68" s="211"/>
      <c r="AH68" s="21"/>
      <c r="AI68" s="110">
        <v>0.65625</v>
      </c>
      <c r="AJ68" s="209"/>
      <c r="AK68" s="110">
        <v>0.65625</v>
      </c>
      <c r="AL68" s="209"/>
      <c r="AM68" s="110">
        <v>0.65625</v>
      </c>
      <c r="AN68" s="211"/>
      <c r="AO68" s="21"/>
      <c r="AP68" s="110">
        <v>0.65625</v>
      </c>
      <c r="AQ68" s="209"/>
      <c r="AR68" s="110">
        <v>0.65625</v>
      </c>
      <c r="AS68" s="209"/>
      <c r="AT68" s="110">
        <v>0.65625</v>
      </c>
      <c r="AU68" s="211"/>
      <c r="AV68" s="21"/>
      <c r="AW68" s="110">
        <v>0.65625</v>
      </c>
      <c r="AX68" s="211"/>
      <c r="AY68" s="21"/>
      <c r="AZ68" s="110">
        <v>0.65625</v>
      </c>
      <c r="BA68" s="264"/>
      <c r="BC68" s="260">
        <v>0.65625</v>
      </c>
      <c r="BD68" s="211"/>
      <c r="BE68" s="110">
        <v>0.65625</v>
      </c>
      <c r="BF68" s="211"/>
      <c r="BG68" s="110">
        <v>0.65625</v>
      </c>
      <c r="BH68" s="211"/>
      <c r="BI68" s="21"/>
      <c r="BJ68" s="110">
        <v>0.65625</v>
      </c>
      <c r="BK68" s="209"/>
      <c r="BL68" s="110">
        <v>0.65625</v>
      </c>
      <c r="BM68" s="209"/>
      <c r="BN68" s="110">
        <v>0.65625</v>
      </c>
      <c r="BO68" s="211"/>
      <c r="BP68" s="21"/>
      <c r="BQ68" s="110">
        <v>0.65625</v>
      </c>
      <c r="BR68" s="209"/>
      <c r="BS68" s="110">
        <v>0.65625</v>
      </c>
      <c r="BT68" s="209"/>
      <c r="BU68" s="110">
        <v>0.65625</v>
      </c>
      <c r="BV68" s="211"/>
      <c r="BW68" s="21"/>
      <c r="BX68" s="110">
        <v>0.65625</v>
      </c>
      <c r="BY68" s="209"/>
      <c r="BZ68" s="110">
        <v>0.65625</v>
      </c>
      <c r="CA68" s="209"/>
      <c r="CB68" s="110">
        <v>0.65625</v>
      </c>
      <c r="CC68" s="211"/>
      <c r="CD68" s="21"/>
      <c r="CE68" s="110">
        <v>0.65625</v>
      </c>
      <c r="CF68" s="209"/>
      <c r="CG68" s="110">
        <v>0.65625</v>
      </c>
      <c r="CH68" s="209"/>
      <c r="CI68" s="110">
        <v>0.65625</v>
      </c>
      <c r="CJ68" s="211"/>
      <c r="CK68" s="21"/>
      <c r="CL68" s="110">
        <v>0.65625</v>
      </c>
      <c r="CM68" s="209"/>
      <c r="CN68" s="110">
        <v>0.65625</v>
      </c>
      <c r="CO68" s="209"/>
      <c r="CP68" s="110">
        <v>0.65625</v>
      </c>
      <c r="CQ68" s="211"/>
      <c r="CR68" s="21"/>
      <c r="CS68" s="110">
        <v>0.65625</v>
      </c>
      <c r="CT68" s="211"/>
      <c r="CU68" s="21"/>
      <c r="CV68" s="110">
        <v>0.65625</v>
      </c>
      <c r="CW68" s="264"/>
      <c r="CY68" s="260">
        <v>0.65625</v>
      </c>
      <c r="CZ68" s="178"/>
      <c r="DA68" s="110">
        <v>0.65625</v>
      </c>
      <c r="DB68" s="263"/>
      <c r="DC68" s="110">
        <v>0.65625</v>
      </c>
      <c r="DD68" s="211"/>
      <c r="DE68" s="21"/>
      <c r="DF68" s="110">
        <v>0.65625</v>
      </c>
      <c r="DG68" s="209"/>
      <c r="DH68" s="110">
        <v>0.65625</v>
      </c>
      <c r="DI68" s="209"/>
      <c r="DJ68" s="110">
        <v>0.65625</v>
      </c>
      <c r="DK68" s="211"/>
      <c r="DL68" s="21"/>
      <c r="DM68" s="110">
        <v>0.65625</v>
      </c>
      <c r="DN68" s="209"/>
      <c r="DO68" s="110">
        <v>0.65625</v>
      </c>
      <c r="DP68" s="209"/>
      <c r="DQ68" s="110">
        <v>0.65625</v>
      </c>
      <c r="DR68" s="211"/>
      <c r="DS68" s="21"/>
      <c r="DT68" s="110">
        <v>0.65625</v>
      </c>
      <c r="DU68" s="209"/>
      <c r="DV68" s="110">
        <v>0.65625</v>
      </c>
      <c r="DW68" s="209"/>
      <c r="DX68" s="110">
        <v>0.65625</v>
      </c>
      <c r="DY68" s="211"/>
      <c r="DZ68" s="21"/>
      <c r="EA68" s="110">
        <v>0.65625</v>
      </c>
      <c r="EB68" s="209">
        <f>IF('Temperature Profiles'!AA67&gt;18,(0.0018*('Temperature Profiles'!AA67^2)-(0.0475*'Temperature Profiles'!AA67)+0.3123)*1000,IF(AND('Temperature Profiles'!AA67&lt;17,'Temperature Profiles'!AA67&gt;-5.6),(0.0021*('Temperature Profiles'!AA67^2)-(0.0919*'Temperature Profiles'!AA67)+1.0491)*1000,IF(AND('Temperature Profiles'!AA67&lt;-5.6,'Temperature Profiles'!AA67&gt;-11.4),(((-0.2925*'Temperature Profiles'!AA67)-1.6914)*1000)+EB$208,IF('Temperature Profiles'!AA67&lt;-11.4,EB171,0))))</f>
        <v>1408.0479791666667</v>
      </c>
      <c r="EC68" s="110">
        <v>0.65625</v>
      </c>
      <c r="ED68" s="209">
        <f>IF('Temperature Profiles'!AA67&gt;18,(0.0034*('Temperature Profiles'!AA67^2)-(0.087*'Temperature Profiles'!AA67)+0.5117)*1000,IF(AND('Temperature Profiles'!AA67&lt;17,'Temperature Profiles'!AA67&gt;-4.4),(0.0027*('Temperature Profiles'!AA67^2)-(0.149*'Temperature Profiles'!AA67)+1.7779)*1000,IF(AND('Temperature Profiles'!AA67&lt;-4.4,'Temperature Profiles'!AA67&gt;-8.5),(((-0.5391*'Temperature Profiles'!AA67)-2.0906)*1000)+ED$208,IF('Temperature Profiles'!AA67&lt;-8.5,ED171,0))))</f>
        <v>2350.6958541666668</v>
      </c>
      <c r="EE68" s="110">
        <v>0.65625</v>
      </c>
      <c r="EF68" s="211">
        <f>IF('Temperature Profiles'!AA67&gt;18,(0.0048*('Temperature Profiles'!AA67^2)-(0.1352*'Temperature Profiles'!AA67)+0.9193)*1000,IF(AND('Temperature Profiles'!AA67&lt;17,'Temperature Profiles'!AA67&gt;-4.4),(0.0031*('Temperature Profiles'!AA67^2)-(0.2029*'Temperature Profiles'!AA67)+2.4264)*1000,IF(AND('Temperature Profiles'!AA67&lt;-4.4,'Temperature Profiles'!AA67&gt;-8.5),(((-0.7516*'Temperature Profiles'!AA67)-2.9985)*1000)+EF$208,IF('Temperature Profiles'!AA67&lt;-8.5,EF171,0))))</f>
        <v>3198.8930486111117</v>
      </c>
      <c r="EG68" s="21"/>
      <c r="EH68" s="110">
        <v>0.65625</v>
      </c>
      <c r="EI68" s="211"/>
      <c r="EJ68" s="110">
        <v>0.65625</v>
      </c>
      <c r="EK68" s="211"/>
      <c r="EL68" s="110">
        <v>0.65625</v>
      </c>
      <c r="EM68" s="211"/>
      <c r="EN68" s="21"/>
      <c r="EO68" s="110">
        <v>0.65625</v>
      </c>
      <c r="EP68" s="211"/>
      <c r="EQ68" s="21"/>
      <c r="ER68" s="110">
        <v>0.65625</v>
      </c>
      <c r="ES68" s="264"/>
      <c r="EU68" s="260">
        <v>0.65625</v>
      </c>
      <c r="EV68" s="209">
        <f>IF('Temperature Profiles'!AA67&gt;18,(0.0018*('Temperature Profiles'!AA67^2)-(0.0475*'Temperature Profiles'!AA67)+0.3123)*1000,IF(AND('Temperature Profiles'!AA67&lt;17,'Temperature Profiles'!AA67&gt;-5.6),(0.0021*('Temperature Profiles'!AA67^2)-(0.0919*'Temperature Profiles'!AA67)+1.0491)*1000,IF(AND('Temperature Profiles'!AA67&lt;-5.6,'Temperature Profiles'!AA67&gt;-11.4),EV$208,IF('Temperature Profiles'!AA67&lt;-11.4,EV171,0))))</f>
        <v>1408.0479791666667</v>
      </c>
      <c r="EW68" s="110">
        <v>0.65625</v>
      </c>
      <c r="EX68" s="209">
        <f>IF('Temperature Profiles'!AA67&gt;18,(0.0034*('Temperature Profiles'!AA67^2)-(0.087*'Temperature Profiles'!AA67)+0.5117)*1000,IF(AND('Temperature Profiles'!AA67&lt;17,'Temperature Profiles'!AA67&gt;-4.4),(0.0027*('Temperature Profiles'!AA67^2)-(0.149*'Temperature Profiles'!AA67)+1.7779)*1000,IF(AND('Temperature Profiles'!AA67&lt;-4.4,'Temperature Profiles'!AA67&gt;-8.5),EX$208,IF('Temperature Profiles'!AA67&lt;-8.5,EX171,0))))</f>
        <v>2350.6958541666668</v>
      </c>
      <c r="EY68" s="110">
        <v>0.65625</v>
      </c>
      <c r="EZ68" s="264">
        <f>IF('Temperature Profiles'!AA67&gt;18,(0.0048*('Temperature Profiles'!AA67^2)-(0.1352*'Temperature Profiles'!AA67)+0.9193)*1000,IF(AND('Temperature Profiles'!AA67&lt;17,'Temperature Profiles'!AA67&gt;-4.4),(0.0031*('Temperature Profiles'!AA67^2)-(0.2029*'Temperature Profiles'!AA67)+2.4264)*1000,IF(AND('Temperature Profiles'!AA67&lt;-4.4,'Temperature Profiles'!AA67&gt;-8.5),EZ$208,IF('Temperature Profiles'!AA67&lt;-8.5,EZ171,0))))</f>
        <v>3198.8930486111117</v>
      </c>
    </row>
    <row r="69" spans="1:156" x14ac:dyDescent="0.3">
      <c r="A69" s="108">
        <v>0.65625</v>
      </c>
      <c r="B69" s="226">
        <f t="shared" si="4"/>
        <v>0</v>
      </c>
      <c r="C69" s="21">
        <f t="shared" si="5"/>
        <v>0</v>
      </c>
      <c r="D69" s="21">
        <f t="shared" si="6"/>
        <v>3198.8930486111117</v>
      </c>
      <c r="E69" s="20">
        <f t="shared" si="3"/>
        <v>3198.8930486111117</v>
      </c>
      <c r="G69" s="260">
        <v>0.66666666666666696</v>
      </c>
      <c r="H69" s="211"/>
      <c r="I69" s="110">
        <v>0.66666666666666696</v>
      </c>
      <c r="J69" s="211"/>
      <c r="K69" s="110">
        <v>0.66666666666666696</v>
      </c>
      <c r="L69" s="211"/>
      <c r="M69" s="21"/>
      <c r="N69" s="110">
        <v>0.66666666666666696</v>
      </c>
      <c r="O69" s="209"/>
      <c r="P69" s="110">
        <v>0.66666666666666696</v>
      </c>
      <c r="Q69" s="209"/>
      <c r="R69" s="110">
        <v>0.66666666666666696</v>
      </c>
      <c r="S69" s="211"/>
      <c r="T69" s="21"/>
      <c r="U69" s="110">
        <v>0.66666666666666696</v>
      </c>
      <c r="V69" s="209"/>
      <c r="W69" s="110">
        <v>0.66666666666666696</v>
      </c>
      <c r="X69" s="209"/>
      <c r="Y69" s="110">
        <v>0.66666666666666696</v>
      </c>
      <c r="Z69" s="211"/>
      <c r="AA69" s="21"/>
      <c r="AB69" s="110">
        <v>0.66666666666666696</v>
      </c>
      <c r="AC69" s="209"/>
      <c r="AD69" s="110">
        <v>0.66666666666666696</v>
      </c>
      <c r="AE69" s="209"/>
      <c r="AF69" s="110">
        <v>0.66666666666666696</v>
      </c>
      <c r="AG69" s="211"/>
      <c r="AH69" s="21"/>
      <c r="AI69" s="110">
        <v>0.66666666666666696</v>
      </c>
      <c r="AJ69" s="209"/>
      <c r="AK69" s="110">
        <v>0.66666666666666696</v>
      </c>
      <c r="AL69" s="209"/>
      <c r="AM69" s="110">
        <v>0.66666666666666696</v>
      </c>
      <c r="AN69" s="211"/>
      <c r="AO69" s="21"/>
      <c r="AP69" s="110">
        <v>0.66666666666666696</v>
      </c>
      <c r="AQ69" s="209"/>
      <c r="AR69" s="110">
        <v>0.66666666666666696</v>
      </c>
      <c r="AS69" s="209"/>
      <c r="AT69" s="110">
        <v>0.66666666666666696</v>
      </c>
      <c r="AU69" s="211"/>
      <c r="AV69" s="21"/>
      <c r="AW69" s="110">
        <v>0.66666666666666696</v>
      </c>
      <c r="AX69" s="211"/>
      <c r="AY69" s="21"/>
      <c r="AZ69" s="110">
        <v>0.66666666666666696</v>
      </c>
      <c r="BA69" s="264"/>
      <c r="BC69" s="260">
        <v>0.66666666666666696</v>
      </c>
      <c r="BD69" s="211"/>
      <c r="BE69" s="110">
        <v>0.66666666666666696</v>
      </c>
      <c r="BF69" s="211"/>
      <c r="BG69" s="110">
        <v>0.66666666666666696</v>
      </c>
      <c r="BH69" s="211"/>
      <c r="BI69" s="21"/>
      <c r="BJ69" s="110">
        <v>0.66666666666666696</v>
      </c>
      <c r="BK69" s="209"/>
      <c r="BL69" s="110">
        <v>0.66666666666666696</v>
      </c>
      <c r="BM69" s="209"/>
      <c r="BN69" s="110">
        <v>0.66666666666666696</v>
      </c>
      <c r="BO69" s="211"/>
      <c r="BP69" s="21"/>
      <c r="BQ69" s="110">
        <v>0.66666666666666696</v>
      </c>
      <c r="BR69" s="209"/>
      <c r="BS69" s="110">
        <v>0.66666666666666696</v>
      </c>
      <c r="BT69" s="209"/>
      <c r="BU69" s="110">
        <v>0.66666666666666696</v>
      </c>
      <c r="BV69" s="211"/>
      <c r="BW69" s="21"/>
      <c r="BX69" s="110">
        <v>0.66666666666666696</v>
      </c>
      <c r="BY69" s="209"/>
      <c r="BZ69" s="110">
        <v>0.66666666666666696</v>
      </c>
      <c r="CA69" s="209"/>
      <c r="CB69" s="110">
        <v>0.66666666666666696</v>
      </c>
      <c r="CC69" s="211"/>
      <c r="CD69" s="21"/>
      <c r="CE69" s="110">
        <v>0.66666666666666696</v>
      </c>
      <c r="CF69" s="209"/>
      <c r="CG69" s="110">
        <v>0.66666666666666696</v>
      </c>
      <c r="CH69" s="209"/>
      <c r="CI69" s="110">
        <v>0.66666666666666696</v>
      </c>
      <c r="CJ69" s="211"/>
      <c r="CK69" s="21"/>
      <c r="CL69" s="110">
        <v>0.66666666666666696</v>
      </c>
      <c r="CM69" s="209"/>
      <c r="CN69" s="110">
        <v>0.66666666666666696</v>
      </c>
      <c r="CO69" s="209"/>
      <c r="CP69" s="110">
        <v>0.66666666666666696</v>
      </c>
      <c r="CQ69" s="211"/>
      <c r="CR69" s="21"/>
      <c r="CS69" s="110">
        <v>0.66666666666666696</v>
      </c>
      <c r="CT69" s="211"/>
      <c r="CU69" s="21"/>
      <c r="CV69" s="110">
        <v>0.66666666666666696</v>
      </c>
      <c r="CW69" s="264"/>
      <c r="CY69" s="260">
        <v>0.66666666666666696</v>
      </c>
      <c r="CZ69" s="178"/>
      <c r="DA69" s="110">
        <v>0.66666666666666696</v>
      </c>
      <c r="DB69" s="263"/>
      <c r="DC69" s="110">
        <v>0.66666666666666696</v>
      </c>
      <c r="DD69" s="211"/>
      <c r="DE69" s="21"/>
      <c r="DF69" s="110">
        <v>0.66666666666666696</v>
      </c>
      <c r="DG69" s="209"/>
      <c r="DH69" s="110">
        <v>0.66666666666666696</v>
      </c>
      <c r="DI69" s="209"/>
      <c r="DJ69" s="110">
        <v>0.66666666666666696</v>
      </c>
      <c r="DK69" s="211"/>
      <c r="DL69" s="21"/>
      <c r="DM69" s="110">
        <v>0.66666666666666696</v>
      </c>
      <c r="DN69" s="209"/>
      <c r="DO69" s="110">
        <v>0.66666666666666696</v>
      </c>
      <c r="DP69" s="209"/>
      <c r="DQ69" s="110">
        <v>0.66666666666666696</v>
      </c>
      <c r="DR69" s="211"/>
      <c r="DS69" s="21"/>
      <c r="DT69" s="110">
        <v>0.66666666666666696</v>
      </c>
      <c r="DU69" s="209"/>
      <c r="DV69" s="110">
        <v>0.66666666666666696</v>
      </c>
      <c r="DW69" s="209"/>
      <c r="DX69" s="110">
        <v>0.66666666666666696</v>
      </c>
      <c r="DY69" s="211"/>
      <c r="DZ69" s="21"/>
      <c r="EA69" s="110">
        <v>0.66666666666666696</v>
      </c>
      <c r="EB69" s="209">
        <f>IF('Temperature Profiles'!AA68&gt;18,(0.0018*('Temperature Profiles'!AA68^2)-(0.0475*'Temperature Profiles'!AA68)+0.3123)*1000,IF(AND('Temperature Profiles'!AA68&lt;17,'Temperature Profiles'!AA68&gt;-5.6),(0.0021*('Temperature Profiles'!AA68^2)-(0.0919*'Temperature Profiles'!AA68)+1.0491)*1000,IF(AND('Temperature Profiles'!AA68&lt;-5.6,'Temperature Profiles'!AA68&gt;-11.4),(((-0.2925*'Temperature Profiles'!AA68)-1.6914)*1000)+EB$208,IF('Temperature Profiles'!AA68&lt;-11.4,EB172,0))))</f>
        <v>1435.8439999999998</v>
      </c>
      <c r="EC69" s="110">
        <v>0.66666666666666696</v>
      </c>
      <c r="ED69" s="209">
        <f>IF('Temperature Profiles'!AA68&gt;18,(0.0034*('Temperature Profiles'!AA68^2)-(0.087*'Temperature Profiles'!AA68)+0.5117)*1000,IF(AND('Temperature Profiles'!AA68&lt;17,'Temperature Profiles'!AA68&gt;-4.4),(0.0027*('Temperature Profiles'!AA68^2)-(0.149*'Temperature Profiles'!AA68)+1.7779)*1000,IF(AND('Temperature Profiles'!AA68&lt;-4.4,'Temperature Profiles'!AA68&gt;-8.5),(((-0.5391*'Temperature Profiles'!AA68)-2.0906)*1000)+ED$208,IF('Temperature Profiles'!AA68&lt;-8.5,ED172,0))))</f>
        <v>2394.4013333333337</v>
      </c>
      <c r="EE69" s="110">
        <v>0.66666666666666696</v>
      </c>
      <c r="EF69" s="211">
        <f>IF('Temperature Profiles'!AA68&gt;18,(0.0048*('Temperature Profiles'!AA68^2)-(0.1352*'Temperature Profiles'!AA68)+0.9193)*1000,IF(AND('Temperature Profiles'!AA68&lt;17,'Temperature Profiles'!AA68&gt;-4.4),(0.0031*('Temperature Profiles'!AA68^2)-(0.2029*'Temperature Profiles'!AA68)+2.4264)*1000,IF(AND('Temperature Profiles'!AA68&lt;-4.4,'Temperature Profiles'!AA68&gt;-8.5),(((-0.7516*'Temperature Profiles'!AA68)-2.9985)*1000)+EF$208,IF('Temperature Profiles'!AA68&lt;-8.5,EF172,0))))</f>
        <v>3257.2951111111115</v>
      </c>
      <c r="EG69" s="21"/>
      <c r="EH69" s="110">
        <v>0.66666666666666696</v>
      </c>
      <c r="EI69" s="211"/>
      <c r="EJ69" s="110">
        <v>0.66666666666666696</v>
      </c>
      <c r="EK69" s="211"/>
      <c r="EL69" s="110">
        <v>0.66666666666666696</v>
      </c>
      <c r="EM69" s="211"/>
      <c r="EN69" s="21"/>
      <c r="EO69" s="110">
        <v>0.66666666666666696</v>
      </c>
      <c r="EP69" s="211"/>
      <c r="EQ69" s="21"/>
      <c r="ER69" s="110">
        <v>0.66666666666666696</v>
      </c>
      <c r="ES69" s="264"/>
      <c r="EU69" s="260">
        <v>0.66666666666666696</v>
      </c>
      <c r="EV69" s="209">
        <f>IF('Temperature Profiles'!AA68&gt;18,(0.0018*('Temperature Profiles'!AA68^2)-(0.0475*'Temperature Profiles'!AA68)+0.3123)*1000,IF(AND('Temperature Profiles'!AA68&lt;17,'Temperature Profiles'!AA68&gt;-5.6),(0.0021*('Temperature Profiles'!AA68^2)-(0.0919*'Temperature Profiles'!AA68)+1.0491)*1000,IF(AND('Temperature Profiles'!AA68&lt;-5.6,'Temperature Profiles'!AA68&gt;-11.4),EV$208,IF('Temperature Profiles'!AA68&lt;-11.4,EV172,0))))</f>
        <v>1435.8439999999998</v>
      </c>
      <c r="EW69" s="110">
        <v>0.66666666666666696</v>
      </c>
      <c r="EX69" s="209">
        <f>IF('Temperature Profiles'!AA68&gt;18,(0.0034*('Temperature Profiles'!AA68^2)-(0.087*'Temperature Profiles'!AA68)+0.5117)*1000,IF(AND('Temperature Profiles'!AA68&lt;17,'Temperature Profiles'!AA68&gt;-4.4),(0.0027*('Temperature Profiles'!AA68^2)-(0.149*'Temperature Profiles'!AA68)+1.7779)*1000,IF(AND('Temperature Profiles'!AA68&lt;-4.4,'Temperature Profiles'!AA68&gt;-8.5),EX$208,IF('Temperature Profiles'!AA68&lt;-8.5,EX172,0))))</f>
        <v>2394.4013333333337</v>
      </c>
      <c r="EY69" s="110">
        <v>0.66666666666666696</v>
      </c>
      <c r="EZ69" s="264">
        <f>IF('Temperature Profiles'!AA68&gt;18,(0.0048*('Temperature Profiles'!AA68^2)-(0.1352*'Temperature Profiles'!AA68)+0.9193)*1000,IF(AND('Temperature Profiles'!AA68&lt;17,'Temperature Profiles'!AA68&gt;-4.4),(0.0031*('Temperature Profiles'!AA68^2)-(0.2029*'Temperature Profiles'!AA68)+2.4264)*1000,IF(AND('Temperature Profiles'!AA68&lt;-4.4,'Temperature Profiles'!AA68&gt;-8.5),EZ$208,IF('Temperature Profiles'!AA68&lt;-8.5,EZ172,0))))</f>
        <v>3257.2951111111115</v>
      </c>
    </row>
    <row r="70" spans="1:156" x14ac:dyDescent="0.3">
      <c r="A70" s="108">
        <v>0.66666666666666696</v>
      </c>
      <c r="B70" s="226">
        <f t="shared" ref="B70:B101" si="7">IF(AND($B$3=$G$2,$D$3=$G$3),H69,IF(AND($B$3=$G$2,$D$3=$I$3),J69,IF(AND($B$3=$G$2,$D$3=$K$3),L69,IF(AND($B$3=$N$2,$D$3=$N$3),O69,IF(AND($B$3=$N$2,$D$3=$P$3),Q69,IF(AND($B$3=$N$2,$D$3=$R$3),S69,IF(AND($B$3=$U$2,$D$3=$U$3),V69,IF(AND($B$3=$U$2,$D$3=$W$3),X69,IF(AND($B$3=$U$2,$D$3=$Y$3),Z69,IF(AND($B$3=$AB$2,$D$3=$AB$3),AC69,IF(AND($B$3=$AB$2,$D$3=$AD$3),AE69,IF(AND($B$3=$AB$2,$D$3=$AF$3),AG69,IF(AND($B$3=$AI$2,$D$3=$AI$3),AJ69,IF(AND($B$3=$AI$2,$D$3=$AK$3),AL69,IF(AND($B$3=$AI$2,$D$3=$AM$3),AN69,IF(AND($B$3=$AP$2,$D$3=$AP$3),AQ69,IF(AND($B$3=$AP$2,$D$3=$AR$3),AS69,IF(AND($B$3=$AP$2,$D$3=$AT$3),AU69,IF($B$3=$AW$3,AX69,IF($B$3=$AZ$3,BA69,0))))))))))))))))))))</f>
        <v>0</v>
      </c>
      <c r="C70" s="21">
        <f t="shared" ref="C70:C101" si="8">IF(AND($B$3=$BC$2,$D$3=$BC$3),BD69,IF(AND($B$3=$BC$2,$D$3=$BE$3),BF69,IF(AND($B$3=$BC$2,$D$3=$BG$3),BH69,IF(AND($B$3=$BJ$2,$D$3=$BJ$3),BK69,IF(AND($B$3=$BJ$2,$D$3=$BL$3),BM69,IF(AND($B$3=$BJ$2,$D$3=$BN$3),BO69,IF(AND($B$3=$BQ$2,$D$3=$BQ$3),BR69,IF(AND($B$3=$BQ$2,$D$3=$BS$3),BT69,IF(AND($B$3=$BQ$2,$D$3=$BU$3),BV69,IF(AND($B$3=$BX$2,$D$3=$BX$3),BY69,IF(AND($B$3=$BX$2,$D$3=$BZ$3),CA69,IF(AND($B$3=$BX$2,$D$3=$CB$3),CC69,IF(AND($B$3=$CE$2,$D$3=$CE$3),CF69,IF(AND($B$3=$CE$2,$D$3=$CG$3),CH69,IF(AND($B$3=$CE$2,$D$3=$CI$3),CJ69,IF(AND($B$3=$CL$2,$D$3=$CL$3),CM69,IF(AND($B$3=$CL$2,$D$3=$CN$3),CO69,IF(AND($B$3=$CL$2,$D$3=$CP$3),CQ69,IF($B$3=$CS$3,CT69,IF($B$3=$CV$3,CW69,0))))))))))))))))))))</f>
        <v>0</v>
      </c>
      <c r="D70" s="21">
        <f t="shared" ref="D70:D101" si="9">IF(AND($B$3=$CY$2,$D$3=$CY$3),CZ69,IF(AND($B$3=$CY$2,$D$3=$DA$3),DB69,IF(AND($B$3=$CY$2,$D$3=$DC$3),DD69,IF(AND($B$3=$DF$2,$D$3=$DF$3),DG69,IF(AND($B$3=$DF$2,$D$3=$DH$3),DI69,IF(AND($B$3=$DF$2,$D$3=$DJ$3),DK69,IF(AND($B$3=$DM$2,$D$3=$DM$3),DN69,IF(AND($B$3=$DM$2,$D$3=$DO$3),DP69,IF(AND($B$3=$DM$2,$D$3=$DQ$3),DR69,IF(AND($B$3=$DT$2,$D$3=$DT$3),DU69,IF(AND($B$3=$DT$2,$D$3=$DV$3),DW69,IF(AND($B$3=$DT$2,$D$3=$DX$3),DY69,IF(AND($B$3=$EA$2,$D$3=$EA$3),EB69,IF(AND($B$3=$EA$2,$D$3=$EC$3),ED69,IF(AND($B$3=$EA$2,$D$3=$EE$3),EF69,IF(AND($B$3=$EH$2,$D$3=$EH$3),EI69,IF(AND($B$3=$EH$2,$D$3=$EJ$3),EK69,IF(AND($B$3=$EH$2,$D$3=$EL$3),EM69,IF($B$3=$EO$3,EP69,IF($B$3=$ER$3,ES69,0))))))))))))))))))))</f>
        <v>3257.2951111111115</v>
      </c>
      <c r="E70" s="20">
        <f t="shared" si="3"/>
        <v>3257.2951111111115</v>
      </c>
      <c r="G70" s="260">
        <v>0.67708333333333304</v>
      </c>
      <c r="H70" s="211"/>
      <c r="I70" s="110">
        <v>0.67708333333333304</v>
      </c>
      <c r="J70" s="211"/>
      <c r="K70" s="110">
        <v>0.67708333333333304</v>
      </c>
      <c r="L70" s="211"/>
      <c r="M70" s="21"/>
      <c r="N70" s="110">
        <v>0.67708333333333304</v>
      </c>
      <c r="O70" s="209"/>
      <c r="P70" s="110">
        <v>0.67708333333333304</v>
      </c>
      <c r="Q70" s="209"/>
      <c r="R70" s="110">
        <v>0.67708333333333304</v>
      </c>
      <c r="S70" s="211"/>
      <c r="T70" s="21"/>
      <c r="U70" s="110">
        <v>0.67708333333333304</v>
      </c>
      <c r="V70" s="209"/>
      <c r="W70" s="110">
        <v>0.67708333333333304</v>
      </c>
      <c r="X70" s="209"/>
      <c r="Y70" s="110">
        <v>0.67708333333333304</v>
      </c>
      <c r="Z70" s="211"/>
      <c r="AA70" s="21"/>
      <c r="AB70" s="110">
        <v>0.67708333333333304</v>
      </c>
      <c r="AC70" s="209"/>
      <c r="AD70" s="110">
        <v>0.67708333333333304</v>
      </c>
      <c r="AE70" s="209"/>
      <c r="AF70" s="110">
        <v>0.67708333333333304</v>
      </c>
      <c r="AG70" s="211"/>
      <c r="AH70" s="21"/>
      <c r="AI70" s="110">
        <v>0.67708333333333304</v>
      </c>
      <c r="AJ70" s="209"/>
      <c r="AK70" s="110">
        <v>0.67708333333333304</v>
      </c>
      <c r="AL70" s="209"/>
      <c r="AM70" s="110">
        <v>0.67708333333333304</v>
      </c>
      <c r="AN70" s="211"/>
      <c r="AO70" s="21"/>
      <c r="AP70" s="110">
        <v>0.67708333333333304</v>
      </c>
      <c r="AQ70" s="209"/>
      <c r="AR70" s="110">
        <v>0.67708333333333304</v>
      </c>
      <c r="AS70" s="209"/>
      <c r="AT70" s="110">
        <v>0.67708333333333304</v>
      </c>
      <c r="AU70" s="211"/>
      <c r="AV70" s="21"/>
      <c r="AW70" s="110">
        <v>0.67708333333333304</v>
      </c>
      <c r="AX70" s="211"/>
      <c r="AY70" s="21"/>
      <c r="AZ70" s="110">
        <v>0.67708333333333304</v>
      </c>
      <c r="BA70" s="264"/>
      <c r="BC70" s="260">
        <v>0.67708333333333304</v>
      </c>
      <c r="BD70" s="211"/>
      <c r="BE70" s="110">
        <v>0.67708333333333304</v>
      </c>
      <c r="BF70" s="211"/>
      <c r="BG70" s="110">
        <v>0.67708333333333304</v>
      </c>
      <c r="BH70" s="211"/>
      <c r="BI70" s="21"/>
      <c r="BJ70" s="110">
        <v>0.67708333333333304</v>
      </c>
      <c r="BK70" s="209"/>
      <c r="BL70" s="110">
        <v>0.67708333333333304</v>
      </c>
      <c r="BM70" s="209"/>
      <c r="BN70" s="110">
        <v>0.67708333333333304</v>
      </c>
      <c r="BO70" s="211"/>
      <c r="BP70" s="21"/>
      <c r="BQ70" s="110">
        <v>0.67708333333333304</v>
      </c>
      <c r="BR70" s="209"/>
      <c r="BS70" s="110">
        <v>0.67708333333333304</v>
      </c>
      <c r="BT70" s="209"/>
      <c r="BU70" s="110">
        <v>0.67708333333333304</v>
      </c>
      <c r="BV70" s="211"/>
      <c r="BW70" s="21"/>
      <c r="BX70" s="110">
        <v>0.67708333333333304</v>
      </c>
      <c r="BY70" s="209"/>
      <c r="BZ70" s="110">
        <v>0.67708333333333304</v>
      </c>
      <c r="CA70" s="209"/>
      <c r="CB70" s="110">
        <v>0.67708333333333304</v>
      </c>
      <c r="CC70" s="211"/>
      <c r="CD70" s="21"/>
      <c r="CE70" s="110">
        <v>0.67708333333333304</v>
      </c>
      <c r="CF70" s="209"/>
      <c r="CG70" s="110">
        <v>0.67708333333333304</v>
      </c>
      <c r="CH70" s="209"/>
      <c r="CI70" s="110">
        <v>0.67708333333333304</v>
      </c>
      <c r="CJ70" s="211"/>
      <c r="CK70" s="21"/>
      <c r="CL70" s="110">
        <v>0.67708333333333304</v>
      </c>
      <c r="CM70" s="209"/>
      <c r="CN70" s="110">
        <v>0.67708333333333304</v>
      </c>
      <c r="CO70" s="209"/>
      <c r="CP70" s="110">
        <v>0.67708333333333304</v>
      </c>
      <c r="CQ70" s="211"/>
      <c r="CR70" s="21"/>
      <c r="CS70" s="110">
        <v>0.67708333333333304</v>
      </c>
      <c r="CT70" s="211"/>
      <c r="CU70" s="21"/>
      <c r="CV70" s="110">
        <v>0.67708333333333304</v>
      </c>
      <c r="CW70" s="264"/>
      <c r="CY70" s="260">
        <v>0.67708333333333304</v>
      </c>
      <c r="CZ70" s="178"/>
      <c r="DA70" s="110">
        <v>0.67708333333333304</v>
      </c>
      <c r="DB70" s="263"/>
      <c r="DC70" s="110">
        <v>0.67708333333333304</v>
      </c>
      <c r="DD70" s="211"/>
      <c r="DE70" s="21"/>
      <c r="DF70" s="110">
        <v>0.67708333333333304</v>
      </c>
      <c r="DG70" s="209"/>
      <c r="DH70" s="110">
        <v>0.67708333333333304</v>
      </c>
      <c r="DI70" s="209"/>
      <c r="DJ70" s="110">
        <v>0.67708333333333304</v>
      </c>
      <c r="DK70" s="211"/>
      <c r="DL70" s="21"/>
      <c r="DM70" s="110">
        <v>0.67708333333333304</v>
      </c>
      <c r="DN70" s="209"/>
      <c r="DO70" s="110">
        <v>0.67708333333333304</v>
      </c>
      <c r="DP70" s="209"/>
      <c r="DQ70" s="110">
        <v>0.67708333333333304</v>
      </c>
      <c r="DR70" s="211"/>
      <c r="DS70" s="21"/>
      <c r="DT70" s="110">
        <v>0.67708333333333304</v>
      </c>
      <c r="DU70" s="209"/>
      <c r="DV70" s="110">
        <v>0.67708333333333304</v>
      </c>
      <c r="DW70" s="209"/>
      <c r="DX70" s="110">
        <v>0.67708333333333304</v>
      </c>
      <c r="DY70" s="211"/>
      <c r="DZ70" s="21"/>
      <c r="EA70" s="110">
        <v>0.67708333333333304</v>
      </c>
      <c r="EB70" s="209">
        <f>IF('Temperature Profiles'!AA69&gt;18,(0.0018*('Temperature Profiles'!AA69^2)-(0.0475*'Temperature Profiles'!AA69)+0.3123)*1000,IF(AND('Temperature Profiles'!AA69&lt;17,'Temperature Profiles'!AA69&gt;-5.6),(0.0021*('Temperature Profiles'!AA69^2)-(0.0919*'Temperature Profiles'!AA69)+1.0491)*1000,IF(AND('Temperature Profiles'!AA69&lt;-5.6,'Temperature Profiles'!AA69&gt;-11.4),(((-0.2925*'Temperature Profiles'!AA69)-1.6914)*1000)+EB$208,IF('Temperature Profiles'!AA69&lt;-11.4,EB173,0))))</f>
        <v>1435.8439999999998</v>
      </c>
      <c r="EC70" s="110">
        <v>0.67708333333333304</v>
      </c>
      <c r="ED70" s="209">
        <f>IF('Temperature Profiles'!AA69&gt;18,(0.0034*('Temperature Profiles'!AA69^2)-(0.087*'Temperature Profiles'!AA69)+0.5117)*1000,IF(AND('Temperature Profiles'!AA69&lt;17,'Temperature Profiles'!AA69&gt;-4.4),(0.0027*('Temperature Profiles'!AA69^2)-(0.149*'Temperature Profiles'!AA69)+1.7779)*1000,IF(AND('Temperature Profiles'!AA69&lt;-4.4,'Temperature Profiles'!AA69&gt;-8.5),(((-0.5391*'Temperature Profiles'!AA69)-2.0906)*1000)+ED$208,IF('Temperature Profiles'!AA69&lt;-8.5,ED173,0))))</f>
        <v>2394.4013333333337</v>
      </c>
      <c r="EE70" s="110">
        <v>0.67708333333333304</v>
      </c>
      <c r="EF70" s="211">
        <f>IF('Temperature Profiles'!AA69&gt;18,(0.0048*('Temperature Profiles'!AA69^2)-(0.1352*'Temperature Profiles'!AA69)+0.9193)*1000,IF(AND('Temperature Profiles'!AA69&lt;17,'Temperature Profiles'!AA69&gt;-4.4),(0.0031*('Temperature Profiles'!AA69^2)-(0.2029*'Temperature Profiles'!AA69)+2.4264)*1000,IF(AND('Temperature Profiles'!AA69&lt;-4.4,'Temperature Profiles'!AA69&gt;-8.5),(((-0.7516*'Temperature Profiles'!AA69)-2.9985)*1000)+EF$208,IF('Temperature Profiles'!AA69&lt;-8.5,EF173,0))))</f>
        <v>3257.2951111111115</v>
      </c>
      <c r="EG70" s="21"/>
      <c r="EH70" s="110">
        <v>0.67708333333333304</v>
      </c>
      <c r="EI70" s="211"/>
      <c r="EJ70" s="110">
        <v>0.67708333333333304</v>
      </c>
      <c r="EK70" s="211"/>
      <c r="EL70" s="110">
        <v>0.67708333333333304</v>
      </c>
      <c r="EM70" s="211"/>
      <c r="EN70" s="21"/>
      <c r="EO70" s="110">
        <v>0.67708333333333304</v>
      </c>
      <c r="EP70" s="211"/>
      <c r="EQ70" s="21"/>
      <c r="ER70" s="110">
        <v>0.67708333333333304</v>
      </c>
      <c r="ES70" s="264"/>
      <c r="EU70" s="260">
        <v>0.67708333333333304</v>
      </c>
      <c r="EV70" s="209">
        <f>IF('Temperature Profiles'!AA69&gt;18,(0.0018*('Temperature Profiles'!AA69^2)-(0.0475*'Temperature Profiles'!AA69)+0.3123)*1000,IF(AND('Temperature Profiles'!AA69&lt;17,'Temperature Profiles'!AA69&gt;-5.6),(0.0021*('Temperature Profiles'!AA69^2)-(0.0919*'Temperature Profiles'!AA69)+1.0491)*1000,IF(AND('Temperature Profiles'!AA69&lt;-5.6,'Temperature Profiles'!AA69&gt;-11.4),EV$208,IF('Temperature Profiles'!AA69&lt;-11.4,EV173,0))))</f>
        <v>1435.8439999999998</v>
      </c>
      <c r="EW70" s="110">
        <v>0.67708333333333304</v>
      </c>
      <c r="EX70" s="209">
        <f>IF('Temperature Profiles'!AA69&gt;18,(0.0034*('Temperature Profiles'!AA69^2)-(0.087*'Temperature Profiles'!AA69)+0.5117)*1000,IF(AND('Temperature Profiles'!AA69&lt;17,'Temperature Profiles'!AA69&gt;-4.4),(0.0027*('Temperature Profiles'!AA69^2)-(0.149*'Temperature Profiles'!AA69)+1.7779)*1000,IF(AND('Temperature Profiles'!AA69&lt;-4.4,'Temperature Profiles'!AA69&gt;-8.5),EX$208,IF('Temperature Profiles'!AA69&lt;-8.5,EX173,0))))</f>
        <v>2394.4013333333337</v>
      </c>
      <c r="EY70" s="110">
        <v>0.67708333333333304</v>
      </c>
      <c r="EZ70" s="264">
        <f>IF('Temperature Profiles'!AA69&gt;18,(0.0048*('Temperature Profiles'!AA69^2)-(0.1352*'Temperature Profiles'!AA69)+0.9193)*1000,IF(AND('Temperature Profiles'!AA69&lt;17,'Temperature Profiles'!AA69&gt;-4.4),(0.0031*('Temperature Profiles'!AA69^2)-(0.2029*'Temperature Profiles'!AA69)+2.4264)*1000,IF(AND('Temperature Profiles'!AA69&lt;-4.4,'Temperature Profiles'!AA69&gt;-8.5),EZ$208,IF('Temperature Profiles'!AA69&lt;-8.5,EZ173,0))))</f>
        <v>3257.2951111111115</v>
      </c>
    </row>
    <row r="71" spans="1:156" x14ac:dyDescent="0.3">
      <c r="A71" s="108">
        <v>0.67708333333333304</v>
      </c>
      <c r="B71" s="226">
        <f t="shared" si="7"/>
        <v>0</v>
      </c>
      <c r="C71" s="21">
        <f t="shared" si="8"/>
        <v>0</v>
      </c>
      <c r="D71" s="21">
        <f t="shared" si="9"/>
        <v>3257.2951111111115</v>
      </c>
      <c r="E71" s="20">
        <f t="shared" ref="E71:E101" si="10">IF(AND($B$3=$EU$2,$D$3=$EU$3),EV70,IF(AND($B$3=$EU$2,$D$3=$EW$3),EX70,IF(AND($B$3=$EU$2,$D$3=$EY$3),EZ70,0)))</f>
        <v>3257.2951111111115</v>
      </c>
      <c r="G71" s="260">
        <v>0.6875</v>
      </c>
      <c r="H71" s="211"/>
      <c r="I71" s="110">
        <v>0.6875</v>
      </c>
      <c r="J71" s="211"/>
      <c r="K71" s="110">
        <v>0.6875</v>
      </c>
      <c r="L71" s="211"/>
      <c r="M71" s="21"/>
      <c r="N71" s="110">
        <v>0.6875</v>
      </c>
      <c r="O71" s="209"/>
      <c r="P71" s="110">
        <v>0.6875</v>
      </c>
      <c r="Q71" s="209"/>
      <c r="R71" s="110">
        <v>0.6875</v>
      </c>
      <c r="S71" s="211"/>
      <c r="T71" s="21"/>
      <c r="U71" s="110">
        <v>0.6875</v>
      </c>
      <c r="V71" s="209"/>
      <c r="W71" s="110">
        <v>0.6875</v>
      </c>
      <c r="X71" s="209"/>
      <c r="Y71" s="110">
        <v>0.6875</v>
      </c>
      <c r="Z71" s="211"/>
      <c r="AA71" s="21"/>
      <c r="AB71" s="110">
        <v>0.6875</v>
      </c>
      <c r="AC71" s="209"/>
      <c r="AD71" s="110">
        <v>0.6875</v>
      </c>
      <c r="AE71" s="209"/>
      <c r="AF71" s="110">
        <v>0.6875</v>
      </c>
      <c r="AG71" s="211"/>
      <c r="AH71" s="21"/>
      <c r="AI71" s="110">
        <v>0.6875</v>
      </c>
      <c r="AJ71" s="209"/>
      <c r="AK71" s="110">
        <v>0.6875</v>
      </c>
      <c r="AL71" s="209"/>
      <c r="AM71" s="110">
        <v>0.6875</v>
      </c>
      <c r="AN71" s="211"/>
      <c r="AO71" s="21"/>
      <c r="AP71" s="110">
        <v>0.6875</v>
      </c>
      <c r="AQ71" s="209"/>
      <c r="AR71" s="110">
        <v>0.6875</v>
      </c>
      <c r="AS71" s="209"/>
      <c r="AT71" s="110">
        <v>0.6875</v>
      </c>
      <c r="AU71" s="211"/>
      <c r="AV71" s="21"/>
      <c r="AW71" s="110">
        <v>0.6875</v>
      </c>
      <c r="AX71" s="211"/>
      <c r="AY71" s="21"/>
      <c r="AZ71" s="110">
        <v>0.6875</v>
      </c>
      <c r="BA71" s="264"/>
      <c r="BC71" s="260">
        <v>0.6875</v>
      </c>
      <c r="BD71" s="211"/>
      <c r="BE71" s="110">
        <v>0.6875</v>
      </c>
      <c r="BF71" s="211"/>
      <c r="BG71" s="110">
        <v>0.6875</v>
      </c>
      <c r="BH71" s="211"/>
      <c r="BI71" s="21"/>
      <c r="BJ71" s="110">
        <v>0.6875</v>
      </c>
      <c r="BK71" s="209"/>
      <c r="BL71" s="110">
        <v>0.6875</v>
      </c>
      <c r="BM71" s="209"/>
      <c r="BN71" s="110">
        <v>0.6875</v>
      </c>
      <c r="BO71" s="211"/>
      <c r="BP71" s="21"/>
      <c r="BQ71" s="110">
        <v>0.6875</v>
      </c>
      <c r="BR71" s="209"/>
      <c r="BS71" s="110">
        <v>0.6875</v>
      </c>
      <c r="BT71" s="209"/>
      <c r="BU71" s="110">
        <v>0.6875</v>
      </c>
      <c r="BV71" s="211"/>
      <c r="BW71" s="21"/>
      <c r="BX71" s="110">
        <v>0.6875</v>
      </c>
      <c r="BY71" s="209"/>
      <c r="BZ71" s="110">
        <v>0.6875</v>
      </c>
      <c r="CA71" s="209"/>
      <c r="CB71" s="110">
        <v>0.6875</v>
      </c>
      <c r="CC71" s="211"/>
      <c r="CD71" s="21"/>
      <c r="CE71" s="110">
        <v>0.6875</v>
      </c>
      <c r="CF71" s="209"/>
      <c r="CG71" s="110">
        <v>0.6875</v>
      </c>
      <c r="CH71" s="209"/>
      <c r="CI71" s="110">
        <v>0.6875</v>
      </c>
      <c r="CJ71" s="211"/>
      <c r="CK71" s="21"/>
      <c r="CL71" s="110">
        <v>0.6875</v>
      </c>
      <c r="CM71" s="209"/>
      <c r="CN71" s="110">
        <v>0.6875</v>
      </c>
      <c r="CO71" s="209"/>
      <c r="CP71" s="110">
        <v>0.6875</v>
      </c>
      <c r="CQ71" s="211"/>
      <c r="CR71" s="21"/>
      <c r="CS71" s="110">
        <v>0.6875</v>
      </c>
      <c r="CT71" s="211"/>
      <c r="CU71" s="21"/>
      <c r="CV71" s="110">
        <v>0.6875</v>
      </c>
      <c r="CW71" s="264"/>
      <c r="CY71" s="260">
        <v>0.6875</v>
      </c>
      <c r="CZ71" s="178"/>
      <c r="DA71" s="110">
        <v>0.6875</v>
      </c>
      <c r="DB71" s="263"/>
      <c r="DC71" s="110">
        <v>0.6875</v>
      </c>
      <c r="DD71" s="211"/>
      <c r="DE71" s="21"/>
      <c r="DF71" s="110">
        <v>0.6875</v>
      </c>
      <c r="DG71" s="209"/>
      <c r="DH71" s="110">
        <v>0.6875</v>
      </c>
      <c r="DI71" s="209"/>
      <c r="DJ71" s="110">
        <v>0.6875</v>
      </c>
      <c r="DK71" s="211"/>
      <c r="DL71" s="21"/>
      <c r="DM71" s="110">
        <v>0.6875</v>
      </c>
      <c r="DN71" s="209"/>
      <c r="DO71" s="110">
        <v>0.6875</v>
      </c>
      <c r="DP71" s="209"/>
      <c r="DQ71" s="110">
        <v>0.6875</v>
      </c>
      <c r="DR71" s="211"/>
      <c r="DS71" s="21"/>
      <c r="DT71" s="110">
        <v>0.6875</v>
      </c>
      <c r="DU71" s="209"/>
      <c r="DV71" s="110">
        <v>0.6875</v>
      </c>
      <c r="DW71" s="209"/>
      <c r="DX71" s="110">
        <v>0.6875</v>
      </c>
      <c r="DY71" s="211"/>
      <c r="DZ71" s="21"/>
      <c r="EA71" s="110">
        <v>0.6875</v>
      </c>
      <c r="EB71" s="209">
        <f>IF('Temperature Profiles'!AA70&gt;18,(0.0018*('Temperature Profiles'!AA70^2)-(0.0475*'Temperature Profiles'!AA70)+0.3123)*1000,IF(AND('Temperature Profiles'!AA70&lt;17,'Temperature Profiles'!AA70&gt;-5.6),(0.0021*('Temperature Profiles'!AA70^2)-(0.0919*'Temperature Profiles'!AA70)+1.0491)*1000,IF(AND('Temperature Profiles'!AA70&lt;-5.6,'Temperature Profiles'!AA70&gt;-11.4),(((-0.2925*'Temperature Profiles'!AA70)-1.6914)*1000)+EB$208,IF('Temperature Profiles'!AA70&lt;-11.4,EB174,0))))</f>
        <v>1435.8439999999998</v>
      </c>
      <c r="EC71" s="110">
        <v>0.6875</v>
      </c>
      <c r="ED71" s="209">
        <f>IF('Temperature Profiles'!AA70&gt;18,(0.0034*('Temperature Profiles'!AA70^2)-(0.087*'Temperature Profiles'!AA70)+0.5117)*1000,IF(AND('Temperature Profiles'!AA70&lt;17,'Temperature Profiles'!AA70&gt;-4.4),(0.0027*('Temperature Profiles'!AA70^2)-(0.149*'Temperature Profiles'!AA70)+1.7779)*1000,IF(AND('Temperature Profiles'!AA70&lt;-4.4,'Temperature Profiles'!AA70&gt;-8.5),(((-0.5391*'Temperature Profiles'!AA70)-2.0906)*1000)+ED$208,IF('Temperature Profiles'!AA70&lt;-8.5,ED174,0))))</f>
        <v>2394.4013333333337</v>
      </c>
      <c r="EE71" s="110">
        <v>0.6875</v>
      </c>
      <c r="EF71" s="211">
        <f>IF('Temperature Profiles'!AA70&gt;18,(0.0048*('Temperature Profiles'!AA70^2)-(0.1352*'Temperature Profiles'!AA70)+0.9193)*1000,IF(AND('Temperature Profiles'!AA70&lt;17,'Temperature Profiles'!AA70&gt;-4.4),(0.0031*('Temperature Profiles'!AA70^2)-(0.2029*'Temperature Profiles'!AA70)+2.4264)*1000,IF(AND('Temperature Profiles'!AA70&lt;-4.4,'Temperature Profiles'!AA70&gt;-8.5),(((-0.7516*'Temperature Profiles'!AA70)-2.9985)*1000)+EF$208,IF('Temperature Profiles'!AA70&lt;-8.5,EF174,0))))</f>
        <v>3257.2951111111115</v>
      </c>
      <c r="EG71" s="21"/>
      <c r="EH71" s="110">
        <v>0.6875</v>
      </c>
      <c r="EI71" s="211"/>
      <c r="EJ71" s="110">
        <v>0.6875</v>
      </c>
      <c r="EK71" s="211"/>
      <c r="EL71" s="110">
        <v>0.6875</v>
      </c>
      <c r="EM71" s="211"/>
      <c r="EN71" s="21"/>
      <c r="EO71" s="110">
        <v>0.6875</v>
      </c>
      <c r="EP71" s="211"/>
      <c r="EQ71" s="21"/>
      <c r="ER71" s="110">
        <v>0.6875</v>
      </c>
      <c r="ES71" s="264"/>
      <c r="EU71" s="260">
        <v>0.6875</v>
      </c>
      <c r="EV71" s="209">
        <f>IF('Temperature Profiles'!AA70&gt;18,(0.0018*('Temperature Profiles'!AA70^2)-(0.0475*'Temperature Profiles'!AA70)+0.3123)*1000,IF(AND('Temperature Profiles'!AA70&lt;17,'Temperature Profiles'!AA70&gt;-5.6),(0.0021*('Temperature Profiles'!AA70^2)-(0.0919*'Temperature Profiles'!AA70)+1.0491)*1000,IF(AND('Temperature Profiles'!AA70&lt;-5.6,'Temperature Profiles'!AA70&gt;-11.4),EV$208,IF('Temperature Profiles'!AA70&lt;-11.4,EV174,0))))</f>
        <v>1435.8439999999998</v>
      </c>
      <c r="EW71" s="110">
        <v>0.6875</v>
      </c>
      <c r="EX71" s="209">
        <f>IF('Temperature Profiles'!AA70&gt;18,(0.0034*('Temperature Profiles'!AA70^2)-(0.087*'Temperature Profiles'!AA70)+0.5117)*1000,IF(AND('Temperature Profiles'!AA70&lt;17,'Temperature Profiles'!AA70&gt;-4.4),(0.0027*('Temperature Profiles'!AA70^2)-(0.149*'Temperature Profiles'!AA70)+1.7779)*1000,IF(AND('Temperature Profiles'!AA70&lt;-4.4,'Temperature Profiles'!AA70&gt;-8.5),EX$208,IF('Temperature Profiles'!AA70&lt;-8.5,EX174,0))))</f>
        <v>2394.4013333333337</v>
      </c>
      <c r="EY71" s="110">
        <v>0.6875</v>
      </c>
      <c r="EZ71" s="264">
        <f>IF('Temperature Profiles'!AA70&gt;18,(0.0048*('Temperature Profiles'!AA70^2)-(0.1352*'Temperature Profiles'!AA70)+0.9193)*1000,IF(AND('Temperature Profiles'!AA70&lt;17,'Temperature Profiles'!AA70&gt;-4.4),(0.0031*('Temperature Profiles'!AA70^2)-(0.2029*'Temperature Profiles'!AA70)+2.4264)*1000,IF(AND('Temperature Profiles'!AA70&lt;-4.4,'Temperature Profiles'!AA70&gt;-8.5),EZ$208,IF('Temperature Profiles'!AA70&lt;-8.5,EZ174,0))))</f>
        <v>3257.2951111111115</v>
      </c>
    </row>
    <row r="72" spans="1:156" x14ac:dyDescent="0.3">
      <c r="A72" s="108">
        <v>0.6875</v>
      </c>
      <c r="B72" s="226">
        <f t="shared" si="7"/>
        <v>0</v>
      </c>
      <c r="C72" s="21">
        <f t="shared" si="8"/>
        <v>0</v>
      </c>
      <c r="D72" s="21">
        <f t="shared" si="9"/>
        <v>3257.2951111111115</v>
      </c>
      <c r="E72" s="20">
        <f t="shared" si="10"/>
        <v>3257.2951111111115</v>
      </c>
      <c r="G72" s="260">
        <v>0.69791666666666696</v>
      </c>
      <c r="H72" s="211"/>
      <c r="I72" s="110">
        <v>0.69791666666666696</v>
      </c>
      <c r="J72" s="211"/>
      <c r="K72" s="110">
        <v>0.69791666666666696</v>
      </c>
      <c r="L72" s="211"/>
      <c r="M72" s="21"/>
      <c r="N72" s="110">
        <v>0.69791666666666696</v>
      </c>
      <c r="O72" s="209"/>
      <c r="P72" s="110">
        <v>0.69791666666666696</v>
      </c>
      <c r="Q72" s="209"/>
      <c r="R72" s="110">
        <v>0.69791666666666696</v>
      </c>
      <c r="S72" s="211"/>
      <c r="T72" s="21"/>
      <c r="U72" s="110">
        <v>0.69791666666666696</v>
      </c>
      <c r="V72" s="209"/>
      <c r="W72" s="110">
        <v>0.69791666666666696</v>
      </c>
      <c r="X72" s="209"/>
      <c r="Y72" s="110">
        <v>0.69791666666666696</v>
      </c>
      <c r="Z72" s="211"/>
      <c r="AA72" s="21"/>
      <c r="AB72" s="110">
        <v>0.69791666666666696</v>
      </c>
      <c r="AC72" s="209"/>
      <c r="AD72" s="110">
        <v>0.69791666666666696</v>
      </c>
      <c r="AE72" s="209"/>
      <c r="AF72" s="110">
        <v>0.69791666666666696</v>
      </c>
      <c r="AG72" s="211"/>
      <c r="AH72" s="21"/>
      <c r="AI72" s="110">
        <v>0.69791666666666696</v>
      </c>
      <c r="AJ72" s="209"/>
      <c r="AK72" s="110">
        <v>0.69791666666666696</v>
      </c>
      <c r="AL72" s="209"/>
      <c r="AM72" s="110">
        <v>0.69791666666666696</v>
      </c>
      <c r="AN72" s="211"/>
      <c r="AO72" s="21"/>
      <c r="AP72" s="110">
        <v>0.69791666666666696</v>
      </c>
      <c r="AQ72" s="209"/>
      <c r="AR72" s="110">
        <v>0.69791666666666696</v>
      </c>
      <c r="AS72" s="209"/>
      <c r="AT72" s="110">
        <v>0.69791666666666696</v>
      </c>
      <c r="AU72" s="211"/>
      <c r="AV72" s="21"/>
      <c r="AW72" s="110">
        <v>0.69791666666666696</v>
      </c>
      <c r="AX72" s="211"/>
      <c r="AY72" s="21"/>
      <c r="AZ72" s="110">
        <v>0.69791666666666696</v>
      </c>
      <c r="BA72" s="264"/>
      <c r="BC72" s="260">
        <v>0.69791666666666696</v>
      </c>
      <c r="BD72" s="211"/>
      <c r="BE72" s="110">
        <v>0.69791666666666696</v>
      </c>
      <c r="BF72" s="211"/>
      <c r="BG72" s="110">
        <v>0.69791666666666696</v>
      </c>
      <c r="BH72" s="211"/>
      <c r="BI72" s="21"/>
      <c r="BJ72" s="110">
        <v>0.69791666666666696</v>
      </c>
      <c r="BK72" s="209"/>
      <c r="BL72" s="110">
        <v>0.69791666666666696</v>
      </c>
      <c r="BM72" s="209"/>
      <c r="BN72" s="110">
        <v>0.69791666666666696</v>
      </c>
      <c r="BO72" s="211"/>
      <c r="BP72" s="21"/>
      <c r="BQ72" s="110">
        <v>0.69791666666666696</v>
      </c>
      <c r="BR72" s="209"/>
      <c r="BS72" s="110">
        <v>0.69791666666666696</v>
      </c>
      <c r="BT72" s="209"/>
      <c r="BU72" s="110">
        <v>0.69791666666666696</v>
      </c>
      <c r="BV72" s="211"/>
      <c r="BW72" s="21"/>
      <c r="BX72" s="110">
        <v>0.69791666666666696</v>
      </c>
      <c r="BY72" s="209"/>
      <c r="BZ72" s="110">
        <v>0.69791666666666696</v>
      </c>
      <c r="CA72" s="209"/>
      <c r="CB72" s="110">
        <v>0.69791666666666696</v>
      </c>
      <c r="CC72" s="211"/>
      <c r="CD72" s="21"/>
      <c r="CE72" s="110">
        <v>0.69791666666666696</v>
      </c>
      <c r="CF72" s="209"/>
      <c r="CG72" s="110">
        <v>0.69791666666666696</v>
      </c>
      <c r="CH72" s="209"/>
      <c r="CI72" s="110">
        <v>0.69791666666666696</v>
      </c>
      <c r="CJ72" s="211"/>
      <c r="CK72" s="21"/>
      <c r="CL72" s="110">
        <v>0.69791666666666696</v>
      </c>
      <c r="CM72" s="209"/>
      <c r="CN72" s="110">
        <v>0.69791666666666696</v>
      </c>
      <c r="CO72" s="209"/>
      <c r="CP72" s="110">
        <v>0.69791666666666696</v>
      </c>
      <c r="CQ72" s="211"/>
      <c r="CR72" s="21"/>
      <c r="CS72" s="110">
        <v>0.69791666666666696</v>
      </c>
      <c r="CT72" s="211"/>
      <c r="CU72" s="21"/>
      <c r="CV72" s="110">
        <v>0.69791666666666696</v>
      </c>
      <c r="CW72" s="264"/>
      <c r="CY72" s="260">
        <v>0.69791666666666696</v>
      </c>
      <c r="CZ72" s="178"/>
      <c r="DA72" s="110">
        <v>0.69791666666666696</v>
      </c>
      <c r="DB72" s="263"/>
      <c r="DC72" s="110">
        <v>0.69791666666666696</v>
      </c>
      <c r="DD72" s="211"/>
      <c r="DE72" s="21"/>
      <c r="DF72" s="110">
        <v>0.69791666666666696</v>
      </c>
      <c r="DG72" s="209"/>
      <c r="DH72" s="110">
        <v>0.69791666666666696</v>
      </c>
      <c r="DI72" s="209"/>
      <c r="DJ72" s="110">
        <v>0.69791666666666696</v>
      </c>
      <c r="DK72" s="211"/>
      <c r="DL72" s="21"/>
      <c r="DM72" s="110">
        <v>0.69791666666666696</v>
      </c>
      <c r="DN72" s="209"/>
      <c r="DO72" s="110">
        <v>0.69791666666666696</v>
      </c>
      <c r="DP72" s="209"/>
      <c r="DQ72" s="110">
        <v>0.69791666666666696</v>
      </c>
      <c r="DR72" s="211"/>
      <c r="DS72" s="21"/>
      <c r="DT72" s="110">
        <v>0.69791666666666696</v>
      </c>
      <c r="DU72" s="209"/>
      <c r="DV72" s="110">
        <v>0.69791666666666696</v>
      </c>
      <c r="DW72" s="209"/>
      <c r="DX72" s="110">
        <v>0.69791666666666696</v>
      </c>
      <c r="DY72" s="211"/>
      <c r="DZ72" s="21"/>
      <c r="EA72" s="110">
        <v>0.69791666666666696</v>
      </c>
      <c r="EB72" s="209">
        <f>IF('Temperature Profiles'!AA71&gt;18,(0.0018*('Temperature Profiles'!AA71^2)-(0.0475*'Temperature Profiles'!AA71)+0.3123)*1000,IF(AND('Temperature Profiles'!AA71&lt;17,'Temperature Profiles'!AA71&gt;-5.6),(0.0021*('Temperature Profiles'!AA71^2)-(0.0919*'Temperature Profiles'!AA71)+1.0491)*1000,IF(AND('Temperature Profiles'!AA71&lt;-5.6,'Temperature Profiles'!AA71&gt;-11.4),(((-0.2925*'Temperature Profiles'!AA71)-1.6914)*1000)+EB$208,IF('Temperature Profiles'!AA71&lt;-11.4,EB175,0))))</f>
        <v>1435.8439999999998</v>
      </c>
      <c r="EC72" s="110">
        <v>0.69791666666666696</v>
      </c>
      <c r="ED72" s="209">
        <f>IF('Temperature Profiles'!AA71&gt;18,(0.0034*('Temperature Profiles'!AA71^2)-(0.087*'Temperature Profiles'!AA71)+0.5117)*1000,IF(AND('Temperature Profiles'!AA71&lt;17,'Temperature Profiles'!AA71&gt;-4.4),(0.0027*('Temperature Profiles'!AA71^2)-(0.149*'Temperature Profiles'!AA71)+1.7779)*1000,IF(AND('Temperature Profiles'!AA71&lt;-4.4,'Temperature Profiles'!AA71&gt;-8.5),(((-0.5391*'Temperature Profiles'!AA71)-2.0906)*1000)+ED$208,IF('Temperature Profiles'!AA71&lt;-8.5,ED175,0))))</f>
        <v>2394.4013333333337</v>
      </c>
      <c r="EE72" s="110">
        <v>0.69791666666666696</v>
      </c>
      <c r="EF72" s="211">
        <f>IF('Temperature Profiles'!AA71&gt;18,(0.0048*('Temperature Profiles'!AA71^2)-(0.1352*'Temperature Profiles'!AA71)+0.9193)*1000,IF(AND('Temperature Profiles'!AA71&lt;17,'Temperature Profiles'!AA71&gt;-4.4),(0.0031*('Temperature Profiles'!AA71^2)-(0.2029*'Temperature Profiles'!AA71)+2.4264)*1000,IF(AND('Temperature Profiles'!AA71&lt;-4.4,'Temperature Profiles'!AA71&gt;-8.5),(((-0.7516*'Temperature Profiles'!AA71)-2.9985)*1000)+EF$208,IF('Temperature Profiles'!AA71&lt;-8.5,EF175,0))))</f>
        <v>3257.2951111111115</v>
      </c>
      <c r="EG72" s="21"/>
      <c r="EH72" s="110">
        <v>0.69791666666666696</v>
      </c>
      <c r="EI72" s="211"/>
      <c r="EJ72" s="110">
        <v>0.69791666666666696</v>
      </c>
      <c r="EK72" s="211"/>
      <c r="EL72" s="110">
        <v>0.69791666666666696</v>
      </c>
      <c r="EM72" s="211"/>
      <c r="EN72" s="21"/>
      <c r="EO72" s="110">
        <v>0.69791666666666696</v>
      </c>
      <c r="EP72" s="211"/>
      <c r="EQ72" s="21"/>
      <c r="ER72" s="110">
        <v>0.69791666666666696</v>
      </c>
      <c r="ES72" s="264"/>
      <c r="EU72" s="260">
        <v>0.69791666666666696</v>
      </c>
      <c r="EV72" s="209">
        <f>IF('Temperature Profiles'!AA71&gt;18,(0.0018*('Temperature Profiles'!AA71^2)-(0.0475*'Temperature Profiles'!AA71)+0.3123)*1000,IF(AND('Temperature Profiles'!AA71&lt;17,'Temperature Profiles'!AA71&gt;-5.6),(0.0021*('Temperature Profiles'!AA71^2)-(0.0919*'Temperature Profiles'!AA71)+1.0491)*1000,IF(AND('Temperature Profiles'!AA71&lt;-5.6,'Temperature Profiles'!AA71&gt;-11.4),EV$208,IF('Temperature Profiles'!AA71&lt;-11.4,EV175,0))))</f>
        <v>1435.8439999999998</v>
      </c>
      <c r="EW72" s="110">
        <v>0.69791666666666696</v>
      </c>
      <c r="EX72" s="209">
        <f>IF('Temperature Profiles'!AA71&gt;18,(0.0034*('Temperature Profiles'!AA71^2)-(0.087*'Temperature Profiles'!AA71)+0.5117)*1000,IF(AND('Temperature Profiles'!AA71&lt;17,'Temperature Profiles'!AA71&gt;-4.4),(0.0027*('Temperature Profiles'!AA71^2)-(0.149*'Temperature Profiles'!AA71)+1.7779)*1000,IF(AND('Temperature Profiles'!AA71&lt;-4.4,'Temperature Profiles'!AA71&gt;-8.5),EX$208,IF('Temperature Profiles'!AA71&lt;-8.5,EX175,0))))</f>
        <v>2394.4013333333337</v>
      </c>
      <c r="EY72" s="110">
        <v>0.69791666666666696</v>
      </c>
      <c r="EZ72" s="264">
        <f>IF('Temperature Profiles'!AA71&gt;18,(0.0048*('Temperature Profiles'!AA71^2)-(0.1352*'Temperature Profiles'!AA71)+0.9193)*1000,IF(AND('Temperature Profiles'!AA71&lt;17,'Temperature Profiles'!AA71&gt;-4.4),(0.0031*('Temperature Profiles'!AA71^2)-(0.2029*'Temperature Profiles'!AA71)+2.4264)*1000,IF(AND('Temperature Profiles'!AA71&lt;-4.4,'Temperature Profiles'!AA71&gt;-8.5),EZ$208,IF('Temperature Profiles'!AA71&lt;-8.5,EZ175,0))))</f>
        <v>3257.2951111111115</v>
      </c>
    </row>
    <row r="73" spans="1:156" x14ac:dyDescent="0.3">
      <c r="A73" s="108">
        <v>0.69791666666666696</v>
      </c>
      <c r="B73" s="226">
        <f t="shared" si="7"/>
        <v>0</v>
      </c>
      <c r="C73" s="21">
        <f t="shared" si="8"/>
        <v>0</v>
      </c>
      <c r="D73" s="21">
        <f t="shared" si="9"/>
        <v>3257.2951111111115</v>
      </c>
      <c r="E73" s="20">
        <f t="shared" si="10"/>
        <v>3257.2951111111115</v>
      </c>
      <c r="G73" s="260">
        <v>0.70833333333333304</v>
      </c>
      <c r="H73" s="211"/>
      <c r="I73" s="110">
        <v>0.70833333333333304</v>
      </c>
      <c r="J73" s="211"/>
      <c r="K73" s="110">
        <v>0.70833333333333304</v>
      </c>
      <c r="L73" s="211"/>
      <c r="M73" s="21"/>
      <c r="N73" s="110">
        <v>0.70833333333333304</v>
      </c>
      <c r="O73" s="209"/>
      <c r="P73" s="110">
        <v>0.70833333333333304</v>
      </c>
      <c r="Q73" s="209"/>
      <c r="R73" s="110">
        <v>0.70833333333333304</v>
      </c>
      <c r="S73" s="211"/>
      <c r="T73" s="21"/>
      <c r="U73" s="110">
        <v>0.70833333333333304</v>
      </c>
      <c r="V73" s="209"/>
      <c r="W73" s="110">
        <v>0.70833333333333304</v>
      </c>
      <c r="X73" s="209"/>
      <c r="Y73" s="110">
        <v>0.70833333333333304</v>
      </c>
      <c r="Z73" s="211"/>
      <c r="AA73" s="21"/>
      <c r="AB73" s="110">
        <v>0.70833333333333304</v>
      </c>
      <c r="AC73" s="209"/>
      <c r="AD73" s="110">
        <v>0.70833333333333304</v>
      </c>
      <c r="AE73" s="209"/>
      <c r="AF73" s="110">
        <v>0.70833333333333304</v>
      </c>
      <c r="AG73" s="211"/>
      <c r="AH73" s="21"/>
      <c r="AI73" s="110">
        <v>0.70833333333333304</v>
      </c>
      <c r="AJ73" s="209"/>
      <c r="AK73" s="110">
        <v>0.70833333333333304</v>
      </c>
      <c r="AL73" s="209"/>
      <c r="AM73" s="110">
        <v>0.70833333333333304</v>
      </c>
      <c r="AN73" s="211"/>
      <c r="AO73" s="21"/>
      <c r="AP73" s="110">
        <v>0.70833333333333304</v>
      </c>
      <c r="AQ73" s="209"/>
      <c r="AR73" s="110">
        <v>0.70833333333333304</v>
      </c>
      <c r="AS73" s="209"/>
      <c r="AT73" s="110">
        <v>0.70833333333333304</v>
      </c>
      <c r="AU73" s="211"/>
      <c r="AV73" s="21"/>
      <c r="AW73" s="110">
        <v>0.70833333333333304</v>
      </c>
      <c r="AX73" s="211"/>
      <c r="AY73" s="21"/>
      <c r="AZ73" s="110">
        <v>0.70833333333333304</v>
      </c>
      <c r="BA73" s="264"/>
      <c r="BC73" s="260">
        <v>0.70833333333333304</v>
      </c>
      <c r="BD73" s="211"/>
      <c r="BE73" s="110">
        <v>0.70833333333333304</v>
      </c>
      <c r="BF73" s="211"/>
      <c r="BG73" s="110">
        <v>0.70833333333333304</v>
      </c>
      <c r="BH73" s="211"/>
      <c r="BI73" s="21"/>
      <c r="BJ73" s="110">
        <v>0.70833333333333304</v>
      </c>
      <c r="BK73" s="209"/>
      <c r="BL73" s="110">
        <v>0.70833333333333304</v>
      </c>
      <c r="BM73" s="209"/>
      <c r="BN73" s="110">
        <v>0.70833333333333304</v>
      </c>
      <c r="BO73" s="211"/>
      <c r="BP73" s="21"/>
      <c r="BQ73" s="110">
        <v>0.70833333333333304</v>
      </c>
      <c r="BR73" s="209"/>
      <c r="BS73" s="110">
        <v>0.70833333333333304</v>
      </c>
      <c r="BT73" s="209"/>
      <c r="BU73" s="110">
        <v>0.70833333333333304</v>
      </c>
      <c r="BV73" s="211"/>
      <c r="BW73" s="21"/>
      <c r="BX73" s="110">
        <v>0.70833333333333304</v>
      </c>
      <c r="BY73" s="209"/>
      <c r="BZ73" s="110">
        <v>0.70833333333333304</v>
      </c>
      <c r="CA73" s="209"/>
      <c r="CB73" s="110">
        <v>0.70833333333333304</v>
      </c>
      <c r="CC73" s="211"/>
      <c r="CD73" s="21"/>
      <c r="CE73" s="110">
        <v>0.70833333333333304</v>
      </c>
      <c r="CF73" s="209"/>
      <c r="CG73" s="110">
        <v>0.70833333333333304</v>
      </c>
      <c r="CH73" s="209"/>
      <c r="CI73" s="110">
        <v>0.70833333333333304</v>
      </c>
      <c r="CJ73" s="211"/>
      <c r="CK73" s="21"/>
      <c r="CL73" s="110">
        <v>0.70833333333333304</v>
      </c>
      <c r="CM73" s="209"/>
      <c r="CN73" s="110">
        <v>0.70833333333333304</v>
      </c>
      <c r="CO73" s="209"/>
      <c r="CP73" s="110">
        <v>0.70833333333333304</v>
      </c>
      <c r="CQ73" s="211"/>
      <c r="CR73" s="21"/>
      <c r="CS73" s="110">
        <v>0.70833333333333304</v>
      </c>
      <c r="CT73" s="211"/>
      <c r="CU73" s="21"/>
      <c r="CV73" s="110">
        <v>0.70833333333333304</v>
      </c>
      <c r="CW73" s="264"/>
      <c r="CY73" s="260">
        <v>0.70833333333333304</v>
      </c>
      <c r="CZ73" s="178"/>
      <c r="DA73" s="110">
        <v>0.70833333333333304</v>
      </c>
      <c r="DB73" s="263"/>
      <c r="DC73" s="110">
        <v>0.70833333333333304</v>
      </c>
      <c r="DD73" s="211"/>
      <c r="DE73" s="21"/>
      <c r="DF73" s="110">
        <v>0.70833333333333304</v>
      </c>
      <c r="DG73" s="209"/>
      <c r="DH73" s="110">
        <v>0.70833333333333304</v>
      </c>
      <c r="DI73" s="209"/>
      <c r="DJ73" s="110">
        <v>0.70833333333333304</v>
      </c>
      <c r="DK73" s="211"/>
      <c r="DL73" s="21"/>
      <c r="DM73" s="110">
        <v>0.70833333333333304</v>
      </c>
      <c r="DN73" s="209"/>
      <c r="DO73" s="110">
        <v>0.70833333333333304</v>
      </c>
      <c r="DP73" s="209"/>
      <c r="DQ73" s="110">
        <v>0.70833333333333304</v>
      </c>
      <c r="DR73" s="211"/>
      <c r="DS73" s="21"/>
      <c r="DT73" s="110">
        <v>0.70833333333333304</v>
      </c>
      <c r="DU73" s="209"/>
      <c r="DV73" s="110">
        <v>0.70833333333333304</v>
      </c>
      <c r="DW73" s="209"/>
      <c r="DX73" s="110">
        <v>0.70833333333333304</v>
      </c>
      <c r="DY73" s="211"/>
      <c r="DZ73" s="21"/>
      <c r="EA73" s="110">
        <v>0.70833333333333304</v>
      </c>
      <c r="EB73" s="209">
        <f>IF('Temperature Profiles'!AA72&gt;18,(0.0018*('Temperature Profiles'!AA72^2)-(0.0475*'Temperature Profiles'!AA72)+0.3123)*1000,IF(AND('Temperature Profiles'!AA72&lt;17,'Temperature Profiles'!AA72&gt;-5.6),(0.0021*('Temperature Profiles'!AA72^2)-(0.0919*'Temperature Profiles'!AA72)+1.0491)*1000,IF(AND('Temperature Profiles'!AA72&lt;-5.6,'Temperature Profiles'!AA72&gt;-11.4),(((-0.2925*'Temperature Profiles'!AA72)-1.6914)*1000)+EB$208,IF('Temperature Profiles'!AA72&lt;-11.4,EB176,0))))</f>
        <v>1596.1104791666667</v>
      </c>
      <c r="EC73" s="110">
        <v>0.70833333333333304</v>
      </c>
      <c r="ED73" s="209">
        <f>IF('Temperature Profiles'!AA72&gt;18,(0.0034*('Temperature Profiles'!AA72^2)-(0.087*'Temperature Profiles'!AA72)+0.5117)*1000,IF(AND('Temperature Profiles'!AA72&lt;17,'Temperature Profiles'!AA72&gt;-4.4),(0.0027*('Temperature Profiles'!AA72^2)-(0.149*'Temperature Profiles'!AA72)+1.7779)*1000,IF(AND('Temperature Profiles'!AA72&lt;-4.4,'Temperature Profiles'!AA72&gt;-8.5),(((-0.5391*'Temperature Profiles'!AA72)-2.0906)*1000)+ED$208,IF('Temperature Profiles'!AA72&lt;-8.5,ED176,0))))</f>
        <v>3251.1225000000004</v>
      </c>
      <c r="EE73" s="110">
        <v>0.70833333333333304</v>
      </c>
      <c r="EF73" s="211">
        <f>IF('Temperature Profiles'!AA72&gt;18,(0.0048*('Temperature Profiles'!AA72^2)-(0.1352*'Temperature Profiles'!AA72)+0.9193)*1000,IF(AND('Temperature Profiles'!AA72&lt;17,'Temperature Profiles'!AA72&gt;-4.4),(0.0031*('Temperature Profiles'!AA72^2)-(0.2029*'Temperature Profiles'!AA72)+2.4264)*1000,IF(AND('Temperature Profiles'!AA72&lt;-4.4,'Temperature Profiles'!AA72&gt;-8.5),(((-0.7516*'Temperature Profiles'!AA72)-2.9985)*1000)+EF$208,IF('Temperature Profiles'!AA72&lt;-8.5,EF176,0))))</f>
        <v>4381.2433333333338</v>
      </c>
      <c r="EG73" s="21"/>
      <c r="EH73" s="110">
        <v>0.70833333333333304</v>
      </c>
      <c r="EI73" s="211"/>
      <c r="EJ73" s="110">
        <v>0.70833333333333304</v>
      </c>
      <c r="EK73" s="211"/>
      <c r="EL73" s="110">
        <v>0.70833333333333304</v>
      </c>
      <c r="EM73" s="211"/>
      <c r="EN73" s="21"/>
      <c r="EO73" s="110">
        <v>0.70833333333333304</v>
      </c>
      <c r="EP73" s="211"/>
      <c r="EQ73" s="21"/>
      <c r="ER73" s="110">
        <v>0.70833333333333304</v>
      </c>
      <c r="ES73" s="264"/>
      <c r="EU73" s="260">
        <v>0.70833333333333304</v>
      </c>
      <c r="EV73" s="209">
        <f>IF('Temperature Profiles'!AA72&gt;18,(0.0018*('Temperature Profiles'!AA72^2)-(0.0475*'Temperature Profiles'!AA72)+0.3123)*1000,IF(AND('Temperature Profiles'!AA72&lt;17,'Temperature Profiles'!AA72&gt;-5.6),(0.0021*('Temperature Profiles'!AA72^2)-(0.0919*'Temperature Profiles'!AA72)+1.0491)*1000,IF(AND('Temperature Profiles'!AA72&lt;-5.6,'Temperature Profiles'!AA72&gt;-11.4),EV$208,IF('Temperature Profiles'!AA72&lt;-11.4,EV176,0))))</f>
        <v>1596.1104791666667</v>
      </c>
      <c r="EW73" s="110">
        <v>0.70833333333333304</v>
      </c>
      <c r="EX73" s="209">
        <f>IF('Temperature Profiles'!AA72&gt;18,(0.0034*('Temperature Profiles'!AA72^2)-(0.087*'Temperature Profiles'!AA72)+0.5117)*1000,IF(AND('Temperature Profiles'!AA72&lt;17,'Temperature Profiles'!AA72&gt;-4.4),(0.0027*('Temperature Profiles'!AA72^2)-(0.149*'Temperature Profiles'!AA72)+1.7779)*1000,IF(AND('Temperature Profiles'!AA72&lt;-4.4,'Temperature Profiles'!AA72&gt;-8.5),EX$208,IF('Temperature Profiles'!AA72&lt;-8.5,EX176,0))))</f>
        <v>2480</v>
      </c>
      <c r="EY73" s="110">
        <v>0.70833333333333304</v>
      </c>
      <c r="EZ73" s="264">
        <f>IF('Temperature Profiles'!AA72&gt;18,(0.0048*('Temperature Profiles'!AA72^2)-(0.1352*'Temperature Profiles'!AA72)+0.9193)*1000,IF(AND('Temperature Profiles'!AA72&lt;17,'Temperature Profiles'!AA72&gt;-4.4),(0.0031*('Temperature Profiles'!AA72^2)-(0.2029*'Temperature Profiles'!AA72)+2.4264)*1000,IF(AND('Temperature Profiles'!AA72&lt;-4.4,'Temperature Profiles'!AA72&gt;-8.5),EZ$208,IF('Temperature Profiles'!AA72&lt;-8.5,EZ176,0))))</f>
        <v>3390</v>
      </c>
    </row>
    <row r="74" spans="1:156" x14ac:dyDescent="0.3">
      <c r="A74" s="108">
        <v>0.70833333333333304</v>
      </c>
      <c r="B74" s="226">
        <f t="shared" si="7"/>
        <v>0</v>
      </c>
      <c r="C74" s="21">
        <f t="shared" si="8"/>
        <v>0</v>
      </c>
      <c r="D74" s="21">
        <f t="shared" si="9"/>
        <v>4381.2433333333338</v>
      </c>
      <c r="E74" s="20">
        <f t="shared" si="10"/>
        <v>3390</v>
      </c>
      <c r="G74" s="260">
        <v>0.71875</v>
      </c>
      <c r="H74" s="211"/>
      <c r="I74" s="110">
        <v>0.71875</v>
      </c>
      <c r="J74" s="211"/>
      <c r="K74" s="110">
        <v>0.71875</v>
      </c>
      <c r="L74" s="211"/>
      <c r="M74" s="21"/>
      <c r="N74" s="110">
        <v>0.71875</v>
      </c>
      <c r="O74" s="209"/>
      <c r="P74" s="110">
        <v>0.71875</v>
      </c>
      <c r="Q74" s="209"/>
      <c r="R74" s="110">
        <v>0.71875</v>
      </c>
      <c r="S74" s="211"/>
      <c r="T74" s="21"/>
      <c r="U74" s="110">
        <v>0.71875</v>
      </c>
      <c r="V74" s="209"/>
      <c r="W74" s="110">
        <v>0.71875</v>
      </c>
      <c r="X74" s="209"/>
      <c r="Y74" s="110">
        <v>0.71875</v>
      </c>
      <c r="Z74" s="211"/>
      <c r="AA74" s="21"/>
      <c r="AB74" s="110">
        <v>0.71875</v>
      </c>
      <c r="AC74" s="209"/>
      <c r="AD74" s="110">
        <v>0.71875</v>
      </c>
      <c r="AE74" s="209"/>
      <c r="AF74" s="110">
        <v>0.71875</v>
      </c>
      <c r="AG74" s="211"/>
      <c r="AH74" s="21"/>
      <c r="AI74" s="110">
        <v>0.71875</v>
      </c>
      <c r="AJ74" s="209"/>
      <c r="AK74" s="110">
        <v>0.71875</v>
      </c>
      <c r="AL74" s="209"/>
      <c r="AM74" s="110">
        <v>0.71875</v>
      </c>
      <c r="AN74" s="211"/>
      <c r="AO74" s="21"/>
      <c r="AP74" s="110">
        <v>0.71875</v>
      </c>
      <c r="AQ74" s="209"/>
      <c r="AR74" s="110">
        <v>0.71875</v>
      </c>
      <c r="AS74" s="209"/>
      <c r="AT74" s="110">
        <v>0.71875</v>
      </c>
      <c r="AU74" s="211"/>
      <c r="AV74" s="21"/>
      <c r="AW74" s="110">
        <v>0.71875</v>
      </c>
      <c r="AX74" s="211"/>
      <c r="AY74" s="21"/>
      <c r="AZ74" s="110">
        <v>0.71875</v>
      </c>
      <c r="BA74" s="264"/>
      <c r="BC74" s="260">
        <v>0.71875</v>
      </c>
      <c r="BD74" s="211"/>
      <c r="BE74" s="110">
        <v>0.71875</v>
      </c>
      <c r="BF74" s="211"/>
      <c r="BG74" s="110">
        <v>0.71875</v>
      </c>
      <c r="BH74" s="211"/>
      <c r="BI74" s="21"/>
      <c r="BJ74" s="110">
        <v>0.71875</v>
      </c>
      <c r="BK74" s="209"/>
      <c r="BL74" s="110">
        <v>0.71875</v>
      </c>
      <c r="BM74" s="209"/>
      <c r="BN74" s="110">
        <v>0.71875</v>
      </c>
      <c r="BO74" s="211"/>
      <c r="BP74" s="21"/>
      <c r="BQ74" s="110">
        <v>0.71875</v>
      </c>
      <c r="BR74" s="209"/>
      <c r="BS74" s="110">
        <v>0.71875</v>
      </c>
      <c r="BT74" s="209"/>
      <c r="BU74" s="110">
        <v>0.71875</v>
      </c>
      <c r="BV74" s="211"/>
      <c r="BW74" s="21"/>
      <c r="BX74" s="110">
        <v>0.71875</v>
      </c>
      <c r="BY74" s="209"/>
      <c r="BZ74" s="110">
        <v>0.71875</v>
      </c>
      <c r="CA74" s="209"/>
      <c r="CB74" s="110">
        <v>0.71875</v>
      </c>
      <c r="CC74" s="211"/>
      <c r="CD74" s="21"/>
      <c r="CE74" s="110">
        <v>0.71875</v>
      </c>
      <c r="CF74" s="209"/>
      <c r="CG74" s="110">
        <v>0.71875</v>
      </c>
      <c r="CH74" s="209"/>
      <c r="CI74" s="110">
        <v>0.71875</v>
      </c>
      <c r="CJ74" s="211"/>
      <c r="CK74" s="21"/>
      <c r="CL74" s="110">
        <v>0.71875</v>
      </c>
      <c r="CM74" s="209"/>
      <c r="CN74" s="110">
        <v>0.71875</v>
      </c>
      <c r="CO74" s="209"/>
      <c r="CP74" s="110">
        <v>0.71875</v>
      </c>
      <c r="CQ74" s="211"/>
      <c r="CR74" s="21"/>
      <c r="CS74" s="110">
        <v>0.71875</v>
      </c>
      <c r="CT74" s="211"/>
      <c r="CU74" s="21"/>
      <c r="CV74" s="110">
        <v>0.71875</v>
      </c>
      <c r="CW74" s="264"/>
      <c r="CY74" s="260">
        <v>0.71875</v>
      </c>
      <c r="CZ74" s="178"/>
      <c r="DA74" s="110">
        <v>0.71875</v>
      </c>
      <c r="DB74" s="263"/>
      <c r="DC74" s="110">
        <v>0.71875</v>
      </c>
      <c r="DD74" s="211"/>
      <c r="DE74" s="21"/>
      <c r="DF74" s="110">
        <v>0.71875</v>
      </c>
      <c r="DG74" s="209"/>
      <c r="DH74" s="110">
        <v>0.71875</v>
      </c>
      <c r="DI74" s="209"/>
      <c r="DJ74" s="110">
        <v>0.71875</v>
      </c>
      <c r="DK74" s="211"/>
      <c r="DL74" s="21"/>
      <c r="DM74" s="110">
        <v>0.71875</v>
      </c>
      <c r="DN74" s="209"/>
      <c r="DO74" s="110">
        <v>0.71875</v>
      </c>
      <c r="DP74" s="209"/>
      <c r="DQ74" s="110">
        <v>0.71875</v>
      </c>
      <c r="DR74" s="211"/>
      <c r="DS74" s="21"/>
      <c r="DT74" s="110">
        <v>0.71875</v>
      </c>
      <c r="DU74" s="209"/>
      <c r="DV74" s="110">
        <v>0.71875</v>
      </c>
      <c r="DW74" s="209"/>
      <c r="DX74" s="110">
        <v>0.71875</v>
      </c>
      <c r="DY74" s="211"/>
      <c r="DZ74" s="21"/>
      <c r="EA74" s="110">
        <v>0.71875</v>
      </c>
      <c r="EB74" s="209">
        <f>IF('Temperature Profiles'!AA73&gt;18,(0.0018*('Temperature Profiles'!AA73^2)-(0.0475*'Temperature Profiles'!AA73)+0.3123)*1000,IF(AND('Temperature Profiles'!AA73&lt;17,'Temperature Profiles'!AA73&gt;-5.6),(0.0021*('Temperature Profiles'!AA73^2)-(0.0919*'Temperature Profiles'!AA73)+1.0491)*1000,IF(AND('Temperature Profiles'!AA73&lt;-5.6,'Temperature Profiles'!AA73&gt;-11.4),(((-0.2925*'Temperature Profiles'!AA73)-1.6914)*1000)+EB$208,IF('Temperature Profiles'!AA73&lt;-11.4,EB177,0))))</f>
        <v>1596.1104791666667</v>
      </c>
      <c r="EC74" s="110">
        <v>0.71875</v>
      </c>
      <c r="ED74" s="209">
        <f>IF('Temperature Profiles'!AA73&gt;18,(0.0034*('Temperature Profiles'!AA73^2)-(0.087*'Temperature Profiles'!AA73)+0.5117)*1000,IF(AND('Temperature Profiles'!AA73&lt;17,'Temperature Profiles'!AA73&gt;-4.4),(0.0027*('Temperature Profiles'!AA73^2)-(0.149*'Temperature Profiles'!AA73)+1.7779)*1000,IF(AND('Temperature Profiles'!AA73&lt;-4.4,'Temperature Profiles'!AA73&gt;-8.5),(((-0.5391*'Temperature Profiles'!AA73)-2.0906)*1000)+ED$208,IF('Temperature Profiles'!AA73&lt;-8.5,ED177,0))))</f>
        <v>3251.1225000000004</v>
      </c>
      <c r="EE74" s="110">
        <v>0.71875</v>
      </c>
      <c r="EF74" s="211">
        <f>IF('Temperature Profiles'!AA73&gt;18,(0.0048*('Temperature Profiles'!AA73^2)-(0.1352*'Temperature Profiles'!AA73)+0.9193)*1000,IF(AND('Temperature Profiles'!AA73&lt;17,'Temperature Profiles'!AA73&gt;-4.4),(0.0031*('Temperature Profiles'!AA73^2)-(0.2029*'Temperature Profiles'!AA73)+2.4264)*1000,IF(AND('Temperature Profiles'!AA73&lt;-4.4,'Temperature Profiles'!AA73&gt;-8.5),(((-0.7516*'Temperature Profiles'!AA73)-2.9985)*1000)+EF$208,IF('Temperature Profiles'!AA73&lt;-8.5,EF177,0))))</f>
        <v>4381.2433333333338</v>
      </c>
      <c r="EG74" s="21"/>
      <c r="EH74" s="110">
        <v>0.71875</v>
      </c>
      <c r="EI74" s="211"/>
      <c r="EJ74" s="110">
        <v>0.71875</v>
      </c>
      <c r="EK74" s="211"/>
      <c r="EL74" s="110">
        <v>0.71875</v>
      </c>
      <c r="EM74" s="211"/>
      <c r="EN74" s="21"/>
      <c r="EO74" s="110">
        <v>0.71875</v>
      </c>
      <c r="EP74" s="211"/>
      <c r="EQ74" s="21"/>
      <c r="ER74" s="110">
        <v>0.71875</v>
      </c>
      <c r="ES74" s="264"/>
      <c r="EU74" s="260">
        <v>0.71875</v>
      </c>
      <c r="EV74" s="209">
        <f>IF('Temperature Profiles'!AA73&gt;18,(0.0018*('Temperature Profiles'!AA73^2)-(0.0475*'Temperature Profiles'!AA73)+0.3123)*1000,IF(AND('Temperature Profiles'!AA73&lt;17,'Temperature Profiles'!AA73&gt;-5.6),(0.0021*('Temperature Profiles'!AA73^2)-(0.0919*'Temperature Profiles'!AA73)+1.0491)*1000,IF(AND('Temperature Profiles'!AA73&lt;-5.6,'Temperature Profiles'!AA73&gt;-11.4),EV$208,IF('Temperature Profiles'!AA73&lt;-11.4,EV177,0))))</f>
        <v>1596.1104791666667</v>
      </c>
      <c r="EW74" s="110">
        <v>0.71875</v>
      </c>
      <c r="EX74" s="209">
        <f>IF('Temperature Profiles'!AA73&gt;18,(0.0034*('Temperature Profiles'!AA73^2)-(0.087*'Temperature Profiles'!AA73)+0.5117)*1000,IF(AND('Temperature Profiles'!AA73&lt;17,'Temperature Profiles'!AA73&gt;-4.4),(0.0027*('Temperature Profiles'!AA73^2)-(0.149*'Temperature Profiles'!AA73)+1.7779)*1000,IF(AND('Temperature Profiles'!AA73&lt;-4.4,'Temperature Profiles'!AA73&gt;-8.5),EX$208,IF('Temperature Profiles'!AA73&lt;-8.5,EX177,0))))</f>
        <v>2480</v>
      </c>
      <c r="EY74" s="110">
        <v>0.71875</v>
      </c>
      <c r="EZ74" s="264">
        <f>IF('Temperature Profiles'!AA73&gt;18,(0.0048*('Temperature Profiles'!AA73^2)-(0.1352*'Temperature Profiles'!AA73)+0.9193)*1000,IF(AND('Temperature Profiles'!AA73&lt;17,'Temperature Profiles'!AA73&gt;-4.4),(0.0031*('Temperature Profiles'!AA73^2)-(0.2029*'Temperature Profiles'!AA73)+2.4264)*1000,IF(AND('Temperature Profiles'!AA73&lt;-4.4,'Temperature Profiles'!AA73&gt;-8.5),EZ$208,IF('Temperature Profiles'!AA73&lt;-8.5,EZ177,0))))</f>
        <v>3390</v>
      </c>
    </row>
    <row r="75" spans="1:156" x14ac:dyDescent="0.3">
      <c r="A75" s="108">
        <v>0.71875</v>
      </c>
      <c r="B75" s="226">
        <f t="shared" si="7"/>
        <v>0</v>
      </c>
      <c r="C75" s="21">
        <f t="shared" si="8"/>
        <v>0</v>
      </c>
      <c r="D75" s="21">
        <f t="shared" si="9"/>
        <v>4381.2433333333338</v>
      </c>
      <c r="E75" s="20">
        <f t="shared" si="10"/>
        <v>3390</v>
      </c>
      <c r="G75" s="260">
        <v>0.72916666666666696</v>
      </c>
      <c r="H75" s="211"/>
      <c r="I75" s="110">
        <v>0.72916666666666696</v>
      </c>
      <c r="J75" s="211"/>
      <c r="K75" s="110">
        <v>0.72916666666666696</v>
      </c>
      <c r="L75" s="211"/>
      <c r="M75" s="21"/>
      <c r="N75" s="110">
        <v>0.72916666666666696</v>
      </c>
      <c r="O75" s="209"/>
      <c r="P75" s="110">
        <v>0.72916666666666696</v>
      </c>
      <c r="Q75" s="209"/>
      <c r="R75" s="110">
        <v>0.72916666666666696</v>
      </c>
      <c r="S75" s="211"/>
      <c r="T75" s="21"/>
      <c r="U75" s="110">
        <v>0.72916666666666696</v>
      </c>
      <c r="V75" s="209"/>
      <c r="W75" s="110">
        <v>0.72916666666666696</v>
      </c>
      <c r="X75" s="209"/>
      <c r="Y75" s="110">
        <v>0.72916666666666696</v>
      </c>
      <c r="Z75" s="211"/>
      <c r="AA75" s="21"/>
      <c r="AB75" s="110">
        <v>0.72916666666666696</v>
      </c>
      <c r="AC75" s="209"/>
      <c r="AD75" s="110">
        <v>0.72916666666666696</v>
      </c>
      <c r="AE75" s="209"/>
      <c r="AF75" s="110">
        <v>0.72916666666666696</v>
      </c>
      <c r="AG75" s="211"/>
      <c r="AH75" s="21"/>
      <c r="AI75" s="110">
        <v>0.72916666666666696</v>
      </c>
      <c r="AJ75" s="209"/>
      <c r="AK75" s="110">
        <v>0.72916666666666696</v>
      </c>
      <c r="AL75" s="209"/>
      <c r="AM75" s="110">
        <v>0.72916666666666696</v>
      </c>
      <c r="AN75" s="211"/>
      <c r="AO75" s="21"/>
      <c r="AP75" s="110">
        <v>0.72916666666666696</v>
      </c>
      <c r="AQ75" s="209"/>
      <c r="AR75" s="110">
        <v>0.72916666666666696</v>
      </c>
      <c r="AS75" s="209"/>
      <c r="AT75" s="110">
        <v>0.72916666666666696</v>
      </c>
      <c r="AU75" s="211"/>
      <c r="AV75" s="21"/>
      <c r="AW75" s="110">
        <v>0.72916666666666696</v>
      </c>
      <c r="AX75" s="211"/>
      <c r="AY75" s="21"/>
      <c r="AZ75" s="110">
        <v>0.72916666666666696</v>
      </c>
      <c r="BA75" s="264"/>
      <c r="BC75" s="260">
        <v>0.72916666666666696</v>
      </c>
      <c r="BD75" s="211"/>
      <c r="BE75" s="110">
        <v>0.72916666666666696</v>
      </c>
      <c r="BF75" s="211"/>
      <c r="BG75" s="110">
        <v>0.72916666666666696</v>
      </c>
      <c r="BH75" s="211"/>
      <c r="BI75" s="21"/>
      <c r="BJ75" s="110">
        <v>0.72916666666666696</v>
      </c>
      <c r="BK75" s="209"/>
      <c r="BL75" s="110">
        <v>0.72916666666666696</v>
      </c>
      <c r="BM75" s="209"/>
      <c r="BN75" s="110">
        <v>0.72916666666666696</v>
      </c>
      <c r="BO75" s="211"/>
      <c r="BP75" s="21"/>
      <c r="BQ75" s="110">
        <v>0.72916666666666696</v>
      </c>
      <c r="BR75" s="209"/>
      <c r="BS75" s="110">
        <v>0.72916666666666696</v>
      </c>
      <c r="BT75" s="209"/>
      <c r="BU75" s="110">
        <v>0.72916666666666696</v>
      </c>
      <c r="BV75" s="211"/>
      <c r="BW75" s="21"/>
      <c r="BX75" s="110">
        <v>0.72916666666666696</v>
      </c>
      <c r="BY75" s="209"/>
      <c r="BZ75" s="110">
        <v>0.72916666666666696</v>
      </c>
      <c r="CA75" s="209"/>
      <c r="CB75" s="110">
        <v>0.72916666666666696</v>
      </c>
      <c r="CC75" s="211"/>
      <c r="CD75" s="21"/>
      <c r="CE75" s="110">
        <v>0.72916666666666696</v>
      </c>
      <c r="CF75" s="209"/>
      <c r="CG75" s="110">
        <v>0.72916666666666696</v>
      </c>
      <c r="CH75" s="209"/>
      <c r="CI75" s="110">
        <v>0.72916666666666696</v>
      </c>
      <c r="CJ75" s="211"/>
      <c r="CK75" s="21"/>
      <c r="CL75" s="110">
        <v>0.72916666666666696</v>
      </c>
      <c r="CM75" s="209"/>
      <c r="CN75" s="110">
        <v>0.72916666666666696</v>
      </c>
      <c r="CO75" s="209"/>
      <c r="CP75" s="110">
        <v>0.72916666666666696</v>
      </c>
      <c r="CQ75" s="211"/>
      <c r="CR75" s="21"/>
      <c r="CS75" s="110">
        <v>0.72916666666666696</v>
      </c>
      <c r="CT75" s="211"/>
      <c r="CU75" s="21"/>
      <c r="CV75" s="110">
        <v>0.72916666666666696</v>
      </c>
      <c r="CW75" s="264"/>
      <c r="CY75" s="260">
        <v>0.72916666666666696</v>
      </c>
      <c r="CZ75" s="178"/>
      <c r="DA75" s="110">
        <v>0.72916666666666696</v>
      </c>
      <c r="DB75" s="263"/>
      <c r="DC75" s="110">
        <v>0.72916666666666696</v>
      </c>
      <c r="DD75" s="211"/>
      <c r="DE75" s="21"/>
      <c r="DF75" s="110">
        <v>0.72916666666666696</v>
      </c>
      <c r="DG75" s="209"/>
      <c r="DH75" s="110">
        <v>0.72916666666666696</v>
      </c>
      <c r="DI75" s="209"/>
      <c r="DJ75" s="110">
        <v>0.72916666666666696</v>
      </c>
      <c r="DK75" s="211"/>
      <c r="DL75" s="21"/>
      <c r="DM75" s="110">
        <v>0.72916666666666696</v>
      </c>
      <c r="DN75" s="209"/>
      <c r="DO75" s="110">
        <v>0.72916666666666696</v>
      </c>
      <c r="DP75" s="209"/>
      <c r="DQ75" s="110">
        <v>0.72916666666666696</v>
      </c>
      <c r="DR75" s="211"/>
      <c r="DS75" s="21"/>
      <c r="DT75" s="110">
        <v>0.72916666666666696</v>
      </c>
      <c r="DU75" s="209"/>
      <c r="DV75" s="110">
        <v>0.72916666666666696</v>
      </c>
      <c r="DW75" s="209"/>
      <c r="DX75" s="110">
        <v>0.72916666666666696</v>
      </c>
      <c r="DY75" s="211"/>
      <c r="DZ75" s="21"/>
      <c r="EA75" s="110">
        <v>0.72916666666666696</v>
      </c>
      <c r="EB75" s="209">
        <f>IF('Temperature Profiles'!AA74&gt;18,(0.0018*('Temperature Profiles'!AA74^2)-(0.0475*'Temperature Profiles'!AA74)+0.3123)*1000,IF(AND('Temperature Profiles'!AA74&lt;17,'Temperature Profiles'!AA74&gt;-5.6),(0.0021*('Temperature Profiles'!AA74^2)-(0.0919*'Temperature Profiles'!AA74)+1.0491)*1000,IF(AND('Temperature Profiles'!AA74&lt;-5.6,'Temperature Profiles'!AA74&gt;-11.4),(((-0.2925*'Temperature Profiles'!AA74)-1.6914)*1000)+EB$208,IF('Temperature Profiles'!AA74&lt;-11.4,EB178,0))))</f>
        <v>1596.1104791666667</v>
      </c>
      <c r="EC75" s="110">
        <v>0.72916666666666696</v>
      </c>
      <c r="ED75" s="209">
        <f>IF('Temperature Profiles'!AA74&gt;18,(0.0034*('Temperature Profiles'!AA74^2)-(0.087*'Temperature Profiles'!AA74)+0.5117)*1000,IF(AND('Temperature Profiles'!AA74&lt;17,'Temperature Profiles'!AA74&gt;-4.4),(0.0027*('Temperature Profiles'!AA74^2)-(0.149*'Temperature Profiles'!AA74)+1.7779)*1000,IF(AND('Temperature Profiles'!AA74&lt;-4.4,'Temperature Profiles'!AA74&gt;-8.5),(((-0.5391*'Temperature Profiles'!AA74)-2.0906)*1000)+ED$208,IF('Temperature Profiles'!AA74&lt;-8.5,ED178,0))))</f>
        <v>3251.1225000000004</v>
      </c>
      <c r="EE75" s="110">
        <v>0.72916666666666696</v>
      </c>
      <c r="EF75" s="211">
        <f>IF('Temperature Profiles'!AA74&gt;18,(0.0048*('Temperature Profiles'!AA74^2)-(0.1352*'Temperature Profiles'!AA74)+0.9193)*1000,IF(AND('Temperature Profiles'!AA74&lt;17,'Temperature Profiles'!AA74&gt;-4.4),(0.0031*('Temperature Profiles'!AA74^2)-(0.2029*'Temperature Profiles'!AA74)+2.4264)*1000,IF(AND('Temperature Profiles'!AA74&lt;-4.4,'Temperature Profiles'!AA74&gt;-8.5),(((-0.7516*'Temperature Profiles'!AA74)-2.9985)*1000)+EF$208,IF('Temperature Profiles'!AA74&lt;-8.5,EF178,0))))</f>
        <v>4381.2433333333338</v>
      </c>
      <c r="EG75" s="21"/>
      <c r="EH75" s="110">
        <v>0.72916666666666696</v>
      </c>
      <c r="EI75" s="211"/>
      <c r="EJ75" s="110">
        <v>0.72916666666666696</v>
      </c>
      <c r="EK75" s="211"/>
      <c r="EL75" s="110">
        <v>0.72916666666666696</v>
      </c>
      <c r="EM75" s="211"/>
      <c r="EN75" s="21"/>
      <c r="EO75" s="110">
        <v>0.72916666666666696</v>
      </c>
      <c r="EP75" s="211"/>
      <c r="EQ75" s="21"/>
      <c r="ER75" s="110">
        <v>0.72916666666666696</v>
      </c>
      <c r="ES75" s="264"/>
      <c r="EU75" s="260">
        <v>0.72916666666666696</v>
      </c>
      <c r="EV75" s="209">
        <f>IF('Temperature Profiles'!AA74&gt;18,(0.0018*('Temperature Profiles'!AA74^2)-(0.0475*'Temperature Profiles'!AA74)+0.3123)*1000,IF(AND('Temperature Profiles'!AA74&lt;17,'Temperature Profiles'!AA74&gt;-5.6),(0.0021*('Temperature Profiles'!AA74^2)-(0.0919*'Temperature Profiles'!AA74)+1.0491)*1000,IF(AND('Temperature Profiles'!AA74&lt;-5.6,'Temperature Profiles'!AA74&gt;-11.4),EV$208,IF('Temperature Profiles'!AA74&lt;-11.4,EV178,0))))</f>
        <v>1596.1104791666667</v>
      </c>
      <c r="EW75" s="110">
        <v>0.72916666666666696</v>
      </c>
      <c r="EX75" s="209">
        <f>IF('Temperature Profiles'!AA74&gt;18,(0.0034*('Temperature Profiles'!AA74^2)-(0.087*'Temperature Profiles'!AA74)+0.5117)*1000,IF(AND('Temperature Profiles'!AA74&lt;17,'Temperature Profiles'!AA74&gt;-4.4),(0.0027*('Temperature Profiles'!AA74^2)-(0.149*'Temperature Profiles'!AA74)+1.7779)*1000,IF(AND('Temperature Profiles'!AA74&lt;-4.4,'Temperature Profiles'!AA74&gt;-8.5),EX$208,IF('Temperature Profiles'!AA74&lt;-8.5,EX178,0))))</f>
        <v>2480</v>
      </c>
      <c r="EY75" s="110">
        <v>0.72916666666666696</v>
      </c>
      <c r="EZ75" s="264">
        <f>IF('Temperature Profiles'!AA74&gt;18,(0.0048*('Temperature Profiles'!AA74^2)-(0.1352*'Temperature Profiles'!AA74)+0.9193)*1000,IF(AND('Temperature Profiles'!AA74&lt;17,'Temperature Profiles'!AA74&gt;-4.4),(0.0031*('Temperature Profiles'!AA74^2)-(0.2029*'Temperature Profiles'!AA74)+2.4264)*1000,IF(AND('Temperature Profiles'!AA74&lt;-4.4,'Temperature Profiles'!AA74&gt;-8.5),EZ$208,IF('Temperature Profiles'!AA74&lt;-8.5,EZ178,0))))</f>
        <v>3390</v>
      </c>
    </row>
    <row r="76" spans="1:156" x14ac:dyDescent="0.3">
      <c r="A76" s="108">
        <v>0.72916666666666696</v>
      </c>
      <c r="B76" s="226">
        <f t="shared" si="7"/>
        <v>0</v>
      </c>
      <c r="C76" s="21">
        <f t="shared" si="8"/>
        <v>0</v>
      </c>
      <c r="D76" s="21">
        <f t="shared" si="9"/>
        <v>4381.2433333333338</v>
      </c>
      <c r="E76" s="20">
        <f t="shared" si="10"/>
        <v>3390</v>
      </c>
      <c r="G76" s="260">
        <v>0.73958333333333304</v>
      </c>
      <c r="H76" s="211"/>
      <c r="I76" s="110">
        <v>0.73958333333333304</v>
      </c>
      <c r="J76" s="211"/>
      <c r="K76" s="110">
        <v>0.73958333333333304</v>
      </c>
      <c r="L76" s="211"/>
      <c r="M76" s="21"/>
      <c r="N76" s="110">
        <v>0.73958333333333304</v>
      </c>
      <c r="O76" s="209"/>
      <c r="P76" s="110">
        <v>0.73958333333333304</v>
      </c>
      <c r="Q76" s="209"/>
      <c r="R76" s="110">
        <v>0.73958333333333304</v>
      </c>
      <c r="S76" s="211"/>
      <c r="T76" s="21"/>
      <c r="U76" s="110">
        <v>0.73958333333333304</v>
      </c>
      <c r="V76" s="209"/>
      <c r="W76" s="110">
        <v>0.73958333333333304</v>
      </c>
      <c r="X76" s="209"/>
      <c r="Y76" s="110">
        <v>0.73958333333333304</v>
      </c>
      <c r="Z76" s="211"/>
      <c r="AA76" s="21"/>
      <c r="AB76" s="110">
        <v>0.73958333333333304</v>
      </c>
      <c r="AC76" s="209"/>
      <c r="AD76" s="110">
        <v>0.73958333333333304</v>
      </c>
      <c r="AE76" s="209"/>
      <c r="AF76" s="110">
        <v>0.73958333333333304</v>
      </c>
      <c r="AG76" s="211"/>
      <c r="AH76" s="21"/>
      <c r="AI76" s="110">
        <v>0.73958333333333304</v>
      </c>
      <c r="AJ76" s="209"/>
      <c r="AK76" s="110">
        <v>0.73958333333333304</v>
      </c>
      <c r="AL76" s="209"/>
      <c r="AM76" s="110">
        <v>0.73958333333333304</v>
      </c>
      <c r="AN76" s="211"/>
      <c r="AO76" s="21"/>
      <c r="AP76" s="110">
        <v>0.73958333333333304</v>
      </c>
      <c r="AQ76" s="209"/>
      <c r="AR76" s="110">
        <v>0.73958333333333304</v>
      </c>
      <c r="AS76" s="209"/>
      <c r="AT76" s="110">
        <v>0.73958333333333304</v>
      </c>
      <c r="AU76" s="211"/>
      <c r="AV76" s="21"/>
      <c r="AW76" s="110">
        <v>0.73958333333333304</v>
      </c>
      <c r="AX76" s="211"/>
      <c r="AY76" s="21"/>
      <c r="AZ76" s="110">
        <v>0.73958333333333304</v>
      </c>
      <c r="BA76" s="264"/>
      <c r="BC76" s="260">
        <v>0.73958333333333304</v>
      </c>
      <c r="BD76" s="211"/>
      <c r="BE76" s="110">
        <v>0.73958333333333304</v>
      </c>
      <c r="BF76" s="211"/>
      <c r="BG76" s="110">
        <v>0.73958333333333304</v>
      </c>
      <c r="BH76" s="211"/>
      <c r="BI76" s="21"/>
      <c r="BJ76" s="110">
        <v>0.73958333333333304</v>
      </c>
      <c r="BK76" s="209"/>
      <c r="BL76" s="110">
        <v>0.73958333333333304</v>
      </c>
      <c r="BM76" s="209"/>
      <c r="BN76" s="110">
        <v>0.73958333333333304</v>
      </c>
      <c r="BO76" s="211"/>
      <c r="BP76" s="21"/>
      <c r="BQ76" s="110">
        <v>0.73958333333333304</v>
      </c>
      <c r="BR76" s="209"/>
      <c r="BS76" s="110">
        <v>0.73958333333333304</v>
      </c>
      <c r="BT76" s="209"/>
      <c r="BU76" s="110">
        <v>0.73958333333333304</v>
      </c>
      <c r="BV76" s="211"/>
      <c r="BW76" s="21"/>
      <c r="BX76" s="110">
        <v>0.73958333333333304</v>
      </c>
      <c r="BY76" s="209"/>
      <c r="BZ76" s="110">
        <v>0.73958333333333304</v>
      </c>
      <c r="CA76" s="209"/>
      <c r="CB76" s="110">
        <v>0.73958333333333304</v>
      </c>
      <c r="CC76" s="211"/>
      <c r="CD76" s="21"/>
      <c r="CE76" s="110">
        <v>0.73958333333333304</v>
      </c>
      <c r="CF76" s="209"/>
      <c r="CG76" s="110">
        <v>0.73958333333333304</v>
      </c>
      <c r="CH76" s="209"/>
      <c r="CI76" s="110">
        <v>0.73958333333333304</v>
      </c>
      <c r="CJ76" s="211"/>
      <c r="CK76" s="21"/>
      <c r="CL76" s="110">
        <v>0.73958333333333304</v>
      </c>
      <c r="CM76" s="209"/>
      <c r="CN76" s="110">
        <v>0.73958333333333304</v>
      </c>
      <c r="CO76" s="209"/>
      <c r="CP76" s="110">
        <v>0.73958333333333304</v>
      </c>
      <c r="CQ76" s="211"/>
      <c r="CR76" s="21"/>
      <c r="CS76" s="110">
        <v>0.73958333333333304</v>
      </c>
      <c r="CT76" s="211"/>
      <c r="CU76" s="21"/>
      <c r="CV76" s="110">
        <v>0.73958333333333304</v>
      </c>
      <c r="CW76" s="264"/>
      <c r="CY76" s="260">
        <v>0.73958333333333304</v>
      </c>
      <c r="CZ76" s="178"/>
      <c r="DA76" s="110">
        <v>0.73958333333333304</v>
      </c>
      <c r="DB76" s="263"/>
      <c r="DC76" s="110">
        <v>0.73958333333333304</v>
      </c>
      <c r="DD76" s="211"/>
      <c r="DE76" s="21"/>
      <c r="DF76" s="110">
        <v>0.73958333333333304</v>
      </c>
      <c r="DG76" s="209"/>
      <c r="DH76" s="110">
        <v>0.73958333333333304</v>
      </c>
      <c r="DI76" s="209"/>
      <c r="DJ76" s="110">
        <v>0.73958333333333304</v>
      </c>
      <c r="DK76" s="211"/>
      <c r="DL76" s="21"/>
      <c r="DM76" s="110">
        <v>0.73958333333333304</v>
      </c>
      <c r="DN76" s="209"/>
      <c r="DO76" s="110">
        <v>0.73958333333333304</v>
      </c>
      <c r="DP76" s="209"/>
      <c r="DQ76" s="110">
        <v>0.73958333333333304</v>
      </c>
      <c r="DR76" s="211"/>
      <c r="DS76" s="21"/>
      <c r="DT76" s="110">
        <v>0.73958333333333304</v>
      </c>
      <c r="DU76" s="209"/>
      <c r="DV76" s="110">
        <v>0.73958333333333304</v>
      </c>
      <c r="DW76" s="209"/>
      <c r="DX76" s="110">
        <v>0.73958333333333304</v>
      </c>
      <c r="DY76" s="211"/>
      <c r="DZ76" s="21"/>
      <c r="EA76" s="110">
        <v>0.73958333333333304</v>
      </c>
      <c r="EB76" s="209">
        <f>IF('Temperature Profiles'!AA75&gt;18,(0.0018*('Temperature Profiles'!AA75^2)-(0.0475*'Temperature Profiles'!AA75)+0.3123)*1000,IF(AND('Temperature Profiles'!AA75&lt;17,'Temperature Profiles'!AA75&gt;-5.6),(0.0021*('Temperature Profiles'!AA75^2)-(0.0919*'Temperature Profiles'!AA75)+1.0491)*1000,IF(AND('Temperature Profiles'!AA75&lt;-5.6,'Temperature Profiles'!AA75&gt;-11.4),(((-0.2925*'Temperature Profiles'!AA75)-1.6914)*1000)+EB$208,IF('Temperature Profiles'!AA75&lt;-11.4,EB179,0))))</f>
        <v>1596.1104791666667</v>
      </c>
      <c r="EC76" s="110">
        <v>0.73958333333333304</v>
      </c>
      <c r="ED76" s="209">
        <f>IF('Temperature Profiles'!AA75&gt;18,(0.0034*('Temperature Profiles'!AA75^2)-(0.087*'Temperature Profiles'!AA75)+0.5117)*1000,IF(AND('Temperature Profiles'!AA75&lt;17,'Temperature Profiles'!AA75&gt;-4.4),(0.0027*('Temperature Profiles'!AA75^2)-(0.149*'Temperature Profiles'!AA75)+1.7779)*1000,IF(AND('Temperature Profiles'!AA75&lt;-4.4,'Temperature Profiles'!AA75&gt;-8.5),(((-0.5391*'Temperature Profiles'!AA75)-2.0906)*1000)+ED$208,IF('Temperature Profiles'!AA75&lt;-8.5,ED179,0))))</f>
        <v>3251.1225000000004</v>
      </c>
      <c r="EE76" s="110">
        <v>0.73958333333333304</v>
      </c>
      <c r="EF76" s="211">
        <f>IF('Temperature Profiles'!AA75&gt;18,(0.0048*('Temperature Profiles'!AA75^2)-(0.1352*'Temperature Profiles'!AA75)+0.9193)*1000,IF(AND('Temperature Profiles'!AA75&lt;17,'Temperature Profiles'!AA75&gt;-4.4),(0.0031*('Temperature Profiles'!AA75^2)-(0.2029*'Temperature Profiles'!AA75)+2.4264)*1000,IF(AND('Temperature Profiles'!AA75&lt;-4.4,'Temperature Profiles'!AA75&gt;-8.5),(((-0.7516*'Temperature Profiles'!AA75)-2.9985)*1000)+EF$208,IF('Temperature Profiles'!AA75&lt;-8.5,EF179,0))))</f>
        <v>4381.2433333333338</v>
      </c>
      <c r="EG76" s="21"/>
      <c r="EH76" s="110">
        <v>0.73958333333333304</v>
      </c>
      <c r="EI76" s="211"/>
      <c r="EJ76" s="110">
        <v>0.73958333333333304</v>
      </c>
      <c r="EK76" s="211"/>
      <c r="EL76" s="110">
        <v>0.73958333333333304</v>
      </c>
      <c r="EM76" s="211"/>
      <c r="EN76" s="21"/>
      <c r="EO76" s="110">
        <v>0.73958333333333304</v>
      </c>
      <c r="EP76" s="211"/>
      <c r="EQ76" s="21"/>
      <c r="ER76" s="110">
        <v>0.73958333333333304</v>
      </c>
      <c r="ES76" s="264"/>
      <c r="EU76" s="260">
        <v>0.73958333333333304</v>
      </c>
      <c r="EV76" s="209">
        <f>IF('Temperature Profiles'!AA75&gt;18,(0.0018*('Temperature Profiles'!AA75^2)-(0.0475*'Temperature Profiles'!AA75)+0.3123)*1000,IF(AND('Temperature Profiles'!AA75&lt;17,'Temperature Profiles'!AA75&gt;-5.6),(0.0021*('Temperature Profiles'!AA75^2)-(0.0919*'Temperature Profiles'!AA75)+1.0491)*1000,IF(AND('Temperature Profiles'!AA75&lt;-5.6,'Temperature Profiles'!AA75&gt;-11.4),EV$208,IF('Temperature Profiles'!AA75&lt;-11.4,EV179,0))))</f>
        <v>1596.1104791666667</v>
      </c>
      <c r="EW76" s="110">
        <v>0.73958333333333304</v>
      </c>
      <c r="EX76" s="209">
        <f>IF('Temperature Profiles'!AA75&gt;18,(0.0034*('Temperature Profiles'!AA75^2)-(0.087*'Temperature Profiles'!AA75)+0.5117)*1000,IF(AND('Temperature Profiles'!AA75&lt;17,'Temperature Profiles'!AA75&gt;-4.4),(0.0027*('Temperature Profiles'!AA75^2)-(0.149*'Temperature Profiles'!AA75)+1.7779)*1000,IF(AND('Temperature Profiles'!AA75&lt;-4.4,'Temperature Profiles'!AA75&gt;-8.5),EX$208,IF('Temperature Profiles'!AA75&lt;-8.5,EX179,0))))</f>
        <v>2480</v>
      </c>
      <c r="EY76" s="110">
        <v>0.73958333333333304</v>
      </c>
      <c r="EZ76" s="264">
        <f>IF('Temperature Profiles'!AA75&gt;18,(0.0048*('Temperature Profiles'!AA75^2)-(0.1352*'Temperature Profiles'!AA75)+0.9193)*1000,IF(AND('Temperature Profiles'!AA75&lt;17,'Temperature Profiles'!AA75&gt;-4.4),(0.0031*('Temperature Profiles'!AA75^2)-(0.2029*'Temperature Profiles'!AA75)+2.4264)*1000,IF(AND('Temperature Profiles'!AA75&lt;-4.4,'Temperature Profiles'!AA75&gt;-8.5),EZ$208,IF('Temperature Profiles'!AA75&lt;-8.5,EZ179,0))))</f>
        <v>3390</v>
      </c>
    </row>
    <row r="77" spans="1:156" x14ac:dyDescent="0.3">
      <c r="A77" s="108">
        <v>0.73958333333333304</v>
      </c>
      <c r="B77" s="226">
        <f t="shared" si="7"/>
        <v>0</v>
      </c>
      <c r="C77" s="21">
        <f t="shared" si="8"/>
        <v>0</v>
      </c>
      <c r="D77" s="21">
        <f t="shared" si="9"/>
        <v>4381.2433333333338</v>
      </c>
      <c r="E77" s="20">
        <f t="shared" si="10"/>
        <v>3390</v>
      </c>
      <c r="G77" s="260">
        <v>0.75</v>
      </c>
      <c r="H77" s="211"/>
      <c r="I77" s="110">
        <v>0.75</v>
      </c>
      <c r="J77" s="211"/>
      <c r="K77" s="110">
        <v>0.75</v>
      </c>
      <c r="L77" s="211"/>
      <c r="M77" s="21"/>
      <c r="N77" s="110">
        <v>0.75</v>
      </c>
      <c r="O77" s="209"/>
      <c r="P77" s="110">
        <v>0.75</v>
      </c>
      <c r="Q77" s="209"/>
      <c r="R77" s="110">
        <v>0.75</v>
      </c>
      <c r="S77" s="211"/>
      <c r="T77" s="21"/>
      <c r="U77" s="110">
        <v>0.75</v>
      </c>
      <c r="V77" s="209"/>
      <c r="W77" s="110">
        <v>0.75</v>
      </c>
      <c r="X77" s="209"/>
      <c r="Y77" s="110">
        <v>0.75</v>
      </c>
      <c r="Z77" s="211"/>
      <c r="AA77" s="21"/>
      <c r="AB77" s="110">
        <v>0.75</v>
      </c>
      <c r="AC77" s="209"/>
      <c r="AD77" s="110">
        <v>0.75</v>
      </c>
      <c r="AE77" s="209"/>
      <c r="AF77" s="110">
        <v>0.75</v>
      </c>
      <c r="AG77" s="211"/>
      <c r="AH77" s="21"/>
      <c r="AI77" s="110">
        <v>0.75</v>
      </c>
      <c r="AJ77" s="209"/>
      <c r="AK77" s="110">
        <v>0.75</v>
      </c>
      <c r="AL77" s="209"/>
      <c r="AM77" s="110">
        <v>0.75</v>
      </c>
      <c r="AN77" s="211"/>
      <c r="AO77" s="21"/>
      <c r="AP77" s="110">
        <v>0.75</v>
      </c>
      <c r="AQ77" s="209"/>
      <c r="AR77" s="110">
        <v>0.75</v>
      </c>
      <c r="AS77" s="209"/>
      <c r="AT77" s="110">
        <v>0.75</v>
      </c>
      <c r="AU77" s="211"/>
      <c r="AV77" s="21"/>
      <c r="AW77" s="110">
        <v>0.75</v>
      </c>
      <c r="AX77" s="211"/>
      <c r="AY77" s="21"/>
      <c r="AZ77" s="110">
        <v>0.75</v>
      </c>
      <c r="BA77" s="264"/>
      <c r="BC77" s="260">
        <v>0.75</v>
      </c>
      <c r="BD77" s="211"/>
      <c r="BE77" s="110">
        <v>0.75</v>
      </c>
      <c r="BF77" s="211"/>
      <c r="BG77" s="110">
        <v>0.75</v>
      </c>
      <c r="BH77" s="211"/>
      <c r="BI77" s="21"/>
      <c r="BJ77" s="110">
        <v>0.75</v>
      </c>
      <c r="BK77" s="209"/>
      <c r="BL77" s="110">
        <v>0.75</v>
      </c>
      <c r="BM77" s="209"/>
      <c r="BN77" s="110">
        <v>0.75</v>
      </c>
      <c r="BO77" s="211"/>
      <c r="BP77" s="21"/>
      <c r="BQ77" s="110">
        <v>0.75</v>
      </c>
      <c r="BR77" s="209"/>
      <c r="BS77" s="110">
        <v>0.75</v>
      </c>
      <c r="BT77" s="209"/>
      <c r="BU77" s="110">
        <v>0.75</v>
      </c>
      <c r="BV77" s="211"/>
      <c r="BW77" s="21"/>
      <c r="BX77" s="110">
        <v>0.75</v>
      </c>
      <c r="BY77" s="209"/>
      <c r="BZ77" s="110">
        <v>0.75</v>
      </c>
      <c r="CA77" s="209"/>
      <c r="CB77" s="110">
        <v>0.75</v>
      </c>
      <c r="CC77" s="211"/>
      <c r="CD77" s="21"/>
      <c r="CE77" s="110">
        <v>0.75</v>
      </c>
      <c r="CF77" s="209"/>
      <c r="CG77" s="110">
        <v>0.75</v>
      </c>
      <c r="CH77" s="209"/>
      <c r="CI77" s="110">
        <v>0.75</v>
      </c>
      <c r="CJ77" s="211"/>
      <c r="CK77" s="21"/>
      <c r="CL77" s="110">
        <v>0.75</v>
      </c>
      <c r="CM77" s="209"/>
      <c r="CN77" s="110">
        <v>0.75</v>
      </c>
      <c r="CO77" s="209"/>
      <c r="CP77" s="110">
        <v>0.75</v>
      </c>
      <c r="CQ77" s="211"/>
      <c r="CR77" s="21"/>
      <c r="CS77" s="110">
        <v>0.75</v>
      </c>
      <c r="CT77" s="211"/>
      <c r="CU77" s="21"/>
      <c r="CV77" s="110">
        <v>0.75</v>
      </c>
      <c r="CW77" s="264"/>
      <c r="CY77" s="260">
        <v>0.75</v>
      </c>
      <c r="CZ77" s="178"/>
      <c r="DA77" s="110">
        <v>0.75</v>
      </c>
      <c r="DB77" s="263"/>
      <c r="DC77" s="110">
        <v>0.75</v>
      </c>
      <c r="DD77" s="211"/>
      <c r="DE77" s="21"/>
      <c r="DF77" s="110">
        <v>0.75</v>
      </c>
      <c r="DG77" s="209"/>
      <c r="DH77" s="110">
        <v>0.75</v>
      </c>
      <c r="DI77" s="209"/>
      <c r="DJ77" s="110">
        <v>0.75</v>
      </c>
      <c r="DK77" s="211"/>
      <c r="DL77" s="21"/>
      <c r="DM77" s="110">
        <v>0.75</v>
      </c>
      <c r="DN77" s="209"/>
      <c r="DO77" s="110">
        <v>0.75</v>
      </c>
      <c r="DP77" s="209"/>
      <c r="DQ77" s="110">
        <v>0.75</v>
      </c>
      <c r="DR77" s="211"/>
      <c r="DS77" s="21"/>
      <c r="DT77" s="110">
        <v>0.75</v>
      </c>
      <c r="DU77" s="209"/>
      <c r="DV77" s="110">
        <v>0.75</v>
      </c>
      <c r="DW77" s="209"/>
      <c r="DX77" s="110">
        <v>0.75</v>
      </c>
      <c r="DY77" s="211"/>
      <c r="DZ77" s="21"/>
      <c r="EA77" s="110">
        <v>0.75</v>
      </c>
      <c r="EB77" s="209">
        <f>IF('Temperature Profiles'!AA76&gt;18,(0.0018*('Temperature Profiles'!AA76^2)-(0.0475*'Temperature Profiles'!AA76)+0.3123)*1000,IF(AND('Temperature Profiles'!AA76&lt;17,'Temperature Profiles'!AA76&gt;-5.6),(0.0021*('Temperature Profiles'!AA76^2)-(0.0919*'Temperature Profiles'!AA76)+1.0491)*1000,IF(AND('Temperature Profiles'!AA76&lt;-5.6,'Temperature Profiles'!AA76&gt;-11.4),(((-0.2925*'Temperature Profiles'!AA76)-1.6914)*1000)+EB$208,IF('Temperature Profiles'!AA76&lt;-11.4,EB180,0))))</f>
        <v>1968.7874999999999</v>
      </c>
      <c r="EC77" s="110">
        <v>0.75</v>
      </c>
      <c r="ED77" s="209">
        <f>IF('Temperature Profiles'!AA76&gt;18,(0.0034*('Temperature Profiles'!AA76^2)-(0.087*'Temperature Profiles'!AA76)+0.5117)*1000,IF(AND('Temperature Profiles'!AA76&lt;17,'Temperature Profiles'!AA76&gt;-4.4),(0.0027*('Temperature Profiles'!AA76^2)-(0.149*'Temperature Profiles'!AA76)+1.7779)*1000,IF(AND('Temperature Profiles'!AA76&lt;-4.4,'Temperature Profiles'!AA76&gt;-8.5),(((-0.5391*'Temperature Profiles'!AA76)-2.0906)*1000)+ED$208,IF('Temperature Profiles'!AA76&lt;-8.5,ED180,0))))</f>
        <v>4149.6225000000004</v>
      </c>
      <c r="EE77" s="110">
        <v>0.75</v>
      </c>
      <c r="EF77" s="211">
        <f>IF('Temperature Profiles'!AA76&gt;18,(0.0048*('Temperature Profiles'!AA76^2)-(0.1352*'Temperature Profiles'!AA76)+0.9193)*1000,IF(AND('Temperature Profiles'!AA76&lt;17,'Temperature Profiles'!AA76&gt;-4.4),(0.0031*('Temperature Profiles'!AA76^2)-(0.2029*'Temperature Profiles'!AA76)+2.4264)*1000,IF(AND('Temperature Profiles'!AA76&lt;-4.4,'Temperature Profiles'!AA76&gt;-8.5),(((-0.7516*'Temperature Profiles'!AA76)-2.9985)*1000)+EF$208,IF('Temperature Profiles'!AA76&lt;-8.5,EF180,0))))</f>
        <v>5633.91</v>
      </c>
      <c r="EG77" s="21"/>
      <c r="EH77" s="110">
        <v>0.75</v>
      </c>
      <c r="EI77" s="211"/>
      <c r="EJ77" s="110">
        <v>0.75</v>
      </c>
      <c r="EK77" s="211"/>
      <c r="EL77" s="110">
        <v>0.75</v>
      </c>
      <c r="EM77" s="211"/>
      <c r="EN77" s="21"/>
      <c r="EO77" s="110">
        <v>0.75</v>
      </c>
      <c r="EP77" s="211"/>
      <c r="EQ77" s="21"/>
      <c r="ER77" s="110">
        <v>0.75</v>
      </c>
      <c r="ES77" s="264"/>
      <c r="EU77" s="260">
        <v>0.75</v>
      </c>
      <c r="EV77" s="209">
        <f>IF('Temperature Profiles'!AA76&gt;18,(0.0018*('Temperature Profiles'!AA76^2)-(0.0475*'Temperature Profiles'!AA76)+0.3123)*1000,IF(AND('Temperature Profiles'!AA76&lt;17,'Temperature Profiles'!AA76&gt;-5.6),(0.0021*('Temperature Profiles'!AA76^2)-(0.0919*'Temperature Profiles'!AA76)+1.0491)*1000,IF(AND('Temperature Profiles'!AA76&lt;-5.6,'Temperature Profiles'!AA76&gt;-11.4),EV$208,IF('Temperature Profiles'!AA76&lt;-11.4,EV180,0))))</f>
        <v>1620</v>
      </c>
      <c r="EW77" s="110">
        <v>0.75</v>
      </c>
      <c r="EX77" s="209">
        <f>IF('Temperature Profiles'!AA76&gt;18,(0.0034*('Temperature Profiles'!AA76^2)-(0.087*'Temperature Profiles'!AA76)+0.5117)*1000,IF(AND('Temperature Profiles'!AA76&lt;17,'Temperature Profiles'!AA76&gt;-4.4),(0.0027*('Temperature Profiles'!AA76^2)-(0.149*'Temperature Profiles'!AA76)+1.7779)*1000,IF(AND('Temperature Profiles'!AA76&lt;-4.4,'Temperature Profiles'!AA76&gt;-8.5),EX$208,IF('Temperature Profiles'!AA76&lt;-8.5,EX180,0))))</f>
        <v>2480</v>
      </c>
      <c r="EY77" s="110">
        <v>0.75</v>
      </c>
      <c r="EZ77" s="264">
        <f>IF('Temperature Profiles'!AA76&gt;18,(0.0048*('Temperature Profiles'!AA76^2)-(0.1352*'Temperature Profiles'!AA76)+0.9193)*1000,IF(AND('Temperature Profiles'!AA76&lt;17,'Temperature Profiles'!AA76&gt;-4.4),(0.0031*('Temperature Profiles'!AA76^2)-(0.2029*'Temperature Profiles'!AA76)+2.4264)*1000,IF(AND('Temperature Profiles'!AA76&lt;-4.4,'Temperature Profiles'!AA76&gt;-8.5),EZ$208,IF('Temperature Profiles'!AA76&lt;-8.5,EZ180,0))))</f>
        <v>3390</v>
      </c>
    </row>
    <row r="78" spans="1:156" x14ac:dyDescent="0.3">
      <c r="A78" s="108">
        <v>0.75</v>
      </c>
      <c r="B78" s="226">
        <f t="shared" si="7"/>
        <v>0</v>
      </c>
      <c r="C78" s="21">
        <f t="shared" si="8"/>
        <v>0</v>
      </c>
      <c r="D78" s="21">
        <f t="shared" si="9"/>
        <v>5633.91</v>
      </c>
      <c r="E78" s="20">
        <f t="shared" si="10"/>
        <v>3390</v>
      </c>
      <c r="G78" s="260">
        <v>0.76041666666666696</v>
      </c>
      <c r="H78" s="211"/>
      <c r="I78" s="110">
        <v>0.76041666666666696</v>
      </c>
      <c r="J78" s="211"/>
      <c r="K78" s="110">
        <v>0.76041666666666696</v>
      </c>
      <c r="L78" s="211"/>
      <c r="M78" s="21"/>
      <c r="N78" s="110">
        <v>0.76041666666666696</v>
      </c>
      <c r="O78" s="209"/>
      <c r="P78" s="110">
        <v>0.76041666666666696</v>
      </c>
      <c r="Q78" s="209"/>
      <c r="R78" s="110">
        <v>0.76041666666666696</v>
      </c>
      <c r="S78" s="211"/>
      <c r="T78" s="21"/>
      <c r="U78" s="110">
        <v>0.76041666666666696</v>
      </c>
      <c r="V78" s="209"/>
      <c r="W78" s="110">
        <v>0.76041666666666696</v>
      </c>
      <c r="X78" s="209"/>
      <c r="Y78" s="110">
        <v>0.76041666666666696</v>
      </c>
      <c r="Z78" s="211"/>
      <c r="AA78" s="21"/>
      <c r="AB78" s="110">
        <v>0.76041666666666696</v>
      </c>
      <c r="AC78" s="209"/>
      <c r="AD78" s="110">
        <v>0.76041666666666696</v>
      </c>
      <c r="AE78" s="209"/>
      <c r="AF78" s="110">
        <v>0.76041666666666696</v>
      </c>
      <c r="AG78" s="211"/>
      <c r="AH78" s="21"/>
      <c r="AI78" s="110">
        <v>0.76041666666666696</v>
      </c>
      <c r="AJ78" s="209"/>
      <c r="AK78" s="110">
        <v>0.76041666666666696</v>
      </c>
      <c r="AL78" s="209"/>
      <c r="AM78" s="110">
        <v>0.76041666666666696</v>
      </c>
      <c r="AN78" s="211"/>
      <c r="AO78" s="21"/>
      <c r="AP78" s="110">
        <v>0.76041666666666696</v>
      </c>
      <c r="AQ78" s="209"/>
      <c r="AR78" s="110">
        <v>0.76041666666666696</v>
      </c>
      <c r="AS78" s="209"/>
      <c r="AT78" s="110">
        <v>0.76041666666666696</v>
      </c>
      <c r="AU78" s="211"/>
      <c r="AV78" s="21"/>
      <c r="AW78" s="110">
        <v>0.76041666666666696</v>
      </c>
      <c r="AX78" s="211"/>
      <c r="AY78" s="21"/>
      <c r="AZ78" s="110">
        <v>0.76041666666666696</v>
      </c>
      <c r="BA78" s="264"/>
      <c r="BC78" s="260">
        <v>0.76041666666666696</v>
      </c>
      <c r="BD78" s="211"/>
      <c r="BE78" s="110">
        <v>0.76041666666666696</v>
      </c>
      <c r="BF78" s="211"/>
      <c r="BG78" s="110">
        <v>0.76041666666666696</v>
      </c>
      <c r="BH78" s="211"/>
      <c r="BI78" s="21"/>
      <c r="BJ78" s="110">
        <v>0.76041666666666696</v>
      </c>
      <c r="BK78" s="209"/>
      <c r="BL78" s="110">
        <v>0.76041666666666696</v>
      </c>
      <c r="BM78" s="209"/>
      <c r="BN78" s="110">
        <v>0.76041666666666696</v>
      </c>
      <c r="BO78" s="211"/>
      <c r="BP78" s="21"/>
      <c r="BQ78" s="110">
        <v>0.76041666666666696</v>
      </c>
      <c r="BR78" s="209"/>
      <c r="BS78" s="110">
        <v>0.76041666666666696</v>
      </c>
      <c r="BT78" s="209"/>
      <c r="BU78" s="110">
        <v>0.76041666666666696</v>
      </c>
      <c r="BV78" s="211"/>
      <c r="BW78" s="21"/>
      <c r="BX78" s="110">
        <v>0.76041666666666696</v>
      </c>
      <c r="BY78" s="209"/>
      <c r="BZ78" s="110">
        <v>0.76041666666666696</v>
      </c>
      <c r="CA78" s="209"/>
      <c r="CB78" s="110">
        <v>0.76041666666666696</v>
      </c>
      <c r="CC78" s="211"/>
      <c r="CD78" s="21"/>
      <c r="CE78" s="110">
        <v>0.76041666666666696</v>
      </c>
      <c r="CF78" s="209"/>
      <c r="CG78" s="110">
        <v>0.76041666666666696</v>
      </c>
      <c r="CH78" s="209"/>
      <c r="CI78" s="110">
        <v>0.76041666666666696</v>
      </c>
      <c r="CJ78" s="211"/>
      <c r="CK78" s="21"/>
      <c r="CL78" s="110">
        <v>0.76041666666666696</v>
      </c>
      <c r="CM78" s="209"/>
      <c r="CN78" s="110">
        <v>0.76041666666666696</v>
      </c>
      <c r="CO78" s="209"/>
      <c r="CP78" s="110">
        <v>0.76041666666666696</v>
      </c>
      <c r="CQ78" s="211"/>
      <c r="CR78" s="21"/>
      <c r="CS78" s="110">
        <v>0.76041666666666696</v>
      </c>
      <c r="CT78" s="211"/>
      <c r="CU78" s="21"/>
      <c r="CV78" s="110">
        <v>0.76041666666666696</v>
      </c>
      <c r="CW78" s="264"/>
      <c r="CY78" s="260">
        <v>0.76041666666666696</v>
      </c>
      <c r="CZ78" s="178"/>
      <c r="DA78" s="110">
        <v>0.76041666666666696</v>
      </c>
      <c r="DB78" s="263"/>
      <c r="DC78" s="110">
        <v>0.76041666666666696</v>
      </c>
      <c r="DD78" s="211"/>
      <c r="DE78" s="21"/>
      <c r="DF78" s="110">
        <v>0.76041666666666696</v>
      </c>
      <c r="DG78" s="209"/>
      <c r="DH78" s="110">
        <v>0.76041666666666696</v>
      </c>
      <c r="DI78" s="209"/>
      <c r="DJ78" s="110">
        <v>0.76041666666666696</v>
      </c>
      <c r="DK78" s="211"/>
      <c r="DL78" s="21"/>
      <c r="DM78" s="110">
        <v>0.76041666666666696</v>
      </c>
      <c r="DN78" s="209"/>
      <c r="DO78" s="110">
        <v>0.76041666666666696</v>
      </c>
      <c r="DP78" s="209"/>
      <c r="DQ78" s="110">
        <v>0.76041666666666696</v>
      </c>
      <c r="DR78" s="211"/>
      <c r="DS78" s="21"/>
      <c r="DT78" s="110">
        <v>0.76041666666666696</v>
      </c>
      <c r="DU78" s="209"/>
      <c r="DV78" s="110">
        <v>0.76041666666666696</v>
      </c>
      <c r="DW78" s="209"/>
      <c r="DX78" s="110">
        <v>0.76041666666666696</v>
      </c>
      <c r="DY78" s="211"/>
      <c r="DZ78" s="21"/>
      <c r="EA78" s="110">
        <v>0.76041666666666696</v>
      </c>
      <c r="EB78" s="209">
        <f>IF('Temperature Profiles'!AA77&gt;18,(0.0018*('Temperature Profiles'!AA77^2)-(0.0475*'Temperature Profiles'!AA77)+0.3123)*1000,IF(AND('Temperature Profiles'!AA77&lt;17,'Temperature Profiles'!AA77&gt;-5.6),(0.0021*('Temperature Profiles'!AA77^2)-(0.0919*'Temperature Profiles'!AA77)+1.0491)*1000,IF(AND('Temperature Profiles'!AA77&lt;-5.6,'Temperature Profiles'!AA77&gt;-11.4),(((-0.2925*'Temperature Profiles'!AA77)-1.6914)*1000)+EB$208,IF('Temperature Profiles'!AA77&lt;-11.4,EB181,0))))</f>
        <v>1968.7874999999999</v>
      </c>
      <c r="EC78" s="110">
        <v>0.76041666666666696</v>
      </c>
      <c r="ED78" s="209">
        <f>IF('Temperature Profiles'!AA77&gt;18,(0.0034*('Temperature Profiles'!AA77^2)-(0.087*'Temperature Profiles'!AA77)+0.5117)*1000,IF(AND('Temperature Profiles'!AA77&lt;17,'Temperature Profiles'!AA77&gt;-4.4),(0.0027*('Temperature Profiles'!AA77^2)-(0.149*'Temperature Profiles'!AA77)+1.7779)*1000,IF(AND('Temperature Profiles'!AA77&lt;-4.4,'Temperature Profiles'!AA77&gt;-8.5),(((-0.5391*'Temperature Profiles'!AA77)-2.0906)*1000)+ED$208,IF('Temperature Profiles'!AA77&lt;-8.5,ED181,0))))</f>
        <v>4149.6225000000004</v>
      </c>
      <c r="EE78" s="110">
        <v>0.76041666666666696</v>
      </c>
      <c r="EF78" s="211">
        <f>IF('Temperature Profiles'!AA77&gt;18,(0.0048*('Temperature Profiles'!AA77^2)-(0.1352*'Temperature Profiles'!AA77)+0.9193)*1000,IF(AND('Temperature Profiles'!AA77&lt;17,'Temperature Profiles'!AA77&gt;-4.4),(0.0031*('Temperature Profiles'!AA77^2)-(0.2029*'Temperature Profiles'!AA77)+2.4264)*1000,IF(AND('Temperature Profiles'!AA77&lt;-4.4,'Temperature Profiles'!AA77&gt;-8.5),(((-0.7516*'Temperature Profiles'!AA77)-2.9985)*1000)+EF$208,IF('Temperature Profiles'!AA77&lt;-8.5,EF181,0))))</f>
        <v>5633.91</v>
      </c>
      <c r="EG78" s="21"/>
      <c r="EH78" s="110">
        <v>0.76041666666666696</v>
      </c>
      <c r="EI78" s="211"/>
      <c r="EJ78" s="110">
        <v>0.76041666666666696</v>
      </c>
      <c r="EK78" s="211"/>
      <c r="EL78" s="110">
        <v>0.76041666666666696</v>
      </c>
      <c r="EM78" s="211"/>
      <c r="EN78" s="21"/>
      <c r="EO78" s="110">
        <v>0.76041666666666696</v>
      </c>
      <c r="EP78" s="211"/>
      <c r="EQ78" s="21"/>
      <c r="ER78" s="110">
        <v>0.76041666666666696</v>
      </c>
      <c r="ES78" s="264"/>
      <c r="EU78" s="260">
        <v>0.76041666666666696</v>
      </c>
      <c r="EV78" s="209">
        <f>IF('Temperature Profiles'!AA77&gt;18,(0.0018*('Temperature Profiles'!AA77^2)-(0.0475*'Temperature Profiles'!AA77)+0.3123)*1000,IF(AND('Temperature Profiles'!AA77&lt;17,'Temperature Profiles'!AA77&gt;-5.6),(0.0021*('Temperature Profiles'!AA77^2)-(0.0919*'Temperature Profiles'!AA77)+1.0491)*1000,IF(AND('Temperature Profiles'!AA77&lt;-5.6,'Temperature Profiles'!AA77&gt;-11.4),EV$208,IF('Temperature Profiles'!AA77&lt;-11.4,EV181,0))))</f>
        <v>1620</v>
      </c>
      <c r="EW78" s="110">
        <v>0.76041666666666696</v>
      </c>
      <c r="EX78" s="209">
        <f>IF('Temperature Profiles'!AA77&gt;18,(0.0034*('Temperature Profiles'!AA77^2)-(0.087*'Temperature Profiles'!AA77)+0.5117)*1000,IF(AND('Temperature Profiles'!AA77&lt;17,'Temperature Profiles'!AA77&gt;-4.4),(0.0027*('Temperature Profiles'!AA77^2)-(0.149*'Temperature Profiles'!AA77)+1.7779)*1000,IF(AND('Temperature Profiles'!AA77&lt;-4.4,'Temperature Profiles'!AA77&gt;-8.5),EX$208,IF('Temperature Profiles'!AA77&lt;-8.5,EX181,0))))</f>
        <v>2480</v>
      </c>
      <c r="EY78" s="110">
        <v>0.76041666666666696</v>
      </c>
      <c r="EZ78" s="264">
        <f>IF('Temperature Profiles'!AA77&gt;18,(0.0048*('Temperature Profiles'!AA77^2)-(0.1352*'Temperature Profiles'!AA77)+0.9193)*1000,IF(AND('Temperature Profiles'!AA77&lt;17,'Temperature Profiles'!AA77&gt;-4.4),(0.0031*('Temperature Profiles'!AA77^2)-(0.2029*'Temperature Profiles'!AA77)+2.4264)*1000,IF(AND('Temperature Profiles'!AA77&lt;-4.4,'Temperature Profiles'!AA77&gt;-8.5),EZ$208,IF('Temperature Profiles'!AA77&lt;-8.5,EZ181,0))))</f>
        <v>3390</v>
      </c>
    </row>
    <row r="79" spans="1:156" x14ac:dyDescent="0.3">
      <c r="A79" s="108">
        <v>0.76041666666666696</v>
      </c>
      <c r="B79" s="226">
        <f t="shared" si="7"/>
        <v>0</v>
      </c>
      <c r="C79" s="21">
        <f t="shared" si="8"/>
        <v>0</v>
      </c>
      <c r="D79" s="21">
        <f t="shared" si="9"/>
        <v>5633.91</v>
      </c>
      <c r="E79" s="20">
        <f t="shared" si="10"/>
        <v>3390</v>
      </c>
      <c r="G79" s="260">
        <v>0.77083333333333304</v>
      </c>
      <c r="H79" s="211"/>
      <c r="I79" s="110">
        <v>0.77083333333333304</v>
      </c>
      <c r="J79" s="211"/>
      <c r="K79" s="110">
        <v>0.77083333333333304</v>
      </c>
      <c r="L79" s="211"/>
      <c r="M79" s="21"/>
      <c r="N79" s="110">
        <v>0.77083333333333304</v>
      </c>
      <c r="O79" s="209"/>
      <c r="P79" s="110">
        <v>0.77083333333333304</v>
      </c>
      <c r="Q79" s="209"/>
      <c r="R79" s="110">
        <v>0.77083333333333304</v>
      </c>
      <c r="S79" s="211"/>
      <c r="T79" s="21"/>
      <c r="U79" s="110">
        <v>0.77083333333333304</v>
      </c>
      <c r="V79" s="209"/>
      <c r="W79" s="110">
        <v>0.77083333333333304</v>
      </c>
      <c r="X79" s="209"/>
      <c r="Y79" s="110">
        <v>0.77083333333333304</v>
      </c>
      <c r="Z79" s="211"/>
      <c r="AA79" s="21"/>
      <c r="AB79" s="110">
        <v>0.77083333333333304</v>
      </c>
      <c r="AC79" s="209"/>
      <c r="AD79" s="110">
        <v>0.77083333333333304</v>
      </c>
      <c r="AE79" s="209"/>
      <c r="AF79" s="110">
        <v>0.77083333333333304</v>
      </c>
      <c r="AG79" s="211"/>
      <c r="AH79" s="21"/>
      <c r="AI79" s="110">
        <v>0.77083333333333304</v>
      </c>
      <c r="AJ79" s="209"/>
      <c r="AK79" s="110">
        <v>0.77083333333333304</v>
      </c>
      <c r="AL79" s="209"/>
      <c r="AM79" s="110">
        <v>0.77083333333333304</v>
      </c>
      <c r="AN79" s="211"/>
      <c r="AO79" s="21"/>
      <c r="AP79" s="110">
        <v>0.77083333333333304</v>
      </c>
      <c r="AQ79" s="209"/>
      <c r="AR79" s="110">
        <v>0.77083333333333304</v>
      </c>
      <c r="AS79" s="209"/>
      <c r="AT79" s="110">
        <v>0.77083333333333304</v>
      </c>
      <c r="AU79" s="211"/>
      <c r="AV79" s="21"/>
      <c r="AW79" s="110">
        <v>0.77083333333333304</v>
      </c>
      <c r="AX79" s="211"/>
      <c r="AY79" s="21"/>
      <c r="AZ79" s="110">
        <v>0.77083333333333304</v>
      </c>
      <c r="BA79" s="264"/>
      <c r="BC79" s="260">
        <v>0.77083333333333304</v>
      </c>
      <c r="BD79" s="211"/>
      <c r="BE79" s="110">
        <v>0.77083333333333304</v>
      </c>
      <c r="BF79" s="211"/>
      <c r="BG79" s="110">
        <v>0.77083333333333304</v>
      </c>
      <c r="BH79" s="211"/>
      <c r="BI79" s="21"/>
      <c r="BJ79" s="110">
        <v>0.77083333333333304</v>
      </c>
      <c r="BK79" s="209"/>
      <c r="BL79" s="110">
        <v>0.77083333333333304</v>
      </c>
      <c r="BM79" s="209"/>
      <c r="BN79" s="110">
        <v>0.77083333333333304</v>
      </c>
      <c r="BO79" s="211"/>
      <c r="BP79" s="21"/>
      <c r="BQ79" s="110">
        <v>0.77083333333333304</v>
      </c>
      <c r="BR79" s="209"/>
      <c r="BS79" s="110">
        <v>0.77083333333333304</v>
      </c>
      <c r="BT79" s="209"/>
      <c r="BU79" s="110">
        <v>0.77083333333333304</v>
      </c>
      <c r="BV79" s="211"/>
      <c r="BW79" s="21"/>
      <c r="BX79" s="110">
        <v>0.77083333333333304</v>
      </c>
      <c r="BY79" s="209"/>
      <c r="BZ79" s="110">
        <v>0.77083333333333304</v>
      </c>
      <c r="CA79" s="209"/>
      <c r="CB79" s="110">
        <v>0.77083333333333304</v>
      </c>
      <c r="CC79" s="211"/>
      <c r="CD79" s="21"/>
      <c r="CE79" s="110">
        <v>0.77083333333333304</v>
      </c>
      <c r="CF79" s="209"/>
      <c r="CG79" s="110">
        <v>0.77083333333333304</v>
      </c>
      <c r="CH79" s="209"/>
      <c r="CI79" s="110">
        <v>0.77083333333333304</v>
      </c>
      <c r="CJ79" s="211"/>
      <c r="CK79" s="21"/>
      <c r="CL79" s="110">
        <v>0.77083333333333304</v>
      </c>
      <c r="CM79" s="209"/>
      <c r="CN79" s="110">
        <v>0.77083333333333304</v>
      </c>
      <c r="CO79" s="209"/>
      <c r="CP79" s="110">
        <v>0.77083333333333304</v>
      </c>
      <c r="CQ79" s="211"/>
      <c r="CR79" s="21"/>
      <c r="CS79" s="110">
        <v>0.77083333333333304</v>
      </c>
      <c r="CT79" s="211"/>
      <c r="CU79" s="21"/>
      <c r="CV79" s="110">
        <v>0.77083333333333304</v>
      </c>
      <c r="CW79" s="264"/>
      <c r="CY79" s="260">
        <v>0.77083333333333304</v>
      </c>
      <c r="CZ79" s="178"/>
      <c r="DA79" s="110">
        <v>0.77083333333333304</v>
      </c>
      <c r="DB79" s="263"/>
      <c r="DC79" s="110">
        <v>0.77083333333333304</v>
      </c>
      <c r="DD79" s="211"/>
      <c r="DE79" s="21"/>
      <c r="DF79" s="110">
        <v>0.77083333333333304</v>
      </c>
      <c r="DG79" s="209"/>
      <c r="DH79" s="110">
        <v>0.77083333333333304</v>
      </c>
      <c r="DI79" s="209"/>
      <c r="DJ79" s="110">
        <v>0.77083333333333304</v>
      </c>
      <c r="DK79" s="211"/>
      <c r="DL79" s="21"/>
      <c r="DM79" s="110">
        <v>0.77083333333333304</v>
      </c>
      <c r="DN79" s="209"/>
      <c r="DO79" s="110">
        <v>0.77083333333333304</v>
      </c>
      <c r="DP79" s="209"/>
      <c r="DQ79" s="110">
        <v>0.77083333333333304</v>
      </c>
      <c r="DR79" s="211"/>
      <c r="DS79" s="21"/>
      <c r="DT79" s="110">
        <v>0.77083333333333304</v>
      </c>
      <c r="DU79" s="209"/>
      <c r="DV79" s="110">
        <v>0.77083333333333304</v>
      </c>
      <c r="DW79" s="209"/>
      <c r="DX79" s="110">
        <v>0.77083333333333304</v>
      </c>
      <c r="DY79" s="211"/>
      <c r="DZ79" s="21"/>
      <c r="EA79" s="110">
        <v>0.77083333333333304</v>
      </c>
      <c r="EB79" s="209">
        <f>IF('Temperature Profiles'!AA78&gt;18,(0.0018*('Temperature Profiles'!AA78^2)-(0.0475*'Temperature Profiles'!AA78)+0.3123)*1000,IF(AND('Temperature Profiles'!AA78&lt;17,'Temperature Profiles'!AA78&gt;-5.6),(0.0021*('Temperature Profiles'!AA78^2)-(0.0919*'Temperature Profiles'!AA78)+1.0491)*1000,IF(AND('Temperature Profiles'!AA78&lt;-5.6,'Temperature Profiles'!AA78&gt;-11.4),(((-0.2925*'Temperature Profiles'!AA78)-1.6914)*1000)+EB$208,IF('Temperature Profiles'!AA78&lt;-11.4,EB182,0))))</f>
        <v>1968.7874999999999</v>
      </c>
      <c r="EC79" s="110">
        <v>0.77083333333333304</v>
      </c>
      <c r="ED79" s="209">
        <f>IF('Temperature Profiles'!AA78&gt;18,(0.0034*('Temperature Profiles'!AA78^2)-(0.087*'Temperature Profiles'!AA78)+0.5117)*1000,IF(AND('Temperature Profiles'!AA78&lt;17,'Temperature Profiles'!AA78&gt;-4.4),(0.0027*('Temperature Profiles'!AA78^2)-(0.149*'Temperature Profiles'!AA78)+1.7779)*1000,IF(AND('Temperature Profiles'!AA78&lt;-4.4,'Temperature Profiles'!AA78&gt;-8.5),(((-0.5391*'Temperature Profiles'!AA78)-2.0906)*1000)+ED$208,IF('Temperature Profiles'!AA78&lt;-8.5,ED182,0))))</f>
        <v>4149.6225000000004</v>
      </c>
      <c r="EE79" s="110">
        <v>0.77083333333333304</v>
      </c>
      <c r="EF79" s="211">
        <f>IF('Temperature Profiles'!AA78&gt;18,(0.0048*('Temperature Profiles'!AA78^2)-(0.1352*'Temperature Profiles'!AA78)+0.9193)*1000,IF(AND('Temperature Profiles'!AA78&lt;17,'Temperature Profiles'!AA78&gt;-4.4),(0.0031*('Temperature Profiles'!AA78^2)-(0.2029*'Temperature Profiles'!AA78)+2.4264)*1000,IF(AND('Temperature Profiles'!AA78&lt;-4.4,'Temperature Profiles'!AA78&gt;-8.5),(((-0.7516*'Temperature Profiles'!AA78)-2.9985)*1000)+EF$208,IF('Temperature Profiles'!AA78&lt;-8.5,EF182,0))))</f>
        <v>5633.91</v>
      </c>
      <c r="EG79" s="21"/>
      <c r="EH79" s="110">
        <v>0.77083333333333304</v>
      </c>
      <c r="EI79" s="211"/>
      <c r="EJ79" s="110">
        <v>0.77083333333333304</v>
      </c>
      <c r="EK79" s="211"/>
      <c r="EL79" s="110">
        <v>0.77083333333333304</v>
      </c>
      <c r="EM79" s="211"/>
      <c r="EN79" s="21"/>
      <c r="EO79" s="110">
        <v>0.77083333333333304</v>
      </c>
      <c r="EP79" s="211"/>
      <c r="EQ79" s="21"/>
      <c r="ER79" s="110">
        <v>0.77083333333333304</v>
      </c>
      <c r="ES79" s="264"/>
      <c r="EU79" s="260">
        <v>0.77083333333333304</v>
      </c>
      <c r="EV79" s="209">
        <f>IF('Temperature Profiles'!AA78&gt;18,(0.0018*('Temperature Profiles'!AA78^2)-(0.0475*'Temperature Profiles'!AA78)+0.3123)*1000,IF(AND('Temperature Profiles'!AA78&lt;17,'Temperature Profiles'!AA78&gt;-5.6),(0.0021*('Temperature Profiles'!AA78^2)-(0.0919*'Temperature Profiles'!AA78)+1.0491)*1000,IF(AND('Temperature Profiles'!AA78&lt;-5.6,'Temperature Profiles'!AA78&gt;-11.4),EV$208,IF('Temperature Profiles'!AA78&lt;-11.4,EV182,0))))</f>
        <v>1620</v>
      </c>
      <c r="EW79" s="110">
        <v>0.77083333333333304</v>
      </c>
      <c r="EX79" s="209">
        <f>IF('Temperature Profiles'!AA78&gt;18,(0.0034*('Temperature Profiles'!AA78^2)-(0.087*'Temperature Profiles'!AA78)+0.5117)*1000,IF(AND('Temperature Profiles'!AA78&lt;17,'Temperature Profiles'!AA78&gt;-4.4),(0.0027*('Temperature Profiles'!AA78^2)-(0.149*'Temperature Profiles'!AA78)+1.7779)*1000,IF(AND('Temperature Profiles'!AA78&lt;-4.4,'Temperature Profiles'!AA78&gt;-8.5),EX$208,IF('Temperature Profiles'!AA78&lt;-8.5,EX182,0))))</f>
        <v>2480</v>
      </c>
      <c r="EY79" s="110">
        <v>0.77083333333333304</v>
      </c>
      <c r="EZ79" s="264">
        <f>IF('Temperature Profiles'!AA78&gt;18,(0.0048*('Temperature Profiles'!AA78^2)-(0.1352*'Temperature Profiles'!AA78)+0.9193)*1000,IF(AND('Temperature Profiles'!AA78&lt;17,'Temperature Profiles'!AA78&gt;-4.4),(0.0031*('Temperature Profiles'!AA78^2)-(0.2029*'Temperature Profiles'!AA78)+2.4264)*1000,IF(AND('Temperature Profiles'!AA78&lt;-4.4,'Temperature Profiles'!AA78&gt;-8.5),EZ$208,IF('Temperature Profiles'!AA78&lt;-8.5,EZ182,0))))</f>
        <v>3390</v>
      </c>
    </row>
    <row r="80" spans="1:156" x14ac:dyDescent="0.3">
      <c r="A80" s="108">
        <v>0.77083333333333304</v>
      </c>
      <c r="B80" s="226">
        <f t="shared" si="7"/>
        <v>0</v>
      </c>
      <c r="C80" s="21">
        <f t="shared" si="8"/>
        <v>0</v>
      </c>
      <c r="D80" s="21">
        <f t="shared" si="9"/>
        <v>5633.91</v>
      </c>
      <c r="E80" s="20">
        <f t="shared" si="10"/>
        <v>3390</v>
      </c>
      <c r="G80" s="260">
        <v>0.78125</v>
      </c>
      <c r="H80" s="211"/>
      <c r="I80" s="110">
        <v>0.78125</v>
      </c>
      <c r="J80" s="211"/>
      <c r="K80" s="110">
        <v>0.78125</v>
      </c>
      <c r="L80" s="211"/>
      <c r="M80" s="21"/>
      <c r="N80" s="110">
        <v>0.78125</v>
      </c>
      <c r="O80" s="209"/>
      <c r="P80" s="110">
        <v>0.78125</v>
      </c>
      <c r="Q80" s="209"/>
      <c r="R80" s="110">
        <v>0.78125</v>
      </c>
      <c r="S80" s="211"/>
      <c r="T80" s="21"/>
      <c r="U80" s="110">
        <v>0.78125</v>
      </c>
      <c r="V80" s="209"/>
      <c r="W80" s="110">
        <v>0.78125</v>
      </c>
      <c r="X80" s="209"/>
      <c r="Y80" s="110">
        <v>0.78125</v>
      </c>
      <c r="Z80" s="211"/>
      <c r="AA80" s="21"/>
      <c r="AB80" s="110">
        <v>0.78125</v>
      </c>
      <c r="AC80" s="209"/>
      <c r="AD80" s="110">
        <v>0.78125</v>
      </c>
      <c r="AE80" s="209"/>
      <c r="AF80" s="110">
        <v>0.78125</v>
      </c>
      <c r="AG80" s="211"/>
      <c r="AH80" s="21"/>
      <c r="AI80" s="110">
        <v>0.78125</v>
      </c>
      <c r="AJ80" s="209"/>
      <c r="AK80" s="110">
        <v>0.78125</v>
      </c>
      <c r="AL80" s="209"/>
      <c r="AM80" s="110">
        <v>0.78125</v>
      </c>
      <c r="AN80" s="211"/>
      <c r="AO80" s="21"/>
      <c r="AP80" s="110">
        <v>0.78125</v>
      </c>
      <c r="AQ80" s="209"/>
      <c r="AR80" s="110">
        <v>0.78125</v>
      </c>
      <c r="AS80" s="209"/>
      <c r="AT80" s="110">
        <v>0.78125</v>
      </c>
      <c r="AU80" s="211"/>
      <c r="AV80" s="21"/>
      <c r="AW80" s="110">
        <v>0.78125</v>
      </c>
      <c r="AX80" s="211"/>
      <c r="AY80" s="21"/>
      <c r="AZ80" s="110">
        <v>0.78125</v>
      </c>
      <c r="BA80" s="264"/>
      <c r="BC80" s="260">
        <v>0.78125</v>
      </c>
      <c r="BD80" s="211"/>
      <c r="BE80" s="110">
        <v>0.78125</v>
      </c>
      <c r="BF80" s="211"/>
      <c r="BG80" s="110">
        <v>0.78125</v>
      </c>
      <c r="BH80" s="211"/>
      <c r="BI80" s="21"/>
      <c r="BJ80" s="110">
        <v>0.78125</v>
      </c>
      <c r="BK80" s="209"/>
      <c r="BL80" s="110">
        <v>0.78125</v>
      </c>
      <c r="BM80" s="209"/>
      <c r="BN80" s="110">
        <v>0.78125</v>
      </c>
      <c r="BO80" s="211"/>
      <c r="BP80" s="21"/>
      <c r="BQ80" s="110">
        <v>0.78125</v>
      </c>
      <c r="BR80" s="209"/>
      <c r="BS80" s="110">
        <v>0.78125</v>
      </c>
      <c r="BT80" s="209"/>
      <c r="BU80" s="110">
        <v>0.78125</v>
      </c>
      <c r="BV80" s="211"/>
      <c r="BW80" s="21"/>
      <c r="BX80" s="110">
        <v>0.78125</v>
      </c>
      <c r="BY80" s="209"/>
      <c r="BZ80" s="110">
        <v>0.78125</v>
      </c>
      <c r="CA80" s="209"/>
      <c r="CB80" s="110">
        <v>0.78125</v>
      </c>
      <c r="CC80" s="211"/>
      <c r="CD80" s="21"/>
      <c r="CE80" s="110">
        <v>0.78125</v>
      </c>
      <c r="CF80" s="209"/>
      <c r="CG80" s="110">
        <v>0.78125</v>
      </c>
      <c r="CH80" s="209"/>
      <c r="CI80" s="110">
        <v>0.78125</v>
      </c>
      <c r="CJ80" s="211"/>
      <c r="CK80" s="21"/>
      <c r="CL80" s="110">
        <v>0.78125</v>
      </c>
      <c r="CM80" s="209"/>
      <c r="CN80" s="110">
        <v>0.78125</v>
      </c>
      <c r="CO80" s="209"/>
      <c r="CP80" s="110">
        <v>0.78125</v>
      </c>
      <c r="CQ80" s="211"/>
      <c r="CR80" s="21"/>
      <c r="CS80" s="110">
        <v>0.78125</v>
      </c>
      <c r="CT80" s="211"/>
      <c r="CU80" s="21"/>
      <c r="CV80" s="110">
        <v>0.78125</v>
      </c>
      <c r="CW80" s="264"/>
      <c r="CY80" s="260">
        <v>0.78125</v>
      </c>
      <c r="CZ80" s="178"/>
      <c r="DA80" s="110">
        <v>0.78125</v>
      </c>
      <c r="DB80" s="263"/>
      <c r="DC80" s="110">
        <v>0.78125</v>
      </c>
      <c r="DD80" s="211"/>
      <c r="DE80" s="21"/>
      <c r="DF80" s="110">
        <v>0.78125</v>
      </c>
      <c r="DG80" s="209"/>
      <c r="DH80" s="110">
        <v>0.78125</v>
      </c>
      <c r="DI80" s="209"/>
      <c r="DJ80" s="110">
        <v>0.78125</v>
      </c>
      <c r="DK80" s="211"/>
      <c r="DL80" s="21"/>
      <c r="DM80" s="110">
        <v>0.78125</v>
      </c>
      <c r="DN80" s="209"/>
      <c r="DO80" s="110">
        <v>0.78125</v>
      </c>
      <c r="DP80" s="209"/>
      <c r="DQ80" s="110">
        <v>0.78125</v>
      </c>
      <c r="DR80" s="211"/>
      <c r="DS80" s="21"/>
      <c r="DT80" s="110">
        <v>0.78125</v>
      </c>
      <c r="DU80" s="209"/>
      <c r="DV80" s="110">
        <v>0.78125</v>
      </c>
      <c r="DW80" s="209"/>
      <c r="DX80" s="110">
        <v>0.78125</v>
      </c>
      <c r="DY80" s="211"/>
      <c r="DZ80" s="21"/>
      <c r="EA80" s="110">
        <v>0.78125</v>
      </c>
      <c r="EB80" s="209">
        <f>IF('Temperature Profiles'!AA79&gt;18,(0.0018*('Temperature Profiles'!AA79^2)-(0.0475*'Temperature Profiles'!AA79)+0.3123)*1000,IF(AND('Temperature Profiles'!AA79&lt;17,'Temperature Profiles'!AA79&gt;-5.6),(0.0021*('Temperature Profiles'!AA79^2)-(0.0919*'Temperature Profiles'!AA79)+1.0491)*1000,IF(AND('Temperature Profiles'!AA79&lt;-5.6,'Temperature Profiles'!AA79&gt;-11.4),(((-0.2925*'Temperature Profiles'!AA79)-1.6914)*1000)+EB$208,IF('Temperature Profiles'!AA79&lt;-11.4,EB183,0))))</f>
        <v>1968.7874999999999</v>
      </c>
      <c r="EC80" s="110">
        <v>0.78125</v>
      </c>
      <c r="ED80" s="209">
        <f>IF('Temperature Profiles'!AA79&gt;18,(0.0034*('Temperature Profiles'!AA79^2)-(0.087*'Temperature Profiles'!AA79)+0.5117)*1000,IF(AND('Temperature Profiles'!AA79&lt;17,'Temperature Profiles'!AA79&gt;-4.4),(0.0027*('Temperature Profiles'!AA79^2)-(0.149*'Temperature Profiles'!AA79)+1.7779)*1000,IF(AND('Temperature Profiles'!AA79&lt;-4.4,'Temperature Profiles'!AA79&gt;-8.5),(((-0.5391*'Temperature Profiles'!AA79)-2.0906)*1000)+ED$208,IF('Temperature Profiles'!AA79&lt;-8.5,ED183,0))))</f>
        <v>4149.6225000000004</v>
      </c>
      <c r="EE80" s="110">
        <v>0.78125</v>
      </c>
      <c r="EF80" s="211">
        <f>IF('Temperature Profiles'!AA79&gt;18,(0.0048*('Temperature Profiles'!AA79^2)-(0.1352*'Temperature Profiles'!AA79)+0.9193)*1000,IF(AND('Temperature Profiles'!AA79&lt;17,'Temperature Profiles'!AA79&gt;-4.4),(0.0031*('Temperature Profiles'!AA79^2)-(0.2029*'Temperature Profiles'!AA79)+2.4264)*1000,IF(AND('Temperature Profiles'!AA79&lt;-4.4,'Temperature Profiles'!AA79&gt;-8.5),(((-0.7516*'Temperature Profiles'!AA79)-2.9985)*1000)+EF$208,IF('Temperature Profiles'!AA79&lt;-8.5,EF183,0))))</f>
        <v>5633.91</v>
      </c>
      <c r="EG80" s="21"/>
      <c r="EH80" s="110">
        <v>0.78125</v>
      </c>
      <c r="EI80" s="211"/>
      <c r="EJ80" s="110">
        <v>0.78125</v>
      </c>
      <c r="EK80" s="211"/>
      <c r="EL80" s="110">
        <v>0.78125</v>
      </c>
      <c r="EM80" s="211"/>
      <c r="EN80" s="21"/>
      <c r="EO80" s="110">
        <v>0.78125</v>
      </c>
      <c r="EP80" s="211"/>
      <c r="EQ80" s="21"/>
      <c r="ER80" s="110">
        <v>0.78125</v>
      </c>
      <c r="ES80" s="264"/>
      <c r="EU80" s="260">
        <v>0.78125</v>
      </c>
      <c r="EV80" s="209">
        <f>IF('Temperature Profiles'!AA79&gt;18,(0.0018*('Temperature Profiles'!AA79^2)-(0.0475*'Temperature Profiles'!AA79)+0.3123)*1000,IF(AND('Temperature Profiles'!AA79&lt;17,'Temperature Profiles'!AA79&gt;-5.6),(0.0021*('Temperature Profiles'!AA79^2)-(0.0919*'Temperature Profiles'!AA79)+1.0491)*1000,IF(AND('Temperature Profiles'!AA79&lt;-5.6,'Temperature Profiles'!AA79&gt;-11.4),EV$208,IF('Temperature Profiles'!AA79&lt;-11.4,EV183,0))))</f>
        <v>1620</v>
      </c>
      <c r="EW80" s="110">
        <v>0.78125</v>
      </c>
      <c r="EX80" s="209">
        <f>IF('Temperature Profiles'!AA79&gt;18,(0.0034*('Temperature Profiles'!AA79^2)-(0.087*'Temperature Profiles'!AA79)+0.5117)*1000,IF(AND('Temperature Profiles'!AA79&lt;17,'Temperature Profiles'!AA79&gt;-4.4),(0.0027*('Temperature Profiles'!AA79^2)-(0.149*'Temperature Profiles'!AA79)+1.7779)*1000,IF(AND('Temperature Profiles'!AA79&lt;-4.4,'Temperature Profiles'!AA79&gt;-8.5),EX$208,IF('Temperature Profiles'!AA79&lt;-8.5,EX183,0))))</f>
        <v>2480</v>
      </c>
      <c r="EY80" s="110">
        <v>0.78125</v>
      </c>
      <c r="EZ80" s="264">
        <f>IF('Temperature Profiles'!AA79&gt;18,(0.0048*('Temperature Profiles'!AA79^2)-(0.1352*'Temperature Profiles'!AA79)+0.9193)*1000,IF(AND('Temperature Profiles'!AA79&lt;17,'Temperature Profiles'!AA79&gt;-4.4),(0.0031*('Temperature Profiles'!AA79^2)-(0.2029*'Temperature Profiles'!AA79)+2.4264)*1000,IF(AND('Temperature Profiles'!AA79&lt;-4.4,'Temperature Profiles'!AA79&gt;-8.5),EZ$208,IF('Temperature Profiles'!AA79&lt;-8.5,EZ183,0))))</f>
        <v>3390</v>
      </c>
    </row>
    <row r="81" spans="1:156" x14ac:dyDescent="0.3">
      <c r="A81" s="108">
        <v>0.78125</v>
      </c>
      <c r="B81" s="226">
        <f t="shared" si="7"/>
        <v>0</v>
      </c>
      <c r="C81" s="21">
        <f t="shared" si="8"/>
        <v>0</v>
      </c>
      <c r="D81" s="21">
        <f t="shared" si="9"/>
        <v>5633.91</v>
      </c>
      <c r="E81" s="20">
        <f t="shared" si="10"/>
        <v>3390</v>
      </c>
      <c r="G81" s="260">
        <v>0.79166666666666696</v>
      </c>
      <c r="H81" s="211"/>
      <c r="I81" s="110">
        <v>0.79166666666666696</v>
      </c>
      <c r="J81" s="211"/>
      <c r="K81" s="110">
        <v>0.79166666666666696</v>
      </c>
      <c r="L81" s="211"/>
      <c r="M81" s="21"/>
      <c r="N81" s="110">
        <v>0.79166666666666696</v>
      </c>
      <c r="O81" s="209"/>
      <c r="P81" s="110">
        <v>0.79166666666666696</v>
      </c>
      <c r="Q81" s="209"/>
      <c r="R81" s="110">
        <v>0.79166666666666696</v>
      </c>
      <c r="S81" s="211"/>
      <c r="T81" s="21"/>
      <c r="U81" s="110">
        <v>0.79166666666666696</v>
      </c>
      <c r="V81" s="209"/>
      <c r="W81" s="110">
        <v>0.79166666666666696</v>
      </c>
      <c r="X81" s="209"/>
      <c r="Y81" s="110">
        <v>0.79166666666666696</v>
      </c>
      <c r="Z81" s="211"/>
      <c r="AA81" s="21"/>
      <c r="AB81" s="110">
        <v>0.79166666666666696</v>
      </c>
      <c r="AC81" s="209"/>
      <c r="AD81" s="110">
        <v>0.79166666666666696</v>
      </c>
      <c r="AE81" s="209"/>
      <c r="AF81" s="110">
        <v>0.79166666666666696</v>
      </c>
      <c r="AG81" s="211"/>
      <c r="AH81" s="21"/>
      <c r="AI81" s="110">
        <v>0.79166666666666696</v>
      </c>
      <c r="AJ81" s="209"/>
      <c r="AK81" s="110">
        <v>0.79166666666666696</v>
      </c>
      <c r="AL81" s="209"/>
      <c r="AM81" s="110">
        <v>0.79166666666666696</v>
      </c>
      <c r="AN81" s="211"/>
      <c r="AO81" s="21"/>
      <c r="AP81" s="110">
        <v>0.79166666666666696</v>
      </c>
      <c r="AQ81" s="209"/>
      <c r="AR81" s="110">
        <v>0.79166666666666696</v>
      </c>
      <c r="AS81" s="209"/>
      <c r="AT81" s="110">
        <v>0.79166666666666696</v>
      </c>
      <c r="AU81" s="211"/>
      <c r="AV81" s="21"/>
      <c r="AW81" s="110">
        <v>0.79166666666666696</v>
      </c>
      <c r="AX81" s="211"/>
      <c r="AY81" s="21"/>
      <c r="AZ81" s="110">
        <v>0.79166666666666696</v>
      </c>
      <c r="BA81" s="264"/>
      <c r="BC81" s="260">
        <v>0.79166666666666696</v>
      </c>
      <c r="BD81" s="211"/>
      <c r="BE81" s="110">
        <v>0.79166666666666696</v>
      </c>
      <c r="BF81" s="211"/>
      <c r="BG81" s="110">
        <v>0.79166666666666696</v>
      </c>
      <c r="BH81" s="211"/>
      <c r="BI81" s="21"/>
      <c r="BJ81" s="110">
        <v>0.79166666666666696</v>
      </c>
      <c r="BK81" s="209"/>
      <c r="BL81" s="110">
        <v>0.79166666666666696</v>
      </c>
      <c r="BM81" s="209"/>
      <c r="BN81" s="110">
        <v>0.79166666666666696</v>
      </c>
      <c r="BO81" s="211"/>
      <c r="BP81" s="21"/>
      <c r="BQ81" s="110">
        <v>0.79166666666666696</v>
      </c>
      <c r="BR81" s="209"/>
      <c r="BS81" s="110">
        <v>0.79166666666666696</v>
      </c>
      <c r="BT81" s="209"/>
      <c r="BU81" s="110">
        <v>0.79166666666666696</v>
      </c>
      <c r="BV81" s="211"/>
      <c r="BW81" s="21"/>
      <c r="BX81" s="110">
        <v>0.79166666666666696</v>
      </c>
      <c r="BY81" s="209"/>
      <c r="BZ81" s="110">
        <v>0.79166666666666696</v>
      </c>
      <c r="CA81" s="209"/>
      <c r="CB81" s="110">
        <v>0.79166666666666696</v>
      </c>
      <c r="CC81" s="211"/>
      <c r="CD81" s="21"/>
      <c r="CE81" s="110">
        <v>0.79166666666666696</v>
      </c>
      <c r="CF81" s="209"/>
      <c r="CG81" s="110">
        <v>0.79166666666666696</v>
      </c>
      <c r="CH81" s="209"/>
      <c r="CI81" s="110">
        <v>0.79166666666666696</v>
      </c>
      <c r="CJ81" s="211"/>
      <c r="CK81" s="21"/>
      <c r="CL81" s="110">
        <v>0.79166666666666696</v>
      </c>
      <c r="CM81" s="209"/>
      <c r="CN81" s="110">
        <v>0.79166666666666696</v>
      </c>
      <c r="CO81" s="209"/>
      <c r="CP81" s="110">
        <v>0.79166666666666696</v>
      </c>
      <c r="CQ81" s="211"/>
      <c r="CR81" s="21"/>
      <c r="CS81" s="110">
        <v>0.79166666666666696</v>
      </c>
      <c r="CT81" s="211"/>
      <c r="CU81" s="21"/>
      <c r="CV81" s="110">
        <v>0.79166666666666696</v>
      </c>
      <c r="CW81" s="264"/>
      <c r="CY81" s="260">
        <v>0.79166666666666696</v>
      </c>
      <c r="CZ81" s="178"/>
      <c r="DA81" s="110">
        <v>0.79166666666666696</v>
      </c>
      <c r="DB81" s="263"/>
      <c r="DC81" s="110">
        <v>0.79166666666666696</v>
      </c>
      <c r="DD81" s="211"/>
      <c r="DE81" s="21"/>
      <c r="DF81" s="110">
        <v>0.79166666666666696</v>
      </c>
      <c r="DG81" s="209"/>
      <c r="DH81" s="110">
        <v>0.79166666666666696</v>
      </c>
      <c r="DI81" s="209"/>
      <c r="DJ81" s="110">
        <v>0.79166666666666696</v>
      </c>
      <c r="DK81" s="211"/>
      <c r="DL81" s="21"/>
      <c r="DM81" s="110">
        <v>0.79166666666666696</v>
      </c>
      <c r="DN81" s="209"/>
      <c r="DO81" s="110">
        <v>0.79166666666666696</v>
      </c>
      <c r="DP81" s="209"/>
      <c r="DQ81" s="110">
        <v>0.79166666666666696</v>
      </c>
      <c r="DR81" s="211"/>
      <c r="DS81" s="21"/>
      <c r="DT81" s="110">
        <v>0.79166666666666696</v>
      </c>
      <c r="DU81" s="209"/>
      <c r="DV81" s="110">
        <v>0.79166666666666696</v>
      </c>
      <c r="DW81" s="209"/>
      <c r="DX81" s="110">
        <v>0.79166666666666696</v>
      </c>
      <c r="DY81" s="211"/>
      <c r="DZ81" s="21"/>
      <c r="EA81" s="110">
        <v>0.79166666666666696</v>
      </c>
      <c r="EB81" s="209">
        <f>IF('Temperature Profiles'!AA80&gt;18,(0.0018*('Temperature Profiles'!AA80^2)-(0.0475*'Temperature Profiles'!AA80)+0.3123)*1000,IF(AND('Temperature Profiles'!AA80&lt;17,'Temperature Profiles'!AA80&gt;-5.6),(0.0021*('Temperature Profiles'!AA80^2)-(0.0919*'Temperature Profiles'!AA80)+1.0491)*1000,IF(AND('Temperature Profiles'!AA80&lt;-5.6,'Temperature Profiles'!AA80&gt;-11.4),(((-0.2925*'Temperature Profiles'!AA80)-1.6914)*1000)+EB$208,IF('Temperature Profiles'!AA80&lt;-11.4,EB184,0))))</f>
        <v>2407.5374999999999</v>
      </c>
      <c r="EC81" s="110">
        <v>0.79166666666666696</v>
      </c>
      <c r="ED81" s="209">
        <f>IF('Temperature Profiles'!AA80&gt;18,(0.0034*('Temperature Profiles'!AA80^2)-(0.087*'Temperature Profiles'!AA80)+0.5117)*1000,IF(AND('Temperature Profiles'!AA80&lt;17,'Temperature Profiles'!AA80&gt;-4.4),(0.0027*('Temperature Profiles'!AA80^2)-(0.149*'Temperature Profiles'!AA80)+1.7779)*1000,IF(AND('Temperature Profiles'!AA80&lt;-4.4,'Temperature Profiles'!AA80&gt;-8.5),(((-0.5391*'Temperature Profiles'!AA80)-2.0906)*1000)+ED$208,IF('Temperature Profiles'!AA80&lt;-8.5,ED184,0))))</f>
        <v>4958.2725000000009</v>
      </c>
      <c r="EE81" s="110">
        <v>0.79166666666666696</v>
      </c>
      <c r="EF81" s="211">
        <f>IF('Temperature Profiles'!AA80&gt;18,(0.0048*('Temperature Profiles'!AA80^2)-(0.1352*'Temperature Profiles'!AA80)+0.9193)*1000,IF(AND('Temperature Profiles'!AA80&lt;17,'Temperature Profiles'!AA80&gt;-4.4),(0.0031*('Temperature Profiles'!AA80^2)-(0.2029*'Temperature Profiles'!AA80)+2.4264)*1000,IF(AND('Temperature Profiles'!AA80&lt;-4.4,'Temperature Profiles'!AA80&gt;-8.5),(((-0.7516*'Temperature Profiles'!AA80)-2.9985)*1000)+EF$208,IF('Temperature Profiles'!AA80&lt;-8.5,EF184,0))))</f>
        <v>6761.31</v>
      </c>
      <c r="EG81" s="21"/>
      <c r="EH81" s="110">
        <v>0.79166666666666696</v>
      </c>
      <c r="EI81" s="211"/>
      <c r="EJ81" s="110">
        <v>0.79166666666666696</v>
      </c>
      <c r="EK81" s="211"/>
      <c r="EL81" s="110">
        <v>0.79166666666666696</v>
      </c>
      <c r="EM81" s="211"/>
      <c r="EN81" s="21"/>
      <c r="EO81" s="110">
        <v>0.79166666666666696</v>
      </c>
      <c r="EP81" s="211"/>
      <c r="EQ81" s="21"/>
      <c r="ER81" s="110">
        <v>0.79166666666666696</v>
      </c>
      <c r="ES81" s="264"/>
      <c r="EU81" s="260">
        <v>0.79166666666666696</v>
      </c>
      <c r="EV81" s="209">
        <f>IF('Temperature Profiles'!AA80&gt;18,(0.0018*('Temperature Profiles'!AA80^2)-(0.0475*'Temperature Profiles'!AA80)+0.3123)*1000,IF(AND('Temperature Profiles'!AA80&lt;17,'Temperature Profiles'!AA80&gt;-5.6),(0.0021*('Temperature Profiles'!AA80^2)-(0.0919*'Temperature Profiles'!AA80)+1.0491)*1000,IF(AND('Temperature Profiles'!AA80&lt;-5.6,'Temperature Profiles'!AA80&gt;-11.4),EV$208,IF('Temperature Profiles'!AA80&lt;-11.4,EV184,0))))</f>
        <v>1620</v>
      </c>
      <c r="EW81" s="110">
        <v>0.79166666666666696</v>
      </c>
      <c r="EX81" s="209">
        <f>IF('Temperature Profiles'!AA80&gt;18,(0.0034*('Temperature Profiles'!AA80^2)-(0.087*'Temperature Profiles'!AA80)+0.5117)*1000,IF(AND('Temperature Profiles'!AA80&lt;17,'Temperature Profiles'!AA80&gt;-4.4),(0.0027*('Temperature Profiles'!AA80^2)-(0.149*'Temperature Profiles'!AA80)+1.7779)*1000,IF(AND('Temperature Profiles'!AA80&lt;-4.4,'Temperature Profiles'!AA80&gt;-8.5),EX$208,IF('Temperature Profiles'!AA80&lt;-8.5,EX184,0))))</f>
        <v>2480</v>
      </c>
      <c r="EY81" s="110">
        <v>0.79166666666666696</v>
      </c>
      <c r="EZ81" s="264">
        <f>IF('Temperature Profiles'!AA80&gt;18,(0.0048*('Temperature Profiles'!AA80^2)-(0.1352*'Temperature Profiles'!AA80)+0.9193)*1000,IF(AND('Temperature Profiles'!AA80&lt;17,'Temperature Profiles'!AA80&gt;-4.4),(0.0031*('Temperature Profiles'!AA80^2)-(0.2029*'Temperature Profiles'!AA80)+2.4264)*1000,IF(AND('Temperature Profiles'!AA80&lt;-4.4,'Temperature Profiles'!AA80&gt;-8.5),EZ$208,IF('Temperature Profiles'!AA80&lt;-8.5,EZ184,0))))</f>
        <v>3390</v>
      </c>
    </row>
    <row r="82" spans="1:156" x14ac:dyDescent="0.3">
      <c r="A82" s="108">
        <v>0.79166666666666696</v>
      </c>
      <c r="B82" s="226">
        <f t="shared" si="7"/>
        <v>0</v>
      </c>
      <c r="C82" s="21">
        <f t="shared" si="8"/>
        <v>0</v>
      </c>
      <c r="D82" s="21">
        <f t="shared" si="9"/>
        <v>6761.31</v>
      </c>
      <c r="E82" s="20">
        <f t="shared" si="10"/>
        <v>3390</v>
      </c>
      <c r="G82" s="260">
        <v>0.80208333333333304</v>
      </c>
      <c r="H82" s="211"/>
      <c r="I82" s="110">
        <v>0.80208333333333304</v>
      </c>
      <c r="J82" s="211"/>
      <c r="K82" s="110">
        <v>0.80208333333333304</v>
      </c>
      <c r="L82" s="211"/>
      <c r="M82" s="21"/>
      <c r="N82" s="110">
        <v>0.80208333333333304</v>
      </c>
      <c r="O82" s="209"/>
      <c r="P82" s="110">
        <v>0.80208333333333304</v>
      </c>
      <c r="Q82" s="209"/>
      <c r="R82" s="110">
        <v>0.80208333333333304</v>
      </c>
      <c r="S82" s="211"/>
      <c r="T82" s="21"/>
      <c r="U82" s="110">
        <v>0.80208333333333304</v>
      </c>
      <c r="V82" s="209"/>
      <c r="W82" s="110">
        <v>0.80208333333333304</v>
      </c>
      <c r="X82" s="209"/>
      <c r="Y82" s="110">
        <v>0.80208333333333304</v>
      </c>
      <c r="Z82" s="211"/>
      <c r="AA82" s="21"/>
      <c r="AB82" s="110">
        <v>0.80208333333333304</v>
      </c>
      <c r="AC82" s="209"/>
      <c r="AD82" s="110">
        <v>0.80208333333333304</v>
      </c>
      <c r="AE82" s="209"/>
      <c r="AF82" s="110">
        <v>0.80208333333333304</v>
      </c>
      <c r="AG82" s="211"/>
      <c r="AH82" s="21"/>
      <c r="AI82" s="110">
        <v>0.80208333333333304</v>
      </c>
      <c r="AJ82" s="209"/>
      <c r="AK82" s="110">
        <v>0.80208333333333304</v>
      </c>
      <c r="AL82" s="209"/>
      <c r="AM82" s="110">
        <v>0.80208333333333304</v>
      </c>
      <c r="AN82" s="211"/>
      <c r="AO82" s="21"/>
      <c r="AP82" s="110">
        <v>0.80208333333333304</v>
      </c>
      <c r="AQ82" s="209"/>
      <c r="AR82" s="110">
        <v>0.80208333333333304</v>
      </c>
      <c r="AS82" s="209"/>
      <c r="AT82" s="110">
        <v>0.80208333333333304</v>
      </c>
      <c r="AU82" s="211"/>
      <c r="AV82" s="21"/>
      <c r="AW82" s="110">
        <v>0.80208333333333304</v>
      </c>
      <c r="AX82" s="211"/>
      <c r="AY82" s="21"/>
      <c r="AZ82" s="110">
        <v>0.80208333333333304</v>
      </c>
      <c r="BA82" s="264"/>
      <c r="BC82" s="260">
        <v>0.80208333333333304</v>
      </c>
      <c r="BD82" s="211"/>
      <c r="BE82" s="110">
        <v>0.80208333333333304</v>
      </c>
      <c r="BF82" s="211"/>
      <c r="BG82" s="110">
        <v>0.80208333333333304</v>
      </c>
      <c r="BH82" s="211"/>
      <c r="BI82" s="21"/>
      <c r="BJ82" s="110">
        <v>0.80208333333333304</v>
      </c>
      <c r="BK82" s="209"/>
      <c r="BL82" s="110">
        <v>0.80208333333333304</v>
      </c>
      <c r="BM82" s="209"/>
      <c r="BN82" s="110">
        <v>0.80208333333333304</v>
      </c>
      <c r="BO82" s="211"/>
      <c r="BP82" s="21"/>
      <c r="BQ82" s="110">
        <v>0.80208333333333304</v>
      </c>
      <c r="BR82" s="209"/>
      <c r="BS82" s="110">
        <v>0.80208333333333304</v>
      </c>
      <c r="BT82" s="209"/>
      <c r="BU82" s="110">
        <v>0.80208333333333304</v>
      </c>
      <c r="BV82" s="211"/>
      <c r="BW82" s="21"/>
      <c r="BX82" s="110">
        <v>0.80208333333333304</v>
      </c>
      <c r="BY82" s="209"/>
      <c r="BZ82" s="110">
        <v>0.80208333333333304</v>
      </c>
      <c r="CA82" s="209"/>
      <c r="CB82" s="110">
        <v>0.80208333333333304</v>
      </c>
      <c r="CC82" s="211"/>
      <c r="CD82" s="21"/>
      <c r="CE82" s="110">
        <v>0.80208333333333304</v>
      </c>
      <c r="CF82" s="209"/>
      <c r="CG82" s="110">
        <v>0.80208333333333304</v>
      </c>
      <c r="CH82" s="209"/>
      <c r="CI82" s="110">
        <v>0.80208333333333304</v>
      </c>
      <c r="CJ82" s="211"/>
      <c r="CK82" s="21"/>
      <c r="CL82" s="110">
        <v>0.80208333333333304</v>
      </c>
      <c r="CM82" s="209"/>
      <c r="CN82" s="110">
        <v>0.80208333333333304</v>
      </c>
      <c r="CO82" s="209"/>
      <c r="CP82" s="110">
        <v>0.80208333333333304</v>
      </c>
      <c r="CQ82" s="211"/>
      <c r="CR82" s="21"/>
      <c r="CS82" s="110">
        <v>0.80208333333333304</v>
      </c>
      <c r="CT82" s="211"/>
      <c r="CU82" s="21"/>
      <c r="CV82" s="110">
        <v>0.80208333333333304</v>
      </c>
      <c r="CW82" s="264"/>
      <c r="CY82" s="260">
        <v>0.80208333333333304</v>
      </c>
      <c r="CZ82" s="178"/>
      <c r="DA82" s="110">
        <v>0.80208333333333304</v>
      </c>
      <c r="DB82" s="263"/>
      <c r="DC82" s="110">
        <v>0.80208333333333304</v>
      </c>
      <c r="DD82" s="211"/>
      <c r="DE82" s="21"/>
      <c r="DF82" s="110">
        <v>0.80208333333333304</v>
      </c>
      <c r="DG82" s="209"/>
      <c r="DH82" s="110">
        <v>0.80208333333333304</v>
      </c>
      <c r="DI82" s="209"/>
      <c r="DJ82" s="110">
        <v>0.80208333333333304</v>
      </c>
      <c r="DK82" s="211"/>
      <c r="DL82" s="21"/>
      <c r="DM82" s="110">
        <v>0.80208333333333304</v>
      </c>
      <c r="DN82" s="209"/>
      <c r="DO82" s="110">
        <v>0.80208333333333304</v>
      </c>
      <c r="DP82" s="209"/>
      <c r="DQ82" s="110">
        <v>0.80208333333333304</v>
      </c>
      <c r="DR82" s="211"/>
      <c r="DS82" s="21"/>
      <c r="DT82" s="110">
        <v>0.80208333333333304</v>
      </c>
      <c r="DU82" s="209"/>
      <c r="DV82" s="110">
        <v>0.80208333333333304</v>
      </c>
      <c r="DW82" s="209"/>
      <c r="DX82" s="110">
        <v>0.80208333333333304</v>
      </c>
      <c r="DY82" s="211"/>
      <c r="DZ82" s="21"/>
      <c r="EA82" s="110">
        <v>0.80208333333333304</v>
      </c>
      <c r="EB82" s="209">
        <f>IF('Temperature Profiles'!AA81&gt;18,(0.0018*('Temperature Profiles'!AA81^2)-(0.0475*'Temperature Profiles'!AA81)+0.3123)*1000,IF(AND('Temperature Profiles'!AA81&lt;17,'Temperature Profiles'!AA81&gt;-5.6),(0.0021*('Temperature Profiles'!AA81^2)-(0.0919*'Temperature Profiles'!AA81)+1.0491)*1000,IF(AND('Temperature Profiles'!AA81&lt;-5.6,'Temperature Profiles'!AA81&gt;-11.4),(((-0.2925*'Temperature Profiles'!AA81)-1.6914)*1000)+EB$208,IF('Temperature Profiles'!AA81&lt;-11.4,EB185,0))))</f>
        <v>2407.5374999999999</v>
      </c>
      <c r="EC82" s="110">
        <v>0.80208333333333304</v>
      </c>
      <c r="ED82" s="209">
        <f>IF('Temperature Profiles'!AA81&gt;18,(0.0034*('Temperature Profiles'!AA81^2)-(0.087*'Temperature Profiles'!AA81)+0.5117)*1000,IF(AND('Temperature Profiles'!AA81&lt;17,'Temperature Profiles'!AA81&gt;-4.4),(0.0027*('Temperature Profiles'!AA81^2)-(0.149*'Temperature Profiles'!AA81)+1.7779)*1000,IF(AND('Temperature Profiles'!AA81&lt;-4.4,'Temperature Profiles'!AA81&gt;-8.5),(((-0.5391*'Temperature Profiles'!AA81)-2.0906)*1000)+ED$208,IF('Temperature Profiles'!AA81&lt;-8.5,ED185,0))))</f>
        <v>4958.2725000000009</v>
      </c>
      <c r="EE82" s="110">
        <v>0.80208333333333304</v>
      </c>
      <c r="EF82" s="211">
        <f>IF('Temperature Profiles'!AA81&gt;18,(0.0048*('Temperature Profiles'!AA81^2)-(0.1352*'Temperature Profiles'!AA81)+0.9193)*1000,IF(AND('Temperature Profiles'!AA81&lt;17,'Temperature Profiles'!AA81&gt;-4.4),(0.0031*('Temperature Profiles'!AA81^2)-(0.2029*'Temperature Profiles'!AA81)+2.4264)*1000,IF(AND('Temperature Profiles'!AA81&lt;-4.4,'Temperature Profiles'!AA81&gt;-8.5),(((-0.7516*'Temperature Profiles'!AA81)-2.9985)*1000)+EF$208,IF('Temperature Profiles'!AA81&lt;-8.5,EF185,0))))</f>
        <v>6761.31</v>
      </c>
      <c r="EG82" s="21"/>
      <c r="EH82" s="110">
        <v>0.80208333333333304</v>
      </c>
      <c r="EI82" s="211"/>
      <c r="EJ82" s="110">
        <v>0.80208333333333304</v>
      </c>
      <c r="EK82" s="211"/>
      <c r="EL82" s="110">
        <v>0.80208333333333304</v>
      </c>
      <c r="EM82" s="211"/>
      <c r="EN82" s="21"/>
      <c r="EO82" s="110">
        <v>0.80208333333333304</v>
      </c>
      <c r="EP82" s="211"/>
      <c r="EQ82" s="21"/>
      <c r="ER82" s="110">
        <v>0.80208333333333304</v>
      </c>
      <c r="ES82" s="264"/>
      <c r="EU82" s="260">
        <v>0.80208333333333304</v>
      </c>
      <c r="EV82" s="209">
        <f>IF('Temperature Profiles'!AA81&gt;18,(0.0018*('Temperature Profiles'!AA81^2)-(0.0475*'Temperature Profiles'!AA81)+0.3123)*1000,IF(AND('Temperature Profiles'!AA81&lt;17,'Temperature Profiles'!AA81&gt;-5.6),(0.0021*('Temperature Profiles'!AA81^2)-(0.0919*'Temperature Profiles'!AA81)+1.0491)*1000,IF(AND('Temperature Profiles'!AA81&lt;-5.6,'Temperature Profiles'!AA81&gt;-11.4),EV$208,IF('Temperature Profiles'!AA81&lt;-11.4,EV185,0))))</f>
        <v>1620</v>
      </c>
      <c r="EW82" s="110">
        <v>0.80208333333333304</v>
      </c>
      <c r="EX82" s="209">
        <f>IF('Temperature Profiles'!AA81&gt;18,(0.0034*('Temperature Profiles'!AA81^2)-(0.087*'Temperature Profiles'!AA81)+0.5117)*1000,IF(AND('Temperature Profiles'!AA81&lt;17,'Temperature Profiles'!AA81&gt;-4.4),(0.0027*('Temperature Profiles'!AA81^2)-(0.149*'Temperature Profiles'!AA81)+1.7779)*1000,IF(AND('Temperature Profiles'!AA81&lt;-4.4,'Temperature Profiles'!AA81&gt;-8.5),EX$208,IF('Temperature Profiles'!AA81&lt;-8.5,EX185,0))))</f>
        <v>2480</v>
      </c>
      <c r="EY82" s="110">
        <v>0.80208333333333304</v>
      </c>
      <c r="EZ82" s="264">
        <f>IF('Temperature Profiles'!AA81&gt;18,(0.0048*('Temperature Profiles'!AA81^2)-(0.1352*'Temperature Profiles'!AA81)+0.9193)*1000,IF(AND('Temperature Profiles'!AA81&lt;17,'Temperature Profiles'!AA81&gt;-4.4),(0.0031*('Temperature Profiles'!AA81^2)-(0.2029*'Temperature Profiles'!AA81)+2.4264)*1000,IF(AND('Temperature Profiles'!AA81&lt;-4.4,'Temperature Profiles'!AA81&gt;-8.5),EZ$208,IF('Temperature Profiles'!AA81&lt;-8.5,EZ185,0))))</f>
        <v>3390</v>
      </c>
    </row>
    <row r="83" spans="1:156" x14ac:dyDescent="0.3">
      <c r="A83" s="108">
        <v>0.80208333333333304</v>
      </c>
      <c r="B83" s="226">
        <f t="shared" si="7"/>
        <v>0</v>
      </c>
      <c r="C83" s="21">
        <f t="shared" si="8"/>
        <v>0</v>
      </c>
      <c r="D83" s="21">
        <f t="shared" si="9"/>
        <v>6761.31</v>
      </c>
      <c r="E83" s="20">
        <f t="shared" si="10"/>
        <v>3390</v>
      </c>
      <c r="G83" s="260">
        <v>0.8125</v>
      </c>
      <c r="H83" s="211"/>
      <c r="I83" s="110">
        <v>0.8125</v>
      </c>
      <c r="J83" s="211"/>
      <c r="K83" s="110">
        <v>0.8125</v>
      </c>
      <c r="L83" s="211"/>
      <c r="M83" s="21"/>
      <c r="N83" s="110">
        <v>0.8125</v>
      </c>
      <c r="O83" s="209"/>
      <c r="P83" s="110">
        <v>0.8125</v>
      </c>
      <c r="Q83" s="209"/>
      <c r="R83" s="110">
        <v>0.8125</v>
      </c>
      <c r="S83" s="211"/>
      <c r="T83" s="21"/>
      <c r="U83" s="110">
        <v>0.8125</v>
      </c>
      <c r="V83" s="209"/>
      <c r="W83" s="110">
        <v>0.8125</v>
      </c>
      <c r="X83" s="209"/>
      <c r="Y83" s="110">
        <v>0.8125</v>
      </c>
      <c r="Z83" s="211"/>
      <c r="AA83" s="21"/>
      <c r="AB83" s="110">
        <v>0.8125</v>
      </c>
      <c r="AC83" s="209"/>
      <c r="AD83" s="110">
        <v>0.8125</v>
      </c>
      <c r="AE83" s="209"/>
      <c r="AF83" s="110">
        <v>0.8125</v>
      </c>
      <c r="AG83" s="211"/>
      <c r="AH83" s="21"/>
      <c r="AI83" s="110">
        <v>0.8125</v>
      </c>
      <c r="AJ83" s="209"/>
      <c r="AK83" s="110">
        <v>0.8125</v>
      </c>
      <c r="AL83" s="209"/>
      <c r="AM83" s="110">
        <v>0.8125</v>
      </c>
      <c r="AN83" s="211"/>
      <c r="AO83" s="21"/>
      <c r="AP83" s="110">
        <v>0.8125</v>
      </c>
      <c r="AQ83" s="209"/>
      <c r="AR83" s="110">
        <v>0.8125</v>
      </c>
      <c r="AS83" s="209"/>
      <c r="AT83" s="110">
        <v>0.8125</v>
      </c>
      <c r="AU83" s="211"/>
      <c r="AV83" s="21"/>
      <c r="AW83" s="110">
        <v>0.8125</v>
      </c>
      <c r="AX83" s="211"/>
      <c r="AY83" s="21"/>
      <c r="AZ83" s="110">
        <v>0.8125</v>
      </c>
      <c r="BA83" s="264"/>
      <c r="BC83" s="260">
        <v>0.8125</v>
      </c>
      <c r="BD83" s="211"/>
      <c r="BE83" s="110">
        <v>0.8125</v>
      </c>
      <c r="BF83" s="211"/>
      <c r="BG83" s="110">
        <v>0.8125</v>
      </c>
      <c r="BH83" s="211"/>
      <c r="BI83" s="21"/>
      <c r="BJ83" s="110">
        <v>0.8125</v>
      </c>
      <c r="BK83" s="209"/>
      <c r="BL83" s="110">
        <v>0.8125</v>
      </c>
      <c r="BM83" s="209"/>
      <c r="BN83" s="110">
        <v>0.8125</v>
      </c>
      <c r="BO83" s="211"/>
      <c r="BP83" s="21"/>
      <c r="BQ83" s="110">
        <v>0.8125</v>
      </c>
      <c r="BR83" s="209"/>
      <c r="BS83" s="110">
        <v>0.8125</v>
      </c>
      <c r="BT83" s="209"/>
      <c r="BU83" s="110">
        <v>0.8125</v>
      </c>
      <c r="BV83" s="211"/>
      <c r="BW83" s="21"/>
      <c r="BX83" s="110">
        <v>0.8125</v>
      </c>
      <c r="BY83" s="209"/>
      <c r="BZ83" s="110">
        <v>0.8125</v>
      </c>
      <c r="CA83" s="209"/>
      <c r="CB83" s="110">
        <v>0.8125</v>
      </c>
      <c r="CC83" s="211"/>
      <c r="CD83" s="21"/>
      <c r="CE83" s="110">
        <v>0.8125</v>
      </c>
      <c r="CF83" s="209"/>
      <c r="CG83" s="110">
        <v>0.8125</v>
      </c>
      <c r="CH83" s="209"/>
      <c r="CI83" s="110">
        <v>0.8125</v>
      </c>
      <c r="CJ83" s="211"/>
      <c r="CK83" s="21"/>
      <c r="CL83" s="110">
        <v>0.8125</v>
      </c>
      <c r="CM83" s="209"/>
      <c r="CN83" s="110">
        <v>0.8125</v>
      </c>
      <c r="CO83" s="209"/>
      <c r="CP83" s="110">
        <v>0.8125</v>
      </c>
      <c r="CQ83" s="211"/>
      <c r="CR83" s="21"/>
      <c r="CS83" s="110">
        <v>0.8125</v>
      </c>
      <c r="CT83" s="211"/>
      <c r="CU83" s="21"/>
      <c r="CV83" s="110">
        <v>0.8125</v>
      </c>
      <c r="CW83" s="264"/>
      <c r="CY83" s="260">
        <v>0.8125</v>
      </c>
      <c r="CZ83" s="178"/>
      <c r="DA83" s="110">
        <v>0.8125</v>
      </c>
      <c r="DB83" s="263"/>
      <c r="DC83" s="110">
        <v>0.8125</v>
      </c>
      <c r="DD83" s="211"/>
      <c r="DE83" s="21"/>
      <c r="DF83" s="110">
        <v>0.8125</v>
      </c>
      <c r="DG83" s="209"/>
      <c r="DH83" s="110">
        <v>0.8125</v>
      </c>
      <c r="DI83" s="209"/>
      <c r="DJ83" s="110">
        <v>0.8125</v>
      </c>
      <c r="DK83" s="211"/>
      <c r="DL83" s="21"/>
      <c r="DM83" s="110">
        <v>0.8125</v>
      </c>
      <c r="DN83" s="209"/>
      <c r="DO83" s="110">
        <v>0.8125</v>
      </c>
      <c r="DP83" s="209"/>
      <c r="DQ83" s="110">
        <v>0.8125</v>
      </c>
      <c r="DR83" s="211"/>
      <c r="DS83" s="21"/>
      <c r="DT83" s="110">
        <v>0.8125</v>
      </c>
      <c r="DU83" s="209"/>
      <c r="DV83" s="110">
        <v>0.8125</v>
      </c>
      <c r="DW83" s="209"/>
      <c r="DX83" s="110">
        <v>0.8125</v>
      </c>
      <c r="DY83" s="211"/>
      <c r="DZ83" s="21"/>
      <c r="EA83" s="110">
        <v>0.8125</v>
      </c>
      <c r="EB83" s="209">
        <f>IF('Temperature Profiles'!AA82&gt;18,(0.0018*('Temperature Profiles'!AA82^2)-(0.0475*'Temperature Profiles'!AA82)+0.3123)*1000,IF(AND('Temperature Profiles'!AA82&lt;17,'Temperature Profiles'!AA82&gt;-5.6),(0.0021*('Temperature Profiles'!AA82^2)-(0.0919*'Temperature Profiles'!AA82)+1.0491)*1000,IF(AND('Temperature Profiles'!AA82&lt;-5.6,'Temperature Profiles'!AA82&gt;-11.4),(((-0.2925*'Temperature Profiles'!AA82)-1.6914)*1000)+EB$208,IF('Temperature Profiles'!AA82&lt;-11.4,EB186,0))))</f>
        <v>2407.5374999999999</v>
      </c>
      <c r="EC83" s="110">
        <v>0.8125</v>
      </c>
      <c r="ED83" s="209">
        <f>IF('Temperature Profiles'!AA82&gt;18,(0.0034*('Temperature Profiles'!AA82^2)-(0.087*'Temperature Profiles'!AA82)+0.5117)*1000,IF(AND('Temperature Profiles'!AA82&lt;17,'Temperature Profiles'!AA82&gt;-4.4),(0.0027*('Temperature Profiles'!AA82^2)-(0.149*'Temperature Profiles'!AA82)+1.7779)*1000,IF(AND('Temperature Profiles'!AA82&lt;-4.4,'Temperature Profiles'!AA82&gt;-8.5),(((-0.5391*'Temperature Profiles'!AA82)-2.0906)*1000)+ED$208,IF('Temperature Profiles'!AA82&lt;-8.5,ED186,0))))</f>
        <v>4958.2725000000009</v>
      </c>
      <c r="EE83" s="110">
        <v>0.8125</v>
      </c>
      <c r="EF83" s="211">
        <f>IF('Temperature Profiles'!AA82&gt;18,(0.0048*('Temperature Profiles'!AA82^2)-(0.1352*'Temperature Profiles'!AA82)+0.9193)*1000,IF(AND('Temperature Profiles'!AA82&lt;17,'Temperature Profiles'!AA82&gt;-4.4),(0.0031*('Temperature Profiles'!AA82^2)-(0.2029*'Temperature Profiles'!AA82)+2.4264)*1000,IF(AND('Temperature Profiles'!AA82&lt;-4.4,'Temperature Profiles'!AA82&gt;-8.5),(((-0.7516*'Temperature Profiles'!AA82)-2.9985)*1000)+EF$208,IF('Temperature Profiles'!AA82&lt;-8.5,EF186,0))))</f>
        <v>6761.31</v>
      </c>
      <c r="EG83" s="21"/>
      <c r="EH83" s="110">
        <v>0.8125</v>
      </c>
      <c r="EI83" s="211"/>
      <c r="EJ83" s="110">
        <v>0.8125</v>
      </c>
      <c r="EK83" s="211"/>
      <c r="EL83" s="110">
        <v>0.8125</v>
      </c>
      <c r="EM83" s="211"/>
      <c r="EN83" s="21"/>
      <c r="EO83" s="110">
        <v>0.8125</v>
      </c>
      <c r="EP83" s="211"/>
      <c r="EQ83" s="21"/>
      <c r="ER83" s="110">
        <v>0.8125</v>
      </c>
      <c r="ES83" s="264"/>
      <c r="EU83" s="260">
        <v>0.8125</v>
      </c>
      <c r="EV83" s="209">
        <f>IF('Temperature Profiles'!AA82&gt;18,(0.0018*('Temperature Profiles'!AA82^2)-(0.0475*'Temperature Profiles'!AA82)+0.3123)*1000,IF(AND('Temperature Profiles'!AA82&lt;17,'Temperature Profiles'!AA82&gt;-5.6),(0.0021*('Temperature Profiles'!AA82^2)-(0.0919*'Temperature Profiles'!AA82)+1.0491)*1000,IF(AND('Temperature Profiles'!AA82&lt;-5.6,'Temperature Profiles'!AA82&gt;-11.4),EV$208,IF('Temperature Profiles'!AA82&lt;-11.4,EV186,0))))</f>
        <v>1620</v>
      </c>
      <c r="EW83" s="110">
        <v>0.8125</v>
      </c>
      <c r="EX83" s="209">
        <f>IF('Temperature Profiles'!AA82&gt;18,(0.0034*('Temperature Profiles'!AA82^2)-(0.087*'Temperature Profiles'!AA82)+0.5117)*1000,IF(AND('Temperature Profiles'!AA82&lt;17,'Temperature Profiles'!AA82&gt;-4.4),(0.0027*('Temperature Profiles'!AA82^2)-(0.149*'Temperature Profiles'!AA82)+1.7779)*1000,IF(AND('Temperature Profiles'!AA82&lt;-4.4,'Temperature Profiles'!AA82&gt;-8.5),EX$208,IF('Temperature Profiles'!AA82&lt;-8.5,EX186,0))))</f>
        <v>2480</v>
      </c>
      <c r="EY83" s="110">
        <v>0.8125</v>
      </c>
      <c r="EZ83" s="264">
        <f>IF('Temperature Profiles'!AA82&gt;18,(0.0048*('Temperature Profiles'!AA82^2)-(0.1352*'Temperature Profiles'!AA82)+0.9193)*1000,IF(AND('Temperature Profiles'!AA82&lt;17,'Temperature Profiles'!AA82&gt;-4.4),(0.0031*('Temperature Profiles'!AA82^2)-(0.2029*'Temperature Profiles'!AA82)+2.4264)*1000,IF(AND('Temperature Profiles'!AA82&lt;-4.4,'Temperature Profiles'!AA82&gt;-8.5),EZ$208,IF('Temperature Profiles'!AA82&lt;-8.5,EZ186,0))))</f>
        <v>3390</v>
      </c>
    </row>
    <row r="84" spans="1:156" x14ac:dyDescent="0.3">
      <c r="A84" s="108">
        <v>0.8125</v>
      </c>
      <c r="B84" s="226">
        <f t="shared" si="7"/>
        <v>0</v>
      </c>
      <c r="C84" s="21">
        <f t="shared" si="8"/>
        <v>0</v>
      </c>
      <c r="D84" s="21">
        <f t="shared" si="9"/>
        <v>6761.31</v>
      </c>
      <c r="E84" s="20">
        <f t="shared" si="10"/>
        <v>3390</v>
      </c>
      <c r="G84" s="260">
        <v>0.82291666666666696</v>
      </c>
      <c r="H84" s="211"/>
      <c r="I84" s="110">
        <v>0.82291666666666696</v>
      </c>
      <c r="J84" s="211"/>
      <c r="K84" s="110">
        <v>0.82291666666666696</v>
      </c>
      <c r="L84" s="211"/>
      <c r="M84" s="21"/>
      <c r="N84" s="110">
        <v>0.82291666666666696</v>
      </c>
      <c r="O84" s="209"/>
      <c r="P84" s="110">
        <v>0.82291666666666696</v>
      </c>
      <c r="Q84" s="209"/>
      <c r="R84" s="110">
        <v>0.82291666666666696</v>
      </c>
      <c r="S84" s="211"/>
      <c r="T84" s="21"/>
      <c r="U84" s="110">
        <v>0.82291666666666696</v>
      </c>
      <c r="V84" s="209"/>
      <c r="W84" s="110">
        <v>0.82291666666666696</v>
      </c>
      <c r="X84" s="209"/>
      <c r="Y84" s="110">
        <v>0.82291666666666696</v>
      </c>
      <c r="Z84" s="211"/>
      <c r="AA84" s="21"/>
      <c r="AB84" s="110">
        <v>0.82291666666666696</v>
      </c>
      <c r="AC84" s="209"/>
      <c r="AD84" s="110">
        <v>0.82291666666666696</v>
      </c>
      <c r="AE84" s="209"/>
      <c r="AF84" s="110">
        <v>0.82291666666666696</v>
      </c>
      <c r="AG84" s="211"/>
      <c r="AH84" s="21"/>
      <c r="AI84" s="110">
        <v>0.82291666666666696</v>
      </c>
      <c r="AJ84" s="209"/>
      <c r="AK84" s="110">
        <v>0.82291666666666696</v>
      </c>
      <c r="AL84" s="209"/>
      <c r="AM84" s="110">
        <v>0.82291666666666696</v>
      </c>
      <c r="AN84" s="211"/>
      <c r="AO84" s="21"/>
      <c r="AP84" s="110">
        <v>0.82291666666666696</v>
      </c>
      <c r="AQ84" s="209"/>
      <c r="AR84" s="110">
        <v>0.82291666666666696</v>
      </c>
      <c r="AS84" s="209"/>
      <c r="AT84" s="110">
        <v>0.82291666666666696</v>
      </c>
      <c r="AU84" s="211"/>
      <c r="AV84" s="21"/>
      <c r="AW84" s="110">
        <v>0.82291666666666696</v>
      </c>
      <c r="AX84" s="211"/>
      <c r="AY84" s="21"/>
      <c r="AZ84" s="110">
        <v>0.82291666666666696</v>
      </c>
      <c r="BA84" s="264"/>
      <c r="BC84" s="260">
        <v>0.82291666666666696</v>
      </c>
      <c r="BD84" s="211"/>
      <c r="BE84" s="110">
        <v>0.82291666666666696</v>
      </c>
      <c r="BF84" s="211"/>
      <c r="BG84" s="110">
        <v>0.82291666666666696</v>
      </c>
      <c r="BH84" s="211"/>
      <c r="BI84" s="21"/>
      <c r="BJ84" s="110">
        <v>0.82291666666666696</v>
      </c>
      <c r="BK84" s="209"/>
      <c r="BL84" s="110">
        <v>0.82291666666666696</v>
      </c>
      <c r="BM84" s="209"/>
      <c r="BN84" s="110">
        <v>0.82291666666666696</v>
      </c>
      <c r="BO84" s="211"/>
      <c r="BP84" s="21"/>
      <c r="BQ84" s="110">
        <v>0.82291666666666696</v>
      </c>
      <c r="BR84" s="209"/>
      <c r="BS84" s="110">
        <v>0.82291666666666696</v>
      </c>
      <c r="BT84" s="209"/>
      <c r="BU84" s="110">
        <v>0.82291666666666696</v>
      </c>
      <c r="BV84" s="211"/>
      <c r="BW84" s="21"/>
      <c r="BX84" s="110">
        <v>0.82291666666666696</v>
      </c>
      <c r="BY84" s="209"/>
      <c r="BZ84" s="110">
        <v>0.82291666666666696</v>
      </c>
      <c r="CA84" s="209"/>
      <c r="CB84" s="110">
        <v>0.82291666666666696</v>
      </c>
      <c r="CC84" s="211"/>
      <c r="CD84" s="21"/>
      <c r="CE84" s="110">
        <v>0.82291666666666696</v>
      </c>
      <c r="CF84" s="209"/>
      <c r="CG84" s="110">
        <v>0.82291666666666696</v>
      </c>
      <c r="CH84" s="209"/>
      <c r="CI84" s="110">
        <v>0.82291666666666696</v>
      </c>
      <c r="CJ84" s="211"/>
      <c r="CK84" s="21"/>
      <c r="CL84" s="110">
        <v>0.82291666666666696</v>
      </c>
      <c r="CM84" s="209"/>
      <c r="CN84" s="110">
        <v>0.82291666666666696</v>
      </c>
      <c r="CO84" s="209"/>
      <c r="CP84" s="110">
        <v>0.82291666666666696</v>
      </c>
      <c r="CQ84" s="211"/>
      <c r="CR84" s="21"/>
      <c r="CS84" s="110">
        <v>0.82291666666666696</v>
      </c>
      <c r="CT84" s="211"/>
      <c r="CU84" s="21"/>
      <c r="CV84" s="110">
        <v>0.82291666666666696</v>
      </c>
      <c r="CW84" s="264"/>
      <c r="CY84" s="260">
        <v>0.82291666666666696</v>
      </c>
      <c r="CZ84" s="178"/>
      <c r="DA84" s="110">
        <v>0.82291666666666696</v>
      </c>
      <c r="DB84" s="263"/>
      <c r="DC84" s="110">
        <v>0.82291666666666696</v>
      </c>
      <c r="DD84" s="211"/>
      <c r="DE84" s="21"/>
      <c r="DF84" s="110">
        <v>0.82291666666666696</v>
      </c>
      <c r="DG84" s="209"/>
      <c r="DH84" s="110">
        <v>0.82291666666666696</v>
      </c>
      <c r="DI84" s="209"/>
      <c r="DJ84" s="110">
        <v>0.82291666666666696</v>
      </c>
      <c r="DK84" s="211"/>
      <c r="DL84" s="21"/>
      <c r="DM84" s="110">
        <v>0.82291666666666696</v>
      </c>
      <c r="DN84" s="209"/>
      <c r="DO84" s="110">
        <v>0.82291666666666696</v>
      </c>
      <c r="DP84" s="209"/>
      <c r="DQ84" s="110">
        <v>0.82291666666666696</v>
      </c>
      <c r="DR84" s="211"/>
      <c r="DS84" s="21"/>
      <c r="DT84" s="110">
        <v>0.82291666666666696</v>
      </c>
      <c r="DU84" s="209"/>
      <c r="DV84" s="110">
        <v>0.82291666666666696</v>
      </c>
      <c r="DW84" s="209"/>
      <c r="DX84" s="110">
        <v>0.82291666666666696</v>
      </c>
      <c r="DY84" s="211"/>
      <c r="DZ84" s="21"/>
      <c r="EA84" s="110">
        <v>0.82291666666666696</v>
      </c>
      <c r="EB84" s="209">
        <f>IF('Temperature Profiles'!AA83&gt;18,(0.0018*('Temperature Profiles'!AA83^2)-(0.0475*'Temperature Profiles'!AA83)+0.3123)*1000,IF(AND('Temperature Profiles'!AA83&lt;17,'Temperature Profiles'!AA83&gt;-5.6),(0.0021*('Temperature Profiles'!AA83^2)-(0.0919*'Temperature Profiles'!AA83)+1.0491)*1000,IF(AND('Temperature Profiles'!AA83&lt;-5.6,'Temperature Profiles'!AA83&gt;-11.4),(((-0.2925*'Temperature Profiles'!AA83)-1.6914)*1000)+EB$208,IF('Temperature Profiles'!AA83&lt;-11.4,EB187,0))))</f>
        <v>2407.5374999999999</v>
      </c>
      <c r="EC84" s="110">
        <v>0.82291666666666696</v>
      </c>
      <c r="ED84" s="209">
        <f>IF('Temperature Profiles'!AA83&gt;18,(0.0034*('Temperature Profiles'!AA83^2)-(0.087*'Temperature Profiles'!AA83)+0.5117)*1000,IF(AND('Temperature Profiles'!AA83&lt;17,'Temperature Profiles'!AA83&gt;-4.4),(0.0027*('Temperature Profiles'!AA83^2)-(0.149*'Temperature Profiles'!AA83)+1.7779)*1000,IF(AND('Temperature Profiles'!AA83&lt;-4.4,'Temperature Profiles'!AA83&gt;-8.5),(((-0.5391*'Temperature Profiles'!AA83)-2.0906)*1000)+ED$208,IF('Temperature Profiles'!AA83&lt;-8.5,ED187,0))))</f>
        <v>4958.2725000000009</v>
      </c>
      <c r="EE84" s="110">
        <v>0.82291666666666696</v>
      </c>
      <c r="EF84" s="211">
        <f>IF('Temperature Profiles'!AA83&gt;18,(0.0048*('Temperature Profiles'!AA83^2)-(0.1352*'Temperature Profiles'!AA83)+0.9193)*1000,IF(AND('Temperature Profiles'!AA83&lt;17,'Temperature Profiles'!AA83&gt;-4.4),(0.0031*('Temperature Profiles'!AA83^2)-(0.2029*'Temperature Profiles'!AA83)+2.4264)*1000,IF(AND('Temperature Profiles'!AA83&lt;-4.4,'Temperature Profiles'!AA83&gt;-8.5),(((-0.7516*'Temperature Profiles'!AA83)-2.9985)*1000)+EF$208,IF('Temperature Profiles'!AA83&lt;-8.5,EF187,0))))</f>
        <v>6761.31</v>
      </c>
      <c r="EG84" s="21"/>
      <c r="EH84" s="110">
        <v>0.82291666666666696</v>
      </c>
      <c r="EI84" s="211"/>
      <c r="EJ84" s="110">
        <v>0.82291666666666696</v>
      </c>
      <c r="EK84" s="211"/>
      <c r="EL84" s="110">
        <v>0.82291666666666696</v>
      </c>
      <c r="EM84" s="211"/>
      <c r="EN84" s="21"/>
      <c r="EO84" s="110">
        <v>0.82291666666666696</v>
      </c>
      <c r="EP84" s="211"/>
      <c r="EQ84" s="21"/>
      <c r="ER84" s="110">
        <v>0.82291666666666696</v>
      </c>
      <c r="ES84" s="264"/>
      <c r="EU84" s="260">
        <v>0.82291666666666696</v>
      </c>
      <c r="EV84" s="209">
        <f>IF('Temperature Profiles'!AA83&gt;18,(0.0018*('Temperature Profiles'!AA83^2)-(0.0475*'Temperature Profiles'!AA83)+0.3123)*1000,IF(AND('Temperature Profiles'!AA83&lt;17,'Temperature Profiles'!AA83&gt;-5.6),(0.0021*('Temperature Profiles'!AA83^2)-(0.0919*'Temperature Profiles'!AA83)+1.0491)*1000,IF(AND('Temperature Profiles'!AA83&lt;-5.6,'Temperature Profiles'!AA83&gt;-11.4),EV$208,IF('Temperature Profiles'!AA83&lt;-11.4,EV187,0))))</f>
        <v>1620</v>
      </c>
      <c r="EW84" s="110">
        <v>0.82291666666666696</v>
      </c>
      <c r="EX84" s="209">
        <f>IF('Temperature Profiles'!AA83&gt;18,(0.0034*('Temperature Profiles'!AA83^2)-(0.087*'Temperature Profiles'!AA83)+0.5117)*1000,IF(AND('Temperature Profiles'!AA83&lt;17,'Temperature Profiles'!AA83&gt;-4.4),(0.0027*('Temperature Profiles'!AA83^2)-(0.149*'Temperature Profiles'!AA83)+1.7779)*1000,IF(AND('Temperature Profiles'!AA83&lt;-4.4,'Temperature Profiles'!AA83&gt;-8.5),EX$208,IF('Temperature Profiles'!AA83&lt;-8.5,EX187,0))))</f>
        <v>2480</v>
      </c>
      <c r="EY84" s="110">
        <v>0.82291666666666696</v>
      </c>
      <c r="EZ84" s="264">
        <f>IF('Temperature Profiles'!AA83&gt;18,(0.0048*('Temperature Profiles'!AA83^2)-(0.1352*'Temperature Profiles'!AA83)+0.9193)*1000,IF(AND('Temperature Profiles'!AA83&lt;17,'Temperature Profiles'!AA83&gt;-4.4),(0.0031*('Temperature Profiles'!AA83^2)-(0.2029*'Temperature Profiles'!AA83)+2.4264)*1000,IF(AND('Temperature Profiles'!AA83&lt;-4.4,'Temperature Profiles'!AA83&gt;-8.5),EZ$208,IF('Temperature Profiles'!AA83&lt;-8.5,EZ187,0))))</f>
        <v>3390</v>
      </c>
    </row>
    <row r="85" spans="1:156" x14ac:dyDescent="0.3">
      <c r="A85" s="108">
        <v>0.82291666666666696</v>
      </c>
      <c r="B85" s="226">
        <f t="shared" si="7"/>
        <v>0</v>
      </c>
      <c r="C85" s="21">
        <f t="shared" si="8"/>
        <v>0</v>
      </c>
      <c r="D85" s="21">
        <f t="shared" si="9"/>
        <v>6761.31</v>
      </c>
      <c r="E85" s="20">
        <f t="shared" si="10"/>
        <v>3390</v>
      </c>
      <c r="G85" s="260">
        <v>0.83333333333333304</v>
      </c>
      <c r="H85" s="211"/>
      <c r="I85" s="110">
        <v>0.83333333333333304</v>
      </c>
      <c r="J85" s="211"/>
      <c r="K85" s="110">
        <v>0.83333333333333304</v>
      </c>
      <c r="L85" s="211"/>
      <c r="M85" s="21"/>
      <c r="N85" s="110">
        <v>0.83333333333333304</v>
      </c>
      <c r="O85" s="209"/>
      <c r="P85" s="110">
        <v>0.83333333333333304</v>
      </c>
      <c r="Q85" s="209"/>
      <c r="R85" s="110">
        <v>0.83333333333333304</v>
      </c>
      <c r="S85" s="211"/>
      <c r="T85" s="21"/>
      <c r="U85" s="110">
        <v>0.83333333333333304</v>
      </c>
      <c r="V85" s="209"/>
      <c r="W85" s="110">
        <v>0.83333333333333304</v>
      </c>
      <c r="X85" s="209"/>
      <c r="Y85" s="110">
        <v>0.83333333333333304</v>
      </c>
      <c r="Z85" s="211"/>
      <c r="AA85" s="21"/>
      <c r="AB85" s="110">
        <v>0.83333333333333304</v>
      </c>
      <c r="AC85" s="209"/>
      <c r="AD85" s="110">
        <v>0.83333333333333304</v>
      </c>
      <c r="AE85" s="209"/>
      <c r="AF85" s="110">
        <v>0.83333333333333304</v>
      </c>
      <c r="AG85" s="211"/>
      <c r="AH85" s="21"/>
      <c r="AI85" s="110">
        <v>0.83333333333333304</v>
      </c>
      <c r="AJ85" s="209"/>
      <c r="AK85" s="110">
        <v>0.83333333333333304</v>
      </c>
      <c r="AL85" s="209"/>
      <c r="AM85" s="110">
        <v>0.83333333333333304</v>
      </c>
      <c r="AN85" s="211"/>
      <c r="AO85" s="21"/>
      <c r="AP85" s="110">
        <v>0.83333333333333304</v>
      </c>
      <c r="AQ85" s="209"/>
      <c r="AR85" s="110">
        <v>0.83333333333333304</v>
      </c>
      <c r="AS85" s="209"/>
      <c r="AT85" s="110">
        <v>0.83333333333333304</v>
      </c>
      <c r="AU85" s="211"/>
      <c r="AV85" s="21"/>
      <c r="AW85" s="110">
        <v>0.83333333333333304</v>
      </c>
      <c r="AX85" s="211"/>
      <c r="AY85" s="21"/>
      <c r="AZ85" s="110">
        <v>0.83333333333333304</v>
      </c>
      <c r="BA85" s="264"/>
      <c r="BC85" s="260">
        <v>0.83333333333333304</v>
      </c>
      <c r="BD85" s="211"/>
      <c r="BE85" s="110">
        <v>0.83333333333333304</v>
      </c>
      <c r="BF85" s="211"/>
      <c r="BG85" s="110">
        <v>0.83333333333333304</v>
      </c>
      <c r="BH85" s="211"/>
      <c r="BI85" s="21"/>
      <c r="BJ85" s="110">
        <v>0.83333333333333304</v>
      </c>
      <c r="BK85" s="209"/>
      <c r="BL85" s="110">
        <v>0.83333333333333304</v>
      </c>
      <c r="BM85" s="209"/>
      <c r="BN85" s="110">
        <v>0.83333333333333304</v>
      </c>
      <c r="BO85" s="211"/>
      <c r="BP85" s="21"/>
      <c r="BQ85" s="110">
        <v>0.83333333333333304</v>
      </c>
      <c r="BR85" s="209"/>
      <c r="BS85" s="110">
        <v>0.83333333333333304</v>
      </c>
      <c r="BT85" s="209"/>
      <c r="BU85" s="110">
        <v>0.83333333333333304</v>
      </c>
      <c r="BV85" s="211"/>
      <c r="BW85" s="21"/>
      <c r="BX85" s="110">
        <v>0.83333333333333304</v>
      </c>
      <c r="BY85" s="209"/>
      <c r="BZ85" s="110">
        <v>0.83333333333333304</v>
      </c>
      <c r="CA85" s="209"/>
      <c r="CB85" s="110">
        <v>0.83333333333333304</v>
      </c>
      <c r="CC85" s="211"/>
      <c r="CD85" s="21"/>
      <c r="CE85" s="110">
        <v>0.83333333333333304</v>
      </c>
      <c r="CF85" s="209"/>
      <c r="CG85" s="110">
        <v>0.83333333333333304</v>
      </c>
      <c r="CH85" s="209"/>
      <c r="CI85" s="110">
        <v>0.83333333333333304</v>
      </c>
      <c r="CJ85" s="211"/>
      <c r="CK85" s="21"/>
      <c r="CL85" s="110">
        <v>0.83333333333333304</v>
      </c>
      <c r="CM85" s="209"/>
      <c r="CN85" s="110">
        <v>0.83333333333333304</v>
      </c>
      <c r="CO85" s="209"/>
      <c r="CP85" s="110">
        <v>0.83333333333333304</v>
      </c>
      <c r="CQ85" s="211"/>
      <c r="CR85" s="21"/>
      <c r="CS85" s="110">
        <v>0.83333333333333304</v>
      </c>
      <c r="CT85" s="211"/>
      <c r="CU85" s="21"/>
      <c r="CV85" s="110">
        <v>0.83333333333333304</v>
      </c>
      <c r="CW85" s="264"/>
      <c r="CY85" s="260">
        <v>0.83333333333333304</v>
      </c>
      <c r="CZ85" s="178"/>
      <c r="DA85" s="110">
        <v>0.83333333333333304</v>
      </c>
      <c r="DB85" s="263"/>
      <c r="DC85" s="110">
        <v>0.83333333333333304</v>
      </c>
      <c r="DD85" s="211"/>
      <c r="DE85" s="21"/>
      <c r="DF85" s="110">
        <v>0.83333333333333304</v>
      </c>
      <c r="DG85" s="209"/>
      <c r="DH85" s="110">
        <v>0.83333333333333304</v>
      </c>
      <c r="DI85" s="209"/>
      <c r="DJ85" s="110">
        <v>0.83333333333333304</v>
      </c>
      <c r="DK85" s="211"/>
      <c r="DL85" s="21"/>
      <c r="DM85" s="110">
        <v>0.83333333333333304</v>
      </c>
      <c r="DN85" s="209"/>
      <c r="DO85" s="110">
        <v>0.83333333333333304</v>
      </c>
      <c r="DP85" s="209"/>
      <c r="DQ85" s="110">
        <v>0.83333333333333304</v>
      </c>
      <c r="DR85" s="211"/>
      <c r="DS85" s="21"/>
      <c r="DT85" s="110">
        <v>0.83333333333333304</v>
      </c>
      <c r="DU85" s="209"/>
      <c r="DV85" s="110">
        <v>0.83333333333333304</v>
      </c>
      <c r="DW85" s="209"/>
      <c r="DX85" s="110">
        <v>0.83333333333333304</v>
      </c>
      <c r="DY85" s="211"/>
      <c r="DZ85" s="21"/>
      <c r="EA85" s="110">
        <v>0.83333333333333304</v>
      </c>
      <c r="EB85" s="209">
        <f>IF('Temperature Profiles'!AA84&gt;18,(0.0018*('Temperature Profiles'!AA84^2)-(0.0475*'Temperature Profiles'!AA84)+0.3123)*1000,IF(AND('Temperature Profiles'!AA84&lt;17,'Temperature Profiles'!AA84&gt;-5.6),(0.0021*('Temperature Profiles'!AA84^2)-(0.0919*'Temperature Profiles'!AA84)+1.0491)*1000,IF(AND('Temperature Profiles'!AA84&lt;-5.6,'Temperature Profiles'!AA84&gt;-11.4),(((-0.2925*'Temperature Profiles'!AA84)-1.6914)*1000)+EB$208,IF('Temperature Profiles'!AA84&lt;-11.4,EB188,0))))</f>
        <v>2863.3500000000004</v>
      </c>
      <c r="EC85" s="110">
        <v>0.83333333333333304</v>
      </c>
      <c r="ED85" s="209">
        <f>IF('Temperature Profiles'!AA84&gt;18,(0.0034*('Temperature Profiles'!AA84^2)-(0.087*'Temperature Profiles'!AA84)+0.5117)*1000,IF(AND('Temperature Profiles'!AA84&lt;17,'Temperature Profiles'!AA84&gt;-4.4),(0.0027*('Temperature Profiles'!AA84^2)-(0.149*'Temperature Profiles'!AA84)+1.7779)*1000,IF(AND('Temperature Profiles'!AA84&lt;-4.4,'Temperature Profiles'!AA84&gt;-8.5),(((-0.5391*'Temperature Profiles'!AA84)-2.0906)*1000)+ED$208,IF('Temperature Profiles'!AA84&lt;-8.5,ED188,0))))</f>
        <v>12300</v>
      </c>
      <c r="EE85" s="110">
        <v>0.83333333333333304</v>
      </c>
      <c r="EF85" s="211">
        <f>IF('Temperature Profiles'!AA84&gt;18,(0.0048*('Temperature Profiles'!AA84^2)-(0.1352*'Temperature Profiles'!AA84)+0.9193)*1000,IF(AND('Temperature Profiles'!AA84&lt;17,'Temperature Profiles'!AA84&gt;-4.4),(0.0031*('Temperature Profiles'!AA84^2)-(0.2029*'Temperature Profiles'!AA84)+2.4264)*1000,IF(AND('Temperature Profiles'!AA84&lt;-4.4,'Temperature Profiles'!AA84&gt;-8.5),(((-0.7516*'Temperature Profiles'!AA84)-2.9985)*1000)+EF$208,IF('Temperature Profiles'!AA84&lt;-8.5,EF188,0))))</f>
        <v>16000</v>
      </c>
      <c r="EG85" s="21"/>
      <c r="EH85" s="110">
        <v>0.83333333333333304</v>
      </c>
      <c r="EI85" s="211"/>
      <c r="EJ85" s="110">
        <v>0.83333333333333304</v>
      </c>
      <c r="EK85" s="211"/>
      <c r="EL85" s="110">
        <v>0.83333333333333304</v>
      </c>
      <c r="EM85" s="211"/>
      <c r="EN85" s="21"/>
      <c r="EO85" s="110">
        <v>0.83333333333333304</v>
      </c>
      <c r="EP85" s="211"/>
      <c r="EQ85" s="21"/>
      <c r="ER85" s="110">
        <v>0.83333333333333304</v>
      </c>
      <c r="ES85" s="264"/>
      <c r="EU85" s="260">
        <v>0.83333333333333304</v>
      </c>
      <c r="EV85" s="209">
        <f>IF('Temperature Profiles'!AA84&gt;18,(0.0018*('Temperature Profiles'!AA84^2)-(0.0475*'Temperature Profiles'!AA84)+0.3123)*1000,IF(AND('Temperature Profiles'!AA84&lt;17,'Temperature Profiles'!AA84&gt;-5.6),(0.0021*('Temperature Profiles'!AA84^2)-(0.0919*'Temperature Profiles'!AA84)+1.0491)*1000,IF(AND('Temperature Profiles'!AA84&lt;-5.6,'Temperature Profiles'!AA84&gt;-11.4),EV$208,IF('Temperature Profiles'!AA84&lt;-11.4,EV188,0))))</f>
        <v>1620</v>
      </c>
      <c r="EW85" s="110">
        <v>0.83333333333333304</v>
      </c>
      <c r="EX85" s="209">
        <f>IF('Temperature Profiles'!AA84&gt;18,(0.0034*('Temperature Profiles'!AA84^2)-(0.087*'Temperature Profiles'!AA84)+0.5117)*1000,IF(AND('Temperature Profiles'!AA84&lt;17,'Temperature Profiles'!AA84&gt;-4.4),(0.0027*('Temperature Profiles'!AA84^2)-(0.149*'Temperature Profiles'!AA84)+1.7779)*1000,IF(AND('Temperature Profiles'!AA84&lt;-4.4,'Temperature Profiles'!AA84&gt;-8.5),EX$208,IF('Temperature Profiles'!AA84&lt;-8.5,EX188,0))))</f>
        <v>5400</v>
      </c>
      <c r="EY85" s="110">
        <v>0.83333333333333304</v>
      </c>
      <c r="EZ85" s="264">
        <f>IF('Temperature Profiles'!AA84&gt;18,(0.0048*('Temperature Profiles'!AA84^2)-(0.1352*'Temperature Profiles'!AA84)+0.9193)*1000,IF(AND('Temperature Profiles'!AA84&lt;17,'Temperature Profiles'!AA84&gt;-4.4),(0.0031*('Temperature Profiles'!AA84^2)-(0.2029*'Temperature Profiles'!AA84)+2.4264)*1000,IF(AND('Temperature Profiles'!AA84&lt;-4.4,'Temperature Profiles'!AA84&gt;-8.5),EZ$208,IF('Temperature Profiles'!AA84&lt;-8.5,EZ188,0))))</f>
        <v>5400</v>
      </c>
    </row>
    <row r="86" spans="1:156" x14ac:dyDescent="0.3">
      <c r="A86" s="108">
        <v>0.83333333333333304</v>
      </c>
      <c r="B86" s="226">
        <f t="shared" si="7"/>
        <v>0</v>
      </c>
      <c r="C86" s="21">
        <f t="shared" si="8"/>
        <v>0</v>
      </c>
      <c r="D86" s="21">
        <f t="shared" si="9"/>
        <v>16000</v>
      </c>
      <c r="E86" s="20">
        <f t="shared" si="10"/>
        <v>5400</v>
      </c>
      <c r="G86" s="260">
        <v>0.84375</v>
      </c>
      <c r="H86" s="211"/>
      <c r="I86" s="110">
        <v>0.84375</v>
      </c>
      <c r="J86" s="211"/>
      <c r="K86" s="110">
        <v>0.84375</v>
      </c>
      <c r="L86" s="211"/>
      <c r="M86" s="21"/>
      <c r="N86" s="110">
        <v>0.84375</v>
      </c>
      <c r="O86" s="209"/>
      <c r="P86" s="110">
        <v>0.84375</v>
      </c>
      <c r="Q86" s="209"/>
      <c r="R86" s="110">
        <v>0.84375</v>
      </c>
      <c r="S86" s="211"/>
      <c r="T86" s="21"/>
      <c r="U86" s="110">
        <v>0.84375</v>
      </c>
      <c r="V86" s="209"/>
      <c r="W86" s="110">
        <v>0.84375</v>
      </c>
      <c r="X86" s="209"/>
      <c r="Y86" s="110">
        <v>0.84375</v>
      </c>
      <c r="Z86" s="211"/>
      <c r="AA86" s="21"/>
      <c r="AB86" s="110">
        <v>0.84375</v>
      </c>
      <c r="AC86" s="209"/>
      <c r="AD86" s="110">
        <v>0.84375</v>
      </c>
      <c r="AE86" s="209"/>
      <c r="AF86" s="110">
        <v>0.84375</v>
      </c>
      <c r="AG86" s="211"/>
      <c r="AH86" s="21"/>
      <c r="AI86" s="110">
        <v>0.84375</v>
      </c>
      <c r="AJ86" s="209"/>
      <c r="AK86" s="110">
        <v>0.84375</v>
      </c>
      <c r="AL86" s="209"/>
      <c r="AM86" s="110">
        <v>0.84375</v>
      </c>
      <c r="AN86" s="211"/>
      <c r="AO86" s="21"/>
      <c r="AP86" s="110">
        <v>0.84375</v>
      </c>
      <c r="AQ86" s="209"/>
      <c r="AR86" s="110">
        <v>0.84375</v>
      </c>
      <c r="AS86" s="209"/>
      <c r="AT86" s="110">
        <v>0.84375</v>
      </c>
      <c r="AU86" s="211"/>
      <c r="AV86" s="21"/>
      <c r="AW86" s="110">
        <v>0.84375</v>
      </c>
      <c r="AX86" s="211"/>
      <c r="AY86" s="21"/>
      <c r="AZ86" s="110">
        <v>0.84375</v>
      </c>
      <c r="BA86" s="264"/>
      <c r="BC86" s="260">
        <v>0.84375</v>
      </c>
      <c r="BD86" s="211"/>
      <c r="BE86" s="110">
        <v>0.84375</v>
      </c>
      <c r="BF86" s="211"/>
      <c r="BG86" s="110">
        <v>0.84375</v>
      </c>
      <c r="BH86" s="211"/>
      <c r="BI86" s="21"/>
      <c r="BJ86" s="110">
        <v>0.84375</v>
      </c>
      <c r="BK86" s="209"/>
      <c r="BL86" s="110">
        <v>0.84375</v>
      </c>
      <c r="BM86" s="209"/>
      <c r="BN86" s="110">
        <v>0.84375</v>
      </c>
      <c r="BO86" s="211"/>
      <c r="BP86" s="21"/>
      <c r="BQ86" s="110">
        <v>0.84375</v>
      </c>
      <c r="BR86" s="209"/>
      <c r="BS86" s="110">
        <v>0.84375</v>
      </c>
      <c r="BT86" s="209"/>
      <c r="BU86" s="110">
        <v>0.84375</v>
      </c>
      <c r="BV86" s="211"/>
      <c r="BW86" s="21"/>
      <c r="BX86" s="110">
        <v>0.84375</v>
      </c>
      <c r="BY86" s="209"/>
      <c r="BZ86" s="110">
        <v>0.84375</v>
      </c>
      <c r="CA86" s="209"/>
      <c r="CB86" s="110">
        <v>0.84375</v>
      </c>
      <c r="CC86" s="211"/>
      <c r="CD86" s="21"/>
      <c r="CE86" s="110">
        <v>0.84375</v>
      </c>
      <c r="CF86" s="209"/>
      <c r="CG86" s="110">
        <v>0.84375</v>
      </c>
      <c r="CH86" s="209"/>
      <c r="CI86" s="110">
        <v>0.84375</v>
      </c>
      <c r="CJ86" s="211"/>
      <c r="CK86" s="21"/>
      <c r="CL86" s="110">
        <v>0.84375</v>
      </c>
      <c r="CM86" s="209"/>
      <c r="CN86" s="110">
        <v>0.84375</v>
      </c>
      <c r="CO86" s="209"/>
      <c r="CP86" s="110">
        <v>0.84375</v>
      </c>
      <c r="CQ86" s="211"/>
      <c r="CR86" s="21"/>
      <c r="CS86" s="110">
        <v>0.84375</v>
      </c>
      <c r="CT86" s="211"/>
      <c r="CU86" s="21"/>
      <c r="CV86" s="110">
        <v>0.84375</v>
      </c>
      <c r="CW86" s="264"/>
      <c r="CY86" s="260">
        <v>0.84375</v>
      </c>
      <c r="CZ86" s="178"/>
      <c r="DA86" s="110">
        <v>0.84375</v>
      </c>
      <c r="DB86" s="263"/>
      <c r="DC86" s="110">
        <v>0.84375</v>
      </c>
      <c r="DD86" s="211"/>
      <c r="DE86" s="21"/>
      <c r="DF86" s="110">
        <v>0.84375</v>
      </c>
      <c r="DG86" s="209"/>
      <c r="DH86" s="110">
        <v>0.84375</v>
      </c>
      <c r="DI86" s="209"/>
      <c r="DJ86" s="110">
        <v>0.84375</v>
      </c>
      <c r="DK86" s="211"/>
      <c r="DL86" s="21"/>
      <c r="DM86" s="110">
        <v>0.84375</v>
      </c>
      <c r="DN86" s="209"/>
      <c r="DO86" s="110">
        <v>0.84375</v>
      </c>
      <c r="DP86" s="209"/>
      <c r="DQ86" s="110">
        <v>0.84375</v>
      </c>
      <c r="DR86" s="211"/>
      <c r="DS86" s="21"/>
      <c r="DT86" s="110">
        <v>0.84375</v>
      </c>
      <c r="DU86" s="209"/>
      <c r="DV86" s="110">
        <v>0.84375</v>
      </c>
      <c r="DW86" s="209"/>
      <c r="DX86" s="110">
        <v>0.84375</v>
      </c>
      <c r="DY86" s="211"/>
      <c r="DZ86" s="21"/>
      <c r="EA86" s="110">
        <v>0.84375</v>
      </c>
      <c r="EB86" s="209">
        <f>IF('Temperature Profiles'!AA85&gt;18,(0.0018*('Temperature Profiles'!AA85^2)-(0.0475*'Temperature Profiles'!AA85)+0.3123)*1000,IF(AND('Temperature Profiles'!AA85&lt;17,'Temperature Profiles'!AA85&gt;-5.6),(0.0021*('Temperature Profiles'!AA85^2)-(0.0919*'Temperature Profiles'!AA85)+1.0491)*1000,IF(AND('Temperature Profiles'!AA85&lt;-5.6,'Temperature Profiles'!AA85&gt;-11.4),(((-0.2925*'Temperature Profiles'!AA85)-1.6914)*1000)+EB$208,IF('Temperature Profiles'!AA85&lt;-11.4,EB189,0))))</f>
        <v>2863.3500000000004</v>
      </c>
      <c r="EC86" s="110">
        <v>0.84375</v>
      </c>
      <c r="ED86" s="209">
        <f>IF('Temperature Profiles'!AA85&gt;18,(0.0034*('Temperature Profiles'!AA85^2)-(0.087*'Temperature Profiles'!AA85)+0.5117)*1000,IF(AND('Temperature Profiles'!AA85&lt;17,'Temperature Profiles'!AA85&gt;-4.4),(0.0027*('Temperature Profiles'!AA85^2)-(0.149*'Temperature Profiles'!AA85)+1.7779)*1000,IF(AND('Temperature Profiles'!AA85&lt;-4.4,'Temperature Profiles'!AA85&gt;-8.5),(((-0.5391*'Temperature Profiles'!AA85)-2.0906)*1000)+ED$208,IF('Temperature Profiles'!AA85&lt;-8.5,ED189,0))))</f>
        <v>0</v>
      </c>
      <c r="EE86" s="110">
        <v>0.84375</v>
      </c>
      <c r="EF86" s="211">
        <f>IF('Temperature Profiles'!AA85&gt;18,(0.0048*('Temperature Profiles'!AA85^2)-(0.1352*'Temperature Profiles'!AA85)+0.9193)*1000,IF(AND('Temperature Profiles'!AA85&lt;17,'Temperature Profiles'!AA85&gt;-4.4),(0.0031*('Temperature Profiles'!AA85^2)-(0.2029*'Temperature Profiles'!AA85)+2.4264)*1000,IF(AND('Temperature Profiles'!AA85&lt;-4.4,'Temperature Profiles'!AA85&gt;-8.5),(((-0.7516*'Temperature Profiles'!AA85)-2.9985)*1000)+EF$208,IF('Temperature Profiles'!AA85&lt;-8.5,EF189,0))))</f>
        <v>0</v>
      </c>
      <c r="EG86" s="21"/>
      <c r="EH86" s="110">
        <v>0.84375</v>
      </c>
      <c r="EI86" s="211"/>
      <c r="EJ86" s="110">
        <v>0.84375</v>
      </c>
      <c r="EK86" s="211"/>
      <c r="EL86" s="110">
        <v>0.84375</v>
      </c>
      <c r="EM86" s="211"/>
      <c r="EN86" s="21"/>
      <c r="EO86" s="110">
        <v>0.84375</v>
      </c>
      <c r="EP86" s="211"/>
      <c r="EQ86" s="21"/>
      <c r="ER86" s="110">
        <v>0.84375</v>
      </c>
      <c r="ES86" s="264"/>
      <c r="EU86" s="260">
        <v>0.84375</v>
      </c>
      <c r="EV86" s="209">
        <f>IF('Temperature Profiles'!AA85&gt;18,(0.0018*('Temperature Profiles'!AA85^2)-(0.0475*'Temperature Profiles'!AA85)+0.3123)*1000,IF(AND('Temperature Profiles'!AA85&lt;17,'Temperature Profiles'!AA85&gt;-5.6),(0.0021*('Temperature Profiles'!AA85^2)-(0.0919*'Temperature Profiles'!AA85)+1.0491)*1000,IF(AND('Temperature Profiles'!AA85&lt;-5.6,'Temperature Profiles'!AA85&gt;-11.4),EV$208,IF('Temperature Profiles'!AA85&lt;-11.4,EV189,0))))</f>
        <v>1620</v>
      </c>
      <c r="EW86" s="110">
        <v>0.84375</v>
      </c>
      <c r="EX86" s="209">
        <f>IF('Temperature Profiles'!AA85&gt;18,(0.0034*('Temperature Profiles'!AA85^2)-(0.087*'Temperature Profiles'!AA85)+0.5117)*1000,IF(AND('Temperature Profiles'!AA85&lt;17,'Temperature Profiles'!AA85&gt;-4.4),(0.0027*('Temperature Profiles'!AA85^2)-(0.149*'Temperature Profiles'!AA85)+1.7779)*1000,IF(AND('Temperature Profiles'!AA85&lt;-4.4,'Temperature Profiles'!AA85&gt;-8.5),EX$208,IF('Temperature Profiles'!AA85&lt;-8.5,EX189,0))))</f>
        <v>0</v>
      </c>
      <c r="EY86" s="110">
        <v>0.84375</v>
      </c>
      <c r="EZ86" s="264">
        <f>IF('Temperature Profiles'!AA85&gt;18,(0.0048*('Temperature Profiles'!AA85^2)-(0.1352*'Temperature Profiles'!AA85)+0.9193)*1000,IF(AND('Temperature Profiles'!AA85&lt;17,'Temperature Profiles'!AA85&gt;-4.4),(0.0031*('Temperature Profiles'!AA85^2)-(0.2029*'Temperature Profiles'!AA85)+2.4264)*1000,IF(AND('Temperature Profiles'!AA85&lt;-4.4,'Temperature Profiles'!AA85&gt;-8.5),EZ$208,IF('Temperature Profiles'!AA85&lt;-8.5,EZ189,0))))</f>
        <v>0</v>
      </c>
    </row>
    <row r="87" spans="1:156" x14ac:dyDescent="0.3">
      <c r="A87" s="108">
        <v>0.84375</v>
      </c>
      <c r="B87" s="226">
        <f t="shared" si="7"/>
        <v>0</v>
      </c>
      <c r="C87" s="21">
        <f t="shared" si="8"/>
        <v>0</v>
      </c>
      <c r="D87" s="21">
        <f t="shared" si="9"/>
        <v>0</v>
      </c>
      <c r="E87" s="20">
        <f t="shared" si="10"/>
        <v>0</v>
      </c>
      <c r="G87" s="260">
        <v>0.85416666666666696</v>
      </c>
      <c r="H87" s="211"/>
      <c r="I87" s="110">
        <v>0.85416666666666696</v>
      </c>
      <c r="J87" s="211"/>
      <c r="K87" s="110">
        <v>0.85416666666666696</v>
      </c>
      <c r="L87" s="211"/>
      <c r="M87" s="21"/>
      <c r="N87" s="110">
        <v>0.85416666666666696</v>
      </c>
      <c r="O87" s="209"/>
      <c r="P87" s="110">
        <v>0.85416666666666696</v>
      </c>
      <c r="Q87" s="209"/>
      <c r="R87" s="110">
        <v>0.85416666666666696</v>
      </c>
      <c r="S87" s="211"/>
      <c r="T87" s="21"/>
      <c r="U87" s="110">
        <v>0.85416666666666696</v>
      </c>
      <c r="V87" s="209"/>
      <c r="W87" s="110">
        <v>0.85416666666666696</v>
      </c>
      <c r="X87" s="209"/>
      <c r="Y87" s="110">
        <v>0.85416666666666696</v>
      </c>
      <c r="Z87" s="211"/>
      <c r="AA87" s="21"/>
      <c r="AB87" s="110">
        <v>0.85416666666666696</v>
      </c>
      <c r="AC87" s="209"/>
      <c r="AD87" s="110">
        <v>0.85416666666666696</v>
      </c>
      <c r="AE87" s="209"/>
      <c r="AF87" s="110">
        <v>0.85416666666666696</v>
      </c>
      <c r="AG87" s="211"/>
      <c r="AH87" s="21"/>
      <c r="AI87" s="110">
        <v>0.85416666666666696</v>
      </c>
      <c r="AJ87" s="209"/>
      <c r="AK87" s="110">
        <v>0.85416666666666696</v>
      </c>
      <c r="AL87" s="209"/>
      <c r="AM87" s="110">
        <v>0.85416666666666696</v>
      </c>
      <c r="AN87" s="211"/>
      <c r="AO87" s="21"/>
      <c r="AP87" s="110">
        <v>0.85416666666666696</v>
      </c>
      <c r="AQ87" s="209"/>
      <c r="AR87" s="110">
        <v>0.85416666666666696</v>
      </c>
      <c r="AS87" s="209"/>
      <c r="AT87" s="110">
        <v>0.85416666666666696</v>
      </c>
      <c r="AU87" s="211"/>
      <c r="AV87" s="21"/>
      <c r="AW87" s="110">
        <v>0.85416666666666696</v>
      </c>
      <c r="AX87" s="211"/>
      <c r="AY87" s="21"/>
      <c r="AZ87" s="110">
        <v>0.85416666666666696</v>
      </c>
      <c r="BA87" s="264"/>
      <c r="BC87" s="260">
        <v>0.85416666666666696</v>
      </c>
      <c r="BD87" s="211"/>
      <c r="BE87" s="110">
        <v>0.85416666666666696</v>
      </c>
      <c r="BF87" s="211"/>
      <c r="BG87" s="110">
        <v>0.85416666666666696</v>
      </c>
      <c r="BH87" s="211"/>
      <c r="BI87" s="21"/>
      <c r="BJ87" s="110">
        <v>0.85416666666666696</v>
      </c>
      <c r="BK87" s="209"/>
      <c r="BL87" s="110">
        <v>0.85416666666666696</v>
      </c>
      <c r="BM87" s="209"/>
      <c r="BN87" s="110">
        <v>0.85416666666666696</v>
      </c>
      <c r="BO87" s="211"/>
      <c r="BP87" s="21"/>
      <c r="BQ87" s="110">
        <v>0.85416666666666696</v>
      </c>
      <c r="BR87" s="209"/>
      <c r="BS87" s="110">
        <v>0.85416666666666696</v>
      </c>
      <c r="BT87" s="209"/>
      <c r="BU87" s="110">
        <v>0.85416666666666696</v>
      </c>
      <c r="BV87" s="211"/>
      <c r="BW87" s="21"/>
      <c r="BX87" s="110">
        <v>0.85416666666666696</v>
      </c>
      <c r="BY87" s="209"/>
      <c r="BZ87" s="110">
        <v>0.85416666666666696</v>
      </c>
      <c r="CA87" s="209"/>
      <c r="CB87" s="110">
        <v>0.85416666666666696</v>
      </c>
      <c r="CC87" s="211"/>
      <c r="CD87" s="21"/>
      <c r="CE87" s="110">
        <v>0.85416666666666696</v>
      </c>
      <c r="CF87" s="209"/>
      <c r="CG87" s="110">
        <v>0.85416666666666696</v>
      </c>
      <c r="CH87" s="209"/>
      <c r="CI87" s="110">
        <v>0.85416666666666696</v>
      </c>
      <c r="CJ87" s="211"/>
      <c r="CK87" s="21"/>
      <c r="CL87" s="110">
        <v>0.85416666666666696</v>
      </c>
      <c r="CM87" s="209"/>
      <c r="CN87" s="110">
        <v>0.85416666666666696</v>
      </c>
      <c r="CO87" s="209"/>
      <c r="CP87" s="110">
        <v>0.85416666666666696</v>
      </c>
      <c r="CQ87" s="211"/>
      <c r="CR87" s="21"/>
      <c r="CS87" s="110">
        <v>0.85416666666666696</v>
      </c>
      <c r="CT87" s="211"/>
      <c r="CU87" s="21"/>
      <c r="CV87" s="110">
        <v>0.85416666666666696</v>
      </c>
      <c r="CW87" s="264"/>
      <c r="CY87" s="260">
        <v>0.85416666666666696</v>
      </c>
      <c r="CZ87" s="178"/>
      <c r="DA87" s="110">
        <v>0.85416666666666696</v>
      </c>
      <c r="DB87" s="263"/>
      <c r="DC87" s="110">
        <v>0.85416666666666696</v>
      </c>
      <c r="DD87" s="211"/>
      <c r="DE87" s="21"/>
      <c r="DF87" s="110">
        <v>0.85416666666666696</v>
      </c>
      <c r="DG87" s="209"/>
      <c r="DH87" s="110">
        <v>0.85416666666666696</v>
      </c>
      <c r="DI87" s="209"/>
      <c r="DJ87" s="110">
        <v>0.85416666666666696</v>
      </c>
      <c r="DK87" s="211"/>
      <c r="DL87" s="21"/>
      <c r="DM87" s="110">
        <v>0.85416666666666696</v>
      </c>
      <c r="DN87" s="209"/>
      <c r="DO87" s="110">
        <v>0.85416666666666696</v>
      </c>
      <c r="DP87" s="209"/>
      <c r="DQ87" s="110">
        <v>0.85416666666666696</v>
      </c>
      <c r="DR87" s="211"/>
      <c r="DS87" s="21"/>
      <c r="DT87" s="110">
        <v>0.85416666666666696</v>
      </c>
      <c r="DU87" s="209"/>
      <c r="DV87" s="110">
        <v>0.85416666666666696</v>
      </c>
      <c r="DW87" s="209"/>
      <c r="DX87" s="110">
        <v>0.85416666666666696</v>
      </c>
      <c r="DY87" s="211"/>
      <c r="DZ87" s="21"/>
      <c r="EA87" s="110">
        <v>0.85416666666666696</v>
      </c>
      <c r="EB87" s="209">
        <f>IF('Temperature Profiles'!AA86&gt;18,(0.0018*('Temperature Profiles'!AA86^2)-(0.0475*'Temperature Profiles'!AA86)+0.3123)*1000,IF(AND('Temperature Profiles'!AA86&lt;17,'Temperature Profiles'!AA86&gt;-5.6),(0.0021*('Temperature Profiles'!AA86^2)-(0.0919*'Temperature Profiles'!AA86)+1.0491)*1000,IF(AND('Temperature Profiles'!AA86&lt;-5.6,'Temperature Profiles'!AA86&gt;-11.4),(((-0.2925*'Temperature Profiles'!AA86)-1.6914)*1000)+EB$208,IF('Temperature Profiles'!AA86&lt;-11.4,EB190,0))))</f>
        <v>2863.3500000000004</v>
      </c>
      <c r="EC87" s="110">
        <v>0.85416666666666696</v>
      </c>
      <c r="ED87" s="209">
        <f>IF('Temperature Profiles'!AA86&gt;18,(0.0034*('Temperature Profiles'!AA86^2)-(0.087*'Temperature Profiles'!AA86)+0.5117)*1000,IF(AND('Temperature Profiles'!AA86&lt;17,'Temperature Profiles'!AA86&gt;-4.4),(0.0027*('Temperature Profiles'!AA86^2)-(0.149*'Temperature Profiles'!AA86)+1.7779)*1000,IF(AND('Temperature Profiles'!AA86&lt;-4.4,'Temperature Profiles'!AA86&gt;-8.5),(((-0.5391*'Temperature Profiles'!AA86)-2.0906)*1000)+ED$208,IF('Temperature Profiles'!AA86&lt;-8.5,ED190,0))))</f>
        <v>0</v>
      </c>
      <c r="EE87" s="110">
        <v>0.85416666666666696</v>
      </c>
      <c r="EF87" s="211">
        <f>IF('Temperature Profiles'!AA86&gt;18,(0.0048*('Temperature Profiles'!AA86^2)-(0.1352*'Temperature Profiles'!AA86)+0.9193)*1000,IF(AND('Temperature Profiles'!AA86&lt;17,'Temperature Profiles'!AA86&gt;-4.4),(0.0031*('Temperature Profiles'!AA86^2)-(0.2029*'Temperature Profiles'!AA86)+2.4264)*1000,IF(AND('Temperature Profiles'!AA86&lt;-4.4,'Temperature Profiles'!AA86&gt;-8.5),(((-0.7516*'Temperature Profiles'!AA86)-2.9985)*1000)+EF$208,IF('Temperature Profiles'!AA86&lt;-8.5,EF190,0))))</f>
        <v>0</v>
      </c>
      <c r="EG87" s="21"/>
      <c r="EH87" s="110">
        <v>0.85416666666666696</v>
      </c>
      <c r="EI87" s="211"/>
      <c r="EJ87" s="110">
        <v>0.85416666666666696</v>
      </c>
      <c r="EK87" s="211"/>
      <c r="EL87" s="110">
        <v>0.85416666666666696</v>
      </c>
      <c r="EM87" s="211"/>
      <c r="EN87" s="21"/>
      <c r="EO87" s="110">
        <v>0.85416666666666696</v>
      </c>
      <c r="EP87" s="211"/>
      <c r="EQ87" s="21"/>
      <c r="ER87" s="110">
        <v>0.85416666666666696</v>
      </c>
      <c r="ES87" s="264"/>
      <c r="EU87" s="260">
        <v>0.85416666666666696</v>
      </c>
      <c r="EV87" s="209">
        <f>IF('Temperature Profiles'!AA86&gt;18,(0.0018*('Temperature Profiles'!AA86^2)-(0.0475*'Temperature Profiles'!AA86)+0.3123)*1000,IF(AND('Temperature Profiles'!AA86&lt;17,'Temperature Profiles'!AA86&gt;-5.6),(0.0021*('Temperature Profiles'!AA86^2)-(0.0919*'Temperature Profiles'!AA86)+1.0491)*1000,IF(AND('Temperature Profiles'!AA86&lt;-5.6,'Temperature Profiles'!AA86&gt;-11.4),EV$208,IF('Temperature Profiles'!AA86&lt;-11.4,EV190,0))))</f>
        <v>1620</v>
      </c>
      <c r="EW87" s="110">
        <v>0.85416666666666696</v>
      </c>
      <c r="EX87" s="209">
        <f>IF('Temperature Profiles'!AA86&gt;18,(0.0034*('Temperature Profiles'!AA86^2)-(0.087*'Temperature Profiles'!AA86)+0.5117)*1000,IF(AND('Temperature Profiles'!AA86&lt;17,'Temperature Profiles'!AA86&gt;-4.4),(0.0027*('Temperature Profiles'!AA86^2)-(0.149*'Temperature Profiles'!AA86)+1.7779)*1000,IF(AND('Temperature Profiles'!AA86&lt;-4.4,'Temperature Profiles'!AA86&gt;-8.5),EX$208,IF('Temperature Profiles'!AA86&lt;-8.5,EX190,0))))</f>
        <v>0</v>
      </c>
      <c r="EY87" s="110">
        <v>0.85416666666666696</v>
      </c>
      <c r="EZ87" s="264">
        <f>IF('Temperature Profiles'!AA86&gt;18,(0.0048*('Temperature Profiles'!AA86^2)-(0.1352*'Temperature Profiles'!AA86)+0.9193)*1000,IF(AND('Temperature Profiles'!AA86&lt;17,'Temperature Profiles'!AA86&gt;-4.4),(0.0031*('Temperature Profiles'!AA86^2)-(0.2029*'Temperature Profiles'!AA86)+2.4264)*1000,IF(AND('Temperature Profiles'!AA86&lt;-4.4,'Temperature Profiles'!AA86&gt;-8.5),EZ$208,IF('Temperature Profiles'!AA86&lt;-8.5,EZ190,0))))</f>
        <v>0</v>
      </c>
    </row>
    <row r="88" spans="1:156" x14ac:dyDescent="0.3">
      <c r="A88" s="108">
        <v>0.85416666666666696</v>
      </c>
      <c r="B88" s="226">
        <f t="shared" si="7"/>
        <v>0</v>
      </c>
      <c r="C88" s="21">
        <f t="shared" si="8"/>
        <v>0</v>
      </c>
      <c r="D88" s="21">
        <f t="shared" si="9"/>
        <v>0</v>
      </c>
      <c r="E88" s="20">
        <f t="shared" si="10"/>
        <v>0</v>
      </c>
      <c r="G88" s="260">
        <v>0.86458333333333304</v>
      </c>
      <c r="H88" s="211"/>
      <c r="I88" s="110">
        <v>0.86458333333333304</v>
      </c>
      <c r="J88" s="211"/>
      <c r="K88" s="110">
        <v>0.86458333333333304</v>
      </c>
      <c r="L88" s="211"/>
      <c r="M88" s="21"/>
      <c r="N88" s="110">
        <v>0.86458333333333304</v>
      </c>
      <c r="O88" s="209"/>
      <c r="P88" s="110">
        <v>0.86458333333333304</v>
      </c>
      <c r="Q88" s="209"/>
      <c r="R88" s="110">
        <v>0.86458333333333304</v>
      </c>
      <c r="S88" s="211"/>
      <c r="T88" s="21"/>
      <c r="U88" s="110">
        <v>0.86458333333333304</v>
      </c>
      <c r="V88" s="209"/>
      <c r="W88" s="110">
        <v>0.86458333333333304</v>
      </c>
      <c r="X88" s="209"/>
      <c r="Y88" s="110">
        <v>0.86458333333333304</v>
      </c>
      <c r="Z88" s="211"/>
      <c r="AA88" s="21"/>
      <c r="AB88" s="110">
        <v>0.86458333333333304</v>
      </c>
      <c r="AC88" s="209"/>
      <c r="AD88" s="110">
        <v>0.86458333333333304</v>
      </c>
      <c r="AE88" s="209"/>
      <c r="AF88" s="110">
        <v>0.86458333333333304</v>
      </c>
      <c r="AG88" s="211"/>
      <c r="AH88" s="21"/>
      <c r="AI88" s="110">
        <v>0.86458333333333304</v>
      </c>
      <c r="AJ88" s="209"/>
      <c r="AK88" s="110">
        <v>0.86458333333333304</v>
      </c>
      <c r="AL88" s="209"/>
      <c r="AM88" s="110">
        <v>0.86458333333333304</v>
      </c>
      <c r="AN88" s="211"/>
      <c r="AO88" s="21"/>
      <c r="AP88" s="110">
        <v>0.86458333333333304</v>
      </c>
      <c r="AQ88" s="209"/>
      <c r="AR88" s="110">
        <v>0.86458333333333304</v>
      </c>
      <c r="AS88" s="209"/>
      <c r="AT88" s="110">
        <v>0.86458333333333304</v>
      </c>
      <c r="AU88" s="211"/>
      <c r="AV88" s="21"/>
      <c r="AW88" s="110">
        <v>0.86458333333333304</v>
      </c>
      <c r="AX88" s="211"/>
      <c r="AY88" s="21"/>
      <c r="AZ88" s="110">
        <v>0.86458333333333304</v>
      </c>
      <c r="BA88" s="264"/>
      <c r="BC88" s="260">
        <v>0.86458333333333304</v>
      </c>
      <c r="BD88" s="211"/>
      <c r="BE88" s="110">
        <v>0.86458333333333304</v>
      </c>
      <c r="BF88" s="211"/>
      <c r="BG88" s="110">
        <v>0.86458333333333304</v>
      </c>
      <c r="BH88" s="211"/>
      <c r="BI88" s="21"/>
      <c r="BJ88" s="110">
        <v>0.86458333333333304</v>
      </c>
      <c r="BK88" s="209"/>
      <c r="BL88" s="110">
        <v>0.86458333333333304</v>
      </c>
      <c r="BM88" s="209"/>
      <c r="BN88" s="110">
        <v>0.86458333333333304</v>
      </c>
      <c r="BO88" s="211"/>
      <c r="BP88" s="21"/>
      <c r="BQ88" s="110">
        <v>0.86458333333333304</v>
      </c>
      <c r="BR88" s="209"/>
      <c r="BS88" s="110">
        <v>0.86458333333333304</v>
      </c>
      <c r="BT88" s="209"/>
      <c r="BU88" s="110">
        <v>0.86458333333333304</v>
      </c>
      <c r="BV88" s="211"/>
      <c r="BW88" s="21"/>
      <c r="BX88" s="110">
        <v>0.86458333333333304</v>
      </c>
      <c r="BY88" s="209"/>
      <c r="BZ88" s="110">
        <v>0.86458333333333304</v>
      </c>
      <c r="CA88" s="209"/>
      <c r="CB88" s="110">
        <v>0.86458333333333304</v>
      </c>
      <c r="CC88" s="211"/>
      <c r="CD88" s="21"/>
      <c r="CE88" s="110">
        <v>0.86458333333333304</v>
      </c>
      <c r="CF88" s="209"/>
      <c r="CG88" s="110">
        <v>0.86458333333333304</v>
      </c>
      <c r="CH88" s="209"/>
      <c r="CI88" s="110">
        <v>0.86458333333333304</v>
      </c>
      <c r="CJ88" s="211"/>
      <c r="CK88" s="21"/>
      <c r="CL88" s="110">
        <v>0.86458333333333304</v>
      </c>
      <c r="CM88" s="209"/>
      <c r="CN88" s="110">
        <v>0.86458333333333304</v>
      </c>
      <c r="CO88" s="209"/>
      <c r="CP88" s="110">
        <v>0.86458333333333304</v>
      </c>
      <c r="CQ88" s="211"/>
      <c r="CR88" s="21"/>
      <c r="CS88" s="110">
        <v>0.86458333333333304</v>
      </c>
      <c r="CT88" s="211"/>
      <c r="CU88" s="21"/>
      <c r="CV88" s="110">
        <v>0.86458333333333304</v>
      </c>
      <c r="CW88" s="264"/>
      <c r="CY88" s="260">
        <v>0.86458333333333304</v>
      </c>
      <c r="CZ88" s="178"/>
      <c r="DA88" s="110">
        <v>0.86458333333333304</v>
      </c>
      <c r="DB88" s="263"/>
      <c r="DC88" s="110">
        <v>0.86458333333333304</v>
      </c>
      <c r="DD88" s="211"/>
      <c r="DE88" s="21"/>
      <c r="DF88" s="110">
        <v>0.86458333333333304</v>
      </c>
      <c r="DG88" s="209"/>
      <c r="DH88" s="110">
        <v>0.86458333333333304</v>
      </c>
      <c r="DI88" s="209"/>
      <c r="DJ88" s="110">
        <v>0.86458333333333304</v>
      </c>
      <c r="DK88" s="211"/>
      <c r="DL88" s="21"/>
      <c r="DM88" s="110">
        <v>0.86458333333333304</v>
      </c>
      <c r="DN88" s="209"/>
      <c r="DO88" s="110">
        <v>0.86458333333333304</v>
      </c>
      <c r="DP88" s="209"/>
      <c r="DQ88" s="110">
        <v>0.86458333333333304</v>
      </c>
      <c r="DR88" s="211"/>
      <c r="DS88" s="21"/>
      <c r="DT88" s="110">
        <v>0.86458333333333304</v>
      </c>
      <c r="DU88" s="209"/>
      <c r="DV88" s="110">
        <v>0.86458333333333304</v>
      </c>
      <c r="DW88" s="209"/>
      <c r="DX88" s="110">
        <v>0.86458333333333304</v>
      </c>
      <c r="DY88" s="211"/>
      <c r="DZ88" s="21"/>
      <c r="EA88" s="110">
        <v>0.86458333333333304</v>
      </c>
      <c r="EB88" s="209">
        <f>IF('Temperature Profiles'!AA87&gt;18,(0.0018*('Temperature Profiles'!AA87^2)-(0.0475*'Temperature Profiles'!AA87)+0.3123)*1000,IF(AND('Temperature Profiles'!AA87&lt;17,'Temperature Profiles'!AA87&gt;-5.6),(0.0021*('Temperature Profiles'!AA87^2)-(0.0919*'Temperature Profiles'!AA87)+1.0491)*1000,IF(AND('Temperature Profiles'!AA87&lt;-5.6,'Temperature Profiles'!AA87&gt;-11.4),(((-0.2925*'Temperature Profiles'!AA87)-1.6914)*1000)+EB$208,IF('Temperature Profiles'!AA87&lt;-11.4,EB191,0))))</f>
        <v>2863.3500000000004</v>
      </c>
      <c r="EC88" s="110">
        <v>0.86458333333333304</v>
      </c>
      <c r="ED88" s="209">
        <f>IF('Temperature Profiles'!AA87&gt;18,(0.0034*('Temperature Profiles'!AA87^2)-(0.087*'Temperature Profiles'!AA87)+0.5117)*1000,IF(AND('Temperature Profiles'!AA87&lt;17,'Temperature Profiles'!AA87&gt;-4.4),(0.0027*('Temperature Profiles'!AA87^2)-(0.149*'Temperature Profiles'!AA87)+1.7779)*1000,IF(AND('Temperature Profiles'!AA87&lt;-4.4,'Temperature Profiles'!AA87&gt;-8.5),(((-0.5391*'Temperature Profiles'!AA87)-2.0906)*1000)+ED$208,IF('Temperature Profiles'!AA87&lt;-8.5,ED191,0))))</f>
        <v>0</v>
      </c>
      <c r="EE88" s="110">
        <v>0.86458333333333304</v>
      </c>
      <c r="EF88" s="211">
        <f>IF('Temperature Profiles'!AA87&gt;18,(0.0048*('Temperature Profiles'!AA87^2)-(0.1352*'Temperature Profiles'!AA87)+0.9193)*1000,IF(AND('Temperature Profiles'!AA87&lt;17,'Temperature Profiles'!AA87&gt;-4.4),(0.0031*('Temperature Profiles'!AA87^2)-(0.2029*'Temperature Profiles'!AA87)+2.4264)*1000,IF(AND('Temperature Profiles'!AA87&lt;-4.4,'Temperature Profiles'!AA87&gt;-8.5),(((-0.7516*'Temperature Profiles'!AA87)-2.9985)*1000)+EF$208,IF('Temperature Profiles'!AA87&lt;-8.5,EF191,0))))</f>
        <v>0</v>
      </c>
      <c r="EG88" s="21"/>
      <c r="EH88" s="110">
        <v>0.86458333333333304</v>
      </c>
      <c r="EI88" s="211"/>
      <c r="EJ88" s="110">
        <v>0.86458333333333304</v>
      </c>
      <c r="EK88" s="211"/>
      <c r="EL88" s="110">
        <v>0.86458333333333304</v>
      </c>
      <c r="EM88" s="211"/>
      <c r="EN88" s="21"/>
      <c r="EO88" s="110">
        <v>0.86458333333333304</v>
      </c>
      <c r="EP88" s="211"/>
      <c r="EQ88" s="21"/>
      <c r="ER88" s="110">
        <v>0.86458333333333304</v>
      </c>
      <c r="ES88" s="264"/>
      <c r="EU88" s="260">
        <v>0.86458333333333304</v>
      </c>
      <c r="EV88" s="209">
        <f>IF('Temperature Profiles'!AA87&gt;18,(0.0018*('Temperature Profiles'!AA87^2)-(0.0475*'Temperature Profiles'!AA87)+0.3123)*1000,IF(AND('Temperature Profiles'!AA87&lt;17,'Temperature Profiles'!AA87&gt;-5.6),(0.0021*('Temperature Profiles'!AA87^2)-(0.0919*'Temperature Profiles'!AA87)+1.0491)*1000,IF(AND('Temperature Profiles'!AA87&lt;-5.6,'Temperature Profiles'!AA87&gt;-11.4),EV$208,IF('Temperature Profiles'!AA87&lt;-11.4,EV191,0))))</f>
        <v>1620</v>
      </c>
      <c r="EW88" s="110">
        <v>0.86458333333333304</v>
      </c>
      <c r="EX88" s="209">
        <f>IF('Temperature Profiles'!AA87&gt;18,(0.0034*('Temperature Profiles'!AA87^2)-(0.087*'Temperature Profiles'!AA87)+0.5117)*1000,IF(AND('Temperature Profiles'!AA87&lt;17,'Temperature Profiles'!AA87&gt;-4.4),(0.0027*('Temperature Profiles'!AA87^2)-(0.149*'Temperature Profiles'!AA87)+1.7779)*1000,IF(AND('Temperature Profiles'!AA87&lt;-4.4,'Temperature Profiles'!AA87&gt;-8.5),EX$208,IF('Temperature Profiles'!AA87&lt;-8.5,EX191,0))))</f>
        <v>0</v>
      </c>
      <c r="EY88" s="110">
        <v>0.86458333333333304</v>
      </c>
      <c r="EZ88" s="264">
        <f>IF('Temperature Profiles'!AA87&gt;18,(0.0048*('Temperature Profiles'!AA87^2)-(0.1352*'Temperature Profiles'!AA87)+0.9193)*1000,IF(AND('Temperature Profiles'!AA87&lt;17,'Temperature Profiles'!AA87&gt;-4.4),(0.0031*('Temperature Profiles'!AA87^2)-(0.2029*'Temperature Profiles'!AA87)+2.4264)*1000,IF(AND('Temperature Profiles'!AA87&lt;-4.4,'Temperature Profiles'!AA87&gt;-8.5),EZ$208,IF('Temperature Profiles'!AA87&lt;-8.5,EZ191,0))))</f>
        <v>0</v>
      </c>
    </row>
    <row r="89" spans="1:156" x14ac:dyDescent="0.3">
      <c r="A89" s="108">
        <v>0.86458333333333304</v>
      </c>
      <c r="B89" s="226">
        <f t="shared" si="7"/>
        <v>0</v>
      </c>
      <c r="C89" s="21">
        <f t="shared" si="8"/>
        <v>0</v>
      </c>
      <c r="D89" s="21">
        <f t="shared" si="9"/>
        <v>0</v>
      </c>
      <c r="E89" s="20">
        <f t="shared" si="10"/>
        <v>0</v>
      </c>
      <c r="G89" s="260">
        <v>0.875</v>
      </c>
      <c r="H89" s="211"/>
      <c r="I89" s="110">
        <v>0.875</v>
      </c>
      <c r="J89" s="211"/>
      <c r="K89" s="110">
        <v>0.875</v>
      </c>
      <c r="L89" s="211"/>
      <c r="M89" s="21"/>
      <c r="N89" s="110">
        <v>0.875</v>
      </c>
      <c r="O89" s="209"/>
      <c r="P89" s="110">
        <v>0.875</v>
      </c>
      <c r="Q89" s="209"/>
      <c r="R89" s="110">
        <v>0.875</v>
      </c>
      <c r="S89" s="211"/>
      <c r="T89" s="21"/>
      <c r="U89" s="110">
        <v>0.875</v>
      </c>
      <c r="V89" s="209"/>
      <c r="W89" s="110">
        <v>0.875</v>
      </c>
      <c r="X89" s="209"/>
      <c r="Y89" s="110">
        <v>0.875</v>
      </c>
      <c r="Z89" s="211"/>
      <c r="AA89" s="21"/>
      <c r="AB89" s="110">
        <v>0.875</v>
      </c>
      <c r="AC89" s="209"/>
      <c r="AD89" s="110">
        <v>0.875</v>
      </c>
      <c r="AE89" s="209"/>
      <c r="AF89" s="110">
        <v>0.875</v>
      </c>
      <c r="AG89" s="211"/>
      <c r="AH89" s="21"/>
      <c r="AI89" s="110">
        <v>0.875</v>
      </c>
      <c r="AJ89" s="209"/>
      <c r="AK89" s="110">
        <v>0.875</v>
      </c>
      <c r="AL89" s="209"/>
      <c r="AM89" s="110">
        <v>0.875</v>
      </c>
      <c r="AN89" s="211"/>
      <c r="AO89" s="21"/>
      <c r="AP89" s="110">
        <v>0.875</v>
      </c>
      <c r="AQ89" s="209"/>
      <c r="AR89" s="110">
        <v>0.875</v>
      </c>
      <c r="AS89" s="209"/>
      <c r="AT89" s="110">
        <v>0.875</v>
      </c>
      <c r="AU89" s="211"/>
      <c r="AV89" s="21"/>
      <c r="AW89" s="110">
        <v>0.875</v>
      </c>
      <c r="AX89" s="211"/>
      <c r="AY89" s="21"/>
      <c r="AZ89" s="110">
        <v>0.875</v>
      </c>
      <c r="BA89" s="264"/>
      <c r="BC89" s="260">
        <v>0.875</v>
      </c>
      <c r="BD89" s="211"/>
      <c r="BE89" s="110">
        <v>0.875</v>
      </c>
      <c r="BF89" s="211"/>
      <c r="BG89" s="110">
        <v>0.875</v>
      </c>
      <c r="BH89" s="211"/>
      <c r="BI89" s="21"/>
      <c r="BJ89" s="110">
        <v>0.875</v>
      </c>
      <c r="BK89" s="209"/>
      <c r="BL89" s="110">
        <v>0.875</v>
      </c>
      <c r="BM89" s="209"/>
      <c r="BN89" s="110">
        <v>0.875</v>
      </c>
      <c r="BO89" s="211"/>
      <c r="BP89" s="21"/>
      <c r="BQ89" s="110">
        <v>0.875</v>
      </c>
      <c r="BR89" s="209"/>
      <c r="BS89" s="110">
        <v>0.875</v>
      </c>
      <c r="BT89" s="209"/>
      <c r="BU89" s="110">
        <v>0.875</v>
      </c>
      <c r="BV89" s="211"/>
      <c r="BW89" s="21"/>
      <c r="BX89" s="110">
        <v>0.875</v>
      </c>
      <c r="BY89" s="209"/>
      <c r="BZ89" s="110">
        <v>0.875</v>
      </c>
      <c r="CA89" s="209"/>
      <c r="CB89" s="110">
        <v>0.875</v>
      </c>
      <c r="CC89" s="211"/>
      <c r="CD89" s="21"/>
      <c r="CE89" s="110">
        <v>0.875</v>
      </c>
      <c r="CF89" s="209"/>
      <c r="CG89" s="110">
        <v>0.875</v>
      </c>
      <c r="CH89" s="209"/>
      <c r="CI89" s="110">
        <v>0.875</v>
      </c>
      <c r="CJ89" s="211"/>
      <c r="CK89" s="21"/>
      <c r="CL89" s="110">
        <v>0.875</v>
      </c>
      <c r="CM89" s="209"/>
      <c r="CN89" s="110">
        <v>0.875</v>
      </c>
      <c r="CO89" s="209"/>
      <c r="CP89" s="110">
        <v>0.875</v>
      </c>
      <c r="CQ89" s="211"/>
      <c r="CR89" s="21"/>
      <c r="CS89" s="110">
        <v>0.875</v>
      </c>
      <c r="CT89" s="211"/>
      <c r="CU89" s="21"/>
      <c r="CV89" s="110">
        <v>0.875</v>
      </c>
      <c r="CW89" s="264"/>
      <c r="CY89" s="260">
        <v>0.875</v>
      </c>
      <c r="CZ89" s="178"/>
      <c r="DA89" s="110">
        <v>0.875</v>
      </c>
      <c r="DB89" s="263"/>
      <c r="DC89" s="110">
        <v>0.875</v>
      </c>
      <c r="DD89" s="211"/>
      <c r="DE89" s="21"/>
      <c r="DF89" s="110">
        <v>0.875</v>
      </c>
      <c r="DG89" s="209"/>
      <c r="DH89" s="110">
        <v>0.875</v>
      </c>
      <c r="DI89" s="209"/>
      <c r="DJ89" s="110">
        <v>0.875</v>
      </c>
      <c r="DK89" s="211"/>
      <c r="DL89" s="21"/>
      <c r="DM89" s="110">
        <v>0.875</v>
      </c>
      <c r="DN89" s="209"/>
      <c r="DO89" s="110">
        <v>0.875</v>
      </c>
      <c r="DP89" s="209"/>
      <c r="DQ89" s="110">
        <v>0.875</v>
      </c>
      <c r="DR89" s="211"/>
      <c r="DS89" s="21"/>
      <c r="DT89" s="110">
        <v>0.875</v>
      </c>
      <c r="DU89" s="209"/>
      <c r="DV89" s="110">
        <v>0.875</v>
      </c>
      <c r="DW89" s="209"/>
      <c r="DX89" s="110">
        <v>0.875</v>
      </c>
      <c r="DY89" s="211"/>
      <c r="DZ89" s="21"/>
      <c r="EA89" s="110">
        <v>0.875</v>
      </c>
      <c r="EB89" s="209">
        <f>IF('Temperature Profiles'!AA88&gt;18,(0.0018*('Temperature Profiles'!AA88^2)-(0.0475*'Temperature Profiles'!AA88)+0.3123)*1000,IF(AND('Temperature Profiles'!AA88&lt;17,'Temperature Profiles'!AA88&gt;-5.6),(0.0021*('Temperature Profiles'!AA88^2)-(0.0919*'Temperature Profiles'!AA88)+1.0491)*1000,IF(AND('Temperature Profiles'!AA88&lt;-5.6,'Temperature Profiles'!AA88&gt;-11.4),(((-0.2925*'Temperature Profiles'!AA88)-1.6914)*1000)+EB$208,IF('Temperature Profiles'!AA88&lt;-11.4,EB192,0))))</f>
        <v>3126.6</v>
      </c>
      <c r="EC89" s="110">
        <v>0.875</v>
      </c>
      <c r="ED89" s="209">
        <f>IF('Temperature Profiles'!AA88&gt;18,(0.0034*('Temperature Profiles'!AA88^2)-(0.087*'Temperature Profiles'!AA88)+0.5117)*1000,IF(AND('Temperature Profiles'!AA88&lt;17,'Temperature Profiles'!AA88&gt;-4.4),(0.0027*('Temperature Profiles'!AA88^2)-(0.149*'Temperature Profiles'!AA88)+1.7779)*1000,IF(AND('Temperature Profiles'!AA88&lt;-4.4,'Temperature Profiles'!AA88&gt;-8.5),(((-0.5391*'Temperature Profiles'!AA88)-2.0906)*1000)+ED$208,IF('Temperature Profiles'!AA88&lt;-8.5,ED192,0))))</f>
        <v>12300</v>
      </c>
      <c r="EE89" s="110">
        <v>0.875</v>
      </c>
      <c r="EF89" s="211">
        <f>IF('Temperature Profiles'!AA88&gt;18,(0.0048*('Temperature Profiles'!AA88^2)-(0.1352*'Temperature Profiles'!AA88)+0.9193)*1000,IF(AND('Temperature Profiles'!AA88&lt;17,'Temperature Profiles'!AA88&gt;-4.4),(0.0031*('Temperature Profiles'!AA88^2)-(0.2029*'Temperature Profiles'!AA88)+2.4264)*1000,IF(AND('Temperature Profiles'!AA88&lt;-4.4,'Temperature Profiles'!AA88&gt;-8.5),(((-0.7516*'Temperature Profiles'!AA88)-2.9985)*1000)+EF$208,IF('Temperature Profiles'!AA88&lt;-8.5,EF192,0))))</f>
        <v>16000</v>
      </c>
      <c r="EG89" s="21"/>
      <c r="EH89" s="110">
        <v>0.875</v>
      </c>
      <c r="EI89" s="211"/>
      <c r="EJ89" s="110">
        <v>0.875</v>
      </c>
      <c r="EK89" s="211"/>
      <c r="EL89" s="110">
        <v>0.875</v>
      </c>
      <c r="EM89" s="211"/>
      <c r="EN89" s="21"/>
      <c r="EO89" s="110">
        <v>0.875</v>
      </c>
      <c r="EP89" s="211"/>
      <c r="EQ89" s="21"/>
      <c r="ER89" s="110">
        <v>0.875</v>
      </c>
      <c r="ES89" s="264"/>
      <c r="EU89" s="260">
        <v>0.875</v>
      </c>
      <c r="EV89" s="209">
        <f>IF('Temperature Profiles'!AA88&gt;18,(0.0018*('Temperature Profiles'!AA88^2)-(0.0475*'Temperature Profiles'!AA88)+0.3123)*1000,IF(AND('Temperature Profiles'!AA88&lt;17,'Temperature Profiles'!AA88&gt;-5.6),(0.0021*('Temperature Profiles'!AA88^2)-(0.0919*'Temperature Profiles'!AA88)+1.0491)*1000,IF(AND('Temperature Profiles'!AA88&lt;-5.6,'Temperature Profiles'!AA88&gt;-11.4),EV$208,IF('Temperature Profiles'!AA88&lt;-11.4,EV192,0))))</f>
        <v>1620</v>
      </c>
      <c r="EW89" s="110">
        <v>0.875</v>
      </c>
      <c r="EX89" s="209">
        <f>IF('Temperature Profiles'!AA88&gt;18,(0.0034*('Temperature Profiles'!AA88^2)-(0.087*'Temperature Profiles'!AA88)+0.5117)*1000,IF(AND('Temperature Profiles'!AA88&lt;17,'Temperature Profiles'!AA88&gt;-4.4),(0.0027*('Temperature Profiles'!AA88^2)-(0.149*'Temperature Profiles'!AA88)+1.7779)*1000,IF(AND('Temperature Profiles'!AA88&lt;-4.4,'Temperature Profiles'!AA88&gt;-8.5),EX$208,IF('Temperature Profiles'!AA88&lt;-8.5,EX192,0))))</f>
        <v>5400</v>
      </c>
      <c r="EY89" s="110">
        <v>0.875</v>
      </c>
      <c r="EZ89" s="264">
        <f>IF('Temperature Profiles'!AA88&gt;18,(0.0048*('Temperature Profiles'!AA88^2)-(0.1352*'Temperature Profiles'!AA88)+0.9193)*1000,IF(AND('Temperature Profiles'!AA88&lt;17,'Temperature Profiles'!AA88&gt;-4.4),(0.0031*('Temperature Profiles'!AA88^2)-(0.2029*'Temperature Profiles'!AA88)+2.4264)*1000,IF(AND('Temperature Profiles'!AA88&lt;-4.4,'Temperature Profiles'!AA88&gt;-8.5),EZ$208,IF('Temperature Profiles'!AA88&lt;-8.5,EZ192,0))))</f>
        <v>5400</v>
      </c>
    </row>
    <row r="90" spans="1:156" x14ac:dyDescent="0.3">
      <c r="A90" s="108">
        <v>0.875</v>
      </c>
      <c r="B90" s="226">
        <f t="shared" si="7"/>
        <v>0</v>
      </c>
      <c r="C90" s="21">
        <f t="shared" si="8"/>
        <v>0</v>
      </c>
      <c r="D90" s="21">
        <f t="shared" si="9"/>
        <v>16000</v>
      </c>
      <c r="E90" s="20">
        <f t="shared" si="10"/>
        <v>5400</v>
      </c>
      <c r="G90" s="260">
        <v>0.88541666666666696</v>
      </c>
      <c r="H90" s="211"/>
      <c r="I90" s="110">
        <v>0.88541666666666696</v>
      </c>
      <c r="J90" s="211"/>
      <c r="K90" s="110">
        <v>0.88541666666666696</v>
      </c>
      <c r="L90" s="211"/>
      <c r="M90" s="21"/>
      <c r="N90" s="110">
        <v>0.88541666666666696</v>
      </c>
      <c r="O90" s="209"/>
      <c r="P90" s="110">
        <v>0.88541666666666696</v>
      </c>
      <c r="Q90" s="209"/>
      <c r="R90" s="110">
        <v>0.88541666666666696</v>
      </c>
      <c r="S90" s="211"/>
      <c r="T90" s="21"/>
      <c r="U90" s="110">
        <v>0.88541666666666696</v>
      </c>
      <c r="V90" s="209"/>
      <c r="W90" s="110">
        <v>0.88541666666666696</v>
      </c>
      <c r="X90" s="209"/>
      <c r="Y90" s="110">
        <v>0.88541666666666696</v>
      </c>
      <c r="Z90" s="211"/>
      <c r="AA90" s="21"/>
      <c r="AB90" s="110">
        <v>0.88541666666666696</v>
      </c>
      <c r="AC90" s="209"/>
      <c r="AD90" s="110">
        <v>0.88541666666666696</v>
      </c>
      <c r="AE90" s="209"/>
      <c r="AF90" s="110">
        <v>0.88541666666666696</v>
      </c>
      <c r="AG90" s="211"/>
      <c r="AH90" s="21"/>
      <c r="AI90" s="110">
        <v>0.88541666666666696</v>
      </c>
      <c r="AJ90" s="209"/>
      <c r="AK90" s="110">
        <v>0.88541666666666696</v>
      </c>
      <c r="AL90" s="209"/>
      <c r="AM90" s="110">
        <v>0.88541666666666696</v>
      </c>
      <c r="AN90" s="211"/>
      <c r="AO90" s="21"/>
      <c r="AP90" s="110">
        <v>0.88541666666666696</v>
      </c>
      <c r="AQ90" s="209"/>
      <c r="AR90" s="110">
        <v>0.88541666666666696</v>
      </c>
      <c r="AS90" s="209"/>
      <c r="AT90" s="110">
        <v>0.88541666666666696</v>
      </c>
      <c r="AU90" s="211"/>
      <c r="AV90" s="21"/>
      <c r="AW90" s="110">
        <v>0.88541666666666696</v>
      </c>
      <c r="AX90" s="211"/>
      <c r="AY90" s="21"/>
      <c r="AZ90" s="110">
        <v>0.88541666666666696</v>
      </c>
      <c r="BA90" s="264"/>
      <c r="BC90" s="260">
        <v>0.88541666666666696</v>
      </c>
      <c r="BD90" s="211"/>
      <c r="BE90" s="110">
        <v>0.88541666666666696</v>
      </c>
      <c r="BF90" s="211"/>
      <c r="BG90" s="110">
        <v>0.88541666666666696</v>
      </c>
      <c r="BH90" s="211"/>
      <c r="BI90" s="21"/>
      <c r="BJ90" s="110">
        <v>0.88541666666666696</v>
      </c>
      <c r="BK90" s="209"/>
      <c r="BL90" s="110">
        <v>0.88541666666666696</v>
      </c>
      <c r="BM90" s="209"/>
      <c r="BN90" s="110">
        <v>0.88541666666666696</v>
      </c>
      <c r="BO90" s="211"/>
      <c r="BP90" s="21"/>
      <c r="BQ90" s="110">
        <v>0.88541666666666696</v>
      </c>
      <c r="BR90" s="209"/>
      <c r="BS90" s="110">
        <v>0.88541666666666696</v>
      </c>
      <c r="BT90" s="209"/>
      <c r="BU90" s="110">
        <v>0.88541666666666696</v>
      </c>
      <c r="BV90" s="211"/>
      <c r="BW90" s="21"/>
      <c r="BX90" s="110">
        <v>0.88541666666666696</v>
      </c>
      <c r="BY90" s="209"/>
      <c r="BZ90" s="110">
        <v>0.88541666666666696</v>
      </c>
      <c r="CA90" s="209"/>
      <c r="CB90" s="110">
        <v>0.88541666666666696</v>
      </c>
      <c r="CC90" s="211"/>
      <c r="CD90" s="21"/>
      <c r="CE90" s="110">
        <v>0.88541666666666696</v>
      </c>
      <c r="CF90" s="209"/>
      <c r="CG90" s="110">
        <v>0.88541666666666696</v>
      </c>
      <c r="CH90" s="209"/>
      <c r="CI90" s="110">
        <v>0.88541666666666696</v>
      </c>
      <c r="CJ90" s="211"/>
      <c r="CK90" s="21"/>
      <c r="CL90" s="110">
        <v>0.88541666666666696</v>
      </c>
      <c r="CM90" s="209"/>
      <c r="CN90" s="110">
        <v>0.88541666666666696</v>
      </c>
      <c r="CO90" s="209"/>
      <c r="CP90" s="110">
        <v>0.88541666666666696</v>
      </c>
      <c r="CQ90" s="211"/>
      <c r="CR90" s="21"/>
      <c r="CS90" s="110">
        <v>0.88541666666666696</v>
      </c>
      <c r="CT90" s="211"/>
      <c r="CU90" s="21"/>
      <c r="CV90" s="110">
        <v>0.88541666666666696</v>
      </c>
      <c r="CW90" s="264"/>
      <c r="CY90" s="260">
        <v>0.88541666666666696</v>
      </c>
      <c r="CZ90" s="178"/>
      <c r="DA90" s="110">
        <v>0.88541666666666696</v>
      </c>
      <c r="DB90" s="263"/>
      <c r="DC90" s="110">
        <v>0.88541666666666696</v>
      </c>
      <c r="DD90" s="211"/>
      <c r="DE90" s="21"/>
      <c r="DF90" s="110">
        <v>0.88541666666666696</v>
      </c>
      <c r="DG90" s="209"/>
      <c r="DH90" s="110">
        <v>0.88541666666666696</v>
      </c>
      <c r="DI90" s="209"/>
      <c r="DJ90" s="110">
        <v>0.88541666666666696</v>
      </c>
      <c r="DK90" s="211"/>
      <c r="DL90" s="21"/>
      <c r="DM90" s="110">
        <v>0.88541666666666696</v>
      </c>
      <c r="DN90" s="209"/>
      <c r="DO90" s="110">
        <v>0.88541666666666696</v>
      </c>
      <c r="DP90" s="209"/>
      <c r="DQ90" s="110">
        <v>0.88541666666666696</v>
      </c>
      <c r="DR90" s="211"/>
      <c r="DS90" s="21"/>
      <c r="DT90" s="110">
        <v>0.88541666666666696</v>
      </c>
      <c r="DU90" s="209"/>
      <c r="DV90" s="110">
        <v>0.88541666666666696</v>
      </c>
      <c r="DW90" s="209"/>
      <c r="DX90" s="110">
        <v>0.88541666666666696</v>
      </c>
      <c r="DY90" s="211"/>
      <c r="DZ90" s="21"/>
      <c r="EA90" s="110">
        <v>0.88541666666666696</v>
      </c>
      <c r="EB90" s="209">
        <f>IF('Temperature Profiles'!AA89&gt;18,(0.0018*('Temperature Profiles'!AA89^2)-(0.0475*'Temperature Profiles'!AA89)+0.3123)*1000,IF(AND('Temperature Profiles'!AA89&lt;17,'Temperature Profiles'!AA89&gt;-5.6),(0.0021*('Temperature Profiles'!AA89^2)-(0.0919*'Temperature Profiles'!AA89)+1.0491)*1000,IF(AND('Temperature Profiles'!AA89&lt;-5.6,'Temperature Profiles'!AA89&gt;-11.4),(((-0.2925*'Temperature Profiles'!AA89)-1.6914)*1000)+EB$208,IF('Temperature Profiles'!AA89&lt;-11.4,EB193,0))))</f>
        <v>3126.6</v>
      </c>
      <c r="EC90" s="110">
        <v>0.88541666666666696</v>
      </c>
      <c r="ED90" s="209">
        <f>IF('Temperature Profiles'!AA89&gt;18,(0.0034*('Temperature Profiles'!AA89^2)-(0.087*'Temperature Profiles'!AA89)+0.5117)*1000,IF(AND('Temperature Profiles'!AA89&lt;17,'Temperature Profiles'!AA89&gt;-4.4),(0.0027*('Temperature Profiles'!AA89^2)-(0.149*'Temperature Profiles'!AA89)+1.7779)*1000,IF(AND('Temperature Profiles'!AA89&lt;-4.4,'Temperature Profiles'!AA89&gt;-8.5),(((-0.5391*'Temperature Profiles'!AA89)-2.0906)*1000)+ED$208,IF('Temperature Profiles'!AA89&lt;-8.5,ED193,0))))</f>
        <v>0</v>
      </c>
      <c r="EE90" s="110">
        <v>0.88541666666666696</v>
      </c>
      <c r="EF90" s="211">
        <f>IF('Temperature Profiles'!AA89&gt;18,(0.0048*('Temperature Profiles'!AA89^2)-(0.1352*'Temperature Profiles'!AA89)+0.9193)*1000,IF(AND('Temperature Profiles'!AA89&lt;17,'Temperature Profiles'!AA89&gt;-4.4),(0.0031*('Temperature Profiles'!AA89^2)-(0.2029*'Temperature Profiles'!AA89)+2.4264)*1000,IF(AND('Temperature Profiles'!AA89&lt;-4.4,'Temperature Profiles'!AA89&gt;-8.5),(((-0.7516*'Temperature Profiles'!AA89)-2.9985)*1000)+EF$208,IF('Temperature Profiles'!AA89&lt;-8.5,EF193,0))))</f>
        <v>0</v>
      </c>
      <c r="EG90" s="21"/>
      <c r="EH90" s="110">
        <v>0.88541666666666696</v>
      </c>
      <c r="EI90" s="211"/>
      <c r="EJ90" s="110">
        <v>0.88541666666666696</v>
      </c>
      <c r="EK90" s="211"/>
      <c r="EL90" s="110">
        <v>0.88541666666666696</v>
      </c>
      <c r="EM90" s="211"/>
      <c r="EN90" s="21"/>
      <c r="EO90" s="110">
        <v>0.88541666666666696</v>
      </c>
      <c r="EP90" s="211"/>
      <c r="EQ90" s="21"/>
      <c r="ER90" s="110">
        <v>0.88541666666666696</v>
      </c>
      <c r="ES90" s="264"/>
      <c r="EU90" s="260">
        <v>0.88541666666666696</v>
      </c>
      <c r="EV90" s="209">
        <f>IF('Temperature Profiles'!AA89&gt;18,(0.0018*('Temperature Profiles'!AA89^2)-(0.0475*'Temperature Profiles'!AA89)+0.3123)*1000,IF(AND('Temperature Profiles'!AA89&lt;17,'Temperature Profiles'!AA89&gt;-5.6),(0.0021*('Temperature Profiles'!AA89^2)-(0.0919*'Temperature Profiles'!AA89)+1.0491)*1000,IF(AND('Temperature Profiles'!AA89&lt;-5.6,'Temperature Profiles'!AA89&gt;-11.4),EV$208,IF('Temperature Profiles'!AA89&lt;-11.4,EV193,0))))</f>
        <v>1620</v>
      </c>
      <c r="EW90" s="110">
        <v>0.88541666666666696</v>
      </c>
      <c r="EX90" s="209">
        <f>IF('Temperature Profiles'!AA89&gt;18,(0.0034*('Temperature Profiles'!AA89^2)-(0.087*'Temperature Profiles'!AA89)+0.5117)*1000,IF(AND('Temperature Profiles'!AA89&lt;17,'Temperature Profiles'!AA89&gt;-4.4),(0.0027*('Temperature Profiles'!AA89^2)-(0.149*'Temperature Profiles'!AA89)+1.7779)*1000,IF(AND('Temperature Profiles'!AA89&lt;-4.4,'Temperature Profiles'!AA89&gt;-8.5),EX$208,IF('Temperature Profiles'!AA89&lt;-8.5,EX193,0))))</f>
        <v>0</v>
      </c>
      <c r="EY90" s="110">
        <v>0.88541666666666696</v>
      </c>
      <c r="EZ90" s="264">
        <f>IF('Temperature Profiles'!AA89&gt;18,(0.0048*('Temperature Profiles'!AA89^2)-(0.1352*'Temperature Profiles'!AA89)+0.9193)*1000,IF(AND('Temperature Profiles'!AA89&lt;17,'Temperature Profiles'!AA89&gt;-4.4),(0.0031*('Temperature Profiles'!AA89^2)-(0.2029*'Temperature Profiles'!AA89)+2.4264)*1000,IF(AND('Temperature Profiles'!AA89&lt;-4.4,'Temperature Profiles'!AA89&gt;-8.5),EZ$208,IF('Temperature Profiles'!AA89&lt;-8.5,EZ193,0))))</f>
        <v>0</v>
      </c>
    </row>
    <row r="91" spans="1:156" x14ac:dyDescent="0.3">
      <c r="A91" s="108">
        <v>0.88541666666666696</v>
      </c>
      <c r="B91" s="226">
        <f t="shared" si="7"/>
        <v>0</v>
      </c>
      <c r="C91" s="21">
        <f t="shared" si="8"/>
        <v>0</v>
      </c>
      <c r="D91" s="21">
        <f t="shared" si="9"/>
        <v>0</v>
      </c>
      <c r="E91" s="20">
        <f t="shared" si="10"/>
        <v>0</v>
      </c>
      <c r="G91" s="260">
        <v>0.89583333333333304</v>
      </c>
      <c r="H91" s="211"/>
      <c r="I91" s="110">
        <v>0.89583333333333304</v>
      </c>
      <c r="J91" s="211"/>
      <c r="K91" s="110">
        <v>0.89583333333333304</v>
      </c>
      <c r="L91" s="211"/>
      <c r="M91" s="21"/>
      <c r="N91" s="110">
        <v>0.89583333333333304</v>
      </c>
      <c r="O91" s="209"/>
      <c r="P91" s="110">
        <v>0.89583333333333304</v>
      </c>
      <c r="Q91" s="209"/>
      <c r="R91" s="110">
        <v>0.89583333333333304</v>
      </c>
      <c r="S91" s="211"/>
      <c r="T91" s="21"/>
      <c r="U91" s="110">
        <v>0.89583333333333304</v>
      </c>
      <c r="V91" s="209"/>
      <c r="W91" s="110">
        <v>0.89583333333333304</v>
      </c>
      <c r="X91" s="209"/>
      <c r="Y91" s="110">
        <v>0.89583333333333304</v>
      </c>
      <c r="Z91" s="211"/>
      <c r="AA91" s="21"/>
      <c r="AB91" s="110">
        <v>0.89583333333333304</v>
      </c>
      <c r="AC91" s="209"/>
      <c r="AD91" s="110">
        <v>0.89583333333333304</v>
      </c>
      <c r="AE91" s="209"/>
      <c r="AF91" s="110">
        <v>0.89583333333333304</v>
      </c>
      <c r="AG91" s="211"/>
      <c r="AH91" s="21"/>
      <c r="AI91" s="110">
        <v>0.89583333333333304</v>
      </c>
      <c r="AJ91" s="209"/>
      <c r="AK91" s="110">
        <v>0.89583333333333304</v>
      </c>
      <c r="AL91" s="209"/>
      <c r="AM91" s="110">
        <v>0.89583333333333304</v>
      </c>
      <c r="AN91" s="211"/>
      <c r="AO91" s="21"/>
      <c r="AP91" s="110">
        <v>0.89583333333333304</v>
      </c>
      <c r="AQ91" s="209"/>
      <c r="AR91" s="110">
        <v>0.89583333333333304</v>
      </c>
      <c r="AS91" s="209"/>
      <c r="AT91" s="110">
        <v>0.89583333333333304</v>
      </c>
      <c r="AU91" s="211"/>
      <c r="AV91" s="21"/>
      <c r="AW91" s="110">
        <v>0.89583333333333304</v>
      </c>
      <c r="AX91" s="211"/>
      <c r="AY91" s="21"/>
      <c r="AZ91" s="110">
        <v>0.89583333333333304</v>
      </c>
      <c r="BA91" s="264"/>
      <c r="BC91" s="260">
        <v>0.89583333333333304</v>
      </c>
      <c r="BD91" s="211"/>
      <c r="BE91" s="110">
        <v>0.89583333333333304</v>
      </c>
      <c r="BF91" s="211"/>
      <c r="BG91" s="110">
        <v>0.89583333333333304</v>
      </c>
      <c r="BH91" s="211"/>
      <c r="BI91" s="21"/>
      <c r="BJ91" s="110">
        <v>0.89583333333333304</v>
      </c>
      <c r="BK91" s="209"/>
      <c r="BL91" s="110">
        <v>0.89583333333333304</v>
      </c>
      <c r="BM91" s="209"/>
      <c r="BN91" s="110">
        <v>0.89583333333333304</v>
      </c>
      <c r="BO91" s="211"/>
      <c r="BP91" s="21"/>
      <c r="BQ91" s="110">
        <v>0.89583333333333304</v>
      </c>
      <c r="BR91" s="209"/>
      <c r="BS91" s="110">
        <v>0.89583333333333304</v>
      </c>
      <c r="BT91" s="209"/>
      <c r="BU91" s="110">
        <v>0.89583333333333304</v>
      </c>
      <c r="BV91" s="211"/>
      <c r="BW91" s="21"/>
      <c r="BX91" s="110">
        <v>0.89583333333333304</v>
      </c>
      <c r="BY91" s="209"/>
      <c r="BZ91" s="110">
        <v>0.89583333333333304</v>
      </c>
      <c r="CA91" s="209"/>
      <c r="CB91" s="110">
        <v>0.89583333333333304</v>
      </c>
      <c r="CC91" s="211"/>
      <c r="CD91" s="21"/>
      <c r="CE91" s="110">
        <v>0.89583333333333304</v>
      </c>
      <c r="CF91" s="209"/>
      <c r="CG91" s="110">
        <v>0.89583333333333304</v>
      </c>
      <c r="CH91" s="209"/>
      <c r="CI91" s="110">
        <v>0.89583333333333304</v>
      </c>
      <c r="CJ91" s="211"/>
      <c r="CK91" s="21"/>
      <c r="CL91" s="110">
        <v>0.89583333333333304</v>
      </c>
      <c r="CM91" s="209"/>
      <c r="CN91" s="110">
        <v>0.89583333333333304</v>
      </c>
      <c r="CO91" s="209"/>
      <c r="CP91" s="110">
        <v>0.89583333333333304</v>
      </c>
      <c r="CQ91" s="211"/>
      <c r="CR91" s="21"/>
      <c r="CS91" s="110">
        <v>0.89583333333333304</v>
      </c>
      <c r="CT91" s="211"/>
      <c r="CU91" s="21"/>
      <c r="CV91" s="110">
        <v>0.89583333333333304</v>
      </c>
      <c r="CW91" s="264"/>
      <c r="CY91" s="260">
        <v>0.89583333333333304</v>
      </c>
      <c r="CZ91" s="178"/>
      <c r="DA91" s="110">
        <v>0.89583333333333304</v>
      </c>
      <c r="DB91" s="263"/>
      <c r="DC91" s="110">
        <v>0.89583333333333304</v>
      </c>
      <c r="DD91" s="211"/>
      <c r="DE91" s="21"/>
      <c r="DF91" s="110">
        <v>0.89583333333333304</v>
      </c>
      <c r="DG91" s="209"/>
      <c r="DH91" s="110">
        <v>0.89583333333333304</v>
      </c>
      <c r="DI91" s="209"/>
      <c r="DJ91" s="110">
        <v>0.89583333333333304</v>
      </c>
      <c r="DK91" s="211"/>
      <c r="DL91" s="21"/>
      <c r="DM91" s="110">
        <v>0.89583333333333304</v>
      </c>
      <c r="DN91" s="209"/>
      <c r="DO91" s="110">
        <v>0.89583333333333304</v>
      </c>
      <c r="DP91" s="209"/>
      <c r="DQ91" s="110">
        <v>0.89583333333333304</v>
      </c>
      <c r="DR91" s="211"/>
      <c r="DS91" s="21"/>
      <c r="DT91" s="110">
        <v>0.89583333333333304</v>
      </c>
      <c r="DU91" s="209"/>
      <c r="DV91" s="110">
        <v>0.89583333333333304</v>
      </c>
      <c r="DW91" s="209"/>
      <c r="DX91" s="110">
        <v>0.89583333333333304</v>
      </c>
      <c r="DY91" s="211"/>
      <c r="DZ91" s="21"/>
      <c r="EA91" s="110">
        <v>0.89583333333333304</v>
      </c>
      <c r="EB91" s="209">
        <f>IF('Temperature Profiles'!AA90&gt;18,(0.0018*('Temperature Profiles'!AA90^2)-(0.0475*'Temperature Profiles'!AA90)+0.3123)*1000,IF(AND('Temperature Profiles'!AA90&lt;17,'Temperature Profiles'!AA90&gt;-5.6),(0.0021*('Temperature Profiles'!AA90^2)-(0.0919*'Temperature Profiles'!AA90)+1.0491)*1000,IF(AND('Temperature Profiles'!AA90&lt;-5.6,'Temperature Profiles'!AA90&gt;-11.4),(((-0.2925*'Temperature Profiles'!AA90)-1.6914)*1000)+EB$208,IF('Temperature Profiles'!AA90&lt;-11.4,EB194,0))))</f>
        <v>3126.6</v>
      </c>
      <c r="EC91" s="110">
        <v>0.89583333333333304</v>
      </c>
      <c r="ED91" s="209">
        <f>IF('Temperature Profiles'!AA90&gt;18,(0.0034*('Temperature Profiles'!AA90^2)-(0.087*'Temperature Profiles'!AA90)+0.5117)*1000,IF(AND('Temperature Profiles'!AA90&lt;17,'Temperature Profiles'!AA90&gt;-4.4),(0.0027*('Temperature Profiles'!AA90^2)-(0.149*'Temperature Profiles'!AA90)+1.7779)*1000,IF(AND('Temperature Profiles'!AA90&lt;-4.4,'Temperature Profiles'!AA90&gt;-8.5),(((-0.5391*'Temperature Profiles'!AA90)-2.0906)*1000)+ED$208,IF('Temperature Profiles'!AA90&lt;-8.5,ED194,0))))</f>
        <v>0</v>
      </c>
      <c r="EE91" s="110">
        <v>0.89583333333333304</v>
      </c>
      <c r="EF91" s="211">
        <f>IF('Temperature Profiles'!AA90&gt;18,(0.0048*('Temperature Profiles'!AA90^2)-(0.1352*'Temperature Profiles'!AA90)+0.9193)*1000,IF(AND('Temperature Profiles'!AA90&lt;17,'Temperature Profiles'!AA90&gt;-4.4),(0.0031*('Temperature Profiles'!AA90^2)-(0.2029*'Temperature Profiles'!AA90)+2.4264)*1000,IF(AND('Temperature Profiles'!AA90&lt;-4.4,'Temperature Profiles'!AA90&gt;-8.5),(((-0.7516*'Temperature Profiles'!AA90)-2.9985)*1000)+EF$208,IF('Temperature Profiles'!AA90&lt;-8.5,EF194,0))))</f>
        <v>0</v>
      </c>
      <c r="EG91" s="21"/>
      <c r="EH91" s="110">
        <v>0.89583333333333304</v>
      </c>
      <c r="EI91" s="211"/>
      <c r="EJ91" s="110">
        <v>0.89583333333333304</v>
      </c>
      <c r="EK91" s="211"/>
      <c r="EL91" s="110">
        <v>0.89583333333333304</v>
      </c>
      <c r="EM91" s="211"/>
      <c r="EN91" s="21"/>
      <c r="EO91" s="110">
        <v>0.89583333333333304</v>
      </c>
      <c r="EP91" s="211"/>
      <c r="EQ91" s="21"/>
      <c r="ER91" s="110">
        <v>0.89583333333333304</v>
      </c>
      <c r="ES91" s="264"/>
      <c r="EU91" s="260">
        <v>0.89583333333333304</v>
      </c>
      <c r="EV91" s="209">
        <f>IF('Temperature Profiles'!AA90&gt;18,(0.0018*('Temperature Profiles'!AA90^2)-(0.0475*'Temperature Profiles'!AA90)+0.3123)*1000,IF(AND('Temperature Profiles'!AA90&lt;17,'Temperature Profiles'!AA90&gt;-5.6),(0.0021*('Temperature Profiles'!AA90^2)-(0.0919*'Temperature Profiles'!AA90)+1.0491)*1000,IF(AND('Temperature Profiles'!AA90&lt;-5.6,'Temperature Profiles'!AA90&gt;-11.4),EV$208,IF('Temperature Profiles'!AA90&lt;-11.4,EV194,0))))</f>
        <v>1620</v>
      </c>
      <c r="EW91" s="110">
        <v>0.89583333333333304</v>
      </c>
      <c r="EX91" s="209">
        <f>IF('Temperature Profiles'!AA90&gt;18,(0.0034*('Temperature Profiles'!AA90^2)-(0.087*'Temperature Profiles'!AA90)+0.5117)*1000,IF(AND('Temperature Profiles'!AA90&lt;17,'Temperature Profiles'!AA90&gt;-4.4),(0.0027*('Temperature Profiles'!AA90^2)-(0.149*'Temperature Profiles'!AA90)+1.7779)*1000,IF(AND('Temperature Profiles'!AA90&lt;-4.4,'Temperature Profiles'!AA90&gt;-8.5),EX$208,IF('Temperature Profiles'!AA90&lt;-8.5,EX194,0))))</f>
        <v>0</v>
      </c>
      <c r="EY91" s="110">
        <v>0.89583333333333304</v>
      </c>
      <c r="EZ91" s="264">
        <f>IF('Temperature Profiles'!AA90&gt;18,(0.0048*('Temperature Profiles'!AA90^2)-(0.1352*'Temperature Profiles'!AA90)+0.9193)*1000,IF(AND('Temperature Profiles'!AA90&lt;17,'Temperature Profiles'!AA90&gt;-4.4),(0.0031*('Temperature Profiles'!AA90^2)-(0.2029*'Temperature Profiles'!AA90)+2.4264)*1000,IF(AND('Temperature Profiles'!AA90&lt;-4.4,'Temperature Profiles'!AA90&gt;-8.5),EZ$208,IF('Temperature Profiles'!AA90&lt;-8.5,EZ194,0))))</f>
        <v>0</v>
      </c>
    </row>
    <row r="92" spans="1:156" x14ac:dyDescent="0.3">
      <c r="A92" s="108">
        <v>0.89583333333333304</v>
      </c>
      <c r="B92" s="226">
        <f t="shared" si="7"/>
        <v>0</v>
      </c>
      <c r="C92" s="21">
        <f t="shared" si="8"/>
        <v>0</v>
      </c>
      <c r="D92" s="21">
        <f t="shared" si="9"/>
        <v>0</v>
      </c>
      <c r="E92" s="20">
        <f t="shared" si="10"/>
        <v>0</v>
      </c>
      <c r="G92" s="260">
        <v>0.90625</v>
      </c>
      <c r="H92" s="211"/>
      <c r="I92" s="110">
        <v>0.90625</v>
      </c>
      <c r="J92" s="211"/>
      <c r="K92" s="110">
        <v>0.90625</v>
      </c>
      <c r="L92" s="211"/>
      <c r="M92" s="21"/>
      <c r="N92" s="110">
        <v>0.90625</v>
      </c>
      <c r="O92" s="209"/>
      <c r="P92" s="110">
        <v>0.90625</v>
      </c>
      <c r="Q92" s="209"/>
      <c r="R92" s="110">
        <v>0.90625</v>
      </c>
      <c r="S92" s="211"/>
      <c r="T92" s="21"/>
      <c r="U92" s="110">
        <v>0.90625</v>
      </c>
      <c r="V92" s="209"/>
      <c r="W92" s="110">
        <v>0.90625</v>
      </c>
      <c r="X92" s="209"/>
      <c r="Y92" s="110">
        <v>0.90625</v>
      </c>
      <c r="Z92" s="211"/>
      <c r="AA92" s="21"/>
      <c r="AB92" s="110">
        <v>0.90625</v>
      </c>
      <c r="AC92" s="209"/>
      <c r="AD92" s="110">
        <v>0.90625</v>
      </c>
      <c r="AE92" s="209"/>
      <c r="AF92" s="110">
        <v>0.90625</v>
      </c>
      <c r="AG92" s="211"/>
      <c r="AH92" s="21"/>
      <c r="AI92" s="110">
        <v>0.90625</v>
      </c>
      <c r="AJ92" s="209"/>
      <c r="AK92" s="110">
        <v>0.90625</v>
      </c>
      <c r="AL92" s="209"/>
      <c r="AM92" s="110">
        <v>0.90625</v>
      </c>
      <c r="AN92" s="211"/>
      <c r="AO92" s="21"/>
      <c r="AP92" s="110">
        <v>0.90625</v>
      </c>
      <c r="AQ92" s="209"/>
      <c r="AR92" s="110">
        <v>0.90625</v>
      </c>
      <c r="AS92" s="209"/>
      <c r="AT92" s="110">
        <v>0.90625</v>
      </c>
      <c r="AU92" s="211"/>
      <c r="AV92" s="21"/>
      <c r="AW92" s="110">
        <v>0.90625</v>
      </c>
      <c r="AX92" s="211"/>
      <c r="AY92" s="21"/>
      <c r="AZ92" s="110">
        <v>0.90625</v>
      </c>
      <c r="BA92" s="264"/>
      <c r="BC92" s="260">
        <v>0.90625</v>
      </c>
      <c r="BD92" s="211"/>
      <c r="BE92" s="110">
        <v>0.90625</v>
      </c>
      <c r="BF92" s="211"/>
      <c r="BG92" s="110">
        <v>0.90625</v>
      </c>
      <c r="BH92" s="211"/>
      <c r="BI92" s="21"/>
      <c r="BJ92" s="110">
        <v>0.90625</v>
      </c>
      <c r="BK92" s="209"/>
      <c r="BL92" s="110">
        <v>0.90625</v>
      </c>
      <c r="BM92" s="209"/>
      <c r="BN92" s="110">
        <v>0.90625</v>
      </c>
      <c r="BO92" s="211"/>
      <c r="BP92" s="21"/>
      <c r="BQ92" s="110">
        <v>0.90625</v>
      </c>
      <c r="BR92" s="209"/>
      <c r="BS92" s="110">
        <v>0.90625</v>
      </c>
      <c r="BT92" s="209"/>
      <c r="BU92" s="110">
        <v>0.90625</v>
      </c>
      <c r="BV92" s="211"/>
      <c r="BW92" s="21"/>
      <c r="BX92" s="110">
        <v>0.90625</v>
      </c>
      <c r="BY92" s="209"/>
      <c r="BZ92" s="110">
        <v>0.90625</v>
      </c>
      <c r="CA92" s="209"/>
      <c r="CB92" s="110">
        <v>0.90625</v>
      </c>
      <c r="CC92" s="211"/>
      <c r="CD92" s="21"/>
      <c r="CE92" s="110">
        <v>0.90625</v>
      </c>
      <c r="CF92" s="209"/>
      <c r="CG92" s="110">
        <v>0.90625</v>
      </c>
      <c r="CH92" s="209"/>
      <c r="CI92" s="110">
        <v>0.90625</v>
      </c>
      <c r="CJ92" s="211"/>
      <c r="CK92" s="21"/>
      <c r="CL92" s="110">
        <v>0.90625</v>
      </c>
      <c r="CM92" s="209"/>
      <c r="CN92" s="110">
        <v>0.90625</v>
      </c>
      <c r="CO92" s="209"/>
      <c r="CP92" s="110">
        <v>0.90625</v>
      </c>
      <c r="CQ92" s="211"/>
      <c r="CR92" s="21"/>
      <c r="CS92" s="110">
        <v>0.90625</v>
      </c>
      <c r="CT92" s="211"/>
      <c r="CU92" s="21"/>
      <c r="CV92" s="110">
        <v>0.90625</v>
      </c>
      <c r="CW92" s="264"/>
      <c r="CY92" s="260">
        <v>0.90625</v>
      </c>
      <c r="CZ92" s="178"/>
      <c r="DA92" s="110">
        <v>0.90625</v>
      </c>
      <c r="DB92" s="263"/>
      <c r="DC92" s="110">
        <v>0.90625</v>
      </c>
      <c r="DD92" s="211"/>
      <c r="DE92" s="21"/>
      <c r="DF92" s="110">
        <v>0.90625</v>
      </c>
      <c r="DG92" s="209"/>
      <c r="DH92" s="110">
        <v>0.90625</v>
      </c>
      <c r="DI92" s="209"/>
      <c r="DJ92" s="110">
        <v>0.90625</v>
      </c>
      <c r="DK92" s="211"/>
      <c r="DL92" s="21"/>
      <c r="DM92" s="110">
        <v>0.90625</v>
      </c>
      <c r="DN92" s="209"/>
      <c r="DO92" s="110">
        <v>0.90625</v>
      </c>
      <c r="DP92" s="209"/>
      <c r="DQ92" s="110">
        <v>0.90625</v>
      </c>
      <c r="DR92" s="211"/>
      <c r="DS92" s="21"/>
      <c r="DT92" s="110">
        <v>0.90625</v>
      </c>
      <c r="DU92" s="209"/>
      <c r="DV92" s="110">
        <v>0.90625</v>
      </c>
      <c r="DW92" s="209"/>
      <c r="DX92" s="110">
        <v>0.90625</v>
      </c>
      <c r="DY92" s="211"/>
      <c r="DZ92" s="21"/>
      <c r="EA92" s="110">
        <v>0.90625</v>
      </c>
      <c r="EB92" s="209">
        <f>IF('Temperature Profiles'!AA91&gt;18,(0.0018*('Temperature Profiles'!AA91^2)-(0.0475*'Temperature Profiles'!AA91)+0.3123)*1000,IF(AND('Temperature Profiles'!AA91&lt;17,'Temperature Profiles'!AA91&gt;-5.6),(0.0021*('Temperature Profiles'!AA91^2)-(0.0919*'Temperature Profiles'!AA91)+1.0491)*1000,IF(AND('Temperature Profiles'!AA91&lt;-5.6,'Temperature Profiles'!AA91&gt;-11.4),(((-0.2925*'Temperature Profiles'!AA91)-1.6914)*1000)+EB$208,IF('Temperature Profiles'!AA91&lt;-11.4,EB195,0))))</f>
        <v>3126.6</v>
      </c>
      <c r="EC92" s="110">
        <v>0.90625</v>
      </c>
      <c r="ED92" s="209">
        <f>IF('Temperature Profiles'!AA91&gt;18,(0.0034*('Temperature Profiles'!AA91^2)-(0.087*'Temperature Profiles'!AA91)+0.5117)*1000,IF(AND('Temperature Profiles'!AA91&lt;17,'Temperature Profiles'!AA91&gt;-4.4),(0.0027*('Temperature Profiles'!AA91^2)-(0.149*'Temperature Profiles'!AA91)+1.7779)*1000,IF(AND('Temperature Profiles'!AA91&lt;-4.4,'Temperature Profiles'!AA91&gt;-8.5),(((-0.5391*'Temperature Profiles'!AA91)-2.0906)*1000)+ED$208,IF('Temperature Profiles'!AA91&lt;-8.5,ED195,0))))</f>
        <v>0</v>
      </c>
      <c r="EE92" s="110">
        <v>0.90625</v>
      </c>
      <c r="EF92" s="211">
        <f>IF('Temperature Profiles'!AA91&gt;18,(0.0048*('Temperature Profiles'!AA91^2)-(0.1352*'Temperature Profiles'!AA91)+0.9193)*1000,IF(AND('Temperature Profiles'!AA91&lt;17,'Temperature Profiles'!AA91&gt;-4.4),(0.0031*('Temperature Profiles'!AA91^2)-(0.2029*'Temperature Profiles'!AA91)+2.4264)*1000,IF(AND('Temperature Profiles'!AA91&lt;-4.4,'Temperature Profiles'!AA91&gt;-8.5),(((-0.7516*'Temperature Profiles'!AA91)-2.9985)*1000)+EF$208,IF('Temperature Profiles'!AA91&lt;-8.5,EF195,0))))</f>
        <v>0</v>
      </c>
      <c r="EG92" s="21"/>
      <c r="EH92" s="110">
        <v>0.90625</v>
      </c>
      <c r="EI92" s="211"/>
      <c r="EJ92" s="110">
        <v>0.90625</v>
      </c>
      <c r="EK92" s="211"/>
      <c r="EL92" s="110">
        <v>0.90625</v>
      </c>
      <c r="EM92" s="211"/>
      <c r="EN92" s="21"/>
      <c r="EO92" s="110">
        <v>0.90625</v>
      </c>
      <c r="EP92" s="211"/>
      <c r="EQ92" s="21"/>
      <c r="ER92" s="110">
        <v>0.90625</v>
      </c>
      <c r="ES92" s="264"/>
      <c r="EU92" s="260">
        <v>0.90625</v>
      </c>
      <c r="EV92" s="209">
        <f>IF('Temperature Profiles'!AA91&gt;18,(0.0018*('Temperature Profiles'!AA91^2)-(0.0475*'Temperature Profiles'!AA91)+0.3123)*1000,IF(AND('Temperature Profiles'!AA91&lt;17,'Temperature Profiles'!AA91&gt;-5.6),(0.0021*('Temperature Profiles'!AA91^2)-(0.0919*'Temperature Profiles'!AA91)+1.0491)*1000,IF(AND('Temperature Profiles'!AA91&lt;-5.6,'Temperature Profiles'!AA91&gt;-11.4),EV$208,IF('Temperature Profiles'!AA91&lt;-11.4,EV195,0))))</f>
        <v>1620</v>
      </c>
      <c r="EW92" s="110">
        <v>0.90625</v>
      </c>
      <c r="EX92" s="209">
        <f>IF('Temperature Profiles'!AA91&gt;18,(0.0034*('Temperature Profiles'!AA91^2)-(0.087*'Temperature Profiles'!AA91)+0.5117)*1000,IF(AND('Temperature Profiles'!AA91&lt;17,'Temperature Profiles'!AA91&gt;-4.4),(0.0027*('Temperature Profiles'!AA91^2)-(0.149*'Temperature Profiles'!AA91)+1.7779)*1000,IF(AND('Temperature Profiles'!AA91&lt;-4.4,'Temperature Profiles'!AA91&gt;-8.5),EX$208,IF('Temperature Profiles'!AA91&lt;-8.5,EX195,0))))</f>
        <v>0</v>
      </c>
      <c r="EY92" s="110">
        <v>0.90625</v>
      </c>
      <c r="EZ92" s="264">
        <f>IF('Temperature Profiles'!AA91&gt;18,(0.0048*('Temperature Profiles'!AA91^2)-(0.1352*'Temperature Profiles'!AA91)+0.9193)*1000,IF(AND('Temperature Profiles'!AA91&lt;17,'Temperature Profiles'!AA91&gt;-4.4),(0.0031*('Temperature Profiles'!AA91^2)-(0.2029*'Temperature Profiles'!AA91)+2.4264)*1000,IF(AND('Temperature Profiles'!AA91&lt;-4.4,'Temperature Profiles'!AA91&gt;-8.5),EZ$208,IF('Temperature Profiles'!AA91&lt;-8.5,EZ195,0))))</f>
        <v>0</v>
      </c>
    </row>
    <row r="93" spans="1:156" x14ac:dyDescent="0.3">
      <c r="A93" s="108">
        <v>0.90625</v>
      </c>
      <c r="B93" s="226">
        <f t="shared" si="7"/>
        <v>0</v>
      </c>
      <c r="C93" s="21">
        <f t="shared" si="8"/>
        <v>0</v>
      </c>
      <c r="D93" s="21">
        <f t="shared" si="9"/>
        <v>0</v>
      </c>
      <c r="E93" s="20">
        <f t="shared" si="10"/>
        <v>0</v>
      </c>
      <c r="G93" s="260">
        <v>0.91666666666666696</v>
      </c>
      <c r="H93" s="211"/>
      <c r="I93" s="110">
        <v>0.91666666666666696</v>
      </c>
      <c r="J93" s="211"/>
      <c r="K93" s="110">
        <v>0.91666666666666696</v>
      </c>
      <c r="L93" s="211"/>
      <c r="M93" s="21"/>
      <c r="N93" s="110">
        <v>0.91666666666666696</v>
      </c>
      <c r="O93" s="209"/>
      <c r="P93" s="110">
        <v>0.91666666666666696</v>
      </c>
      <c r="Q93" s="209"/>
      <c r="R93" s="110">
        <v>0.91666666666666696</v>
      </c>
      <c r="S93" s="211"/>
      <c r="T93" s="21"/>
      <c r="U93" s="110">
        <v>0.91666666666666696</v>
      </c>
      <c r="V93" s="209"/>
      <c r="W93" s="110">
        <v>0.91666666666666696</v>
      </c>
      <c r="X93" s="209"/>
      <c r="Y93" s="110">
        <v>0.91666666666666696</v>
      </c>
      <c r="Z93" s="211"/>
      <c r="AA93" s="21"/>
      <c r="AB93" s="110">
        <v>0.91666666666666696</v>
      </c>
      <c r="AC93" s="209"/>
      <c r="AD93" s="110">
        <v>0.91666666666666696</v>
      </c>
      <c r="AE93" s="209"/>
      <c r="AF93" s="110">
        <v>0.91666666666666696</v>
      </c>
      <c r="AG93" s="211"/>
      <c r="AH93" s="21"/>
      <c r="AI93" s="110">
        <v>0.91666666666666696</v>
      </c>
      <c r="AJ93" s="209"/>
      <c r="AK93" s="110">
        <v>0.91666666666666696</v>
      </c>
      <c r="AL93" s="209"/>
      <c r="AM93" s="110">
        <v>0.91666666666666696</v>
      </c>
      <c r="AN93" s="211"/>
      <c r="AO93" s="21"/>
      <c r="AP93" s="110">
        <v>0.91666666666666696</v>
      </c>
      <c r="AQ93" s="209"/>
      <c r="AR93" s="110">
        <v>0.91666666666666696</v>
      </c>
      <c r="AS93" s="209"/>
      <c r="AT93" s="110">
        <v>0.91666666666666696</v>
      </c>
      <c r="AU93" s="211"/>
      <c r="AV93" s="21"/>
      <c r="AW93" s="110">
        <v>0.91666666666666696</v>
      </c>
      <c r="AX93" s="211"/>
      <c r="AY93" s="21"/>
      <c r="AZ93" s="110">
        <v>0.91666666666666696</v>
      </c>
      <c r="BA93" s="264"/>
      <c r="BC93" s="260">
        <v>0.91666666666666696</v>
      </c>
      <c r="BD93" s="211"/>
      <c r="BE93" s="110">
        <v>0.91666666666666696</v>
      </c>
      <c r="BF93" s="211"/>
      <c r="BG93" s="110">
        <v>0.91666666666666696</v>
      </c>
      <c r="BH93" s="211"/>
      <c r="BI93" s="21"/>
      <c r="BJ93" s="110">
        <v>0.91666666666666696</v>
      </c>
      <c r="BK93" s="209"/>
      <c r="BL93" s="110">
        <v>0.91666666666666696</v>
      </c>
      <c r="BM93" s="209"/>
      <c r="BN93" s="110">
        <v>0.91666666666666696</v>
      </c>
      <c r="BO93" s="211"/>
      <c r="BP93" s="21"/>
      <c r="BQ93" s="110">
        <v>0.91666666666666696</v>
      </c>
      <c r="BR93" s="209"/>
      <c r="BS93" s="110">
        <v>0.91666666666666696</v>
      </c>
      <c r="BT93" s="209"/>
      <c r="BU93" s="110">
        <v>0.91666666666666696</v>
      </c>
      <c r="BV93" s="211"/>
      <c r="BW93" s="21"/>
      <c r="BX93" s="110">
        <v>0.91666666666666696</v>
      </c>
      <c r="BY93" s="209"/>
      <c r="BZ93" s="110">
        <v>0.91666666666666696</v>
      </c>
      <c r="CA93" s="209"/>
      <c r="CB93" s="110">
        <v>0.91666666666666696</v>
      </c>
      <c r="CC93" s="211"/>
      <c r="CD93" s="21"/>
      <c r="CE93" s="110">
        <v>0.91666666666666696</v>
      </c>
      <c r="CF93" s="209"/>
      <c r="CG93" s="110">
        <v>0.91666666666666696</v>
      </c>
      <c r="CH93" s="209"/>
      <c r="CI93" s="110">
        <v>0.91666666666666696</v>
      </c>
      <c r="CJ93" s="211"/>
      <c r="CK93" s="21"/>
      <c r="CL93" s="110">
        <v>0.91666666666666696</v>
      </c>
      <c r="CM93" s="209"/>
      <c r="CN93" s="110">
        <v>0.91666666666666696</v>
      </c>
      <c r="CO93" s="209"/>
      <c r="CP93" s="110">
        <v>0.91666666666666696</v>
      </c>
      <c r="CQ93" s="211"/>
      <c r="CR93" s="21"/>
      <c r="CS93" s="110">
        <v>0.91666666666666696</v>
      </c>
      <c r="CT93" s="211"/>
      <c r="CU93" s="21"/>
      <c r="CV93" s="110">
        <v>0.91666666666666696</v>
      </c>
      <c r="CW93" s="264"/>
      <c r="CY93" s="260">
        <v>0.91666666666666696</v>
      </c>
      <c r="CZ93" s="178"/>
      <c r="DA93" s="110">
        <v>0.91666666666666696</v>
      </c>
      <c r="DB93" s="263"/>
      <c r="DC93" s="110">
        <v>0.91666666666666696</v>
      </c>
      <c r="DD93" s="211"/>
      <c r="DE93" s="21"/>
      <c r="DF93" s="110">
        <v>0.91666666666666696</v>
      </c>
      <c r="DG93" s="209"/>
      <c r="DH93" s="110">
        <v>0.91666666666666696</v>
      </c>
      <c r="DI93" s="209"/>
      <c r="DJ93" s="110">
        <v>0.91666666666666696</v>
      </c>
      <c r="DK93" s="211"/>
      <c r="DL93" s="21"/>
      <c r="DM93" s="110">
        <v>0.91666666666666696</v>
      </c>
      <c r="DN93" s="209"/>
      <c r="DO93" s="110">
        <v>0.91666666666666696</v>
      </c>
      <c r="DP93" s="209"/>
      <c r="DQ93" s="110">
        <v>0.91666666666666696</v>
      </c>
      <c r="DR93" s="211"/>
      <c r="DS93" s="21"/>
      <c r="DT93" s="110">
        <v>0.91666666666666696</v>
      </c>
      <c r="DU93" s="209"/>
      <c r="DV93" s="110">
        <v>0.91666666666666696</v>
      </c>
      <c r="DW93" s="209"/>
      <c r="DX93" s="110">
        <v>0.91666666666666696</v>
      </c>
      <c r="DY93" s="211"/>
      <c r="DZ93" s="21"/>
      <c r="EA93" s="110">
        <v>0.91666666666666696</v>
      </c>
      <c r="EB93" s="209">
        <f>IF('Temperature Profiles'!AA92&gt;18,(0.0018*('Temperature Profiles'!AA92^2)-(0.0475*'Temperature Profiles'!AA92)+0.3123)*1000,IF(AND('Temperature Profiles'!AA92&lt;17,'Temperature Profiles'!AA92&gt;-5.6),(0.0021*('Temperature Profiles'!AA92^2)-(0.0919*'Temperature Profiles'!AA92)+1.0491)*1000,IF(AND('Temperature Profiles'!AA92&lt;-5.6,'Temperature Profiles'!AA92&gt;-11.4),(((-0.2925*'Temperature Profiles'!AA92)-1.6914)*1000)+EB$208,IF('Temperature Profiles'!AA92&lt;-11.4,EB196,0))))</f>
        <v>3192.4125000000004</v>
      </c>
      <c r="EC93" s="110">
        <v>0.91666666666666696</v>
      </c>
      <c r="ED93" s="209">
        <f>IF('Temperature Profiles'!AA92&gt;18,(0.0034*('Temperature Profiles'!AA92^2)-(0.087*'Temperature Profiles'!AA92)+0.5117)*1000,IF(AND('Temperature Profiles'!AA92&lt;17,'Temperature Profiles'!AA92&gt;-4.4),(0.0027*('Temperature Profiles'!AA92^2)-(0.149*'Temperature Profiles'!AA92)+1.7779)*1000,IF(AND('Temperature Profiles'!AA92&lt;-4.4,'Temperature Profiles'!AA92&gt;-8.5),(((-0.5391*'Temperature Profiles'!AA92)-2.0906)*1000)+ED$208,IF('Temperature Profiles'!AA92&lt;-8.5,ED196,0))))</f>
        <v>12300</v>
      </c>
      <c r="EE93" s="110">
        <v>0.91666666666666696</v>
      </c>
      <c r="EF93" s="211">
        <f>IF('Temperature Profiles'!AA92&gt;18,(0.0048*('Temperature Profiles'!AA92^2)-(0.1352*'Temperature Profiles'!AA92)+0.9193)*1000,IF(AND('Temperature Profiles'!AA92&lt;17,'Temperature Profiles'!AA92&gt;-4.4),(0.0031*('Temperature Profiles'!AA92^2)-(0.2029*'Temperature Profiles'!AA92)+2.4264)*1000,IF(AND('Temperature Profiles'!AA92&lt;-4.4,'Temperature Profiles'!AA92&gt;-8.5),(((-0.7516*'Temperature Profiles'!AA92)-2.9985)*1000)+EF$208,IF('Temperature Profiles'!AA92&lt;-8.5,EF196,0))))</f>
        <v>16000</v>
      </c>
      <c r="EG93" s="21"/>
      <c r="EH93" s="110">
        <v>0.91666666666666696</v>
      </c>
      <c r="EI93" s="211"/>
      <c r="EJ93" s="110">
        <v>0.91666666666666696</v>
      </c>
      <c r="EK93" s="211"/>
      <c r="EL93" s="110">
        <v>0.91666666666666696</v>
      </c>
      <c r="EM93" s="211"/>
      <c r="EN93" s="21"/>
      <c r="EO93" s="110">
        <v>0.91666666666666696</v>
      </c>
      <c r="EP93" s="211"/>
      <c r="EQ93" s="21"/>
      <c r="ER93" s="110">
        <v>0.91666666666666696</v>
      </c>
      <c r="ES93" s="264"/>
      <c r="EU93" s="260">
        <v>0.91666666666666696</v>
      </c>
      <c r="EV93" s="209">
        <f>IF('Temperature Profiles'!AA92&gt;18,(0.0018*('Temperature Profiles'!AA92^2)-(0.0475*'Temperature Profiles'!AA92)+0.3123)*1000,IF(AND('Temperature Profiles'!AA92&lt;17,'Temperature Profiles'!AA92&gt;-5.6),(0.0021*('Temperature Profiles'!AA92^2)-(0.0919*'Temperature Profiles'!AA92)+1.0491)*1000,IF(AND('Temperature Profiles'!AA92&lt;-5.6,'Temperature Profiles'!AA92&gt;-11.4),EV$208,IF('Temperature Profiles'!AA92&lt;-11.4,EV196,0))))</f>
        <v>1620</v>
      </c>
      <c r="EW93" s="110">
        <v>0.91666666666666696</v>
      </c>
      <c r="EX93" s="209">
        <f>IF('Temperature Profiles'!AA92&gt;18,(0.0034*('Temperature Profiles'!AA92^2)-(0.087*'Temperature Profiles'!AA92)+0.5117)*1000,IF(AND('Temperature Profiles'!AA92&lt;17,'Temperature Profiles'!AA92&gt;-4.4),(0.0027*('Temperature Profiles'!AA92^2)-(0.149*'Temperature Profiles'!AA92)+1.7779)*1000,IF(AND('Temperature Profiles'!AA92&lt;-4.4,'Temperature Profiles'!AA92&gt;-8.5),EX$208,IF('Temperature Profiles'!AA92&lt;-8.5,EX196,0))))</f>
        <v>5400</v>
      </c>
      <c r="EY93" s="110">
        <v>0.91666666666666696</v>
      </c>
      <c r="EZ93" s="264">
        <f>IF('Temperature Profiles'!AA92&gt;18,(0.0048*('Temperature Profiles'!AA92^2)-(0.1352*'Temperature Profiles'!AA92)+0.9193)*1000,IF(AND('Temperature Profiles'!AA92&lt;17,'Temperature Profiles'!AA92&gt;-4.4),(0.0031*('Temperature Profiles'!AA92^2)-(0.2029*'Temperature Profiles'!AA92)+2.4264)*1000,IF(AND('Temperature Profiles'!AA92&lt;-4.4,'Temperature Profiles'!AA92&gt;-8.5),EZ$208,IF('Temperature Profiles'!AA92&lt;-8.5,EZ196,0))))</f>
        <v>5400</v>
      </c>
    </row>
    <row r="94" spans="1:156" x14ac:dyDescent="0.3">
      <c r="A94" s="108">
        <v>0.91666666666666696</v>
      </c>
      <c r="B94" s="226">
        <f t="shared" si="7"/>
        <v>0</v>
      </c>
      <c r="C94" s="21">
        <f t="shared" si="8"/>
        <v>0</v>
      </c>
      <c r="D94" s="21">
        <f t="shared" si="9"/>
        <v>16000</v>
      </c>
      <c r="E94" s="20">
        <f t="shared" si="10"/>
        <v>5400</v>
      </c>
      <c r="G94" s="260">
        <v>0.92708333333333304</v>
      </c>
      <c r="H94" s="211"/>
      <c r="I94" s="110">
        <v>0.92708333333333304</v>
      </c>
      <c r="J94" s="211"/>
      <c r="K94" s="110">
        <v>0.92708333333333304</v>
      </c>
      <c r="L94" s="211"/>
      <c r="M94" s="21"/>
      <c r="N94" s="110">
        <v>0.92708333333333304</v>
      </c>
      <c r="O94" s="209"/>
      <c r="P94" s="110">
        <v>0.92708333333333304</v>
      </c>
      <c r="Q94" s="209"/>
      <c r="R94" s="110">
        <v>0.92708333333333304</v>
      </c>
      <c r="S94" s="211"/>
      <c r="T94" s="21"/>
      <c r="U94" s="110">
        <v>0.92708333333333304</v>
      </c>
      <c r="V94" s="209"/>
      <c r="W94" s="110">
        <v>0.92708333333333304</v>
      </c>
      <c r="X94" s="209"/>
      <c r="Y94" s="110">
        <v>0.92708333333333304</v>
      </c>
      <c r="Z94" s="211"/>
      <c r="AA94" s="21"/>
      <c r="AB94" s="110">
        <v>0.92708333333333304</v>
      </c>
      <c r="AC94" s="209"/>
      <c r="AD94" s="110">
        <v>0.92708333333333304</v>
      </c>
      <c r="AE94" s="209"/>
      <c r="AF94" s="110">
        <v>0.92708333333333304</v>
      </c>
      <c r="AG94" s="211"/>
      <c r="AH94" s="21"/>
      <c r="AI94" s="110">
        <v>0.92708333333333304</v>
      </c>
      <c r="AJ94" s="209"/>
      <c r="AK94" s="110">
        <v>0.92708333333333304</v>
      </c>
      <c r="AL94" s="209"/>
      <c r="AM94" s="110">
        <v>0.92708333333333304</v>
      </c>
      <c r="AN94" s="211"/>
      <c r="AO94" s="21"/>
      <c r="AP94" s="110">
        <v>0.92708333333333304</v>
      </c>
      <c r="AQ94" s="209"/>
      <c r="AR94" s="110">
        <v>0.92708333333333304</v>
      </c>
      <c r="AS94" s="209"/>
      <c r="AT94" s="110">
        <v>0.92708333333333304</v>
      </c>
      <c r="AU94" s="211"/>
      <c r="AV94" s="21"/>
      <c r="AW94" s="110">
        <v>0.92708333333333304</v>
      </c>
      <c r="AX94" s="211"/>
      <c r="AY94" s="21"/>
      <c r="AZ94" s="110">
        <v>0.92708333333333304</v>
      </c>
      <c r="BA94" s="264"/>
      <c r="BC94" s="260">
        <v>0.92708333333333304</v>
      </c>
      <c r="BD94" s="211"/>
      <c r="BE94" s="110">
        <v>0.92708333333333304</v>
      </c>
      <c r="BF94" s="211"/>
      <c r="BG94" s="110">
        <v>0.92708333333333304</v>
      </c>
      <c r="BH94" s="211"/>
      <c r="BI94" s="21"/>
      <c r="BJ94" s="110">
        <v>0.92708333333333304</v>
      </c>
      <c r="BK94" s="209"/>
      <c r="BL94" s="110">
        <v>0.92708333333333304</v>
      </c>
      <c r="BM94" s="209"/>
      <c r="BN94" s="110">
        <v>0.92708333333333304</v>
      </c>
      <c r="BO94" s="211"/>
      <c r="BP94" s="21"/>
      <c r="BQ94" s="110">
        <v>0.92708333333333304</v>
      </c>
      <c r="BR94" s="209"/>
      <c r="BS94" s="110">
        <v>0.92708333333333304</v>
      </c>
      <c r="BT94" s="209"/>
      <c r="BU94" s="110">
        <v>0.92708333333333304</v>
      </c>
      <c r="BV94" s="211"/>
      <c r="BW94" s="21"/>
      <c r="BX94" s="110">
        <v>0.92708333333333304</v>
      </c>
      <c r="BY94" s="209"/>
      <c r="BZ94" s="110">
        <v>0.92708333333333304</v>
      </c>
      <c r="CA94" s="209"/>
      <c r="CB94" s="110">
        <v>0.92708333333333304</v>
      </c>
      <c r="CC94" s="211"/>
      <c r="CD94" s="21"/>
      <c r="CE94" s="110">
        <v>0.92708333333333304</v>
      </c>
      <c r="CF94" s="209"/>
      <c r="CG94" s="110">
        <v>0.92708333333333304</v>
      </c>
      <c r="CH94" s="209"/>
      <c r="CI94" s="110">
        <v>0.92708333333333304</v>
      </c>
      <c r="CJ94" s="211"/>
      <c r="CK94" s="21"/>
      <c r="CL94" s="110">
        <v>0.92708333333333304</v>
      </c>
      <c r="CM94" s="209"/>
      <c r="CN94" s="110">
        <v>0.92708333333333304</v>
      </c>
      <c r="CO94" s="209"/>
      <c r="CP94" s="110">
        <v>0.92708333333333304</v>
      </c>
      <c r="CQ94" s="211"/>
      <c r="CR94" s="21"/>
      <c r="CS94" s="110">
        <v>0.92708333333333304</v>
      </c>
      <c r="CT94" s="211"/>
      <c r="CU94" s="21"/>
      <c r="CV94" s="110">
        <v>0.92708333333333304</v>
      </c>
      <c r="CW94" s="264"/>
      <c r="CY94" s="260">
        <v>0.92708333333333304</v>
      </c>
      <c r="CZ94" s="178"/>
      <c r="DA94" s="110">
        <v>0.92708333333333304</v>
      </c>
      <c r="DB94" s="263"/>
      <c r="DC94" s="110">
        <v>0.92708333333333304</v>
      </c>
      <c r="DD94" s="211"/>
      <c r="DE94" s="21"/>
      <c r="DF94" s="110">
        <v>0.92708333333333304</v>
      </c>
      <c r="DG94" s="209"/>
      <c r="DH94" s="110">
        <v>0.92708333333333304</v>
      </c>
      <c r="DI94" s="209"/>
      <c r="DJ94" s="110">
        <v>0.92708333333333304</v>
      </c>
      <c r="DK94" s="211"/>
      <c r="DL94" s="21"/>
      <c r="DM94" s="110">
        <v>0.92708333333333304</v>
      </c>
      <c r="DN94" s="209"/>
      <c r="DO94" s="110">
        <v>0.92708333333333304</v>
      </c>
      <c r="DP94" s="209"/>
      <c r="DQ94" s="110">
        <v>0.92708333333333304</v>
      </c>
      <c r="DR94" s="211"/>
      <c r="DS94" s="21"/>
      <c r="DT94" s="110">
        <v>0.92708333333333304</v>
      </c>
      <c r="DU94" s="209"/>
      <c r="DV94" s="110">
        <v>0.92708333333333304</v>
      </c>
      <c r="DW94" s="209"/>
      <c r="DX94" s="110">
        <v>0.92708333333333304</v>
      </c>
      <c r="DY94" s="211"/>
      <c r="DZ94" s="21"/>
      <c r="EA94" s="110">
        <v>0.92708333333333304</v>
      </c>
      <c r="EB94" s="209">
        <f>IF('Temperature Profiles'!AA93&gt;18,(0.0018*('Temperature Profiles'!AA93^2)-(0.0475*'Temperature Profiles'!AA93)+0.3123)*1000,IF(AND('Temperature Profiles'!AA93&lt;17,'Temperature Profiles'!AA93&gt;-5.6),(0.0021*('Temperature Profiles'!AA93^2)-(0.0919*'Temperature Profiles'!AA93)+1.0491)*1000,IF(AND('Temperature Profiles'!AA93&lt;-5.6,'Temperature Profiles'!AA93&gt;-11.4),(((-0.2925*'Temperature Profiles'!AA93)-1.6914)*1000)+EB$208,IF('Temperature Profiles'!AA93&lt;-11.4,EB197,0))))</f>
        <v>3192.4125000000004</v>
      </c>
      <c r="EC94" s="110">
        <v>0.92708333333333304</v>
      </c>
      <c r="ED94" s="209">
        <f>IF('Temperature Profiles'!AA93&gt;18,(0.0034*('Temperature Profiles'!AA93^2)-(0.087*'Temperature Profiles'!AA93)+0.5117)*1000,IF(AND('Temperature Profiles'!AA93&lt;17,'Temperature Profiles'!AA93&gt;-4.4),(0.0027*('Temperature Profiles'!AA93^2)-(0.149*'Temperature Profiles'!AA93)+1.7779)*1000,IF(AND('Temperature Profiles'!AA93&lt;-4.4,'Temperature Profiles'!AA93&gt;-8.5),(((-0.5391*'Temperature Profiles'!AA93)-2.0906)*1000)+ED$208,IF('Temperature Profiles'!AA93&lt;-8.5,ED197,0))))</f>
        <v>0</v>
      </c>
      <c r="EE94" s="110">
        <v>0.92708333333333304</v>
      </c>
      <c r="EF94" s="211">
        <f>IF('Temperature Profiles'!AA93&gt;18,(0.0048*('Temperature Profiles'!AA93^2)-(0.1352*'Temperature Profiles'!AA93)+0.9193)*1000,IF(AND('Temperature Profiles'!AA93&lt;17,'Temperature Profiles'!AA93&gt;-4.4),(0.0031*('Temperature Profiles'!AA93^2)-(0.2029*'Temperature Profiles'!AA93)+2.4264)*1000,IF(AND('Temperature Profiles'!AA93&lt;-4.4,'Temperature Profiles'!AA93&gt;-8.5),(((-0.7516*'Temperature Profiles'!AA93)-2.9985)*1000)+EF$208,IF('Temperature Profiles'!AA93&lt;-8.5,EF197,0))))</f>
        <v>0</v>
      </c>
      <c r="EG94" s="21"/>
      <c r="EH94" s="110">
        <v>0.92708333333333304</v>
      </c>
      <c r="EI94" s="211"/>
      <c r="EJ94" s="110">
        <v>0.92708333333333304</v>
      </c>
      <c r="EK94" s="211"/>
      <c r="EL94" s="110">
        <v>0.92708333333333304</v>
      </c>
      <c r="EM94" s="211"/>
      <c r="EN94" s="21"/>
      <c r="EO94" s="110">
        <v>0.92708333333333304</v>
      </c>
      <c r="EP94" s="211"/>
      <c r="EQ94" s="21"/>
      <c r="ER94" s="110">
        <v>0.92708333333333304</v>
      </c>
      <c r="ES94" s="264"/>
      <c r="EU94" s="260">
        <v>0.92708333333333304</v>
      </c>
      <c r="EV94" s="209">
        <f>IF('Temperature Profiles'!AA93&gt;18,(0.0018*('Temperature Profiles'!AA93^2)-(0.0475*'Temperature Profiles'!AA93)+0.3123)*1000,IF(AND('Temperature Profiles'!AA93&lt;17,'Temperature Profiles'!AA93&gt;-5.6),(0.0021*('Temperature Profiles'!AA93^2)-(0.0919*'Temperature Profiles'!AA93)+1.0491)*1000,IF(AND('Temperature Profiles'!AA93&lt;-5.6,'Temperature Profiles'!AA93&gt;-11.4),EV$208,IF('Temperature Profiles'!AA93&lt;-11.4,EV197,0))))</f>
        <v>1620</v>
      </c>
      <c r="EW94" s="110">
        <v>0.92708333333333304</v>
      </c>
      <c r="EX94" s="209">
        <f>IF('Temperature Profiles'!AA93&gt;18,(0.0034*('Temperature Profiles'!AA93^2)-(0.087*'Temperature Profiles'!AA93)+0.5117)*1000,IF(AND('Temperature Profiles'!AA93&lt;17,'Temperature Profiles'!AA93&gt;-4.4),(0.0027*('Temperature Profiles'!AA93^2)-(0.149*'Temperature Profiles'!AA93)+1.7779)*1000,IF(AND('Temperature Profiles'!AA93&lt;-4.4,'Temperature Profiles'!AA93&gt;-8.5),EX$208,IF('Temperature Profiles'!AA93&lt;-8.5,EX197,0))))</f>
        <v>0</v>
      </c>
      <c r="EY94" s="110">
        <v>0.92708333333333304</v>
      </c>
      <c r="EZ94" s="264">
        <f>IF('Temperature Profiles'!AA93&gt;18,(0.0048*('Temperature Profiles'!AA93^2)-(0.1352*'Temperature Profiles'!AA93)+0.9193)*1000,IF(AND('Temperature Profiles'!AA93&lt;17,'Temperature Profiles'!AA93&gt;-4.4),(0.0031*('Temperature Profiles'!AA93^2)-(0.2029*'Temperature Profiles'!AA93)+2.4264)*1000,IF(AND('Temperature Profiles'!AA93&lt;-4.4,'Temperature Profiles'!AA93&gt;-8.5),EZ$208,IF('Temperature Profiles'!AA93&lt;-8.5,EZ197,0))))</f>
        <v>0</v>
      </c>
    </row>
    <row r="95" spans="1:156" x14ac:dyDescent="0.3">
      <c r="A95" s="108">
        <v>0.92708333333333304</v>
      </c>
      <c r="B95" s="226">
        <f t="shared" si="7"/>
        <v>0</v>
      </c>
      <c r="C95" s="21">
        <f t="shared" si="8"/>
        <v>0</v>
      </c>
      <c r="D95" s="21">
        <f t="shared" si="9"/>
        <v>0</v>
      </c>
      <c r="E95" s="20">
        <f t="shared" si="10"/>
        <v>0</v>
      </c>
      <c r="G95" s="260">
        <v>0.9375</v>
      </c>
      <c r="H95" s="211"/>
      <c r="I95" s="110">
        <v>0.9375</v>
      </c>
      <c r="J95" s="211"/>
      <c r="K95" s="110">
        <v>0.9375</v>
      </c>
      <c r="L95" s="211"/>
      <c r="M95" s="21"/>
      <c r="N95" s="110">
        <v>0.9375</v>
      </c>
      <c r="O95" s="209"/>
      <c r="P95" s="110">
        <v>0.9375</v>
      </c>
      <c r="Q95" s="209"/>
      <c r="R95" s="110">
        <v>0.9375</v>
      </c>
      <c r="S95" s="211"/>
      <c r="T95" s="21"/>
      <c r="U95" s="110">
        <v>0.9375</v>
      </c>
      <c r="V95" s="209"/>
      <c r="W95" s="110">
        <v>0.9375</v>
      </c>
      <c r="X95" s="209"/>
      <c r="Y95" s="110">
        <v>0.9375</v>
      </c>
      <c r="Z95" s="211"/>
      <c r="AA95" s="21"/>
      <c r="AB95" s="110">
        <v>0.9375</v>
      </c>
      <c r="AC95" s="209"/>
      <c r="AD95" s="110">
        <v>0.9375</v>
      </c>
      <c r="AE95" s="209"/>
      <c r="AF95" s="110">
        <v>0.9375</v>
      </c>
      <c r="AG95" s="211"/>
      <c r="AH95" s="21"/>
      <c r="AI95" s="110">
        <v>0.9375</v>
      </c>
      <c r="AJ95" s="209"/>
      <c r="AK95" s="110">
        <v>0.9375</v>
      </c>
      <c r="AL95" s="209"/>
      <c r="AM95" s="110">
        <v>0.9375</v>
      </c>
      <c r="AN95" s="211"/>
      <c r="AO95" s="21"/>
      <c r="AP95" s="110">
        <v>0.9375</v>
      </c>
      <c r="AQ95" s="209"/>
      <c r="AR95" s="110">
        <v>0.9375</v>
      </c>
      <c r="AS95" s="209"/>
      <c r="AT95" s="110">
        <v>0.9375</v>
      </c>
      <c r="AU95" s="211"/>
      <c r="AV95" s="21"/>
      <c r="AW95" s="110">
        <v>0.9375</v>
      </c>
      <c r="AX95" s="211"/>
      <c r="AY95" s="21"/>
      <c r="AZ95" s="110">
        <v>0.9375</v>
      </c>
      <c r="BA95" s="264"/>
      <c r="BC95" s="260">
        <v>0.9375</v>
      </c>
      <c r="BD95" s="211"/>
      <c r="BE95" s="110">
        <v>0.9375</v>
      </c>
      <c r="BF95" s="211"/>
      <c r="BG95" s="110">
        <v>0.9375</v>
      </c>
      <c r="BH95" s="211"/>
      <c r="BI95" s="21"/>
      <c r="BJ95" s="110">
        <v>0.9375</v>
      </c>
      <c r="BK95" s="209"/>
      <c r="BL95" s="110">
        <v>0.9375</v>
      </c>
      <c r="BM95" s="209"/>
      <c r="BN95" s="110">
        <v>0.9375</v>
      </c>
      <c r="BO95" s="211"/>
      <c r="BP95" s="21"/>
      <c r="BQ95" s="110">
        <v>0.9375</v>
      </c>
      <c r="BR95" s="209"/>
      <c r="BS95" s="110">
        <v>0.9375</v>
      </c>
      <c r="BT95" s="209"/>
      <c r="BU95" s="110">
        <v>0.9375</v>
      </c>
      <c r="BV95" s="211"/>
      <c r="BW95" s="21"/>
      <c r="BX95" s="110">
        <v>0.9375</v>
      </c>
      <c r="BY95" s="209"/>
      <c r="BZ95" s="110">
        <v>0.9375</v>
      </c>
      <c r="CA95" s="209"/>
      <c r="CB95" s="110">
        <v>0.9375</v>
      </c>
      <c r="CC95" s="211"/>
      <c r="CD95" s="21"/>
      <c r="CE95" s="110">
        <v>0.9375</v>
      </c>
      <c r="CF95" s="209"/>
      <c r="CG95" s="110">
        <v>0.9375</v>
      </c>
      <c r="CH95" s="209"/>
      <c r="CI95" s="110">
        <v>0.9375</v>
      </c>
      <c r="CJ95" s="211"/>
      <c r="CK95" s="21"/>
      <c r="CL95" s="110">
        <v>0.9375</v>
      </c>
      <c r="CM95" s="209"/>
      <c r="CN95" s="110">
        <v>0.9375</v>
      </c>
      <c r="CO95" s="209"/>
      <c r="CP95" s="110">
        <v>0.9375</v>
      </c>
      <c r="CQ95" s="211"/>
      <c r="CR95" s="21"/>
      <c r="CS95" s="110">
        <v>0.9375</v>
      </c>
      <c r="CT95" s="211"/>
      <c r="CU95" s="21"/>
      <c r="CV95" s="110">
        <v>0.9375</v>
      </c>
      <c r="CW95" s="264"/>
      <c r="CY95" s="260">
        <v>0.9375</v>
      </c>
      <c r="CZ95" s="178"/>
      <c r="DA95" s="110">
        <v>0.9375</v>
      </c>
      <c r="DB95" s="263"/>
      <c r="DC95" s="110">
        <v>0.9375</v>
      </c>
      <c r="DD95" s="211"/>
      <c r="DE95" s="21"/>
      <c r="DF95" s="110">
        <v>0.9375</v>
      </c>
      <c r="DG95" s="209"/>
      <c r="DH95" s="110">
        <v>0.9375</v>
      </c>
      <c r="DI95" s="209"/>
      <c r="DJ95" s="110">
        <v>0.9375</v>
      </c>
      <c r="DK95" s="211"/>
      <c r="DL95" s="21"/>
      <c r="DM95" s="110">
        <v>0.9375</v>
      </c>
      <c r="DN95" s="209"/>
      <c r="DO95" s="110">
        <v>0.9375</v>
      </c>
      <c r="DP95" s="209"/>
      <c r="DQ95" s="110">
        <v>0.9375</v>
      </c>
      <c r="DR95" s="211"/>
      <c r="DS95" s="21"/>
      <c r="DT95" s="110">
        <v>0.9375</v>
      </c>
      <c r="DU95" s="209"/>
      <c r="DV95" s="110">
        <v>0.9375</v>
      </c>
      <c r="DW95" s="209"/>
      <c r="DX95" s="110">
        <v>0.9375</v>
      </c>
      <c r="DY95" s="211"/>
      <c r="DZ95" s="21"/>
      <c r="EA95" s="110">
        <v>0.9375</v>
      </c>
      <c r="EB95" s="209">
        <f>IF('Temperature Profiles'!AA94&gt;18,(0.0018*('Temperature Profiles'!AA94^2)-(0.0475*'Temperature Profiles'!AA94)+0.3123)*1000,IF(AND('Temperature Profiles'!AA94&lt;17,'Temperature Profiles'!AA94&gt;-5.6),(0.0021*('Temperature Profiles'!AA94^2)-(0.0919*'Temperature Profiles'!AA94)+1.0491)*1000,IF(AND('Temperature Profiles'!AA94&lt;-5.6,'Temperature Profiles'!AA94&gt;-11.4),(((-0.2925*'Temperature Profiles'!AA94)-1.6914)*1000)+EB$208,IF('Temperature Profiles'!AA94&lt;-11.4,EB198,0))))</f>
        <v>3192.4125000000004</v>
      </c>
      <c r="EC95" s="110">
        <v>0.9375</v>
      </c>
      <c r="ED95" s="209">
        <f>IF('Temperature Profiles'!AA94&gt;18,(0.0034*('Temperature Profiles'!AA94^2)-(0.087*'Temperature Profiles'!AA94)+0.5117)*1000,IF(AND('Temperature Profiles'!AA94&lt;17,'Temperature Profiles'!AA94&gt;-4.4),(0.0027*('Temperature Profiles'!AA94^2)-(0.149*'Temperature Profiles'!AA94)+1.7779)*1000,IF(AND('Temperature Profiles'!AA94&lt;-4.4,'Temperature Profiles'!AA94&gt;-8.5),(((-0.5391*'Temperature Profiles'!AA94)-2.0906)*1000)+ED$208,IF('Temperature Profiles'!AA94&lt;-8.5,ED198,0))))</f>
        <v>0</v>
      </c>
      <c r="EE95" s="110">
        <v>0.9375</v>
      </c>
      <c r="EF95" s="211">
        <f>IF('Temperature Profiles'!AA94&gt;18,(0.0048*('Temperature Profiles'!AA94^2)-(0.1352*'Temperature Profiles'!AA94)+0.9193)*1000,IF(AND('Temperature Profiles'!AA94&lt;17,'Temperature Profiles'!AA94&gt;-4.4),(0.0031*('Temperature Profiles'!AA94^2)-(0.2029*'Temperature Profiles'!AA94)+2.4264)*1000,IF(AND('Temperature Profiles'!AA94&lt;-4.4,'Temperature Profiles'!AA94&gt;-8.5),(((-0.7516*'Temperature Profiles'!AA94)-2.9985)*1000)+EF$208,IF('Temperature Profiles'!AA94&lt;-8.5,EF198,0))))</f>
        <v>0</v>
      </c>
      <c r="EG95" s="21"/>
      <c r="EH95" s="110">
        <v>0.9375</v>
      </c>
      <c r="EI95" s="211"/>
      <c r="EJ95" s="110">
        <v>0.9375</v>
      </c>
      <c r="EK95" s="211"/>
      <c r="EL95" s="110">
        <v>0.9375</v>
      </c>
      <c r="EM95" s="211"/>
      <c r="EN95" s="21"/>
      <c r="EO95" s="110">
        <v>0.9375</v>
      </c>
      <c r="EP95" s="211"/>
      <c r="EQ95" s="21"/>
      <c r="ER95" s="110">
        <v>0.9375</v>
      </c>
      <c r="ES95" s="264"/>
      <c r="EU95" s="260">
        <v>0.9375</v>
      </c>
      <c r="EV95" s="209">
        <f>IF('Temperature Profiles'!AA94&gt;18,(0.0018*('Temperature Profiles'!AA94^2)-(0.0475*'Temperature Profiles'!AA94)+0.3123)*1000,IF(AND('Temperature Profiles'!AA94&lt;17,'Temperature Profiles'!AA94&gt;-5.6),(0.0021*('Temperature Profiles'!AA94^2)-(0.0919*'Temperature Profiles'!AA94)+1.0491)*1000,IF(AND('Temperature Profiles'!AA94&lt;-5.6,'Temperature Profiles'!AA94&gt;-11.4),EV$208,IF('Temperature Profiles'!AA94&lt;-11.4,EV198,0))))</f>
        <v>1620</v>
      </c>
      <c r="EW95" s="110">
        <v>0.9375</v>
      </c>
      <c r="EX95" s="209">
        <f>IF('Temperature Profiles'!AA94&gt;18,(0.0034*('Temperature Profiles'!AA94^2)-(0.087*'Temperature Profiles'!AA94)+0.5117)*1000,IF(AND('Temperature Profiles'!AA94&lt;17,'Temperature Profiles'!AA94&gt;-4.4),(0.0027*('Temperature Profiles'!AA94^2)-(0.149*'Temperature Profiles'!AA94)+1.7779)*1000,IF(AND('Temperature Profiles'!AA94&lt;-4.4,'Temperature Profiles'!AA94&gt;-8.5),EX$208,IF('Temperature Profiles'!AA94&lt;-8.5,EX198,0))))</f>
        <v>0</v>
      </c>
      <c r="EY95" s="110">
        <v>0.9375</v>
      </c>
      <c r="EZ95" s="264">
        <f>IF('Temperature Profiles'!AA94&gt;18,(0.0048*('Temperature Profiles'!AA94^2)-(0.1352*'Temperature Profiles'!AA94)+0.9193)*1000,IF(AND('Temperature Profiles'!AA94&lt;17,'Temperature Profiles'!AA94&gt;-4.4),(0.0031*('Temperature Profiles'!AA94^2)-(0.2029*'Temperature Profiles'!AA94)+2.4264)*1000,IF(AND('Temperature Profiles'!AA94&lt;-4.4,'Temperature Profiles'!AA94&gt;-8.5),EZ$208,IF('Temperature Profiles'!AA94&lt;-8.5,EZ198,0))))</f>
        <v>0</v>
      </c>
    </row>
    <row r="96" spans="1:156" x14ac:dyDescent="0.3">
      <c r="A96" s="108">
        <v>0.9375</v>
      </c>
      <c r="B96" s="226">
        <f t="shared" si="7"/>
        <v>0</v>
      </c>
      <c r="C96" s="21">
        <f t="shared" si="8"/>
        <v>0</v>
      </c>
      <c r="D96" s="21">
        <f t="shared" si="9"/>
        <v>0</v>
      </c>
      <c r="E96" s="20">
        <f t="shared" si="10"/>
        <v>0</v>
      </c>
      <c r="G96" s="260">
        <v>0.94791666666666696</v>
      </c>
      <c r="H96" s="211"/>
      <c r="I96" s="110">
        <v>0.94791666666666696</v>
      </c>
      <c r="J96" s="211"/>
      <c r="K96" s="110">
        <v>0.94791666666666696</v>
      </c>
      <c r="L96" s="211"/>
      <c r="M96" s="21"/>
      <c r="N96" s="110">
        <v>0.94791666666666696</v>
      </c>
      <c r="O96" s="209"/>
      <c r="P96" s="110">
        <v>0.94791666666666696</v>
      </c>
      <c r="Q96" s="209"/>
      <c r="R96" s="110">
        <v>0.94791666666666696</v>
      </c>
      <c r="S96" s="211"/>
      <c r="T96" s="21"/>
      <c r="U96" s="110">
        <v>0.94791666666666696</v>
      </c>
      <c r="V96" s="209"/>
      <c r="W96" s="110">
        <v>0.94791666666666696</v>
      </c>
      <c r="X96" s="209"/>
      <c r="Y96" s="110">
        <v>0.94791666666666696</v>
      </c>
      <c r="Z96" s="211"/>
      <c r="AA96" s="21"/>
      <c r="AB96" s="110">
        <v>0.94791666666666696</v>
      </c>
      <c r="AC96" s="209"/>
      <c r="AD96" s="110">
        <v>0.94791666666666696</v>
      </c>
      <c r="AE96" s="209"/>
      <c r="AF96" s="110">
        <v>0.94791666666666696</v>
      </c>
      <c r="AG96" s="211"/>
      <c r="AH96" s="21"/>
      <c r="AI96" s="110">
        <v>0.94791666666666696</v>
      </c>
      <c r="AJ96" s="209"/>
      <c r="AK96" s="110">
        <v>0.94791666666666696</v>
      </c>
      <c r="AL96" s="209"/>
      <c r="AM96" s="110">
        <v>0.94791666666666696</v>
      </c>
      <c r="AN96" s="211"/>
      <c r="AO96" s="21"/>
      <c r="AP96" s="110">
        <v>0.94791666666666696</v>
      </c>
      <c r="AQ96" s="209"/>
      <c r="AR96" s="110">
        <v>0.94791666666666696</v>
      </c>
      <c r="AS96" s="209"/>
      <c r="AT96" s="110">
        <v>0.94791666666666696</v>
      </c>
      <c r="AU96" s="211"/>
      <c r="AV96" s="21"/>
      <c r="AW96" s="110">
        <v>0.94791666666666696</v>
      </c>
      <c r="AX96" s="211"/>
      <c r="AY96" s="21"/>
      <c r="AZ96" s="110">
        <v>0.94791666666666696</v>
      </c>
      <c r="BA96" s="264"/>
      <c r="BC96" s="260">
        <v>0.94791666666666696</v>
      </c>
      <c r="BD96" s="211"/>
      <c r="BE96" s="110">
        <v>0.94791666666666696</v>
      </c>
      <c r="BF96" s="211"/>
      <c r="BG96" s="110">
        <v>0.94791666666666696</v>
      </c>
      <c r="BH96" s="211"/>
      <c r="BI96" s="21"/>
      <c r="BJ96" s="110">
        <v>0.94791666666666696</v>
      </c>
      <c r="BK96" s="209"/>
      <c r="BL96" s="110">
        <v>0.94791666666666696</v>
      </c>
      <c r="BM96" s="209"/>
      <c r="BN96" s="110">
        <v>0.94791666666666696</v>
      </c>
      <c r="BO96" s="211"/>
      <c r="BP96" s="21"/>
      <c r="BQ96" s="110">
        <v>0.94791666666666696</v>
      </c>
      <c r="BR96" s="209"/>
      <c r="BS96" s="110">
        <v>0.94791666666666696</v>
      </c>
      <c r="BT96" s="209"/>
      <c r="BU96" s="110">
        <v>0.94791666666666696</v>
      </c>
      <c r="BV96" s="211"/>
      <c r="BW96" s="21"/>
      <c r="BX96" s="110">
        <v>0.94791666666666696</v>
      </c>
      <c r="BY96" s="209"/>
      <c r="BZ96" s="110">
        <v>0.94791666666666696</v>
      </c>
      <c r="CA96" s="209"/>
      <c r="CB96" s="110">
        <v>0.94791666666666696</v>
      </c>
      <c r="CC96" s="211"/>
      <c r="CD96" s="21"/>
      <c r="CE96" s="110">
        <v>0.94791666666666696</v>
      </c>
      <c r="CF96" s="209"/>
      <c r="CG96" s="110">
        <v>0.94791666666666696</v>
      </c>
      <c r="CH96" s="209"/>
      <c r="CI96" s="110">
        <v>0.94791666666666696</v>
      </c>
      <c r="CJ96" s="211"/>
      <c r="CK96" s="21"/>
      <c r="CL96" s="110">
        <v>0.94791666666666696</v>
      </c>
      <c r="CM96" s="209"/>
      <c r="CN96" s="110">
        <v>0.94791666666666696</v>
      </c>
      <c r="CO96" s="209"/>
      <c r="CP96" s="110">
        <v>0.94791666666666696</v>
      </c>
      <c r="CQ96" s="211"/>
      <c r="CR96" s="21"/>
      <c r="CS96" s="110">
        <v>0.94791666666666696</v>
      </c>
      <c r="CT96" s="211"/>
      <c r="CU96" s="21"/>
      <c r="CV96" s="110">
        <v>0.94791666666666696</v>
      </c>
      <c r="CW96" s="264"/>
      <c r="CY96" s="260">
        <v>0.94791666666666696</v>
      </c>
      <c r="CZ96" s="178"/>
      <c r="DA96" s="110">
        <v>0.94791666666666696</v>
      </c>
      <c r="DB96" s="263"/>
      <c r="DC96" s="110">
        <v>0.94791666666666696</v>
      </c>
      <c r="DD96" s="211"/>
      <c r="DE96" s="21"/>
      <c r="DF96" s="110">
        <v>0.94791666666666696</v>
      </c>
      <c r="DG96" s="209"/>
      <c r="DH96" s="110">
        <v>0.94791666666666696</v>
      </c>
      <c r="DI96" s="209"/>
      <c r="DJ96" s="110">
        <v>0.94791666666666696</v>
      </c>
      <c r="DK96" s="211"/>
      <c r="DL96" s="21"/>
      <c r="DM96" s="110">
        <v>0.94791666666666696</v>
      </c>
      <c r="DN96" s="209"/>
      <c r="DO96" s="110">
        <v>0.94791666666666696</v>
      </c>
      <c r="DP96" s="209"/>
      <c r="DQ96" s="110">
        <v>0.94791666666666696</v>
      </c>
      <c r="DR96" s="211"/>
      <c r="DS96" s="21"/>
      <c r="DT96" s="110">
        <v>0.94791666666666696</v>
      </c>
      <c r="DU96" s="209"/>
      <c r="DV96" s="110">
        <v>0.94791666666666696</v>
      </c>
      <c r="DW96" s="209"/>
      <c r="DX96" s="110">
        <v>0.94791666666666696</v>
      </c>
      <c r="DY96" s="211"/>
      <c r="DZ96" s="21"/>
      <c r="EA96" s="110">
        <v>0.94791666666666696</v>
      </c>
      <c r="EB96" s="209">
        <f>IF('Temperature Profiles'!AA95&gt;18,(0.0018*('Temperature Profiles'!AA95^2)-(0.0475*'Temperature Profiles'!AA95)+0.3123)*1000,IF(AND('Temperature Profiles'!AA95&lt;17,'Temperature Profiles'!AA95&gt;-5.6),(0.0021*('Temperature Profiles'!AA95^2)-(0.0919*'Temperature Profiles'!AA95)+1.0491)*1000,IF(AND('Temperature Profiles'!AA95&lt;-5.6,'Temperature Profiles'!AA95&gt;-11.4),(((-0.2925*'Temperature Profiles'!AA95)-1.6914)*1000)+EB$208,IF('Temperature Profiles'!AA95&lt;-11.4,EB199,0))))</f>
        <v>3192.4125000000004</v>
      </c>
      <c r="EC96" s="110">
        <v>0.94791666666666696</v>
      </c>
      <c r="ED96" s="209">
        <f>IF('Temperature Profiles'!AA95&gt;18,(0.0034*('Temperature Profiles'!AA95^2)-(0.087*'Temperature Profiles'!AA95)+0.5117)*1000,IF(AND('Temperature Profiles'!AA95&lt;17,'Temperature Profiles'!AA95&gt;-4.4),(0.0027*('Temperature Profiles'!AA95^2)-(0.149*'Temperature Profiles'!AA95)+1.7779)*1000,IF(AND('Temperature Profiles'!AA95&lt;-4.4,'Temperature Profiles'!AA95&gt;-8.5),(((-0.5391*'Temperature Profiles'!AA95)-2.0906)*1000)+ED$208,IF('Temperature Profiles'!AA95&lt;-8.5,ED199,0))))</f>
        <v>0</v>
      </c>
      <c r="EE96" s="110">
        <v>0.94791666666666696</v>
      </c>
      <c r="EF96" s="211">
        <f>IF('Temperature Profiles'!AA95&gt;18,(0.0048*('Temperature Profiles'!AA95^2)-(0.1352*'Temperature Profiles'!AA95)+0.9193)*1000,IF(AND('Temperature Profiles'!AA95&lt;17,'Temperature Profiles'!AA95&gt;-4.4),(0.0031*('Temperature Profiles'!AA95^2)-(0.2029*'Temperature Profiles'!AA95)+2.4264)*1000,IF(AND('Temperature Profiles'!AA95&lt;-4.4,'Temperature Profiles'!AA95&gt;-8.5),(((-0.7516*'Temperature Profiles'!AA95)-2.9985)*1000)+EF$208,IF('Temperature Profiles'!AA95&lt;-8.5,EF199,0))))</f>
        <v>0</v>
      </c>
      <c r="EG96" s="21"/>
      <c r="EH96" s="110">
        <v>0.94791666666666696</v>
      </c>
      <c r="EI96" s="211"/>
      <c r="EJ96" s="110">
        <v>0.94791666666666696</v>
      </c>
      <c r="EK96" s="211"/>
      <c r="EL96" s="110">
        <v>0.94791666666666696</v>
      </c>
      <c r="EM96" s="211"/>
      <c r="EN96" s="21"/>
      <c r="EO96" s="110">
        <v>0.94791666666666696</v>
      </c>
      <c r="EP96" s="211"/>
      <c r="EQ96" s="21"/>
      <c r="ER96" s="110">
        <v>0.94791666666666696</v>
      </c>
      <c r="ES96" s="264"/>
      <c r="EU96" s="260">
        <v>0.94791666666666696</v>
      </c>
      <c r="EV96" s="209">
        <f>IF('Temperature Profiles'!AA95&gt;18,(0.0018*('Temperature Profiles'!AA95^2)-(0.0475*'Temperature Profiles'!AA95)+0.3123)*1000,IF(AND('Temperature Profiles'!AA95&lt;17,'Temperature Profiles'!AA95&gt;-5.6),(0.0021*('Temperature Profiles'!AA95^2)-(0.0919*'Temperature Profiles'!AA95)+1.0491)*1000,IF(AND('Temperature Profiles'!AA95&lt;-5.6,'Temperature Profiles'!AA95&gt;-11.4),EV$208,IF('Temperature Profiles'!AA95&lt;-11.4,EV199,0))))</f>
        <v>1620</v>
      </c>
      <c r="EW96" s="110">
        <v>0.94791666666666696</v>
      </c>
      <c r="EX96" s="209">
        <f>IF('Temperature Profiles'!AA95&gt;18,(0.0034*('Temperature Profiles'!AA95^2)-(0.087*'Temperature Profiles'!AA95)+0.5117)*1000,IF(AND('Temperature Profiles'!AA95&lt;17,'Temperature Profiles'!AA95&gt;-4.4),(0.0027*('Temperature Profiles'!AA95^2)-(0.149*'Temperature Profiles'!AA95)+1.7779)*1000,IF(AND('Temperature Profiles'!AA95&lt;-4.4,'Temperature Profiles'!AA95&gt;-8.5),EX$208,IF('Temperature Profiles'!AA95&lt;-8.5,EX199,0))))</f>
        <v>0</v>
      </c>
      <c r="EY96" s="110">
        <v>0.94791666666666696</v>
      </c>
      <c r="EZ96" s="264">
        <f>IF('Temperature Profiles'!AA95&gt;18,(0.0048*('Temperature Profiles'!AA95^2)-(0.1352*'Temperature Profiles'!AA95)+0.9193)*1000,IF(AND('Temperature Profiles'!AA95&lt;17,'Temperature Profiles'!AA95&gt;-4.4),(0.0031*('Temperature Profiles'!AA95^2)-(0.2029*'Temperature Profiles'!AA95)+2.4264)*1000,IF(AND('Temperature Profiles'!AA95&lt;-4.4,'Temperature Profiles'!AA95&gt;-8.5),EZ$208,IF('Temperature Profiles'!AA95&lt;-8.5,EZ199,0))))</f>
        <v>0</v>
      </c>
    </row>
    <row r="97" spans="1:156" x14ac:dyDescent="0.3">
      <c r="A97" s="108">
        <v>0.94791666666666696</v>
      </c>
      <c r="B97" s="226">
        <f t="shared" si="7"/>
        <v>0</v>
      </c>
      <c r="C97" s="21">
        <f t="shared" si="8"/>
        <v>0</v>
      </c>
      <c r="D97" s="21">
        <f t="shared" si="9"/>
        <v>0</v>
      </c>
      <c r="E97" s="20">
        <f t="shared" si="10"/>
        <v>0</v>
      </c>
      <c r="G97" s="260">
        <v>0.95833333333333304</v>
      </c>
      <c r="H97" s="211"/>
      <c r="I97" s="110">
        <v>0.95833333333333304</v>
      </c>
      <c r="J97" s="211"/>
      <c r="K97" s="110">
        <v>0.95833333333333304</v>
      </c>
      <c r="L97" s="211"/>
      <c r="M97" s="21"/>
      <c r="N97" s="110">
        <v>0.95833333333333304</v>
      </c>
      <c r="O97" s="209"/>
      <c r="P97" s="110">
        <v>0.95833333333333304</v>
      </c>
      <c r="Q97" s="209"/>
      <c r="R97" s="110">
        <v>0.95833333333333304</v>
      </c>
      <c r="S97" s="211"/>
      <c r="T97" s="21"/>
      <c r="U97" s="110">
        <v>0.95833333333333304</v>
      </c>
      <c r="V97" s="209"/>
      <c r="W97" s="110">
        <v>0.95833333333333304</v>
      </c>
      <c r="X97" s="209"/>
      <c r="Y97" s="110">
        <v>0.95833333333333304</v>
      </c>
      <c r="Z97" s="211"/>
      <c r="AA97" s="21"/>
      <c r="AB97" s="110">
        <v>0.95833333333333304</v>
      </c>
      <c r="AC97" s="209"/>
      <c r="AD97" s="110">
        <v>0.95833333333333304</v>
      </c>
      <c r="AE97" s="209"/>
      <c r="AF97" s="110">
        <v>0.95833333333333304</v>
      </c>
      <c r="AG97" s="211"/>
      <c r="AH97" s="21"/>
      <c r="AI97" s="110">
        <v>0.95833333333333304</v>
      </c>
      <c r="AJ97" s="209"/>
      <c r="AK97" s="110">
        <v>0.95833333333333304</v>
      </c>
      <c r="AL97" s="209"/>
      <c r="AM97" s="110">
        <v>0.95833333333333304</v>
      </c>
      <c r="AN97" s="211"/>
      <c r="AO97" s="21"/>
      <c r="AP97" s="110">
        <v>0.95833333333333304</v>
      </c>
      <c r="AQ97" s="209"/>
      <c r="AR97" s="110">
        <v>0.95833333333333304</v>
      </c>
      <c r="AS97" s="209"/>
      <c r="AT97" s="110">
        <v>0.95833333333333304</v>
      </c>
      <c r="AU97" s="211"/>
      <c r="AV97" s="21"/>
      <c r="AW97" s="110">
        <v>0.95833333333333304</v>
      </c>
      <c r="AX97" s="211"/>
      <c r="AY97" s="21"/>
      <c r="AZ97" s="110">
        <v>0.95833333333333304</v>
      </c>
      <c r="BA97" s="264"/>
      <c r="BC97" s="260">
        <v>0.95833333333333304</v>
      </c>
      <c r="BD97" s="211"/>
      <c r="BE97" s="110">
        <v>0.95833333333333304</v>
      </c>
      <c r="BF97" s="211"/>
      <c r="BG97" s="110">
        <v>0.95833333333333304</v>
      </c>
      <c r="BH97" s="211"/>
      <c r="BI97" s="21"/>
      <c r="BJ97" s="110">
        <v>0.95833333333333304</v>
      </c>
      <c r="BK97" s="209"/>
      <c r="BL97" s="110">
        <v>0.95833333333333304</v>
      </c>
      <c r="BM97" s="209"/>
      <c r="BN97" s="110">
        <v>0.95833333333333304</v>
      </c>
      <c r="BO97" s="211"/>
      <c r="BP97" s="21"/>
      <c r="BQ97" s="110">
        <v>0.95833333333333304</v>
      </c>
      <c r="BR97" s="209"/>
      <c r="BS97" s="110">
        <v>0.95833333333333304</v>
      </c>
      <c r="BT97" s="209"/>
      <c r="BU97" s="110">
        <v>0.95833333333333304</v>
      </c>
      <c r="BV97" s="211"/>
      <c r="BW97" s="21"/>
      <c r="BX97" s="110">
        <v>0.95833333333333304</v>
      </c>
      <c r="BY97" s="209"/>
      <c r="BZ97" s="110">
        <v>0.95833333333333304</v>
      </c>
      <c r="CA97" s="209"/>
      <c r="CB97" s="110">
        <v>0.95833333333333304</v>
      </c>
      <c r="CC97" s="211"/>
      <c r="CD97" s="21"/>
      <c r="CE97" s="110">
        <v>0.95833333333333304</v>
      </c>
      <c r="CF97" s="209"/>
      <c r="CG97" s="110">
        <v>0.95833333333333304</v>
      </c>
      <c r="CH97" s="209"/>
      <c r="CI97" s="110">
        <v>0.95833333333333304</v>
      </c>
      <c r="CJ97" s="211"/>
      <c r="CK97" s="21"/>
      <c r="CL97" s="110">
        <v>0.95833333333333304</v>
      </c>
      <c r="CM97" s="209"/>
      <c r="CN97" s="110">
        <v>0.95833333333333304</v>
      </c>
      <c r="CO97" s="209"/>
      <c r="CP97" s="110">
        <v>0.95833333333333304</v>
      </c>
      <c r="CQ97" s="211"/>
      <c r="CR97" s="21"/>
      <c r="CS97" s="110">
        <v>0.95833333333333304</v>
      </c>
      <c r="CT97" s="211"/>
      <c r="CU97" s="21"/>
      <c r="CV97" s="110">
        <v>0.95833333333333304</v>
      </c>
      <c r="CW97" s="264"/>
      <c r="CY97" s="260">
        <v>0.95833333333333304</v>
      </c>
      <c r="CZ97" s="178"/>
      <c r="DA97" s="110">
        <v>0.95833333333333304</v>
      </c>
      <c r="DB97" s="263"/>
      <c r="DC97" s="110">
        <v>0.95833333333333304</v>
      </c>
      <c r="DD97" s="211"/>
      <c r="DE97" s="21"/>
      <c r="DF97" s="110">
        <v>0.95833333333333304</v>
      </c>
      <c r="DG97" s="209"/>
      <c r="DH97" s="110">
        <v>0.95833333333333304</v>
      </c>
      <c r="DI97" s="209"/>
      <c r="DJ97" s="110">
        <v>0.95833333333333304</v>
      </c>
      <c r="DK97" s="211"/>
      <c r="DL97" s="21"/>
      <c r="DM97" s="110">
        <v>0.95833333333333304</v>
      </c>
      <c r="DN97" s="209"/>
      <c r="DO97" s="110">
        <v>0.95833333333333304</v>
      </c>
      <c r="DP97" s="209"/>
      <c r="DQ97" s="110">
        <v>0.95833333333333304</v>
      </c>
      <c r="DR97" s="211"/>
      <c r="DS97" s="21"/>
      <c r="DT97" s="110">
        <v>0.95833333333333304</v>
      </c>
      <c r="DU97" s="209"/>
      <c r="DV97" s="110">
        <v>0.95833333333333304</v>
      </c>
      <c r="DW97" s="209"/>
      <c r="DX97" s="110">
        <v>0.95833333333333304</v>
      </c>
      <c r="DY97" s="211"/>
      <c r="DZ97" s="21"/>
      <c r="EA97" s="110">
        <v>0.95833333333333304</v>
      </c>
      <c r="EB97" s="209">
        <f>IF('Temperature Profiles'!AA96&gt;18,(0.0018*('Temperature Profiles'!AA96^2)-(0.0475*'Temperature Profiles'!AA96)+0.3123)*1000,IF(AND('Temperature Profiles'!AA96&lt;17,'Temperature Profiles'!AA96&gt;-5.6),(0.0021*('Temperature Profiles'!AA96^2)-(0.0919*'Temperature Profiles'!AA96)+1.0491)*1000,IF(AND('Temperature Profiles'!AA96&lt;-5.6,'Temperature Profiles'!AA96&gt;-11.4),(((-0.2925*'Temperature Profiles'!AA96)-1.6914)*1000)+EB$208,IF('Temperature Profiles'!AA96&lt;-11.4,EB200,0))))</f>
        <v>6900</v>
      </c>
      <c r="EC97" s="110">
        <v>0.95833333333333304</v>
      </c>
      <c r="ED97" s="209">
        <f>IF('Temperature Profiles'!AA96&gt;18,(0.0034*('Temperature Profiles'!AA96^2)-(0.087*'Temperature Profiles'!AA96)+0.5117)*1000,IF(AND('Temperature Profiles'!AA96&lt;17,'Temperature Profiles'!AA96&gt;-4.4),(0.0027*('Temperature Profiles'!AA96^2)-(0.149*'Temperature Profiles'!AA96)+1.7779)*1000,IF(AND('Temperature Profiles'!AA96&lt;-4.4,'Temperature Profiles'!AA96&gt;-8.5),(((-0.5391*'Temperature Profiles'!AA96)-2.0906)*1000)+ED$208,IF('Temperature Profiles'!AA96&lt;-8.5,ED200,0))))</f>
        <v>12300</v>
      </c>
      <c r="EE97" s="110">
        <v>0.95833333333333304</v>
      </c>
      <c r="EF97" s="211">
        <f>IF('Temperature Profiles'!AA96&gt;18,(0.0048*('Temperature Profiles'!AA96^2)-(0.1352*'Temperature Profiles'!AA96)+0.9193)*1000,IF(AND('Temperature Profiles'!AA96&lt;17,'Temperature Profiles'!AA96&gt;-4.4),(0.0031*('Temperature Profiles'!AA96^2)-(0.2029*'Temperature Profiles'!AA96)+2.4264)*1000,IF(AND('Temperature Profiles'!AA96&lt;-4.4,'Temperature Profiles'!AA96&gt;-8.5),(((-0.7516*'Temperature Profiles'!AA96)-2.9985)*1000)+EF$208,IF('Temperature Profiles'!AA96&lt;-8.5,EF200,0))))</f>
        <v>16000</v>
      </c>
      <c r="EG97" s="21"/>
      <c r="EH97" s="110">
        <v>0.95833333333333304</v>
      </c>
      <c r="EI97" s="211"/>
      <c r="EJ97" s="110">
        <v>0.95833333333333304</v>
      </c>
      <c r="EK97" s="211"/>
      <c r="EL97" s="110">
        <v>0.95833333333333304</v>
      </c>
      <c r="EM97" s="211"/>
      <c r="EN97" s="21"/>
      <c r="EO97" s="110">
        <v>0.95833333333333304</v>
      </c>
      <c r="EP97" s="211"/>
      <c r="EQ97" s="21"/>
      <c r="ER97" s="110">
        <v>0.95833333333333304</v>
      </c>
      <c r="ES97" s="264"/>
      <c r="EU97" s="260">
        <v>0.95833333333333304</v>
      </c>
      <c r="EV97" s="209">
        <f>IF('Temperature Profiles'!AA96&gt;18,(0.0018*('Temperature Profiles'!AA96^2)-(0.0475*'Temperature Profiles'!AA96)+0.3123)*1000,IF(AND('Temperature Profiles'!AA96&lt;17,'Temperature Profiles'!AA96&gt;-5.6),(0.0021*('Temperature Profiles'!AA96^2)-(0.0919*'Temperature Profiles'!AA96)+1.0491)*1000,IF(AND('Temperature Profiles'!AA96&lt;-5.6,'Temperature Profiles'!AA96&gt;-11.4),EV$208,IF('Temperature Profiles'!AA96&lt;-11.4,EV200,0))))</f>
        <v>5400</v>
      </c>
      <c r="EW97" s="110">
        <v>0.95833333333333304</v>
      </c>
      <c r="EX97" s="209">
        <f>IF('Temperature Profiles'!AA96&gt;18,(0.0034*('Temperature Profiles'!AA96^2)-(0.087*'Temperature Profiles'!AA96)+0.5117)*1000,IF(AND('Temperature Profiles'!AA96&lt;17,'Temperature Profiles'!AA96&gt;-4.4),(0.0027*('Temperature Profiles'!AA96^2)-(0.149*'Temperature Profiles'!AA96)+1.7779)*1000,IF(AND('Temperature Profiles'!AA96&lt;-4.4,'Temperature Profiles'!AA96&gt;-8.5),EX$208,IF('Temperature Profiles'!AA96&lt;-8.5,EX200,0))))</f>
        <v>5400</v>
      </c>
      <c r="EY97" s="110">
        <v>0.95833333333333304</v>
      </c>
      <c r="EZ97" s="264">
        <f>IF('Temperature Profiles'!AA96&gt;18,(0.0048*('Temperature Profiles'!AA96^2)-(0.1352*'Temperature Profiles'!AA96)+0.9193)*1000,IF(AND('Temperature Profiles'!AA96&lt;17,'Temperature Profiles'!AA96&gt;-4.4),(0.0031*('Temperature Profiles'!AA96^2)-(0.2029*'Temperature Profiles'!AA96)+2.4264)*1000,IF(AND('Temperature Profiles'!AA96&lt;-4.4,'Temperature Profiles'!AA96&gt;-8.5),EZ$208,IF('Temperature Profiles'!AA96&lt;-8.5,EZ200,0))))</f>
        <v>5400</v>
      </c>
    </row>
    <row r="98" spans="1:156" x14ac:dyDescent="0.3">
      <c r="A98" s="108">
        <v>0.95833333333333304</v>
      </c>
      <c r="B98" s="226">
        <f t="shared" si="7"/>
        <v>0</v>
      </c>
      <c r="C98" s="21">
        <f t="shared" si="8"/>
        <v>0</v>
      </c>
      <c r="D98" s="21">
        <f t="shared" si="9"/>
        <v>16000</v>
      </c>
      <c r="E98" s="20">
        <f t="shared" si="10"/>
        <v>5400</v>
      </c>
      <c r="G98" s="260">
        <v>0.96875</v>
      </c>
      <c r="H98" s="211"/>
      <c r="I98" s="110">
        <v>0.96875</v>
      </c>
      <c r="J98" s="211"/>
      <c r="K98" s="110">
        <v>0.96875</v>
      </c>
      <c r="L98" s="211"/>
      <c r="M98" s="21"/>
      <c r="N98" s="110">
        <v>0.96875</v>
      </c>
      <c r="O98" s="209"/>
      <c r="P98" s="110">
        <v>0.96875</v>
      </c>
      <c r="Q98" s="209"/>
      <c r="R98" s="110">
        <v>0.96875</v>
      </c>
      <c r="S98" s="211"/>
      <c r="T98" s="21"/>
      <c r="U98" s="110">
        <v>0.96875</v>
      </c>
      <c r="V98" s="209"/>
      <c r="W98" s="110">
        <v>0.96875</v>
      </c>
      <c r="X98" s="209"/>
      <c r="Y98" s="110">
        <v>0.96875</v>
      </c>
      <c r="Z98" s="211"/>
      <c r="AA98" s="21"/>
      <c r="AB98" s="110">
        <v>0.96875</v>
      </c>
      <c r="AC98" s="209"/>
      <c r="AD98" s="110">
        <v>0.96875</v>
      </c>
      <c r="AE98" s="209"/>
      <c r="AF98" s="110">
        <v>0.96875</v>
      </c>
      <c r="AG98" s="211"/>
      <c r="AH98" s="21"/>
      <c r="AI98" s="110">
        <v>0.96875</v>
      </c>
      <c r="AJ98" s="209"/>
      <c r="AK98" s="110">
        <v>0.96875</v>
      </c>
      <c r="AL98" s="209"/>
      <c r="AM98" s="110">
        <v>0.96875</v>
      </c>
      <c r="AN98" s="211"/>
      <c r="AO98" s="21"/>
      <c r="AP98" s="110">
        <v>0.96875</v>
      </c>
      <c r="AQ98" s="209"/>
      <c r="AR98" s="110">
        <v>0.96875</v>
      </c>
      <c r="AS98" s="209"/>
      <c r="AT98" s="110">
        <v>0.96875</v>
      </c>
      <c r="AU98" s="211"/>
      <c r="AV98" s="21"/>
      <c r="AW98" s="110">
        <v>0.96875</v>
      </c>
      <c r="AX98" s="211"/>
      <c r="AY98" s="21"/>
      <c r="AZ98" s="110">
        <v>0.96875</v>
      </c>
      <c r="BA98" s="264"/>
      <c r="BC98" s="260">
        <v>0.96875</v>
      </c>
      <c r="BD98" s="211"/>
      <c r="BE98" s="110">
        <v>0.96875</v>
      </c>
      <c r="BF98" s="211"/>
      <c r="BG98" s="110">
        <v>0.96875</v>
      </c>
      <c r="BH98" s="211"/>
      <c r="BI98" s="21"/>
      <c r="BJ98" s="110">
        <v>0.96875</v>
      </c>
      <c r="BK98" s="209"/>
      <c r="BL98" s="110">
        <v>0.96875</v>
      </c>
      <c r="BM98" s="209"/>
      <c r="BN98" s="110">
        <v>0.96875</v>
      </c>
      <c r="BO98" s="211"/>
      <c r="BP98" s="21"/>
      <c r="BQ98" s="110">
        <v>0.96875</v>
      </c>
      <c r="BR98" s="209"/>
      <c r="BS98" s="110">
        <v>0.96875</v>
      </c>
      <c r="BT98" s="209"/>
      <c r="BU98" s="110">
        <v>0.96875</v>
      </c>
      <c r="BV98" s="211"/>
      <c r="BW98" s="21"/>
      <c r="BX98" s="110">
        <v>0.96875</v>
      </c>
      <c r="BY98" s="209"/>
      <c r="BZ98" s="110">
        <v>0.96875</v>
      </c>
      <c r="CA98" s="209"/>
      <c r="CB98" s="110">
        <v>0.96875</v>
      </c>
      <c r="CC98" s="211"/>
      <c r="CD98" s="21"/>
      <c r="CE98" s="110">
        <v>0.96875</v>
      </c>
      <c r="CF98" s="209"/>
      <c r="CG98" s="110">
        <v>0.96875</v>
      </c>
      <c r="CH98" s="209"/>
      <c r="CI98" s="110">
        <v>0.96875</v>
      </c>
      <c r="CJ98" s="211"/>
      <c r="CK98" s="21"/>
      <c r="CL98" s="110">
        <v>0.96875</v>
      </c>
      <c r="CM98" s="209"/>
      <c r="CN98" s="110">
        <v>0.96875</v>
      </c>
      <c r="CO98" s="209"/>
      <c r="CP98" s="110">
        <v>0.96875</v>
      </c>
      <c r="CQ98" s="211"/>
      <c r="CR98" s="21"/>
      <c r="CS98" s="110">
        <v>0.96875</v>
      </c>
      <c r="CT98" s="211"/>
      <c r="CU98" s="21"/>
      <c r="CV98" s="110">
        <v>0.96875</v>
      </c>
      <c r="CW98" s="264"/>
      <c r="CY98" s="260">
        <v>0.96875</v>
      </c>
      <c r="CZ98" s="178"/>
      <c r="DA98" s="110">
        <v>0.96875</v>
      </c>
      <c r="DB98" s="263"/>
      <c r="DC98" s="110">
        <v>0.96875</v>
      </c>
      <c r="DD98" s="211"/>
      <c r="DE98" s="21"/>
      <c r="DF98" s="110">
        <v>0.96875</v>
      </c>
      <c r="DG98" s="209"/>
      <c r="DH98" s="110">
        <v>0.96875</v>
      </c>
      <c r="DI98" s="209"/>
      <c r="DJ98" s="110">
        <v>0.96875</v>
      </c>
      <c r="DK98" s="211"/>
      <c r="DL98" s="21"/>
      <c r="DM98" s="110">
        <v>0.96875</v>
      </c>
      <c r="DN98" s="209"/>
      <c r="DO98" s="110">
        <v>0.96875</v>
      </c>
      <c r="DP98" s="209"/>
      <c r="DQ98" s="110">
        <v>0.96875</v>
      </c>
      <c r="DR98" s="211"/>
      <c r="DS98" s="21"/>
      <c r="DT98" s="110">
        <v>0.96875</v>
      </c>
      <c r="DU98" s="209"/>
      <c r="DV98" s="110">
        <v>0.96875</v>
      </c>
      <c r="DW98" s="209"/>
      <c r="DX98" s="110">
        <v>0.96875</v>
      </c>
      <c r="DY98" s="211"/>
      <c r="DZ98" s="21"/>
      <c r="EA98" s="110">
        <v>0.96875</v>
      </c>
      <c r="EB98" s="209">
        <f>IF('Temperature Profiles'!AA97&gt;18,(0.0018*('Temperature Profiles'!AA97^2)-(0.0475*'Temperature Profiles'!AA97)+0.3123)*1000,IF(AND('Temperature Profiles'!AA97&lt;17,'Temperature Profiles'!AA97&gt;-5.6),(0.0021*('Temperature Profiles'!AA97^2)-(0.0919*'Temperature Profiles'!AA97)+1.0491)*1000,IF(AND('Temperature Profiles'!AA97&lt;-5.6,'Temperature Profiles'!AA97&gt;-11.4),(((-0.2925*'Temperature Profiles'!AA97)-1.6914)*1000)+EB$208,IF('Temperature Profiles'!AA97&lt;-11.4,EB201,0))))</f>
        <v>0</v>
      </c>
      <c r="EC98" s="110">
        <v>0.96875</v>
      </c>
      <c r="ED98" s="209">
        <f>IF('Temperature Profiles'!AA97&gt;18,(0.0034*('Temperature Profiles'!AA97^2)-(0.087*'Temperature Profiles'!AA97)+0.5117)*1000,IF(AND('Temperature Profiles'!AA97&lt;17,'Temperature Profiles'!AA97&gt;-4.4),(0.0027*('Temperature Profiles'!AA97^2)-(0.149*'Temperature Profiles'!AA97)+1.7779)*1000,IF(AND('Temperature Profiles'!AA97&lt;-4.4,'Temperature Profiles'!AA97&gt;-8.5),(((-0.5391*'Temperature Profiles'!AA97)-2.0906)*1000)+ED$208,IF('Temperature Profiles'!AA97&lt;-8.5,ED201,0))))</f>
        <v>0</v>
      </c>
      <c r="EE98" s="110">
        <v>0.96875</v>
      </c>
      <c r="EF98" s="211">
        <f>IF('Temperature Profiles'!AA97&gt;18,(0.0048*('Temperature Profiles'!AA97^2)-(0.1352*'Temperature Profiles'!AA97)+0.9193)*1000,IF(AND('Temperature Profiles'!AA97&lt;17,'Temperature Profiles'!AA97&gt;-4.4),(0.0031*('Temperature Profiles'!AA97^2)-(0.2029*'Temperature Profiles'!AA97)+2.4264)*1000,IF(AND('Temperature Profiles'!AA97&lt;-4.4,'Temperature Profiles'!AA97&gt;-8.5),(((-0.7516*'Temperature Profiles'!AA97)-2.9985)*1000)+EF$208,IF('Temperature Profiles'!AA97&lt;-8.5,EF201,0))))</f>
        <v>0</v>
      </c>
      <c r="EG98" s="21"/>
      <c r="EH98" s="110">
        <v>0.96875</v>
      </c>
      <c r="EI98" s="211"/>
      <c r="EJ98" s="110">
        <v>0.96875</v>
      </c>
      <c r="EK98" s="211"/>
      <c r="EL98" s="110">
        <v>0.96875</v>
      </c>
      <c r="EM98" s="211"/>
      <c r="EN98" s="21"/>
      <c r="EO98" s="110">
        <v>0.96875</v>
      </c>
      <c r="EP98" s="211"/>
      <c r="EQ98" s="21"/>
      <c r="ER98" s="110">
        <v>0.96875</v>
      </c>
      <c r="ES98" s="264"/>
      <c r="EU98" s="260">
        <v>0.96875</v>
      </c>
      <c r="EV98" s="209">
        <f>IF('Temperature Profiles'!AA97&gt;18,(0.0018*('Temperature Profiles'!AA97^2)-(0.0475*'Temperature Profiles'!AA97)+0.3123)*1000,IF(AND('Temperature Profiles'!AA97&lt;17,'Temperature Profiles'!AA97&gt;-5.6),(0.0021*('Temperature Profiles'!AA97^2)-(0.0919*'Temperature Profiles'!AA97)+1.0491)*1000,IF(AND('Temperature Profiles'!AA97&lt;-5.6,'Temperature Profiles'!AA97&gt;-11.4),EV$208,IF('Temperature Profiles'!AA97&lt;-11.4,EV201,0))))</f>
        <v>0</v>
      </c>
      <c r="EW98" s="110">
        <v>0.96875</v>
      </c>
      <c r="EX98" s="209">
        <f>IF('Temperature Profiles'!AA97&gt;18,(0.0034*('Temperature Profiles'!AA97^2)-(0.087*'Temperature Profiles'!AA97)+0.5117)*1000,IF(AND('Temperature Profiles'!AA97&lt;17,'Temperature Profiles'!AA97&gt;-4.4),(0.0027*('Temperature Profiles'!AA97^2)-(0.149*'Temperature Profiles'!AA97)+1.7779)*1000,IF(AND('Temperature Profiles'!AA97&lt;-4.4,'Temperature Profiles'!AA97&gt;-8.5),EX$208,IF('Temperature Profiles'!AA97&lt;-8.5,EX201,0))))</f>
        <v>0</v>
      </c>
      <c r="EY98" s="110">
        <v>0.96875</v>
      </c>
      <c r="EZ98" s="264">
        <f>IF('Temperature Profiles'!AA97&gt;18,(0.0048*('Temperature Profiles'!AA97^2)-(0.1352*'Temperature Profiles'!AA97)+0.9193)*1000,IF(AND('Temperature Profiles'!AA97&lt;17,'Temperature Profiles'!AA97&gt;-4.4),(0.0031*('Temperature Profiles'!AA97^2)-(0.2029*'Temperature Profiles'!AA97)+2.4264)*1000,IF(AND('Temperature Profiles'!AA97&lt;-4.4,'Temperature Profiles'!AA97&gt;-8.5),EZ$208,IF('Temperature Profiles'!AA97&lt;-8.5,EZ201,0))))</f>
        <v>0</v>
      </c>
    </row>
    <row r="99" spans="1:156" x14ac:dyDescent="0.3">
      <c r="A99" s="108">
        <v>0.96875</v>
      </c>
      <c r="B99" s="226">
        <f t="shared" si="7"/>
        <v>0</v>
      </c>
      <c r="C99" s="21">
        <f t="shared" si="8"/>
        <v>0</v>
      </c>
      <c r="D99" s="21">
        <f t="shared" si="9"/>
        <v>0</v>
      </c>
      <c r="E99" s="20">
        <f t="shared" si="10"/>
        <v>0</v>
      </c>
      <c r="G99" s="260">
        <v>0.97916666666666696</v>
      </c>
      <c r="H99" s="211"/>
      <c r="I99" s="110">
        <v>0.97916666666666696</v>
      </c>
      <c r="J99" s="211"/>
      <c r="K99" s="110">
        <v>0.97916666666666696</v>
      </c>
      <c r="L99" s="211"/>
      <c r="M99" s="21"/>
      <c r="N99" s="110">
        <v>0.97916666666666696</v>
      </c>
      <c r="O99" s="209"/>
      <c r="P99" s="110">
        <v>0.97916666666666696</v>
      </c>
      <c r="Q99" s="209"/>
      <c r="R99" s="110">
        <v>0.97916666666666696</v>
      </c>
      <c r="S99" s="211"/>
      <c r="T99" s="21"/>
      <c r="U99" s="110">
        <v>0.97916666666666696</v>
      </c>
      <c r="V99" s="209"/>
      <c r="W99" s="110">
        <v>0.97916666666666696</v>
      </c>
      <c r="X99" s="209"/>
      <c r="Y99" s="110">
        <v>0.97916666666666696</v>
      </c>
      <c r="Z99" s="211"/>
      <c r="AA99" s="21"/>
      <c r="AB99" s="110">
        <v>0.97916666666666696</v>
      </c>
      <c r="AC99" s="209"/>
      <c r="AD99" s="110">
        <v>0.97916666666666696</v>
      </c>
      <c r="AE99" s="209"/>
      <c r="AF99" s="110">
        <v>0.97916666666666696</v>
      </c>
      <c r="AG99" s="211"/>
      <c r="AH99" s="21"/>
      <c r="AI99" s="110">
        <v>0.97916666666666696</v>
      </c>
      <c r="AJ99" s="209"/>
      <c r="AK99" s="110">
        <v>0.97916666666666696</v>
      </c>
      <c r="AL99" s="209"/>
      <c r="AM99" s="110">
        <v>0.97916666666666696</v>
      </c>
      <c r="AN99" s="211"/>
      <c r="AO99" s="21"/>
      <c r="AP99" s="110">
        <v>0.97916666666666696</v>
      </c>
      <c r="AQ99" s="209"/>
      <c r="AR99" s="110">
        <v>0.97916666666666696</v>
      </c>
      <c r="AS99" s="209"/>
      <c r="AT99" s="110">
        <v>0.97916666666666696</v>
      </c>
      <c r="AU99" s="211"/>
      <c r="AV99" s="21"/>
      <c r="AW99" s="110">
        <v>0.97916666666666696</v>
      </c>
      <c r="AX99" s="211"/>
      <c r="AY99" s="21"/>
      <c r="AZ99" s="110">
        <v>0.97916666666666696</v>
      </c>
      <c r="BA99" s="264"/>
      <c r="BC99" s="260">
        <v>0.97916666666666696</v>
      </c>
      <c r="BD99" s="211"/>
      <c r="BE99" s="110">
        <v>0.97916666666666696</v>
      </c>
      <c r="BF99" s="211"/>
      <c r="BG99" s="110">
        <v>0.97916666666666696</v>
      </c>
      <c r="BH99" s="211"/>
      <c r="BI99" s="21"/>
      <c r="BJ99" s="110">
        <v>0.97916666666666696</v>
      </c>
      <c r="BK99" s="209"/>
      <c r="BL99" s="110">
        <v>0.97916666666666696</v>
      </c>
      <c r="BM99" s="209"/>
      <c r="BN99" s="110">
        <v>0.97916666666666696</v>
      </c>
      <c r="BO99" s="211"/>
      <c r="BP99" s="21"/>
      <c r="BQ99" s="110">
        <v>0.97916666666666696</v>
      </c>
      <c r="BR99" s="209"/>
      <c r="BS99" s="110">
        <v>0.97916666666666696</v>
      </c>
      <c r="BT99" s="209"/>
      <c r="BU99" s="110">
        <v>0.97916666666666696</v>
      </c>
      <c r="BV99" s="211"/>
      <c r="BW99" s="21"/>
      <c r="BX99" s="110">
        <v>0.97916666666666696</v>
      </c>
      <c r="BY99" s="209"/>
      <c r="BZ99" s="110">
        <v>0.97916666666666696</v>
      </c>
      <c r="CA99" s="209"/>
      <c r="CB99" s="110">
        <v>0.97916666666666696</v>
      </c>
      <c r="CC99" s="211"/>
      <c r="CD99" s="21"/>
      <c r="CE99" s="110">
        <v>0.97916666666666696</v>
      </c>
      <c r="CF99" s="209"/>
      <c r="CG99" s="110">
        <v>0.97916666666666696</v>
      </c>
      <c r="CH99" s="209"/>
      <c r="CI99" s="110">
        <v>0.97916666666666696</v>
      </c>
      <c r="CJ99" s="211"/>
      <c r="CK99" s="21"/>
      <c r="CL99" s="110">
        <v>0.97916666666666696</v>
      </c>
      <c r="CM99" s="209"/>
      <c r="CN99" s="110">
        <v>0.97916666666666696</v>
      </c>
      <c r="CO99" s="209"/>
      <c r="CP99" s="110">
        <v>0.97916666666666696</v>
      </c>
      <c r="CQ99" s="211"/>
      <c r="CR99" s="21"/>
      <c r="CS99" s="110">
        <v>0.97916666666666696</v>
      </c>
      <c r="CT99" s="211"/>
      <c r="CU99" s="21"/>
      <c r="CV99" s="110">
        <v>0.97916666666666696</v>
      </c>
      <c r="CW99" s="264"/>
      <c r="CY99" s="260">
        <v>0.97916666666666696</v>
      </c>
      <c r="CZ99" s="178"/>
      <c r="DA99" s="110">
        <v>0.97916666666666696</v>
      </c>
      <c r="DB99" s="263"/>
      <c r="DC99" s="110">
        <v>0.97916666666666696</v>
      </c>
      <c r="DD99" s="211"/>
      <c r="DE99" s="21"/>
      <c r="DF99" s="110">
        <v>0.97916666666666696</v>
      </c>
      <c r="DG99" s="209"/>
      <c r="DH99" s="110">
        <v>0.97916666666666696</v>
      </c>
      <c r="DI99" s="209"/>
      <c r="DJ99" s="110">
        <v>0.97916666666666696</v>
      </c>
      <c r="DK99" s="211"/>
      <c r="DL99" s="21"/>
      <c r="DM99" s="110">
        <v>0.97916666666666696</v>
      </c>
      <c r="DN99" s="209"/>
      <c r="DO99" s="110">
        <v>0.97916666666666696</v>
      </c>
      <c r="DP99" s="209"/>
      <c r="DQ99" s="110">
        <v>0.97916666666666696</v>
      </c>
      <c r="DR99" s="211"/>
      <c r="DS99" s="21"/>
      <c r="DT99" s="110">
        <v>0.97916666666666696</v>
      </c>
      <c r="DU99" s="209"/>
      <c r="DV99" s="110">
        <v>0.97916666666666696</v>
      </c>
      <c r="DW99" s="209"/>
      <c r="DX99" s="110">
        <v>0.97916666666666696</v>
      </c>
      <c r="DY99" s="211"/>
      <c r="DZ99" s="21"/>
      <c r="EA99" s="110">
        <v>0.97916666666666696</v>
      </c>
      <c r="EB99" s="209">
        <f>IF('Temperature Profiles'!AA98&gt;18,(0.0018*('Temperature Profiles'!AA98^2)-(0.0475*'Temperature Profiles'!AA98)+0.3123)*1000,IF(AND('Temperature Profiles'!AA98&lt;17,'Temperature Profiles'!AA98&gt;-5.6),(0.0021*('Temperature Profiles'!AA98^2)-(0.0919*'Temperature Profiles'!AA98)+1.0491)*1000,IF(AND('Temperature Profiles'!AA98&lt;-5.6,'Temperature Profiles'!AA98&gt;-11.4),(((-0.2925*'Temperature Profiles'!AA98)-1.6914)*1000)+EB$208,IF('Temperature Profiles'!AA98&lt;-11.4,EB202,0))))</f>
        <v>0</v>
      </c>
      <c r="EC99" s="110">
        <v>0.97916666666666696</v>
      </c>
      <c r="ED99" s="209">
        <f>IF('Temperature Profiles'!AA98&gt;18,(0.0034*('Temperature Profiles'!AA98^2)-(0.087*'Temperature Profiles'!AA98)+0.5117)*1000,IF(AND('Temperature Profiles'!AA98&lt;17,'Temperature Profiles'!AA98&gt;-4.4),(0.0027*('Temperature Profiles'!AA98^2)-(0.149*'Temperature Profiles'!AA98)+1.7779)*1000,IF(AND('Temperature Profiles'!AA98&lt;-4.4,'Temperature Profiles'!AA98&gt;-8.5),(((-0.5391*'Temperature Profiles'!AA98)-2.0906)*1000)+ED$208,IF('Temperature Profiles'!AA98&lt;-8.5,ED202,0))))</f>
        <v>0</v>
      </c>
      <c r="EE99" s="110">
        <v>0.97916666666666696</v>
      </c>
      <c r="EF99" s="211">
        <f>IF('Temperature Profiles'!AA98&gt;18,(0.0048*('Temperature Profiles'!AA98^2)-(0.1352*'Temperature Profiles'!AA98)+0.9193)*1000,IF(AND('Temperature Profiles'!AA98&lt;17,'Temperature Profiles'!AA98&gt;-4.4),(0.0031*('Temperature Profiles'!AA98^2)-(0.2029*'Temperature Profiles'!AA98)+2.4264)*1000,IF(AND('Temperature Profiles'!AA98&lt;-4.4,'Temperature Profiles'!AA98&gt;-8.5),(((-0.7516*'Temperature Profiles'!AA98)-2.9985)*1000)+EF$208,IF('Temperature Profiles'!AA98&lt;-8.5,EF202,0))))</f>
        <v>0</v>
      </c>
      <c r="EG99" s="21"/>
      <c r="EH99" s="110">
        <v>0.97916666666666696</v>
      </c>
      <c r="EI99" s="211"/>
      <c r="EJ99" s="110">
        <v>0.97916666666666696</v>
      </c>
      <c r="EK99" s="211"/>
      <c r="EL99" s="110">
        <v>0.97916666666666696</v>
      </c>
      <c r="EM99" s="211"/>
      <c r="EN99" s="21"/>
      <c r="EO99" s="110">
        <v>0.97916666666666696</v>
      </c>
      <c r="EP99" s="211"/>
      <c r="EQ99" s="21"/>
      <c r="ER99" s="110">
        <v>0.97916666666666696</v>
      </c>
      <c r="ES99" s="264"/>
      <c r="EU99" s="260">
        <v>0.97916666666666696</v>
      </c>
      <c r="EV99" s="209">
        <f>IF('Temperature Profiles'!AA98&gt;18,(0.0018*('Temperature Profiles'!AA98^2)-(0.0475*'Temperature Profiles'!AA98)+0.3123)*1000,IF(AND('Temperature Profiles'!AA98&lt;17,'Temperature Profiles'!AA98&gt;-5.6),(0.0021*('Temperature Profiles'!AA98^2)-(0.0919*'Temperature Profiles'!AA98)+1.0491)*1000,IF(AND('Temperature Profiles'!AA98&lt;-5.6,'Temperature Profiles'!AA98&gt;-11.4),EV$208,IF('Temperature Profiles'!AA98&lt;-11.4,EV202,0))))</f>
        <v>0</v>
      </c>
      <c r="EW99" s="110">
        <v>0.97916666666666696</v>
      </c>
      <c r="EX99" s="209">
        <f>IF('Temperature Profiles'!AA98&gt;18,(0.0034*('Temperature Profiles'!AA98^2)-(0.087*'Temperature Profiles'!AA98)+0.5117)*1000,IF(AND('Temperature Profiles'!AA98&lt;17,'Temperature Profiles'!AA98&gt;-4.4),(0.0027*('Temperature Profiles'!AA98^2)-(0.149*'Temperature Profiles'!AA98)+1.7779)*1000,IF(AND('Temperature Profiles'!AA98&lt;-4.4,'Temperature Profiles'!AA98&gt;-8.5),EX$208,IF('Temperature Profiles'!AA98&lt;-8.5,EX202,0))))</f>
        <v>0</v>
      </c>
      <c r="EY99" s="110">
        <v>0.97916666666666696</v>
      </c>
      <c r="EZ99" s="264">
        <f>IF('Temperature Profiles'!AA98&gt;18,(0.0048*('Temperature Profiles'!AA98^2)-(0.1352*'Temperature Profiles'!AA98)+0.9193)*1000,IF(AND('Temperature Profiles'!AA98&lt;17,'Temperature Profiles'!AA98&gt;-4.4),(0.0031*('Temperature Profiles'!AA98^2)-(0.2029*'Temperature Profiles'!AA98)+2.4264)*1000,IF(AND('Temperature Profiles'!AA98&lt;-4.4,'Temperature Profiles'!AA98&gt;-8.5),EZ$208,IF('Temperature Profiles'!AA98&lt;-8.5,EZ202,0))))</f>
        <v>0</v>
      </c>
    </row>
    <row r="100" spans="1:156" x14ac:dyDescent="0.3">
      <c r="A100" s="108">
        <v>0.97916666666666696</v>
      </c>
      <c r="B100" s="226">
        <f t="shared" si="7"/>
        <v>0</v>
      </c>
      <c r="C100" s="21">
        <f t="shared" si="8"/>
        <v>0</v>
      </c>
      <c r="D100" s="21">
        <f t="shared" si="9"/>
        <v>0</v>
      </c>
      <c r="E100" s="20">
        <f t="shared" si="10"/>
        <v>0</v>
      </c>
      <c r="G100" s="261">
        <v>0.98958333333333304</v>
      </c>
      <c r="H100" s="212"/>
      <c r="I100" s="317">
        <v>0.98958333333333304</v>
      </c>
      <c r="J100" s="212"/>
      <c r="K100" s="317">
        <v>0.98958333333333304</v>
      </c>
      <c r="L100" s="212"/>
      <c r="M100" s="21"/>
      <c r="N100" s="317">
        <v>0.98958333333333304</v>
      </c>
      <c r="O100" s="210"/>
      <c r="P100" s="317">
        <v>0.98958333333333304</v>
      </c>
      <c r="Q100" s="210"/>
      <c r="R100" s="317">
        <v>0.98958333333333304</v>
      </c>
      <c r="S100" s="212"/>
      <c r="T100" s="21"/>
      <c r="U100" s="317">
        <v>0.98958333333333304</v>
      </c>
      <c r="V100" s="210"/>
      <c r="W100" s="317">
        <v>0.98958333333333304</v>
      </c>
      <c r="X100" s="210"/>
      <c r="Y100" s="317">
        <v>0.98958333333333304</v>
      </c>
      <c r="Z100" s="212"/>
      <c r="AA100" s="21"/>
      <c r="AB100" s="317">
        <v>0.98958333333333304</v>
      </c>
      <c r="AC100" s="210"/>
      <c r="AD100" s="317">
        <v>0.98958333333333304</v>
      </c>
      <c r="AE100" s="210"/>
      <c r="AF100" s="317">
        <v>0.98958333333333304</v>
      </c>
      <c r="AG100" s="212"/>
      <c r="AH100" s="21"/>
      <c r="AI100" s="317">
        <v>0.98958333333333304</v>
      </c>
      <c r="AJ100" s="210"/>
      <c r="AK100" s="317">
        <v>0.98958333333333304</v>
      </c>
      <c r="AL100" s="210"/>
      <c r="AM100" s="317">
        <v>0.98958333333333304</v>
      </c>
      <c r="AN100" s="212"/>
      <c r="AO100" s="21"/>
      <c r="AP100" s="317">
        <v>0.98958333333333304</v>
      </c>
      <c r="AQ100" s="210"/>
      <c r="AR100" s="317">
        <v>0.98958333333333304</v>
      </c>
      <c r="AS100" s="210"/>
      <c r="AT100" s="317">
        <v>0.98958333333333304</v>
      </c>
      <c r="AU100" s="212"/>
      <c r="AV100" s="21"/>
      <c r="AW100" s="317">
        <v>0.98958333333333304</v>
      </c>
      <c r="AX100" s="212"/>
      <c r="AY100" s="21"/>
      <c r="AZ100" s="317">
        <v>0.98958333333333304</v>
      </c>
      <c r="BA100" s="265"/>
      <c r="BC100" s="261">
        <v>0.98958333333333304</v>
      </c>
      <c r="BD100" s="212"/>
      <c r="BE100" s="317">
        <v>0.98958333333333304</v>
      </c>
      <c r="BF100" s="212"/>
      <c r="BG100" s="317">
        <v>0.98958333333333304</v>
      </c>
      <c r="BH100" s="212"/>
      <c r="BI100" s="21"/>
      <c r="BJ100" s="317">
        <v>0.98958333333333304</v>
      </c>
      <c r="BK100" s="210"/>
      <c r="BL100" s="317">
        <v>0.98958333333333304</v>
      </c>
      <c r="BM100" s="210"/>
      <c r="BN100" s="317">
        <v>0.98958333333333304</v>
      </c>
      <c r="BO100" s="212"/>
      <c r="BP100" s="21"/>
      <c r="BQ100" s="317">
        <v>0.98958333333333304</v>
      </c>
      <c r="BR100" s="210"/>
      <c r="BS100" s="317">
        <v>0.98958333333333304</v>
      </c>
      <c r="BT100" s="210"/>
      <c r="BU100" s="317">
        <v>0.98958333333333304</v>
      </c>
      <c r="BV100" s="212"/>
      <c r="BW100" s="21"/>
      <c r="BX100" s="317">
        <v>0.98958333333333304</v>
      </c>
      <c r="BY100" s="210"/>
      <c r="BZ100" s="317">
        <v>0.98958333333333304</v>
      </c>
      <c r="CA100" s="210"/>
      <c r="CB100" s="317">
        <v>0.98958333333333304</v>
      </c>
      <c r="CC100" s="212"/>
      <c r="CD100" s="21"/>
      <c r="CE100" s="317">
        <v>0.98958333333333304</v>
      </c>
      <c r="CF100" s="210"/>
      <c r="CG100" s="317">
        <v>0.98958333333333304</v>
      </c>
      <c r="CH100" s="210"/>
      <c r="CI100" s="317">
        <v>0.98958333333333304</v>
      </c>
      <c r="CJ100" s="212"/>
      <c r="CK100" s="21"/>
      <c r="CL100" s="317">
        <v>0.98958333333333304</v>
      </c>
      <c r="CM100" s="210"/>
      <c r="CN100" s="317">
        <v>0.98958333333333304</v>
      </c>
      <c r="CO100" s="210"/>
      <c r="CP100" s="317">
        <v>0.98958333333333304</v>
      </c>
      <c r="CQ100" s="212"/>
      <c r="CR100" s="21"/>
      <c r="CS100" s="317">
        <v>0.98958333333333304</v>
      </c>
      <c r="CT100" s="212"/>
      <c r="CU100" s="21"/>
      <c r="CV100" s="317">
        <v>0.98958333333333304</v>
      </c>
      <c r="CW100" s="265"/>
      <c r="CY100" s="261">
        <v>0.98958333333333304</v>
      </c>
      <c r="CZ100" s="208"/>
      <c r="DA100" s="317">
        <v>0.98958333333333304</v>
      </c>
      <c r="DB100" s="273"/>
      <c r="DC100" s="317">
        <v>0.98958333333333304</v>
      </c>
      <c r="DD100" s="212"/>
      <c r="DE100" s="21"/>
      <c r="DF100" s="317">
        <v>0.98958333333333304</v>
      </c>
      <c r="DG100" s="210"/>
      <c r="DH100" s="317">
        <v>0.98958333333333304</v>
      </c>
      <c r="DI100" s="210"/>
      <c r="DJ100" s="317">
        <v>0.98958333333333304</v>
      </c>
      <c r="DK100" s="212"/>
      <c r="DL100" s="21"/>
      <c r="DM100" s="317">
        <v>0.98958333333333304</v>
      </c>
      <c r="DN100" s="210"/>
      <c r="DO100" s="317">
        <v>0.98958333333333304</v>
      </c>
      <c r="DP100" s="210"/>
      <c r="DQ100" s="317">
        <v>0.98958333333333304</v>
      </c>
      <c r="DR100" s="212"/>
      <c r="DS100" s="21"/>
      <c r="DT100" s="317">
        <v>0.98958333333333304</v>
      </c>
      <c r="DU100" s="210"/>
      <c r="DV100" s="317">
        <v>0.98958333333333304</v>
      </c>
      <c r="DW100" s="210"/>
      <c r="DX100" s="317">
        <v>0.98958333333333304</v>
      </c>
      <c r="DY100" s="212"/>
      <c r="DZ100" s="21"/>
      <c r="EA100" s="317">
        <v>0.98958333333333304</v>
      </c>
      <c r="EB100" s="283">
        <f>IF('Temperature Profiles'!AA99&gt;18,(0.0018*('Temperature Profiles'!AA99^2)-(0.0475*'Temperature Profiles'!AA99)+0.3123)*1000,IF(AND('Temperature Profiles'!AA99&lt;17,'Temperature Profiles'!AA99&gt;-5.6),(0.0021*('Temperature Profiles'!AA99^2)-(0.0919*'Temperature Profiles'!AA99)+1.0491)*1000,IF(AND('Temperature Profiles'!AA99&lt;-5.6,'Temperature Profiles'!AA99&gt;-11.4),(((-0.2925*'Temperature Profiles'!AA99)-1.6914)*1000)+EB$208,IF('Temperature Profiles'!AA99&lt;-11.4,EB203,0))))</f>
        <v>0</v>
      </c>
      <c r="EC100" s="317">
        <v>0.98958333333333304</v>
      </c>
      <c r="ED100" s="294">
        <f>IF('Temperature Profiles'!AA99&gt;18,(0.0034*('Temperature Profiles'!AA99^2)-(0.087*'Temperature Profiles'!AA99)+0.5117)*1000,IF(AND('Temperature Profiles'!AA99&lt;17,'Temperature Profiles'!AA99&gt;-4.4),(0.0027*('Temperature Profiles'!AA99^2)-(0.149*'Temperature Profiles'!AA99)+1.7779)*1000,IF(AND('Temperature Profiles'!AA99&lt;-4.4,'Temperature Profiles'!AA99&gt;-8.5),(((-0.5391*'Temperature Profiles'!AA99)-2.0906)*1000)+ED$208,IF('Temperature Profiles'!AA99&lt;-8.5,ED203,0))))</f>
        <v>0</v>
      </c>
      <c r="EE100" s="317">
        <v>0.98958333333333304</v>
      </c>
      <c r="EF100" s="212">
        <f>IF('Temperature Profiles'!AA99&gt;18,(0.0048*('Temperature Profiles'!AA99^2)-(0.1352*'Temperature Profiles'!AA99)+0.9193)*1000,IF(AND('Temperature Profiles'!AA99&lt;17,'Temperature Profiles'!AA99&gt;-4.4),(0.0031*('Temperature Profiles'!AA99^2)-(0.2029*'Temperature Profiles'!AA99)+2.4264)*1000,IF(AND('Temperature Profiles'!AA99&lt;-4.4,'Temperature Profiles'!AA99&gt;-8.5),(((-0.7516*'Temperature Profiles'!AA99)-2.9985)*1000)+EF$208,IF('Temperature Profiles'!AA99&lt;-8.5,EF203,0))))</f>
        <v>0</v>
      </c>
      <c r="EG100" s="21"/>
      <c r="EH100" s="317">
        <v>0.98958333333333304</v>
      </c>
      <c r="EI100" s="212"/>
      <c r="EJ100" s="317">
        <v>0.98958333333333304</v>
      </c>
      <c r="EK100" s="212"/>
      <c r="EL100" s="317">
        <v>0.98958333333333304</v>
      </c>
      <c r="EM100" s="212"/>
      <c r="EN100" s="21"/>
      <c r="EO100" s="317">
        <v>0.98958333333333304</v>
      </c>
      <c r="EP100" s="212"/>
      <c r="EQ100" s="21"/>
      <c r="ER100" s="317">
        <v>0.98958333333333304</v>
      </c>
      <c r="ES100" s="265"/>
      <c r="EU100" s="261">
        <v>0.98958333333333304</v>
      </c>
      <c r="EV100" s="210">
        <f>IF('Temperature Profiles'!AA99&gt;18,(0.0018*('Temperature Profiles'!AA99^2)-(0.0475*'Temperature Profiles'!AA99)+0.3123)*1000,IF(AND('Temperature Profiles'!AA99&lt;17,'Temperature Profiles'!AA99&gt;-5.6),(0.0021*('Temperature Profiles'!AA99^2)-(0.0919*'Temperature Profiles'!AA99)+1.0491)*1000,IF(AND('Temperature Profiles'!AA99&lt;-5.6,'Temperature Profiles'!AA99&gt;-11.4),EV$208,IF('Temperature Profiles'!AA99&lt;-11.4,EV203,0))))</f>
        <v>0</v>
      </c>
      <c r="EW100" s="317">
        <v>0.98958333333333304</v>
      </c>
      <c r="EX100" s="210">
        <f>IF('Temperature Profiles'!AA99&gt;18,(0.0034*('Temperature Profiles'!AA99^2)-(0.087*'Temperature Profiles'!AA99)+0.5117)*1000,IF(AND('Temperature Profiles'!AA99&lt;17,'Temperature Profiles'!AA99&gt;-4.4),(0.0027*('Temperature Profiles'!AA99^2)-(0.149*'Temperature Profiles'!AA99)+1.7779)*1000,IF(AND('Temperature Profiles'!AA99&lt;-4.4,'Temperature Profiles'!AA99&gt;-8.5),EX$208,IF('Temperature Profiles'!AA99&lt;-8.5,EX203,0))))</f>
        <v>0</v>
      </c>
      <c r="EY100" s="317">
        <v>0.98958333333333304</v>
      </c>
      <c r="EZ100" s="265">
        <f>IF('Temperature Profiles'!AA99&gt;18,(0.0048*('Temperature Profiles'!AA99^2)-(0.1352*'Temperature Profiles'!AA99)+0.9193)*1000,IF(AND('Temperature Profiles'!AA99&lt;17,'Temperature Profiles'!AA99&gt;-4.4),(0.0031*('Temperature Profiles'!AA99^2)-(0.2029*'Temperature Profiles'!AA99)+2.4264)*1000,IF(AND('Temperature Profiles'!AA99&lt;-4.4,'Temperature Profiles'!AA99&gt;-8.5),EZ$208,IF('Temperature Profiles'!AA99&lt;-8.5,EZ203,0))))</f>
        <v>0</v>
      </c>
    </row>
    <row r="101" spans="1:156" x14ac:dyDescent="0.3">
      <c r="A101" s="108">
        <v>0.98958333333333304</v>
      </c>
      <c r="B101" s="227">
        <f t="shared" si="7"/>
        <v>0</v>
      </c>
      <c r="C101" s="228">
        <f t="shared" si="8"/>
        <v>0</v>
      </c>
      <c r="D101" s="228">
        <f t="shared" si="9"/>
        <v>0</v>
      </c>
      <c r="E101" s="26">
        <f t="shared" si="10"/>
        <v>0</v>
      </c>
      <c r="G101" s="190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181"/>
      <c r="BC101" s="190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181"/>
      <c r="CY101" s="190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181"/>
      <c r="EU101" s="190"/>
      <c r="EV101" s="21"/>
      <c r="EW101" s="21"/>
      <c r="EX101" s="21"/>
      <c r="EY101" s="21"/>
      <c r="EZ101" s="181"/>
    </row>
    <row r="102" spans="1:156" ht="15" thickBot="1" x14ac:dyDescent="0.35">
      <c r="G102" s="185"/>
      <c r="H102" s="191">
        <f>SUM(H5:H100)/4000</f>
        <v>0</v>
      </c>
      <c r="I102" s="205" t="s">
        <v>236</v>
      </c>
      <c r="J102" s="191">
        <f>SUM(J5:J100)/4000</f>
        <v>0</v>
      </c>
      <c r="K102" s="205" t="s">
        <v>236</v>
      </c>
      <c r="L102" s="191">
        <f>SUM(L5:L100)/4000</f>
        <v>0</v>
      </c>
      <c r="M102" s="205" t="s">
        <v>236</v>
      </c>
      <c r="N102" s="188"/>
      <c r="O102" s="191">
        <f>SUM(O5:O100)/4000</f>
        <v>0</v>
      </c>
      <c r="P102" s="205" t="s">
        <v>236</v>
      </c>
      <c r="Q102" s="191">
        <f>SUM(Q5:Q100)/4000</f>
        <v>0</v>
      </c>
      <c r="R102" s="205" t="s">
        <v>236</v>
      </c>
      <c r="S102" s="191">
        <f>SUM(S5:S100)/4000</f>
        <v>0</v>
      </c>
      <c r="T102" s="205" t="s">
        <v>236</v>
      </c>
      <c r="U102" s="188"/>
      <c r="V102" s="191">
        <f>SUM(V5:V100)/4000</f>
        <v>0</v>
      </c>
      <c r="W102" s="205" t="s">
        <v>236</v>
      </c>
      <c r="X102" s="191">
        <f>SUM(X5:X100)/4000</f>
        <v>0</v>
      </c>
      <c r="Y102" s="205" t="s">
        <v>236</v>
      </c>
      <c r="Z102" s="191">
        <f>SUM(Z5:Z100)/4000</f>
        <v>0</v>
      </c>
      <c r="AA102" s="205" t="s">
        <v>236</v>
      </c>
      <c r="AB102" s="188"/>
      <c r="AC102" s="191">
        <f>SUM(AC5:AC100)/4000</f>
        <v>0</v>
      </c>
      <c r="AD102" s="205" t="s">
        <v>236</v>
      </c>
      <c r="AE102" s="191">
        <f>SUM(AE5:AE100)/4000</f>
        <v>0</v>
      </c>
      <c r="AF102" s="205" t="s">
        <v>236</v>
      </c>
      <c r="AG102" s="191">
        <f>SUM(AG5:AG100)/4000</f>
        <v>0</v>
      </c>
      <c r="AH102" s="205" t="s">
        <v>236</v>
      </c>
      <c r="AI102" s="188"/>
      <c r="AJ102" s="191">
        <f>SUM(AJ5:AJ100)/4000</f>
        <v>0</v>
      </c>
      <c r="AK102" s="205" t="s">
        <v>236</v>
      </c>
      <c r="AL102" s="191">
        <f>SUM(AL5:AL100)/4000</f>
        <v>0</v>
      </c>
      <c r="AM102" s="205" t="s">
        <v>236</v>
      </c>
      <c r="AN102" s="191">
        <f>SUM(AN5:AN100)/4000</f>
        <v>0</v>
      </c>
      <c r="AO102" s="205" t="s">
        <v>236</v>
      </c>
      <c r="AP102" s="188"/>
      <c r="AQ102" s="191">
        <f>SUM(AQ5:AQ100)/4000</f>
        <v>0</v>
      </c>
      <c r="AR102" s="205" t="s">
        <v>236</v>
      </c>
      <c r="AS102" s="191">
        <f>SUM(AS5:AS100)/4000</f>
        <v>0</v>
      </c>
      <c r="AT102" s="205" t="s">
        <v>236</v>
      </c>
      <c r="AU102" s="191">
        <f>SUM(AU5:AU100)/4000</f>
        <v>0</v>
      </c>
      <c r="AV102" s="205" t="s">
        <v>236</v>
      </c>
      <c r="AW102" s="188"/>
      <c r="AX102" s="188"/>
      <c r="AY102" s="188"/>
      <c r="AZ102" s="188"/>
      <c r="BA102" s="182"/>
      <c r="BC102" s="185"/>
      <c r="BD102" s="191">
        <f>SUM(BD5:BD100)/4000</f>
        <v>0</v>
      </c>
      <c r="BE102" s="205" t="s">
        <v>236</v>
      </c>
      <c r="BF102" s="191">
        <f>SUM(BF5:BF100)/4000</f>
        <v>0</v>
      </c>
      <c r="BG102" s="205" t="s">
        <v>236</v>
      </c>
      <c r="BH102" s="191">
        <f>SUM(BH5:BH100)/4000</f>
        <v>0</v>
      </c>
      <c r="BI102" s="205" t="s">
        <v>236</v>
      </c>
      <c r="BJ102" s="188"/>
      <c r="BK102" s="191">
        <f>SUM(BK5:BK100)/4000</f>
        <v>0</v>
      </c>
      <c r="BL102" s="205" t="s">
        <v>236</v>
      </c>
      <c r="BM102" s="191">
        <f>SUM(BM5:BM100)/4000</f>
        <v>0</v>
      </c>
      <c r="BN102" s="205" t="s">
        <v>236</v>
      </c>
      <c r="BO102" s="191">
        <f>SUM(BO5:BO100)/4000</f>
        <v>0</v>
      </c>
      <c r="BP102" s="205" t="s">
        <v>236</v>
      </c>
      <c r="BQ102" s="188"/>
      <c r="BR102" s="191">
        <f>SUM(BR5:BR100)/4000</f>
        <v>0</v>
      </c>
      <c r="BS102" s="205" t="s">
        <v>236</v>
      </c>
      <c r="BT102" s="191">
        <f>SUM(BT5:BT100)/4000</f>
        <v>0</v>
      </c>
      <c r="BU102" s="205" t="s">
        <v>236</v>
      </c>
      <c r="BV102" s="191">
        <f>SUM(BV5:BV100)/4000</f>
        <v>0</v>
      </c>
      <c r="BW102" s="205" t="s">
        <v>236</v>
      </c>
      <c r="BX102" s="188"/>
      <c r="BY102" s="191">
        <f>SUM(BY5:BY100)/4000</f>
        <v>0</v>
      </c>
      <c r="BZ102" s="205" t="s">
        <v>236</v>
      </c>
      <c r="CA102" s="191">
        <f>SUM(CA5:CA100)/4000</f>
        <v>0</v>
      </c>
      <c r="CB102" s="205" t="s">
        <v>236</v>
      </c>
      <c r="CC102" s="191">
        <f>SUM(CC5:CC100)/4000</f>
        <v>0</v>
      </c>
      <c r="CD102" s="205" t="s">
        <v>236</v>
      </c>
      <c r="CE102" s="188"/>
      <c r="CF102" s="191">
        <f>SUM(CF5:CF100)/4000</f>
        <v>0</v>
      </c>
      <c r="CG102" s="205" t="s">
        <v>236</v>
      </c>
      <c r="CH102" s="191">
        <f>SUM(CH5:CH100)/4000</f>
        <v>0</v>
      </c>
      <c r="CI102" s="205" t="s">
        <v>236</v>
      </c>
      <c r="CJ102" s="191">
        <f>SUM(CJ5:CJ100)/4000</f>
        <v>0</v>
      </c>
      <c r="CK102" s="205" t="s">
        <v>236</v>
      </c>
      <c r="CL102" s="188"/>
      <c r="CM102" s="191">
        <f>SUM(CM5:CM100)/4000</f>
        <v>0</v>
      </c>
      <c r="CN102" s="205" t="s">
        <v>236</v>
      </c>
      <c r="CO102" s="191">
        <f>SUM(CO5:CO100)/4000</f>
        <v>0</v>
      </c>
      <c r="CP102" s="205" t="s">
        <v>236</v>
      </c>
      <c r="CQ102" s="191">
        <f>SUM(CQ5:CQ100)/4000</f>
        <v>0</v>
      </c>
      <c r="CR102" s="205" t="s">
        <v>236</v>
      </c>
      <c r="CS102" s="188"/>
      <c r="CT102" s="188"/>
      <c r="CU102" s="188"/>
      <c r="CV102" s="188"/>
      <c r="CW102" s="182"/>
      <c r="CY102" s="185"/>
      <c r="CZ102" s="191">
        <f>SUM(CZ5:CZ100)/4000</f>
        <v>0</v>
      </c>
      <c r="DA102" s="205" t="s">
        <v>236</v>
      </c>
      <c r="DB102" s="191">
        <f>SUM(DB5:DB100)/4000</f>
        <v>0</v>
      </c>
      <c r="DC102" s="205" t="s">
        <v>236</v>
      </c>
      <c r="DD102" s="191">
        <f>SUM(DD5:DD100)/4000</f>
        <v>0</v>
      </c>
      <c r="DE102" s="205" t="s">
        <v>236</v>
      </c>
      <c r="DF102" s="188"/>
      <c r="DG102" s="191">
        <f>SUM(DG5:DG100)/4000</f>
        <v>0</v>
      </c>
      <c r="DH102" s="205" t="s">
        <v>236</v>
      </c>
      <c r="DI102" s="191">
        <f>SUM(DI5:DI100)/4000</f>
        <v>0</v>
      </c>
      <c r="DJ102" s="205" t="s">
        <v>236</v>
      </c>
      <c r="DK102" s="191">
        <f>SUM(DK5:DK100)/4000</f>
        <v>0</v>
      </c>
      <c r="DL102" s="205" t="s">
        <v>236</v>
      </c>
      <c r="DM102" s="188"/>
      <c r="DN102" s="191">
        <f>SUM(DN5:DN100)/4000</f>
        <v>0</v>
      </c>
      <c r="DO102" s="205" t="s">
        <v>236</v>
      </c>
      <c r="DP102" s="191">
        <f>SUM(DP5:DP100)/4000</f>
        <v>0</v>
      </c>
      <c r="DQ102" s="205" t="s">
        <v>236</v>
      </c>
      <c r="DR102" s="191">
        <f>SUM(DR5:DR100)/4000</f>
        <v>0</v>
      </c>
      <c r="DS102" s="205" t="s">
        <v>236</v>
      </c>
      <c r="DT102" s="188"/>
      <c r="DU102" s="191">
        <f>SUM(DU5:DU100)/4000</f>
        <v>0</v>
      </c>
      <c r="DV102" s="205" t="s">
        <v>236</v>
      </c>
      <c r="DW102" s="191">
        <f>SUM(DW5:DW100)/4000</f>
        <v>0</v>
      </c>
      <c r="DX102" s="205" t="s">
        <v>236</v>
      </c>
      <c r="DY102" s="191">
        <f>SUM(DY5:DY100)/4000</f>
        <v>0</v>
      </c>
      <c r="DZ102" s="205" t="s">
        <v>236</v>
      </c>
      <c r="EA102" s="188"/>
      <c r="EB102" s="191">
        <f>SUM(EB5:EB100)/4000</f>
        <v>64.162149958333401</v>
      </c>
      <c r="EC102" s="205" t="s">
        <v>236</v>
      </c>
      <c r="ED102" s="191">
        <f>SUM(ED5:ED100)/4000</f>
        <v>123.19370002083335</v>
      </c>
      <c r="EE102" s="205" t="s">
        <v>236</v>
      </c>
      <c r="EF102" s="191">
        <f>SUM(EF5:EF100)/4000</f>
        <v>169.99034527083342</v>
      </c>
      <c r="EG102" s="205" t="s">
        <v>236</v>
      </c>
      <c r="EH102" s="188"/>
      <c r="EI102" s="191">
        <f>SUM(EI5:EI100)/4000</f>
        <v>0</v>
      </c>
      <c r="EJ102" s="205" t="s">
        <v>236</v>
      </c>
      <c r="EK102" s="191">
        <f>SUM(EK5:EK100)/4000</f>
        <v>0</v>
      </c>
      <c r="EL102" s="205" t="s">
        <v>236</v>
      </c>
      <c r="EM102" s="191">
        <f>SUM(EM5:EM100)/4000</f>
        <v>0</v>
      </c>
      <c r="EN102" s="205" t="s">
        <v>236</v>
      </c>
      <c r="EO102" s="188"/>
      <c r="EP102" s="188"/>
      <c r="EQ102" s="188"/>
      <c r="ER102" s="188"/>
      <c r="ES102" s="182"/>
      <c r="EU102" s="185"/>
      <c r="EV102" s="191">
        <f>SUM(EV5:EV100)/4000</f>
        <v>48.746162458333366</v>
      </c>
      <c r="EW102" s="205" t="s">
        <v>236</v>
      </c>
      <c r="EX102" s="191">
        <f>SUM(EX5:EX100)/4000</f>
        <v>62.553582520833352</v>
      </c>
      <c r="EY102" s="205" t="s">
        <v>236</v>
      </c>
      <c r="EZ102" s="306">
        <f>SUM(EZ5:EZ100)/4000</f>
        <v>73.298981937500002</v>
      </c>
    </row>
    <row r="104" spans="1:156" x14ac:dyDescent="0.3">
      <c r="B104" s="397" t="s">
        <v>237</v>
      </c>
      <c r="C104" s="397"/>
      <c r="D104" s="397"/>
      <c r="E104" s="397"/>
      <c r="G104" s="375" t="s">
        <v>220</v>
      </c>
      <c r="H104" s="375"/>
      <c r="I104" s="375"/>
      <c r="J104" s="375"/>
      <c r="K104" s="375"/>
      <c r="L104" s="375"/>
      <c r="M104" s="375"/>
      <c r="N104" s="375"/>
      <c r="O104" s="375"/>
    </row>
    <row r="105" spans="1:156" x14ac:dyDescent="0.3">
      <c r="B105" s="229">
        <f>SUM(B6:B101)/4000</f>
        <v>0</v>
      </c>
      <c r="C105" s="229">
        <f>SUM(C6:C101)/4000</f>
        <v>0</v>
      </c>
      <c r="D105" s="229">
        <f>SUM(D6:D101)/4000</f>
        <v>169.99034527083342</v>
      </c>
      <c r="E105" s="229">
        <f>SUM(E6:E101)/4000</f>
        <v>73.298981937500002</v>
      </c>
      <c r="G105" s="399" t="s">
        <v>260</v>
      </c>
      <c r="H105" s="399"/>
      <c r="I105" s="399"/>
      <c r="J105" s="399" t="s">
        <v>261</v>
      </c>
      <c r="K105" s="399"/>
      <c r="L105" s="399"/>
      <c r="M105" s="399" t="s">
        <v>262</v>
      </c>
      <c r="N105" s="399"/>
      <c r="O105" s="399"/>
      <c r="EA105" s="400" t="s">
        <v>292</v>
      </c>
      <c r="EB105" s="400"/>
      <c r="EC105" s="400"/>
      <c r="ED105" s="400"/>
      <c r="EE105" s="400"/>
      <c r="EF105" s="400"/>
      <c r="EG105" s="234"/>
      <c r="EH105" s="234"/>
      <c r="EI105" s="234"/>
      <c r="EJ105" s="234"/>
      <c r="EK105" s="234"/>
      <c r="EU105" s="400" t="s">
        <v>310</v>
      </c>
      <c r="EV105" s="400"/>
      <c r="EW105" s="400"/>
      <c r="EX105" s="400"/>
      <c r="EY105" s="400"/>
      <c r="EZ105" s="400"/>
    </row>
    <row r="106" spans="1:156" ht="43.2" x14ac:dyDescent="0.3">
      <c r="G106" s="268" t="s">
        <v>264</v>
      </c>
      <c r="H106" s="269" t="s">
        <v>265</v>
      </c>
      <c r="I106" s="270" t="s">
        <v>266</v>
      </c>
      <c r="J106" s="268" t="s">
        <v>264</v>
      </c>
      <c r="K106" s="269" t="s">
        <v>265</v>
      </c>
      <c r="L106" s="270" t="s">
        <v>266</v>
      </c>
      <c r="M106" s="268" t="s">
        <v>264</v>
      </c>
      <c r="N106" s="269" t="s">
        <v>265</v>
      </c>
      <c r="O106" s="270" t="s">
        <v>266</v>
      </c>
      <c r="EA106" s="266" t="s">
        <v>264</v>
      </c>
      <c r="EB106" s="136"/>
      <c r="EC106" s="216" t="s">
        <v>265</v>
      </c>
      <c r="ED106" s="136"/>
      <c r="EE106" s="238" t="s">
        <v>266</v>
      </c>
      <c r="EF106" s="136"/>
      <c r="EU106" s="266" t="s">
        <v>264</v>
      </c>
      <c r="EV106" s="136"/>
      <c r="EW106" s="216" t="s">
        <v>265</v>
      </c>
      <c r="EX106" s="136"/>
      <c r="EY106" s="238" t="s">
        <v>266</v>
      </c>
      <c r="EZ106" s="136"/>
    </row>
    <row r="107" spans="1:156" x14ac:dyDescent="0.3">
      <c r="B107" s="398" t="s">
        <v>286</v>
      </c>
      <c r="C107" s="398"/>
      <c r="D107" s="398"/>
      <c r="E107" s="398"/>
      <c r="G107" s="271">
        <f>0.724*1932</f>
        <v>1398.768</v>
      </c>
      <c r="H107" s="271">
        <f>0.724*2861</f>
        <v>2071.364</v>
      </c>
      <c r="I107" s="271">
        <f>0.724*3636</f>
        <v>2632.4639999999999</v>
      </c>
      <c r="J107" s="271">
        <f>1.82*113.3</f>
        <v>206.20599999999999</v>
      </c>
      <c r="K107" s="271">
        <f>1.82*213.8</f>
        <v>389.11600000000004</v>
      </c>
      <c r="L107" s="271">
        <f>1.82*293.8</f>
        <v>534.71600000000001</v>
      </c>
      <c r="M107" s="271">
        <f>1.33*1972</f>
        <v>2622.76</v>
      </c>
      <c r="N107" s="271">
        <f>1.33*3018</f>
        <v>4013.94</v>
      </c>
      <c r="O107" s="271">
        <f>1.33*3928</f>
        <v>5224.2400000000007</v>
      </c>
      <c r="EA107" s="203" t="s">
        <v>217</v>
      </c>
      <c r="EB107" s="206" t="s">
        <v>9</v>
      </c>
      <c r="EC107" s="203" t="s">
        <v>217</v>
      </c>
      <c r="ED107" s="204" t="s">
        <v>9</v>
      </c>
      <c r="EE107" s="203" t="s">
        <v>217</v>
      </c>
      <c r="EF107" s="206" t="s">
        <v>9</v>
      </c>
      <c r="EJ107" s="234"/>
      <c r="EN107" s="234"/>
      <c r="ER107" s="234"/>
      <c r="EU107" s="203" t="s">
        <v>217</v>
      </c>
      <c r="EV107" s="206" t="s">
        <v>9</v>
      </c>
      <c r="EW107" s="203" t="s">
        <v>217</v>
      </c>
      <c r="EX107" s="204" t="s">
        <v>9</v>
      </c>
      <c r="EY107" s="203" t="s">
        <v>217</v>
      </c>
      <c r="EZ107" s="206" t="s">
        <v>9</v>
      </c>
    </row>
    <row r="108" spans="1:156" x14ac:dyDescent="0.3">
      <c r="B108" s="229">
        <f>IF(D3=G106,G107,IF(D3=H106,H107,IF(D3=I106,I107,0)))</f>
        <v>2632.4639999999999</v>
      </c>
      <c r="C108" s="229">
        <f>IF(D3=J106,J107,IF(D3=K106,K107,IF(D3=L106,L107,0)))</f>
        <v>534.71600000000001</v>
      </c>
      <c r="D108" s="229">
        <f>IF(D3=M106,M107,IF(D3=N106,N107,IF(D3=O106,O107,0)))</f>
        <v>5224.2400000000007</v>
      </c>
      <c r="E108" s="229">
        <f>0</f>
        <v>0</v>
      </c>
      <c r="EA108" s="110">
        <v>0</v>
      </c>
      <c r="EB108" s="209">
        <f t="shared" ref="EB108" si="11">EB$207</f>
        <v>6900</v>
      </c>
      <c r="EC108" s="110">
        <v>0</v>
      </c>
      <c r="ED108" s="209">
        <f t="shared" ref="ED108:ED109" si="12">ED$207</f>
        <v>12300</v>
      </c>
      <c r="EE108" s="110">
        <v>0</v>
      </c>
      <c r="EF108" s="209">
        <f t="shared" ref="EF108:EF109" si="13">EF$207</f>
        <v>16000</v>
      </c>
      <c r="EN108" s="234"/>
      <c r="ER108" s="234"/>
      <c r="EU108" s="110">
        <v>0</v>
      </c>
      <c r="EV108" s="209">
        <f t="shared" ref="EV108" si="14">EV$207</f>
        <v>5400</v>
      </c>
      <c r="EW108" s="110">
        <v>0</v>
      </c>
      <c r="EX108" s="209">
        <f t="shared" ref="EX108:EX109" si="15">EX$207</f>
        <v>5400</v>
      </c>
      <c r="EY108" s="110">
        <v>0</v>
      </c>
      <c r="EZ108" s="209">
        <f t="shared" ref="EZ108:EZ109" si="16">EZ$207</f>
        <v>5400</v>
      </c>
    </row>
    <row r="109" spans="1:156" x14ac:dyDescent="0.3">
      <c r="B109" s="263"/>
      <c r="C109" s="263"/>
      <c r="D109" s="263"/>
      <c r="E109" s="263"/>
      <c r="EA109" s="110">
        <v>1.0416666666666666E-2</v>
      </c>
      <c r="EB109" s="209">
        <f>EB$207</f>
        <v>6900</v>
      </c>
      <c r="EC109" s="110">
        <v>1.0416666666666666E-2</v>
      </c>
      <c r="ED109" s="209">
        <f t="shared" si="12"/>
        <v>12300</v>
      </c>
      <c r="EE109" s="110">
        <v>1.0416666666666666E-2</v>
      </c>
      <c r="EF109" s="209">
        <f t="shared" si="13"/>
        <v>16000</v>
      </c>
      <c r="EN109" s="234"/>
      <c r="ER109" s="234"/>
      <c r="EU109" s="110">
        <v>1.0416666666666666E-2</v>
      </c>
      <c r="EV109" s="209">
        <f>EV$207</f>
        <v>5400</v>
      </c>
      <c r="EW109" s="110">
        <v>1.0416666666666666E-2</v>
      </c>
      <c r="EX109" s="209">
        <f t="shared" si="15"/>
        <v>5400</v>
      </c>
      <c r="EY109" s="110">
        <v>1.0416666666666666E-2</v>
      </c>
      <c r="EZ109" s="209">
        <f t="shared" si="16"/>
        <v>5400</v>
      </c>
    </row>
    <row r="110" spans="1:156" x14ac:dyDescent="0.3">
      <c r="EA110" s="110">
        <v>2.0833333333333301E-2</v>
      </c>
      <c r="EB110" s="209">
        <v>0</v>
      </c>
      <c r="EC110" s="110">
        <v>2.0833333333333301E-2</v>
      </c>
      <c r="ED110" s="209">
        <v>0</v>
      </c>
      <c r="EE110" s="110">
        <v>2.0833333333333301E-2</v>
      </c>
      <c r="EF110" s="211">
        <v>0</v>
      </c>
      <c r="EN110" s="234"/>
      <c r="ER110" s="234"/>
      <c r="EU110" s="110">
        <v>2.0833333333333301E-2</v>
      </c>
      <c r="EV110" s="209">
        <v>0</v>
      </c>
      <c r="EW110" s="110">
        <v>2.0833333333333301E-2</v>
      </c>
      <c r="EX110" s="209">
        <v>0</v>
      </c>
      <c r="EY110" s="110">
        <v>2.0833333333333301E-2</v>
      </c>
      <c r="EZ110" s="211">
        <v>0</v>
      </c>
    </row>
    <row r="111" spans="1:156" x14ac:dyDescent="0.3">
      <c r="D111" s="394" t="s">
        <v>311</v>
      </c>
      <c r="E111" s="395"/>
      <c r="EA111" s="110">
        <v>3.125E-2</v>
      </c>
      <c r="EB111" s="209">
        <v>0</v>
      </c>
      <c r="EC111" s="110">
        <v>3.125E-2</v>
      </c>
      <c r="ED111" s="209">
        <v>0</v>
      </c>
      <c r="EE111" s="110">
        <v>3.125E-2</v>
      </c>
      <c r="EF111" s="211">
        <v>0</v>
      </c>
      <c r="EN111" s="234"/>
      <c r="ER111" s="234"/>
      <c r="EU111" s="110">
        <v>3.125E-2</v>
      </c>
      <c r="EV111" s="209">
        <v>0</v>
      </c>
      <c r="EW111" s="110">
        <v>3.125E-2</v>
      </c>
      <c r="EX111" s="209">
        <v>0</v>
      </c>
      <c r="EY111" s="110">
        <v>3.125E-2</v>
      </c>
      <c r="EZ111" s="211">
        <v>0</v>
      </c>
    </row>
    <row r="112" spans="1:156" ht="28.8" x14ac:dyDescent="0.3">
      <c r="D112" s="310" t="s">
        <v>262</v>
      </c>
      <c r="E112" s="311" t="s">
        <v>307</v>
      </c>
      <c r="G112" s="375" t="s">
        <v>303</v>
      </c>
      <c r="H112" s="375"/>
      <c r="I112" s="375"/>
      <c r="EA112" s="110">
        <v>4.1666666666666699E-2</v>
      </c>
      <c r="EB112" s="209">
        <f>EB$207</f>
        <v>6900</v>
      </c>
      <c r="EC112" s="110">
        <v>4.1666666666666699E-2</v>
      </c>
      <c r="ED112" s="209">
        <f t="shared" ref="ED112:ED113" si="17">ED$207</f>
        <v>12300</v>
      </c>
      <c r="EE112" s="110">
        <v>4.1666666666666699E-2</v>
      </c>
      <c r="EF112" s="209">
        <f t="shared" ref="EF112:EF114" si="18">EF$207</f>
        <v>16000</v>
      </c>
      <c r="EJ112" s="234"/>
      <c r="EN112" s="234"/>
      <c r="ER112" s="234"/>
      <c r="EU112" s="110">
        <v>4.1666666666666699E-2</v>
      </c>
      <c r="EV112" s="209">
        <f>EV$207</f>
        <v>5400</v>
      </c>
      <c r="EW112" s="110">
        <v>4.1666666666666699E-2</v>
      </c>
      <c r="EX112" s="209">
        <f t="shared" ref="EX112:EX113" si="19">EX$207</f>
        <v>5400</v>
      </c>
      <c r="EY112" s="110">
        <v>4.1666666666666699E-2</v>
      </c>
      <c r="EZ112" s="209">
        <f t="shared" ref="EZ112:EZ114" si="20">EZ$207</f>
        <v>5400</v>
      </c>
    </row>
    <row r="113" spans="4:156" ht="43.2" x14ac:dyDescent="0.3">
      <c r="D113" s="292" t="s">
        <v>301</v>
      </c>
      <c r="E113" s="292" t="s">
        <v>301</v>
      </c>
      <c r="G113" s="268" t="s">
        <v>264</v>
      </c>
      <c r="H113" s="269" t="s">
        <v>265</v>
      </c>
      <c r="I113" s="270" t="s">
        <v>266</v>
      </c>
      <c r="EA113" s="110">
        <v>5.2083333333333301E-2</v>
      </c>
      <c r="EB113" s="209">
        <f>EB$207</f>
        <v>6900</v>
      </c>
      <c r="EC113" s="110">
        <v>5.2083333333333301E-2</v>
      </c>
      <c r="ED113" s="209">
        <f t="shared" si="17"/>
        <v>12300</v>
      </c>
      <c r="EE113" s="110">
        <v>5.2083333333333301E-2</v>
      </c>
      <c r="EF113" s="209">
        <f t="shared" si="18"/>
        <v>16000</v>
      </c>
      <c r="EN113" s="234"/>
      <c r="ER113" s="234"/>
      <c r="EU113" s="110">
        <v>5.2083333333333301E-2</v>
      </c>
      <c r="EV113" s="209">
        <f>EV$207</f>
        <v>5400</v>
      </c>
      <c r="EW113" s="110">
        <v>5.2083333333333301E-2</v>
      </c>
      <c r="EX113" s="209">
        <f t="shared" si="19"/>
        <v>5400</v>
      </c>
      <c r="EY113" s="110">
        <v>5.2083333333333301E-2</v>
      </c>
      <c r="EZ113" s="209">
        <f t="shared" si="20"/>
        <v>5400</v>
      </c>
    </row>
    <row r="114" spans="4:156" x14ac:dyDescent="0.3">
      <c r="D114" s="291">
        <f>IF(D3=G113,G115,IF(D3=H113,H115,IF(D3=I113,I115)))</f>
        <v>16000</v>
      </c>
      <c r="E114" s="291">
        <f>IF(AND(H120&gt;0,VLOOKUP(D5,'User Interface'!C91:H99,2,FALSE)=0),H120*H121)</f>
        <v>5400</v>
      </c>
      <c r="G114" s="376" t="s">
        <v>301</v>
      </c>
      <c r="H114" s="377"/>
      <c r="I114" s="378"/>
      <c r="EA114" s="110">
        <v>6.25E-2</v>
      </c>
      <c r="EB114" s="209">
        <v>0</v>
      </c>
      <c r="EC114" s="110">
        <v>6.25E-2</v>
      </c>
      <c r="ED114" s="209">
        <v>0</v>
      </c>
      <c r="EE114" s="110">
        <v>6.25E-2</v>
      </c>
      <c r="EF114" s="209">
        <f t="shared" si="18"/>
        <v>16000</v>
      </c>
      <c r="EN114" s="234"/>
      <c r="ER114" s="234"/>
      <c r="EU114" s="110">
        <v>6.25E-2</v>
      </c>
      <c r="EV114" s="209">
        <v>0</v>
      </c>
      <c r="EW114" s="110">
        <v>6.25E-2</v>
      </c>
      <c r="EX114" s="209">
        <v>0</v>
      </c>
      <c r="EY114" s="110">
        <v>6.25E-2</v>
      </c>
      <c r="EZ114" s="209">
        <f t="shared" si="20"/>
        <v>5400</v>
      </c>
    </row>
    <row r="115" spans="4:156" ht="28.8" x14ac:dyDescent="0.3">
      <c r="D115" s="292" t="s">
        <v>302</v>
      </c>
      <c r="E115" s="292" t="s">
        <v>302</v>
      </c>
      <c r="G115" s="291">
        <f>EB207</f>
        <v>6900</v>
      </c>
      <c r="H115" s="291">
        <f>ED207</f>
        <v>12300</v>
      </c>
      <c r="I115" s="291">
        <f>EF207</f>
        <v>16000</v>
      </c>
      <c r="EA115" s="110">
        <v>7.2916666666666699E-2</v>
      </c>
      <c r="EB115" s="209">
        <v>0</v>
      </c>
      <c r="EC115" s="110">
        <v>7.2916666666666699E-2</v>
      </c>
      <c r="ED115" s="209">
        <v>0</v>
      </c>
      <c r="EE115" s="110">
        <v>7.2916666666666699E-2</v>
      </c>
      <c r="EF115" s="211">
        <v>0</v>
      </c>
      <c r="EN115" s="234"/>
      <c r="ER115" s="234"/>
      <c r="EU115" s="110">
        <v>7.2916666666666699E-2</v>
      </c>
      <c r="EV115" s="209">
        <v>0</v>
      </c>
      <c r="EW115" s="110">
        <v>7.2916666666666699E-2</v>
      </c>
      <c r="EX115" s="209">
        <v>0</v>
      </c>
      <c r="EY115" s="110">
        <v>7.2916666666666699E-2</v>
      </c>
      <c r="EZ115" s="211">
        <v>0</v>
      </c>
    </row>
    <row r="116" spans="4:156" x14ac:dyDescent="0.3">
      <c r="D116" s="291">
        <f>IF(D3=G113,G117,IF(D3=H113,H117,IF(D3=I113,I117)))</f>
        <v>3390</v>
      </c>
      <c r="E116" s="291">
        <f>IF(D3=G113,G117,IF(D3=H113,H117,IF(D3=I113,I117)))</f>
        <v>3390</v>
      </c>
      <c r="G116" s="376" t="s">
        <v>302</v>
      </c>
      <c r="H116" s="379"/>
      <c r="I116" s="380"/>
      <c r="EA116" s="110">
        <v>8.3333333333333301E-2</v>
      </c>
      <c r="EB116" s="209">
        <f>EB$207</f>
        <v>6900</v>
      </c>
      <c r="EC116" s="110">
        <v>8.3333333333333301E-2</v>
      </c>
      <c r="ED116" s="209">
        <f t="shared" ref="ED116:ED117" si="21">ED$207</f>
        <v>12300</v>
      </c>
      <c r="EE116" s="110">
        <v>8.3333333333333301E-2</v>
      </c>
      <c r="EF116" s="209">
        <f t="shared" ref="EF116" si="22">EF$207</f>
        <v>16000</v>
      </c>
      <c r="EJ116" s="234"/>
      <c r="EN116" s="234"/>
      <c r="ER116" s="234"/>
      <c r="EU116" s="110">
        <v>8.3333333333333301E-2</v>
      </c>
      <c r="EV116" s="209">
        <f>EV$207</f>
        <v>5400</v>
      </c>
      <c r="EW116" s="110">
        <v>8.3333333333333301E-2</v>
      </c>
      <c r="EX116" s="209">
        <f t="shared" ref="EX116:EX117" si="23">EX$207</f>
        <v>5400</v>
      </c>
      <c r="EY116" s="110">
        <v>8.3333333333333301E-2</v>
      </c>
      <c r="EZ116" s="209">
        <f t="shared" ref="EZ116:EZ118" si="24">EZ$207</f>
        <v>5400</v>
      </c>
    </row>
    <row r="117" spans="4:156" x14ac:dyDescent="0.3">
      <c r="G117" s="291">
        <f>EB208</f>
        <v>1620</v>
      </c>
      <c r="H117" s="291">
        <f>ED208</f>
        <v>2480</v>
      </c>
      <c r="I117" s="291">
        <f>EF208</f>
        <v>3390</v>
      </c>
      <c r="EA117" s="110">
        <v>9.375E-2</v>
      </c>
      <c r="EB117" s="209">
        <f>EB$207</f>
        <v>6900</v>
      </c>
      <c r="EC117" s="110">
        <v>9.375E-2</v>
      </c>
      <c r="ED117" s="209">
        <f t="shared" si="21"/>
        <v>12300</v>
      </c>
      <c r="EE117" s="110">
        <v>9.375E-2</v>
      </c>
      <c r="EF117" s="209">
        <f t="shared" ref="EF117" si="25">EF$207</f>
        <v>16000</v>
      </c>
      <c r="EN117" s="234"/>
      <c r="ER117" s="234"/>
      <c r="EU117" s="110">
        <v>9.375E-2</v>
      </c>
      <c r="EV117" s="209">
        <f>EV$207</f>
        <v>5400</v>
      </c>
      <c r="EW117" s="110">
        <v>9.375E-2</v>
      </c>
      <c r="EX117" s="209">
        <f t="shared" si="23"/>
        <v>5400</v>
      </c>
      <c r="EY117" s="110">
        <v>9.375E-2</v>
      </c>
      <c r="EZ117" s="209">
        <f t="shared" si="24"/>
        <v>5400</v>
      </c>
    </row>
    <row r="118" spans="4:156" x14ac:dyDescent="0.3">
      <c r="EA118" s="110">
        <v>0.104166666666667</v>
      </c>
      <c r="EB118" s="209">
        <v>0</v>
      </c>
      <c r="EC118" s="110">
        <v>0.104166666666667</v>
      </c>
      <c r="ED118" s="209">
        <v>0</v>
      </c>
      <c r="EE118" s="110">
        <v>0.104166666666667</v>
      </c>
      <c r="EF118" s="209">
        <f t="shared" ref="EF118" si="26">EF$207</f>
        <v>16000</v>
      </c>
      <c r="EN118" s="234"/>
      <c r="ER118" s="234"/>
      <c r="EU118" s="110">
        <v>0.104166666666667</v>
      </c>
      <c r="EV118" s="209">
        <v>0</v>
      </c>
      <c r="EW118" s="110">
        <v>0.104166666666667</v>
      </c>
      <c r="EX118" s="209">
        <v>0</v>
      </c>
      <c r="EY118" s="110">
        <v>0.104166666666667</v>
      </c>
      <c r="EZ118" s="209">
        <f t="shared" si="24"/>
        <v>5400</v>
      </c>
    </row>
    <row r="119" spans="4:156" ht="28.8" customHeight="1" x14ac:dyDescent="0.3">
      <c r="G119" s="396" t="s">
        <v>312</v>
      </c>
      <c r="H119" s="396"/>
      <c r="EA119" s="110">
        <v>0.114583333333333</v>
      </c>
      <c r="EB119" s="209">
        <v>0</v>
      </c>
      <c r="EC119" s="110">
        <v>0.114583333333333</v>
      </c>
      <c r="ED119" s="209">
        <v>0</v>
      </c>
      <c r="EE119" s="110">
        <v>0.114583333333333</v>
      </c>
      <c r="EF119" s="211">
        <v>0</v>
      </c>
      <c r="EN119" s="234"/>
      <c r="ER119" s="234"/>
      <c r="EU119" s="110">
        <v>0.114583333333333</v>
      </c>
      <c r="EV119" s="209">
        <v>0</v>
      </c>
      <c r="EW119" s="110">
        <v>0.114583333333333</v>
      </c>
      <c r="EX119" s="209">
        <v>0</v>
      </c>
      <c r="EY119" s="110">
        <v>0.114583333333333</v>
      </c>
      <c r="EZ119" s="211">
        <v>0</v>
      </c>
    </row>
    <row r="120" spans="4:156" x14ac:dyDescent="0.3">
      <c r="G120" s="298" t="s">
        <v>305</v>
      </c>
      <c r="H120" s="291">
        <f>VLOOKUP("Space heater + heat pump (temperature dependent)",'User Interface'!C91:H99,2,FALSE)</f>
        <v>3</v>
      </c>
      <c r="EA120" s="110">
        <v>0.125</v>
      </c>
      <c r="EB120" s="209">
        <f>EB$207</f>
        <v>6900</v>
      </c>
      <c r="EC120" s="110">
        <v>0.125</v>
      </c>
      <c r="ED120" s="209">
        <f t="shared" ref="ED120" si="27">ED$207</f>
        <v>12300</v>
      </c>
      <c r="EE120" s="110">
        <v>0.125</v>
      </c>
      <c r="EF120" s="209">
        <f t="shared" ref="EF120" si="28">EF$207</f>
        <v>16000</v>
      </c>
      <c r="EJ120" s="234"/>
      <c r="EN120" s="234"/>
      <c r="ER120" s="234"/>
      <c r="EU120" s="110">
        <v>0.125</v>
      </c>
      <c r="EV120" s="209">
        <f>EV$207</f>
        <v>5400</v>
      </c>
      <c r="EW120" s="110">
        <v>0.125</v>
      </c>
      <c r="EX120" s="209">
        <f t="shared" ref="EX120" si="29">EX$207</f>
        <v>5400</v>
      </c>
      <c r="EY120" s="110">
        <v>0.125</v>
      </c>
      <c r="EZ120" s="209">
        <f t="shared" ref="EZ120" si="30">EZ$207</f>
        <v>5400</v>
      </c>
    </row>
    <row r="121" spans="4:156" ht="43.2" x14ac:dyDescent="0.3">
      <c r="G121" s="298" t="s">
        <v>304</v>
      </c>
      <c r="H121" s="291">
        <f>VLOOKUP("Space heater + heat pump (temperature dependent)",'User Interface'!C91:H99,5,FALSE)</f>
        <v>1800</v>
      </c>
      <c r="EA121" s="110">
        <v>0.13541666666666699</v>
      </c>
      <c r="EB121" s="209">
        <f>EB$207</f>
        <v>6900</v>
      </c>
      <c r="EC121" s="110">
        <v>0.13541666666666699</v>
      </c>
      <c r="ED121" s="209">
        <f>ED$207</f>
        <v>12300</v>
      </c>
      <c r="EE121" s="110">
        <v>0.13541666666666699</v>
      </c>
      <c r="EF121" s="209">
        <f>EF$207</f>
        <v>16000</v>
      </c>
      <c r="EN121" s="234"/>
      <c r="ER121" s="234"/>
      <c r="EU121" s="110">
        <v>0.13541666666666699</v>
      </c>
      <c r="EV121" s="209">
        <f>EV$207</f>
        <v>5400</v>
      </c>
      <c r="EW121" s="110">
        <v>0.13541666666666699</v>
      </c>
      <c r="EX121" s="209">
        <f>EX$207</f>
        <v>5400</v>
      </c>
      <c r="EY121" s="110">
        <v>0.13541666666666699</v>
      </c>
      <c r="EZ121" s="209">
        <f>EZ$207</f>
        <v>5400</v>
      </c>
    </row>
    <row r="122" spans="4:156" x14ac:dyDescent="0.3">
      <c r="EA122" s="110">
        <v>0.14583333333333301</v>
      </c>
      <c r="EB122" s="209">
        <v>0</v>
      </c>
      <c r="EC122" s="110">
        <v>0.14583333333333301</v>
      </c>
      <c r="ED122" s="209">
        <f>ED$207</f>
        <v>12300</v>
      </c>
      <c r="EE122" s="110">
        <v>0.14583333333333301</v>
      </c>
      <c r="EF122" s="209">
        <f>EF$207</f>
        <v>16000</v>
      </c>
      <c r="EN122" s="234"/>
      <c r="ER122" s="234"/>
      <c r="EU122" s="110">
        <v>0.14583333333333301</v>
      </c>
      <c r="EV122" s="209">
        <v>0</v>
      </c>
      <c r="EW122" s="110">
        <v>0.14583333333333301</v>
      </c>
      <c r="EX122" s="209">
        <f>EX$207</f>
        <v>5400</v>
      </c>
      <c r="EY122" s="110">
        <v>0.14583333333333301</v>
      </c>
      <c r="EZ122" s="209">
        <f>EZ$207</f>
        <v>5400</v>
      </c>
    </row>
    <row r="123" spans="4:156" x14ac:dyDescent="0.3">
      <c r="EA123" s="110">
        <v>0.15625</v>
      </c>
      <c r="EB123" s="209">
        <v>0</v>
      </c>
      <c r="EC123" s="110">
        <v>0.15625</v>
      </c>
      <c r="ED123" s="209">
        <v>0</v>
      </c>
      <c r="EE123" s="110">
        <v>0.15625</v>
      </c>
      <c r="EF123" s="211">
        <v>0</v>
      </c>
      <c r="EN123" s="234"/>
      <c r="ER123" s="234"/>
      <c r="EU123" s="110">
        <v>0.15625</v>
      </c>
      <c r="EV123" s="209">
        <v>0</v>
      </c>
      <c r="EW123" s="110">
        <v>0.15625</v>
      </c>
      <c r="EX123" s="209">
        <v>0</v>
      </c>
      <c r="EY123" s="110">
        <v>0.15625</v>
      </c>
      <c r="EZ123" s="211">
        <v>0</v>
      </c>
    </row>
    <row r="124" spans="4:156" x14ac:dyDescent="0.3">
      <c r="EA124" s="110">
        <v>0.16666666666666699</v>
      </c>
      <c r="EB124" s="209">
        <f>EB$207</f>
        <v>6900</v>
      </c>
      <c r="EC124" s="110">
        <v>0.16666666666666699</v>
      </c>
      <c r="ED124" s="209">
        <f t="shared" ref="ED124:ED134" si="31">ED$207</f>
        <v>12300</v>
      </c>
      <c r="EE124" s="110">
        <v>0.16666666666666699</v>
      </c>
      <c r="EF124" s="209">
        <f>EF$207</f>
        <v>16000</v>
      </c>
      <c r="EJ124" s="234"/>
      <c r="EN124" s="234"/>
      <c r="ER124" s="234"/>
      <c r="EU124" s="110">
        <v>0.16666666666666699</v>
      </c>
      <c r="EV124" s="209">
        <f>EV$207</f>
        <v>5400</v>
      </c>
      <c r="EW124" s="110">
        <v>0.16666666666666699</v>
      </c>
      <c r="EX124" s="209">
        <f t="shared" ref="EX124:EX134" si="32">EX$207</f>
        <v>5400</v>
      </c>
      <c r="EY124" s="110">
        <v>0.16666666666666699</v>
      </c>
      <c r="EZ124" s="209">
        <f>EZ$207</f>
        <v>5400</v>
      </c>
    </row>
    <row r="125" spans="4:156" x14ac:dyDescent="0.3">
      <c r="EA125" s="110">
        <v>0.17708333333333301</v>
      </c>
      <c r="EB125" s="209">
        <f>EB$207</f>
        <v>6900</v>
      </c>
      <c r="EC125" s="110">
        <v>0.17708333333333301</v>
      </c>
      <c r="ED125" s="209">
        <f t="shared" si="31"/>
        <v>12300</v>
      </c>
      <c r="EE125" s="110">
        <v>0.17708333333333301</v>
      </c>
      <c r="EF125" s="209">
        <f>EF$207</f>
        <v>16000</v>
      </c>
      <c r="EN125" s="290"/>
      <c r="ER125" s="290"/>
      <c r="EU125" s="110">
        <v>0.17708333333333301</v>
      </c>
      <c r="EV125" s="209">
        <f>EV$207</f>
        <v>5400</v>
      </c>
      <c r="EW125" s="110">
        <v>0.17708333333333301</v>
      </c>
      <c r="EX125" s="209">
        <f t="shared" si="32"/>
        <v>5400</v>
      </c>
      <c r="EY125" s="110">
        <v>0.17708333333333301</v>
      </c>
      <c r="EZ125" s="209">
        <f>EZ$207</f>
        <v>5400</v>
      </c>
    </row>
    <row r="126" spans="4:156" x14ac:dyDescent="0.3">
      <c r="EA126" s="110">
        <v>0.1875</v>
      </c>
      <c r="EB126" s="209">
        <v>0</v>
      </c>
      <c r="EC126" s="110">
        <v>0.1875</v>
      </c>
      <c r="ED126" s="209">
        <f t="shared" si="31"/>
        <v>12300</v>
      </c>
      <c r="EE126" s="110">
        <v>0.1875</v>
      </c>
      <c r="EF126" s="209">
        <f>EF$207</f>
        <v>16000</v>
      </c>
      <c r="EN126" s="290"/>
      <c r="ER126" s="290"/>
      <c r="EU126" s="110">
        <v>0.1875</v>
      </c>
      <c r="EV126" s="209">
        <v>0</v>
      </c>
      <c r="EW126" s="110">
        <v>0.1875</v>
      </c>
      <c r="EX126" s="209">
        <f t="shared" si="32"/>
        <v>5400</v>
      </c>
      <c r="EY126" s="110">
        <v>0.1875</v>
      </c>
      <c r="EZ126" s="209">
        <f>EZ$207</f>
        <v>5400</v>
      </c>
    </row>
    <row r="127" spans="4:156" x14ac:dyDescent="0.3">
      <c r="EA127" s="110">
        <v>0.19791666666666699</v>
      </c>
      <c r="EB127" s="209">
        <v>0</v>
      </c>
      <c r="EC127" s="110">
        <v>0.19791666666666699</v>
      </c>
      <c r="ED127" s="209">
        <v>0</v>
      </c>
      <c r="EE127" s="110">
        <v>0.19791666666666699</v>
      </c>
      <c r="EF127" s="211">
        <v>0</v>
      </c>
      <c r="EN127" s="290"/>
      <c r="ER127" s="290"/>
      <c r="EU127" s="110">
        <v>0.19791666666666699</v>
      </c>
      <c r="EV127" s="209">
        <v>0</v>
      </c>
      <c r="EW127" s="110">
        <v>0.19791666666666699</v>
      </c>
      <c r="EX127" s="209">
        <v>0</v>
      </c>
      <c r="EY127" s="110">
        <v>0.19791666666666699</v>
      </c>
      <c r="EZ127" s="211">
        <v>0</v>
      </c>
    </row>
    <row r="128" spans="4:156" x14ac:dyDescent="0.3">
      <c r="DX128" s="284"/>
      <c r="EA128" s="110">
        <v>0.20833333333333301</v>
      </c>
      <c r="EB128" s="209">
        <f>EB$207</f>
        <v>6900</v>
      </c>
      <c r="EC128" s="110">
        <v>0.20833333333333301</v>
      </c>
      <c r="ED128" s="209">
        <f t="shared" si="31"/>
        <v>12300</v>
      </c>
      <c r="EE128" s="110">
        <v>0.20833333333333301</v>
      </c>
      <c r="EF128" s="209">
        <f>EF$207</f>
        <v>16000</v>
      </c>
      <c r="EJ128" s="234"/>
      <c r="EN128" s="234"/>
      <c r="ER128" s="234"/>
      <c r="EU128" s="110">
        <v>0.20833333333333301</v>
      </c>
      <c r="EV128" s="209">
        <f>EV$207</f>
        <v>5400</v>
      </c>
      <c r="EW128" s="110">
        <v>0.20833333333333301</v>
      </c>
      <c r="EX128" s="209">
        <f t="shared" si="32"/>
        <v>5400</v>
      </c>
      <c r="EY128" s="110">
        <v>0.20833333333333301</v>
      </c>
      <c r="EZ128" s="209">
        <f>EZ$207</f>
        <v>5400</v>
      </c>
    </row>
    <row r="129" spans="131:156" x14ac:dyDescent="0.3">
      <c r="EA129" s="110">
        <v>0.21875</v>
      </c>
      <c r="EB129" s="209">
        <f>EB$207</f>
        <v>6900</v>
      </c>
      <c r="EC129" s="110">
        <v>0.21875</v>
      </c>
      <c r="ED129" s="209">
        <f t="shared" si="31"/>
        <v>12300</v>
      </c>
      <c r="EE129" s="110">
        <v>0.21875</v>
      </c>
      <c r="EF129" s="209">
        <f>EF$207</f>
        <v>16000</v>
      </c>
      <c r="EN129" s="290"/>
      <c r="ER129" s="234"/>
      <c r="EU129" s="110">
        <v>0.21875</v>
      </c>
      <c r="EV129" s="209">
        <f>EV$207</f>
        <v>5400</v>
      </c>
      <c r="EW129" s="110">
        <v>0.21875</v>
      </c>
      <c r="EX129" s="209">
        <f t="shared" si="32"/>
        <v>5400</v>
      </c>
      <c r="EY129" s="110">
        <v>0.21875</v>
      </c>
      <c r="EZ129" s="209">
        <f>EZ$207</f>
        <v>5400</v>
      </c>
    </row>
    <row r="130" spans="131:156" x14ac:dyDescent="0.3">
      <c r="EA130" s="110">
        <v>0.22916666666666699</v>
      </c>
      <c r="EB130" s="209">
        <v>0</v>
      </c>
      <c r="EC130" s="110">
        <v>0.22916666666666699</v>
      </c>
      <c r="ED130" s="209">
        <f t="shared" si="31"/>
        <v>12300</v>
      </c>
      <c r="EE130" s="110">
        <v>0.22916666666666699</v>
      </c>
      <c r="EF130" s="209">
        <f>EF$207</f>
        <v>16000</v>
      </c>
      <c r="EN130" s="290"/>
      <c r="ER130" s="234"/>
      <c r="EU130" s="110">
        <v>0.22916666666666699</v>
      </c>
      <c r="EV130" s="209">
        <v>0</v>
      </c>
      <c r="EW130" s="110">
        <v>0.22916666666666699</v>
      </c>
      <c r="EX130" s="209">
        <f t="shared" si="32"/>
        <v>5400</v>
      </c>
      <c r="EY130" s="110">
        <v>0.22916666666666699</v>
      </c>
      <c r="EZ130" s="209">
        <f>EZ$207</f>
        <v>5400</v>
      </c>
    </row>
    <row r="131" spans="131:156" x14ac:dyDescent="0.3">
      <c r="EA131" s="110">
        <v>0.23958333333333301</v>
      </c>
      <c r="EB131" s="209">
        <v>0</v>
      </c>
      <c r="EC131" s="110">
        <v>0.23958333333333301</v>
      </c>
      <c r="ED131" s="209">
        <v>0</v>
      </c>
      <c r="EE131" s="110">
        <v>0.23958333333333301</v>
      </c>
      <c r="EF131" s="211">
        <v>0</v>
      </c>
      <c r="EN131" s="290"/>
      <c r="ER131" s="234"/>
      <c r="EU131" s="110">
        <v>0.23958333333333301</v>
      </c>
      <c r="EV131" s="209">
        <v>0</v>
      </c>
      <c r="EW131" s="110">
        <v>0.23958333333333301</v>
      </c>
      <c r="EX131" s="209">
        <v>0</v>
      </c>
      <c r="EY131" s="110">
        <v>0.23958333333333301</v>
      </c>
      <c r="EZ131" s="211">
        <v>0</v>
      </c>
    </row>
    <row r="132" spans="131:156" x14ac:dyDescent="0.3">
      <c r="EA132" s="110">
        <v>0.25</v>
      </c>
      <c r="EB132" s="209">
        <f>EB$207</f>
        <v>6900</v>
      </c>
      <c r="EC132" s="110">
        <v>0.25</v>
      </c>
      <c r="ED132" s="209">
        <f t="shared" si="31"/>
        <v>12300</v>
      </c>
      <c r="EE132" s="110">
        <v>0.25</v>
      </c>
      <c r="EF132" s="209">
        <f>EF$207</f>
        <v>16000</v>
      </c>
      <c r="EJ132" s="234"/>
      <c r="EN132" s="234"/>
      <c r="ER132" s="234"/>
      <c r="EU132" s="110">
        <v>0.25</v>
      </c>
      <c r="EV132" s="209">
        <f>EV$207</f>
        <v>5400</v>
      </c>
      <c r="EW132" s="110">
        <v>0.25</v>
      </c>
      <c r="EX132" s="209">
        <f t="shared" si="32"/>
        <v>5400</v>
      </c>
      <c r="EY132" s="110">
        <v>0.25</v>
      </c>
      <c r="EZ132" s="209">
        <f>EZ$207</f>
        <v>5400</v>
      </c>
    </row>
    <row r="133" spans="131:156" x14ac:dyDescent="0.3">
      <c r="EA133" s="110">
        <v>0.26041666666666702</v>
      </c>
      <c r="EB133" s="209">
        <f>EB$207</f>
        <v>6900</v>
      </c>
      <c r="EC133" s="110">
        <v>0.26041666666666702</v>
      </c>
      <c r="ED133" s="209">
        <f t="shared" si="31"/>
        <v>12300</v>
      </c>
      <c r="EE133" s="110">
        <v>0.26041666666666702</v>
      </c>
      <c r="EF133" s="209">
        <f>EF$207</f>
        <v>16000</v>
      </c>
      <c r="EN133" s="290"/>
      <c r="ER133" s="234"/>
      <c r="EU133" s="110">
        <v>0.26041666666666702</v>
      </c>
      <c r="EV133" s="209">
        <f>EV$207</f>
        <v>5400</v>
      </c>
      <c r="EW133" s="110">
        <v>0.26041666666666702</v>
      </c>
      <c r="EX133" s="209">
        <f t="shared" si="32"/>
        <v>5400</v>
      </c>
      <c r="EY133" s="110">
        <v>0.26041666666666702</v>
      </c>
      <c r="EZ133" s="209">
        <f>EZ$207</f>
        <v>5400</v>
      </c>
    </row>
    <row r="134" spans="131:156" x14ac:dyDescent="0.3">
      <c r="EA134" s="110">
        <v>0.27083333333333298</v>
      </c>
      <c r="EB134" s="209">
        <v>0</v>
      </c>
      <c r="EC134" s="110">
        <v>0.27083333333333298</v>
      </c>
      <c r="ED134" s="209">
        <f t="shared" si="31"/>
        <v>12300</v>
      </c>
      <c r="EE134" s="110">
        <v>0.27083333333333298</v>
      </c>
      <c r="EF134" s="209">
        <f>EF$207</f>
        <v>16000</v>
      </c>
      <c r="EN134" s="290"/>
      <c r="ER134" s="234"/>
      <c r="EU134" s="110">
        <v>0.27083333333333298</v>
      </c>
      <c r="EV134" s="209">
        <v>0</v>
      </c>
      <c r="EW134" s="110">
        <v>0.27083333333333298</v>
      </c>
      <c r="EX134" s="209">
        <f t="shared" si="32"/>
        <v>5400</v>
      </c>
      <c r="EY134" s="110">
        <v>0.27083333333333298</v>
      </c>
      <c r="EZ134" s="209">
        <f>EZ$207</f>
        <v>5400</v>
      </c>
    </row>
    <row r="135" spans="131:156" x14ac:dyDescent="0.3">
      <c r="EA135" s="110">
        <v>0.28125</v>
      </c>
      <c r="EB135" s="209">
        <v>0</v>
      </c>
      <c r="EC135" s="110">
        <v>0.28125</v>
      </c>
      <c r="ED135" s="209">
        <v>0</v>
      </c>
      <c r="EE135" s="110">
        <v>0.28125</v>
      </c>
      <c r="EF135" s="211">
        <v>0</v>
      </c>
      <c r="EN135" s="290"/>
      <c r="ER135" s="234"/>
      <c r="EU135" s="110">
        <v>0.28125</v>
      </c>
      <c r="EV135" s="209">
        <v>0</v>
      </c>
      <c r="EW135" s="110">
        <v>0.28125</v>
      </c>
      <c r="EX135" s="209">
        <v>0</v>
      </c>
      <c r="EY135" s="110">
        <v>0.28125</v>
      </c>
      <c r="EZ135" s="211">
        <v>0</v>
      </c>
    </row>
    <row r="136" spans="131:156" x14ac:dyDescent="0.3">
      <c r="EA136" s="110">
        <v>0.29166666666666702</v>
      </c>
      <c r="EB136" s="209">
        <f>EB$207</f>
        <v>6900</v>
      </c>
      <c r="EC136" s="110">
        <v>0.29166666666666702</v>
      </c>
      <c r="ED136" s="209">
        <f>ED$207</f>
        <v>12300</v>
      </c>
      <c r="EE136" s="110">
        <v>0.29166666666666702</v>
      </c>
      <c r="EF136" s="209">
        <f>EF$207</f>
        <v>16000</v>
      </c>
      <c r="EJ136" s="234"/>
      <c r="EN136" s="234"/>
      <c r="ER136" s="234"/>
      <c r="EU136" s="110">
        <v>0.29166666666666702</v>
      </c>
      <c r="EV136" s="209">
        <f>EV$207</f>
        <v>5400</v>
      </c>
      <c r="EW136" s="110">
        <v>0.29166666666666702</v>
      </c>
      <c r="EX136" s="209">
        <f>EX$207</f>
        <v>5400</v>
      </c>
      <c r="EY136" s="110">
        <v>0.29166666666666702</v>
      </c>
      <c r="EZ136" s="209">
        <f>EZ$207</f>
        <v>5400</v>
      </c>
    </row>
    <row r="137" spans="131:156" x14ac:dyDescent="0.3">
      <c r="EA137" s="110">
        <v>0.30208333333333298</v>
      </c>
      <c r="EB137" s="209">
        <f>EB$207</f>
        <v>6900</v>
      </c>
      <c r="EC137" s="110">
        <v>0.30208333333333298</v>
      </c>
      <c r="ED137" s="209">
        <f>ED$207</f>
        <v>12300</v>
      </c>
      <c r="EE137" s="110">
        <v>0.30208333333333298</v>
      </c>
      <c r="EF137" s="209">
        <f>EF$207</f>
        <v>16000</v>
      </c>
      <c r="EN137" s="234"/>
      <c r="ER137" s="234"/>
      <c r="EU137" s="110">
        <v>0.30208333333333298</v>
      </c>
      <c r="EV137" s="209">
        <f>EV$207</f>
        <v>5400</v>
      </c>
      <c r="EW137" s="110">
        <v>0.30208333333333298</v>
      </c>
      <c r="EX137" s="209">
        <f>EX$207</f>
        <v>5400</v>
      </c>
      <c r="EY137" s="110">
        <v>0.30208333333333298</v>
      </c>
      <c r="EZ137" s="209">
        <f>EZ$207</f>
        <v>5400</v>
      </c>
    </row>
    <row r="138" spans="131:156" x14ac:dyDescent="0.3">
      <c r="EA138" s="110">
        <v>0.3125</v>
      </c>
      <c r="EB138" s="209">
        <v>0</v>
      </c>
      <c r="EC138" s="110">
        <v>0.3125</v>
      </c>
      <c r="ED138" s="209">
        <f>ED$207</f>
        <v>12300</v>
      </c>
      <c r="EE138" s="110">
        <v>0.3125</v>
      </c>
      <c r="EF138" s="209">
        <f>EF$207</f>
        <v>16000</v>
      </c>
      <c r="EN138" s="234"/>
      <c r="ER138" s="234"/>
      <c r="EU138" s="110">
        <v>0.3125</v>
      </c>
      <c r="EV138" s="209">
        <v>0</v>
      </c>
      <c r="EW138" s="110">
        <v>0.3125</v>
      </c>
      <c r="EX138" s="209">
        <f>EX$207</f>
        <v>5400</v>
      </c>
      <c r="EY138" s="110">
        <v>0.3125</v>
      </c>
      <c r="EZ138" s="209">
        <f>EZ$207</f>
        <v>5400</v>
      </c>
    </row>
    <row r="139" spans="131:156" x14ac:dyDescent="0.3">
      <c r="EA139" s="110">
        <v>0.32291666666666702</v>
      </c>
      <c r="EB139" s="209">
        <v>0</v>
      </c>
      <c r="EC139" s="110">
        <v>0.32291666666666702</v>
      </c>
      <c r="ED139" s="209">
        <v>0</v>
      </c>
      <c r="EE139" s="110">
        <v>0.32291666666666702</v>
      </c>
      <c r="EF139" s="211">
        <v>0</v>
      </c>
      <c r="EN139" s="234"/>
      <c r="ER139" s="234"/>
      <c r="EU139" s="110">
        <v>0.32291666666666702</v>
      </c>
      <c r="EV139" s="209">
        <v>0</v>
      </c>
      <c r="EW139" s="110">
        <v>0.32291666666666702</v>
      </c>
      <c r="EX139" s="209">
        <v>0</v>
      </c>
      <c r="EY139" s="110">
        <v>0.32291666666666702</v>
      </c>
      <c r="EZ139" s="211">
        <v>0</v>
      </c>
    </row>
    <row r="140" spans="131:156" x14ac:dyDescent="0.3">
      <c r="EA140" s="110">
        <v>0.33333333333333298</v>
      </c>
      <c r="EB140" s="209">
        <f>EB$207</f>
        <v>6900</v>
      </c>
      <c r="EC140" s="110">
        <v>0.33333333333333298</v>
      </c>
      <c r="ED140" s="209">
        <f t="shared" ref="ED140:ED141" si="33">ED$207</f>
        <v>12300</v>
      </c>
      <c r="EE140" s="110">
        <v>0.33333333333333298</v>
      </c>
      <c r="EF140" s="209">
        <f>EF$207</f>
        <v>16000</v>
      </c>
      <c r="EJ140" s="234"/>
      <c r="EN140" s="234"/>
      <c r="ER140" s="234"/>
      <c r="EU140" s="110">
        <v>0.33333333333333298</v>
      </c>
      <c r="EV140" s="209">
        <f>EV$207</f>
        <v>5400</v>
      </c>
      <c r="EW140" s="110">
        <v>0.33333333333333298</v>
      </c>
      <c r="EX140" s="209">
        <f t="shared" ref="EX140:EX141" si="34">EX$207</f>
        <v>5400</v>
      </c>
      <c r="EY140" s="110">
        <v>0.33333333333333298</v>
      </c>
      <c r="EZ140" s="209">
        <f>EZ$207</f>
        <v>5400</v>
      </c>
    </row>
    <row r="141" spans="131:156" x14ac:dyDescent="0.3">
      <c r="EA141" s="110">
        <v>0.34375</v>
      </c>
      <c r="EB141" s="209">
        <f>EB$207</f>
        <v>6900</v>
      </c>
      <c r="EC141" s="110">
        <v>0.34375</v>
      </c>
      <c r="ED141" s="209">
        <f t="shared" si="33"/>
        <v>12300</v>
      </c>
      <c r="EE141" s="110">
        <v>0.34375</v>
      </c>
      <c r="EF141" s="209">
        <f>EF$207</f>
        <v>16000</v>
      </c>
      <c r="EN141" s="234"/>
      <c r="ER141" s="234"/>
      <c r="EU141" s="110">
        <v>0.34375</v>
      </c>
      <c r="EV141" s="209">
        <f>EV$207</f>
        <v>5400</v>
      </c>
      <c r="EW141" s="110">
        <v>0.34375</v>
      </c>
      <c r="EX141" s="209">
        <f t="shared" si="34"/>
        <v>5400</v>
      </c>
      <c r="EY141" s="110">
        <v>0.34375</v>
      </c>
      <c r="EZ141" s="209">
        <f>EZ$207</f>
        <v>5400</v>
      </c>
    </row>
    <row r="142" spans="131:156" x14ac:dyDescent="0.3">
      <c r="EA142" s="110">
        <v>0.35416666666666702</v>
      </c>
      <c r="EB142" s="209">
        <v>0</v>
      </c>
      <c r="EC142" s="110">
        <v>0.35416666666666702</v>
      </c>
      <c r="ED142" s="209">
        <v>0</v>
      </c>
      <c r="EE142" s="110">
        <v>0.35416666666666702</v>
      </c>
      <c r="EF142" s="211">
        <v>0</v>
      </c>
      <c r="EN142" s="234"/>
      <c r="ER142" s="234"/>
      <c r="EU142" s="110">
        <v>0.35416666666666702</v>
      </c>
      <c r="EV142" s="209">
        <v>0</v>
      </c>
      <c r="EW142" s="110">
        <v>0.35416666666666702</v>
      </c>
      <c r="EX142" s="209">
        <v>0</v>
      </c>
      <c r="EY142" s="110">
        <v>0.35416666666666702</v>
      </c>
      <c r="EZ142" s="211">
        <v>0</v>
      </c>
    </row>
    <row r="143" spans="131:156" x14ac:dyDescent="0.3">
      <c r="EA143" s="110">
        <v>0.36458333333333298</v>
      </c>
      <c r="EB143" s="209">
        <v>0</v>
      </c>
      <c r="EC143" s="110">
        <v>0.36458333333333298</v>
      </c>
      <c r="ED143" s="209">
        <v>0</v>
      </c>
      <c r="EE143" s="110">
        <v>0.36458333333333298</v>
      </c>
      <c r="EF143" s="211">
        <v>0</v>
      </c>
      <c r="EN143" s="234"/>
      <c r="ER143" s="234"/>
      <c r="EU143" s="110">
        <v>0.36458333333333298</v>
      </c>
      <c r="EV143" s="209">
        <v>0</v>
      </c>
      <c r="EW143" s="110">
        <v>0.36458333333333298</v>
      </c>
      <c r="EX143" s="209">
        <v>0</v>
      </c>
      <c r="EY143" s="110">
        <v>0.36458333333333298</v>
      </c>
      <c r="EZ143" s="211">
        <v>0</v>
      </c>
    </row>
    <row r="144" spans="131:156" x14ac:dyDescent="0.3">
      <c r="EA144" s="110">
        <v>0.375</v>
      </c>
      <c r="EB144" s="209">
        <f t="shared" ref="EB144:EB145" si="35">EB$207</f>
        <v>6900</v>
      </c>
      <c r="EC144" s="110">
        <v>0.375</v>
      </c>
      <c r="ED144" s="209">
        <f t="shared" ref="ED144:ED145" si="36">ED$207</f>
        <v>12300</v>
      </c>
      <c r="EE144" s="110">
        <v>0.375</v>
      </c>
      <c r="EF144" s="209">
        <f>EF$207</f>
        <v>16000</v>
      </c>
      <c r="EJ144" s="234"/>
      <c r="EN144" s="234"/>
      <c r="ER144" s="234"/>
      <c r="EU144" s="110">
        <v>0.375</v>
      </c>
      <c r="EV144" s="209">
        <f t="shared" ref="EV144:EV145" si="37">EV$207</f>
        <v>5400</v>
      </c>
      <c r="EW144" s="110">
        <v>0.375</v>
      </c>
      <c r="EX144" s="209">
        <f t="shared" ref="EX144:EX145" si="38">EX$207</f>
        <v>5400</v>
      </c>
      <c r="EY144" s="110">
        <v>0.375</v>
      </c>
      <c r="EZ144" s="209">
        <f>EZ$207</f>
        <v>5400</v>
      </c>
    </row>
    <row r="145" spans="131:156" x14ac:dyDescent="0.3">
      <c r="EA145" s="110">
        <v>0.38541666666666702</v>
      </c>
      <c r="EB145" s="209">
        <f t="shared" si="35"/>
        <v>6900</v>
      </c>
      <c r="EC145" s="110">
        <v>0.38541666666666702</v>
      </c>
      <c r="ED145" s="209">
        <f t="shared" si="36"/>
        <v>12300</v>
      </c>
      <c r="EE145" s="110">
        <v>0.38541666666666702</v>
      </c>
      <c r="EF145" s="209">
        <f>EF$207</f>
        <v>16000</v>
      </c>
      <c r="EN145" s="234"/>
      <c r="ER145" s="290"/>
      <c r="EU145" s="110">
        <v>0.38541666666666702</v>
      </c>
      <c r="EV145" s="209">
        <f t="shared" si="37"/>
        <v>5400</v>
      </c>
      <c r="EW145" s="110">
        <v>0.38541666666666702</v>
      </c>
      <c r="EX145" s="209">
        <f t="shared" si="38"/>
        <v>5400</v>
      </c>
      <c r="EY145" s="110">
        <v>0.38541666666666702</v>
      </c>
      <c r="EZ145" s="209">
        <f>EZ$207</f>
        <v>5400</v>
      </c>
    </row>
    <row r="146" spans="131:156" x14ac:dyDescent="0.3">
      <c r="EA146" s="110">
        <v>0.39583333333333298</v>
      </c>
      <c r="EB146" s="209">
        <v>0</v>
      </c>
      <c r="EC146" s="110">
        <v>0.39583333333333298</v>
      </c>
      <c r="ED146" s="209">
        <v>0</v>
      </c>
      <c r="EE146" s="110">
        <v>0.39583333333333298</v>
      </c>
      <c r="EF146" s="211">
        <v>0</v>
      </c>
      <c r="EN146" s="234"/>
      <c r="ER146" s="290"/>
      <c r="EU146" s="110">
        <v>0.39583333333333298</v>
      </c>
      <c r="EV146" s="209">
        <v>0</v>
      </c>
      <c r="EW146" s="110">
        <v>0.39583333333333298</v>
      </c>
      <c r="EX146" s="209">
        <v>0</v>
      </c>
      <c r="EY146" s="110">
        <v>0.39583333333333298</v>
      </c>
      <c r="EZ146" s="211">
        <v>0</v>
      </c>
    </row>
    <row r="147" spans="131:156" x14ac:dyDescent="0.3">
      <c r="EA147" s="110">
        <v>0.40625</v>
      </c>
      <c r="EB147" s="209">
        <v>0</v>
      </c>
      <c r="EC147" s="110">
        <v>0.40625</v>
      </c>
      <c r="ED147" s="209">
        <v>0</v>
      </c>
      <c r="EE147" s="110">
        <v>0.40625</v>
      </c>
      <c r="EF147" s="211">
        <v>0</v>
      </c>
      <c r="EN147" s="234"/>
      <c r="ER147" s="290"/>
      <c r="EU147" s="110">
        <v>0.40625</v>
      </c>
      <c r="EV147" s="209">
        <v>0</v>
      </c>
      <c r="EW147" s="110">
        <v>0.40625</v>
      </c>
      <c r="EX147" s="209">
        <v>0</v>
      </c>
      <c r="EY147" s="110">
        <v>0.40625</v>
      </c>
      <c r="EZ147" s="211">
        <v>0</v>
      </c>
    </row>
    <row r="148" spans="131:156" x14ac:dyDescent="0.3">
      <c r="EA148" s="110">
        <v>0.41666666666666702</v>
      </c>
      <c r="EB148" s="209">
        <v>0</v>
      </c>
      <c r="EC148" s="110">
        <v>0.41666666666666702</v>
      </c>
      <c r="ED148" s="209">
        <f>ED$207</f>
        <v>12300</v>
      </c>
      <c r="EE148" s="110">
        <v>0.41666666666666702</v>
      </c>
      <c r="EF148" s="209">
        <f>EF$207</f>
        <v>16000</v>
      </c>
      <c r="EJ148" s="234"/>
      <c r="EN148" s="234"/>
      <c r="ER148" s="234"/>
      <c r="EU148" s="110">
        <v>0.41666666666666702</v>
      </c>
      <c r="EV148" s="209">
        <v>0</v>
      </c>
      <c r="EW148" s="110">
        <v>0.41666666666666702</v>
      </c>
      <c r="EX148" s="209">
        <f>EX$207</f>
        <v>5400</v>
      </c>
      <c r="EY148" s="110">
        <v>0.41666666666666702</v>
      </c>
      <c r="EZ148" s="209">
        <f>EZ$207</f>
        <v>5400</v>
      </c>
    </row>
    <row r="149" spans="131:156" x14ac:dyDescent="0.3">
      <c r="EA149" s="110">
        <v>0.42708333333333298</v>
      </c>
      <c r="EB149" s="209">
        <v>0</v>
      </c>
      <c r="EC149" s="110">
        <v>0.42708333333333298</v>
      </c>
      <c r="ED149" s="209">
        <v>0</v>
      </c>
      <c r="EE149" s="110">
        <v>0.42708333333333298</v>
      </c>
      <c r="EF149" s="211">
        <v>0</v>
      </c>
      <c r="EN149" s="234"/>
      <c r="ER149" s="234"/>
      <c r="EU149" s="110">
        <v>0.42708333333333298</v>
      </c>
      <c r="EV149" s="209">
        <v>0</v>
      </c>
      <c r="EW149" s="110">
        <v>0.42708333333333298</v>
      </c>
      <c r="EX149" s="209">
        <v>0</v>
      </c>
      <c r="EY149" s="110">
        <v>0.42708333333333298</v>
      </c>
      <c r="EZ149" s="211">
        <v>0</v>
      </c>
    </row>
    <row r="150" spans="131:156" x14ac:dyDescent="0.3">
      <c r="EA150" s="110">
        <v>0.4375</v>
      </c>
      <c r="EB150" s="209">
        <v>0</v>
      </c>
      <c r="EC150" s="110">
        <v>0.4375</v>
      </c>
      <c r="ED150" s="209">
        <v>0</v>
      </c>
      <c r="EE150" s="110">
        <v>0.4375</v>
      </c>
      <c r="EF150" s="211">
        <v>0</v>
      </c>
      <c r="EN150" s="234"/>
      <c r="ER150" s="234"/>
      <c r="EU150" s="110">
        <v>0.4375</v>
      </c>
      <c r="EV150" s="209">
        <v>0</v>
      </c>
      <c r="EW150" s="110">
        <v>0.4375</v>
      </c>
      <c r="EX150" s="209">
        <v>0</v>
      </c>
      <c r="EY150" s="110">
        <v>0.4375</v>
      </c>
      <c r="EZ150" s="211">
        <v>0</v>
      </c>
    </row>
    <row r="151" spans="131:156" x14ac:dyDescent="0.3">
      <c r="EA151" s="110">
        <v>0.44791666666666702</v>
      </c>
      <c r="EB151" s="209">
        <v>0</v>
      </c>
      <c r="EC151" s="110">
        <v>0.44791666666666702</v>
      </c>
      <c r="ED151" s="209">
        <v>0</v>
      </c>
      <c r="EE151" s="110">
        <v>0.44791666666666702</v>
      </c>
      <c r="EF151" s="211">
        <v>0</v>
      </c>
      <c r="EN151" s="234"/>
      <c r="ER151" s="234"/>
      <c r="EU151" s="110">
        <v>0.44791666666666702</v>
      </c>
      <c r="EV151" s="209">
        <v>0</v>
      </c>
      <c r="EW151" s="110">
        <v>0.44791666666666702</v>
      </c>
      <c r="EX151" s="209">
        <v>0</v>
      </c>
      <c r="EY151" s="110">
        <v>0.44791666666666702</v>
      </c>
      <c r="EZ151" s="211">
        <v>0</v>
      </c>
    </row>
    <row r="152" spans="131:156" x14ac:dyDescent="0.3">
      <c r="EA152" s="110">
        <v>0.45833333333333298</v>
      </c>
      <c r="EB152" s="209">
        <v>0</v>
      </c>
      <c r="EC152" s="110">
        <v>0.45833333333333298</v>
      </c>
      <c r="ED152" s="209">
        <v>0</v>
      </c>
      <c r="EE152" s="110">
        <v>0.45833333333333298</v>
      </c>
      <c r="EF152" s="211">
        <v>0</v>
      </c>
      <c r="EJ152" s="234"/>
      <c r="EN152" s="234"/>
      <c r="ER152" s="234"/>
      <c r="EU152" s="110">
        <v>0.45833333333333298</v>
      </c>
      <c r="EV152" s="209">
        <v>0</v>
      </c>
      <c r="EW152" s="110">
        <v>0.45833333333333298</v>
      </c>
      <c r="EX152" s="209">
        <v>0</v>
      </c>
      <c r="EY152" s="110">
        <v>0.45833333333333298</v>
      </c>
      <c r="EZ152" s="211">
        <v>0</v>
      </c>
    </row>
    <row r="153" spans="131:156" x14ac:dyDescent="0.3">
      <c r="EA153" s="110">
        <v>0.46875</v>
      </c>
      <c r="EB153" s="209">
        <v>0</v>
      </c>
      <c r="EC153" s="110">
        <v>0.46875</v>
      </c>
      <c r="ED153" s="209">
        <v>0</v>
      </c>
      <c r="EE153" s="110">
        <v>0.46875</v>
      </c>
      <c r="EF153" s="211">
        <v>0</v>
      </c>
      <c r="EN153" s="290"/>
      <c r="ER153" s="234"/>
      <c r="EU153" s="110">
        <v>0.46875</v>
      </c>
      <c r="EV153" s="209">
        <v>0</v>
      </c>
      <c r="EW153" s="110">
        <v>0.46875</v>
      </c>
      <c r="EX153" s="209">
        <v>0</v>
      </c>
      <c r="EY153" s="110">
        <v>0.46875</v>
      </c>
      <c r="EZ153" s="211">
        <v>0</v>
      </c>
    </row>
    <row r="154" spans="131:156" x14ac:dyDescent="0.3">
      <c r="EA154" s="110">
        <v>0.47916666666666702</v>
      </c>
      <c r="EB154" s="209">
        <v>0</v>
      </c>
      <c r="EC154" s="110">
        <v>0.47916666666666702</v>
      </c>
      <c r="ED154" s="209">
        <v>0</v>
      </c>
      <c r="EE154" s="110">
        <v>0.47916666666666702</v>
      </c>
      <c r="EF154" s="211">
        <v>0</v>
      </c>
      <c r="EN154" s="290"/>
      <c r="ER154" s="234"/>
      <c r="EU154" s="110">
        <v>0.47916666666666702</v>
      </c>
      <c r="EV154" s="209">
        <v>0</v>
      </c>
      <c r="EW154" s="110">
        <v>0.47916666666666702</v>
      </c>
      <c r="EX154" s="209">
        <v>0</v>
      </c>
      <c r="EY154" s="110">
        <v>0.47916666666666702</v>
      </c>
      <c r="EZ154" s="211">
        <v>0</v>
      </c>
    </row>
    <row r="155" spans="131:156" x14ac:dyDescent="0.3">
      <c r="EA155" s="110">
        <v>0.48958333333333298</v>
      </c>
      <c r="EB155" s="209">
        <v>0</v>
      </c>
      <c r="EC155" s="110">
        <v>0.48958333333333298</v>
      </c>
      <c r="ED155" s="209">
        <v>0</v>
      </c>
      <c r="EE155" s="110">
        <v>0.48958333333333298</v>
      </c>
      <c r="EF155" s="211">
        <v>0</v>
      </c>
      <c r="EN155" s="290"/>
      <c r="ER155" s="234"/>
      <c r="EU155" s="110">
        <v>0.48958333333333298</v>
      </c>
      <c r="EV155" s="209">
        <v>0</v>
      </c>
      <c r="EW155" s="110">
        <v>0.48958333333333298</v>
      </c>
      <c r="EX155" s="209">
        <v>0</v>
      </c>
      <c r="EY155" s="110">
        <v>0.48958333333333298</v>
      </c>
      <c r="EZ155" s="211">
        <v>0</v>
      </c>
    </row>
    <row r="156" spans="131:156" x14ac:dyDescent="0.3">
      <c r="EA156" s="110">
        <v>0.5</v>
      </c>
      <c r="EB156" s="209">
        <v>0</v>
      </c>
      <c r="EC156" s="110">
        <v>0.5</v>
      </c>
      <c r="ED156" s="209">
        <v>0</v>
      </c>
      <c r="EE156" s="110">
        <v>0.5</v>
      </c>
      <c r="EF156" s="211">
        <v>0</v>
      </c>
      <c r="EJ156" s="234"/>
      <c r="EN156" s="234"/>
      <c r="ER156" s="234"/>
      <c r="EU156" s="110">
        <v>0.5</v>
      </c>
      <c r="EV156" s="209">
        <v>0</v>
      </c>
      <c r="EW156" s="110">
        <v>0.5</v>
      </c>
      <c r="EX156" s="209">
        <v>0</v>
      </c>
      <c r="EY156" s="110">
        <v>0.5</v>
      </c>
      <c r="EZ156" s="211">
        <v>0</v>
      </c>
    </row>
    <row r="157" spans="131:156" x14ac:dyDescent="0.3">
      <c r="EA157" s="110">
        <v>0.51041666666666696</v>
      </c>
      <c r="EB157" s="209">
        <v>0</v>
      </c>
      <c r="EC157" s="110">
        <v>0.51041666666666696</v>
      </c>
      <c r="ED157" s="209">
        <v>0</v>
      </c>
      <c r="EE157" s="110">
        <v>0.51041666666666696</v>
      </c>
      <c r="EF157" s="211">
        <v>0</v>
      </c>
      <c r="EN157" s="290"/>
      <c r="ER157" s="234"/>
      <c r="EU157" s="110">
        <v>0.51041666666666696</v>
      </c>
      <c r="EV157" s="209">
        <v>0</v>
      </c>
      <c r="EW157" s="110">
        <v>0.51041666666666696</v>
      </c>
      <c r="EX157" s="209">
        <v>0</v>
      </c>
      <c r="EY157" s="110">
        <v>0.51041666666666696</v>
      </c>
      <c r="EZ157" s="211">
        <v>0</v>
      </c>
    </row>
    <row r="158" spans="131:156" x14ac:dyDescent="0.3">
      <c r="EA158" s="110">
        <v>0.52083333333333304</v>
      </c>
      <c r="EB158" s="209">
        <v>0</v>
      </c>
      <c r="EC158" s="110">
        <v>0.52083333333333304</v>
      </c>
      <c r="ED158" s="209">
        <v>0</v>
      </c>
      <c r="EE158" s="110">
        <v>0.52083333333333304</v>
      </c>
      <c r="EF158" s="211">
        <v>0</v>
      </c>
      <c r="EN158" s="290"/>
      <c r="ER158" s="234"/>
      <c r="EU158" s="110">
        <v>0.52083333333333304</v>
      </c>
      <c r="EV158" s="209">
        <v>0</v>
      </c>
      <c r="EW158" s="110">
        <v>0.52083333333333304</v>
      </c>
      <c r="EX158" s="209">
        <v>0</v>
      </c>
      <c r="EY158" s="110">
        <v>0.52083333333333304</v>
      </c>
      <c r="EZ158" s="211">
        <v>0</v>
      </c>
    </row>
    <row r="159" spans="131:156" x14ac:dyDescent="0.3">
      <c r="EA159" s="110">
        <v>0.53125</v>
      </c>
      <c r="EB159" s="209">
        <v>0</v>
      </c>
      <c r="EC159" s="110">
        <v>0.53125</v>
      </c>
      <c r="ED159" s="209">
        <v>0</v>
      </c>
      <c r="EE159" s="110">
        <v>0.53125</v>
      </c>
      <c r="EF159" s="211">
        <v>0</v>
      </c>
      <c r="EN159" s="290"/>
      <c r="ER159" s="234"/>
      <c r="EU159" s="110">
        <v>0.53125</v>
      </c>
      <c r="EV159" s="209">
        <v>0</v>
      </c>
      <c r="EW159" s="110">
        <v>0.53125</v>
      </c>
      <c r="EX159" s="209">
        <v>0</v>
      </c>
      <c r="EY159" s="110">
        <v>0.53125</v>
      </c>
      <c r="EZ159" s="211">
        <v>0</v>
      </c>
    </row>
    <row r="160" spans="131:156" x14ac:dyDescent="0.3">
      <c r="EA160" s="110">
        <v>0.54166666666666696</v>
      </c>
      <c r="EB160" s="209">
        <v>0</v>
      </c>
      <c r="EC160" s="110">
        <v>0.54166666666666696</v>
      </c>
      <c r="ED160" s="209">
        <v>0</v>
      </c>
      <c r="EE160" s="110">
        <v>0.54166666666666696</v>
      </c>
      <c r="EF160" s="211">
        <v>0</v>
      </c>
      <c r="EJ160" s="234"/>
      <c r="EN160" s="234"/>
      <c r="ER160" s="234"/>
      <c r="EU160" s="110">
        <v>0.54166666666666696</v>
      </c>
      <c r="EV160" s="209">
        <v>0</v>
      </c>
      <c r="EW160" s="110">
        <v>0.54166666666666696</v>
      </c>
      <c r="EX160" s="209">
        <v>0</v>
      </c>
      <c r="EY160" s="110">
        <v>0.54166666666666696</v>
      </c>
      <c r="EZ160" s="211">
        <v>0</v>
      </c>
    </row>
    <row r="161" spans="131:156" x14ac:dyDescent="0.3">
      <c r="EA161" s="110">
        <v>0.55208333333333304</v>
      </c>
      <c r="EB161" s="209">
        <v>0</v>
      </c>
      <c r="EC161" s="110">
        <v>0.55208333333333304</v>
      </c>
      <c r="ED161" s="209">
        <v>0</v>
      </c>
      <c r="EE161" s="110">
        <v>0.55208333333333304</v>
      </c>
      <c r="EF161" s="211">
        <v>0</v>
      </c>
      <c r="EN161" s="290"/>
      <c r="ER161" s="234"/>
      <c r="EU161" s="110">
        <v>0.55208333333333304</v>
      </c>
      <c r="EV161" s="209">
        <v>0</v>
      </c>
      <c r="EW161" s="110">
        <v>0.55208333333333304</v>
      </c>
      <c r="EX161" s="209">
        <v>0</v>
      </c>
      <c r="EY161" s="110">
        <v>0.55208333333333304</v>
      </c>
      <c r="EZ161" s="211">
        <v>0</v>
      </c>
    </row>
    <row r="162" spans="131:156" x14ac:dyDescent="0.3">
      <c r="EA162" s="110">
        <v>0.5625</v>
      </c>
      <c r="EB162" s="209">
        <v>0</v>
      </c>
      <c r="EC162" s="110">
        <v>0.5625</v>
      </c>
      <c r="ED162" s="209">
        <v>0</v>
      </c>
      <c r="EE162" s="110">
        <v>0.5625</v>
      </c>
      <c r="EF162" s="211">
        <v>0</v>
      </c>
      <c r="EN162" s="290"/>
      <c r="ER162" s="234"/>
      <c r="EU162" s="110">
        <v>0.5625</v>
      </c>
      <c r="EV162" s="209">
        <v>0</v>
      </c>
      <c r="EW162" s="110">
        <v>0.5625</v>
      </c>
      <c r="EX162" s="209">
        <v>0</v>
      </c>
      <c r="EY162" s="110">
        <v>0.5625</v>
      </c>
      <c r="EZ162" s="211">
        <v>0</v>
      </c>
    </row>
    <row r="163" spans="131:156" x14ac:dyDescent="0.3">
      <c r="EA163" s="110">
        <v>0.57291666666666696</v>
      </c>
      <c r="EB163" s="209">
        <v>0</v>
      </c>
      <c r="EC163" s="110">
        <v>0.57291666666666696</v>
      </c>
      <c r="ED163" s="209">
        <v>0</v>
      </c>
      <c r="EE163" s="110">
        <v>0.57291666666666696</v>
      </c>
      <c r="EF163" s="211">
        <v>0</v>
      </c>
      <c r="EN163" s="290"/>
      <c r="ER163" s="234"/>
      <c r="EU163" s="110">
        <v>0.57291666666666696</v>
      </c>
      <c r="EV163" s="209">
        <v>0</v>
      </c>
      <c r="EW163" s="110">
        <v>0.57291666666666696</v>
      </c>
      <c r="EX163" s="209">
        <v>0</v>
      </c>
      <c r="EY163" s="110">
        <v>0.57291666666666696</v>
      </c>
      <c r="EZ163" s="211">
        <v>0</v>
      </c>
    </row>
    <row r="164" spans="131:156" x14ac:dyDescent="0.3">
      <c r="EA164" s="110">
        <v>0.58333333333333304</v>
      </c>
      <c r="EB164" s="209">
        <v>0</v>
      </c>
      <c r="EC164" s="110">
        <v>0.58333333333333304</v>
      </c>
      <c r="ED164" s="209">
        <v>0</v>
      </c>
      <c r="EE164" s="110">
        <v>0.58333333333333304</v>
      </c>
      <c r="EF164" s="211">
        <v>0</v>
      </c>
      <c r="EJ164" s="234"/>
      <c r="EN164" s="234"/>
      <c r="ER164" s="234"/>
      <c r="EU164" s="110">
        <v>0.58333333333333304</v>
      </c>
      <c r="EV164" s="209">
        <v>0</v>
      </c>
      <c r="EW164" s="110">
        <v>0.58333333333333304</v>
      </c>
      <c r="EX164" s="209">
        <v>0</v>
      </c>
      <c r="EY164" s="110">
        <v>0.58333333333333304</v>
      </c>
      <c r="EZ164" s="211">
        <v>0</v>
      </c>
    </row>
    <row r="165" spans="131:156" x14ac:dyDescent="0.3">
      <c r="EA165" s="110">
        <v>0.59375</v>
      </c>
      <c r="EB165" s="209">
        <v>0</v>
      </c>
      <c r="EC165" s="110">
        <v>0.59375</v>
      </c>
      <c r="ED165" s="209">
        <v>0</v>
      </c>
      <c r="EE165" s="110">
        <v>0.59375</v>
      </c>
      <c r="EF165" s="211">
        <v>0</v>
      </c>
      <c r="EN165" s="290"/>
      <c r="ER165" s="290"/>
      <c r="EU165" s="110">
        <v>0.59375</v>
      </c>
      <c r="EV165" s="209">
        <v>0</v>
      </c>
      <c r="EW165" s="110">
        <v>0.59375</v>
      </c>
      <c r="EX165" s="209">
        <v>0</v>
      </c>
      <c r="EY165" s="110">
        <v>0.59375</v>
      </c>
      <c r="EZ165" s="211">
        <v>0</v>
      </c>
    </row>
    <row r="166" spans="131:156" x14ac:dyDescent="0.3">
      <c r="EA166" s="110">
        <v>0.60416666666666696</v>
      </c>
      <c r="EB166" s="209">
        <v>0</v>
      </c>
      <c r="EC166" s="110">
        <v>0.60416666666666696</v>
      </c>
      <c r="ED166" s="209">
        <v>0</v>
      </c>
      <c r="EE166" s="110">
        <v>0.60416666666666696</v>
      </c>
      <c r="EF166" s="211">
        <v>0</v>
      </c>
      <c r="EN166" s="290"/>
      <c r="ER166" s="290"/>
      <c r="EU166" s="110">
        <v>0.60416666666666696</v>
      </c>
      <c r="EV166" s="209">
        <v>0</v>
      </c>
      <c r="EW166" s="110">
        <v>0.60416666666666696</v>
      </c>
      <c r="EX166" s="209">
        <v>0</v>
      </c>
      <c r="EY166" s="110">
        <v>0.60416666666666696</v>
      </c>
      <c r="EZ166" s="211">
        <v>0</v>
      </c>
    </row>
    <row r="167" spans="131:156" x14ac:dyDescent="0.3">
      <c r="EA167" s="110">
        <v>0.61458333333333304</v>
      </c>
      <c r="EB167" s="209">
        <v>0</v>
      </c>
      <c r="EC167" s="110">
        <v>0.61458333333333304</v>
      </c>
      <c r="ED167" s="209">
        <v>0</v>
      </c>
      <c r="EE167" s="110">
        <v>0.61458333333333304</v>
      </c>
      <c r="EF167" s="211">
        <v>0</v>
      </c>
      <c r="EN167" s="290"/>
      <c r="ER167" s="290"/>
      <c r="EU167" s="110">
        <v>0.61458333333333304</v>
      </c>
      <c r="EV167" s="209">
        <v>0</v>
      </c>
      <c r="EW167" s="110">
        <v>0.61458333333333304</v>
      </c>
      <c r="EX167" s="209">
        <v>0</v>
      </c>
      <c r="EY167" s="110">
        <v>0.61458333333333304</v>
      </c>
      <c r="EZ167" s="211">
        <v>0</v>
      </c>
    </row>
    <row r="168" spans="131:156" x14ac:dyDescent="0.3">
      <c r="EA168" s="110">
        <v>0.625</v>
      </c>
      <c r="EB168" s="209">
        <v>0</v>
      </c>
      <c r="EC168" s="110">
        <v>0.625</v>
      </c>
      <c r="ED168" s="209">
        <v>0</v>
      </c>
      <c r="EE168" s="110">
        <v>0.625</v>
      </c>
      <c r="EF168" s="211">
        <v>0</v>
      </c>
      <c r="EJ168" s="234"/>
      <c r="EN168" s="234"/>
      <c r="ER168" s="234"/>
      <c r="EU168" s="110">
        <v>0.625</v>
      </c>
      <c r="EV168" s="209">
        <v>0</v>
      </c>
      <c r="EW168" s="110">
        <v>0.625</v>
      </c>
      <c r="EX168" s="209">
        <v>0</v>
      </c>
      <c r="EY168" s="110">
        <v>0.625</v>
      </c>
      <c r="EZ168" s="211">
        <v>0</v>
      </c>
    </row>
    <row r="169" spans="131:156" x14ac:dyDescent="0.3">
      <c r="EA169" s="110">
        <v>0.63541666666666696</v>
      </c>
      <c r="EB169" s="209">
        <v>0</v>
      </c>
      <c r="EC169" s="110">
        <v>0.63541666666666696</v>
      </c>
      <c r="ED169" s="209">
        <v>0</v>
      </c>
      <c r="EE169" s="110">
        <v>0.63541666666666696</v>
      </c>
      <c r="EF169" s="211">
        <v>0</v>
      </c>
      <c r="EN169" s="234"/>
      <c r="ER169" s="234"/>
      <c r="EU169" s="110">
        <v>0.63541666666666696</v>
      </c>
      <c r="EV169" s="209">
        <v>0</v>
      </c>
      <c r="EW169" s="110">
        <v>0.63541666666666696</v>
      </c>
      <c r="EX169" s="209">
        <v>0</v>
      </c>
      <c r="EY169" s="110">
        <v>0.63541666666666696</v>
      </c>
      <c r="EZ169" s="211">
        <v>0</v>
      </c>
    </row>
    <row r="170" spans="131:156" x14ac:dyDescent="0.3">
      <c r="EA170" s="110">
        <v>0.64583333333333304</v>
      </c>
      <c r="EB170" s="209">
        <v>0</v>
      </c>
      <c r="EC170" s="110">
        <v>0.64583333333333304</v>
      </c>
      <c r="ED170" s="209">
        <v>0</v>
      </c>
      <c r="EE170" s="110">
        <v>0.64583333333333304</v>
      </c>
      <c r="EF170" s="211">
        <v>0</v>
      </c>
      <c r="EN170" s="234"/>
      <c r="ER170" s="234"/>
      <c r="EU170" s="110">
        <v>0.64583333333333304</v>
      </c>
      <c r="EV170" s="209">
        <v>0</v>
      </c>
      <c r="EW170" s="110">
        <v>0.64583333333333304</v>
      </c>
      <c r="EX170" s="209">
        <v>0</v>
      </c>
      <c r="EY170" s="110">
        <v>0.64583333333333304</v>
      </c>
      <c r="EZ170" s="211">
        <v>0</v>
      </c>
    </row>
    <row r="171" spans="131:156" x14ac:dyDescent="0.3">
      <c r="EA171" s="110">
        <v>0.65625</v>
      </c>
      <c r="EB171" s="209">
        <v>0</v>
      </c>
      <c r="EC171" s="110">
        <v>0.65625</v>
      </c>
      <c r="ED171" s="209">
        <v>0</v>
      </c>
      <c r="EE171" s="110">
        <v>0.65625</v>
      </c>
      <c r="EF171" s="211">
        <v>0</v>
      </c>
      <c r="EN171" s="234"/>
      <c r="ER171" s="234"/>
      <c r="EU171" s="110">
        <v>0.65625</v>
      </c>
      <c r="EV171" s="209">
        <v>0</v>
      </c>
      <c r="EW171" s="110">
        <v>0.65625</v>
      </c>
      <c r="EX171" s="209">
        <v>0</v>
      </c>
      <c r="EY171" s="110">
        <v>0.65625</v>
      </c>
      <c r="EZ171" s="211">
        <v>0</v>
      </c>
    </row>
    <row r="172" spans="131:156" x14ac:dyDescent="0.3">
      <c r="EA172" s="110">
        <v>0.66666666666666696</v>
      </c>
      <c r="EB172" s="209">
        <v>0</v>
      </c>
      <c r="EC172" s="110">
        <v>0.66666666666666696</v>
      </c>
      <c r="ED172" s="209">
        <v>0</v>
      </c>
      <c r="EE172" s="110">
        <v>0.66666666666666696</v>
      </c>
      <c r="EF172" s="211">
        <v>0</v>
      </c>
      <c r="EJ172" s="234"/>
      <c r="EN172" s="234"/>
      <c r="ER172" s="234"/>
      <c r="EU172" s="110">
        <v>0.66666666666666696</v>
      </c>
      <c r="EV172" s="209">
        <v>0</v>
      </c>
      <c r="EW172" s="110">
        <v>0.66666666666666696</v>
      </c>
      <c r="EX172" s="209">
        <v>0</v>
      </c>
      <c r="EY172" s="110">
        <v>0.66666666666666696</v>
      </c>
      <c r="EZ172" s="211">
        <v>0</v>
      </c>
    </row>
    <row r="173" spans="131:156" x14ac:dyDescent="0.3">
      <c r="EA173" s="110">
        <v>0.67708333333333304</v>
      </c>
      <c r="EB173" s="209">
        <v>0</v>
      </c>
      <c r="EC173" s="110">
        <v>0.67708333333333304</v>
      </c>
      <c r="ED173" s="209">
        <v>0</v>
      </c>
      <c r="EE173" s="110">
        <v>0.67708333333333304</v>
      </c>
      <c r="EF173" s="211">
        <v>0</v>
      </c>
      <c r="EN173" s="234"/>
      <c r="ER173" s="234"/>
      <c r="EU173" s="110">
        <v>0.67708333333333304</v>
      </c>
      <c r="EV173" s="209">
        <v>0</v>
      </c>
      <c r="EW173" s="110">
        <v>0.67708333333333304</v>
      </c>
      <c r="EX173" s="209">
        <v>0</v>
      </c>
      <c r="EY173" s="110">
        <v>0.67708333333333304</v>
      </c>
      <c r="EZ173" s="211">
        <v>0</v>
      </c>
    </row>
    <row r="174" spans="131:156" x14ac:dyDescent="0.3">
      <c r="EA174" s="110">
        <v>0.6875</v>
      </c>
      <c r="EB174" s="209">
        <v>0</v>
      </c>
      <c r="EC174" s="110">
        <v>0.6875</v>
      </c>
      <c r="ED174" s="209">
        <v>0</v>
      </c>
      <c r="EE174" s="110">
        <v>0.6875</v>
      </c>
      <c r="EF174" s="211">
        <v>0</v>
      </c>
      <c r="EN174" s="234"/>
      <c r="ER174" s="234"/>
      <c r="EU174" s="110">
        <v>0.6875</v>
      </c>
      <c r="EV174" s="209">
        <v>0</v>
      </c>
      <c r="EW174" s="110">
        <v>0.6875</v>
      </c>
      <c r="EX174" s="209">
        <v>0</v>
      </c>
      <c r="EY174" s="110">
        <v>0.6875</v>
      </c>
      <c r="EZ174" s="211">
        <v>0</v>
      </c>
    </row>
    <row r="175" spans="131:156" x14ac:dyDescent="0.3">
      <c r="EA175" s="110">
        <v>0.69791666666666696</v>
      </c>
      <c r="EB175" s="209">
        <v>0</v>
      </c>
      <c r="EC175" s="110">
        <v>0.69791666666666696</v>
      </c>
      <c r="ED175" s="209">
        <v>0</v>
      </c>
      <c r="EE175" s="110">
        <v>0.69791666666666696</v>
      </c>
      <c r="EF175" s="211">
        <v>0</v>
      </c>
      <c r="EN175" s="234"/>
      <c r="ER175" s="234"/>
      <c r="EU175" s="110">
        <v>0.69791666666666696</v>
      </c>
      <c r="EV175" s="209">
        <v>0</v>
      </c>
      <c r="EW175" s="110">
        <v>0.69791666666666696</v>
      </c>
      <c r="EX175" s="209">
        <v>0</v>
      </c>
      <c r="EY175" s="110">
        <v>0.69791666666666696</v>
      </c>
      <c r="EZ175" s="211">
        <v>0</v>
      </c>
    </row>
    <row r="176" spans="131:156" x14ac:dyDescent="0.3">
      <c r="EA176" s="110">
        <v>0.70833333333333304</v>
      </c>
      <c r="EB176" s="209">
        <v>0</v>
      </c>
      <c r="EC176" s="110">
        <v>0.70833333333333304</v>
      </c>
      <c r="ED176" s="209">
        <v>0</v>
      </c>
      <c r="EE176" s="110">
        <v>0.70833333333333304</v>
      </c>
      <c r="EF176" s="211">
        <v>0</v>
      </c>
      <c r="EJ176" s="234"/>
      <c r="EN176" s="234"/>
      <c r="ER176" s="234"/>
      <c r="EU176" s="110">
        <v>0.70833333333333304</v>
      </c>
      <c r="EV176" s="209">
        <v>0</v>
      </c>
      <c r="EW176" s="110">
        <v>0.70833333333333304</v>
      </c>
      <c r="EX176" s="209">
        <v>0</v>
      </c>
      <c r="EY176" s="110">
        <v>0.70833333333333304</v>
      </c>
      <c r="EZ176" s="211">
        <v>0</v>
      </c>
    </row>
    <row r="177" spans="131:156" x14ac:dyDescent="0.3">
      <c r="EA177" s="110">
        <v>0.71875</v>
      </c>
      <c r="EB177" s="209">
        <v>0</v>
      </c>
      <c r="EC177" s="110">
        <v>0.71875</v>
      </c>
      <c r="ED177" s="209">
        <v>0</v>
      </c>
      <c r="EE177" s="110">
        <v>0.71875</v>
      </c>
      <c r="EF177" s="211">
        <v>0</v>
      </c>
      <c r="EN177" s="234"/>
      <c r="ER177" s="234"/>
      <c r="EU177" s="110">
        <v>0.71875</v>
      </c>
      <c r="EV177" s="209">
        <v>0</v>
      </c>
      <c r="EW177" s="110">
        <v>0.71875</v>
      </c>
      <c r="EX177" s="209">
        <v>0</v>
      </c>
      <c r="EY177" s="110">
        <v>0.71875</v>
      </c>
      <c r="EZ177" s="211">
        <v>0</v>
      </c>
    </row>
    <row r="178" spans="131:156" x14ac:dyDescent="0.3">
      <c r="EA178" s="110">
        <v>0.72916666666666696</v>
      </c>
      <c r="EB178" s="209">
        <v>0</v>
      </c>
      <c r="EC178" s="110">
        <v>0.72916666666666696</v>
      </c>
      <c r="ED178" s="209">
        <v>0</v>
      </c>
      <c r="EE178" s="110">
        <v>0.72916666666666696</v>
      </c>
      <c r="EF178" s="211">
        <v>0</v>
      </c>
      <c r="EN178" s="234"/>
      <c r="ER178" s="234"/>
      <c r="EU178" s="110">
        <v>0.72916666666666696</v>
      </c>
      <c r="EV178" s="209">
        <v>0</v>
      </c>
      <c r="EW178" s="110">
        <v>0.72916666666666696</v>
      </c>
      <c r="EX178" s="209">
        <v>0</v>
      </c>
      <c r="EY178" s="110">
        <v>0.72916666666666696</v>
      </c>
      <c r="EZ178" s="211">
        <v>0</v>
      </c>
    </row>
    <row r="179" spans="131:156" x14ac:dyDescent="0.3">
      <c r="EA179" s="110">
        <v>0.73958333333333304</v>
      </c>
      <c r="EB179" s="209">
        <v>0</v>
      </c>
      <c r="EC179" s="110">
        <v>0.73958333333333304</v>
      </c>
      <c r="ED179" s="209">
        <v>0</v>
      </c>
      <c r="EE179" s="110">
        <v>0.73958333333333304</v>
      </c>
      <c r="EF179" s="211">
        <v>0</v>
      </c>
      <c r="EN179" s="234"/>
      <c r="ER179" s="234"/>
      <c r="EU179" s="110">
        <v>0.73958333333333304</v>
      </c>
      <c r="EV179" s="209">
        <v>0</v>
      </c>
      <c r="EW179" s="110">
        <v>0.73958333333333304</v>
      </c>
      <c r="EX179" s="209">
        <v>0</v>
      </c>
      <c r="EY179" s="110">
        <v>0.73958333333333304</v>
      </c>
      <c r="EZ179" s="211">
        <v>0</v>
      </c>
    </row>
    <row r="180" spans="131:156" x14ac:dyDescent="0.3">
      <c r="EA180" s="110">
        <v>0.75</v>
      </c>
      <c r="EB180" s="209">
        <v>0</v>
      </c>
      <c r="EC180" s="110">
        <v>0.75</v>
      </c>
      <c r="ED180" s="209">
        <v>0</v>
      </c>
      <c r="EE180" s="110">
        <v>0.75</v>
      </c>
      <c r="EF180" s="211">
        <v>0</v>
      </c>
      <c r="EJ180" s="234"/>
      <c r="EN180" s="234"/>
      <c r="ER180" s="234"/>
      <c r="EU180" s="110">
        <v>0.75</v>
      </c>
      <c r="EV180" s="209">
        <v>0</v>
      </c>
      <c r="EW180" s="110">
        <v>0.75</v>
      </c>
      <c r="EX180" s="209">
        <v>0</v>
      </c>
      <c r="EY180" s="110">
        <v>0.75</v>
      </c>
      <c r="EZ180" s="211">
        <v>0</v>
      </c>
    </row>
    <row r="181" spans="131:156" x14ac:dyDescent="0.3">
      <c r="EA181" s="110">
        <v>0.76041666666666696</v>
      </c>
      <c r="EB181" s="209">
        <v>0</v>
      </c>
      <c r="EC181" s="110">
        <v>0.76041666666666696</v>
      </c>
      <c r="ED181" s="209">
        <v>0</v>
      </c>
      <c r="EE181" s="110">
        <v>0.76041666666666696</v>
      </c>
      <c r="EF181" s="211">
        <v>0</v>
      </c>
      <c r="EN181" s="234"/>
      <c r="ER181" s="234"/>
      <c r="EU181" s="110">
        <v>0.76041666666666696</v>
      </c>
      <c r="EV181" s="209">
        <v>0</v>
      </c>
      <c r="EW181" s="110">
        <v>0.76041666666666696</v>
      </c>
      <c r="EX181" s="209">
        <v>0</v>
      </c>
      <c r="EY181" s="110">
        <v>0.76041666666666696</v>
      </c>
      <c r="EZ181" s="211">
        <v>0</v>
      </c>
    </row>
    <row r="182" spans="131:156" x14ac:dyDescent="0.3">
      <c r="EA182" s="110">
        <v>0.77083333333333304</v>
      </c>
      <c r="EB182" s="209">
        <v>0</v>
      </c>
      <c r="EC182" s="110">
        <v>0.77083333333333304</v>
      </c>
      <c r="ED182" s="209">
        <v>0</v>
      </c>
      <c r="EE182" s="110">
        <v>0.77083333333333304</v>
      </c>
      <c r="EF182" s="211">
        <v>0</v>
      </c>
      <c r="EN182" s="234"/>
      <c r="ER182" s="234"/>
      <c r="EU182" s="110">
        <v>0.77083333333333304</v>
      </c>
      <c r="EV182" s="209">
        <v>0</v>
      </c>
      <c r="EW182" s="110">
        <v>0.77083333333333304</v>
      </c>
      <c r="EX182" s="209">
        <v>0</v>
      </c>
      <c r="EY182" s="110">
        <v>0.77083333333333304</v>
      </c>
      <c r="EZ182" s="211">
        <v>0</v>
      </c>
    </row>
    <row r="183" spans="131:156" x14ac:dyDescent="0.3">
      <c r="EA183" s="110">
        <v>0.78125</v>
      </c>
      <c r="EB183" s="209">
        <v>0</v>
      </c>
      <c r="EC183" s="110">
        <v>0.78125</v>
      </c>
      <c r="ED183" s="209">
        <v>0</v>
      </c>
      <c r="EE183" s="110">
        <v>0.78125</v>
      </c>
      <c r="EF183" s="211">
        <v>0</v>
      </c>
      <c r="EN183" s="234"/>
      <c r="ER183" s="234"/>
      <c r="EU183" s="110">
        <v>0.78125</v>
      </c>
      <c r="EV183" s="209">
        <v>0</v>
      </c>
      <c r="EW183" s="110">
        <v>0.78125</v>
      </c>
      <c r="EX183" s="209">
        <v>0</v>
      </c>
      <c r="EY183" s="110">
        <v>0.78125</v>
      </c>
      <c r="EZ183" s="211">
        <v>0</v>
      </c>
    </row>
    <row r="184" spans="131:156" x14ac:dyDescent="0.3">
      <c r="EA184" s="110">
        <v>0.79166666666666696</v>
      </c>
      <c r="EB184" s="209">
        <v>0</v>
      </c>
      <c r="EC184" s="110">
        <v>0.79166666666666696</v>
      </c>
      <c r="ED184" s="209">
        <v>0</v>
      </c>
      <c r="EE184" s="110">
        <v>0.79166666666666696</v>
      </c>
      <c r="EF184" s="211">
        <v>0</v>
      </c>
      <c r="EJ184" s="234"/>
      <c r="EN184" s="234"/>
      <c r="ER184" s="234"/>
      <c r="EU184" s="110">
        <v>0.79166666666666696</v>
      </c>
      <c r="EV184" s="209">
        <v>0</v>
      </c>
      <c r="EW184" s="110">
        <v>0.79166666666666696</v>
      </c>
      <c r="EX184" s="209">
        <v>0</v>
      </c>
      <c r="EY184" s="110">
        <v>0.79166666666666696</v>
      </c>
      <c r="EZ184" s="211">
        <v>0</v>
      </c>
    </row>
    <row r="185" spans="131:156" x14ac:dyDescent="0.3">
      <c r="EA185" s="110">
        <v>0.80208333333333304</v>
      </c>
      <c r="EB185" s="209">
        <v>0</v>
      </c>
      <c r="EC185" s="110">
        <v>0.80208333333333304</v>
      </c>
      <c r="ED185" s="209">
        <v>0</v>
      </c>
      <c r="EE185" s="110">
        <v>0.80208333333333304</v>
      </c>
      <c r="EF185" s="211">
        <v>0</v>
      </c>
      <c r="EN185" s="234"/>
      <c r="ER185" s="290"/>
      <c r="EU185" s="110">
        <v>0.80208333333333304</v>
      </c>
      <c r="EV185" s="209">
        <v>0</v>
      </c>
      <c r="EW185" s="110">
        <v>0.80208333333333304</v>
      </c>
      <c r="EX185" s="209">
        <v>0</v>
      </c>
      <c r="EY185" s="110">
        <v>0.80208333333333304</v>
      </c>
      <c r="EZ185" s="211">
        <v>0</v>
      </c>
    </row>
    <row r="186" spans="131:156" x14ac:dyDescent="0.3">
      <c r="EA186" s="110">
        <v>0.8125</v>
      </c>
      <c r="EB186" s="209">
        <v>0</v>
      </c>
      <c r="EC186" s="110">
        <v>0.8125</v>
      </c>
      <c r="ED186" s="209">
        <v>0</v>
      </c>
      <c r="EE186" s="110">
        <v>0.8125</v>
      </c>
      <c r="EF186" s="211">
        <v>0</v>
      </c>
      <c r="EN186" s="234"/>
      <c r="ER186" s="290"/>
      <c r="EU186" s="110">
        <v>0.8125</v>
      </c>
      <c r="EV186" s="209">
        <v>0</v>
      </c>
      <c r="EW186" s="110">
        <v>0.8125</v>
      </c>
      <c r="EX186" s="209">
        <v>0</v>
      </c>
      <c r="EY186" s="110">
        <v>0.8125</v>
      </c>
      <c r="EZ186" s="211">
        <v>0</v>
      </c>
    </row>
    <row r="187" spans="131:156" x14ac:dyDescent="0.3">
      <c r="EA187" s="110">
        <v>0.82291666666666696</v>
      </c>
      <c r="EB187" s="209">
        <v>0</v>
      </c>
      <c r="EC187" s="110">
        <v>0.82291666666666696</v>
      </c>
      <c r="ED187" s="209">
        <v>0</v>
      </c>
      <c r="EE187" s="110">
        <v>0.82291666666666696</v>
      </c>
      <c r="EF187" s="211">
        <v>0</v>
      </c>
      <c r="EN187" s="234"/>
      <c r="ER187" s="290"/>
      <c r="EU187" s="110">
        <v>0.82291666666666696</v>
      </c>
      <c r="EV187" s="209">
        <v>0</v>
      </c>
      <c r="EW187" s="110">
        <v>0.82291666666666696</v>
      </c>
      <c r="EX187" s="209">
        <v>0</v>
      </c>
      <c r="EY187" s="110">
        <v>0.82291666666666696</v>
      </c>
      <c r="EZ187" s="211">
        <v>0</v>
      </c>
    </row>
    <row r="188" spans="131:156" x14ac:dyDescent="0.3">
      <c r="EA188" s="110">
        <v>0.83333333333333304</v>
      </c>
      <c r="EB188" s="209">
        <v>0</v>
      </c>
      <c r="EC188" s="110">
        <v>0.83333333333333304</v>
      </c>
      <c r="ED188" s="209">
        <f>ED$207</f>
        <v>12300</v>
      </c>
      <c r="EE188" s="110">
        <v>0.83333333333333304</v>
      </c>
      <c r="EF188" s="209">
        <f>EF$207</f>
        <v>16000</v>
      </c>
      <c r="EJ188" s="234"/>
      <c r="EN188" s="234"/>
      <c r="ER188" s="234"/>
      <c r="EU188" s="110">
        <v>0.83333333333333304</v>
      </c>
      <c r="EV188" s="209">
        <v>0</v>
      </c>
      <c r="EW188" s="110">
        <v>0.83333333333333304</v>
      </c>
      <c r="EX188" s="209">
        <f>EX$207</f>
        <v>5400</v>
      </c>
      <c r="EY188" s="110">
        <v>0.83333333333333304</v>
      </c>
      <c r="EZ188" s="209">
        <f>EZ$207</f>
        <v>5400</v>
      </c>
    </row>
    <row r="189" spans="131:156" x14ac:dyDescent="0.3">
      <c r="EA189" s="110">
        <v>0.84375</v>
      </c>
      <c r="EB189" s="209">
        <v>0</v>
      </c>
      <c r="EC189" s="110">
        <v>0.84375</v>
      </c>
      <c r="ED189" s="209">
        <v>0</v>
      </c>
      <c r="EE189" s="110">
        <v>0.84375</v>
      </c>
      <c r="EF189" s="211">
        <v>0</v>
      </c>
      <c r="EN189" s="234"/>
      <c r="EP189" s="295"/>
      <c r="ER189" s="234"/>
      <c r="EU189" s="110">
        <v>0.84375</v>
      </c>
      <c r="EV189" s="209">
        <v>0</v>
      </c>
      <c r="EW189" s="110">
        <v>0.84375</v>
      </c>
      <c r="EX189" s="209">
        <v>0</v>
      </c>
      <c r="EY189" s="110">
        <v>0.84375</v>
      </c>
      <c r="EZ189" s="211">
        <v>0</v>
      </c>
    </row>
    <row r="190" spans="131:156" x14ac:dyDescent="0.3">
      <c r="EA190" s="110">
        <v>0.85416666666666696</v>
      </c>
      <c r="EB190" s="209">
        <v>0</v>
      </c>
      <c r="EC190" s="110">
        <v>0.85416666666666696</v>
      </c>
      <c r="ED190" s="209">
        <v>0</v>
      </c>
      <c r="EE190" s="110">
        <v>0.85416666666666696</v>
      </c>
      <c r="EF190" s="211">
        <v>0</v>
      </c>
      <c r="EN190" s="234"/>
      <c r="ER190" s="234"/>
      <c r="EU190" s="110">
        <v>0.85416666666666696</v>
      </c>
      <c r="EV190" s="209">
        <v>0</v>
      </c>
      <c r="EW190" s="110">
        <v>0.85416666666666696</v>
      </c>
      <c r="EX190" s="209">
        <v>0</v>
      </c>
      <c r="EY190" s="110">
        <v>0.85416666666666696</v>
      </c>
      <c r="EZ190" s="211">
        <v>0</v>
      </c>
    </row>
    <row r="191" spans="131:156" x14ac:dyDescent="0.3">
      <c r="EA191" s="110">
        <v>0.86458333333333304</v>
      </c>
      <c r="EB191" s="209">
        <v>0</v>
      </c>
      <c r="EC191" s="110">
        <v>0.86458333333333304</v>
      </c>
      <c r="ED191" s="209">
        <v>0</v>
      </c>
      <c r="EE191" s="110">
        <v>0.86458333333333304</v>
      </c>
      <c r="EF191" s="211">
        <v>0</v>
      </c>
      <c r="EN191" s="234"/>
      <c r="ER191" s="234"/>
      <c r="EU191" s="110">
        <v>0.86458333333333304</v>
      </c>
      <c r="EV191" s="209">
        <v>0</v>
      </c>
      <c r="EW191" s="110">
        <v>0.86458333333333304</v>
      </c>
      <c r="EX191" s="209">
        <v>0</v>
      </c>
      <c r="EY191" s="110">
        <v>0.86458333333333304</v>
      </c>
      <c r="EZ191" s="211">
        <v>0</v>
      </c>
    </row>
    <row r="192" spans="131:156" x14ac:dyDescent="0.3">
      <c r="EA192" s="110">
        <v>0.875</v>
      </c>
      <c r="EB192" s="209">
        <v>0</v>
      </c>
      <c r="EC192" s="110">
        <v>0.875</v>
      </c>
      <c r="ED192" s="209">
        <f>ED$207</f>
        <v>12300</v>
      </c>
      <c r="EE192" s="110">
        <v>0.875</v>
      </c>
      <c r="EF192" s="209">
        <f>EF$207</f>
        <v>16000</v>
      </c>
      <c r="EJ192" s="234"/>
      <c r="EN192" s="234"/>
      <c r="ER192" s="234"/>
      <c r="EU192" s="110">
        <v>0.875</v>
      </c>
      <c r="EV192" s="209">
        <v>0</v>
      </c>
      <c r="EW192" s="110">
        <v>0.875</v>
      </c>
      <c r="EX192" s="209">
        <f>EX$207</f>
        <v>5400</v>
      </c>
      <c r="EY192" s="110">
        <v>0.875</v>
      </c>
      <c r="EZ192" s="209">
        <f>EZ$207</f>
        <v>5400</v>
      </c>
    </row>
    <row r="193" spans="131:157" x14ac:dyDescent="0.3">
      <c r="EA193" s="110">
        <v>0.88541666666666696</v>
      </c>
      <c r="EB193" s="209">
        <v>0</v>
      </c>
      <c r="EC193" s="110">
        <v>0.88541666666666696</v>
      </c>
      <c r="ED193" s="209">
        <v>0</v>
      </c>
      <c r="EE193" s="110">
        <v>0.88541666666666696</v>
      </c>
      <c r="EF193" s="211">
        <v>0</v>
      </c>
      <c r="EN193" s="234"/>
      <c r="ER193" s="234"/>
      <c r="EU193" s="110">
        <v>0.88541666666666696</v>
      </c>
      <c r="EV193" s="209">
        <v>0</v>
      </c>
      <c r="EW193" s="110">
        <v>0.88541666666666696</v>
      </c>
      <c r="EX193" s="209">
        <v>0</v>
      </c>
      <c r="EY193" s="110">
        <v>0.88541666666666696</v>
      </c>
      <c r="EZ193" s="211">
        <v>0</v>
      </c>
    </row>
    <row r="194" spans="131:157" x14ac:dyDescent="0.3">
      <c r="EA194" s="110">
        <v>0.89583333333333304</v>
      </c>
      <c r="EB194" s="209">
        <v>0</v>
      </c>
      <c r="EC194" s="110">
        <v>0.89583333333333304</v>
      </c>
      <c r="ED194" s="209">
        <v>0</v>
      </c>
      <c r="EE194" s="110">
        <v>0.89583333333333304</v>
      </c>
      <c r="EF194" s="211">
        <v>0</v>
      </c>
      <c r="EN194" s="234"/>
      <c r="ER194" s="234"/>
      <c r="EU194" s="110">
        <v>0.89583333333333304</v>
      </c>
      <c r="EV194" s="209">
        <v>0</v>
      </c>
      <c r="EW194" s="110">
        <v>0.89583333333333304</v>
      </c>
      <c r="EX194" s="209">
        <v>0</v>
      </c>
      <c r="EY194" s="110">
        <v>0.89583333333333304</v>
      </c>
      <c r="EZ194" s="211">
        <v>0</v>
      </c>
    </row>
    <row r="195" spans="131:157" x14ac:dyDescent="0.3">
      <c r="EA195" s="110">
        <v>0.90625</v>
      </c>
      <c r="EB195" s="209">
        <v>0</v>
      </c>
      <c r="EC195" s="110">
        <v>0.90625</v>
      </c>
      <c r="ED195" s="209">
        <v>0</v>
      </c>
      <c r="EE195" s="110">
        <v>0.90625</v>
      </c>
      <c r="EF195" s="211">
        <v>0</v>
      </c>
      <c r="EN195" s="234"/>
      <c r="ER195" s="234"/>
      <c r="EU195" s="110">
        <v>0.90625</v>
      </c>
      <c r="EV195" s="209">
        <v>0</v>
      </c>
      <c r="EW195" s="110">
        <v>0.90625</v>
      </c>
      <c r="EX195" s="209">
        <v>0</v>
      </c>
      <c r="EY195" s="110">
        <v>0.90625</v>
      </c>
      <c r="EZ195" s="211">
        <v>0</v>
      </c>
    </row>
    <row r="196" spans="131:157" x14ac:dyDescent="0.3">
      <c r="EA196" s="110">
        <v>0.91666666666666696</v>
      </c>
      <c r="EB196" s="209">
        <v>0</v>
      </c>
      <c r="EC196" s="110">
        <v>0.91666666666666696</v>
      </c>
      <c r="ED196" s="209">
        <f>ED$207</f>
        <v>12300</v>
      </c>
      <c r="EE196" s="110">
        <v>0.91666666666666696</v>
      </c>
      <c r="EF196" s="209">
        <f>EF$207</f>
        <v>16000</v>
      </c>
      <c r="EJ196" s="234"/>
      <c r="EN196" s="234"/>
      <c r="ER196" s="234"/>
      <c r="EU196" s="110">
        <v>0.91666666666666696</v>
      </c>
      <c r="EV196" s="209">
        <v>0</v>
      </c>
      <c r="EW196" s="110">
        <v>0.91666666666666696</v>
      </c>
      <c r="EX196" s="209">
        <f>EX$207</f>
        <v>5400</v>
      </c>
      <c r="EY196" s="110">
        <v>0.91666666666666696</v>
      </c>
      <c r="EZ196" s="209">
        <f>EZ$207</f>
        <v>5400</v>
      </c>
    </row>
    <row r="197" spans="131:157" x14ac:dyDescent="0.3">
      <c r="EA197" s="110">
        <v>0.92708333333333304</v>
      </c>
      <c r="EB197" s="209">
        <v>0</v>
      </c>
      <c r="EC197" s="110">
        <v>0.92708333333333304</v>
      </c>
      <c r="ED197" s="209">
        <v>0</v>
      </c>
      <c r="EE197" s="110">
        <v>0.92708333333333304</v>
      </c>
      <c r="EF197" s="211">
        <v>0</v>
      </c>
      <c r="EN197" s="290"/>
      <c r="ER197" s="234"/>
      <c r="EU197" s="110">
        <v>0.92708333333333304</v>
      </c>
      <c r="EV197" s="209">
        <v>0</v>
      </c>
      <c r="EW197" s="110">
        <v>0.92708333333333304</v>
      </c>
      <c r="EX197" s="209">
        <v>0</v>
      </c>
      <c r="EY197" s="110">
        <v>0.92708333333333304</v>
      </c>
      <c r="EZ197" s="211">
        <v>0</v>
      </c>
    </row>
    <row r="198" spans="131:157" x14ac:dyDescent="0.3">
      <c r="EA198" s="110">
        <v>0.9375</v>
      </c>
      <c r="EB198" s="209">
        <v>0</v>
      </c>
      <c r="EC198" s="110">
        <v>0.9375</v>
      </c>
      <c r="ED198" s="209">
        <v>0</v>
      </c>
      <c r="EE198" s="110">
        <v>0.9375</v>
      </c>
      <c r="EF198" s="211">
        <v>0</v>
      </c>
      <c r="EN198" s="290"/>
      <c r="ER198" s="234"/>
      <c r="EU198" s="110">
        <v>0.9375</v>
      </c>
      <c r="EV198" s="209">
        <v>0</v>
      </c>
      <c r="EW198" s="110">
        <v>0.9375</v>
      </c>
      <c r="EX198" s="209">
        <v>0</v>
      </c>
      <c r="EY198" s="110">
        <v>0.9375</v>
      </c>
      <c r="EZ198" s="211">
        <v>0</v>
      </c>
    </row>
    <row r="199" spans="131:157" x14ac:dyDescent="0.3">
      <c r="EA199" s="110">
        <v>0.94791666666666696</v>
      </c>
      <c r="EB199" s="209">
        <v>0</v>
      </c>
      <c r="EC199" s="110">
        <v>0.94791666666666696</v>
      </c>
      <c r="ED199" s="209">
        <v>0</v>
      </c>
      <c r="EE199" s="110">
        <v>0.94791666666666696</v>
      </c>
      <c r="EF199" s="211">
        <v>0</v>
      </c>
      <c r="EN199" s="290"/>
      <c r="ER199" s="234"/>
      <c r="EU199" s="110">
        <v>0.94791666666666696</v>
      </c>
      <c r="EV199" s="209">
        <v>0</v>
      </c>
      <c r="EW199" s="110">
        <v>0.94791666666666696</v>
      </c>
      <c r="EX199" s="209">
        <v>0</v>
      </c>
      <c r="EY199" s="110">
        <v>0.94791666666666696</v>
      </c>
      <c r="EZ199" s="211">
        <v>0</v>
      </c>
    </row>
    <row r="200" spans="131:157" x14ac:dyDescent="0.3">
      <c r="EA200" s="110">
        <v>0.95833333333333304</v>
      </c>
      <c r="EB200" s="209">
        <f>EB$207</f>
        <v>6900</v>
      </c>
      <c r="EC200" s="110">
        <v>0.95833333333333304</v>
      </c>
      <c r="ED200" s="209">
        <f>ED$207</f>
        <v>12300</v>
      </c>
      <c r="EE200" s="110">
        <v>0.95833333333333304</v>
      </c>
      <c r="EF200" s="209">
        <f>EF$207</f>
        <v>16000</v>
      </c>
      <c r="EJ200" s="234"/>
      <c r="EN200" s="234"/>
      <c r="ER200" s="234"/>
      <c r="EU200" s="110">
        <v>0.95833333333333304</v>
      </c>
      <c r="EV200" s="209">
        <f>EV$207</f>
        <v>5400</v>
      </c>
      <c r="EW200" s="110">
        <v>0.95833333333333304</v>
      </c>
      <c r="EX200" s="209">
        <f>EX$207</f>
        <v>5400</v>
      </c>
      <c r="EY200" s="110">
        <v>0.95833333333333304</v>
      </c>
      <c r="EZ200" s="209">
        <f>EZ$207</f>
        <v>5400</v>
      </c>
    </row>
    <row r="201" spans="131:157" x14ac:dyDescent="0.3">
      <c r="EA201" s="110">
        <v>0.96875</v>
      </c>
      <c r="EB201" s="209">
        <v>0</v>
      </c>
      <c r="EC201" s="110">
        <v>0.96875</v>
      </c>
      <c r="ED201" s="209">
        <v>0</v>
      </c>
      <c r="EE201" s="110">
        <v>0.96875</v>
      </c>
      <c r="EF201" s="211">
        <v>0</v>
      </c>
      <c r="ER201" s="234"/>
      <c r="EU201" s="110">
        <v>0.96875</v>
      </c>
      <c r="EV201" s="209">
        <v>0</v>
      </c>
      <c r="EW201" s="110">
        <v>0.96875</v>
      </c>
      <c r="EX201" s="209">
        <v>0</v>
      </c>
      <c r="EY201" s="110">
        <v>0.96875</v>
      </c>
      <c r="EZ201" s="211">
        <v>0</v>
      </c>
    </row>
    <row r="202" spans="131:157" x14ac:dyDescent="0.3">
      <c r="EA202" s="110">
        <v>0.97916666666666696</v>
      </c>
      <c r="EB202" s="209">
        <v>0</v>
      </c>
      <c r="EC202" s="110">
        <v>0.97916666666666696</v>
      </c>
      <c r="ED202" s="209">
        <v>0</v>
      </c>
      <c r="EE202" s="110">
        <v>0.97916666666666696</v>
      </c>
      <c r="EF202" s="211">
        <v>0</v>
      </c>
      <c r="ER202" s="234"/>
      <c r="EU202" s="110">
        <v>0.97916666666666696</v>
      </c>
      <c r="EV202" s="209">
        <v>0</v>
      </c>
      <c r="EW202" s="110">
        <v>0.97916666666666696</v>
      </c>
      <c r="EX202" s="209">
        <v>0</v>
      </c>
      <c r="EY202" s="110">
        <v>0.97916666666666696</v>
      </c>
      <c r="EZ202" s="211">
        <v>0</v>
      </c>
    </row>
    <row r="203" spans="131:157" x14ac:dyDescent="0.3">
      <c r="EA203" s="317">
        <v>0.98958333333333304</v>
      </c>
      <c r="EB203" s="210">
        <v>0</v>
      </c>
      <c r="EC203" s="317">
        <v>0.98958333333333304</v>
      </c>
      <c r="ED203" s="283">
        <v>0</v>
      </c>
      <c r="EE203" s="317">
        <v>0.98958333333333304</v>
      </c>
      <c r="EF203" s="212">
        <v>0</v>
      </c>
      <c r="ER203" s="234"/>
      <c r="EU203" s="317">
        <v>0.98958333333333304</v>
      </c>
      <c r="EV203" s="210">
        <v>0</v>
      </c>
      <c r="EW203" s="317">
        <v>0.98958333333333304</v>
      </c>
      <c r="EX203" s="283">
        <v>0</v>
      </c>
      <c r="EY203" s="317">
        <v>0.98958333333333304</v>
      </c>
      <c r="EZ203" s="212">
        <v>0</v>
      </c>
    </row>
    <row r="204" spans="131:157" x14ac:dyDescent="0.3">
      <c r="EJ204" s="234"/>
      <c r="ER204" s="234"/>
    </row>
    <row r="205" spans="131:157" x14ac:dyDescent="0.3">
      <c r="EA205" s="21"/>
      <c r="EB205" s="263">
        <f>SUM(EB108:EB203)/4000</f>
        <v>36.225000000000001</v>
      </c>
      <c r="EC205" s="285" t="s">
        <v>236</v>
      </c>
      <c r="ED205" s="263">
        <f>SUM(ED108:ED203)/4000</f>
        <v>92.25</v>
      </c>
      <c r="EE205" s="285" t="s">
        <v>236</v>
      </c>
      <c r="EF205" s="263">
        <f>SUM(EF108:EF203)/4000</f>
        <v>128</v>
      </c>
      <c r="EG205" s="285" t="s">
        <v>236</v>
      </c>
      <c r="EI205" s="37"/>
      <c r="EM205" s="37"/>
      <c r="EQ205" s="37"/>
      <c r="ER205" s="290"/>
      <c r="EU205" s="21"/>
      <c r="EV205" s="263">
        <f>SUM(EV108:EV203)/4000</f>
        <v>28.35</v>
      </c>
      <c r="EW205" s="285" t="s">
        <v>236</v>
      </c>
      <c r="EX205" s="263">
        <f>SUM(EX108:EX203)/4000</f>
        <v>40.5</v>
      </c>
      <c r="EY205" s="285" t="s">
        <v>236</v>
      </c>
      <c r="EZ205" s="263">
        <f>SUM(EZ108:EZ203)/4000</f>
        <v>43.2</v>
      </c>
      <c r="FA205" s="285" t="s">
        <v>236</v>
      </c>
    </row>
    <row r="206" spans="131:157" x14ac:dyDescent="0.3">
      <c r="EN206" s="37"/>
      <c r="ER206" s="290"/>
    </row>
    <row r="207" spans="131:157" ht="72" customHeight="1" x14ac:dyDescent="0.3">
      <c r="EA207" s="5" t="s">
        <v>295</v>
      </c>
      <c r="EB207">
        <v>6900</v>
      </c>
      <c r="EC207" s="5" t="s">
        <v>295</v>
      </c>
      <c r="ED207">
        <v>12300</v>
      </c>
      <c r="EE207" s="5" t="s">
        <v>295</v>
      </c>
      <c r="EF207" s="37">
        <v>16000</v>
      </c>
      <c r="EK207" s="37"/>
      <c r="EO207" s="37"/>
      <c r="ER207" s="290"/>
      <c r="ES207" s="37"/>
      <c r="EU207" s="5" t="s">
        <v>295</v>
      </c>
      <c r="EV207">
        <f>H121*H120</f>
        <v>5400</v>
      </c>
      <c r="EW207" s="5" t="s">
        <v>295</v>
      </c>
      <c r="EX207">
        <f>H121*H120</f>
        <v>5400</v>
      </c>
      <c r="EY207" s="5" t="s">
        <v>295</v>
      </c>
      <c r="EZ207" s="37">
        <f>H121*H120</f>
        <v>5400</v>
      </c>
    </row>
    <row r="208" spans="131:157" ht="43.2" x14ac:dyDescent="0.3">
      <c r="EA208" s="5" t="s">
        <v>296</v>
      </c>
      <c r="EB208">
        <v>1620</v>
      </c>
      <c r="EC208" s="5" t="s">
        <v>296</v>
      </c>
      <c r="ED208">
        <v>2480</v>
      </c>
      <c r="EE208" s="5" t="s">
        <v>296</v>
      </c>
      <c r="EF208">
        <v>3390</v>
      </c>
      <c r="EU208" s="5" t="s">
        <v>296</v>
      </c>
      <c r="EV208">
        <v>1620</v>
      </c>
      <c r="EW208" s="5" t="s">
        <v>296</v>
      </c>
      <c r="EX208">
        <v>2480</v>
      </c>
      <c r="EY208" s="5" t="s">
        <v>296</v>
      </c>
      <c r="EZ208">
        <v>3390</v>
      </c>
    </row>
  </sheetData>
  <mergeCells count="42">
    <mergeCell ref="EU1:EZ1"/>
    <mergeCell ref="ER3:ES3"/>
    <mergeCell ref="G104:O104"/>
    <mergeCell ref="EA105:EF105"/>
    <mergeCell ref="G105:I105"/>
    <mergeCell ref="J105:L105"/>
    <mergeCell ref="M105:O105"/>
    <mergeCell ref="AW3:AX3"/>
    <mergeCell ref="AZ3:BA3"/>
    <mergeCell ref="CS3:CT3"/>
    <mergeCell ref="CV3:CW3"/>
    <mergeCell ref="EO3:EP3"/>
    <mergeCell ref="BX2:CC2"/>
    <mergeCell ref="DM2:DR2"/>
    <mergeCell ref="G1:BA1"/>
    <mergeCell ref="BC1:CW1"/>
    <mergeCell ref="B107:E107"/>
    <mergeCell ref="G119:H119"/>
    <mergeCell ref="EU2:EZ2"/>
    <mergeCell ref="EU105:EZ105"/>
    <mergeCell ref="G116:I116"/>
    <mergeCell ref="G112:I112"/>
    <mergeCell ref="G114:I114"/>
    <mergeCell ref="CY2:DD2"/>
    <mergeCell ref="D111:E111"/>
    <mergeCell ref="B104:E104"/>
    <mergeCell ref="CE2:CJ2"/>
    <mergeCell ref="CL2:CQ2"/>
    <mergeCell ref="CY1:ES1"/>
    <mergeCell ref="G2:L2"/>
    <mergeCell ref="N2:S2"/>
    <mergeCell ref="U2:Z2"/>
    <mergeCell ref="AB2:AG2"/>
    <mergeCell ref="AI2:AN2"/>
    <mergeCell ref="AP2:AU2"/>
    <mergeCell ref="BC2:BH2"/>
    <mergeCell ref="BJ2:BO2"/>
    <mergeCell ref="BQ2:BV2"/>
    <mergeCell ref="DT2:DY2"/>
    <mergeCell ref="EA2:EF2"/>
    <mergeCell ref="EH2:EM2"/>
    <mergeCell ref="DF2:DK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DQ1000"/>
  <sheetViews>
    <sheetView zoomScale="80" zoomScaleNormal="80" workbookViewId="0">
      <pane xSplit="2" topLeftCell="C1" activePane="topRight" state="frozen"/>
      <selection pane="topRight"/>
    </sheetView>
  </sheetViews>
  <sheetFormatPr defaultColWidth="14.44140625" defaultRowHeight="15" customHeight="1" x14ac:dyDescent="0.3"/>
  <cols>
    <col min="1" max="1" width="8.6640625" customWidth="1"/>
    <col min="2" max="2" width="12.77734375" customWidth="1"/>
    <col min="3" max="3" width="8.6640625" customWidth="1"/>
    <col min="4" max="117" width="10.77734375" customWidth="1"/>
  </cols>
  <sheetData>
    <row r="1" spans="2:121" ht="14.25" customHeight="1" x14ac:dyDescent="0.3">
      <c r="K1" s="279"/>
      <c r="L1" s="279"/>
      <c r="R1" s="279"/>
      <c r="Y1" s="279"/>
      <c r="AD1" s="279"/>
      <c r="AG1" s="279"/>
      <c r="BD1" s="279"/>
      <c r="BK1" s="279"/>
      <c r="BO1" s="279"/>
      <c r="CA1" s="279"/>
      <c r="CO1" s="279"/>
      <c r="CX1" s="279"/>
      <c r="DB1" s="279"/>
    </row>
    <row r="2" spans="2:121" ht="14.25" customHeight="1" x14ac:dyDescent="0.3">
      <c r="D2" s="365" t="s">
        <v>288</v>
      </c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6"/>
      <c r="AM2" s="366"/>
      <c r="AN2" s="366"/>
      <c r="AO2" s="366"/>
      <c r="AP2" s="366"/>
      <c r="AQ2" s="366"/>
      <c r="AR2" s="366"/>
      <c r="AS2" s="366"/>
      <c r="AT2" s="366"/>
      <c r="AU2" s="366"/>
      <c r="AV2" s="366"/>
      <c r="AW2" s="366"/>
      <c r="AX2" s="366"/>
      <c r="AY2" s="366"/>
      <c r="AZ2" s="366"/>
      <c r="BA2" s="366"/>
      <c r="BB2" s="366"/>
      <c r="BC2" s="366"/>
      <c r="BD2" s="366"/>
      <c r="BE2" s="366"/>
      <c r="BF2" s="366"/>
      <c r="BG2" s="366"/>
      <c r="BH2" s="366"/>
      <c r="BI2" s="366"/>
      <c r="BJ2" s="366"/>
      <c r="BK2" s="366"/>
      <c r="BL2" s="366"/>
      <c r="BM2" s="366"/>
      <c r="BN2" s="366"/>
      <c r="BO2" s="366"/>
      <c r="BP2" s="366"/>
      <c r="BQ2" s="366"/>
      <c r="BR2" s="366"/>
      <c r="BS2" s="366"/>
      <c r="BT2" s="366"/>
      <c r="BU2" s="366"/>
      <c r="BV2" s="366"/>
      <c r="BW2" s="366"/>
      <c r="BX2" s="366"/>
      <c r="BY2" s="366"/>
      <c r="BZ2" s="366"/>
      <c r="CA2" s="366"/>
      <c r="CB2" s="366"/>
      <c r="CC2" s="366"/>
      <c r="CD2" s="366"/>
      <c r="CE2" s="366"/>
      <c r="CF2" s="366"/>
      <c r="CG2" s="366"/>
      <c r="CH2" s="366"/>
      <c r="CI2" s="366"/>
      <c r="CJ2" s="366"/>
      <c r="CK2" s="366"/>
      <c r="CL2" s="366"/>
      <c r="CM2" s="366"/>
      <c r="CN2" s="366"/>
      <c r="CO2" s="366"/>
      <c r="CP2" s="366"/>
      <c r="CQ2" s="366"/>
      <c r="CR2" s="366"/>
      <c r="CS2" s="366"/>
      <c r="CT2" s="366"/>
      <c r="CU2" s="366"/>
      <c r="CV2" s="366"/>
      <c r="CW2" s="366"/>
      <c r="CX2" s="366"/>
      <c r="CY2" s="366"/>
      <c r="CZ2" s="366"/>
      <c r="DA2" s="366"/>
      <c r="DB2" s="366"/>
      <c r="DC2" s="366"/>
      <c r="DD2" s="366"/>
      <c r="DE2" s="366"/>
      <c r="DF2" s="366"/>
      <c r="DG2" s="366"/>
      <c r="DH2" s="366"/>
      <c r="DI2" s="366"/>
      <c r="DJ2" s="366"/>
      <c r="DK2" s="366"/>
      <c r="DL2" s="366"/>
      <c r="DM2" s="366"/>
      <c r="DN2" s="366"/>
      <c r="DO2" s="366"/>
      <c r="DP2" s="366"/>
      <c r="DQ2" s="366"/>
    </row>
    <row r="3" spans="2:121" s="5" customFormat="1" ht="72" x14ac:dyDescent="0.3">
      <c r="B3" s="8" t="s">
        <v>48</v>
      </c>
      <c r="D3" s="9" t="s">
        <v>49</v>
      </c>
      <c r="E3" s="9" t="s">
        <v>50</v>
      </c>
      <c r="F3" s="9" t="s">
        <v>51</v>
      </c>
      <c r="G3" s="9" t="s">
        <v>52</v>
      </c>
      <c r="H3" s="9" t="s">
        <v>53</v>
      </c>
      <c r="I3" s="9" t="s">
        <v>185</v>
      </c>
      <c r="J3" s="9" t="s">
        <v>54</v>
      </c>
      <c r="K3" s="9" t="s">
        <v>34</v>
      </c>
      <c r="L3" s="9" t="s">
        <v>12</v>
      </c>
      <c r="M3" s="9" t="s">
        <v>55</v>
      </c>
      <c r="N3" s="9" t="s">
        <v>56</v>
      </c>
      <c r="O3" s="9" t="s">
        <v>57</v>
      </c>
      <c r="P3" s="9" t="s">
        <v>58</v>
      </c>
      <c r="Q3" s="9" t="s">
        <v>59</v>
      </c>
      <c r="R3" s="9" t="s">
        <v>28</v>
      </c>
      <c r="S3" s="9" t="s">
        <v>60</v>
      </c>
      <c r="T3" s="9" t="s">
        <v>61</v>
      </c>
      <c r="U3" s="9" t="s">
        <v>32</v>
      </c>
      <c r="V3" s="9" t="s">
        <v>62</v>
      </c>
      <c r="W3" s="9" t="s">
        <v>63</v>
      </c>
      <c r="X3" s="9" t="s">
        <v>21</v>
      </c>
      <c r="Y3" s="9" t="s">
        <v>64</v>
      </c>
      <c r="Z3" s="9" t="s">
        <v>214</v>
      </c>
      <c r="AA3" s="9" t="s">
        <v>182</v>
      </c>
      <c r="AB3" s="9" t="s">
        <v>65</v>
      </c>
      <c r="AC3" s="9" t="s">
        <v>66</v>
      </c>
      <c r="AD3" s="9" t="s">
        <v>22</v>
      </c>
      <c r="AE3" s="9" t="s">
        <v>67</v>
      </c>
      <c r="AF3" s="9" t="s">
        <v>16</v>
      </c>
      <c r="AG3" s="9" t="s">
        <v>17</v>
      </c>
      <c r="AH3" s="9" t="s">
        <v>68</v>
      </c>
      <c r="AI3" s="9" t="s">
        <v>18</v>
      </c>
      <c r="AJ3" s="9" t="s">
        <v>69</v>
      </c>
      <c r="AK3" s="9" t="s">
        <v>23</v>
      </c>
      <c r="AL3" s="9" t="s">
        <v>70</v>
      </c>
      <c r="AM3" s="9" t="s">
        <v>71</v>
      </c>
      <c r="AN3" s="9" t="s">
        <v>72</v>
      </c>
      <c r="AO3" s="9" t="s">
        <v>73</v>
      </c>
      <c r="AP3" s="9" t="s">
        <v>74</v>
      </c>
      <c r="AQ3" s="9" t="s">
        <v>75</v>
      </c>
      <c r="AR3" s="9" t="s">
        <v>76</v>
      </c>
      <c r="AS3" s="9" t="s">
        <v>77</v>
      </c>
      <c r="AT3" s="9" t="s">
        <v>35</v>
      </c>
      <c r="AU3" s="9" t="s">
        <v>78</v>
      </c>
      <c r="AV3" s="9" t="s">
        <v>79</v>
      </c>
      <c r="AW3" s="9" t="s">
        <v>80</v>
      </c>
      <c r="AX3" s="9" t="s">
        <v>81</v>
      </c>
      <c r="AY3" s="9" t="s">
        <v>82</v>
      </c>
      <c r="AZ3" s="9" t="s">
        <v>83</v>
      </c>
      <c r="BA3" s="9" t="s">
        <v>84</v>
      </c>
      <c r="BB3" s="9" t="s">
        <v>85</v>
      </c>
      <c r="BC3" s="9" t="s">
        <v>36</v>
      </c>
      <c r="BD3" s="9" t="s">
        <v>29</v>
      </c>
      <c r="BE3" s="9" t="s">
        <v>13</v>
      </c>
      <c r="BF3" s="9" t="s">
        <v>86</v>
      </c>
      <c r="BG3" s="9" t="s">
        <v>42</v>
      </c>
      <c r="BH3" s="9" t="s">
        <v>87</v>
      </c>
      <c r="BI3" s="9" t="s">
        <v>88</v>
      </c>
      <c r="BJ3" s="9" t="s">
        <v>89</v>
      </c>
      <c r="BK3" s="9" t="s">
        <v>287</v>
      </c>
      <c r="BL3" s="9" t="s">
        <v>39</v>
      </c>
      <c r="BM3" s="9" t="s">
        <v>40</v>
      </c>
      <c r="BN3" s="9" t="s">
        <v>184</v>
      </c>
      <c r="BO3" s="9" t="s">
        <v>19</v>
      </c>
      <c r="BP3" s="9" t="s">
        <v>90</v>
      </c>
      <c r="BQ3" s="9" t="s">
        <v>91</v>
      </c>
      <c r="BR3" s="9" t="s">
        <v>43</v>
      </c>
      <c r="BS3" s="9" t="s">
        <v>92</v>
      </c>
      <c r="BT3" s="9" t="s">
        <v>93</v>
      </c>
      <c r="BU3" s="9" t="s">
        <v>94</v>
      </c>
      <c r="BV3" s="9" t="s">
        <v>95</v>
      </c>
      <c r="BW3" s="9" t="s">
        <v>96</v>
      </c>
      <c r="BX3" s="9" t="s">
        <v>97</v>
      </c>
      <c r="BY3" s="9" t="s">
        <v>14</v>
      </c>
      <c r="BZ3" s="9" t="s">
        <v>100</v>
      </c>
      <c r="CA3" s="9" t="s">
        <v>99</v>
      </c>
      <c r="CB3" s="9" t="s">
        <v>98</v>
      </c>
      <c r="CC3" s="9" t="s">
        <v>101</v>
      </c>
      <c r="CD3" s="9" t="s">
        <v>24</v>
      </c>
      <c r="CE3" s="9" t="s">
        <v>102</v>
      </c>
      <c r="CF3" s="9" t="s">
        <v>103</v>
      </c>
      <c r="CG3" s="9" t="s">
        <v>183</v>
      </c>
      <c r="CH3" s="9" t="s">
        <v>37</v>
      </c>
      <c r="CI3" s="9" t="s">
        <v>104</v>
      </c>
      <c r="CJ3" s="9" t="s">
        <v>105</v>
      </c>
      <c r="CK3" s="9" t="s">
        <v>106</v>
      </c>
      <c r="CL3" s="9" t="s">
        <v>107</v>
      </c>
      <c r="CM3" s="9" t="s">
        <v>108</v>
      </c>
      <c r="CN3" s="9" t="s">
        <v>109</v>
      </c>
      <c r="CO3" s="9" t="s">
        <v>30</v>
      </c>
      <c r="CP3" s="9" t="s">
        <v>110</v>
      </c>
      <c r="CQ3" s="9" t="s">
        <v>111</v>
      </c>
      <c r="CR3" s="9" t="s">
        <v>112</v>
      </c>
      <c r="CS3" s="9" t="s">
        <v>113</v>
      </c>
      <c r="CT3" s="9" t="s">
        <v>25</v>
      </c>
      <c r="CU3" s="9" t="s">
        <v>114</v>
      </c>
      <c r="CV3" s="9" t="s">
        <v>115</v>
      </c>
      <c r="CW3" s="9" t="s">
        <v>116</v>
      </c>
      <c r="CX3" s="9" t="s">
        <v>26</v>
      </c>
      <c r="CY3" s="9" t="s">
        <v>117</v>
      </c>
      <c r="CZ3" s="9" t="s">
        <v>44</v>
      </c>
      <c r="DA3" s="9" t="s">
        <v>120</v>
      </c>
      <c r="DB3" s="9" t="s">
        <v>119</v>
      </c>
      <c r="DC3" s="9" t="s">
        <v>118</v>
      </c>
      <c r="DD3" s="9" t="s">
        <v>123</v>
      </c>
      <c r="DE3" s="9" t="s">
        <v>122</v>
      </c>
      <c r="DF3" s="9" t="s">
        <v>121</v>
      </c>
      <c r="DG3" s="9" t="s">
        <v>126</v>
      </c>
      <c r="DH3" s="9" t="s">
        <v>125</v>
      </c>
      <c r="DI3" s="9" t="s">
        <v>124</v>
      </c>
      <c r="DJ3" s="9" t="s">
        <v>128</v>
      </c>
      <c r="DK3" s="9" t="s">
        <v>127</v>
      </c>
      <c r="DL3" s="9" t="s">
        <v>129</v>
      </c>
      <c r="DM3" s="9" t="s">
        <v>130</v>
      </c>
      <c r="DN3" s="9" t="s">
        <v>131</v>
      </c>
      <c r="DO3" s="9" t="s">
        <v>132</v>
      </c>
      <c r="DP3" s="9" t="s">
        <v>133</v>
      </c>
      <c r="DQ3" s="9" t="s">
        <v>134</v>
      </c>
    </row>
    <row r="4" spans="2:121" ht="14.25" customHeight="1" x14ac:dyDescent="0.3">
      <c r="B4" s="108">
        <v>0</v>
      </c>
      <c r="D4" s="4">
        <v>1</v>
      </c>
      <c r="E4" s="4">
        <v>0.1</v>
      </c>
      <c r="F4" s="275">
        <v>1</v>
      </c>
      <c r="G4" s="275">
        <v>1</v>
      </c>
      <c r="H4" s="275">
        <v>1</v>
      </c>
      <c r="I4" s="4">
        <v>0.1</v>
      </c>
      <c r="J4" s="4">
        <v>0.1</v>
      </c>
      <c r="K4" s="4">
        <v>1</v>
      </c>
      <c r="L4" s="4">
        <v>1</v>
      </c>
      <c r="M4" s="275">
        <v>1</v>
      </c>
      <c r="N4" s="275">
        <v>1</v>
      </c>
      <c r="O4" s="275">
        <v>1</v>
      </c>
      <c r="P4" s="4">
        <v>0.1</v>
      </c>
      <c r="Q4" s="275">
        <v>0.1</v>
      </c>
      <c r="R4" s="275">
        <v>0.1</v>
      </c>
      <c r="S4" s="275">
        <v>0.1</v>
      </c>
      <c r="T4" s="275">
        <v>1</v>
      </c>
      <c r="U4" s="275">
        <v>1</v>
      </c>
      <c r="V4" s="275">
        <v>1</v>
      </c>
      <c r="W4" s="275">
        <v>1</v>
      </c>
      <c r="X4" s="275">
        <v>0.1</v>
      </c>
      <c r="Y4" s="275">
        <v>0.1</v>
      </c>
      <c r="Z4" s="275">
        <v>1</v>
      </c>
      <c r="AA4" s="4">
        <v>0.1</v>
      </c>
      <c r="AB4" s="275">
        <v>1</v>
      </c>
      <c r="AC4" s="4">
        <v>0.1</v>
      </c>
      <c r="AD4" s="275">
        <v>0.1</v>
      </c>
      <c r="AE4" s="4">
        <v>0.1</v>
      </c>
      <c r="AF4" s="4">
        <v>0.1</v>
      </c>
      <c r="AG4" s="4">
        <v>0.1</v>
      </c>
      <c r="AH4" s="275">
        <v>1</v>
      </c>
      <c r="AI4" s="4">
        <v>0.1</v>
      </c>
      <c r="AJ4" s="4">
        <v>0.1</v>
      </c>
      <c r="AK4" s="275">
        <v>1</v>
      </c>
      <c r="AL4" s="275">
        <v>1</v>
      </c>
      <c r="AM4" s="275">
        <v>1</v>
      </c>
      <c r="AN4" s="275">
        <v>1</v>
      </c>
      <c r="AO4" s="275">
        <v>1</v>
      </c>
      <c r="AP4" s="4">
        <v>0.1</v>
      </c>
      <c r="AQ4" s="4">
        <v>0.1</v>
      </c>
      <c r="AR4" s="4">
        <v>0.1</v>
      </c>
      <c r="AS4" s="275">
        <v>1</v>
      </c>
      <c r="AT4" s="275">
        <v>1</v>
      </c>
      <c r="AU4" s="275">
        <v>1</v>
      </c>
      <c r="AV4" s="275">
        <v>1</v>
      </c>
      <c r="AW4" s="275">
        <v>1</v>
      </c>
      <c r="AX4" s="275">
        <v>1</v>
      </c>
      <c r="AY4" s="275">
        <v>1</v>
      </c>
      <c r="AZ4" s="275">
        <v>1</v>
      </c>
      <c r="BA4" s="275">
        <v>1</v>
      </c>
      <c r="BB4" s="275">
        <v>1</v>
      </c>
      <c r="BC4" s="275">
        <v>1</v>
      </c>
      <c r="BD4" s="4">
        <v>1</v>
      </c>
      <c r="BE4" s="275">
        <v>1</v>
      </c>
      <c r="BF4" s="4">
        <v>0.1</v>
      </c>
      <c r="BG4" s="275">
        <v>1</v>
      </c>
      <c r="BH4" s="275">
        <v>1</v>
      </c>
      <c r="BI4" s="275">
        <v>1</v>
      </c>
      <c r="BJ4" s="275">
        <v>1</v>
      </c>
      <c r="BK4" s="4">
        <v>1</v>
      </c>
      <c r="BL4" s="4">
        <v>1</v>
      </c>
      <c r="BM4" s="4">
        <v>1</v>
      </c>
      <c r="BN4" s="4">
        <v>0.1</v>
      </c>
      <c r="BO4" s="275">
        <v>0.1</v>
      </c>
      <c r="BP4" s="4">
        <v>0.1</v>
      </c>
      <c r="BQ4" s="275">
        <v>1</v>
      </c>
      <c r="BR4" s="4">
        <v>1</v>
      </c>
      <c r="BS4" s="275">
        <v>1</v>
      </c>
      <c r="BT4" s="275">
        <v>1</v>
      </c>
      <c r="BU4" s="275">
        <v>1</v>
      </c>
      <c r="BV4" s="275">
        <v>1</v>
      </c>
      <c r="BW4" s="4">
        <v>0.1</v>
      </c>
      <c r="BX4" s="275">
        <v>1</v>
      </c>
      <c r="BY4" s="275">
        <v>1</v>
      </c>
      <c r="BZ4" s="4">
        <v>0.1</v>
      </c>
      <c r="CA4" s="4">
        <v>0.1</v>
      </c>
      <c r="CB4" s="4">
        <v>0.1</v>
      </c>
      <c r="CC4" s="4">
        <v>0.1</v>
      </c>
      <c r="CD4" s="275">
        <v>1</v>
      </c>
      <c r="CE4" s="275">
        <v>1</v>
      </c>
      <c r="CF4" s="4">
        <v>0.1</v>
      </c>
      <c r="CG4" s="275">
        <v>1</v>
      </c>
      <c r="CH4" s="4">
        <v>1</v>
      </c>
      <c r="CI4" s="275">
        <v>1</v>
      </c>
      <c r="CJ4" s="275">
        <v>1</v>
      </c>
      <c r="CK4" s="275">
        <v>1</v>
      </c>
      <c r="CL4" s="275">
        <v>1</v>
      </c>
      <c r="CM4" s="275">
        <v>0.1</v>
      </c>
      <c r="CN4" s="275">
        <v>0.1</v>
      </c>
      <c r="CO4" s="275">
        <v>0.1</v>
      </c>
      <c r="CP4" s="275">
        <v>0.1</v>
      </c>
      <c r="CQ4" s="4">
        <v>0.1</v>
      </c>
      <c r="CR4" s="4">
        <v>0.1</v>
      </c>
      <c r="CS4" s="275">
        <v>1</v>
      </c>
      <c r="CT4" s="275">
        <v>1</v>
      </c>
      <c r="CU4" s="275">
        <v>1</v>
      </c>
      <c r="CV4" s="275">
        <v>1</v>
      </c>
      <c r="CW4" s="4">
        <v>0.1</v>
      </c>
      <c r="CX4" s="275">
        <v>0.1</v>
      </c>
      <c r="CY4" s="275">
        <v>1</v>
      </c>
      <c r="CZ4" s="275">
        <v>1</v>
      </c>
      <c r="DA4" s="4">
        <v>0.1</v>
      </c>
      <c r="DB4" s="275">
        <v>0.1</v>
      </c>
      <c r="DC4" s="4">
        <v>0.1</v>
      </c>
      <c r="DD4" s="4">
        <v>0.1</v>
      </c>
      <c r="DE4" s="4">
        <v>0.1</v>
      </c>
      <c r="DF4" s="4">
        <v>0.1</v>
      </c>
      <c r="DG4" s="4">
        <v>0.1</v>
      </c>
      <c r="DH4" s="4">
        <v>0.1</v>
      </c>
      <c r="DI4" s="4">
        <v>0.1</v>
      </c>
      <c r="DJ4" s="4">
        <v>0.1</v>
      </c>
      <c r="DK4" s="4">
        <v>0.1</v>
      </c>
      <c r="DL4" s="4">
        <v>0.1</v>
      </c>
      <c r="DM4" s="275">
        <v>1</v>
      </c>
      <c r="DN4" s="275">
        <v>1</v>
      </c>
      <c r="DO4" s="275">
        <v>1</v>
      </c>
      <c r="DP4" s="275">
        <v>1</v>
      </c>
      <c r="DQ4" s="275">
        <v>1</v>
      </c>
    </row>
    <row r="5" spans="2:121" ht="14.25" customHeight="1" x14ac:dyDescent="0.3">
      <c r="B5" s="108">
        <v>1.0416666666666666E-2</v>
      </c>
      <c r="D5" s="4">
        <v>1</v>
      </c>
      <c r="E5" s="4">
        <v>0.1</v>
      </c>
      <c r="F5" s="275">
        <v>1</v>
      </c>
      <c r="G5" s="275">
        <v>1</v>
      </c>
      <c r="H5" s="275">
        <v>1</v>
      </c>
      <c r="I5" s="4">
        <v>0.1</v>
      </c>
      <c r="J5" s="4">
        <v>0.1</v>
      </c>
      <c r="K5" s="4">
        <v>1</v>
      </c>
      <c r="L5" s="4">
        <v>1</v>
      </c>
      <c r="M5" s="275">
        <v>1</v>
      </c>
      <c r="N5" s="275">
        <v>1</v>
      </c>
      <c r="O5" s="275">
        <v>1</v>
      </c>
      <c r="P5" s="4">
        <v>0.1</v>
      </c>
      <c r="Q5" s="275">
        <v>0.1</v>
      </c>
      <c r="R5" s="275">
        <v>0.1</v>
      </c>
      <c r="S5" s="275">
        <v>0.1</v>
      </c>
      <c r="T5" s="275">
        <v>1</v>
      </c>
      <c r="U5" s="275">
        <v>1</v>
      </c>
      <c r="V5" s="275">
        <v>1</v>
      </c>
      <c r="W5" s="275">
        <v>1</v>
      </c>
      <c r="X5" s="275">
        <v>0.1</v>
      </c>
      <c r="Y5" s="275">
        <v>0.1</v>
      </c>
      <c r="Z5" s="275">
        <v>1</v>
      </c>
      <c r="AA5" s="4">
        <v>0.1</v>
      </c>
      <c r="AB5" s="275">
        <v>1</v>
      </c>
      <c r="AC5" s="4">
        <v>0.1</v>
      </c>
      <c r="AD5" s="275">
        <v>0.1</v>
      </c>
      <c r="AE5" s="4">
        <v>0.1</v>
      </c>
      <c r="AF5" s="4">
        <v>0.1</v>
      </c>
      <c r="AG5" s="4">
        <v>0.1</v>
      </c>
      <c r="AH5" s="275">
        <v>1</v>
      </c>
      <c r="AI5" s="4">
        <v>0.1</v>
      </c>
      <c r="AJ5" s="4">
        <v>0.1</v>
      </c>
      <c r="AK5" s="275">
        <v>1</v>
      </c>
      <c r="AL5" s="275">
        <v>1</v>
      </c>
      <c r="AM5" s="275">
        <v>1</v>
      </c>
      <c r="AN5" s="275">
        <v>1</v>
      </c>
      <c r="AO5" s="275">
        <v>1</v>
      </c>
      <c r="AP5" s="4">
        <v>0.1</v>
      </c>
      <c r="AQ5" s="4">
        <v>0.1</v>
      </c>
      <c r="AR5" s="4">
        <v>0.1</v>
      </c>
      <c r="AS5" s="275">
        <v>1</v>
      </c>
      <c r="AT5" s="275">
        <v>1</v>
      </c>
      <c r="AU5" s="275">
        <v>1</v>
      </c>
      <c r="AV5" s="275">
        <v>1</v>
      </c>
      <c r="AW5" s="275">
        <v>1</v>
      </c>
      <c r="AX5" s="275">
        <v>1</v>
      </c>
      <c r="AY5" s="275">
        <v>1</v>
      </c>
      <c r="AZ5" s="275">
        <v>1</v>
      </c>
      <c r="BA5" s="275">
        <v>1</v>
      </c>
      <c r="BB5" s="275">
        <v>1</v>
      </c>
      <c r="BC5" s="275">
        <v>1</v>
      </c>
      <c r="BD5" s="4">
        <v>1</v>
      </c>
      <c r="BE5" s="275">
        <v>1</v>
      </c>
      <c r="BF5" s="4">
        <v>0.1</v>
      </c>
      <c r="BG5" s="275">
        <v>1</v>
      </c>
      <c r="BH5" s="275">
        <v>1</v>
      </c>
      <c r="BI5" s="275">
        <v>1</v>
      </c>
      <c r="BJ5" s="275">
        <v>1</v>
      </c>
      <c r="BK5" s="4">
        <v>1</v>
      </c>
      <c r="BL5" s="4">
        <v>1</v>
      </c>
      <c r="BM5" s="4">
        <v>1</v>
      </c>
      <c r="BN5" s="4">
        <v>0.1</v>
      </c>
      <c r="BO5" s="275">
        <v>0.1</v>
      </c>
      <c r="BP5" s="4">
        <v>0.1</v>
      </c>
      <c r="BQ5" s="275">
        <v>1</v>
      </c>
      <c r="BR5" s="4">
        <v>1</v>
      </c>
      <c r="BS5" s="275">
        <v>1</v>
      </c>
      <c r="BT5" s="275">
        <v>1</v>
      </c>
      <c r="BU5" s="275">
        <v>1</v>
      </c>
      <c r="BV5" s="275">
        <v>1</v>
      </c>
      <c r="BW5" s="4">
        <v>0.1</v>
      </c>
      <c r="BX5" s="275">
        <v>1</v>
      </c>
      <c r="BY5" s="275">
        <v>1</v>
      </c>
      <c r="BZ5" s="4">
        <v>0.1</v>
      </c>
      <c r="CA5" s="4">
        <v>0.1</v>
      </c>
      <c r="CB5" s="4">
        <v>0.1</v>
      </c>
      <c r="CC5" s="4">
        <v>0.1</v>
      </c>
      <c r="CD5" s="275">
        <v>1</v>
      </c>
      <c r="CE5" s="275">
        <v>1</v>
      </c>
      <c r="CF5" s="4">
        <v>0.1</v>
      </c>
      <c r="CG5" s="275">
        <v>1</v>
      </c>
      <c r="CH5" s="4">
        <v>1</v>
      </c>
      <c r="CI5" s="275">
        <v>1</v>
      </c>
      <c r="CJ5" s="275">
        <v>1</v>
      </c>
      <c r="CK5" s="275">
        <v>1</v>
      </c>
      <c r="CL5" s="275">
        <v>1</v>
      </c>
      <c r="CM5" s="275">
        <v>0.1</v>
      </c>
      <c r="CN5" s="275">
        <v>0.1</v>
      </c>
      <c r="CO5" s="275">
        <v>0.1</v>
      </c>
      <c r="CP5" s="275">
        <v>0.1</v>
      </c>
      <c r="CQ5" s="4">
        <v>0.1</v>
      </c>
      <c r="CR5" s="4">
        <v>0.1</v>
      </c>
      <c r="CS5" s="275">
        <v>1</v>
      </c>
      <c r="CT5" s="275">
        <v>1</v>
      </c>
      <c r="CU5" s="275">
        <v>1</v>
      </c>
      <c r="CV5" s="275">
        <v>1</v>
      </c>
      <c r="CW5" s="4">
        <v>0.1</v>
      </c>
      <c r="CX5" s="275">
        <v>0.1</v>
      </c>
      <c r="CY5" s="275">
        <v>1</v>
      </c>
      <c r="CZ5" s="275">
        <v>1</v>
      </c>
      <c r="DA5" s="4">
        <v>0.1</v>
      </c>
      <c r="DB5" s="275">
        <v>0.1</v>
      </c>
      <c r="DC5" s="4">
        <v>0.1</v>
      </c>
      <c r="DD5" s="4">
        <v>0.1</v>
      </c>
      <c r="DE5" s="4">
        <v>0.1</v>
      </c>
      <c r="DF5" s="4">
        <v>0.1</v>
      </c>
      <c r="DG5" s="4">
        <v>0.1</v>
      </c>
      <c r="DH5" s="4">
        <v>0.1</v>
      </c>
      <c r="DI5" s="4">
        <v>0.1</v>
      </c>
      <c r="DJ5" s="4">
        <v>0.1</v>
      </c>
      <c r="DK5" s="4">
        <v>0.1</v>
      </c>
      <c r="DL5" s="4">
        <v>0.1</v>
      </c>
      <c r="DM5" s="275">
        <v>1</v>
      </c>
      <c r="DN5" s="275">
        <v>1</v>
      </c>
      <c r="DO5" s="275">
        <v>1</v>
      </c>
      <c r="DP5" s="275">
        <v>1</v>
      </c>
      <c r="DQ5" s="275">
        <v>1</v>
      </c>
    </row>
    <row r="6" spans="2:121" ht="14.25" customHeight="1" x14ac:dyDescent="0.3">
      <c r="B6" s="108">
        <v>2.0833333333333301E-2</v>
      </c>
      <c r="D6" s="4">
        <v>1</v>
      </c>
      <c r="E6" s="4">
        <v>0.1</v>
      </c>
      <c r="F6" s="275">
        <v>1</v>
      </c>
      <c r="G6" s="275">
        <v>1</v>
      </c>
      <c r="H6" s="275">
        <v>1</v>
      </c>
      <c r="I6" s="4">
        <v>1</v>
      </c>
      <c r="J6" s="4">
        <v>0.1</v>
      </c>
      <c r="K6" s="4">
        <v>1</v>
      </c>
      <c r="L6" s="4">
        <v>1</v>
      </c>
      <c r="M6" s="275">
        <v>1</v>
      </c>
      <c r="N6" s="275">
        <v>1</v>
      </c>
      <c r="O6" s="275">
        <v>1</v>
      </c>
      <c r="P6" s="4">
        <v>0.1</v>
      </c>
      <c r="Q6" s="275">
        <v>0.1</v>
      </c>
      <c r="R6" s="275">
        <v>0.1</v>
      </c>
      <c r="S6" s="275">
        <v>0.1</v>
      </c>
      <c r="T6" s="275">
        <v>1</v>
      </c>
      <c r="U6" s="275">
        <v>1</v>
      </c>
      <c r="V6" s="275">
        <v>1</v>
      </c>
      <c r="W6" s="275">
        <v>1</v>
      </c>
      <c r="X6" s="275">
        <v>0.1</v>
      </c>
      <c r="Y6" s="275">
        <v>0.1</v>
      </c>
      <c r="Z6" s="275">
        <v>1</v>
      </c>
      <c r="AA6" s="4">
        <v>0.1</v>
      </c>
      <c r="AB6" s="275">
        <v>1</v>
      </c>
      <c r="AC6" s="4">
        <v>0.1</v>
      </c>
      <c r="AD6" s="275">
        <v>0.1</v>
      </c>
      <c r="AE6" s="4">
        <v>0.1</v>
      </c>
      <c r="AF6" s="4">
        <v>0.1</v>
      </c>
      <c r="AG6" s="4">
        <v>0.1</v>
      </c>
      <c r="AH6" s="275">
        <v>1</v>
      </c>
      <c r="AI6" s="4">
        <v>0.1</v>
      </c>
      <c r="AJ6" s="4">
        <v>0.1</v>
      </c>
      <c r="AK6" s="275">
        <v>1</v>
      </c>
      <c r="AL6" s="275">
        <v>1</v>
      </c>
      <c r="AM6" s="275">
        <v>1</v>
      </c>
      <c r="AN6" s="275">
        <v>1</v>
      </c>
      <c r="AO6" s="275">
        <v>1</v>
      </c>
      <c r="AP6" s="4">
        <v>0.1</v>
      </c>
      <c r="AQ6" s="4">
        <v>0.1</v>
      </c>
      <c r="AR6" s="4">
        <v>0.1</v>
      </c>
      <c r="AS6" s="275">
        <v>1</v>
      </c>
      <c r="AT6" s="275">
        <v>1</v>
      </c>
      <c r="AU6" s="275">
        <v>1</v>
      </c>
      <c r="AV6" s="275">
        <v>1</v>
      </c>
      <c r="AW6" s="275">
        <v>1</v>
      </c>
      <c r="AX6" s="275">
        <v>1</v>
      </c>
      <c r="AY6" s="275">
        <v>1</v>
      </c>
      <c r="AZ6" s="275">
        <v>1</v>
      </c>
      <c r="BA6" s="275">
        <v>1</v>
      </c>
      <c r="BB6" s="275">
        <v>1</v>
      </c>
      <c r="BC6" s="275">
        <v>1</v>
      </c>
      <c r="BD6" s="4">
        <v>1</v>
      </c>
      <c r="BE6" s="275">
        <v>1</v>
      </c>
      <c r="BF6" s="4">
        <v>0.1</v>
      </c>
      <c r="BG6" s="275">
        <v>1</v>
      </c>
      <c r="BH6" s="275">
        <v>1</v>
      </c>
      <c r="BI6" s="275">
        <v>1</v>
      </c>
      <c r="BJ6" s="275">
        <v>1</v>
      </c>
      <c r="BK6" s="4">
        <v>1</v>
      </c>
      <c r="BL6" s="4">
        <v>1</v>
      </c>
      <c r="BM6" s="4">
        <v>1</v>
      </c>
      <c r="BN6" s="4">
        <v>0.1</v>
      </c>
      <c r="BO6" s="275">
        <v>0.1</v>
      </c>
      <c r="BP6" s="4">
        <v>1</v>
      </c>
      <c r="BQ6" s="275">
        <v>1</v>
      </c>
      <c r="BR6" s="4">
        <v>1</v>
      </c>
      <c r="BS6" s="275">
        <v>1</v>
      </c>
      <c r="BT6" s="275">
        <v>1</v>
      </c>
      <c r="BU6" s="275">
        <v>1</v>
      </c>
      <c r="BV6" s="275">
        <v>1</v>
      </c>
      <c r="BW6" s="4">
        <v>0.1</v>
      </c>
      <c r="BX6" s="275">
        <v>1</v>
      </c>
      <c r="BY6" s="275">
        <v>1</v>
      </c>
      <c r="BZ6" s="4">
        <v>1</v>
      </c>
      <c r="CA6" s="4">
        <v>1</v>
      </c>
      <c r="CB6" s="4">
        <v>1</v>
      </c>
      <c r="CC6" s="4">
        <v>0.1</v>
      </c>
      <c r="CD6" s="275">
        <v>1</v>
      </c>
      <c r="CE6" s="275">
        <v>1</v>
      </c>
      <c r="CF6" s="4">
        <v>0.1</v>
      </c>
      <c r="CG6" s="275">
        <v>1</v>
      </c>
      <c r="CH6" s="4">
        <v>1</v>
      </c>
      <c r="CI6" s="275">
        <v>1</v>
      </c>
      <c r="CJ6" s="275">
        <v>1</v>
      </c>
      <c r="CK6" s="275">
        <v>1</v>
      </c>
      <c r="CL6" s="275">
        <v>1</v>
      </c>
      <c r="CM6" s="275">
        <v>0.1</v>
      </c>
      <c r="CN6" s="275">
        <v>0.1</v>
      </c>
      <c r="CO6" s="275">
        <v>0.1</v>
      </c>
      <c r="CP6" s="275">
        <v>0.1</v>
      </c>
      <c r="CQ6" s="4">
        <v>0.1</v>
      </c>
      <c r="CR6" s="4">
        <v>0.1</v>
      </c>
      <c r="CS6" s="275">
        <v>1</v>
      </c>
      <c r="CT6" s="275">
        <v>1</v>
      </c>
      <c r="CU6" s="275">
        <v>1</v>
      </c>
      <c r="CV6" s="275">
        <v>1</v>
      </c>
      <c r="CW6" s="4">
        <v>0.1</v>
      </c>
      <c r="CX6" s="275">
        <v>0.1</v>
      </c>
      <c r="CY6" s="275">
        <v>1</v>
      </c>
      <c r="CZ6" s="275">
        <v>1</v>
      </c>
      <c r="DA6" s="4">
        <v>0.1</v>
      </c>
      <c r="DB6" s="275">
        <v>0.1</v>
      </c>
      <c r="DC6" s="4">
        <v>0.1</v>
      </c>
      <c r="DD6" s="4">
        <v>0.1</v>
      </c>
      <c r="DE6" s="4">
        <v>0.1</v>
      </c>
      <c r="DF6" s="4">
        <v>0.1</v>
      </c>
      <c r="DG6" s="4">
        <v>0.1</v>
      </c>
      <c r="DH6" s="4">
        <v>0.1</v>
      </c>
      <c r="DI6" s="4">
        <v>0.1</v>
      </c>
      <c r="DJ6" s="4">
        <v>0.1</v>
      </c>
      <c r="DK6" s="4">
        <v>0.1</v>
      </c>
      <c r="DL6" s="4">
        <v>0.1</v>
      </c>
      <c r="DM6" s="275">
        <v>1</v>
      </c>
      <c r="DN6" s="275">
        <v>1</v>
      </c>
      <c r="DO6" s="275">
        <v>1</v>
      </c>
      <c r="DP6" s="275">
        <v>1</v>
      </c>
      <c r="DQ6" s="275">
        <v>1</v>
      </c>
    </row>
    <row r="7" spans="2:121" ht="14.25" customHeight="1" x14ac:dyDescent="0.3">
      <c r="B7" s="108">
        <v>3.125E-2</v>
      </c>
      <c r="D7" s="4">
        <v>1</v>
      </c>
      <c r="E7" s="4">
        <v>0.1</v>
      </c>
      <c r="F7" s="275">
        <v>1</v>
      </c>
      <c r="G7" s="275">
        <v>1</v>
      </c>
      <c r="H7" s="275">
        <v>1</v>
      </c>
      <c r="I7" s="4">
        <v>1</v>
      </c>
      <c r="J7" s="4">
        <v>0.1</v>
      </c>
      <c r="K7" s="4">
        <v>1</v>
      </c>
      <c r="L7" s="4">
        <v>1</v>
      </c>
      <c r="M7" s="275">
        <v>1</v>
      </c>
      <c r="N7" s="275">
        <v>1</v>
      </c>
      <c r="O7" s="275">
        <v>1</v>
      </c>
      <c r="P7" s="4">
        <v>0.1</v>
      </c>
      <c r="Q7" s="275">
        <v>0.1</v>
      </c>
      <c r="R7" s="275">
        <v>0.1</v>
      </c>
      <c r="S7" s="275">
        <v>0.1</v>
      </c>
      <c r="T7" s="275">
        <v>1</v>
      </c>
      <c r="U7" s="275">
        <v>1</v>
      </c>
      <c r="V7" s="275">
        <v>1</v>
      </c>
      <c r="W7" s="275">
        <v>1</v>
      </c>
      <c r="X7" s="275">
        <v>0.1</v>
      </c>
      <c r="Y7" s="275">
        <v>0.1</v>
      </c>
      <c r="Z7" s="275">
        <v>1</v>
      </c>
      <c r="AA7" s="4">
        <v>0.1</v>
      </c>
      <c r="AB7" s="275">
        <v>1</v>
      </c>
      <c r="AC7" s="4">
        <v>0.1</v>
      </c>
      <c r="AD7" s="275">
        <v>0.1</v>
      </c>
      <c r="AE7" s="4">
        <v>0.1</v>
      </c>
      <c r="AF7" s="4">
        <v>0.1</v>
      </c>
      <c r="AG7" s="4">
        <v>0.1</v>
      </c>
      <c r="AH7" s="275">
        <v>1</v>
      </c>
      <c r="AI7" s="4">
        <v>0.1</v>
      </c>
      <c r="AJ7" s="4">
        <v>0.1</v>
      </c>
      <c r="AK7" s="275">
        <v>1</v>
      </c>
      <c r="AL7" s="275">
        <v>1</v>
      </c>
      <c r="AM7" s="275">
        <v>1</v>
      </c>
      <c r="AN7" s="275">
        <v>1</v>
      </c>
      <c r="AO7" s="275">
        <v>1</v>
      </c>
      <c r="AP7" s="4">
        <v>0.1</v>
      </c>
      <c r="AQ7" s="4">
        <v>0.1</v>
      </c>
      <c r="AR7" s="4">
        <v>0.1</v>
      </c>
      <c r="AS7" s="275">
        <v>1</v>
      </c>
      <c r="AT7" s="275">
        <v>1</v>
      </c>
      <c r="AU7" s="275">
        <v>1</v>
      </c>
      <c r="AV7" s="275">
        <v>1</v>
      </c>
      <c r="AW7" s="275">
        <v>1</v>
      </c>
      <c r="AX7" s="275">
        <v>1</v>
      </c>
      <c r="AY7" s="275">
        <v>1</v>
      </c>
      <c r="AZ7" s="275">
        <v>1</v>
      </c>
      <c r="BA7" s="275">
        <v>1</v>
      </c>
      <c r="BB7" s="275">
        <v>1</v>
      </c>
      <c r="BC7" s="275">
        <v>1</v>
      </c>
      <c r="BD7" s="4">
        <v>1</v>
      </c>
      <c r="BE7" s="275">
        <v>1</v>
      </c>
      <c r="BF7" s="4">
        <v>0.1</v>
      </c>
      <c r="BG7" s="275">
        <v>1</v>
      </c>
      <c r="BH7" s="275">
        <v>1</v>
      </c>
      <c r="BI7" s="275">
        <v>1</v>
      </c>
      <c r="BJ7" s="275">
        <v>1</v>
      </c>
      <c r="BK7" s="4">
        <v>1</v>
      </c>
      <c r="BL7" s="4">
        <v>1</v>
      </c>
      <c r="BM7" s="4">
        <v>1</v>
      </c>
      <c r="BN7" s="4">
        <v>0.1</v>
      </c>
      <c r="BO7" s="275">
        <v>0.1</v>
      </c>
      <c r="BP7" s="4">
        <v>1</v>
      </c>
      <c r="BQ7" s="275">
        <v>1</v>
      </c>
      <c r="BR7" s="4">
        <v>1</v>
      </c>
      <c r="BS7" s="275">
        <v>1</v>
      </c>
      <c r="BT7" s="275">
        <v>1</v>
      </c>
      <c r="BU7" s="275">
        <v>1</v>
      </c>
      <c r="BV7" s="275">
        <v>1</v>
      </c>
      <c r="BW7" s="4">
        <v>0.1</v>
      </c>
      <c r="BX7" s="275">
        <v>1</v>
      </c>
      <c r="BY7" s="275">
        <v>1</v>
      </c>
      <c r="BZ7" s="4">
        <v>1</v>
      </c>
      <c r="CA7" s="4">
        <v>1</v>
      </c>
      <c r="CB7" s="4">
        <v>1</v>
      </c>
      <c r="CC7" s="4">
        <v>0.1</v>
      </c>
      <c r="CD7" s="275">
        <v>1</v>
      </c>
      <c r="CE7" s="275">
        <v>1</v>
      </c>
      <c r="CF7" s="4">
        <v>0.1</v>
      </c>
      <c r="CG7" s="275">
        <v>1</v>
      </c>
      <c r="CH7" s="4">
        <v>1</v>
      </c>
      <c r="CI7" s="275">
        <v>1</v>
      </c>
      <c r="CJ7" s="275">
        <v>1</v>
      </c>
      <c r="CK7" s="275">
        <v>1</v>
      </c>
      <c r="CL7" s="275">
        <v>1</v>
      </c>
      <c r="CM7" s="275">
        <v>0.1</v>
      </c>
      <c r="CN7" s="275">
        <v>0.1</v>
      </c>
      <c r="CO7" s="275">
        <v>0.1</v>
      </c>
      <c r="CP7" s="275">
        <v>0.1</v>
      </c>
      <c r="CQ7" s="4">
        <v>0.1</v>
      </c>
      <c r="CR7" s="4">
        <v>0.1</v>
      </c>
      <c r="CS7" s="275">
        <v>1</v>
      </c>
      <c r="CT7" s="275">
        <v>1</v>
      </c>
      <c r="CU7" s="275">
        <v>1</v>
      </c>
      <c r="CV7" s="275">
        <v>1</v>
      </c>
      <c r="CW7" s="4">
        <v>0.1</v>
      </c>
      <c r="CX7" s="275">
        <v>0.1</v>
      </c>
      <c r="CY7" s="275">
        <v>1</v>
      </c>
      <c r="CZ7" s="275">
        <v>1</v>
      </c>
      <c r="DA7" s="4">
        <v>0.1</v>
      </c>
      <c r="DB7" s="275">
        <v>0.1</v>
      </c>
      <c r="DC7" s="4">
        <v>0.1</v>
      </c>
      <c r="DD7" s="4">
        <v>0.1</v>
      </c>
      <c r="DE7" s="4">
        <v>0.1</v>
      </c>
      <c r="DF7" s="4">
        <v>0.1</v>
      </c>
      <c r="DG7" s="4">
        <v>0.1</v>
      </c>
      <c r="DH7" s="4">
        <v>0.1</v>
      </c>
      <c r="DI7" s="4">
        <v>0.1</v>
      </c>
      <c r="DJ7" s="4">
        <v>0.1</v>
      </c>
      <c r="DK7" s="4">
        <v>0.1</v>
      </c>
      <c r="DL7" s="4">
        <v>0.1</v>
      </c>
      <c r="DM7" s="275">
        <v>1</v>
      </c>
      <c r="DN7" s="275">
        <v>1</v>
      </c>
      <c r="DO7" s="275">
        <v>1</v>
      </c>
      <c r="DP7" s="275">
        <v>1</v>
      </c>
      <c r="DQ7" s="275">
        <v>1</v>
      </c>
    </row>
    <row r="8" spans="2:121" ht="14.25" customHeight="1" x14ac:dyDescent="0.3">
      <c r="B8" s="108">
        <v>4.1666666666666699E-2</v>
      </c>
      <c r="D8" s="4">
        <v>1</v>
      </c>
      <c r="E8" s="4">
        <v>0.1</v>
      </c>
      <c r="F8" s="275">
        <v>1</v>
      </c>
      <c r="G8" s="275">
        <v>1</v>
      </c>
      <c r="H8" s="275">
        <v>1</v>
      </c>
      <c r="I8" s="4">
        <v>0.1</v>
      </c>
      <c r="J8" s="4">
        <v>0.1</v>
      </c>
      <c r="K8" s="4">
        <v>1</v>
      </c>
      <c r="L8" s="4">
        <v>1</v>
      </c>
      <c r="M8" s="275">
        <v>1</v>
      </c>
      <c r="N8" s="275">
        <v>1</v>
      </c>
      <c r="O8" s="275">
        <v>1</v>
      </c>
      <c r="P8" s="4">
        <v>0.1</v>
      </c>
      <c r="Q8" s="275">
        <v>0.1</v>
      </c>
      <c r="R8" s="275">
        <v>0.1</v>
      </c>
      <c r="S8" s="275">
        <v>0.1</v>
      </c>
      <c r="T8" s="275">
        <v>1</v>
      </c>
      <c r="U8" s="275">
        <v>1</v>
      </c>
      <c r="V8" s="275">
        <v>1</v>
      </c>
      <c r="W8" s="275">
        <v>1</v>
      </c>
      <c r="X8" s="275">
        <v>0.1</v>
      </c>
      <c r="Y8" s="275">
        <v>0.1</v>
      </c>
      <c r="Z8" s="275">
        <v>1</v>
      </c>
      <c r="AA8" s="4">
        <v>0.1</v>
      </c>
      <c r="AB8" s="275">
        <v>1</v>
      </c>
      <c r="AC8" s="4">
        <v>0.1</v>
      </c>
      <c r="AD8" s="275">
        <v>0.1</v>
      </c>
      <c r="AE8" s="4">
        <v>0.1</v>
      </c>
      <c r="AF8" s="4">
        <v>0.1</v>
      </c>
      <c r="AG8" s="4">
        <v>0.1</v>
      </c>
      <c r="AH8" s="275">
        <v>1</v>
      </c>
      <c r="AI8" s="4">
        <v>0.1</v>
      </c>
      <c r="AJ8" s="4">
        <v>0.1</v>
      </c>
      <c r="AK8" s="275">
        <v>1</v>
      </c>
      <c r="AL8" s="275">
        <v>1</v>
      </c>
      <c r="AM8" s="275">
        <v>1</v>
      </c>
      <c r="AN8" s="275">
        <v>1</v>
      </c>
      <c r="AO8" s="275">
        <v>1</v>
      </c>
      <c r="AP8" s="4">
        <v>0.1</v>
      </c>
      <c r="AQ8" s="4">
        <v>0.1</v>
      </c>
      <c r="AR8" s="4">
        <v>0.1</v>
      </c>
      <c r="AS8" s="275">
        <v>1</v>
      </c>
      <c r="AT8" s="275">
        <v>1</v>
      </c>
      <c r="AU8" s="275">
        <v>1</v>
      </c>
      <c r="AV8" s="275">
        <v>1</v>
      </c>
      <c r="AW8" s="275">
        <v>1</v>
      </c>
      <c r="AX8" s="275">
        <v>1</v>
      </c>
      <c r="AY8" s="275">
        <v>1</v>
      </c>
      <c r="AZ8" s="275">
        <v>1</v>
      </c>
      <c r="BA8" s="275">
        <v>1</v>
      </c>
      <c r="BB8" s="275">
        <v>1</v>
      </c>
      <c r="BC8" s="275">
        <v>1</v>
      </c>
      <c r="BD8" s="4">
        <v>1</v>
      </c>
      <c r="BE8" s="275">
        <v>1</v>
      </c>
      <c r="BF8" s="4">
        <v>0.1</v>
      </c>
      <c r="BG8" s="275">
        <v>1</v>
      </c>
      <c r="BH8" s="275">
        <v>1</v>
      </c>
      <c r="BI8" s="275">
        <v>1</v>
      </c>
      <c r="BJ8" s="275">
        <v>1</v>
      </c>
      <c r="BK8" s="4">
        <v>0.1</v>
      </c>
      <c r="BL8" s="4">
        <v>0.1</v>
      </c>
      <c r="BM8" s="4">
        <v>0.1</v>
      </c>
      <c r="BN8" s="4">
        <v>0.1</v>
      </c>
      <c r="BO8" s="275">
        <v>0.1</v>
      </c>
      <c r="BP8" s="4">
        <v>0.1</v>
      </c>
      <c r="BQ8" s="275">
        <v>1</v>
      </c>
      <c r="BR8" s="4">
        <v>1</v>
      </c>
      <c r="BS8" s="275">
        <v>1</v>
      </c>
      <c r="BT8" s="275">
        <v>1</v>
      </c>
      <c r="BU8" s="275">
        <v>1</v>
      </c>
      <c r="BV8" s="275">
        <v>1</v>
      </c>
      <c r="BW8" s="4">
        <v>0.1</v>
      </c>
      <c r="BX8" s="275">
        <v>1</v>
      </c>
      <c r="BY8" s="275">
        <v>1</v>
      </c>
      <c r="BZ8" s="4">
        <v>0.1</v>
      </c>
      <c r="CA8" s="4">
        <v>0.1</v>
      </c>
      <c r="CB8" s="4">
        <v>0.1</v>
      </c>
      <c r="CC8" s="4">
        <v>0.1</v>
      </c>
      <c r="CD8" s="275">
        <v>1</v>
      </c>
      <c r="CE8" s="275">
        <v>1</v>
      </c>
      <c r="CF8" s="4">
        <v>0.1</v>
      </c>
      <c r="CG8" s="275">
        <v>1</v>
      </c>
      <c r="CH8" s="4">
        <v>1</v>
      </c>
      <c r="CI8" s="275">
        <v>1</v>
      </c>
      <c r="CJ8" s="275">
        <v>1</v>
      </c>
      <c r="CK8" s="275">
        <v>1</v>
      </c>
      <c r="CL8" s="275">
        <v>1</v>
      </c>
      <c r="CM8" s="275">
        <v>0.1</v>
      </c>
      <c r="CN8" s="275">
        <v>0.1</v>
      </c>
      <c r="CO8" s="275">
        <v>0.1</v>
      </c>
      <c r="CP8" s="275">
        <v>0.1</v>
      </c>
      <c r="CQ8" s="4">
        <v>0.1</v>
      </c>
      <c r="CR8" s="4">
        <v>0.1</v>
      </c>
      <c r="CS8" s="275">
        <v>1</v>
      </c>
      <c r="CT8" s="275">
        <v>1</v>
      </c>
      <c r="CU8" s="275">
        <v>1</v>
      </c>
      <c r="CV8" s="275">
        <v>1</v>
      </c>
      <c r="CW8" s="4">
        <v>0.1</v>
      </c>
      <c r="CX8" s="275">
        <v>0.1</v>
      </c>
      <c r="CY8" s="275">
        <v>1</v>
      </c>
      <c r="CZ8" s="275">
        <v>1</v>
      </c>
      <c r="DA8" s="4">
        <v>0.1</v>
      </c>
      <c r="DB8" s="275">
        <v>0.1</v>
      </c>
      <c r="DC8" s="4">
        <v>0.1</v>
      </c>
      <c r="DD8" s="4">
        <v>0.1</v>
      </c>
      <c r="DE8" s="4">
        <v>0.1</v>
      </c>
      <c r="DF8" s="4">
        <v>0.1</v>
      </c>
      <c r="DG8" s="4">
        <v>0.1</v>
      </c>
      <c r="DH8" s="4">
        <v>0.1</v>
      </c>
      <c r="DI8" s="4">
        <v>0.1</v>
      </c>
      <c r="DJ8" s="4">
        <v>0.1</v>
      </c>
      <c r="DK8" s="4">
        <v>0.1</v>
      </c>
      <c r="DL8" s="4">
        <v>0.1</v>
      </c>
      <c r="DM8" s="275">
        <v>1</v>
      </c>
      <c r="DN8" s="275">
        <v>1</v>
      </c>
      <c r="DO8" s="275">
        <v>1</v>
      </c>
      <c r="DP8" s="275">
        <v>1</v>
      </c>
      <c r="DQ8" s="275">
        <v>1</v>
      </c>
    </row>
    <row r="9" spans="2:121" ht="14.25" customHeight="1" x14ac:dyDescent="0.3">
      <c r="B9" s="108">
        <v>5.2083333333333301E-2</v>
      </c>
      <c r="D9" s="4">
        <v>1</v>
      </c>
      <c r="E9" s="4">
        <v>0.1</v>
      </c>
      <c r="F9" s="275">
        <v>1</v>
      </c>
      <c r="G9" s="275">
        <v>1</v>
      </c>
      <c r="H9" s="275">
        <v>1</v>
      </c>
      <c r="I9" s="4">
        <v>0.1</v>
      </c>
      <c r="J9" s="4">
        <v>0.1</v>
      </c>
      <c r="K9" s="4">
        <v>1</v>
      </c>
      <c r="L9" s="4">
        <v>1</v>
      </c>
      <c r="M9" s="275">
        <v>1</v>
      </c>
      <c r="N9" s="275">
        <v>1</v>
      </c>
      <c r="O9" s="275">
        <v>1</v>
      </c>
      <c r="P9" s="4">
        <v>0.1</v>
      </c>
      <c r="Q9" s="275">
        <v>0.1</v>
      </c>
      <c r="R9" s="275">
        <v>0.1</v>
      </c>
      <c r="S9" s="275">
        <v>0.1</v>
      </c>
      <c r="T9" s="275">
        <v>1</v>
      </c>
      <c r="U9" s="275">
        <v>1</v>
      </c>
      <c r="V9" s="275">
        <v>1</v>
      </c>
      <c r="W9" s="275">
        <v>1</v>
      </c>
      <c r="X9" s="275">
        <v>0.1</v>
      </c>
      <c r="Y9" s="275">
        <v>0.1</v>
      </c>
      <c r="Z9" s="275">
        <v>1</v>
      </c>
      <c r="AA9" s="4">
        <v>0.1</v>
      </c>
      <c r="AB9" s="275">
        <v>1</v>
      </c>
      <c r="AC9" s="4">
        <v>0.1</v>
      </c>
      <c r="AD9" s="275">
        <v>0.1</v>
      </c>
      <c r="AE9" s="4">
        <v>0.1</v>
      </c>
      <c r="AF9" s="4">
        <v>0.1</v>
      </c>
      <c r="AG9" s="4">
        <v>0.1</v>
      </c>
      <c r="AH9" s="275">
        <v>1</v>
      </c>
      <c r="AI9" s="4">
        <v>0.1</v>
      </c>
      <c r="AJ9" s="4">
        <v>0.1</v>
      </c>
      <c r="AK9" s="275">
        <v>1</v>
      </c>
      <c r="AL9" s="275">
        <v>1</v>
      </c>
      <c r="AM9" s="275">
        <v>1</v>
      </c>
      <c r="AN9" s="275">
        <v>1</v>
      </c>
      <c r="AO9" s="275">
        <v>1</v>
      </c>
      <c r="AP9" s="4">
        <v>0.1</v>
      </c>
      <c r="AQ9" s="4">
        <v>0.1</v>
      </c>
      <c r="AR9" s="4">
        <v>0.1</v>
      </c>
      <c r="AS9" s="275">
        <v>1</v>
      </c>
      <c r="AT9" s="275">
        <v>1</v>
      </c>
      <c r="AU9" s="275">
        <v>1</v>
      </c>
      <c r="AV9" s="275">
        <v>1</v>
      </c>
      <c r="AW9" s="275">
        <v>1</v>
      </c>
      <c r="AX9" s="275">
        <v>1</v>
      </c>
      <c r="AY9" s="275">
        <v>1</v>
      </c>
      <c r="AZ9" s="275">
        <v>1</v>
      </c>
      <c r="BA9" s="275">
        <v>1</v>
      </c>
      <c r="BB9" s="275">
        <v>1</v>
      </c>
      <c r="BC9" s="275">
        <v>1</v>
      </c>
      <c r="BD9" s="4">
        <v>1</v>
      </c>
      <c r="BE9" s="275">
        <v>1</v>
      </c>
      <c r="BF9" s="4">
        <v>0.1</v>
      </c>
      <c r="BG9" s="275">
        <v>1</v>
      </c>
      <c r="BH9" s="275">
        <v>1</v>
      </c>
      <c r="BI9" s="275">
        <v>1</v>
      </c>
      <c r="BJ9" s="275">
        <v>1</v>
      </c>
      <c r="BK9" s="4">
        <v>0.1</v>
      </c>
      <c r="BL9" s="4">
        <v>0.1</v>
      </c>
      <c r="BM9" s="4">
        <v>0.1</v>
      </c>
      <c r="BN9" s="4">
        <v>0.1</v>
      </c>
      <c r="BO9" s="275">
        <v>0.1</v>
      </c>
      <c r="BP9" s="4">
        <v>0.1</v>
      </c>
      <c r="BQ9" s="275">
        <v>1</v>
      </c>
      <c r="BR9" s="4">
        <v>1</v>
      </c>
      <c r="BS9" s="275">
        <v>1</v>
      </c>
      <c r="BT9" s="275">
        <v>1</v>
      </c>
      <c r="BU9" s="275">
        <v>1</v>
      </c>
      <c r="BV9" s="275">
        <v>1</v>
      </c>
      <c r="BW9" s="4">
        <v>0.1</v>
      </c>
      <c r="BX9" s="275">
        <v>1</v>
      </c>
      <c r="BY9" s="275">
        <v>1</v>
      </c>
      <c r="BZ9" s="4">
        <v>0.1</v>
      </c>
      <c r="CA9" s="4">
        <v>0.1</v>
      </c>
      <c r="CB9" s="4">
        <v>0.1</v>
      </c>
      <c r="CC9" s="4">
        <v>0.1</v>
      </c>
      <c r="CD9" s="275">
        <v>1</v>
      </c>
      <c r="CE9" s="275">
        <v>1</v>
      </c>
      <c r="CF9" s="4">
        <v>0.1</v>
      </c>
      <c r="CG9" s="275">
        <v>1</v>
      </c>
      <c r="CH9" s="4">
        <v>1</v>
      </c>
      <c r="CI9" s="275">
        <v>1</v>
      </c>
      <c r="CJ9" s="275">
        <v>1</v>
      </c>
      <c r="CK9" s="275">
        <v>1</v>
      </c>
      <c r="CL9" s="275">
        <v>1</v>
      </c>
      <c r="CM9" s="275">
        <v>0.1</v>
      </c>
      <c r="CN9" s="275">
        <v>0.1</v>
      </c>
      <c r="CO9" s="275">
        <v>0.1</v>
      </c>
      <c r="CP9" s="275">
        <v>0.1</v>
      </c>
      <c r="CQ9" s="4">
        <v>0.1</v>
      </c>
      <c r="CR9" s="4">
        <v>0.1</v>
      </c>
      <c r="CS9" s="275">
        <v>1</v>
      </c>
      <c r="CT9" s="275">
        <v>1</v>
      </c>
      <c r="CU9" s="275">
        <v>1</v>
      </c>
      <c r="CV9" s="275">
        <v>1</v>
      </c>
      <c r="CW9" s="4">
        <v>0.1</v>
      </c>
      <c r="CX9" s="275">
        <v>0.1</v>
      </c>
      <c r="CY9" s="275">
        <v>1</v>
      </c>
      <c r="CZ9" s="275">
        <v>1</v>
      </c>
      <c r="DA9" s="4">
        <v>0.1</v>
      </c>
      <c r="DB9" s="275">
        <v>0.1</v>
      </c>
      <c r="DC9" s="4">
        <v>0.1</v>
      </c>
      <c r="DD9" s="4">
        <v>0.1</v>
      </c>
      <c r="DE9" s="4">
        <v>0.1</v>
      </c>
      <c r="DF9" s="4">
        <v>0.1</v>
      </c>
      <c r="DG9" s="4">
        <v>0.1</v>
      </c>
      <c r="DH9" s="4">
        <v>0.1</v>
      </c>
      <c r="DI9" s="4">
        <v>0.1</v>
      </c>
      <c r="DJ9" s="4">
        <v>0.1</v>
      </c>
      <c r="DK9" s="4">
        <v>0.1</v>
      </c>
      <c r="DL9" s="4">
        <v>0.1</v>
      </c>
      <c r="DM9" s="275">
        <v>1</v>
      </c>
      <c r="DN9" s="275">
        <v>1</v>
      </c>
      <c r="DO9" s="275">
        <v>1</v>
      </c>
      <c r="DP9" s="275">
        <v>1</v>
      </c>
      <c r="DQ9" s="275">
        <v>1</v>
      </c>
    </row>
    <row r="10" spans="2:121" ht="14.25" customHeight="1" x14ac:dyDescent="0.3">
      <c r="B10" s="108">
        <v>6.25E-2</v>
      </c>
      <c r="D10" s="4">
        <v>1</v>
      </c>
      <c r="E10" s="4">
        <v>0.1</v>
      </c>
      <c r="F10" s="275">
        <v>1</v>
      </c>
      <c r="G10" s="275">
        <v>1</v>
      </c>
      <c r="H10" s="275">
        <v>1</v>
      </c>
      <c r="I10" s="4">
        <v>1</v>
      </c>
      <c r="J10" s="4">
        <v>0.1</v>
      </c>
      <c r="K10" s="4">
        <v>1</v>
      </c>
      <c r="L10" s="4">
        <v>1</v>
      </c>
      <c r="M10" s="275">
        <v>1</v>
      </c>
      <c r="N10" s="275">
        <v>1</v>
      </c>
      <c r="O10" s="275">
        <v>1</v>
      </c>
      <c r="P10" s="4">
        <v>0.1</v>
      </c>
      <c r="Q10" s="275">
        <v>0.1</v>
      </c>
      <c r="R10" s="275">
        <v>0.1</v>
      </c>
      <c r="S10" s="275">
        <v>0.1</v>
      </c>
      <c r="T10" s="275">
        <v>1</v>
      </c>
      <c r="U10" s="275">
        <v>1</v>
      </c>
      <c r="V10" s="275">
        <v>1</v>
      </c>
      <c r="W10" s="275">
        <v>1</v>
      </c>
      <c r="X10" s="275">
        <v>0.1</v>
      </c>
      <c r="Y10" s="275">
        <v>0.1</v>
      </c>
      <c r="Z10" s="275">
        <v>1</v>
      </c>
      <c r="AA10" s="4">
        <v>0.1</v>
      </c>
      <c r="AB10" s="275">
        <v>1</v>
      </c>
      <c r="AC10" s="4">
        <v>0.1</v>
      </c>
      <c r="AD10" s="275">
        <v>0.1</v>
      </c>
      <c r="AE10" s="4">
        <v>0.1</v>
      </c>
      <c r="AF10" s="4">
        <v>0.1</v>
      </c>
      <c r="AG10" s="4">
        <v>0.1</v>
      </c>
      <c r="AH10" s="275">
        <v>1</v>
      </c>
      <c r="AI10" s="4">
        <v>0.1</v>
      </c>
      <c r="AJ10" s="4">
        <v>0.1</v>
      </c>
      <c r="AK10" s="275">
        <v>1</v>
      </c>
      <c r="AL10" s="275">
        <v>1</v>
      </c>
      <c r="AM10" s="275">
        <v>1</v>
      </c>
      <c r="AN10" s="275">
        <v>1</v>
      </c>
      <c r="AO10" s="275">
        <v>1</v>
      </c>
      <c r="AP10" s="4">
        <v>0.1</v>
      </c>
      <c r="AQ10" s="4">
        <v>0.1</v>
      </c>
      <c r="AR10" s="4">
        <v>0.1</v>
      </c>
      <c r="AS10" s="275">
        <v>1</v>
      </c>
      <c r="AT10" s="275">
        <v>1</v>
      </c>
      <c r="AU10" s="275">
        <v>1</v>
      </c>
      <c r="AV10" s="275">
        <v>1</v>
      </c>
      <c r="AW10" s="275">
        <v>1</v>
      </c>
      <c r="AX10" s="275">
        <v>1</v>
      </c>
      <c r="AY10" s="275">
        <v>1</v>
      </c>
      <c r="AZ10" s="275">
        <v>1</v>
      </c>
      <c r="BA10" s="275">
        <v>1</v>
      </c>
      <c r="BB10" s="275">
        <v>1</v>
      </c>
      <c r="BC10" s="275">
        <v>1</v>
      </c>
      <c r="BD10" s="4">
        <v>1</v>
      </c>
      <c r="BE10" s="275">
        <v>1</v>
      </c>
      <c r="BF10" s="4">
        <v>0.1</v>
      </c>
      <c r="BG10" s="275">
        <v>1</v>
      </c>
      <c r="BH10" s="275">
        <v>1</v>
      </c>
      <c r="BI10" s="275">
        <v>1</v>
      </c>
      <c r="BJ10" s="275">
        <v>1</v>
      </c>
      <c r="BK10" s="4">
        <v>0.1</v>
      </c>
      <c r="BL10" s="4">
        <v>0.1</v>
      </c>
      <c r="BM10" s="4">
        <v>0.1</v>
      </c>
      <c r="BN10" s="4">
        <v>0.1</v>
      </c>
      <c r="BO10" s="275">
        <v>0.1</v>
      </c>
      <c r="BP10" s="4">
        <v>1</v>
      </c>
      <c r="BQ10" s="275">
        <v>1</v>
      </c>
      <c r="BR10" s="4">
        <v>1</v>
      </c>
      <c r="BS10" s="275">
        <v>1</v>
      </c>
      <c r="BT10" s="275">
        <v>1</v>
      </c>
      <c r="BU10" s="275">
        <v>1</v>
      </c>
      <c r="BV10" s="275">
        <v>1</v>
      </c>
      <c r="BW10" s="4">
        <v>0.1</v>
      </c>
      <c r="BX10" s="275">
        <v>1</v>
      </c>
      <c r="BY10" s="275">
        <v>1</v>
      </c>
      <c r="BZ10" s="4">
        <v>1</v>
      </c>
      <c r="CA10" s="4">
        <v>1</v>
      </c>
      <c r="CB10" s="4">
        <v>1</v>
      </c>
      <c r="CC10" s="4">
        <v>0.1</v>
      </c>
      <c r="CD10" s="275">
        <v>1</v>
      </c>
      <c r="CE10" s="275">
        <v>1</v>
      </c>
      <c r="CF10" s="4">
        <v>0.1</v>
      </c>
      <c r="CG10" s="275">
        <v>1</v>
      </c>
      <c r="CH10" s="4">
        <v>1</v>
      </c>
      <c r="CI10" s="275">
        <v>1</v>
      </c>
      <c r="CJ10" s="275">
        <v>1</v>
      </c>
      <c r="CK10" s="275">
        <v>1</v>
      </c>
      <c r="CL10" s="275">
        <v>1</v>
      </c>
      <c r="CM10" s="275">
        <v>0.1</v>
      </c>
      <c r="CN10" s="275">
        <v>0.1</v>
      </c>
      <c r="CO10" s="275">
        <v>0.1</v>
      </c>
      <c r="CP10" s="275">
        <v>0.1</v>
      </c>
      <c r="CQ10" s="4">
        <v>0.1</v>
      </c>
      <c r="CR10" s="4">
        <v>0.1</v>
      </c>
      <c r="CS10" s="275">
        <v>1</v>
      </c>
      <c r="CT10" s="275">
        <v>1</v>
      </c>
      <c r="CU10" s="275">
        <v>1</v>
      </c>
      <c r="CV10" s="275">
        <v>1</v>
      </c>
      <c r="CW10" s="4">
        <v>0.1</v>
      </c>
      <c r="CX10" s="275">
        <v>0.1</v>
      </c>
      <c r="CY10" s="275">
        <v>1</v>
      </c>
      <c r="CZ10" s="275">
        <v>1</v>
      </c>
      <c r="DA10" s="4">
        <v>0.1</v>
      </c>
      <c r="DB10" s="275">
        <v>0.1</v>
      </c>
      <c r="DC10" s="4">
        <v>0.1</v>
      </c>
      <c r="DD10" s="4">
        <v>0.1</v>
      </c>
      <c r="DE10" s="4">
        <v>0.1</v>
      </c>
      <c r="DF10" s="4">
        <v>0.1</v>
      </c>
      <c r="DG10" s="4">
        <v>0.1</v>
      </c>
      <c r="DH10" s="4">
        <v>0.1</v>
      </c>
      <c r="DI10" s="4">
        <v>0.1</v>
      </c>
      <c r="DJ10" s="4">
        <v>0.1</v>
      </c>
      <c r="DK10" s="4">
        <v>0.1</v>
      </c>
      <c r="DL10" s="4">
        <v>0.1</v>
      </c>
      <c r="DM10" s="275">
        <v>1</v>
      </c>
      <c r="DN10" s="275">
        <v>1</v>
      </c>
      <c r="DO10" s="275">
        <v>1</v>
      </c>
      <c r="DP10" s="275">
        <v>1</v>
      </c>
      <c r="DQ10" s="275">
        <v>1</v>
      </c>
    </row>
    <row r="11" spans="2:121" ht="14.25" customHeight="1" x14ac:dyDescent="0.3">
      <c r="B11" s="108">
        <v>7.2916666666666699E-2</v>
      </c>
      <c r="D11" s="4">
        <v>1</v>
      </c>
      <c r="E11" s="4">
        <v>0.1</v>
      </c>
      <c r="F11" s="275">
        <v>1</v>
      </c>
      <c r="G11" s="275">
        <v>1</v>
      </c>
      <c r="H11" s="275">
        <v>1</v>
      </c>
      <c r="I11" s="4">
        <v>1</v>
      </c>
      <c r="J11" s="4">
        <v>0.1</v>
      </c>
      <c r="K11" s="4">
        <v>1</v>
      </c>
      <c r="L11" s="4">
        <v>1</v>
      </c>
      <c r="M11" s="275">
        <v>1</v>
      </c>
      <c r="N11" s="275">
        <v>1</v>
      </c>
      <c r="O11" s="275">
        <v>1</v>
      </c>
      <c r="P11" s="4">
        <v>0.1</v>
      </c>
      <c r="Q11" s="275">
        <v>0.1</v>
      </c>
      <c r="R11" s="275">
        <v>0.1</v>
      </c>
      <c r="S11" s="275">
        <v>0.1</v>
      </c>
      <c r="T11" s="275">
        <v>1</v>
      </c>
      <c r="U11" s="275">
        <v>1</v>
      </c>
      <c r="V11" s="275">
        <v>1</v>
      </c>
      <c r="W11" s="275">
        <v>1</v>
      </c>
      <c r="X11" s="275">
        <v>0.1</v>
      </c>
      <c r="Y11" s="275">
        <v>0.1</v>
      </c>
      <c r="Z11" s="275">
        <v>1</v>
      </c>
      <c r="AA11" s="4">
        <v>0.1</v>
      </c>
      <c r="AB11" s="275">
        <v>1</v>
      </c>
      <c r="AC11" s="4">
        <v>0.1</v>
      </c>
      <c r="AD11" s="275">
        <v>0.1</v>
      </c>
      <c r="AE11" s="4">
        <v>0.1</v>
      </c>
      <c r="AF11" s="4">
        <v>0.1</v>
      </c>
      <c r="AG11" s="4">
        <v>0.1</v>
      </c>
      <c r="AH11" s="275">
        <v>1</v>
      </c>
      <c r="AI11" s="4">
        <v>0.1</v>
      </c>
      <c r="AJ11" s="4">
        <v>0.1</v>
      </c>
      <c r="AK11" s="275">
        <v>1</v>
      </c>
      <c r="AL11" s="275">
        <v>1</v>
      </c>
      <c r="AM11" s="275">
        <v>1</v>
      </c>
      <c r="AN11" s="275">
        <v>1</v>
      </c>
      <c r="AO11" s="275">
        <v>1</v>
      </c>
      <c r="AP11" s="4">
        <v>0.1</v>
      </c>
      <c r="AQ11" s="4">
        <v>0.1</v>
      </c>
      <c r="AR11" s="4">
        <v>0.1</v>
      </c>
      <c r="AS11" s="275">
        <v>1</v>
      </c>
      <c r="AT11" s="275">
        <v>1</v>
      </c>
      <c r="AU11" s="275">
        <v>1</v>
      </c>
      <c r="AV11" s="275">
        <v>1</v>
      </c>
      <c r="AW11" s="275">
        <v>1</v>
      </c>
      <c r="AX11" s="275">
        <v>1</v>
      </c>
      <c r="AY11" s="275">
        <v>1</v>
      </c>
      <c r="AZ11" s="275">
        <v>1</v>
      </c>
      <c r="BA11" s="275">
        <v>1</v>
      </c>
      <c r="BB11" s="275">
        <v>1</v>
      </c>
      <c r="BC11" s="275">
        <v>1</v>
      </c>
      <c r="BD11" s="4">
        <v>1</v>
      </c>
      <c r="BE11" s="275">
        <v>1</v>
      </c>
      <c r="BF11" s="4">
        <v>0.1</v>
      </c>
      <c r="BG11" s="275">
        <v>1</v>
      </c>
      <c r="BH11" s="275">
        <v>1</v>
      </c>
      <c r="BI11" s="275">
        <v>1</v>
      </c>
      <c r="BJ11" s="275">
        <v>1</v>
      </c>
      <c r="BK11" s="4">
        <v>0.1</v>
      </c>
      <c r="BL11" s="4">
        <v>0.1</v>
      </c>
      <c r="BM11" s="4">
        <v>0.1</v>
      </c>
      <c r="BN11" s="4">
        <v>0.1</v>
      </c>
      <c r="BO11" s="275">
        <v>0.1</v>
      </c>
      <c r="BP11" s="4">
        <v>1</v>
      </c>
      <c r="BQ11" s="275">
        <v>1</v>
      </c>
      <c r="BR11" s="4">
        <v>1</v>
      </c>
      <c r="BS11" s="275">
        <v>1</v>
      </c>
      <c r="BT11" s="275">
        <v>1</v>
      </c>
      <c r="BU11" s="275">
        <v>1</v>
      </c>
      <c r="BV11" s="275">
        <v>1</v>
      </c>
      <c r="BW11" s="4">
        <v>0.1</v>
      </c>
      <c r="BX11" s="275">
        <v>1</v>
      </c>
      <c r="BY11" s="275">
        <v>1</v>
      </c>
      <c r="BZ11" s="4">
        <v>1</v>
      </c>
      <c r="CA11" s="4">
        <v>1</v>
      </c>
      <c r="CB11" s="4">
        <v>1</v>
      </c>
      <c r="CC11" s="4">
        <v>0.1</v>
      </c>
      <c r="CD11" s="275">
        <v>1</v>
      </c>
      <c r="CE11" s="275">
        <v>1</v>
      </c>
      <c r="CF11" s="4">
        <v>0.1</v>
      </c>
      <c r="CG11" s="275">
        <v>1</v>
      </c>
      <c r="CH11" s="4">
        <v>1</v>
      </c>
      <c r="CI11" s="275">
        <v>1</v>
      </c>
      <c r="CJ11" s="275">
        <v>1</v>
      </c>
      <c r="CK11" s="275">
        <v>1</v>
      </c>
      <c r="CL11" s="275">
        <v>1</v>
      </c>
      <c r="CM11" s="275">
        <v>0.1</v>
      </c>
      <c r="CN11" s="275">
        <v>0.1</v>
      </c>
      <c r="CO11" s="275">
        <v>0.1</v>
      </c>
      <c r="CP11" s="275">
        <v>0.1</v>
      </c>
      <c r="CQ11" s="4">
        <v>0.1</v>
      </c>
      <c r="CR11" s="4">
        <v>0.1</v>
      </c>
      <c r="CS11" s="275">
        <v>1</v>
      </c>
      <c r="CT11" s="275">
        <v>1</v>
      </c>
      <c r="CU11" s="275">
        <v>1</v>
      </c>
      <c r="CV11" s="275">
        <v>1</v>
      </c>
      <c r="CW11" s="4">
        <v>0.1</v>
      </c>
      <c r="CX11" s="275">
        <v>0.1</v>
      </c>
      <c r="CY11" s="275">
        <v>1</v>
      </c>
      <c r="CZ11" s="275">
        <v>1</v>
      </c>
      <c r="DA11" s="4">
        <v>0.1</v>
      </c>
      <c r="DB11" s="275">
        <v>0.1</v>
      </c>
      <c r="DC11" s="4">
        <v>0.1</v>
      </c>
      <c r="DD11" s="4">
        <v>0.1</v>
      </c>
      <c r="DE11" s="4">
        <v>0.1</v>
      </c>
      <c r="DF11" s="4">
        <v>0.1</v>
      </c>
      <c r="DG11" s="4">
        <v>0.1</v>
      </c>
      <c r="DH11" s="4">
        <v>0.1</v>
      </c>
      <c r="DI11" s="4">
        <v>0.1</v>
      </c>
      <c r="DJ11" s="4">
        <v>0.1</v>
      </c>
      <c r="DK11" s="4">
        <v>0.1</v>
      </c>
      <c r="DL11" s="4">
        <v>0.1</v>
      </c>
      <c r="DM11" s="275">
        <v>1</v>
      </c>
      <c r="DN11" s="275">
        <v>1</v>
      </c>
      <c r="DO11" s="275">
        <v>1</v>
      </c>
      <c r="DP11" s="275">
        <v>1</v>
      </c>
      <c r="DQ11" s="275">
        <v>1</v>
      </c>
    </row>
    <row r="12" spans="2:121" ht="14.25" customHeight="1" x14ac:dyDescent="0.3">
      <c r="B12" s="108">
        <v>8.3333333333333301E-2</v>
      </c>
      <c r="D12" s="4">
        <v>1</v>
      </c>
      <c r="E12" s="4">
        <v>0.1</v>
      </c>
      <c r="F12" s="275">
        <v>1</v>
      </c>
      <c r="G12" s="275">
        <v>1</v>
      </c>
      <c r="H12" s="275">
        <v>1</v>
      </c>
      <c r="I12" s="4">
        <v>0.1</v>
      </c>
      <c r="J12" s="4">
        <v>0.1</v>
      </c>
      <c r="K12" s="4">
        <v>1</v>
      </c>
      <c r="L12" s="4">
        <v>1</v>
      </c>
      <c r="M12" s="275">
        <v>1</v>
      </c>
      <c r="N12" s="275">
        <v>1</v>
      </c>
      <c r="O12" s="275">
        <v>1</v>
      </c>
      <c r="P12" s="4">
        <v>0.1</v>
      </c>
      <c r="Q12" s="275">
        <v>0.1</v>
      </c>
      <c r="R12" s="275">
        <v>0.1</v>
      </c>
      <c r="S12" s="275">
        <v>0.1</v>
      </c>
      <c r="T12" s="275">
        <v>1</v>
      </c>
      <c r="U12" s="275">
        <v>1</v>
      </c>
      <c r="V12" s="275">
        <v>1</v>
      </c>
      <c r="W12" s="275">
        <v>1</v>
      </c>
      <c r="X12" s="275">
        <v>0.1</v>
      </c>
      <c r="Y12" s="275">
        <v>0.1</v>
      </c>
      <c r="Z12" s="275">
        <v>1</v>
      </c>
      <c r="AA12" s="4">
        <v>0.1</v>
      </c>
      <c r="AB12" s="275">
        <v>1</v>
      </c>
      <c r="AC12" s="4">
        <v>0.1</v>
      </c>
      <c r="AD12" s="275">
        <v>0.1</v>
      </c>
      <c r="AE12" s="4">
        <v>0.1</v>
      </c>
      <c r="AF12" s="4">
        <v>0.1</v>
      </c>
      <c r="AG12" s="4">
        <v>0.1</v>
      </c>
      <c r="AH12" s="275">
        <v>1</v>
      </c>
      <c r="AI12" s="4">
        <v>0.1</v>
      </c>
      <c r="AJ12" s="4">
        <v>0.1</v>
      </c>
      <c r="AK12" s="275">
        <v>1</v>
      </c>
      <c r="AL12" s="275">
        <v>1</v>
      </c>
      <c r="AM12" s="275">
        <v>1</v>
      </c>
      <c r="AN12" s="275">
        <v>1</v>
      </c>
      <c r="AO12" s="275">
        <v>1</v>
      </c>
      <c r="AP12" s="4">
        <v>0.1</v>
      </c>
      <c r="AQ12" s="4">
        <v>0.1</v>
      </c>
      <c r="AR12" s="4">
        <v>0.1</v>
      </c>
      <c r="AS12" s="275">
        <v>1</v>
      </c>
      <c r="AT12" s="275">
        <v>1</v>
      </c>
      <c r="AU12" s="275">
        <v>1</v>
      </c>
      <c r="AV12" s="275">
        <v>1</v>
      </c>
      <c r="AW12" s="275">
        <v>1</v>
      </c>
      <c r="AX12" s="275">
        <v>1</v>
      </c>
      <c r="AY12" s="275">
        <v>1</v>
      </c>
      <c r="AZ12" s="275">
        <v>1</v>
      </c>
      <c r="BA12" s="275">
        <v>1</v>
      </c>
      <c r="BB12" s="275">
        <v>1</v>
      </c>
      <c r="BC12" s="275">
        <v>1</v>
      </c>
      <c r="BD12" s="4">
        <v>1</v>
      </c>
      <c r="BE12" s="275">
        <v>1</v>
      </c>
      <c r="BF12" s="4">
        <v>0.1</v>
      </c>
      <c r="BG12" s="275">
        <v>1</v>
      </c>
      <c r="BH12" s="275">
        <v>1</v>
      </c>
      <c r="BI12" s="275">
        <v>1</v>
      </c>
      <c r="BJ12" s="275">
        <v>1</v>
      </c>
      <c r="BK12" s="4">
        <v>0.1</v>
      </c>
      <c r="BL12" s="4">
        <v>0.1</v>
      </c>
      <c r="BM12" s="4">
        <v>0.1</v>
      </c>
      <c r="BN12" s="4">
        <v>0.1</v>
      </c>
      <c r="BO12" s="275">
        <v>0.1</v>
      </c>
      <c r="BP12" s="4">
        <v>0.1</v>
      </c>
      <c r="BQ12" s="275">
        <v>1</v>
      </c>
      <c r="BR12" s="4">
        <v>1</v>
      </c>
      <c r="BS12" s="275">
        <v>1</v>
      </c>
      <c r="BT12" s="275">
        <v>1</v>
      </c>
      <c r="BU12" s="275">
        <v>1</v>
      </c>
      <c r="BV12" s="275">
        <v>1</v>
      </c>
      <c r="BW12" s="4">
        <v>0.1</v>
      </c>
      <c r="BX12" s="275">
        <v>1</v>
      </c>
      <c r="BY12" s="275">
        <v>1</v>
      </c>
      <c r="BZ12" s="4">
        <v>0.1</v>
      </c>
      <c r="CA12" s="4">
        <v>0.1</v>
      </c>
      <c r="CB12" s="4">
        <v>0.1</v>
      </c>
      <c r="CC12" s="4">
        <v>0.1</v>
      </c>
      <c r="CD12" s="275">
        <v>1</v>
      </c>
      <c r="CE12" s="275">
        <v>1</v>
      </c>
      <c r="CF12" s="4">
        <v>0.1</v>
      </c>
      <c r="CG12" s="275">
        <v>1</v>
      </c>
      <c r="CH12" s="4">
        <v>1</v>
      </c>
      <c r="CI12" s="275">
        <v>1</v>
      </c>
      <c r="CJ12" s="275">
        <v>1</v>
      </c>
      <c r="CK12" s="275">
        <v>1</v>
      </c>
      <c r="CL12" s="275">
        <v>1</v>
      </c>
      <c r="CM12" s="275">
        <v>0.1</v>
      </c>
      <c r="CN12" s="275">
        <v>0.1</v>
      </c>
      <c r="CO12" s="275">
        <v>0.1</v>
      </c>
      <c r="CP12" s="275">
        <v>0.1</v>
      </c>
      <c r="CQ12" s="4">
        <v>0.1</v>
      </c>
      <c r="CR12" s="4">
        <v>0.1</v>
      </c>
      <c r="CS12" s="275">
        <v>1</v>
      </c>
      <c r="CT12" s="275">
        <v>1</v>
      </c>
      <c r="CU12" s="275">
        <v>1</v>
      </c>
      <c r="CV12" s="275">
        <v>1</v>
      </c>
      <c r="CW12" s="4">
        <v>0.1</v>
      </c>
      <c r="CX12" s="275">
        <v>0.1</v>
      </c>
      <c r="CY12" s="275">
        <v>1</v>
      </c>
      <c r="CZ12" s="275">
        <v>1</v>
      </c>
      <c r="DA12" s="4">
        <v>0.1</v>
      </c>
      <c r="DB12" s="275">
        <v>0.1</v>
      </c>
      <c r="DC12" s="4">
        <v>0.1</v>
      </c>
      <c r="DD12" s="4">
        <v>0.1</v>
      </c>
      <c r="DE12" s="4">
        <v>0.1</v>
      </c>
      <c r="DF12" s="4">
        <v>0.1</v>
      </c>
      <c r="DG12" s="4">
        <v>0.1</v>
      </c>
      <c r="DH12" s="4">
        <v>0.1</v>
      </c>
      <c r="DI12" s="4">
        <v>0.1</v>
      </c>
      <c r="DJ12" s="4">
        <v>0.1</v>
      </c>
      <c r="DK12" s="4">
        <v>0.1</v>
      </c>
      <c r="DL12" s="4">
        <v>0.1</v>
      </c>
      <c r="DM12" s="275">
        <v>1</v>
      </c>
      <c r="DN12" s="275">
        <v>1</v>
      </c>
      <c r="DO12" s="275">
        <v>1</v>
      </c>
      <c r="DP12" s="275">
        <v>1</v>
      </c>
      <c r="DQ12" s="275">
        <v>1</v>
      </c>
    </row>
    <row r="13" spans="2:121" ht="14.25" customHeight="1" x14ac:dyDescent="0.3">
      <c r="B13" s="108">
        <v>9.375E-2</v>
      </c>
      <c r="D13" s="4">
        <v>1</v>
      </c>
      <c r="E13" s="4">
        <v>0.1</v>
      </c>
      <c r="F13" s="275">
        <v>1</v>
      </c>
      <c r="G13" s="275">
        <v>1</v>
      </c>
      <c r="H13" s="275">
        <v>1</v>
      </c>
      <c r="I13" s="4">
        <v>0.1</v>
      </c>
      <c r="J13" s="4">
        <v>0.1</v>
      </c>
      <c r="K13" s="4">
        <v>1</v>
      </c>
      <c r="L13" s="4">
        <v>1</v>
      </c>
      <c r="M13" s="275">
        <v>1</v>
      </c>
      <c r="N13" s="275">
        <v>1</v>
      </c>
      <c r="O13" s="275">
        <v>1</v>
      </c>
      <c r="P13" s="4">
        <v>0.1</v>
      </c>
      <c r="Q13" s="275">
        <v>0.1</v>
      </c>
      <c r="R13" s="275">
        <v>0.1</v>
      </c>
      <c r="S13" s="275">
        <v>0.1</v>
      </c>
      <c r="T13" s="275">
        <v>1</v>
      </c>
      <c r="U13" s="275">
        <v>1</v>
      </c>
      <c r="V13" s="275">
        <v>1</v>
      </c>
      <c r="W13" s="275">
        <v>1</v>
      </c>
      <c r="X13" s="275">
        <v>0.1</v>
      </c>
      <c r="Y13" s="275">
        <v>0.1</v>
      </c>
      <c r="Z13" s="275">
        <v>1</v>
      </c>
      <c r="AA13" s="4">
        <v>0.1</v>
      </c>
      <c r="AB13" s="275">
        <v>1</v>
      </c>
      <c r="AC13" s="4">
        <v>0.1</v>
      </c>
      <c r="AD13" s="275">
        <v>0.1</v>
      </c>
      <c r="AE13" s="4">
        <v>0.1</v>
      </c>
      <c r="AF13" s="4">
        <v>0.1</v>
      </c>
      <c r="AG13" s="4">
        <v>0.1</v>
      </c>
      <c r="AH13" s="275">
        <v>1</v>
      </c>
      <c r="AI13" s="4">
        <v>0.1</v>
      </c>
      <c r="AJ13" s="4">
        <v>0.1</v>
      </c>
      <c r="AK13" s="275">
        <v>1</v>
      </c>
      <c r="AL13" s="275">
        <v>1</v>
      </c>
      <c r="AM13" s="275">
        <v>1</v>
      </c>
      <c r="AN13" s="275">
        <v>1</v>
      </c>
      <c r="AO13" s="275">
        <v>1</v>
      </c>
      <c r="AP13" s="4">
        <v>0.1</v>
      </c>
      <c r="AQ13" s="4">
        <v>0.1</v>
      </c>
      <c r="AR13" s="4">
        <v>0.1</v>
      </c>
      <c r="AS13" s="275">
        <v>1</v>
      </c>
      <c r="AT13" s="275">
        <v>1</v>
      </c>
      <c r="AU13" s="275">
        <v>1</v>
      </c>
      <c r="AV13" s="275">
        <v>1</v>
      </c>
      <c r="AW13" s="275">
        <v>1</v>
      </c>
      <c r="AX13" s="275">
        <v>1</v>
      </c>
      <c r="AY13" s="275">
        <v>1</v>
      </c>
      <c r="AZ13" s="275">
        <v>1</v>
      </c>
      <c r="BA13" s="275">
        <v>1</v>
      </c>
      <c r="BB13" s="275">
        <v>1</v>
      </c>
      <c r="BC13" s="275">
        <v>1</v>
      </c>
      <c r="BD13" s="4">
        <v>1</v>
      </c>
      <c r="BE13" s="275">
        <v>1</v>
      </c>
      <c r="BF13" s="4">
        <v>0.1</v>
      </c>
      <c r="BG13" s="275">
        <v>1</v>
      </c>
      <c r="BH13" s="275">
        <v>1</v>
      </c>
      <c r="BI13" s="275">
        <v>1</v>
      </c>
      <c r="BJ13" s="275">
        <v>1</v>
      </c>
      <c r="BK13" s="4">
        <v>0.1</v>
      </c>
      <c r="BL13" s="4">
        <v>0.1</v>
      </c>
      <c r="BM13" s="4">
        <v>0.1</v>
      </c>
      <c r="BN13" s="4">
        <v>0.1</v>
      </c>
      <c r="BO13" s="275">
        <v>0.1</v>
      </c>
      <c r="BP13" s="4">
        <v>0.1</v>
      </c>
      <c r="BQ13" s="275">
        <v>1</v>
      </c>
      <c r="BR13" s="4">
        <v>1</v>
      </c>
      <c r="BS13" s="275">
        <v>1</v>
      </c>
      <c r="BT13" s="275">
        <v>1</v>
      </c>
      <c r="BU13" s="275">
        <v>1</v>
      </c>
      <c r="BV13" s="275">
        <v>1</v>
      </c>
      <c r="BW13" s="4">
        <v>0.1</v>
      </c>
      <c r="BX13" s="275">
        <v>1</v>
      </c>
      <c r="BY13" s="275">
        <v>1</v>
      </c>
      <c r="BZ13" s="4">
        <v>0.1</v>
      </c>
      <c r="CA13" s="4">
        <v>0.1</v>
      </c>
      <c r="CB13" s="4">
        <v>0.1</v>
      </c>
      <c r="CC13" s="4">
        <v>0.1</v>
      </c>
      <c r="CD13" s="275">
        <v>1</v>
      </c>
      <c r="CE13" s="275">
        <v>1</v>
      </c>
      <c r="CF13" s="4">
        <v>0.1</v>
      </c>
      <c r="CG13" s="275">
        <v>1</v>
      </c>
      <c r="CH13" s="4">
        <v>1</v>
      </c>
      <c r="CI13" s="275">
        <v>1</v>
      </c>
      <c r="CJ13" s="275">
        <v>1</v>
      </c>
      <c r="CK13" s="275">
        <v>1</v>
      </c>
      <c r="CL13" s="275">
        <v>1</v>
      </c>
      <c r="CM13" s="275">
        <v>0.1</v>
      </c>
      <c r="CN13" s="275">
        <v>0.1</v>
      </c>
      <c r="CO13" s="275">
        <v>0.1</v>
      </c>
      <c r="CP13" s="275">
        <v>0.1</v>
      </c>
      <c r="CQ13" s="4">
        <v>0.1</v>
      </c>
      <c r="CR13" s="4">
        <v>0.1</v>
      </c>
      <c r="CS13" s="275">
        <v>1</v>
      </c>
      <c r="CT13" s="275">
        <v>1</v>
      </c>
      <c r="CU13" s="275">
        <v>1</v>
      </c>
      <c r="CV13" s="275">
        <v>1</v>
      </c>
      <c r="CW13" s="4">
        <v>0.1</v>
      </c>
      <c r="CX13" s="275">
        <v>0.1</v>
      </c>
      <c r="CY13" s="275">
        <v>1</v>
      </c>
      <c r="CZ13" s="275">
        <v>1</v>
      </c>
      <c r="DA13" s="4">
        <v>0.1</v>
      </c>
      <c r="DB13" s="275">
        <v>0.1</v>
      </c>
      <c r="DC13" s="4">
        <v>0.1</v>
      </c>
      <c r="DD13" s="4">
        <v>0.1</v>
      </c>
      <c r="DE13" s="4">
        <v>0.1</v>
      </c>
      <c r="DF13" s="4">
        <v>0.1</v>
      </c>
      <c r="DG13" s="4">
        <v>0.1</v>
      </c>
      <c r="DH13" s="4">
        <v>0.1</v>
      </c>
      <c r="DI13" s="4">
        <v>0.1</v>
      </c>
      <c r="DJ13" s="4">
        <v>0.1</v>
      </c>
      <c r="DK13" s="4">
        <v>0.1</v>
      </c>
      <c r="DL13" s="4">
        <v>0.1</v>
      </c>
      <c r="DM13" s="275">
        <v>1</v>
      </c>
      <c r="DN13" s="275">
        <v>1</v>
      </c>
      <c r="DO13" s="275">
        <v>1</v>
      </c>
      <c r="DP13" s="275">
        <v>1</v>
      </c>
      <c r="DQ13" s="275">
        <v>1</v>
      </c>
    </row>
    <row r="14" spans="2:121" ht="14.25" customHeight="1" x14ac:dyDescent="0.3">
      <c r="B14" s="108">
        <v>0.104166666666667</v>
      </c>
      <c r="D14" s="4">
        <v>1</v>
      </c>
      <c r="E14" s="4">
        <v>0.1</v>
      </c>
      <c r="F14" s="275">
        <v>1</v>
      </c>
      <c r="G14" s="275">
        <v>1</v>
      </c>
      <c r="H14" s="275">
        <v>1</v>
      </c>
      <c r="I14" s="4">
        <v>1</v>
      </c>
      <c r="J14" s="4">
        <v>0.1</v>
      </c>
      <c r="K14" s="4">
        <v>1</v>
      </c>
      <c r="L14" s="4">
        <v>1</v>
      </c>
      <c r="M14" s="275">
        <v>1</v>
      </c>
      <c r="N14" s="275">
        <v>1</v>
      </c>
      <c r="O14" s="275">
        <v>1</v>
      </c>
      <c r="P14" s="4">
        <v>0.1</v>
      </c>
      <c r="Q14" s="275">
        <v>0.1</v>
      </c>
      <c r="R14" s="275">
        <v>0.1</v>
      </c>
      <c r="S14" s="275">
        <v>0.1</v>
      </c>
      <c r="T14" s="275">
        <v>1</v>
      </c>
      <c r="U14" s="275">
        <v>1</v>
      </c>
      <c r="V14" s="275">
        <v>1</v>
      </c>
      <c r="W14" s="275">
        <v>1</v>
      </c>
      <c r="X14" s="275">
        <v>0.1</v>
      </c>
      <c r="Y14" s="275">
        <v>0.1</v>
      </c>
      <c r="Z14" s="275">
        <v>1</v>
      </c>
      <c r="AA14" s="4">
        <v>0.1</v>
      </c>
      <c r="AB14" s="275">
        <v>1</v>
      </c>
      <c r="AC14" s="4">
        <v>0.1</v>
      </c>
      <c r="AD14" s="275">
        <v>0.1</v>
      </c>
      <c r="AE14" s="4">
        <v>0.1</v>
      </c>
      <c r="AF14" s="4">
        <v>0.1</v>
      </c>
      <c r="AG14" s="4">
        <v>0.1</v>
      </c>
      <c r="AH14" s="275">
        <v>1</v>
      </c>
      <c r="AI14" s="4">
        <v>0.1</v>
      </c>
      <c r="AJ14" s="4">
        <v>0.1</v>
      </c>
      <c r="AK14" s="275">
        <v>1</v>
      </c>
      <c r="AL14" s="275">
        <v>1</v>
      </c>
      <c r="AM14" s="275">
        <v>1</v>
      </c>
      <c r="AN14" s="275">
        <v>1</v>
      </c>
      <c r="AO14" s="275">
        <v>1</v>
      </c>
      <c r="AP14" s="4">
        <v>0.1</v>
      </c>
      <c r="AQ14" s="4">
        <v>0.1</v>
      </c>
      <c r="AR14" s="4">
        <v>0.1</v>
      </c>
      <c r="AS14" s="275">
        <v>1</v>
      </c>
      <c r="AT14" s="275">
        <v>1</v>
      </c>
      <c r="AU14" s="275">
        <v>1</v>
      </c>
      <c r="AV14" s="275">
        <v>1</v>
      </c>
      <c r="AW14" s="275">
        <v>1</v>
      </c>
      <c r="AX14" s="275">
        <v>1</v>
      </c>
      <c r="AY14" s="275">
        <v>1</v>
      </c>
      <c r="AZ14" s="275">
        <v>1</v>
      </c>
      <c r="BA14" s="275">
        <v>1</v>
      </c>
      <c r="BB14" s="275">
        <v>1</v>
      </c>
      <c r="BC14" s="275">
        <v>1</v>
      </c>
      <c r="BD14" s="4">
        <v>1</v>
      </c>
      <c r="BE14" s="275">
        <v>1</v>
      </c>
      <c r="BF14" s="4">
        <v>0.1</v>
      </c>
      <c r="BG14" s="275">
        <v>1</v>
      </c>
      <c r="BH14" s="275">
        <v>1</v>
      </c>
      <c r="BI14" s="275">
        <v>1</v>
      </c>
      <c r="BJ14" s="275">
        <v>1</v>
      </c>
      <c r="BK14" s="4">
        <v>0.1</v>
      </c>
      <c r="BL14" s="4">
        <v>0.1</v>
      </c>
      <c r="BM14" s="4">
        <v>0.1</v>
      </c>
      <c r="BN14" s="4">
        <v>0.1</v>
      </c>
      <c r="BO14" s="275">
        <v>0.1</v>
      </c>
      <c r="BP14" s="4">
        <v>1</v>
      </c>
      <c r="BQ14" s="275">
        <v>1</v>
      </c>
      <c r="BR14" s="4">
        <v>1</v>
      </c>
      <c r="BS14" s="275">
        <v>1</v>
      </c>
      <c r="BT14" s="275">
        <v>1</v>
      </c>
      <c r="BU14" s="275">
        <v>1</v>
      </c>
      <c r="BV14" s="275">
        <v>1</v>
      </c>
      <c r="BW14" s="4">
        <v>0.1</v>
      </c>
      <c r="BX14" s="275">
        <v>1</v>
      </c>
      <c r="BY14" s="275">
        <v>1</v>
      </c>
      <c r="BZ14" s="4">
        <v>1</v>
      </c>
      <c r="CA14" s="4">
        <v>1</v>
      </c>
      <c r="CB14" s="4">
        <v>1</v>
      </c>
      <c r="CC14" s="4">
        <v>0.1</v>
      </c>
      <c r="CD14" s="275">
        <v>1</v>
      </c>
      <c r="CE14" s="275">
        <v>1</v>
      </c>
      <c r="CF14" s="4">
        <v>0.1</v>
      </c>
      <c r="CG14" s="275">
        <v>1</v>
      </c>
      <c r="CH14" s="4">
        <v>1</v>
      </c>
      <c r="CI14" s="275">
        <v>1</v>
      </c>
      <c r="CJ14" s="275">
        <v>1</v>
      </c>
      <c r="CK14" s="275">
        <v>1</v>
      </c>
      <c r="CL14" s="275">
        <v>1</v>
      </c>
      <c r="CM14" s="275">
        <v>0.1</v>
      </c>
      <c r="CN14" s="275">
        <v>0.1</v>
      </c>
      <c r="CO14" s="275">
        <v>0.1</v>
      </c>
      <c r="CP14" s="275">
        <v>0.1</v>
      </c>
      <c r="CQ14" s="4">
        <v>0.1</v>
      </c>
      <c r="CR14" s="4">
        <v>0.1</v>
      </c>
      <c r="CS14" s="275">
        <v>1</v>
      </c>
      <c r="CT14" s="275">
        <v>1</v>
      </c>
      <c r="CU14" s="275">
        <v>1</v>
      </c>
      <c r="CV14" s="275">
        <v>1</v>
      </c>
      <c r="CW14" s="4">
        <v>0.1</v>
      </c>
      <c r="CX14" s="275">
        <v>0.1</v>
      </c>
      <c r="CY14" s="275">
        <v>1</v>
      </c>
      <c r="CZ14" s="275">
        <v>1</v>
      </c>
      <c r="DA14" s="4">
        <v>0.1</v>
      </c>
      <c r="DB14" s="275">
        <v>0.1</v>
      </c>
      <c r="DC14" s="4">
        <v>0.1</v>
      </c>
      <c r="DD14" s="4">
        <v>0.1</v>
      </c>
      <c r="DE14" s="4">
        <v>0.1</v>
      </c>
      <c r="DF14" s="4">
        <v>0.1</v>
      </c>
      <c r="DG14" s="4">
        <v>0.1</v>
      </c>
      <c r="DH14" s="4">
        <v>0.1</v>
      </c>
      <c r="DI14" s="4">
        <v>0.1</v>
      </c>
      <c r="DJ14" s="4">
        <v>0.1</v>
      </c>
      <c r="DK14" s="4">
        <v>0.1</v>
      </c>
      <c r="DL14" s="4">
        <v>0.1</v>
      </c>
      <c r="DM14" s="275">
        <v>1</v>
      </c>
      <c r="DN14" s="275">
        <v>1</v>
      </c>
      <c r="DO14" s="275">
        <v>1</v>
      </c>
      <c r="DP14" s="275">
        <v>1</v>
      </c>
      <c r="DQ14" s="275">
        <v>1</v>
      </c>
    </row>
    <row r="15" spans="2:121" ht="14.25" customHeight="1" x14ac:dyDescent="0.3">
      <c r="B15" s="108">
        <v>0.114583333333333</v>
      </c>
      <c r="D15" s="4">
        <v>1</v>
      </c>
      <c r="E15" s="4">
        <v>0.1</v>
      </c>
      <c r="F15" s="275">
        <v>1</v>
      </c>
      <c r="G15" s="275">
        <v>1</v>
      </c>
      <c r="H15" s="275">
        <v>1</v>
      </c>
      <c r="I15" s="4">
        <v>1</v>
      </c>
      <c r="J15" s="4">
        <v>0.1</v>
      </c>
      <c r="K15" s="4">
        <v>1</v>
      </c>
      <c r="L15" s="4">
        <v>1</v>
      </c>
      <c r="M15" s="275">
        <v>1</v>
      </c>
      <c r="N15" s="275">
        <v>1</v>
      </c>
      <c r="O15" s="275">
        <v>1</v>
      </c>
      <c r="P15" s="4">
        <v>0.1</v>
      </c>
      <c r="Q15" s="275">
        <v>0.1</v>
      </c>
      <c r="R15" s="275">
        <v>0.1</v>
      </c>
      <c r="S15" s="275">
        <v>0.1</v>
      </c>
      <c r="T15" s="275">
        <v>1</v>
      </c>
      <c r="U15" s="275">
        <v>1</v>
      </c>
      <c r="V15" s="275">
        <v>1</v>
      </c>
      <c r="W15" s="275">
        <v>1</v>
      </c>
      <c r="X15" s="275">
        <v>0.1</v>
      </c>
      <c r="Y15" s="275">
        <v>0.1</v>
      </c>
      <c r="Z15" s="275">
        <v>1</v>
      </c>
      <c r="AA15" s="4">
        <v>0.1</v>
      </c>
      <c r="AB15" s="275">
        <v>1</v>
      </c>
      <c r="AC15" s="4">
        <v>0.1</v>
      </c>
      <c r="AD15" s="275">
        <v>0.1</v>
      </c>
      <c r="AE15" s="4">
        <v>0.1</v>
      </c>
      <c r="AF15" s="4">
        <v>0.1</v>
      </c>
      <c r="AG15" s="4">
        <v>0.1</v>
      </c>
      <c r="AH15" s="275">
        <v>1</v>
      </c>
      <c r="AI15" s="4">
        <v>0.1</v>
      </c>
      <c r="AJ15" s="4">
        <v>0.1</v>
      </c>
      <c r="AK15" s="275">
        <v>1</v>
      </c>
      <c r="AL15" s="275">
        <v>1</v>
      </c>
      <c r="AM15" s="275">
        <v>1</v>
      </c>
      <c r="AN15" s="275">
        <v>1</v>
      </c>
      <c r="AO15" s="275">
        <v>1</v>
      </c>
      <c r="AP15" s="4">
        <v>0.1</v>
      </c>
      <c r="AQ15" s="4">
        <v>0.1</v>
      </c>
      <c r="AR15" s="4">
        <v>0.1</v>
      </c>
      <c r="AS15" s="275">
        <v>1</v>
      </c>
      <c r="AT15" s="275">
        <v>1</v>
      </c>
      <c r="AU15" s="275">
        <v>1</v>
      </c>
      <c r="AV15" s="275">
        <v>1</v>
      </c>
      <c r="AW15" s="275">
        <v>1</v>
      </c>
      <c r="AX15" s="275">
        <v>1</v>
      </c>
      <c r="AY15" s="275">
        <v>1</v>
      </c>
      <c r="AZ15" s="275">
        <v>1</v>
      </c>
      <c r="BA15" s="275">
        <v>1</v>
      </c>
      <c r="BB15" s="275">
        <v>1</v>
      </c>
      <c r="BC15" s="275">
        <v>1</v>
      </c>
      <c r="BD15" s="4">
        <v>1</v>
      </c>
      <c r="BE15" s="275">
        <v>1</v>
      </c>
      <c r="BF15" s="4">
        <v>0.1</v>
      </c>
      <c r="BG15" s="275">
        <v>1</v>
      </c>
      <c r="BH15" s="275">
        <v>1</v>
      </c>
      <c r="BI15" s="275">
        <v>1</v>
      </c>
      <c r="BJ15" s="275">
        <v>1</v>
      </c>
      <c r="BK15" s="4">
        <v>0.1</v>
      </c>
      <c r="BL15" s="4">
        <v>0.1</v>
      </c>
      <c r="BM15" s="4">
        <v>0.1</v>
      </c>
      <c r="BN15" s="4">
        <v>0.1</v>
      </c>
      <c r="BO15" s="275">
        <v>0.1</v>
      </c>
      <c r="BP15" s="4">
        <v>1</v>
      </c>
      <c r="BQ15" s="275">
        <v>1</v>
      </c>
      <c r="BR15" s="4">
        <v>1</v>
      </c>
      <c r="BS15" s="275">
        <v>1</v>
      </c>
      <c r="BT15" s="275">
        <v>1</v>
      </c>
      <c r="BU15" s="275">
        <v>1</v>
      </c>
      <c r="BV15" s="275">
        <v>1</v>
      </c>
      <c r="BW15" s="4">
        <v>0.1</v>
      </c>
      <c r="BX15" s="275">
        <v>1</v>
      </c>
      <c r="BY15" s="275">
        <v>1</v>
      </c>
      <c r="BZ15" s="4">
        <v>1</v>
      </c>
      <c r="CA15" s="4">
        <v>1</v>
      </c>
      <c r="CB15" s="4">
        <v>1</v>
      </c>
      <c r="CC15" s="4">
        <v>0.1</v>
      </c>
      <c r="CD15" s="275">
        <v>1</v>
      </c>
      <c r="CE15" s="275">
        <v>1</v>
      </c>
      <c r="CF15" s="4">
        <v>0.1</v>
      </c>
      <c r="CG15" s="275">
        <v>1</v>
      </c>
      <c r="CH15" s="4">
        <v>1</v>
      </c>
      <c r="CI15" s="275">
        <v>1</v>
      </c>
      <c r="CJ15" s="275">
        <v>1</v>
      </c>
      <c r="CK15" s="275">
        <v>1</v>
      </c>
      <c r="CL15" s="275">
        <v>1</v>
      </c>
      <c r="CM15" s="275">
        <v>0.1</v>
      </c>
      <c r="CN15" s="275">
        <v>0.1</v>
      </c>
      <c r="CO15" s="275">
        <v>0.1</v>
      </c>
      <c r="CP15" s="275">
        <v>0.1</v>
      </c>
      <c r="CQ15" s="4">
        <v>0.1</v>
      </c>
      <c r="CR15" s="4">
        <v>0.1</v>
      </c>
      <c r="CS15" s="275">
        <v>1</v>
      </c>
      <c r="CT15" s="275">
        <v>1</v>
      </c>
      <c r="CU15" s="275">
        <v>1</v>
      </c>
      <c r="CV15" s="275">
        <v>1</v>
      </c>
      <c r="CW15" s="4">
        <v>0.1</v>
      </c>
      <c r="CX15" s="275">
        <v>0.1</v>
      </c>
      <c r="CY15" s="275">
        <v>1</v>
      </c>
      <c r="CZ15" s="275">
        <v>1</v>
      </c>
      <c r="DA15" s="4">
        <v>0.1</v>
      </c>
      <c r="DB15" s="275">
        <v>0.1</v>
      </c>
      <c r="DC15" s="4">
        <v>0.1</v>
      </c>
      <c r="DD15" s="4">
        <v>0.1</v>
      </c>
      <c r="DE15" s="4">
        <v>0.1</v>
      </c>
      <c r="DF15" s="4">
        <v>0.1</v>
      </c>
      <c r="DG15" s="4">
        <v>0.1</v>
      </c>
      <c r="DH15" s="4">
        <v>0.1</v>
      </c>
      <c r="DI15" s="4">
        <v>0.1</v>
      </c>
      <c r="DJ15" s="4">
        <v>0.1</v>
      </c>
      <c r="DK15" s="4">
        <v>0.1</v>
      </c>
      <c r="DL15" s="4">
        <v>0.1</v>
      </c>
      <c r="DM15" s="275">
        <v>1</v>
      </c>
      <c r="DN15" s="275">
        <v>1</v>
      </c>
      <c r="DO15" s="275">
        <v>1</v>
      </c>
      <c r="DP15" s="275">
        <v>1</v>
      </c>
      <c r="DQ15" s="275">
        <v>1</v>
      </c>
    </row>
    <row r="16" spans="2:121" ht="14.25" customHeight="1" x14ac:dyDescent="0.3">
      <c r="B16" s="108">
        <v>0.125</v>
      </c>
      <c r="D16" s="4">
        <v>1</v>
      </c>
      <c r="E16" s="4">
        <v>0.1</v>
      </c>
      <c r="F16" s="275">
        <v>1</v>
      </c>
      <c r="G16" s="275">
        <v>1</v>
      </c>
      <c r="H16" s="275">
        <v>1</v>
      </c>
      <c r="I16" s="4">
        <v>0.1</v>
      </c>
      <c r="J16" s="4">
        <v>0.1</v>
      </c>
      <c r="K16" s="4">
        <v>1</v>
      </c>
      <c r="L16" s="4">
        <v>1</v>
      </c>
      <c r="M16" s="275">
        <v>1</v>
      </c>
      <c r="N16" s="275">
        <v>1</v>
      </c>
      <c r="O16" s="275">
        <v>1</v>
      </c>
      <c r="P16" s="4">
        <v>0.1</v>
      </c>
      <c r="Q16" s="275">
        <v>0.1</v>
      </c>
      <c r="R16" s="275">
        <v>0.1</v>
      </c>
      <c r="S16" s="275">
        <v>0.1</v>
      </c>
      <c r="T16" s="275">
        <v>1</v>
      </c>
      <c r="U16" s="275">
        <v>1</v>
      </c>
      <c r="V16" s="275">
        <v>1</v>
      </c>
      <c r="W16" s="275">
        <v>1</v>
      </c>
      <c r="X16" s="275">
        <v>0.1</v>
      </c>
      <c r="Y16" s="275">
        <v>0.1</v>
      </c>
      <c r="Z16" s="275">
        <v>1</v>
      </c>
      <c r="AA16" s="4">
        <v>0.1</v>
      </c>
      <c r="AB16" s="275">
        <v>1</v>
      </c>
      <c r="AC16" s="4">
        <v>0.1</v>
      </c>
      <c r="AD16" s="275">
        <v>0.1</v>
      </c>
      <c r="AE16" s="4">
        <v>0.1</v>
      </c>
      <c r="AF16" s="4">
        <v>0.1</v>
      </c>
      <c r="AG16" s="4">
        <v>0.1</v>
      </c>
      <c r="AH16" s="275">
        <v>1</v>
      </c>
      <c r="AI16" s="4">
        <v>0.1</v>
      </c>
      <c r="AJ16" s="4">
        <v>0.1</v>
      </c>
      <c r="AK16" s="275">
        <v>1</v>
      </c>
      <c r="AL16" s="275">
        <v>1</v>
      </c>
      <c r="AM16" s="275">
        <v>1</v>
      </c>
      <c r="AN16" s="275">
        <v>1</v>
      </c>
      <c r="AO16" s="275">
        <v>1</v>
      </c>
      <c r="AP16" s="4">
        <v>0.1</v>
      </c>
      <c r="AQ16" s="4">
        <v>0.1</v>
      </c>
      <c r="AR16" s="4">
        <v>0.1</v>
      </c>
      <c r="AS16" s="275">
        <v>1</v>
      </c>
      <c r="AT16" s="275">
        <v>1</v>
      </c>
      <c r="AU16" s="275">
        <v>1</v>
      </c>
      <c r="AV16" s="275">
        <v>1</v>
      </c>
      <c r="AW16" s="275">
        <v>1</v>
      </c>
      <c r="AX16" s="275">
        <v>1</v>
      </c>
      <c r="AY16" s="275">
        <v>1</v>
      </c>
      <c r="AZ16" s="275">
        <v>1</v>
      </c>
      <c r="BA16" s="275">
        <v>1</v>
      </c>
      <c r="BB16" s="275">
        <v>1</v>
      </c>
      <c r="BC16" s="275">
        <v>1</v>
      </c>
      <c r="BD16" s="4">
        <v>1</v>
      </c>
      <c r="BE16" s="275">
        <v>1</v>
      </c>
      <c r="BF16" s="4">
        <v>0.1</v>
      </c>
      <c r="BG16" s="275">
        <v>1</v>
      </c>
      <c r="BH16" s="275">
        <v>1</v>
      </c>
      <c r="BI16" s="275">
        <v>1</v>
      </c>
      <c r="BJ16" s="275">
        <v>1</v>
      </c>
      <c r="BK16" s="4">
        <v>0.1</v>
      </c>
      <c r="BL16" s="4">
        <v>0.1</v>
      </c>
      <c r="BM16" s="4">
        <v>0.1</v>
      </c>
      <c r="BN16" s="4">
        <v>0.1</v>
      </c>
      <c r="BO16" s="275">
        <v>0.1</v>
      </c>
      <c r="BP16" s="4">
        <v>0.1</v>
      </c>
      <c r="BQ16" s="275">
        <v>1</v>
      </c>
      <c r="BR16" s="4">
        <v>1</v>
      </c>
      <c r="BS16" s="275">
        <v>1</v>
      </c>
      <c r="BT16" s="275">
        <v>1</v>
      </c>
      <c r="BU16" s="275">
        <v>1</v>
      </c>
      <c r="BV16" s="275">
        <v>1</v>
      </c>
      <c r="BW16" s="4">
        <v>0.1</v>
      </c>
      <c r="BX16" s="275">
        <v>1</v>
      </c>
      <c r="BY16" s="275">
        <v>1</v>
      </c>
      <c r="BZ16" s="4">
        <v>0.1</v>
      </c>
      <c r="CA16" s="4">
        <v>0.1</v>
      </c>
      <c r="CB16" s="4">
        <v>0.1</v>
      </c>
      <c r="CC16" s="4">
        <v>0.1</v>
      </c>
      <c r="CD16" s="275">
        <v>1</v>
      </c>
      <c r="CE16" s="275">
        <v>1</v>
      </c>
      <c r="CF16" s="4">
        <v>0.1</v>
      </c>
      <c r="CG16" s="275">
        <v>1</v>
      </c>
      <c r="CH16" s="4">
        <v>1</v>
      </c>
      <c r="CI16" s="275">
        <v>1</v>
      </c>
      <c r="CJ16" s="275">
        <v>1</v>
      </c>
      <c r="CK16" s="275">
        <v>1</v>
      </c>
      <c r="CL16" s="275">
        <v>1</v>
      </c>
      <c r="CM16" s="275">
        <v>0.1</v>
      </c>
      <c r="CN16" s="275">
        <v>0.1</v>
      </c>
      <c r="CO16" s="275">
        <v>0.1</v>
      </c>
      <c r="CP16" s="275">
        <v>0.1</v>
      </c>
      <c r="CQ16" s="4">
        <v>0.1</v>
      </c>
      <c r="CR16" s="4">
        <v>0.1</v>
      </c>
      <c r="CS16" s="275">
        <v>1</v>
      </c>
      <c r="CT16" s="275">
        <v>1</v>
      </c>
      <c r="CU16" s="275">
        <v>1</v>
      </c>
      <c r="CV16" s="275">
        <v>1</v>
      </c>
      <c r="CW16" s="4">
        <v>0.1</v>
      </c>
      <c r="CX16" s="275">
        <v>0.1</v>
      </c>
      <c r="CY16" s="275">
        <v>1</v>
      </c>
      <c r="CZ16" s="275">
        <v>1</v>
      </c>
      <c r="DA16" s="4">
        <v>0.1</v>
      </c>
      <c r="DB16" s="275">
        <v>0.1</v>
      </c>
      <c r="DC16" s="4">
        <v>0.1</v>
      </c>
      <c r="DD16" s="4">
        <v>0.1</v>
      </c>
      <c r="DE16" s="4">
        <v>0.1</v>
      </c>
      <c r="DF16" s="4">
        <v>0.1</v>
      </c>
      <c r="DG16" s="4">
        <v>0.1</v>
      </c>
      <c r="DH16" s="4">
        <v>0.1</v>
      </c>
      <c r="DI16" s="4">
        <v>0.1</v>
      </c>
      <c r="DJ16" s="4">
        <v>0.1</v>
      </c>
      <c r="DK16" s="4">
        <v>0.1</v>
      </c>
      <c r="DL16" s="4">
        <v>0.1</v>
      </c>
      <c r="DM16" s="275">
        <v>1</v>
      </c>
      <c r="DN16" s="275">
        <v>1</v>
      </c>
      <c r="DO16" s="275">
        <v>1</v>
      </c>
      <c r="DP16" s="275">
        <v>1</v>
      </c>
      <c r="DQ16" s="275">
        <v>1</v>
      </c>
    </row>
    <row r="17" spans="2:121" ht="14.25" customHeight="1" x14ac:dyDescent="0.3">
      <c r="B17" s="108">
        <v>0.13541666666666699</v>
      </c>
      <c r="D17" s="4">
        <v>1</v>
      </c>
      <c r="E17" s="4">
        <v>0.1</v>
      </c>
      <c r="F17" s="275">
        <v>1</v>
      </c>
      <c r="G17" s="275">
        <v>1</v>
      </c>
      <c r="H17" s="275">
        <v>1</v>
      </c>
      <c r="I17" s="4">
        <v>0.1</v>
      </c>
      <c r="J17" s="4">
        <v>0.1</v>
      </c>
      <c r="K17" s="4">
        <v>1</v>
      </c>
      <c r="L17" s="4">
        <v>1</v>
      </c>
      <c r="M17" s="275">
        <v>1</v>
      </c>
      <c r="N17" s="275">
        <v>1</v>
      </c>
      <c r="O17" s="275">
        <v>1</v>
      </c>
      <c r="P17" s="4">
        <v>0.1</v>
      </c>
      <c r="Q17" s="275">
        <v>0.1</v>
      </c>
      <c r="R17" s="275">
        <v>0.1</v>
      </c>
      <c r="S17" s="275">
        <v>0.1</v>
      </c>
      <c r="T17" s="275">
        <v>1</v>
      </c>
      <c r="U17" s="275">
        <v>1</v>
      </c>
      <c r="V17" s="275">
        <v>1</v>
      </c>
      <c r="W17" s="275">
        <v>1</v>
      </c>
      <c r="X17" s="275">
        <v>0.1</v>
      </c>
      <c r="Y17" s="275">
        <v>0.1</v>
      </c>
      <c r="Z17" s="275">
        <v>1</v>
      </c>
      <c r="AA17" s="4">
        <v>0.1</v>
      </c>
      <c r="AB17" s="275">
        <v>1</v>
      </c>
      <c r="AC17" s="4">
        <v>0.1</v>
      </c>
      <c r="AD17" s="275">
        <v>0.1</v>
      </c>
      <c r="AE17" s="4">
        <v>0.1</v>
      </c>
      <c r="AF17" s="4">
        <v>0.1</v>
      </c>
      <c r="AG17" s="4">
        <v>0.1</v>
      </c>
      <c r="AH17" s="275">
        <v>1</v>
      </c>
      <c r="AI17" s="4">
        <v>0.1</v>
      </c>
      <c r="AJ17" s="4">
        <v>0.1</v>
      </c>
      <c r="AK17" s="275">
        <v>1</v>
      </c>
      <c r="AL17" s="275">
        <v>1</v>
      </c>
      <c r="AM17" s="275">
        <v>1</v>
      </c>
      <c r="AN17" s="275">
        <v>1</v>
      </c>
      <c r="AO17" s="275">
        <v>1</v>
      </c>
      <c r="AP17" s="4">
        <v>0.1</v>
      </c>
      <c r="AQ17" s="4">
        <v>0.1</v>
      </c>
      <c r="AR17" s="4">
        <v>0.1</v>
      </c>
      <c r="AS17" s="275">
        <v>1</v>
      </c>
      <c r="AT17" s="275">
        <v>1</v>
      </c>
      <c r="AU17" s="275">
        <v>1</v>
      </c>
      <c r="AV17" s="275">
        <v>1</v>
      </c>
      <c r="AW17" s="275">
        <v>1</v>
      </c>
      <c r="AX17" s="275">
        <v>1</v>
      </c>
      <c r="AY17" s="275">
        <v>1</v>
      </c>
      <c r="AZ17" s="275">
        <v>1</v>
      </c>
      <c r="BA17" s="275">
        <v>1</v>
      </c>
      <c r="BB17" s="275">
        <v>1</v>
      </c>
      <c r="BC17" s="275">
        <v>1</v>
      </c>
      <c r="BD17" s="4">
        <v>1</v>
      </c>
      <c r="BE17" s="275">
        <v>1</v>
      </c>
      <c r="BF17" s="4">
        <v>0.1</v>
      </c>
      <c r="BG17" s="275">
        <v>1</v>
      </c>
      <c r="BH17" s="275">
        <v>1</v>
      </c>
      <c r="BI17" s="275">
        <v>1</v>
      </c>
      <c r="BJ17" s="275">
        <v>1</v>
      </c>
      <c r="BK17" s="4">
        <v>0.1</v>
      </c>
      <c r="BL17" s="4">
        <v>0.1</v>
      </c>
      <c r="BM17" s="4">
        <v>0.1</v>
      </c>
      <c r="BN17" s="4">
        <v>0.1</v>
      </c>
      <c r="BO17" s="275">
        <v>0.1</v>
      </c>
      <c r="BP17" s="4">
        <v>0.1</v>
      </c>
      <c r="BQ17" s="275">
        <v>1</v>
      </c>
      <c r="BR17" s="4">
        <v>1</v>
      </c>
      <c r="BS17" s="275">
        <v>1</v>
      </c>
      <c r="BT17" s="275">
        <v>1</v>
      </c>
      <c r="BU17" s="275">
        <v>1</v>
      </c>
      <c r="BV17" s="275">
        <v>1</v>
      </c>
      <c r="BW17" s="4">
        <v>0.1</v>
      </c>
      <c r="BX17" s="275">
        <v>1</v>
      </c>
      <c r="BY17" s="275">
        <v>1</v>
      </c>
      <c r="BZ17" s="4">
        <v>0.1</v>
      </c>
      <c r="CA17" s="4">
        <v>0.1</v>
      </c>
      <c r="CB17" s="4">
        <v>0.1</v>
      </c>
      <c r="CC17" s="4">
        <v>0.1</v>
      </c>
      <c r="CD17" s="275">
        <v>1</v>
      </c>
      <c r="CE17" s="275">
        <v>1</v>
      </c>
      <c r="CF17" s="4">
        <v>0.1</v>
      </c>
      <c r="CG17" s="275">
        <v>1</v>
      </c>
      <c r="CH17" s="4">
        <v>1</v>
      </c>
      <c r="CI17" s="275">
        <v>1</v>
      </c>
      <c r="CJ17" s="275">
        <v>1</v>
      </c>
      <c r="CK17" s="275">
        <v>1</v>
      </c>
      <c r="CL17" s="275">
        <v>1</v>
      </c>
      <c r="CM17" s="275">
        <v>0.1</v>
      </c>
      <c r="CN17" s="275">
        <v>0.1</v>
      </c>
      <c r="CO17" s="275">
        <v>0.1</v>
      </c>
      <c r="CP17" s="275">
        <v>0.1</v>
      </c>
      <c r="CQ17" s="4">
        <v>0.1</v>
      </c>
      <c r="CR17" s="4">
        <v>0.1</v>
      </c>
      <c r="CS17" s="275">
        <v>1</v>
      </c>
      <c r="CT17" s="275">
        <v>1</v>
      </c>
      <c r="CU17" s="275">
        <v>1</v>
      </c>
      <c r="CV17" s="275">
        <v>1</v>
      </c>
      <c r="CW17" s="4">
        <v>0.1</v>
      </c>
      <c r="CX17" s="275">
        <v>0.1</v>
      </c>
      <c r="CY17" s="275">
        <v>1</v>
      </c>
      <c r="CZ17" s="275">
        <v>1</v>
      </c>
      <c r="DA17" s="4">
        <v>0.1</v>
      </c>
      <c r="DB17" s="275">
        <v>0.1</v>
      </c>
      <c r="DC17" s="4">
        <v>0.1</v>
      </c>
      <c r="DD17" s="4">
        <v>0.1</v>
      </c>
      <c r="DE17" s="4">
        <v>0.1</v>
      </c>
      <c r="DF17" s="4">
        <v>0.1</v>
      </c>
      <c r="DG17" s="4">
        <v>0.1</v>
      </c>
      <c r="DH17" s="4">
        <v>0.1</v>
      </c>
      <c r="DI17" s="4">
        <v>0.1</v>
      </c>
      <c r="DJ17" s="4">
        <v>0.1</v>
      </c>
      <c r="DK17" s="4">
        <v>0.1</v>
      </c>
      <c r="DL17" s="4">
        <v>0.1</v>
      </c>
      <c r="DM17" s="275">
        <v>1</v>
      </c>
      <c r="DN17" s="275">
        <v>1</v>
      </c>
      <c r="DO17" s="275">
        <v>1</v>
      </c>
      <c r="DP17" s="275">
        <v>1</v>
      </c>
      <c r="DQ17" s="275">
        <v>1</v>
      </c>
    </row>
    <row r="18" spans="2:121" ht="14.25" customHeight="1" x14ac:dyDescent="0.3">
      <c r="B18" s="108">
        <v>0.14583333333333301</v>
      </c>
      <c r="D18" s="4">
        <v>1</v>
      </c>
      <c r="E18" s="4">
        <v>0.1</v>
      </c>
      <c r="F18" s="275">
        <v>1</v>
      </c>
      <c r="G18" s="275">
        <v>1</v>
      </c>
      <c r="H18" s="275">
        <v>1</v>
      </c>
      <c r="I18" s="133">
        <v>1</v>
      </c>
      <c r="J18" s="4">
        <v>0.1</v>
      </c>
      <c r="K18" s="4">
        <v>1</v>
      </c>
      <c r="L18" s="4">
        <v>1</v>
      </c>
      <c r="M18" s="275">
        <v>1</v>
      </c>
      <c r="N18" s="275">
        <v>1</v>
      </c>
      <c r="O18" s="275">
        <v>1</v>
      </c>
      <c r="P18" s="4">
        <v>0.1</v>
      </c>
      <c r="Q18" s="275">
        <v>0.1</v>
      </c>
      <c r="R18" s="275">
        <v>0.1</v>
      </c>
      <c r="S18" s="275">
        <v>0.1</v>
      </c>
      <c r="T18" s="275">
        <v>1</v>
      </c>
      <c r="U18" s="275">
        <v>1</v>
      </c>
      <c r="V18" s="275">
        <v>1</v>
      </c>
      <c r="W18" s="275">
        <v>1</v>
      </c>
      <c r="X18" s="275">
        <v>0.1</v>
      </c>
      <c r="Y18" s="275">
        <v>0.1</v>
      </c>
      <c r="Z18" s="275">
        <v>1</v>
      </c>
      <c r="AA18" s="4">
        <v>0.1</v>
      </c>
      <c r="AB18" s="275">
        <v>1</v>
      </c>
      <c r="AC18" s="4">
        <v>0.1</v>
      </c>
      <c r="AD18" s="275">
        <v>0.1</v>
      </c>
      <c r="AE18" s="4">
        <v>0.1</v>
      </c>
      <c r="AF18" s="4">
        <v>0.1</v>
      </c>
      <c r="AG18" s="4">
        <v>0.1</v>
      </c>
      <c r="AH18" s="275">
        <v>1</v>
      </c>
      <c r="AI18" s="4">
        <v>0.1</v>
      </c>
      <c r="AJ18" s="4">
        <v>0.1</v>
      </c>
      <c r="AK18" s="275">
        <v>1</v>
      </c>
      <c r="AL18" s="275">
        <v>1</v>
      </c>
      <c r="AM18" s="275">
        <v>1</v>
      </c>
      <c r="AN18" s="275">
        <v>1</v>
      </c>
      <c r="AO18" s="275">
        <v>1</v>
      </c>
      <c r="AP18" s="4">
        <v>0.1</v>
      </c>
      <c r="AQ18" s="4">
        <v>0.1</v>
      </c>
      <c r="AR18" s="4">
        <v>0.1</v>
      </c>
      <c r="AS18" s="275">
        <v>1</v>
      </c>
      <c r="AT18" s="275">
        <v>1</v>
      </c>
      <c r="AU18" s="275">
        <v>1</v>
      </c>
      <c r="AV18" s="275">
        <v>1</v>
      </c>
      <c r="AW18" s="275">
        <v>1</v>
      </c>
      <c r="AX18" s="275">
        <v>1</v>
      </c>
      <c r="AY18" s="275">
        <v>1</v>
      </c>
      <c r="AZ18" s="275">
        <v>1</v>
      </c>
      <c r="BA18" s="275">
        <v>1</v>
      </c>
      <c r="BB18" s="275">
        <v>1</v>
      </c>
      <c r="BC18" s="275">
        <v>1</v>
      </c>
      <c r="BD18" s="4">
        <v>1</v>
      </c>
      <c r="BE18" s="275">
        <v>1</v>
      </c>
      <c r="BF18" s="4">
        <v>0.1</v>
      </c>
      <c r="BG18" s="275">
        <v>1</v>
      </c>
      <c r="BH18" s="275">
        <v>1</v>
      </c>
      <c r="BI18" s="275">
        <v>1</v>
      </c>
      <c r="BJ18" s="275">
        <v>1</v>
      </c>
      <c r="BK18" s="4">
        <v>0.1</v>
      </c>
      <c r="BL18" s="4">
        <v>0.1</v>
      </c>
      <c r="BM18" s="4">
        <v>0.1</v>
      </c>
      <c r="BN18" s="4">
        <v>0.1</v>
      </c>
      <c r="BO18" s="275">
        <v>0.1</v>
      </c>
      <c r="BP18" s="133">
        <v>1</v>
      </c>
      <c r="BQ18" s="275">
        <v>1</v>
      </c>
      <c r="BR18" s="4">
        <v>1</v>
      </c>
      <c r="BS18" s="275">
        <v>1</v>
      </c>
      <c r="BT18" s="275">
        <v>1</v>
      </c>
      <c r="BU18" s="275">
        <v>1</v>
      </c>
      <c r="BV18" s="275">
        <v>1</v>
      </c>
      <c r="BW18" s="4">
        <v>0.1</v>
      </c>
      <c r="BX18" s="275">
        <v>1</v>
      </c>
      <c r="BY18" s="275">
        <v>1</v>
      </c>
      <c r="BZ18" s="133">
        <v>1</v>
      </c>
      <c r="CA18" s="133">
        <v>1</v>
      </c>
      <c r="CB18" s="133">
        <v>1</v>
      </c>
      <c r="CC18" s="4">
        <v>0.1</v>
      </c>
      <c r="CD18" s="275">
        <v>1</v>
      </c>
      <c r="CE18" s="275">
        <v>1</v>
      </c>
      <c r="CF18" s="4">
        <v>0.1</v>
      </c>
      <c r="CG18" s="275">
        <v>1</v>
      </c>
      <c r="CH18" s="4">
        <v>1</v>
      </c>
      <c r="CI18" s="275">
        <v>1</v>
      </c>
      <c r="CJ18" s="275">
        <v>1</v>
      </c>
      <c r="CK18" s="275">
        <v>1</v>
      </c>
      <c r="CL18" s="275">
        <v>1</v>
      </c>
      <c r="CM18" s="275">
        <v>0.1</v>
      </c>
      <c r="CN18" s="275">
        <v>0.1</v>
      </c>
      <c r="CO18" s="275">
        <v>0.1</v>
      </c>
      <c r="CP18" s="275">
        <v>0.1</v>
      </c>
      <c r="CQ18" s="4">
        <v>0.1</v>
      </c>
      <c r="CR18" s="4">
        <v>0.1</v>
      </c>
      <c r="CS18" s="275">
        <v>1</v>
      </c>
      <c r="CT18" s="275">
        <v>1</v>
      </c>
      <c r="CU18" s="275">
        <v>1</v>
      </c>
      <c r="CV18" s="275">
        <v>1</v>
      </c>
      <c r="CW18" s="4">
        <v>0.1</v>
      </c>
      <c r="CX18" s="275">
        <v>0.1</v>
      </c>
      <c r="CY18" s="275">
        <v>1</v>
      </c>
      <c r="CZ18" s="275">
        <v>1</v>
      </c>
      <c r="DA18" s="4">
        <v>0.1</v>
      </c>
      <c r="DB18" s="275">
        <v>0.1</v>
      </c>
      <c r="DC18" s="4">
        <v>0.1</v>
      </c>
      <c r="DD18" s="4">
        <v>0.1</v>
      </c>
      <c r="DE18" s="4">
        <v>0.1</v>
      </c>
      <c r="DF18" s="4">
        <v>0.1</v>
      </c>
      <c r="DG18" s="4">
        <v>0.1</v>
      </c>
      <c r="DH18" s="4">
        <v>0.1</v>
      </c>
      <c r="DI18" s="4">
        <v>0.1</v>
      </c>
      <c r="DJ18" s="4">
        <v>0.1</v>
      </c>
      <c r="DK18" s="4">
        <v>0.1</v>
      </c>
      <c r="DL18" s="4">
        <v>0.1</v>
      </c>
      <c r="DM18" s="275">
        <v>1</v>
      </c>
      <c r="DN18" s="275">
        <v>1</v>
      </c>
      <c r="DO18" s="275">
        <v>1</v>
      </c>
      <c r="DP18" s="275">
        <v>1</v>
      </c>
      <c r="DQ18" s="275">
        <v>1</v>
      </c>
    </row>
    <row r="19" spans="2:121" ht="14.25" customHeight="1" x14ac:dyDescent="0.3">
      <c r="B19" s="108">
        <v>0.15625</v>
      </c>
      <c r="D19" s="4">
        <v>1</v>
      </c>
      <c r="E19" s="4">
        <v>0.1</v>
      </c>
      <c r="F19" s="275">
        <v>1</v>
      </c>
      <c r="G19" s="275">
        <v>1</v>
      </c>
      <c r="H19" s="275">
        <v>1</v>
      </c>
      <c r="I19" s="133">
        <v>1</v>
      </c>
      <c r="J19" s="4">
        <v>0.1</v>
      </c>
      <c r="K19" s="4">
        <v>1</v>
      </c>
      <c r="L19" s="4">
        <v>1</v>
      </c>
      <c r="M19" s="275">
        <v>1</v>
      </c>
      <c r="N19" s="275">
        <v>1</v>
      </c>
      <c r="O19" s="275">
        <v>1</v>
      </c>
      <c r="P19" s="4">
        <v>0.1</v>
      </c>
      <c r="Q19" s="275">
        <v>0.1</v>
      </c>
      <c r="R19" s="275">
        <v>0.1</v>
      </c>
      <c r="S19" s="275">
        <v>0.1</v>
      </c>
      <c r="T19" s="275">
        <v>1</v>
      </c>
      <c r="U19" s="275">
        <v>1</v>
      </c>
      <c r="V19" s="275">
        <v>1</v>
      </c>
      <c r="W19" s="275">
        <v>1</v>
      </c>
      <c r="X19" s="275">
        <v>0.1</v>
      </c>
      <c r="Y19" s="275">
        <v>0.1</v>
      </c>
      <c r="Z19" s="275">
        <v>1</v>
      </c>
      <c r="AA19" s="4">
        <v>0.1</v>
      </c>
      <c r="AB19" s="275">
        <v>1</v>
      </c>
      <c r="AC19" s="4">
        <v>0.1</v>
      </c>
      <c r="AD19" s="275">
        <v>0.1</v>
      </c>
      <c r="AE19" s="4">
        <v>0.1</v>
      </c>
      <c r="AF19" s="4">
        <v>0.1</v>
      </c>
      <c r="AG19" s="4">
        <v>0.1</v>
      </c>
      <c r="AH19" s="275">
        <v>1</v>
      </c>
      <c r="AI19" s="4">
        <v>0.1</v>
      </c>
      <c r="AJ19" s="4">
        <v>0.1</v>
      </c>
      <c r="AK19" s="275">
        <v>1</v>
      </c>
      <c r="AL19" s="275">
        <v>1</v>
      </c>
      <c r="AM19" s="275">
        <v>1</v>
      </c>
      <c r="AN19" s="275">
        <v>1</v>
      </c>
      <c r="AO19" s="275">
        <v>1</v>
      </c>
      <c r="AP19" s="4">
        <v>0.1</v>
      </c>
      <c r="AQ19" s="4">
        <v>0.1</v>
      </c>
      <c r="AR19" s="4">
        <v>0.1</v>
      </c>
      <c r="AS19" s="275">
        <v>1</v>
      </c>
      <c r="AT19" s="275">
        <v>1</v>
      </c>
      <c r="AU19" s="275">
        <v>1</v>
      </c>
      <c r="AV19" s="275">
        <v>1</v>
      </c>
      <c r="AW19" s="275">
        <v>1</v>
      </c>
      <c r="AX19" s="275">
        <v>1</v>
      </c>
      <c r="AY19" s="275">
        <v>1</v>
      </c>
      <c r="AZ19" s="275">
        <v>1</v>
      </c>
      <c r="BA19" s="275">
        <v>1</v>
      </c>
      <c r="BB19" s="275">
        <v>1</v>
      </c>
      <c r="BC19" s="275">
        <v>1</v>
      </c>
      <c r="BD19" s="4">
        <v>1</v>
      </c>
      <c r="BE19" s="275">
        <v>1</v>
      </c>
      <c r="BF19" s="4">
        <v>0.1</v>
      </c>
      <c r="BG19" s="275">
        <v>1</v>
      </c>
      <c r="BH19" s="275">
        <v>1</v>
      </c>
      <c r="BI19" s="275">
        <v>1</v>
      </c>
      <c r="BJ19" s="275">
        <v>1</v>
      </c>
      <c r="BK19" s="4">
        <v>0.1</v>
      </c>
      <c r="BL19" s="4">
        <v>0.1</v>
      </c>
      <c r="BM19" s="4">
        <v>0.1</v>
      </c>
      <c r="BN19" s="4">
        <v>0.1</v>
      </c>
      <c r="BO19" s="275">
        <v>0.1</v>
      </c>
      <c r="BP19" s="133">
        <v>1</v>
      </c>
      <c r="BQ19" s="275">
        <v>1</v>
      </c>
      <c r="BR19" s="4">
        <v>1</v>
      </c>
      <c r="BS19" s="275">
        <v>1</v>
      </c>
      <c r="BT19" s="275">
        <v>1</v>
      </c>
      <c r="BU19" s="275">
        <v>1</v>
      </c>
      <c r="BV19" s="275">
        <v>1</v>
      </c>
      <c r="BW19" s="4">
        <v>0.1</v>
      </c>
      <c r="BX19" s="275">
        <v>1</v>
      </c>
      <c r="BY19" s="275">
        <v>1</v>
      </c>
      <c r="BZ19" s="133">
        <v>1</v>
      </c>
      <c r="CA19" s="133">
        <v>1</v>
      </c>
      <c r="CB19" s="133">
        <v>1</v>
      </c>
      <c r="CC19" s="4">
        <v>0.1</v>
      </c>
      <c r="CD19" s="275">
        <v>1</v>
      </c>
      <c r="CE19" s="275">
        <v>1</v>
      </c>
      <c r="CF19" s="4">
        <v>0.1</v>
      </c>
      <c r="CG19" s="275">
        <v>1</v>
      </c>
      <c r="CH19" s="4">
        <v>1</v>
      </c>
      <c r="CI19" s="275">
        <v>1</v>
      </c>
      <c r="CJ19" s="275">
        <v>1</v>
      </c>
      <c r="CK19" s="275">
        <v>1</v>
      </c>
      <c r="CL19" s="275">
        <v>1</v>
      </c>
      <c r="CM19" s="275">
        <v>0.1</v>
      </c>
      <c r="CN19" s="275">
        <v>0.1</v>
      </c>
      <c r="CO19" s="275">
        <v>0.1</v>
      </c>
      <c r="CP19" s="275">
        <v>0.1</v>
      </c>
      <c r="CQ19" s="4">
        <v>0.1</v>
      </c>
      <c r="CR19" s="4">
        <v>0.1</v>
      </c>
      <c r="CS19" s="275">
        <v>1</v>
      </c>
      <c r="CT19" s="275">
        <v>1</v>
      </c>
      <c r="CU19" s="275">
        <v>1</v>
      </c>
      <c r="CV19" s="275">
        <v>1</v>
      </c>
      <c r="CW19" s="4">
        <v>0.1</v>
      </c>
      <c r="CX19" s="275">
        <v>0.1</v>
      </c>
      <c r="CY19" s="275">
        <v>1</v>
      </c>
      <c r="CZ19" s="275">
        <v>1</v>
      </c>
      <c r="DA19" s="4">
        <v>0.1</v>
      </c>
      <c r="DB19" s="275">
        <v>0.1</v>
      </c>
      <c r="DC19" s="4">
        <v>0.1</v>
      </c>
      <c r="DD19" s="4">
        <v>0.1</v>
      </c>
      <c r="DE19" s="4">
        <v>0.1</v>
      </c>
      <c r="DF19" s="4">
        <v>0.1</v>
      </c>
      <c r="DG19" s="4">
        <v>0.1</v>
      </c>
      <c r="DH19" s="4">
        <v>0.1</v>
      </c>
      <c r="DI19" s="4">
        <v>0.1</v>
      </c>
      <c r="DJ19" s="4">
        <v>0.1</v>
      </c>
      <c r="DK19" s="4">
        <v>0.1</v>
      </c>
      <c r="DL19" s="4">
        <v>0.1</v>
      </c>
      <c r="DM19" s="275">
        <v>1</v>
      </c>
      <c r="DN19" s="275">
        <v>1</v>
      </c>
      <c r="DO19" s="275">
        <v>1</v>
      </c>
      <c r="DP19" s="275">
        <v>1</v>
      </c>
      <c r="DQ19" s="275">
        <v>1</v>
      </c>
    </row>
    <row r="20" spans="2:121" ht="14.25" customHeight="1" x14ac:dyDescent="0.3">
      <c r="B20" s="108">
        <v>0.16666666666666699</v>
      </c>
      <c r="D20" s="4">
        <v>1</v>
      </c>
      <c r="E20" s="4">
        <v>0.1</v>
      </c>
      <c r="F20" s="275">
        <v>1</v>
      </c>
      <c r="G20" s="275">
        <v>1</v>
      </c>
      <c r="H20" s="275">
        <v>1</v>
      </c>
      <c r="I20" s="4">
        <v>0.1</v>
      </c>
      <c r="J20" s="4">
        <v>0.1</v>
      </c>
      <c r="K20" s="4">
        <v>1</v>
      </c>
      <c r="L20" s="4">
        <v>1</v>
      </c>
      <c r="M20" s="275">
        <v>1</v>
      </c>
      <c r="N20" s="275">
        <v>1</v>
      </c>
      <c r="O20" s="275">
        <v>1</v>
      </c>
      <c r="P20" s="4">
        <v>0.1</v>
      </c>
      <c r="Q20" s="275">
        <v>0.1</v>
      </c>
      <c r="R20" s="275">
        <v>0.1</v>
      </c>
      <c r="S20" s="275">
        <v>0.1</v>
      </c>
      <c r="T20" s="275">
        <v>1</v>
      </c>
      <c r="U20" s="275">
        <v>1</v>
      </c>
      <c r="V20" s="275">
        <v>1</v>
      </c>
      <c r="W20" s="275">
        <v>1</v>
      </c>
      <c r="X20" s="275">
        <v>0.1</v>
      </c>
      <c r="Y20" s="275">
        <v>0.1</v>
      </c>
      <c r="Z20" s="275">
        <v>1</v>
      </c>
      <c r="AA20" s="4">
        <v>0.1</v>
      </c>
      <c r="AB20" s="275">
        <v>1</v>
      </c>
      <c r="AC20" s="4">
        <v>0.1</v>
      </c>
      <c r="AD20" s="275">
        <v>0.1</v>
      </c>
      <c r="AE20" s="4">
        <v>0.1</v>
      </c>
      <c r="AF20" s="4">
        <v>0.1</v>
      </c>
      <c r="AG20" s="4">
        <v>0.1</v>
      </c>
      <c r="AH20" s="275">
        <v>1</v>
      </c>
      <c r="AI20" s="4">
        <v>0.1</v>
      </c>
      <c r="AJ20" s="4">
        <v>0.1</v>
      </c>
      <c r="AK20" s="275">
        <v>1</v>
      </c>
      <c r="AL20" s="275">
        <v>1</v>
      </c>
      <c r="AM20" s="275">
        <v>1</v>
      </c>
      <c r="AN20" s="275">
        <v>1</v>
      </c>
      <c r="AO20" s="275">
        <v>1</v>
      </c>
      <c r="AP20" s="4">
        <v>0.1</v>
      </c>
      <c r="AQ20" s="4">
        <v>0.1</v>
      </c>
      <c r="AR20" s="4">
        <v>0.1</v>
      </c>
      <c r="AS20" s="275">
        <v>1</v>
      </c>
      <c r="AT20" s="275">
        <v>1</v>
      </c>
      <c r="AU20" s="275">
        <v>1</v>
      </c>
      <c r="AV20" s="275">
        <v>1</v>
      </c>
      <c r="AW20" s="275">
        <v>1</v>
      </c>
      <c r="AX20" s="275">
        <v>1</v>
      </c>
      <c r="AY20" s="275">
        <v>1</v>
      </c>
      <c r="AZ20" s="275">
        <v>1</v>
      </c>
      <c r="BA20" s="275">
        <v>1</v>
      </c>
      <c r="BB20" s="275">
        <v>1</v>
      </c>
      <c r="BC20" s="275">
        <v>1</v>
      </c>
      <c r="BD20" s="4">
        <v>1</v>
      </c>
      <c r="BE20" s="275">
        <v>1</v>
      </c>
      <c r="BF20" s="4">
        <v>0.1</v>
      </c>
      <c r="BG20" s="275">
        <v>1</v>
      </c>
      <c r="BH20" s="275">
        <v>1</v>
      </c>
      <c r="BI20" s="275">
        <v>1</v>
      </c>
      <c r="BJ20" s="275">
        <v>1</v>
      </c>
      <c r="BK20" s="4">
        <v>0.1</v>
      </c>
      <c r="BL20" s="4">
        <v>0.1</v>
      </c>
      <c r="BM20" s="4">
        <v>0.1</v>
      </c>
      <c r="BN20" s="4">
        <v>0.1</v>
      </c>
      <c r="BO20" s="275">
        <v>0.1</v>
      </c>
      <c r="BP20" s="4">
        <v>0.1</v>
      </c>
      <c r="BQ20" s="275">
        <v>1</v>
      </c>
      <c r="BR20" s="4">
        <v>1</v>
      </c>
      <c r="BS20" s="275">
        <v>1</v>
      </c>
      <c r="BT20" s="275">
        <v>1</v>
      </c>
      <c r="BU20" s="275">
        <v>1</v>
      </c>
      <c r="BV20" s="275">
        <v>1</v>
      </c>
      <c r="BW20" s="4">
        <v>0.1</v>
      </c>
      <c r="BX20" s="275">
        <v>1</v>
      </c>
      <c r="BY20" s="275">
        <v>1</v>
      </c>
      <c r="BZ20" s="4">
        <v>0.1</v>
      </c>
      <c r="CA20" s="4">
        <v>0.1</v>
      </c>
      <c r="CB20" s="4">
        <v>0.1</v>
      </c>
      <c r="CC20" s="4">
        <v>0.1</v>
      </c>
      <c r="CD20" s="275">
        <v>1</v>
      </c>
      <c r="CE20" s="275">
        <v>1</v>
      </c>
      <c r="CF20" s="4">
        <v>0.1</v>
      </c>
      <c r="CG20" s="275">
        <v>1</v>
      </c>
      <c r="CH20" s="4">
        <v>1</v>
      </c>
      <c r="CI20" s="275">
        <v>1</v>
      </c>
      <c r="CJ20" s="275">
        <v>1</v>
      </c>
      <c r="CK20" s="275">
        <v>1</v>
      </c>
      <c r="CL20" s="275">
        <v>1</v>
      </c>
      <c r="CM20" s="275">
        <v>0.1</v>
      </c>
      <c r="CN20" s="275">
        <v>0.1</v>
      </c>
      <c r="CO20" s="275">
        <v>0.1</v>
      </c>
      <c r="CP20" s="275">
        <v>0.1</v>
      </c>
      <c r="CQ20" s="4">
        <v>0.1</v>
      </c>
      <c r="CR20" s="4">
        <v>0.1</v>
      </c>
      <c r="CS20" s="275">
        <v>1</v>
      </c>
      <c r="CT20" s="275">
        <v>1</v>
      </c>
      <c r="CU20" s="275">
        <v>1</v>
      </c>
      <c r="CV20" s="275">
        <v>1</v>
      </c>
      <c r="CW20" s="4">
        <v>0.1</v>
      </c>
      <c r="CX20" s="275">
        <v>0.1</v>
      </c>
      <c r="CY20" s="275">
        <v>1</v>
      </c>
      <c r="CZ20" s="275">
        <v>1</v>
      </c>
      <c r="DA20" s="4">
        <v>0.1</v>
      </c>
      <c r="DB20" s="275">
        <v>0.1</v>
      </c>
      <c r="DC20" s="4">
        <v>0.1</v>
      </c>
      <c r="DD20" s="4">
        <v>0.1</v>
      </c>
      <c r="DE20" s="4">
        <v>0.1</v>
      </c>
      <c r="DF20" s="4">
        <v>0.1</v>
      </c>
      <c r="DG20" s="4">
        <v>0.1</v>
      </c>
      <c r="DH20" s="4">
        <v>0.1</v>
      </c>
      <c r="DI20" s="4">
        <v>0.1</v>
      </c>
      <c r="DJ20" s="4">
        <v>0.1</v>
      </c>
      <c r="DK20" s="4">
        <v>0.1</v>
      </c>
      <c r="DL20" s="4">
        <v>0.1</v>
      </c>
      <c r="DM20" s="275">
        <v>1</v>
      </c>
      <c r="DN20" s="275">
        <v>1</v>
      </c>
      <c r="DO20" s="275">
        <v>1</v>
      </c>
      <c r="DP20" s="275">
        <v>1</v>
      </c>
      <c r="DQ20" s="275">
        <v>1</v>
      </c>
    </row>
    <row r="21" spans="2:121" ht="14.25" customHeight="1" x14ac:dyDescent="0.3">
      <c r="B21" s="108">
        <v>0.17708333333333301</v>
      </c>
      <c r="D21" s="4">
        <v>1</v>
      </c>
      <c r="E21" s="4">
        <v>0.1</v>
      </c>
      <c r="F21" s="275">
        <v>1</v>
      </c>
      <c r="G21" s="275">
        <v>1</v>
      </c>
      <c r="H21" s="275">
        <v>1</v>
      </c>
      <c r="I21" s="4">
        <v>0.1</v>
      </c>
      <c r="J21" s="4">
        <v>0.1</v>
      </c>
      <c r="K21" s="4">
        <v>1</v>
      </c>
      <c r="L21" s="4">
        <v>1</v>
      </c>
      <c r="M21" s="275">
        <v>1</v>
      </c>
      <c r="N21" s="275">
        <v>1</v>
      </c>
      <c r="O21" s="275">
        <v>1</v>
      </c>
      <c r="P21" s="4">
        <v>0.1</v>
      </c>
      <c r="Q21" s="275">
        <v>0.1</v>
      </c>
      <c r="R21" s="275">
        <v>0.1</v>
      </c>
      <c r="S21" s="275">
        <v>0.1</v>
      </c>
      <c r="T21" s="275">
        <v>1</v>
      </c>
      <c r="U21" s="275">
        <v>1</v>
      </c>
      <c r="V21" s="275">
        <v>1</v>
      </c>
      <c r="W21" s="275">
        <v>1</v>
      </c>
      <c r="X21" s="275">
        <v>0.1</v>
      </c>
      <c r="Y21" s="275">
        <v>0.1</v>
      </c>
      <c r="Z21" s="275">
        <v>1</v>
      </c>
      <c r="AA21" s="4">
        <v>0.1</v>
      </c>
      <c r="AB21" s="275">
        <v>1</v>
      </c>
      <c r="AC21" s="4">
        <v>0.1</v>
      </c>
      <c r="AD21" s="275">
        <v>0.1</v>
      </c>
      <c r="AE21" s="4">
        <v>0.1</v>
      </c>
      <c r="AF21" s="4">
        <v>0.1</v>
      </c>
      <c r="AG21" s="4">
        <v>0.1</v>
      </c>
      <c r="AH21" s="275">
        <v>1</v>
      </c>
      <c r="AI21" s="4">
        <v>0.1</v>
      </c>
      <c r="AJ21" s="4">
        <v>0.1</v>
      </c>
      <c r="AK21" s="275">
        <v>1</v>
      </c>
      <c r="AL21" s="275">
        <v>1</v>
      </c>
      <c r="AM21" s="275">
        <v>1</v>
      </c>
      <c r="AN21" s="275">
        <v>1</v>
      </c>
      <c r="AO21" s="275">
        <v>1</v>
      </c>
      <c r="AP21" s="4">
        <v>0.1</v>
      </c>
      <c r="AQ21" s="4">
        <v>0.1</v>
      </c>
      <c r="AR21" s="4">
        <v>0.1</v>
      </c>
      <c r="AS21" s="275">
        <v>1</v>
      </c>
      <c r="AT21" s="275">
        <v>1</v>
      </c>
      <c r="AU21" s="275">
        <v>1</v>
      </c>
      <c r="AV21" s="275">
        <v>1</v>
      </c>
      <c r="AW21" s="275">
        <v>1</v>
      </c>
      <c r="AX21" s="275">
        <v>1</v>
      </c>
      <c r="AY21" s="275">
        <v>1</v>
      </c>
      <c r="AZ21" s="275">
        <v>1</v>
      </c>
      <c r="BA21" s="275">
        <v>1</v>
      </c>
      <c r="BB21" s="275">
        <v>1</v>
      </c>
      <c r="BC21" s="275">
        <v>1</v>
      </c>
      <c r="BD21" s="4">
        <v>1</v>
      </c>
      <c r="BE21" s="275">
        <v>1</v>
      </c>
      <c r="BF21" s="4">
        <v>0.1</v>
      </c>
      <c r="BG21" s="275">
        <v>1</v>
      </c>
      <c r="BH21" s="275">
        <v>1</v>
      </c>
      <c r="BI21" s="275">
        <v>1</v>
      </c>
      <c r="BJ21" s="275">
        <v>1</v>
      </c>
      <c r="BK21" s="4">
        <v>0.1</v>
      </c>
      <c r="BL21" s="4">
        <v>0.1</v>
      </c>
      <c r="BM21" s="4">
        <v>0.1</v>
      </c>
      <c r="BN21" s="4">
        <v>0.1</v>
      </c>
      <c r="BO21" s="275">
        <v>0.1</v>
      </c>
      <c r="BP21" s="4">
        <v>0.1</v>
      </c>
      <c r="BQ21" s="275">
        <v>1</v>
      </c>
      <c r="BR21" s="4">
        <v>1</v>
      </c>
      <c r="BS21" s="275">
        <v>1</v>
      </c>
      <c r="BT21" s="275">
        <v>1</v>
      </c>
      <c r="BU21" s="275">
        <v>1</v>
      </c>
      <c r="BV21" s="275">
        <v>1</v>
      </c>
      <c r="BW21" s="4">
        <v>0.1</v>
      </c>
      <c r="BX21" s="275">
        <v>1</v>
      </c>
      <c r="BY21" s="275">
        <v>1</v>
      </c>
      <c r="BZ21" s="4">
        <v>0.1</v>
      </c>
      <c r="CA21" s="4">
        <v>0.1</v>
      </c>
      <c r="CB21" s="4">
        <v>0.1</v>
      </c>
      <c r="CC21" s="4">
        <v>0.1</v>
      </c>
      <c r="CD21" s="275">
        <v>1</v>
      </c>
      <c r="CE21" s="275">
        <v>1</v>
      </c>
      <c r="CF21" s="4">
        <v>0.1</v>
      </c>
      <c r="CG21" s="275">
        <v>1</v>
      </c>
      <c r="CH21" s="4">
        <v>1</v>
      </c>
      <c r="CI21" s="275">
        <v>1</v>
      </c>
      <c r="CJ21" s="275">
        <v>1</v>
      </c>
      <c r="CK21" s="275">
        <v>1</v>
      </c>
      <c r="CL21" s="275">
        <v>1</v>
      </c>
      <c r="CM21" s="275">
        <v>0.1</v>
      </c>
      <c r="CN21" s="275">
        <v>0.1</v>
      </c>
      <c r="CO21" s="275">
        <v>0.1</v>
      </c>
      <c r="CP21" s="275">
        <v>0.1</v>
      </c>
      <c r="CQ21" s="4">
        <v>0.1</v>
      </c>
      <c r="CR21" s="4">
        <v>0.1</v>
      </c>
      <c r="CS21" s="275">
        <v>1</v>
      </c>
      <c r="CT21" s="275">
        <v>1</v>
      </c>
      <c r="CU21" s="275">
        <v>1</v>
      </c>
      <c r="CV21" s="275">
        <v>1</v>
      </c>
      <c r="CW21" s="4">
        <v>0.1</v>
      </c>
      <c r="CX21" s="275">
        <v>0.1</v>
      </c>
      <c r="CY21" s="275">
        <v>1</v>
      </c>
      <c r="CZ21" s="275">
        <v>1</v>
      </c>
      <c r="DA21" s="4">
        <v>0.1</v>
      </c>
      <c r="DB21" s="275">
        <v>0.1</v>
      </c>
      <c r="DC21" s="4">
        <v>0.1</v>
      </c>
      <c r="DD21" s="4">
        <v>0.1</v>
      </c>
      <c r="DE21" s="4">
        <v>0.1</v>
      </c>
      <c r="DF21" s="4">
        <v>0.1</v>
      </c>
      <c r="DG21" s="4">
        <v>0.1</v>
      </c>
      <c r="DH21" s="4">
        <v>0.1</v>
      </c>
      <c r="DI21" s="4">
        <v>0.1</v>
      </c>
      <c r="DJ21" s="4">
        <v>0.1</v>
      </c>
      <c r="DK21" s="4">
        <v>0.1</v>
      </c>
      <c r="DL21" s="4">
        <v>0.1</v>
      </c>
      <c r="DM21" s="275">
        <v>1</v>
      </c>
      <c r="DN21" s="275">
        <v>1</v>
      </c>
      <c r="DO21" s="275">
        <v>1</v>
      </c>
      <c r="DP21" s="275">
        <v>1</v>
      </c>
      <c r="DQ21" s="275">
        <v>1</v>
      </c>
    </row>
    <row r="22" spans="2:121" ht="14.25" customHeight="1" x14ac:dyDescent="0.3">
      <c r="B22" s="108">
        <v>0.1875</v>
      </c>
      <c r="D22" s="4">
        <v>1</v>
      </c>
      <c r="E22" s="4">
        <v>0.1</v>
      </c>
      <c r="F22" s="275">
        <v>1</v>
      </c>
      <c r="G22" s="275">
        <v>1</v>
      </c>
      <c r="H22" s="275">
        <v>1</v>
      </c>
      <c r="I22" s="4">
        <v>1</v>
      </c>
      <c r="J22" s="4">
        <v>0.1</v>
      </c>
      <c r="K22" s="4">
        <v>1</v>
      </c>
      <c r="L22" s="4">
        <v>1</v>
      </c>
      <c r="M22" s="275">
        <v>1</v>
      </c>
      <c r="N22" s="275">
        <v>1</v>
      </c>
      <c r="O22" s="275">
        <v>1</v>
      </c>
      <c r="P22" s="4">
        <v>0.1</v>
      </c>
      <c r="Q22" s="275">
        <v>0.1</v>
      </c>
      <c r="R22" s="275">
        <v>0.1</v>
      </c>
      <c r="S22" s="275">
        <v>0.1</v>
      </c>
      <c r="T22" s="275">
        <v>1</v>
      </c>
      <c r="U22" s="275">
        <v>1</v>
      </c>
      <c r="V22" s="275">
        <v>1</v>
      </c>
      <c r="W22" s="275">
        <v>1</v>
      </c>
      <c r="X22" s="275">
        <v>0.1</v>
      </c>
      <c r="Y22" s="275">
        <v>0.1</v>
      </c>
      <c r="Z22" s="275">
        <v>1</v>
      </c>
      <c r="AA22" s="4">
        <v>0.1</v>
      </c>
      <c r="AB22" s="275">
        <v>1</v>
      </c>
      <c r="AC22" s="4">
        <v>0.1</v>
      </c>
      <c r="AD22" s="275">
        <v>0.1</v>
      </c>
      <c r="AE22" s="4">
        <v>0.1</v>
      </c>
      <c r="AF22" s="4">
        <v>0.1</v>
      </c>
      <c r="AG22" s="4">
        <v>0.1</v>
      </c>
      <c r="AH22" s="275">
        <v>1</v>
      </c>
      <c r="AI22" s="4">
        <v>0.1</v>
      </c>
      <c r="AJ22" s="4">
        <v>0.1</v>
      </c>
      <c r="AK22" s="275">
        <v>1</v>
      </c>
      <c r="AL22" s="275">
        <v>1</v>
      </c>
      <c r="AM22" s="275">
        <v>1</v>
      </c>
      <c r="AN22" s="275">
        <v>1</v>
      </c>
      <c r="AO22" s="275">
        <v>1</v>
      </c>
      <c r="AP22" s="4">
        <v>0.1</v>
      </c>
      <c r="AQ22" s="4">
        <v>0.1</v>
      </c>
      <c r="AR22" s="4">
        <v>0.1</v>
      </c>
      <c r="AS22" s="275">
        <v>1</v>
      </c>
      <c r="AT22" s="275">
        <v>1</v>
      </c>
      <c r="AU22" s="275">
        <v>1</v>
      </c>
      <c r="AV22" s="275">
        <v>1</v>
      </c>
      <c r="AW22" s="275">
        <v>1</v>
      </c>
      <c r="AX22" s="275">
        <v>1</v>
      </c>
      <c r="AY22" s="275">
        <v>1</v>
      </c>
      <c r="AZ22" s="275">
        <v>1</v>
      </c>
      <c r="BA22" s="275">
        <v>1</v>
      </c>
      <c r="BB22" s="275">
        <v>1</v>
      </c>
      <c r="BC22" s="275">
        <v>1</v>
      </c>
      <c r="BD22" s="4">
        <v>1</v>
      </c>
      <c r="BE22" s="275">
        <v>1</v>
      </c>
      <c r="BF22" s="4">
        <v>0.1</v>
      </c>
      <c r="BG22" s="275">
        <v>1</v>
      </c>
      <c r="BH22" s="275">
        <v>1</v>
      </c>
      <c r="BI22" s="275">
        <v>1</v>
      </c>
      <c r="BJ22" s="275">
        <v>1</v>
      </c>
      <c r="BK22" s="4">
        <v>0.1</v>
      </c>
      <c r="BL22" s="4">
        <v>0.1</v>
      </c>
      <c r="BM22" s="4">
        <v>0.1</v>
      </c>
      <c r="BN22" s="4">
        <v>0.1</v>
      </c>
      <c r="BO22" s="275">
        <v>0.1</v>
      </c>
      <c r="BP22" s="4">
        <v>1</v>
      </c>
      <c r="BQ22" s="275">
        <v>1</v>
      </c>
      <c r="BR22" s="4">
        <v>1</v>
      </c>
      <c r="BS22" s="275">
        <v>1</v>
      </c>
      <c r="BT22" s="275">
        <v>1</v>
      </c>
      <c r="BU22" s="275">
        <v>1</v>
      </c>
      <c r="BV22" s="275">
        <v>1</v>
      </c>
      <c r="BW22" s="4">
        <v>0.1</v>
      </c>
      <c r="BX22" s="275">
        <v>1</v>
      </c>
      <c r="BY22" s="275">
        <v>1</v>
      </c>
      <c r="BZ22" s="4">
        <v>1</v>
      </c>
      <c r="CA22" s="4">
        <v>1</v>
      </c>
      <c r="CB22" s="4">
        <v>1</v>
      </c>
      <c r="CC22" s="4">
        <v>0.1</v>
      </c>
      <c r="CD22" s="275">
        <v>1</v>
      </c>
      <c r="CE22" s="275">
        <v>1</v>
      </c>
      <c r="CF22" s="4">
        <v>0.1</v>
      </c>
      <c r="CG22" s="275">
        <v>1</v>
      </c>
      <c r="CH22" s="4">
        <v>1</v>
      </c>
      <c r="CI22" s="275">
        <v>1</v>
      </c>
      <c r="CJ22" s="275">
        <v>1</v>
      </c>
      <c r="CK22" s="275">
        <v>1</v>
      </c>
      <c r="CL22" s="275">
        <v>1</v>
      </c>
      <c r="CM22" s="275">
        <v>0.1</v>
      </c>
      <c r="CN22" s="275">
        <v>0.1</v>
      </c>
      <c r="CO22" s="275">
        <v>0.1</v>
      </c>
      <c r="CP22" s="275">
        <v>0.1</v>
      </c>
      <c r="CQ22" s="4">
        <v>0.1</v>
      </c>
      <c r="CR22" s="4">
        <v>0.1</v>
      </c>
      <c r="CS22" s="275">
        <v>1</v>
      </c>
      <c r="CT22" s="275">
        <v>1</v>
      </c>
      <c r="CU22" s="275">
        <v>1</v>
      </c>
      <c r="CV22" s="275">
        <v>1</v>
      </c>
      <c r="CW22" s="4">
        <v>0.1</v>
      </c>
      <c r="CX22" s="275">
        <v>0.1</v>
      </c>
      <c r="CY22" s="275">
        <v>1</v>
      </c>
      <c r="CZ22" s="275">
        <v>1</v>
      </c>
      <c r="DA22" s="4">
        <v>0.1</v>
      </c>
      <c r="DB22" s="275">
        <v>0.1</v>
      </c>
      <c r="DC22" s="4">
        <v>0.1</v>
      </c>
      <c r="DD22" s="4">
        <v>0.1</v>
      </c>
      <c r="DE22" s="4">
        <v>0.1</v>
      </c>
      <c r="DF22" s="4">
        <v>0.1</v>
      </c>
      <c r="DG22" s="4">
        <v>0.1</v>
      </c>
      <c r="DH22" s="4">
        <v>0.1</v>
      </c>
      <c r="DI22" s="4">
        <v>0.1</v>
      </c>
      <c r="DJ22" s="4">
        <v>0.1</v>
      </c>
      <c r="DK22" s="4">
        <v>0.1</v>
      </c>
      <c r="DL22" s="4">
        <v>0.1</v>
      </c>
      <c r="DM22" s="275">
        <v>1</v>
      </c>
      <c r="DN22" s="275">
        <v>1</v>
      </c>
      <c r="DO22" s="275">
        <v>1</v>
      </c>
      <c r="DP22" s="275">
        <v>1</v>
      </c>
      <c r="DQ22" s="275">
        <v>1</v>
      </c>
    </row>
    <row r="23" spans="2:121" ht="14.25" customHeight="1" x14ac:dyDescent="0.3">
      <c r="B23" s="108">
        <v>0.19791666666666699</v>
      </c>
      <c r="D23" s="4">
        <v>1</v>
      </c>
      <c r="E23" s="4">
        <v>0.1</v>
      </c>
      <c r="F23" s="275">
        <v>1</v>
      </c>
      <c r="G23" s="275">
        <v>1</v>
      </c>
      <c r="H23" s="275">
        <v>1</v>
      </c>
      <c r="I23" s="4">
        <v>1</v>
      </c>
      <c r="J23" s="4">
        <v>0.1</v>
      </c>
      <c r="K23" s="4">
        <v>1</v>
      </c>
      <c r="L23" s="4">
        <v>1</v>
      </c>
      <c r="M23" s="275">
        <v>1</v>
      </c>
      <c r="N23" s="275">
        <v>1</v>
      </c>
      <c r="O23" s="275">
        <v>1</v>
      </c>
      <c r="P23" s="4">
        <v>0.1</v>
      </c>
      <c r="Q23" s="275">
        <v>0.1</v>
      </c>
      <c r="R23" s="275">
        <v>0.1</v>
      </c>
      <c r="S23" s="275">
        <v>0.1</v>
      </c>
      <c r="T23" s="275">
        <v>1</v>
      </c>
      <c r="U23" s="275">
        <v>1</v>
      </c>
      <c r="V23" s="275">
        <v>1</v>
      </c>
      <c r="W23" s="275">
        <v>1</v>
      </c>
      <c r="X23" s="275">
        <v>0.1</v>
      </c>
      <c r="Y23" s="275">
        <v>0.1</v>
      </c>
      <c r="Z23" s="275">
        <v>1</v>
      </c>
      <c r="AA23" s="4">
        <v>0.1</v>
      </c>
      <c r="AB23" s="275">
        <v>1</v>
      </c>
      <c r="AC23" s="4">
        <v>0.1</v>
      </c>
      <c r="AD23" s="275">
        <v>0.1</v>
      </c>
      <c r="AE23" s="4">
        <v>0.1</v>
      </c>
      <c r="AF23" s="4">
        <v>0.1</v>
      </c>
      <c r="AG23" s="4">
        <v>0.1</v>
      </c>
      <c r="AH23" s="275">
        <v>1</v>
      </c>
      <c r="AI23" s="4">
        <v>0.1</v>
      </c>
      <c r="AJ23" s="4">
        <v>0.1</v>
      </c>
      <c r="AK23" s="275">
        <v>1</v>
      </c>
      <c r="AL23" s="275">
        <v>1</v>
      </c>
      <c r="AM23" s="275">
        <v>1</v>
      </c>
      <c r="AN23" s="275">
        <v>1</v>
      </c>
      <c r="AO23" s="275">
        <v>1</v>
      </c>
      <c r="AP23" s="4">
        <v>0.1</v>
      </c>
      <c r="AQ23" s="4">
        <v>0.1</v>
      </c>
      <c r="AR23" s="4">
        <v>0.1</v>
      </c>
      <c r="AS23" s="275">
        <v>1</v>
      </c>
      <c r="AT23" s="275">
        <v>1</v>
      </c>
      <c r="AU23" s="275">
        <v>1</v>
      </c>
      <c r="AV23" s="275">
        <v>1</v>
      </c>
      <c r="AW23" s="275">
        <v>1</v>
      </c>
      <c r="AX23" s="275">
        <v>1</v>
      </c>
      <c r="AY23" s="275">
        <v>1</v>
      </c>
      <c r="AZ23" s="275">
        <v>1</v>
      </c>
      <c r="BA23" s="275">
        <v>1</v>
      </c>
      <c r="BB23" s="275">
        <v>1</v>
      </c>
      <c r="BC23" s="275">
        <v>1</v>
      </c>
      <c r="BD23" s="4">
        <v>1</v>
      </c>
      <c r="BE23" s="275">
        <v>1</v>
      </c>
      <c r="BF23" s="4">
        <v>0.1</v>
      </c>
      <c r="BG23" s="275">
        <v>1</v>
      </c>
      <c r="BH23" s="275">
        <v>1</v>
      </c>
      <c r="BI23" s="275">
        <v>1</v>
      </c>
      <c r="BJ23" s="275">
        <v>1</v>
      </c>
      <c r="BK23" s="4">
        <v>0.1</v>
      </c>
      <c r="BL23" s="4">
        <v>0.1</v>
      </c>
      <c r="BM23" s="4">
        <v>0.1</v>
      </c>
      <c r="BN23" s="4">
        <v>0.1</v>
      </c>
      <c r="BO23" s="275">
        <v>0.1</v>
      </c>
      <c r="BP23" s="4">
        <v>1</v>
      </c>
      <c r="BQ23" s="275">
        <v>1</v>
      </c>
      <c r="BR23" s="4">
        <v>1</v>
      </c>
      <c r="BS23" s="275">
        <v>1</v>
      </c>
      <c r="BT23" s="275">
        <v>1</v>
      </c>
      <c r="BU23" s="275">
        <v>1</v>
      </c>
      <c r="BV23" s="275">
        <v>1</v>
      </c>
      <c r="BW23" s="4">
        <v>0.1</v>
      </c>
      <c r="BX23" s="275">
        <v>1</v>
      </c>
      <c r="BY23" s="275">
        <v>1</v>
      </c>
      <c r="BZ23" s="4">
        <v>1</v>
      </c>
      <c r="CA23" s="4">
        <v>1</v>
      </c>
      <c r="CB23" s="4">
        <v>1</v>
      </c>
      <c r="CC23" s="4">
        <v>0.1</v>
      </c>
      <c r="CD23" s="275">
        <v>1</v>
      </c>
      <c r="CE23" s="275">
        <v>1</v>
      </c>
      <c r="CF23" s="4">
        <v>0.1</v>
      </c>
      <c r="CG23" s="275">
        <v>1</v>
      </c>
      <c r="CH23" s="4">
        <v>1</v>
      </c>
      <c r="CI23" s="275">
        <v>1</v>
      </c>
      <c r="CJ23" s="275">
        <v>1</v>
      </c>
      <c r="CK23" s="275">
        <v>1</v>
      </c>
      <c r="CL23" s="275">
        <v>1</v>
      </c>
      <c r="CM23" s="275">
        <v>0.1</v>
      </c>
      <c r="CN23" s="275">
        <v>0.1</v>
      </c>
      <c r="CO23" s="275">
        <v>0.1</v>
      </c>
      <c r="CP23" s="275">
        <v>0.1</v>
      </c>
      <c r="CQ23" s="4">
        <v>0.1</v>
      </c>
      <c r="CR23" s="4">
        <v>0.1</v>
      </c>
      <c r="CS23" s="275">
        <v>1</v>
      </c>
      <c r="CT23" s="275">
        <v>1</v>
      </c>
      <c r="CU23" s="275">
        <v>1</v>
      </c>
      <c r="CV23" s="275">
        <v>1</v>
      </c>
      <c r="CW23" s="4">
        <v>0.1</v>
      </c>
      <c r="CX23" s="275">
        <v>0.1</v>
      </c>
      <c r="CY23" s="275">
        <v>1</v>
      </c>
      <c r="CZ23" s="275">
        <v>1</v>
      </c>
      <c r="DA23" s="4">
        <v>0.1</v>
      </c>
      <c r="DB23" s="275">
        <v>0.1</v>
      </c>
      <c r="DC23" s="4">
        <v>0.1</v>
      </c>
      <c r="DD23" s="4">
        <v>0.1</v>
      </c>
      <c r="DE23" s="4">
        <v>0.1</v>
      </c>
      <c r="DF23" s="4">
        <v>0.1</v>
      </c>
      <c r="DG23" s="4">
        <v>0.1</v>
      </c>
      <c r="DH23" s="4">
        <v>0.1</v>
      </c>
      <c r="DI23" s="4">
        <v>0.1</v>
      </c>
      <c r="DJ23" s="4">
        <v>0.1</v>
      </c>
      <c r="DK23" s="4">
        <v>0.1</v>
      </c>
      <c r="DL23" s="4">
        <v>0.1</v>
      </c>
      <c r="DM23" s="275">
        <v>1</v>
      </c>
      <c r="DN23" s="275">
        <v>1</v>
      </c>
      <c r="DO23" s="275">
        <v>1</v>
      </c>
      <c r="DP23" s="275">
        <v>1</v>
      </c>
      <c r="DQ23" s="275">
        <v>1</v>
      </c>
    </row>
    <row r="24" spans="2:121" ht="14.25" customHeight="1" x14ac:dyDescent="0.3">
      <c r="B24" s="108">
        <v>0.20833333333333301</v>
      </c>
      <c r="D24" s="4">
        <v>1</v>
      </c>
      <c r="E24" s="4">
        <v>0.1</v>
      </c>
      <c r="F24" s="275">
        <v>1</v>
      </c>
      <c r="G24" s="275">
        <v>1</v>
      </c>
      <c r="H24" s="275">
        <v>1</v>
      </c>
      <c r="I24" s="4">
        <v>0.1</v>
      </c>
      <c r="J24" s="4">
        <v>0.1</v>
      </c>
      <c r="K24" s="4">
        <v>1</v>
      </c>
      <c r="L24" s="4">
        <v>1</v>
      </c>
      <c r="M24" s="275">
        <v>1</v>
      </c>
      <c r="N24" s="275">
        <v>1</v>
      </c>
      <c r="O24" s="275">
        <v>1</v>
      </c>
      <c r="P24" s="4">
        <v>0.1</v>
      </c>
      <c r="Q24" s="275">
        <v>0.1</v>
      </c>
      <c r="R24" s="275">
        <v>0.1</v>
      </c>
      <c r="S24" s="275">
        <v>0.1</v>
      </c>
      <c r="T24" s="275">
        <v>1</v>
      </c>
      <c r="U24" s="275">
        <v>1</v>
      </c>
      <c r="V24" s="275">
        <v>1</v>
      </c>
      <c r="W24" s="275">
        <v>1</v>
      </c>
      <c r="X24" s="275">
        <v>0.1</v>
      </c>
      <c r="Y24" s="275">
        <v>0.1</v>
      </c>
      <c r="Z24" s="275">
        <v>1</v>
      </c>
      <c r="AA24" s="4">
        <v>0.1</v>
      </c>
      <c r="AB24" s="275">
        <v>1</v>
      </c>
      <c r="AC24" s="4">
        <v>0.1</v>
      </c>
      <c r="AD24" s="275">
        <v>0.1</v>
      </c>
      <c r="AE24" s="4">
        <v>0.1</v>
      </c>
      <c r="AF24" s="4">
        <v>0.1</v>
      </c>
      <c r="AG24" s="4">
        <v>0.1</v>
      </c>
      <c r="AH24" s="275">
        <v>1</v>
      </c>
      <c r="AI24" s="4">
        <v>0.1</v>
      </c>
      <c r="AJ24" s="4">
        <v>0.1</v>
      </c>
      <c r="AK24" s="275">
        <v>1</v>
      </c>
      <c r="AL24" s="275">
        <v>1</v>
      </c>
      <c r="AM24" s="275">
        <v>1</v>
      </c>
      <c r="AN24" s="275">
        <v>1</v>
      </c>
      <c r="AO24" s="275">
        <v>1</v>
      </c>
      <c r="AP24" s="4">
        <v>0.1</v>
      </c>
      <c r="AQ24" s="4">
        <v>0.1</v>
      </c>
      <c r="AR24" s="4">
        <v>0.1</v>
      </c>
      <c r="AS24" s="275">
        <v>1</v>
      </c>
      <c r="AT24" s="275">
        <v>1</v>
      </c>
      <c r="AU24" s="275">
        <v>1</v>
      </c>
      <c r="AV24" s="275">
        <v>1</v>
      </c>
      <c r="AW24" s="275">
        <v>1</v>
      </c>
      <c r="AX24" s="275">
        <v>1</v>
      </c>
      <c r="AY24" s="275">
        <v>1</v>
      </c>
      <c r="AZ24" s="275">
        <v>1</v>
      </c>
      <c r="BA24" s="275">
        <v>1</v>
      </c>
      <c r="BB24" s="275">
        <v>1</v>
      </c>
      <c r="BC24" s="275">
        <v>1</v>
      </c>
      <c r="BD24" s="4">
        <v>1</v>
      </c>
      <c r="BE24" s="275">
        <v>1</v>
      </c>
      <c r="BF24" s="4">
        <v>0.1</v>
      </c>
      <c r="BG24" s="275">
        <v>1</v>
      </c>
      <c r="BH24" s="275">
        <v>1</v>
      </c>
      <c r="BI24" s="275">
        <v>1</v>
      </c>
      <c r="BJ24" s="275">
        <v>1</v>
      </c>
      <c r="BK24" s="4">
        <v>0.1</v>
      </c>
      <c r="BL24" s="4">
        <v>0.1</v>
      </c>
      <c r="BM24" s="4">
        <v>0.1</v>
      </c>
      <c r="BN24" s="4">
        <v>0.1</v>
      </c>
      <c r="BO24" s="275">
        <v>0.1</v>
      </c>
      <c r="BP24" s="4">
        <v>0.1</v>
      </c>
      <c r="BQ24" s="275">
        <v>1</v>
      </c>
      <c r="BR24" s="4">
        <v>1</v>
      </c>
      <c r="BS24" s="275">
        <v>1</v>
      </c>
      <c r="BT24" s="275">
        <v>1</v>
      </c>
      <c r="BU24" s="275">
        <v>1</v>
      </c>
      <c r="BV24" s="275">
        <v>1</v>
      </c>
      <c r="BW24" s="4">
        <v>0.1</v>
      </c>
      <c r="BX24" s="275">
        <v>1</v>
      </c>
      <c r="BY24" s="275">
        <v>1</v>
      </c>
      <c r="BZ24" s="4">
        <v>0.1</v>
      </c>
      <c r="CA24" s="4">
        <v>0.1</v>
      </c>
      <c r="CB24" s="4">
        <v>0.1</v>
      </c>
      <c r="CC24" s="4">
        <v>0.1</v>
      </c>
      <c r="CD24" s="275">
        <v>1</v>
      </c>
      <c r="CE24" s="275">
        <v>1</v>
      </c>
      <c r="CF24" s="4">
        <v>0.1</v>
      </c>
      <c r="CG24" s="275">
        <v>1</v>
      </c>
      <c r="CH24" s="4">
        <v>1</v>
      </c>
      <c r="CI24" s="275">
        <v>1</v>
      </c>
      <c r="CJ24" s="275">
        <v>1</v>
      </c>
      <c r="CK24" s="275">
        <v>1</v>
      </c>
      <c r="CL24" s="275">
        <v>1</v>
      </c>
      <c r="CM24" s="275">
        <v>0.1</v>
      </c>
      <c r="CN24" s="275">
        <v>0.1</v>
      </c>
      <c r="CO24" s="275">
        <v>0.1</v>
      </c>
      <c r="CP24" s="275">
        <v>0.1</v>
      </c>
      <c r="CQ24" s="4">
        <v>0.1</v>
      </c>
      <c r="CR24" s="4">
        <v>0.1</v>
      </c>
      <c r="CS24" s="275">
        <v>1</v>
      </c>
      <c r="CT24" s="275">
        <v>1</v>
      </c>
      <c r="CU24" s="275">
        <v>1</v>
      </c>
      <c r="CV24" s="275">
        <v>1</v>
      </c>
      <c r="CW24" s="4">
        <v>0.1</v>
      </c>
      <c r="CX24" s="275">
        <v>0.1</v>
      </c>
      <c r="CY24" s="275">
        <v>1</v>
      </c>
      <c r="CZ24" s="275">
        <v>1</v>
      </c>
      <c r="DA24" s="4">
        <v>0.1</v>
      </c>
      <c r="DB24" s="275">
        <v>0.1</v>
      </c>
      <c r="DC24" s="4">
        <v>0.1</v>
      </c>
      <c r="DD24" s="4">
        <v>0.1</v>
      </c>
      <c r="DE24" s="4">
        <v>0.1</v>
      </c>
      <c r="DF24" s="4">
        <v>0.1</v>
      </c>
      <c r="DG24" s="4">
        <v>0.1</v>
      </c>
      <c r="DH24" s="4">
        <v>0.1</v>
      </c>
      <c r="DI24" s="4">
        <v>0.1</v>
      </c>
      <c r="DJ24" s="4">
        <v>0.1</v>
      </c>
      <c r="DK24" s="4">
        <v>0.1</v>
      </c>
      <c r="DL24" s="4">
        <v>0.1</v>
      </c>
      <c r="DM24" s="275">
        <v>1</v>
      </c>
      <c r="DN24" s="275">
        <v>1</v>
      </c>
      <c r="DO24" s="275">
        <v>1</v>
      </c>
      <c r="DP24" s="275">
        <v>1</v>
      </c>
      <c r="DQ24" s="275">
        <v>1</v>
      </c>
    </row>
    <row r="25" spans="2:121" ht="14.25" customHeight="1" x14ac:dyDescent="0.3">
      <c r="B25" s="108">
        <v>0.21875</v>
      </c>
      <c r="D25" s="4">
        <v>1</v>
      </c>
      <c r="E25" s="4">
        <v>0.1</v>
      </c>
      <c r="F25" s="275">
        <v>1</v>
      </c>
      <c r="G25" s="275">
        <v>1</v>
      </c>
      <c r="H25" s="275">
        <v>1</v>
      </c>
      <c r="I25" s="4">
        <v>0.1</v>
      </c>
      <c r="J25" s="4">
        <v>0.1</v>
      </c>
      <c r="K25" s="4">
        <v>1</v>
      </c>
      <c r="L25" s="4">
        <v>1</v>
      </c>
      <c r="M25" s="275">
        <v>1</v>
      </c>
      <c r="N25" s="275">
        <v>1</v>
      </c>
      <c r="O25" s="275">
        <v>1</v>
      </c>
      <c r="P25" s="4">
        <v>0.1</v>
      </c>
      <c r="Q25" s="275">
        <v>0.1</v>
      </c>
      <c r="R25" s="275">
        <v>0.1</v>
      </c>
      <c r="S25" s="275">
        <v>0.1</v>
      </c>
      <c r="T25" s="275">
        <v>1</v>
      </c>
      <c r="U25" s="275">
        <v>1</v>
      </c>
      <c r="V25" s="275">
        <v>1</v>
      </c>
      <c r="W25" s="275">
        <v>1</v>
      </c>
      <c r="X25" s="275">
        <v>0.1</v>
      </c>
      <c r="Y25" s="275">
        <v>0.1</v>
      </c>
      <c r="Z25" s="275">
        <v>1</v>
      </c>
      <c r="AA25" s="4">
        <v>0.1</v>
      </c>
      <c r="AB25" s="275">
        <v>1</v>
      </c>
      <c r="AC25" s="4">
        <v>0.1</v>
      </c>
      <c r="AD25" s="275">
        <v>0.1</v>
      </c>
      <c r="AE25" s="4">
        <v>0.1</v>
      </c>
      <c r="AF25" s="4">
        <v>0.1</v>
      </c>
      <c r="AG25" s="4">
        <v>0.1</v>
      </c>
      <c r="AH25" s="275">
        <v>1</v>
      </c>
      <c r="AI25" s="4">
        <v>0.1</v>
      </c>
      <c r="AJ25" s="4">
        <v>0.1</v>
      </c>
      <c r="AK25" s="275">
        <v>1</v>
      </c>
      <c r="AL25" s="275">
        <v>1</v>
      </c>
      <c r="AM25" s="275">
        <v>1</v>
      </c>
      <c r="AN25" s="275">
        <v>1</v>
      </c>
      <c r="AO25" s="275">
        <v>1</v>
      </c>
      <c r="AP25" s="4">
        <v>0.1</v>
      </c>
      <c r="AQ25" s="4">
        <v>0.1</v>
      </c>
      <c r="AR25" s="4">
        <v>0.1</v>
      </c>
      <c r="AS25" s="275">
        <v>1</v>
      </c>
      <c r="AT25" s="275">
        <v>1</v>
      </c>
      <c r="AU25" s="275">
        <v>1</v>
      </c>
      <c r="AV25" s="275">
        <v>1</v>
      </c>
      <c r="AW25" s="275">
        <v>1</v>
      </c>
      <c r="AX25" s="275">
        <v>1</v>
      </c>
      <c r="AY25" s="275">
        <v>1</v>
      </c>
      <c r="AZ25" s="275">
        <v>1</v>
      </c>
      <c r="BA25" s="275">
        <v>1</v>
      </c>
      <c r="BB25" s="275">
        <v>1</v>
      </c>
      <c r="BC25" s="275">
        <v>1</v>
      </c>
      <c r="BD25" s="4">
        <v>1</v>
      </c>
      <c r="BE25" s="275">
        <v>1</v>
      </c>
      <c r="BF25" s="4">
        <v>0.1</v>
      </c>
      <c r="BG25" s="275">
        <v>1</v>
      </c>
      <c r="BH25" s="275">
        <v>1</v>
      </c>
      <c r="BI25" s="275">
        <v>1</v>
      </c>
      <c r="BJ25" s="275">
        <v>1</v>
      </c>
      <c r="BK25" s="4">
        <v>0.1</v>
      </c>
      <c r="BL25" s="4">
        <v>0.1</v>
      </c>
      <c r="BM25" s="4">
        <v>0.1</v>
      </c>
      <c r="BN25" s="4">
        <v>0.1</v>
      </c>
      <c r="BO25" s="275">
        <v>0.1</v>
      </c>
      <c r="BP25" s="4">
        <v>0.1</v>
      </c>
      <c r="BQ25" s="275">
        <v>1</v>
      </c>
      <c r="BR25" s="4">
        <v>1</v>
      </c>
      <c r="BS25" s="275">
        <v>1</v>
      </c>
      <c r="BT25" s="275">
        <v>1</v>
      </c>
      <c r="BU25" s="275">
        <v>1</v>
      </c>
      <c r="BV25" s="275">
        <v>1</v>
      </c>
      <c r="BW25" s="4">
        <v>0.1</v>
      </c>
      <c r="BX25" s="275">
        <v>1</v>
      </c>
      <c r="BY25" s="275">
        <v>1</v>
      </c>
      <c r="BZ25" s="4">
        <v>0.1</v>
      </c>
      <c r="CA25" s="4">
        <v>0.1</v>
      </c>
      <c r="CB25" s="4">
        <v>0.1</v>
      </c>
      <c r="CC25" s="4">
        <v>0.1</v>
      </c>
      <c r="CD25" s="275">
        <v>1</v>
      </c>
      <c r="CE25" s="275">
        <v>1</v>
      </c>
      <c r="CF25" s="4">
        <v>0.1</v>
      </c>
      <c r="CG25" s="275">
        <v>1</v>
      </c>
      <c r="CH25" s="4">
        <v>1</v>
      </c>
      <c r="CI25" s="275">
        <v>1</v>
      </c>
      <c r="CJ25" s="275">
        <v>1</v>
      </c>
      <c r="CK25" s="275">
        <v>1</v>
      </c>
      <c r="CL25" s="275">
        <v>1</v>
      </c>
      <c r="CM25" s="275">
        <v>0.1</v>
      </c>
      <c r="CN25" s="275">
        <v>0.1</v>
      </c>
      <c r="CO25" s="275">
        <v>0.1</v>
      </c>
      <c r="CP25" s="275">
        <v>0.1</v>
      </c>
      <c r="CQ25" s="4">
        <v>0.1</v>
      </c>
      <c r="CR25" s="4">
        <v>0.1</v>
      </c>
      <c r="CS25" s="275">
        <v>1</v>
      </c>
      <c r="CT25" s="275">
        <v>1</v>
      </c>
      <c r="CU25" s="275">
        <v>1</v>
      </c>
      <c r="CV25" s="275">
        <v>1</v>
      </c>
      <c r="CW25" s="4">
        <v>0.1</v>
      </c>
      <c r="CX25" s="275">
        <v>0.1</v>
      </c>
      <c r="CY25" s="275">
        <v>1</v>
      </c>
      <c r="CZ25" s="275">
        <v>1</v>
      </c>
      <c r="DA25" s="4">
        <v>0.1</v>
      </c>
      <c r="DB25" s="275">
        <v>0.1</v>
      </c>
      <c r="DC25" s="4">
        <v>0.1</v>
      </c>
      <c r="DD25" s="4">
        <v>0.1</v>
      </c>
      <c r="DE25" s="4">
        <v>0.1</v>
      </c>
      <c r="DF25" s="4">
        <v>0.1</v>
      </c>
      <c r="DG25" s="4">
        <v>0.1</v>
      </c>
      <c r="DH25" s="4">
        <v>0.1</v>
      </c>
      <c r="DI25" s="4">
        <v>0.1</v>
      </c>
      <c r="DJ25" s="4">
        <v>0.1</v>
      </c>
      <c r="DK25" s="4">
        <v>0.1</v>
      </c>
      <c r="DL25" s="4">
        <v>0.1</v>
      </c>
      <c r="DM25" s="275">
        <v>1</v>
      </c>
      <c r="DN25" s="275">
        <v>1</v>
      </c>
      <c r="DO25" s="275">
        <v>1</v>
      </c>
      <c r="DP25" s="275">
        <v>1</v>
      </c>
      <c r="DQ25" s="275">
        <v>1</v>
      </c>
    </row>
    <row r="26" spans="2:121" ht="14.25" customHeight="1" x14ac:dyDescent="0.3">
      <c r="B26" s="108">
        <v>0.22916666666666699</v>
      </c>
      <c r="D26" s="4">
        <v>1</v>
      </c>
      <c r="E26" s="4">
        <v>0.1</v>
      </c>
      <c r="F26" s="275">
        <v>1</v>
      </c>
      <c r="G26" s="275">
        <v>1</v>
      </c>
      <c r="H26" s="275">
        <v>1</v>
      </c>
      <c r="I26" s="133">
        <v>1</v>
      </c>
      <c r="J26" s="4">
        <v>0.1</v>
      </c>
      <c r="K26" s="4">
        <v>1</v>
      </c>
      <c r="L26" s="4">
        <v>1</v>
      </c>
      <c r="M26" s="275">
        <v>1</v>
      </c>
      <c r="N26" s="275">
        <v>1</v>
      </c>
      <c r="O26" s="275">
        <v>1</v>
      </c>
      <c r="P26" s="4">
        <v>0.1</v>
      </c>
      <c r="Q26" s="275">
        <v>0.1</v>
      </c>
      <c r="R26" s="275">
        <v>0.1</v>
      </c>
      <c r="S26" s="275">
        <v>0.1</v>
      </c>
      <c r="T26" s="275">
        <v>1</v>
      </c>
      <c r="U26" s="275">
        <v>1</v>
      </c>
      <c r="V26" s="275">
        <v>1</v>
      </c>
      <c r="W26" s="275">
        <v>1</v>
      </c>
      <c r="X26" s="275">
        <v>0.1</v>
      </c>
      <c r="Y26" s="275">
        <v>0.1</v>
      </c>
      <c r="Z26" s="275">
        <v>1</v>
      </c>
      <c r="AA26" s="4">
        <v>0.1</v>
      </c>
      <c r="AB26" s="275">
        <v>1</v>
      </c>
      <c r="AC26" s="4">
        <v>0.1</v>
      </c>
      <c r="AD26" s="275">
        <v>0.1</v>
      </c>
      <c r="AE26" s="4">
        <v>0.1</v>
      </c>
      <c r="AF26" s="4">
        <v>0.1</v>
      </c>
      <c r="AG26" s="4">
        <v>0.1</v>
      </c>
      <c r="AH26" s="275">
        <v>1</v>
      </c>
      <c r="AI26" s="4">
        <v>0.1</v>
      </c>
      <c r="AJ26" s="4">
        <v>0.1</v>
      </c>
      <c r="AK26" s="275">
        <v>1</v>
      </c>
      <c r="AL26" s="275">
        <v>1</v>
      </c>
      <c r="AM26" s="275">
        <v>1</v>
      </c>
      <c r="AN26" s="275">
        <v>1</v>
      </c>
      <c r="AO26" s="275">
        <v>1</v>
      </c>
      <c r="AP26" s="4">
        <v>0.1</v>
      </c>
      <c r="AQ26" s="4">
        <v>0.1</v>
      </c>
      <c r="AR26" s="4">
        <v>0.1</v>
      </c>
      <c r="AS26" s="275">
        <v>1</v>
      </c>
      <c r="AT26" s="275">
        <v>1</v>
      </c>
      <c r="AU26" s="275">
        <v>1</v>
      </c>
      <c r="AV26" s="275">
        <v>1</v>
      </c>
      <c r="AW26" s="275">
        <v>1</v>
      </c>
      <c r="AX26" s="275">
        <v>1</v>
      </c>
      <c r="AY26" s="275">
        <v>1</v>
      </c>
      <c r="AZ26" s="275">
        <v>1</v>
      </c>
      <c r="BA26" s="275">
        <v>1</v>
      </c>
      <c r="BB26" s="275">
        <v>1</v>
      </c>
      <c r="BC26" s="275">
        <v>1</v>
      </c>
      <c r="BD26" s="4">
        <v>1</v>
      </c>
      <c r="BE26" s="275">
        <v>1</v>
      </c>
      <c r="BF26" s="4">
        <v>0.1</v>
      </c>
      <c r="BG26" s="275">
        <v>1</v>
      </c>
      <c r="BH26" s="275">
        <v>1</v>
      </c>
      <c r="BI26" s="275">
        <v>1</v>
      </c>
      <c r="BJ26" s="275">
        <v>1</v>
      </c>
      <c r="BK26" s="4">
        <v>0.1</v>
      </c>
      <c r="BL26" s="4">
        <v>0.1</v>
      </c>
      <c r="BM26" s="4">
        <v>0.1</v>
      </c>
      <c r="BN26" s="4">
        <v>0.1</v>
      </c>
      <c r="BO26" s="275">
        <v>0.1</v>
      </c>
      <c r="BP26" s="133">
        <v>1</v>
      </c>
      <c r="BQ26" s="275">
        <v>1</v>
      </c>
      <c r="BR26" s="4">
        <v>1</v>
      </c>
      <c r="BS26" s="275">
        <v>1</v>
      </c>
      <c r="BT26" s="275">
        <v>1</v>
      </c>
      <c r="BU26" s="275">
        <v>1</v>
      </c>
      <c r="BV26" s="275">
        <v>1</v>
      </c>
      <c r="BW26" s="4">
        <v>0.1</v>
      </c>
      <c r="BX26" s="275">
        <v>1</v>
      </c>
      <c r="BY26" s="275">
        <v>1</v>
      </c>
      <c r="BZ26" s="133">
        <v>1</v>
      </c>
      <c r="CA26" s="133">
        <v>1</v>
      </c>
      <c r="CB26" s="133">
        <v>1</v>
      </c>
      <c r="CC26" s="4">
        <v>0.1</v>
      </c>
      <c r="CD26" s="275">
        <v>1</v>
      </c>
      <c r="CE26" s="275">
        <v>1</v>
      </c>
      <c r="CF26" s="4">
        <v>0.1</v>
      </c>
      <c r="CG26" s="275">
        <v>1</v>
      </c>
      <c r="CH26" s="4">
        <v>1</v>
      </c>
      <c r="CI26" s="275">
        <v>1</v>
      </c>
      <c r="CJ26" s="275">
        <v>1</v>
      </c>
      <c r="CK26" s="275">
        <v>1</v>
      </c>
      <c r="CL26" s="275">
        <v>1</v>
      </c>
      <c r="CM26" s="275">
        <v>0.1</v>
      </c>
      <c r="CN26" s="275">
        <v>0.1</v>
      </c>
      <c r="CO26" s="275">
        <v>0.1</v>
      </c>
      <c r="CP26" s="275">
        <v>0.1</v>
      </c>
      <c r="CQ26" s="4">
        <v>0.1</v>
      </c>
      <c r="CR26" s="4">
        <v>0.1</v>
      </c>
      <c r="CS26" s="275">
        <v>1</v>
      </c>
      <c r="CT26" s="275">
        <v>1</v>
      </c>
      <c r="CU26" s="275">
        <v>1</v>
      </c>
      <c r="CV26" s="275">
        <v>1</v>
      </c>
      <c r="CW26" s="4">
        <v>0.1</v>
      </c>
      <c r="CX26" s="275">
        <v>0.1</v>
      </c>
      <c r="CY26" s="275">
        <v>1</v>
      </c>
      <c r="CZ26" s="275">
        <v>1</v>
      </c>
      <c r="DA26" s="4">
        <v>0.1</v>
      </c>
      <c r="DB26" s="275">
        <v>0.1</v>
      </c>
      <c r="DC26" s="4">
        <v>0.1</v>
      </c>
      <c r="DD26" s="4">
        <v>0.1</v>
      </c>
      <c r="DE26" s="4">
        <v>0.1</v>
      </c>
      <c r="DF26" s="4">
        <v>0.1</v>
      </c>
      <c r="DG26" s="4">
        <v>0.1</v>
      </c>
      <c r="DH26" s="4">
        <v>0.1</v>
      </c>
      <c r="DI26" s="4">
        <v>0.1</v>
      </c>
      <c r="DJ26" s="4">
        <v>0.1</v>
      </c>
      <c r="DK26" s="4">
        <v>0.1</v>
      </c>
      <c r="DL26" s="4">
        <v>0.1</v>
      </c>
      <c r="DM26" s="275">
        <v>1</v>
      </c>
      <c r="DN26" s="275">
        <v>1</v>
      </c>
      <c r="DO26" s="275">
        <v>1</v>
      </c>
      <c r="DP26" s="275">
        <v>1</v>
      </c>
      <c r="DQ26" s="275">
        <v>1</v>
      </c>
    </row>
    <row r="27" spans="2:121" ht="14.25" customHeight="1" x14ac:dyDescent="0.3">
      <c r="B27" s="108">
        <v>0.23958333333333301</v>
      </c>
      <c r="D27" s="4">
        <v>1</v>
      </c>
      <c r="E27" s="4">
        <v>0.1</v>
      </c>
      <c r="F27" s="275">
        <v>1</v>
      </c>
      <c r="G27" s="275">
        <v>1</v>
      </c>
      <c r="H27" s="275">
        <v>1</v>
      </c>
      <c r="I27" s="133">
        <v>1</v>
      </c>
      <c r="J27" s="4">
        <v>0.1</v>
      </c>
      <c r="K27" s="4">
        <v>1</v>
      </c>
      <c r="L27" s="4">
        <v>1</v>
      </c>
      <c r="M27" s="275">
        <v>1</v>
      </c>
      <c r="N27" s="275">
        <v>1</v>
      </c>
      <c r="O27" s="275">
        <v>1</v>
      </c>
      <c r="P27" s="4">
        <v>0.1</v>
      </c>
      <c r="Q27" s="275">
        <v>0.1</v>
      </c>
      <c r="R27" s="275">
        <v>0.1</v>
      </c>
      <c r="S27" s="275">
        <v>0.1</v>
      </c>
      <c r="T27" s="275">
        <v>1</v>
      </c>
      <c r="U27" s="275">
        <v>1</v>
      </c>
      <c r="V27" s="275">
        <v>1</v>
      </c>
      <c r="W27" s="275">
        <v>1</v>
      </c>
      <c r="X27" s="275">
        <v>0.1</v>
      </c>
      <c r="Y27" s="275">
        <v>0.1</v>
      </c>
      <c r="Z27" s="275">
        <v>1</v>
      </c>
      <c r="AA27" s="4">
        <v>0.1</v>
      </c>
      <c r="AB27" s="275">
        <v>1</v>
      </c>
      <c r="AC27" s="4">
        <v>0.1</v>
      </c>
      <c r="AD27" s="275">
        <v>0.1</v>
      </c>
      <c r="AE27" s="4">
        <v>0.1</v>
      </c>
      <c r="AF27" s="4">
        <v>0.1</v>
      </c>
      <c r="AG27" s="4">
        <v>0.1</v>
      </c>
      <c r="AH27" s="275">
        <v>1</v>
      </c>
      <c r="AI27" s="4">
        <v>0.1</v>
      </c>
      <c r="AJ27" s="4">
        <v>0.1</v>
      </c>
      <c r="AK27" s="275">
        <v>1</v>
      </c>
      <c r="AL27" s="275">
        <v>1</v>
      </c>
      <c r="AM27" s="275">
        <v>1</v>
      </c>
      <c r="AN27" s="275">
        <v>1</v>
      </c>
      <c r="AO27" s="275">
        <v>1</v>
      </c>
      <c r="AP27" s="4">
        <v>0.1</v>
      </c>
      <c r="AQ27" s="4">
        <v>0.1</v>
      </c>
      <c r="AR27" s="4">
        <v>0.1</v>
      </c>
      <c r="AS27" s="275">
        <v>1</v>
      </c>
      <c r="AT27" s="275">
        <v>1</v>
      </c>
      <c r="AU27" s="275">
        <v>1</v>
      </c>
      <c r="AV27" s="275">
        <v>1</v>
      </c>
      <c r="AW27" s="275">
        <v>1</v>
      </c>
      <c r="AX27" s="275">
        <v>1</v>
      </c>
      <c r="AY27" s="275">
        <v>1</v>
      </c>
      <c r="AZ27" s="275">
        <v>1</v>
      </c>
      <c r="BA27" s="275">
        <v>1</v>
      </c>
      <c r="BB27" s="275">
        <v>1</v>
      </c>
      <c r="BC27" s="275">
        <v>1</v>
      </c>
      <c r="BD27" s="4">
        <v>1</v>
      </c>
      <c r="BE27" s="275">
        <v>1</v>
      </c>
      <c r="BF27" s="4">
        <v>0.1</v>
      </c>
      <c r="BG27" s="275">
        <v>1</v>
      </c>
      <c r="BH27" s="275">
        <v>1</v>
      </c>
      <c r="BI27" s="275">
        <v>1</v>
      </c>
      <c r="BJ27" s="275">
        <v>1</v>
      </c>
      <c r="BK27" s="4">
        <v>0.1</v>
      </c>
      <c r="BL27" s="4">
        <v>0.1</v>
      </c>
      <c r="BM27" s="4">
        <v>0.1</v>
      </c>
      <c r="BN27" s="4">
        <v>0.1</v>
      </c>
      <c r="BO27" s="275">
        <v>0.1</v>
      </c>
      <c r="BP27" s="133">
        <v>1</v>
      </c>
      <c r="BQ27" s="275">
        <v>1</v>
      </c>
      <c r="BR27" s="4">
        <v>1</v>
      </c>
      <c r="BS27" s="275">
        <v>1</v>
      </c>
      <c r="BT27" s="275">
        <v>1</v>
      </c>
      <c r="BU27" s="275">
        <v>1</v>
      </c>
      <c r="BV27" s="275">
        <v>1</v>
      </c>
      <c r="BW27" s="4">
        <v>0.1</v>
      </c>
      <c r="BX27" s="275">
        <v>1</v>
      </c>
      <c r="BY27" s="275">
        <v>1</v>
      </c>
      <c r="BZ27" s="133">
        <v>1</v>
      </c>
      <c r="CA27" s="133">
        <v>1</v>
      </c>
      <c r="CB27" s="133">
        <v>1</v>
      </c>
      <c r="CC27" s="4">
        <v>0.1</v>
      </c>
      <c r="CD27" s="275">
        <v>1</v>
      </c>
      <c r="CE27" s="275">
        <v>1</v>
      </c>
      <c r="CF27" s="4">
        <v>0.1</v>
      </c>
      <c r="CG27" s="275">
        <v>1</v>
      </c>
      <c r="CH27" s="4">
        <v>1</v>
      </c>
      <c r="CI27" s="275">
        <v>1</v>
      </c>
      <c r="CJ27" s="275">
        <v>1</v>
      </c>
      <c r="CK27" s="275">
        <v>1</v>
      </c>
      <c r="CL27" s="275">
        <v>1</v>
      </c>
      <c r="CM27" s="275">
        <v>0.1</v>
      </c>
      <c r="CN27" s="275">
        <v>0.1</v>
      </c>
      <c r="CO27" s="275">
        <v>0.1</v>
      </c>
      <c r="CP27" s="275">
        <v>0.1</v>
      </c>
      <c r="CQ27" s="4">
        <v>0.1</v>
      </c>
      <c r="CR27" s="4">
        <v>0.1</v>
      </c>
      <c r="CS27" s="275">
        <v>1</v>
      </c>
      <c r="CT27" s="275">
        <v>1</v>
      </c>
      <c r="CU27" s="275">
        <v>1</v>
      </c>
      <c r="CV27" s="275">
        <v>1</v>
      </c>
      <c r="CW27" s="4">
        <v>0.1</v>
      </c>
      <c r="CX27" s="275">
        <v>0.1</v>
      </c>
      <c r="CY27" s="275">
        <v>1</v>
      </c>
      <c r="CZ27" s="275">
        <v>1</v>
      </c>
      <c r="DA27" s="4">
        <v>0.1</v>
      </c>
      <c r="DB27" s="275">
        <v>0.1</v>
      </c>
      <c r="DC27" s="4">
        <v>0.1</v>
      </c>
      <c r="DD27" s="4">
        <v>0.1</v>
      </c>
      <c r="DE27" s="4">
        <v>0.1</v>
      </c>
      <c r="DF27" s="4">
        <v>0.1</v>
      </c>
      <c r="DG27" s="4">
        <v>0.1</v>
      </c>
      <c r="DH27" s="4">
        <v>0.1</v>
      </c>
      <c r="DI27" s="4">
        <v>0.1</v>
      </c>
      <c r="DJ27" s="4">
        <v>0.1</v>
      </c>
      <c r="DK27" s="4">
        <v>0.1</v>
      </c>
      <c r="DL27" s="4">
        <v>0.1</v>
      </c>
      <c r="DM27" s="275">
        <v>1</v>
      </c>
      <c r="DN27" s="275">
        <v>1</v>
      </c>
      <c r="DO27" s="275">
        <v>1</v>
      </c>
      <c r="DP27" s="275">
        <v>1</v>
      </c>
      <c r="DQ27" s="275">
        <v>1</v>
      </c>
    </row>
    <row r="28" spans="2:121" ht="14.25" customHeight="1" x14ac:dyDescent="0.3">
      <c r="B28" s="108">
        <v>0.25</v>
      </c>
      <c r="D28" s="4">
        <v>1</v>
      </c>
      <c r="E28" s="4">
        <v>0.1</v>
      </c>
      <c r="F28" s="275">
        <v>1</v>
      </c>
      <c r="G28" s="275">
        <v>1</v>
      </c>
      <c r="H28" s="275">
        <v>1</v>
      </c>
      <c r="I28" s="4">
        <v>0.1</v>
      </c>
      <c r="J28" s="4">
        <v>0.1</v>
      </c>
      <c r="K28" s="4">
        <v>1</v>
      </c>
      <c r="L28" s="4">
        <v>1</v>
      </c>
      <c r="M28" s="275">
        <v>1</v>
      </c>
      <c r="N28" s="275">
        <v>1</v>
      </c>
      <c r="O28" s="275">
        <v>1</v>
      </c>
      <c r="P28" s="4">
        <v>0.1</v>
      </c>
      <c r="Q28" s="275">
        <v>0.1</v>
      </c>
      <c r="R28" s="275">
        <v>0.1</v>
      </c>
      <c r="S28" s="275">
        <v>0.1</v>
      </c>
      <c r="T28" s="275">
        <v>1</v>
      </c>
      <c r="U28" s="275">
        <v>1</v>
      </c>
      <c r="V28" s="275">
        <v>1</v>
      </c>
      <c r="W28" s="275">
        <v>1</v>
      </c>
      <c r="X28" s="275">
        <v>0.1</v>
      </c>
      <c r="Y28" s="275">
        <v>0.1</v>
      </c>
      <c r="Z28" s="275">
        <v>1</v>
      </c>
      <c r="AA28" s="4">
        <v>0.1</v>
      </c>
      <c r="AB28" s="275">
        <v>1</v>
      </c>
      <c r="AC28" s="4">
        <v>0.1</v>
      </c>
      <c r="AD28" s="275">
        <v>0.1</v>
      </c>
      <c r="AE28" s="4">
        <v>0.1</v>
      </c>
      <c r="AF28" s="4">
        <v>0.1</v>
      </c>
      <c r="AG28" s="4">
        <v>0.1</v>
      </c>
      <c r="AH28" s="275">
        <v>1</v>
      </c>
      <c r="AI28" s="4">
        <v>0.1</v>
      </c>
      <c r="AJ28" s="4">
        <v>0.1</v>
      </c>
      <c r="AK28" s="275">
        <v>1</v>
      </c>
      <c r="AL28" s="275">
        <v>1</v>
      </c>
      <c r="AM28" s="275">
        <v>1</v>
      </c>
      <c r="AN28" s="275">
        <v>1</v>
      </c>
      <c r="AO28" s="275">
        <v>1</v>
      </c>
      <c r="AP28" s="4">
        <v>0.1</v>
      </c>
      <c r="AQ28" s="4">
        <v>0.1</v>
      </c>
      <c r="AR28" s="4">
        <v>0.1</v>
      </c>
      <c r="AS28" s="275">
        <v>1</v>
      </c>
      <c r="AT28" s="275">
        <v>1</v>
      </c>
      <c r="AU28" s="275">
        <v>1</v>
      </c>
      <c r="AV28" s="275">
        <v>1</v>
      </c>
      <c r="AW28" s="275">
        <v>1</v>
      </c>
      <c r="AX28" s="275">
        <v>1</v>
      </c>
      <c r="AY28" s="275">
        <v>1</v>
      </c>
      <c r="AZ28" s="275">
        <v>1</v>
      </c>
      <c r="BA28" s="275">
        <v>1</v>
      </c>
      <c r="BB28" s="275">
        <v>1</v>
      </c>
      <c r="BC28" s="275">
        <v>1</v>
      </c>
      <c r="BD28" s="4">
        <v>1</v>
      </c>
      <c r="BE28" s="275">
        <v>1</v>
      </c>
      <c r="BF28" s="4">
        <v>0.1</v>
      </c>
      <c r="BG28" s="275">
        <v>1</v>
      </c>
      <c r="BH28" s="275">
        <v>1</v>
      </c>
      <c r="BI28" s="275">
        <v>1</v>
      </c>
      <c r="BJ28" s="275">
        <v>1</v>
      </c>
      <c r="BK28" s="4">
        <v>0.1</v>
      </c>
      <c r="BL28" s="4">
        <v>0.1</v>
      </c>
      <c r="BM28" s="4">
        <v>0.1</v>
      </c>
      <c r="BN28" s="4">
        <v>0.1</v>
      </c>
      <c r="BO28" s="275">
        <v>0.1</v>
      </c>
      <c r="BP28" s="4">
        <v>0.1</v>
      </c>
      <c r="BQ28" s="275">
        <v>1</v>
      </c>
      <c r="BR28" s="4">
        <v>1</v>
      </c>
      <c r="BS28" s="275">
        <v>1</v>
      </c>
      <c r="BT28" s="275">
        <v>1</v>
      </c>
      <c r="BU28" s="275">
        <v>1</v>
      </c>
      <c r="BV28" s="275">
        <v>1</v>
      </c>
      <c r="BW28" s="4">
        <v>0.1</v>
      </c>
      <c r="BX28" s="275">
        <v>1</v>
      </c>
      <c r="BY28" s="275">
        <v>1</v>
      </c>
      <c r="BZ28" s="4">
        <v>0.1</v>
      </c>
      <c r="CA28" s="4">
        <v>0.1</v>
      </c>
      <c r="CB28" s="4">
        <v>0.1</v>
      </c>
      <c r="CC28" s="4">
        <v>0.1</v>
      </c>
      <c r="CD28" s="275">
        <v>1</v>
      </c>
      <c r="CE28" s="275">
        <v>1</v>
      </c>
      <c r="CF28" s="4">
        <v>0.1</v>
      </c>
      <c r="CG28" s="275">
        <v>1</v>
      </c>
      <c r="CH28" s="4">
        <v>1</v>
      </c>
      <c r="CI28" s="275">
        <v>1</v>
      </c>
      <c r="CJ28" s="275">
        <v>1</v>
      </c>
      <c r="CK28" s="275">
        <v>1</v>
      </c>
      <c r="CL28" s="275">
        <v>1</v>
      </c>
      <c r="CM28" s="275">
        <v>0.1</v>
      </c>
      <c r="CN28" s="275">
        <v>0.1</v>
      </c>
      <c r="CO28" s="275">
        <v>0.1</v>
      </c>
      <c r="CP28" s="275">
        <v>0.1</v>
      </c>
      <c r="CQ28" s="4">
        <v>0.1</v>
      </c>
      <c r="CR28" s="4">
        <v>0.1</v>
      </c>
      <c r="CS28" s="275">
        <v>1</v>
      </c>
      <c r="CT28" s="275">
        <v>1</v>
      </c>
      <c r="CU28" s="275">
        <v>1</v>
      </c>
      <c r="CV28" s="275">
        <v>1</v>
      </c>
      <c r="CW28" s="4">
        <v>0.1</v>
      </c>
      <c r="CX28" s="275">
        <v>0.1</v>
      </c>
      <c r="CY28" s="275">
        <v>1</v>
      </c>
      <c r="CZ28" s="275">
        <v>1</v>
      </c>
      <c r="DA28" s="4">
        <v>0.1</v>
      </c>
      <c r="DB28" s="275">
        <v>0.1</v>
      </c>
      <c r="DC28" s="4">
        <v>0.1</v>
      </c>
      <c r="DD28" s="4">
        <v>0.1</v>
      </c>
      <c r="DE28" s="4">
        <v>0.1</v>
      </c>
      <c r="DF28" s="4">
        <v>0.1</v>
      </c>
      <c r="DG28" s="4">
        <v>0.1</v>
      </c>
      <c r="DH28" s="4">
        <v>0.1</v>
      </c>
      <c r="DI28" s="4">
        <v>0.1</v>
      </c>
      <c r="DJ28" s="4">
        <v>0.1</v>
      </c>
      <c r="DK28" s="4">
        <v>0.1</v>
      </c>
      <c r="DL28" s="4">
        <v>0.1</v>
      </c>
      <c r="DM28" s="275">
        <v>1</v>
      </c>
      <c r="DN28" s="275">
        <v>1</v>
      </c>
      <c r="DO28" s="275">
        <v>1</v>
      </c>
      <c r="DP28" s="275">
        <v>1</v>
      </c>
      <c r="DQ28" s="275">
        <v>1</v>
      </c>
    </row>
    <row r="29" spans="2:121" ht="14.25" customHeight="1" x14ac:dyDescent="0.3">
      <c r="B29" s="108">
        <v>0.26041666666666702</v>
      </c>
      <c r="D29" s="4">
        <v>1</v>
      </c>
      <c r="E29" s="4">
        <v>0.1</v>
      </c>
      <c r="F29" s="275">
        <v>1</v>
      </c>
      <c r="G29" s="275">
        <v>1</v>
      </c>
      <c r="H29" s="275">
        <v>1</v>
      </c>
      <c r="I29" s="4">
        <v>0.1</v>
      </c>
      <c r="J29" s="4">
        <v>0.1</v>
      </c>
      <c r="K29" s="4">
        <v>1</v>
      </c>
      <c r="L29" s="4">
        <v>1</v>
      </c>
      <c r="M29" s="275">
        <v>1</v>
      </c>
      <c r="N29" s="275">
        <v>1</v>
      </c>
      <c r="O29" s="275">
        <v>1</v>
      </c>
      <c r="P29" s="4">
        <v>0.1</v>
      </c>
      <c r="Q29" s="275">
        <v>0.1</v>
      </c>
      <c r="R29" s="275">
        <v>0.1</v>
      </c>
      <c r="S29" s="275">
        <v>0.1</v>
      </c>
      <c r="T29" s="275">
        <v>1</v>
      </c>
      <c r="U29" s="275">
        <v>1</v>
      </c>
      <c r="V29" s="275">
        <v>1</v>
      </c>
      <c r="W29" s="275">
        <v>1</v>
      </c>
      <c r="X29" s="275">
        <v>0.1</v>
      </c>
      <c r="Y29" s="275">
        <v>0.1</v>
      </c>
      <c r="Z29" s="275">
        <v>1</v>
      </c>
      <c r="AA29" s="4">
        <v>0.1</v>
      </c>
      <c r="AB29" s="275">
        <v>1</v>
      </c>
      <c r="AC29" s="4">
        <v>0.1</v>
      </c>
      <c r="AD29" s="275">
        <v>0.1</v>
      </c>
      <c r="AE29" s="4">
        <v>0.1</v>
      </c>
      <c r="AF29" s="4">
        <v>0.1</v>
      </c>
      <c r="AG29" s="4">
        <v>0.1</v>
      </c>
      <c r="AH29" s="275">
        <v>1</v>
      </c>
      <c r="AI29" s="4">
        <v>0.1</v>
      </c>
      <c r="AJ29" s="4">
        <v>0.1</v>
      </c>
      <c r="AK29" s="275">
        <v>1</v>
      </c>
      <c r="AL29" s="275">
        <v>1</v>
      </c>
      <c r="AM29" s="275">
        <v>1</v>
      </c>
      <c r="AN29" s="275">
        <v>1</v>
      </c>
      <c r="AO29" s="275">
        <v>1</v>
      </c>
      <c r="AP29" s="4">
        <v>0.1</v>
      </c>
      <c r="AQ29" s="4">
        <v>0.1</v>
      </c>
      <c r="AR29" s="4">
        <v>0.1</v>
      </c>
      <c r="AS29" s="275">
        <v>1</v>
      </c>
      <c r="AT29" s="275">
        <v>1</v>
      </c>
      <c r="AU29" s="275">
        <v>1</v>
      </c>
      <c r="AV29" s="275">
        <v>1</v>
      </c>
      <c r="AW29" s="275">
        <v>1</v>
      </c>
      <c r="AX29" s="275">
        <v>1</v>
      </c>
      <c r="AY29" s="275">
        <v>1</v>
      </c>
      <c r="AZ29" s="275">
        <v>1</v>
      </c>
      <c r="BA29" s="275">
        <v>1</v>
      </c>
      <c r="BB29" s="275">
        <v>1</v>
      </c>
      <c r="BC29" s="275">
        <v>1</v>
      </c>
      <c r="BD29" s="4">
        <v>1</v>
      </c>
      <c r="BE29" s="275">
        <v>1</v>
      </c>
      <c r="BF29" s="4">
        <v>0.1</v>
      </c>
      <c r="BG29" s="275">
        <v>1</v>
      </c>
      <c r="BH29" s="275">
        <v>1</v>
      </c>
      <c r="BI29" s="275">
        <v>1</v>
      </c>
      <c r="BJ29" s="275">
        <v>1</v>
      </c>
      <c r="BK29" s="4">
        <v>0.1</v>
      </c>
      <c r="BL29" s="4">
        <v>0.1</v>
      </c>
      <c r="BM29" s="4">
        <v>0.1</v>
      </c>
      <c r="BN29" s="4">
        <v>0.1</v>
      </c>
      <c r="BO29" s="275">
        <v>1</v>
      </c>
      <c r="BP29" s="4">
        <v>0.1</v>
      </c>
      <c r="BQ29" s="275">
        <v>1</v>
      </c>
      <c r="BR29" s="4">
        <v>1</v>
      </c>
      <c r="BS29" s="275">
        <v>1</v>
      </c>
      <c r="BT29" s="275">
        <v>1</v>
      </c>
      <c r="BU29" s="275">
        <v>1</v>
      </c>
      <c r="BV29" s="275">
        <v>1</v>
      </c>
      <c r="BW29" s="4">
        <v>0.1</v>
      </c>
      <c r="BX29" s="275">
        <v>1</v>
      </c>
      <c r="BY29" s="275">
        <v>1</v>
      </c>
      <c r="BZ29" s="4">
        <v>0.1</v>
      </c>
      <c r="CA29" s="4">
        <v>0.1</v>
      </c>
      <c r="CB29" s="4">
        <v>0.1</v>
      </c>
      <c r="CC29" s="4">
        <v>0.1</v>
      </c>
      <c r="CD29" s="275">
        <v>1</v>
      </c>
      <c r="CE29" s="275">
        <v>1</v>
      </c>
      <c r="CF29" s="4">
        <v>0.1</v>
      </c>
      <c r="CG29" s="275">
        <v>1</v>
      </c>
      <c r="CH29" s="4">
        <v>1</v>
      </c>
      <c r="CI29" s="275">
        <v>1</v>
      </c>
      <c r="CJ29" s="275">
        <v>1</v>
      </c>
      <c r="CK29" s="275">
        <v>1</v>
      </c>
      <c r="CL29" s="275">
        <v>1</v>
      </c>
      <c r="CM29" s="275">
        <v>0.1</v>
      </c>
      <c r="CN29" s="275">
        <v>0.1</v>
      </c>
      <c r="CO29" s="275">
        <v>0.1</v>
      </c>
      <c r="CP29" s="275">
        <v>0.1</v>
      </c>
      <c r="CQ29" s="4">
        <v>0.1</v>
      </c>
      <c r="CR29" s="4">
        <v>0.1</v>
      </c>
      <c r="CS29" s="275">
        <v>1</v>
      </c>
      <c r="CT29" s="275">
        <v>1</v>
      </c>
      <c r="CU29" s="275">
        <v>1</v>
      </c>
      <c r="CV29" s="275">
        <v>1</v>
      </c>
      <c r="CW29" s="4">
        <v>0.1</v>
      </c>
      <c r="CX29" s="275">
        <v>0.1</v>
      </c>
      <c r="CY29" s="275">
        <v>1</v>
      </c>
      <c r="CZ29" s="275">
        <v>1</v>
      </c>
      <c r="DA29" s="4">
        <v>0.1</v>
      </c>
      <c r="DB29" s="275">
        <v>0.1</v>
      </c>
      <c r="DC29" s="4">
        <v>0.1</v>
      </c>
      <c r="DD29" s="4">
        <v>0.1</v>
      </c>
      <c r="DE29" s="4">
        <v>0.1</v>
      </c>
      <c r="DF29" s="4">
        <v>0.1</v>
      </c>
      <c r="DG29" s="4">
        <v>0.1</v>
      </c>
      <c r="DH29" s="4">
        <v>0.1</v>
      </c>
      <c r="DI29" s="4">
        <v>0.1</v>
      </c>
      <c r="DJ29" s="4">
        <v>0.1</v>
      </c>
      <c r="DK29" s="4">
        <v>0.1</v>
      </c>
      <c r="DL29" s="4">
        <v>0.1</v>
      </c>
      <c r="DM29" s="275">
        <v>1</v>
      </c>
      <c r="DN29" s="275">
        <v>1</v>
      </c>
      <c r="DO29" s="275">
        <v>1</v>
      </c>
      <c r="DP29" s="275">
        <v>1</v>
      </c>
      <c r="DQ29" s="275">
        <v>1</v>
      </c>
    </row>
    <row r="30" spans="2:121" ht="14.25" customHeight="1" x14ac:dyDescent="0.3">
      <c r="B30" s="108">
        <v>0.27083333333333298</v>
      </c>
      <c r="D30" s="4">
        <v>1</v>
      </c>
      <c r="E30" s="4">
        <v>0.1</v>
      </c>
      <c r="F30" s="275">
        <v>1</v>
      </c>
      <c r="G30" s="275">
        <v>1</v>
      </c>
      <c r="H30" s="275">
        <v>1</v>
      </c>
      <c r="I30" s="4">
        <v>1</v>
      </c>
      <c r="J30" s="4">
        <v>0.1</v>
      </c>
      <c r="K30" s="4">
        <v>1</v>
      </c>
      <c r="L30" s="4">
        <v>1</v>
      </c>
      <c r="M30" s="275">
        <v>1</v>
      </c>
      <c r="N30" s="275">
        <v>1</v>
      </c>
      <c r="O30" s="275">
        <v>1</v>
      </c>
      <c r="P30" s="4">
        <v>0.1</v>
      </c>
      <c r="Q30" s="275">
        <v>0.1</v>
      </c>
      <c r="R30" s="275">
        <v>0.1</v>
      </c>
      <c r="S30" s="275">
        <v>0.1</v>
      </c>
      <c r="T30" s="275">
        <v>1</v>
      </c>
      <c r="U30" s="275">
        <v>1</v>
      </c>
      <c r="V30" s="275">
        <v>1</v>
      </c>
      <c r="W30" s="275">
        <v>1</v>
      </c>
      <c r="X30" s="275">
        <v>0.1</v>
      </c>
      <c r="Y30" s="275">
        <v>0.1</v>
      </c>
      <c r="Z30" s="275">
        <v>1</v>
      </c>
      <c r="AA30" s="4">
        <v>0.1</v>
      </c>
      <c r="AB30" s="275">
        <v>1</v>
      </c>
      <c r="AC30" s="4">
        <v>0.1</v>
      </c>
      <c r="AD30" s="275">
        <v>0.1</v>
      </c>
      <c r="AE30" s="4">
        <v>0.1</v>
      </c>
      <c r="AF30" s="4">
        <v>0.1</v>
      </c>
      <c r="AG30" s="4">
        <v>0.1</v>
      </c>
      <c r="AH30" s="275">
        <v>1</v>
      </c>
      <c r="AI30" s="4">
        <v>0.1</v>
      </c>
      <c r="AJ30" s="4">
        <v>0.1</v>
      </c>
      <c r="AK30" s="275">
        <v>1</v>
      </c>
      <c r="AL30" s="275">
        <v>1</v>
      </c>
      <c r="AM30" s="275">
        <v>1</v>
      </c>
      <c r="AN30" s="275">
        <v>1</v>
      </c>
      <c r="AO30" s="275">
        <v>1</v>
      </c>
      <c r="AP30" s="4">
        <v>0.1</v>
      </c>
      <c r="AQ30" s="4">
        <v>0.1</v>
      </c>
      <c r="AR30" s="4">
        <v>0.1</v>
      </c>
      <c r="AS30" s="275">
        <v>1</v>
      </c>
      <c r="AT30" s="275">
        <v>1</v>
      </c>
      <c r="AU30" s="275">
        <v>1</v>
      </c>
      <c r="AV30" s="275">
        <v>1</v>
      </c>
      <c r="AW30" s="275">
        <v>1</v>
      </c>
      <c r="AX30" s="275">
        <v>1</v>
      </c>
      <c r="AY30" s="275">
        <v>1</v>
      </c>
      <c r="AZ30" s="275">
        <v>1</v>
      </c>
      <c r="BA30" s="275">
        <v>1</v>
      </c>
      <c r="BB30" s="275">
        <v>1</v>
      </c>
      <c r="BC30" s="275">
        <v>1</v>
      </c>
      <c r="BD30" s="4">
        <v>1</v>
      </c>
      <c r="BE30" s="275">
        <v>1</v>
      </c>
      <c r="BF30" s="4">
        <v>0.1</v>
      </c>
      <c r="BG30" s="275">
        <v>1</v>
      </c>
      <c r="BH30" s="275">
        <v>1</v>
      </c>
      <c r="BI30" s="275">
        <v>1</v>
      </c>
      <c r="BJ30" s="275">
        <v>1</v>
      </c>
      <c r="BK30" s="4">
        <v>0.1</v>
      </c>
      <c r="BL30" s="4">
        <v>0.1</v>
      </c>
      <c r="BM30" s="4">
        <v>0.1</v>
      </c>
      <c r="BN30" s="4">
        <v>0.1</v>
      </c>
      <c r="BO30" s="275">
        <v>1</v>
      </c>
      <c r="BP30" s="4">
        <v>1</v>
      </c>
      <c r="BQ30" s="275">
        <v>1</v>
      </c>
      <c r="BR30" s="4">
        <v>1</v>
      </c>
      <c r="BS30" s="275">
        <v>1</v>
      </c>
      <c r="BT30" s="275">
        <v>1</v>
      </c>
      <c r="BU30" s="275">
        <v>1</v>
      </c>
      <c r="BV30" s="275">
        <v>1</v>
      </c>
      <c r="BW30" s="4">
        <v>0.1</v>
      </c>
      <c r="BX30" s="275">
        <v>1</v>
      </c>
      <c r="BY30" s="275">
        <v>1</v>
      </c>
      <c r="BZ30" s="4">
        <v>1</v>
      </c>
      <c r="CA30" s="4">
        <v>1</v>
      </c>
      <c r="CB30" s="4">
        <v>1</v>
      </c>
      <c r="CC30" s="4">
        <v>0.1</v>
      </c>
      <c r="CD30" s="275">
        <v>1</v>
      </c>
      <c r="CE30" s="275">
        <v>1</v>
      </c>
      <c r="CF30" s="4">
        <v>0.1</v>
      </c>
      <c r="CG30" s="275">
        <v>1</v>
      </c>
      <c r="CH30" s="4">
        <v>1</v>
      </c>
      <c r="CI30" s="275">
        <v>1</v>
      </c>
      <c r="CJ30" s="275">
        <v>1</v>
      </c>
      <c r="CK30" s="275">
        <v>1</v>
      </c>
      <c r="CL30" s="275">
        <v>1</v>
      </c>
      <c r="CM30" s="275">
        <v>0.1</v>
      </c>
      <c r="CN30" s="275">
        <v>0.1</v>
      </c>
      <c r="CO30" s="275">
        <v>0.1</v>
      </c>
      <c r="CP30" s="275">
        <v>0.1</v>
      </c>
      <c r="CQ30" s="4">
        <v>0.1</v>
      </c>
      <c r="CR30" s="4">
        <v>0.1</v>
      </c>
      <c r="CS30" s="275">
        <v>1</v>
      </c>
      <c r="CT30" s="275">
        <v>1</v>
      </c>
      <c r="CU30" s="275">
        <v>1</v>
      </c>
      <c r="CV30" s="275">
        <v>1</v>
      </c>
      <c r="CW30" s="4">
        <v>0.1</v>
      </c>
      <c r="CX30" s="275">
        <v>0.1</v>
      </c>
      <c r="CY30" s="275">
        <v>1</v>
      </c>
      <c r="CZ30" s="275">
        <v>1</v>
      </c>
      <c r="DA30" s="4">
        <v>0.1</v>
      </c>
      <c r="DB30" s="275">
        <v>0.1</v>
      </c>
      <c r="DC30" s="4">
        <v>0.1</v>
      </c>
      <c r="DD30" s="4">
        <v>0.1</v>
      </c>
      <c r="DE30" s="4">
        <v>0.1</v>
      </c>
      <c r="DF30" s="4">
        <v>0.1</v>
      </c>
      <c r="DG30" s="4">
        <v>0.1</v>
      </c>
      <c r="DH30" s="4">
        <v>0.1</v>
      </c>
      <c r="DI30" s="4">
        <v>0.1</v>
      </c>
      <c r="DJ30" s="4">
        <v>0.1</v>
      </c>
      <c r="DK30" s="4">
        <v>0.1</v>
      </c>
      <c r="DL30" s="4">
        <v>0.1</v>
      </c>
      <c r="DM30" s="275">
        <v>1</v>
      </c>
      <c r="DN30" s="275">
        <v>1</v>
      </c>
      <c r="DO30" s="275">
        <v>1</v>
      </c>
      <c r="DP30" s="275">
        <v>1</v>
      </c>
      <c r="DQ30" s="275">
        <v>1</v>
      </c>
    </row>
    <row r="31" spans="2:121" ht="14.25" customHeight="1" x14ac:dyDescent="0.3">
      <c r="B31" s="108">
        <v>0.28125</v>
      </c>
      <c r="D31" s="4">
        <v>1</v>
      </c>
      <c r="E31" s="4">
        <v>0.1</v>
      </c>
      <c r="F31" s="275">
        <v>1</v>
      </c>
      <c r="G31" s="275">
        <v>1</v>
      </c>
      <c r="H31" s="275">
        <v>1</v>
      </c>
      <c r="I31" s="4">
        <v>1</v>
      </c>
      <c r="J31" s="4">
        <v>0.1</v>
      </c>
      <c r="K31" s="4">
        <v>1</v>
      </c>
      <c r="L31" s="4">
        <v>1</v>
      </c>
      <c r="M31" s="275">
        <v>1</v>
      </c>
      <c r="N31" s="275">
        <v>1</v>
      </c>
      <c r="O31" s="275">
        <v>1</v>
      </c>
      <c r="P31" s="4">
        <v>0.1</v>
      </c>
      <c r="Q31" s="275">
        <v>0.1</v>
      </c>
      <c r="R31" s="275">
        <v>0.1</v>
      </c>
      <c r="S31" s="275">
        <v>0.1</v>
      </c>
      <c r="T31" s="275">
        <v>1</v>
      </c>
      <c r="U31" s="275">
        <v>1</v>
      </c>
      <c r="V31" s="275">
        <v>1</v>
      </c>
      <c r="W31" s="275">
        <v>1</v>
      </c>
      <c r="X31" s="275">
        <v>0.1</v>
      </c>
      <c r="Y31" s="275">
        <v>0.1</v>
      </c>
      <c r="Z31" s="275">
        <v>1</v>
      </c>
      <c r="AA31" s="4">
        <v>0.1</v>
      </c>
      <c r="AB31" s="275">
        <v>1</v>
      </c>
      <c r="AC31" s="4">
        <v>0.1</v>
      </c>
      <c r="AD31" s="275">
        <v>0.1</v>
      </c>
      <c r="AE31" s="4">
        <v>0.1</v>
      </c>
      <c r="AF31" s="4">
        <v>0.1</v>
      </c>
      <c r="AG31" s="4">
        <v>0.1</v>
      </c>
      <c r="AH31" s="275">
        <v>1</v>
      </c>
      <c r="AI31" s="4">
        <v>0.1</v>
      </c>
      <c r="AJ31" s="4">
        <v>0.1</v>
      </c>
      <c r="AK31" s="275">
        <v>1</v>
      </c>
      <c r="AL31" s="275">
        <v>1</v>
      </c>
      <c r="AM31" s="275">
        <v>1</v>
      </c>
      <c r="AN31" s="275">
        <v>1</v>
      </c>
      <c r="AO31" s="275">
        <v>1</v>
      </c>
      <c r="AP31" s="4">
        <v>0.1</v>
      </c>
      <c r="AQ31" s="4">
        <v>0.1</v>
      </c>
      <c r="AR31" s="4">
        <v>0.1</v>
      </c>
      <c r="AS31" s="275">
        <v>1</v>
      </c>
      <c r="AT31" s="275">
        <v>1</v>
      </c>
      <c r="AU31" s="275">
        <v>1</v>
      </c>
      <c r="AV31" s="275">
        <v>1</v>
      </c>
      <c r="AW31" s="275">
        <v>1</v>
      </c>
      <c r="AX31" s="275">
        <v>1</v>
      </c>
      <c r="AY31" s="275">
        <v>1</v>
      </c>
      <c r="AZ31" s="275">
        <v>1</v>
      </c>
      <c r="BA31" s="275">
        <v>1</v>
      </c>
      <c r="BB31" s="275">
        <v>1</v>
      </c>
      <c r="BC31" s="275">
        <v>1</v>
      </c>
      <c r="BD31" s="4">
        <v>1</v>
      </c>
      <c r="BE31" s="275">
        <v>1</v>
      </c>
      <c r="BF31" s="4">
        <v>0.1</v>
      </c>
      <c r="BG31" s="275">
        <v>1</v>
      </c>
      <c r="BH31" s="275">
        <v>1</v>
      </c>
      <c r="BI31" s="275">
        <v>1</v>
      </c>
      <c r="BJ31" s="275">
        <v>1</v>
      </c>
      <c r="BK31" s="4">
        <v>0.1</v>
      </c>
      <c r="BL31" s="4">
        <v>0.1</v>
      </c>
      <c r="BM31" s="4">
        <v>0.1</v>
      </c>
      <c r="BN31" s="4">
        <v>0.1</v>
      </c>
      <c r="BO31" s="275">
        <v>1</v>
      </c>
      <c r="BP31" s="4">
        <v>1</v>
      </c>
      <c r="BQ31" s="275">
        <v>1</v>
      </c>
      <c r="BR31" s="4">
        <v>1</v>
      </c>
      <c r="BS31" s="275">
        <v>1</v>
      </c>
      <c r="BT31" s="275">
        <v>1</v>
      </c>
      <c r="BU31" s="275">
        <v>1</v>
      </c>
      <c r="BV31" s="275">
        <v>1</v>
      </c>
      <c r="BW31" s="4">
        <v>0.1</v>
      </c>
      <c r="BX31" s="275">
        <v>1</v>
      </c>
      <c r="BY31" s="275">
        <v>1</v>
      </c>
      <c r="BZ31" s="4">
        <v>1</v>
      </c>
      <c r="CA31" s="4">
        <v>1</v>
      </c>
      <c r="CB31" s="4">
        <v>1</v>
      </c>
      <c r="CC31" s="4">
        <v>0.1</v>
      </c>
      <c r="CD31" s="275">
        <v>1</v>
      </c>
      <c r="CE31" s="275">
        <v>1</v>
      </c>
      <c r="CF31" s="4">
        <v>0.1</v>
      </c>
      <c r="CG31" s="275">
        <v>1</v>
      </c>
      <c r="CH31" s="4">
        <v>1</v>
      </c>
      <c r="CI31" s="275">
        <v>1</v>
      </c>
      <c r="CJ31" s="275">
        <v>1</v>
      </c>
      <c r="CK31" s="275">
        <v>1</v>
      </c>
      <c r="CL31" s="275">
        <v>1</v>
      </c>
      <c r="CM31" s="275">
        <v>0.1</v>
      </c>
      <c r="CN31" s="275">
        <v>0.1</v>
      </c>
      <c r="CO31" s="275">
        <v>0.1</v>
      </c>
      <c r="CP31" s="275">
        <v>0.1</v>
      </c>
      <c r="CQ31" s="4">
        <v>0.1</v>
      </c>
      <c r="CR31" s="4">
        <v>0.1</v>
      </c>
      <c r="CS31" s="275">
        <v>1</v>
      </c>
      <c r="CT31" s="275">
        <v>1</v>
      </c>
      <c r="CU31" s="275">
        <v>1</v>
      </c>
      <c r="CV31" s="275">
        <v>1</v>
      </c>
      <c r="CW31" s="4">
        <v>0.1</v>
      </c>
      <c r="CX31" s="275">
        <v>0.1</v>
      </c>
      <c r="CY31" s="275">
        <v>1</v>
      </c>
      <c r="CZ31" s="275">
        <v>1</v>
      </c>
      <c r="DA31" s="4">
        <v>0.1</v>
      </c>
      <c r="DB31" s="275">
        <v>1</v>
      </c>
      <c r="DC31" s="4">
        <v>0.1</v>
      </c>
      <c r="DD31" s="4">
        <v>0.1</v>
      </c>
      <c r="DE31" s="4">
        <v>0.1</v>
      </c>
      <c r="DF31" s="4">
        <v>0.1</v>
      </c>
      <c r="DG31" s="4">
        <v>0.1</v>
      </c>
      <c r="DH31" s="4">
        <v>0.1</v>
      </c>
      <c r="DI31" s="4">
        <v>0.1</v>
      </c>
      <c r="DJ31" s="4">
        <v>0.1</v>
      </c>
      <c r="DK31" s="4">
        <v>0.1</v>
      </c>
      <c r="DL31" s="4">
        <v>0.1</v>
      </c>
      <c r="DM31" s="275">
        <v>1</v>
      </c>
      <c r="DN31" s="275">
        <v>1</v>
      </c>
      <c r="DO31" s="275">
        <v>1</v>
      </c>
      <c r="DP31" s="275">
        <v>1</v>
      </c>
      <c r="DQ31" s="275">
        <v>1</v>
      </c>
    </row>
    <row r="32" spans="2:121" ht="14.25" customHeight="1" x14ac:dyDescent="0.3">
      <c r="B32" s="108">
        <v>0.29166666666666702</v>
      </c>
      <c r="D32" s="4">
        <v>1</v>
      </c>
      <c r="E32" s="133">
        <v>1</v>
      </c>
      <c r="F32" s="275">
        <v>1</v>
      </c>
      <c r="G32" s="275">
        <v>1</v>
      </c>
      <c r="H32" s="275">
        <v>1</v>
      </c>
      <c r="I32" s="4">
        <v>0.1</v>
      </c>
      <c r="J32" s="133">
        <v>1</v>
      </c>
      <c r="K32" s="4">
        <v>1</v>
      </c>
      <c r="L32" s="4">
        <v>1</v>
      </c>
      <c r="M32" s="275">
        <v>1</v>
      </c>
      <c r="N32" s="275">
        <v>1</v>
      </c>
      <c r="O32" s="275">
        <v>1</v>
      </c>
      <c r="P32" s="133">
        <v>1</v>
      </c>
      <c r="Q32" s="275">
        <v>0.1</v>
      </c>
      <c r="R32" s="275">
        <v>0.1</v>
      </c>
      <c r="S32" s="275">
        <v>1</v>
      </c>
      <c r="T32" s="275">
        <v>1</v>
      </c>
      <c r="U32" s="275">
        <v>1</v>
      </c>
      <c r="V32" s="275">
        <v>1</v>
      </c>
      <c r="W32" s="275">
        <v>1</v>
      </c>
      <c r="X32" s="275">
        <v>0.1</v>
      </c>
      <c r="Y32" s="275">
        <v>0.1</v>
      </c>
      <c r="Z32" s="275">
        <v>1</v>
      </c>
      <c r="AA32" s="133">
        <v>1</v>
      </c>
      <c r="AB32" s="275">
        <v>1</v>
      </c>
      <c r="AC32" s="133">
        <v>1</v>
      </c>
      <c r="AD32" s="275">
        <v>0.1</v>
      </c>
      <c r="AE32" s="133">
        <v>1</v>
      </c>
      <c r="AF32" s="133">
        <v>1</v>
      </c>
      <c r="AG32" s="4">
        <v>1</v>
      </c>
      <c r="AH32" s="275">
        <v>1</v>
      </c>
      <c r="AI32" s="4">
        <v>0.1</v>
      </c>
      <c r="AJ32" s="133">
        <v>1</v>
      </c>
      <c r="AK32" s="275">
        <v>1</v>
      </c>
      <c r="AL32" s="275">
        <v>1</v>
      </c>
      <c r="AM32" s="275">
        <v>1</v>
      </c>
      <c r="AN32" s="275">
        <v>1</v>
      </c>
      <c r="AO32" s="275">
        <v>1</v>
      </c>
      <c r="AP32" s="133">
        <v>1</v>
      </c>
      <c r="AQ32" s="133">
        <v>1</v>
      </c>
      <c r="AR32" s="133">
        <v>1</v>
      </c>
      <c r="AS32" s="275">
        <v>1</v>
      </c>
      <c r="AT32" s="275">
        <v>1</v>
      </c>
      <c r="AU32" s="275">
        <v>1</v>
      </c>
      <c r="AV32" s="275">
        <v>1</v>
      </c>
      <c r="AW32" s="275">
        <v>1</v>
      </c>
      <c r="AX32" s="275">
        <v>1</v>
      </c>
      <c r="AY32" s="275">
        <v>1</v>
      </c>
      <c r="AZ32" s="275">
        <v>1</v>
      </c>
      <c r="BA32" s="275">
        <v>1</v>
      </c>
      <c r="BB32" s="275">
        <v>1</v>
      </c>
      <c r="BC32" s="275">
        <v>1</v>
      </c>
      <c r="BD32" s="4">
        <v>1</v>
      </c>
      <c r="BE32" s="275">
        <v>1</v>
      </c>
      <c r="BF32" s="133">
        <v>1</v>
      </c>
      <c r="BG32" s="275">
        <v>1</v>
      </c>
      <c r="BH32" s="275">
        <v>1</v>
      </c>
      <c r="BI32" s="275">
        <v>1</v>
      </c>
      <c r="BJ32" s="275">
        <v>1</v>
      </c>
      <c r="BK32" s="4">
        <v>0.1</v>
      </c>
      <c r="BL32" s="4">
        <v>0.1</v>
      </c>
      <c r="BM32" s="4">
        <v>0.1</v>
      </c>
      <c r="BN32" s="133">
        <v>1</v>
      </c>
      <c r="BO32" s="275">
        <v>1</v>
      </c>
      <c r="BP32" s="4">
        <v>0.1</v>
      </c>
      <c r="BQ32" s="275">
        <v>1</v>
      </c>
      <c r="BR32" s="4">
        <v>1</v>
      </c>
      <c r="BS32" s="275">
        <v>1</v>
      </c>
      <c r="BT32" s="275">
        <v>1</v>
      </c>
      <c r="BU32" s="275">
        <v>1</v>
      </c>
      <c r="BV32" s="275">
        <v>1</v>
      </c>
      <c r="BW32" s="133">
        <v>1</v>
      </c>
      <c r="BX32" s="275">
        <v>1</v>
      </c>
      <c r="BY32" s="275">
        <v>1</v>
      </c>
      <c r="BZ32" s="4">
        <v>0.1</v>
      </c>
      <c r="CA32" s="4">
        <v>0.1</v>
      </c>
      <c r="CB32" s="4">
        <v>0.1</v>
      </c>
      <c r="CC32" s="133">
        <v>1</v>
      </c>
      <c r="CD32" s="275">
        <v>1</v>
      </c>
      <c r="CE32" s="275">
        <v>1</v>
      </c>
      <c r="CF32" s="133">
        <v>1</v>
      </c>
      <c r="CG32" s="275">
        <v>1</v>
      </c>
      <c r="CH32" s="4">
        <v>1</v>
      </c>
      <c r="CI32" s="275">
        <v>1</v>
      </c>
      <c r="CJ32" s="275">
        <v>1</v>
      </c>
      <c r="CK32" s="275">
        <v>1</v>
      </c>
      <c r="CL32" s="275">
        <v>1</v>
      </c>
      <c r="CM32" s="275">
        <v>0.1</v>
      </c>
      <c r="CN32" s="275">
        <v>0.1</v>
      </c>
      <c r="CO32" s="275">
        <v>0.1</v>
      </c>
      <c r="CP32" s="275">
        <v>0.1</v>
      </c>
      <c r="CQ32" s="133">
        <v>1</v>
      </c>
      <c r="CR32" s="133">
        <v>1</v>
      </c>
      <c r="CS32" s="275">
        <v>1</v>
      </c>
      <c r="CT32" s="275">
        <v>1</v>
      </c>
      <c r="CU32" s="275">
        <v>1</v>
      </c>
      <c r="CV32" s="275">
        <v>1</v>
      </c>
      <c r="CW32" s="133">
        <v>1</v>
      </c>
      <c r="CX32" s="275">
        <v>0.1</v>
      </c>
      <c r="CY32" s="275">
        <v>1</v>
      </c>
      <c r="CZ32" s="275">
        <v>1</v>
      </c>
      <c r="DA32" s="133">
        <v>1</v>
      </c>
      <c r="DB32" s="275">
        <v>1</v>
      </c>
      <c r="DC32" s="133">
        <v>1</v>
      </c>
      <c r="DD32" s="133">
        <v>1</v>
      </c>
      <c r="DE32" s="133">
        <v>1</v>
      </c>
      <c r="DF32" s="133">
        <v>1</v>
      </c>
      <c r="DG32" s="133">
        <v>1</v>
      </c>
      <c r="DH32" s="133">
        <v>1</v>
      </c>
      <c r="DI32" s="133">
        <v>1</v>
      </c>
      <c r="DJ32" s="133">
        <v>1</v>
      </c>
      <c r="DK32" s="133">
        <v>1</v>
      </c>
      <c r="DL32" s="133">
        <v>1</v>
      </c>
      <c r="DM32" s="275">
        <v>1</v>
      </c>
      <c r="DN32" s="275">
        <v>1</v>
      </c>
      <c r="DO32" s="275">
        <v>1</v>
      </c>
      <c r="DP32" s="275">
        <v>1</v>
      </c>
      <c r="DQ32" s="275">
        <v>1</v>
      </c>
    </row>
    <row r="33" spans="2:121" ht="14.25" customHeight="1" x14ac:dyDescent="0.3">
      <c r="B33" s="108">
        <v>0.30208333333333298</v>
      </c>
      <c r="D33" s="4">
        <v>1</v>
      </c>
      <c r="E33" s="133">
        <v>1</v>
      </c>
      <c r="F33" s="275">
        <v>1</v>
      </c>
      <c r="G33" s="275">
        <v>1</v>
      </c>
      <c r="H33" s="275">
        <v>1</v>
      </c>
      <c r="I33" s="4">
        <v>0.1</v>
      </c>
      <c r="J33" s="133">
        <v>1</v>
      </c>
      <c r="K33" s="4">
        <v>1</v>
      </c>
      <c r="L33" s="4">
        <v>1</v>
      </c>
      <c r="M33" s="275">
        <v>1</v>
      </c>
      <c r="N33" s="275">
        <v>1</v>
      </c>
      <c r="O33" s="275">
        <v>1</v>
      </c>
      <c r="P33" s="133">
        <v>1</v>
      </c>
      <c r="Q33" s="275">
        <v>0.1</v>
      </c>
      <c r="R33" s="275">
        <v>0.1</v>
      </c>
      <c r="S33" s="275">
        <v>1</v>
      </c>
      <c r="T33" s="275">
        <v>1</v>
      </c>
      <c r="U33" s="275">
        <v>1</v>
      </c>
      <c r="V33" s="275">
        <v>1</v>
      </c>
      <c r="W33" s="275">
        <v>1</v>
      </c>
      <c r="X33" s="275">
        <v>0.1</v>
      </c>
      <c r="Y33" s="275">
        <v>0.1</v>
      </c>
      <c r="Z33" s="275">
        <v>1</v>
      </c>
      <c r="AA33" s="133">
        <v>1</v>
      </c>
      <c r="AB33" s="275">
        <v>1</v>
      </c>
      <c r="AC33" s="133">
        <v>1</v>
      </c>
      <c r="AD33" s="275">
        <v>0.1</v>
      </c>
      <c r="AE33" s="133">
        <v>1</v>
      </c>
      <c r="AF33" s="133">
        <v>1</v>
      </c>
      <c r="AG33" s="4">
        <v>1</v>
      </c>
      <c r="AH33" s="275">
        <v>1</v>
      </c>
      <c r="AI33" s="4">
        <v>0.1</v>
      </c>
      <c r="AJ33" s="133">
        <v>1</v>
      </c>
      <c r="AK33" s="275">
        <v>1</v>
      </c>
      <c r="AL33" s="275">
        <v>1</v>
      </c>
      <c r="AM33" s="275">
        <v>1</v>
      </c>
      <c r="AN33" s="275">
        <v>1</v>
      </c>
      <c r="AO33" s="275">
        <v>1</v>
      </c>
      <c r="AP33" s="133">
        <v>1</v>
      </c>
      <c r="AQ33" s="133">
        <v>1</v>
      </c>
      <c r="AR33" s="133">
        <v>1</v>
      </c>
      <c r="AS33" s="275">
        <v>1</v>
      </c>
      <c r="AT33" s="275">
        <v>1</v>
      </c>
      <c r="AU33" s="275">
        <v>1</v>
      </c>
      <c r="AV33" s="275">
        <v>1</v>
      </c>
      <c r="AW33" s="275">
        <v>1</v>
      </c>
      <c r="AX33" s="275">
        <v>1</v>
      </c>
      <c r="AY33" s="275">
        <v>1</v>
      </c>
      <c r="AZ33" s="275">
        <v>1</v>
      </c>
      <c r="BA33" s="275">
        <v>1</v>
      </c>
      <c r="BB33" s="275">
        <v>1</v>
      </c>
      <c r="BC33" s="275">
        <v>1</v>
      </c>
      <c r="BD33" s="4">
        <v>1</v>
      </c>
      <c r="BE33" s="275">
        <v>1</v>
      </c>
      <c r="BF33" s="133">
        <v>1</v>
      </c>
      <c r="BG33" s="275">
        <v>1</v>
      </c>
      <c r="BH33" s="275">
        <v>1</v>
      </c>
      <c r="BI33" s="275">
        <v>1</v>
      </c>
      <c r="BJ33" s="275">
        <v>1</v>
      </c>
      <c r="BK33" s="4">
        <v>0.1</v>
      </c>
      <c r="BL33" s="4">
        <v>0.1</v>
      </c>
      <c r="BM33" s="4">
        <v>0.1</v>
      </c>
      <c r="BN33" s="133">
        <v>1</v>
      </c>
      <c r="BO33" s="275">
        <v>1</v>
      </c>
      <c r="BP33" s="4">
        <v>0.1</v>
      </c>
      <c r="BQ33" s="275">
        <v>1</v>
      </c>
      <c r="BR33" s="4">
        <v>1</v>
      </c>
      <c r="BS33" s="275">
        <v>1</v>
      </c>
      <c r="BT33" s="275">
        <v>1</v>
      </c>
      <c r="BU33" s="275">
        <v>1</v>
      </c>
      <c r="BV33" s="275">
        <v>1</v>
      </c>
      <c r="BW33" s="133">
        <v>1</v>
      </c>
      <c r="BX33" s="275">
        <v>1</v>
      </c>
      <c r="BY33" s="275">
        <v>1</v>
      </c>
      <c r="BZ33" s="4">
        <v>0.1</v>
      </c>
      <c r="CA33" s="4">
        <v>0.1</v>
      </c>
      <c r="CB33" s="4">
        <v>0.1</v>
      </c>
      <c r="CC33" s="133">
        <v>1</v>
      </c>
      <c r="CD33" s="275">
        <v>1</v>
      </c>
      <c r="CE33" s="275">
        <v>1</v>
      </c>
      <c r="CF33" s="133">
        <v>1</v>
      </c>
      <c r="CG33" s="275">
        <v>1</v>
      </c>
      <c r="CH33" s="4">
        <v>1</v>
      </c>
      <c r="CI33" s="275">
        <v>1</v>
      </c>
      <c r="CJ33" s="275">
        <v>1</v>
      </c>
      <c r="CK33" s="275">
        <v>1</v>
      </c>
      <c r="CL33" s="275">
        <v>1</v>
      </c>
      <c r="CM33" s="275">
        <v>0.1</v>
      </c>
      <c r="CN33" s="275">
        <v>0.1</v>
      </c>
      <c r="CO33" s="275">
        <v>0.1</v>
      </c>
      <c r="CP33" s="275">
        <v>0.1</v>
      </c>
      <c r="CQ33" s="133">
        <v>1</v>
      </c>
      <c r="CR33" s="133">
        <v>1</v>
      </c>
      <c r="CS33" s="275">
        <v>1</v>
      </c>
      <c r="CT33" s="275">
        <v>1</v>
      </c>
      <c r="CU33" s="275">
        <v>1</v>
      </c>
      <c r="CV33" s="275">
        <v>1</v>
      </c>
      <c r="CW33" s="133">
        <v>1</v>
      </c>
      <c r="CX33" s="275">
        <v>0.1</v>
      </c>
      <c r="CY33" s="275">
        <v>1</v>
      </c>
      <c r="CZ33" s="275">
        <v>1</v>
      </c>
      <c r="DA33" s="133">
        <v>1</v>
      </c>
      <c r="DB33" s="275">
        <v>1</v>
      </c>
      <c r="DC33" s="133">
        <v>1</v>
      </c>
      <c r="DD33" s="133">
        <v>1</v>
      </c>
      <c r="DE33" s="133">
        <v>1</v>
      </c>
      <c r="DF33" s="133">
        <v>1</v>
      </c>
      <c r="DG33" s="133">
        <v>1</v>
      </c>
      <c r="DH33" s="133">
        <v>1</v>
      </c>
      <c r="DI33" s="133">
        <v>1</v>
      </c>
      <c r="DJ33" s="133">
        <v>1</v>
      </c>
      <c r="DK33" s="133">
        <v>1</v>
      </c>
      <c r="DL33" s="133">
        <v>1</v>
      </c>
      <c r="DM33" s="275">
        <v>1</v>
      </c>
      <c r="DN33" s="275">
        <v>1</v>
      </c>
      <c r="DO33" s="275">
        <v>1</v>
      </c>
      <c r="DP33" s="275">
        <v>1</v>
      </c>
      <c r="DQ33" s="275">
        <v>1</v>
      </c>
    </row>
    <row r="34" spans="2:121" ht="14.25" customHeight="1" x14ac:dyDescent="0.3">
      <c r="B34" s="108">
        <v>0.3125</v>
      </c>
      <c r="D34" s="4">
        <v>1</v>
      </c>
      <c r="E34" s="133">
        <v>1</v>
      </c>
      <c r="F34" s="275">
        <v>1</v>
      </c>
      <c r="G34" s="275">
        <v>1</v>
      </c>
      <c r="H34" s="275">
        <v>1</v>
      </c>
      <c r="I34" s="133">
        <v>1</v>
      </c>
      <c r="J34" s="133">
        <v>1</v>
      </c>
      <c r="K34" s="4">
        <v>1</v>
      </c>
      <c r="L34" s="4">
        <v>1</v>
      </c>
      <c r="M34" s="275">
        <v>1</v>
      </c>
      <c r="N34" s="275">
        <v>1</v>
      </c>
      <c r="O34" s="275">
        <v>1</v>
      </c>
      <c r="P34" s="133">
        <v>1</v>
      </c>
      <c r="Q34" s="275">
        <v>0.1</v>
      </c>
      <c r="R34" s="275">
        <v>0.1</v>
      </c>
      <c r="S34" s="275">
        <v>1</v>
      </c>
      <c r="T34" s="275">
        <v>1</v>
      </c>
      <c r="U34" s="275">
        <v>1</v>
      </c>
      <c r="V34" s="275">
        <v>1</v>
      </c>
      <c r="W34" s="275">
        <v>1</v>
      </c>
      <c r="X34" s="275">
        <v>0.1</v>
      </c>
      <c r="Y34" s="275">
        <v>0.1</v>
      </c>
      <c r="Z34" s="275">
        <v>1</v>
      </c>
      <c r="AA34" s="133">
        <v>1</v>
      </c>
      <c r="AB34" s="275">
        <v>1</v>
      </c>
      <c r="AC34" s="133">
        <v>1</v>
      </c>
      <c r="AD34" s="275">
        <v>0.1</v>
      </c>
      <c r="AE34" s="133">
        <v>1</v>
      </c>
      <c r="AF34" s="133">
        <v>1</v>
      </c>
      <c r="AG34" s="4">
        <v>1</v>
      </c>
      <c r="AH34" s="275">
        <v>1</v>
      </c>
      <c r="AI34" s="4">
        <v>1</v>
      </c>
      <c r="AJ34" s="133">
        <v>1</v>
      </c>
      <c r="AK34" s="275">
        <v>1</v>
      </c>
      <c r="AL34" s="275">
        <v>1</v>
      </c>
      <c r="AM34" s="275">
        <v>1</v>
      </c>
      <c r="AN34" s="275">
        <v>1</v>
      </c>
      <c r="AO34" s="275">
        <v>1</v>
      </c>
      <c r="AP34" s="133">
        <v>1</v>
      </c>
      <c r="AQ34" s="133">
        <v>1</v>
      </c>
      <c r="AR34" s="133">
        <v>1</v>
      </c>
      <c r="AS34" s="275">
        <v>1</v>
      </c>
      <c r="AT34" s="275">
        <v>1</v>
      </c>
      <c r="AU34" s="275">
        <v>1</v>
      </c>
      <c r="AV34" s="275">
        <v>1</v>
      </c>
      <c r="AW34" s="275">
        <v>1</v>
      </c>
      <c r="AX34" s="275">
        <v>1</v>
      </c>
      <c r="AY34" s="275">
        <v>1</v>
      </c>
      <c r="AZ34" s="275">
        <v>1</v>
      </c>
      <c r="BA34" s="275">
        <v>1</v>
      </c>
      <c r="BB34" s="275">
        <v>1</v>
      </c>
      <c r="BC34" s="275">
        <v>1</v>
      </c>
      <c r="BD34" s="4">
        <v>1</v>
      </c>
      <c r="BE34" s="275">
        <v>1</v>
      </c>
      <c r="BF34" s="133">
        <v>1</v>
      </c>
      <c r="BG34" s="275">
        <v>1</v>
      </c>
      <c r="BH34" s="275">
        <v>1</v>
      </c>
      <c r="BI34" s="275">
        <v>1</v>
      </c>
      <c r="BJ34" s="275">
        <v>1</v>
      </c>
      <c r="BK34" s="4">
        <v>0.1</v>
      </c>
      <c r="BL34" s="4">
        <v>0.1</v>
      </c>
      <c r="BM34" s="4">
        <v>0.1</v>
      </c>
      <c r="BN34" s="133">
        <v>1</v>
      </c>
      <c r="BO34" s="275">
        <v>1</v>
      </c>
      <c r="BP34" s="133">
        <v>1</v>
      </c>
      <c r="BQ34" s="275">
        <v>1</v>
      </c>
      <c r="BR34" s="4">
        <v>1</v>
      </c>
      <c r="BS34" s="275">
        <v>1</v>
      </c>
      <c r="BT34" s="275">
        <v>1</v>
      </c>
      <c r="BU34" s="275">
        <v>1</v>
      </c>
      <c r="BV34" s="275">
        <v>1</v>
      </c>
      <c r="BW34" s="133">
        <v>1</v>
      </c>
      <c r="BX34" s="275">
        <v>1</v>
      </c>
      <c r="BY34" s="275">
        <v>1</v>
      </c>
      <c r="BZ34" s="133">
        <v>1</v>
      </c>
      <c r="CA34" s="133">
        <v>1</v>
      </c>
      <c r="CB34" s="133">
        <v>1</v>
      </c>
      <c r="CC34" s="133">
        <v>1</v>
      </c>
      <c r="CD34" s="275">
        <v>1</v>
      </c>
      <c r="CE34" s="275">
        <v>1</v>
      </c>
      <c r="CF34" s="133">
        <v>1</v>
      </c>
      <c r="CG34" s="275">
        <v>1</v>
      </c>
      <c r="CH34" s="4">
        <v>1</v>
      </c>
      <c r="CI34" s="275">
        <v>1</v>
      </c>
      <c r="CJ34" s="275">
        <v>1</v>
      </c>
      <c r="CK34" s="275">
        <v>1</v>
      </c>
      <c r="CL34" s="275">
        <v>1</v>
      </c>
      <c r="CM34" s="275">
        <v>0.1</v>
      </c>
      <c r="CN34" s="275">
        <v>0.1</v>
      </c>
      <c r="CO34" s="275">
        <v>0.1</v>
      </c>
      <c r="CP34" s="275">
        <v>0.1</v>
      </c>
      <c r="CQ34" s="133">
        <v>1</v>
      </c>
      <c r="CR34" s="133">
        <v>1</v>
      </c>
      <c r="CS34" s="275">
        <v>1</v>
      </c>
      <c r="CT34" s="275">
        <v>1</v>
      </c>
      <c r="CU34" s="275">
        <v>1</v>
      </c>
      <c r="CV34" s="275">
        <v>1</v>
      </c>
      <c r="CW34" s="133">
        <v>1</v>
      </c>
      <c r="CX34" s="275">
        <v>0.1</v>
      </c>
      <c r="CY34" s="275">
        <v>1</v>
      </c>
      <c r="CZ34" s="275">
        <v>1</v>
      </c>
      <c r="DA34" s="133">
        <v>1</v>
      </c>
      <c r="DB34" s="275">
        <v>1</v>
      </c>
      <c r="DC34" s="133">
        <v>1</v>
      </c>
      <c r="DD34" s="133">
        <v>1</v>
      </c>
      <c r="DE34" s="133">
        <v>1</v>
      </c>
      <c r="DF34" s="133">
        <v>1</v>
      </c>
      <c r="DG34" s="133">
        <v>1</v>
      </c>
      <c r="DH34" s="133">
        <v>1</v>
      </c>
      <c r="DI34" s="133">
        <v>1</v>
      </c>
      <c r="DJ34" s="133">
        <v>1</v>
      </c>
      <c r="DK34" s="133">
        <v>1</v>
      </c>
      <c r="DL34" s="133">
        <v>1</v>
      </c>
      <c r="DM34" s="275">
        <v>1</v>
      </c>
      <c r="DN34" s="275">
        <v>1</v>
      </c>
      <c r="DO34" s="275">
        <v>1</v>
      </c>
      <c r="DP34" s="275">
        <v>1</v>
      </c>
      <c r="DQ34" s="275">
        <v>1</v>
      </c>
    </row>
    <row r="35" spans="2:121" ht="14.25" customHeight="1" x14ac:dyDescent="0.3">
      <c r="B35" s="108">
        <v>0.32291666666666702</v>
      </c>
      <c r="D35" s="4">
        <v>1</v>
      </c>
      <c r="E35" s="133">
        <v>1</v>
      </c>
      <c r="F35" s="275">
        <v>1</v>
      </c>
      <c r="G35" s="275">
        <v>1</v>
      </c>
      <c r="H35" s="275">
        <v>1</v>
      </c>
      <c r="I35" s="133">
        <v>1</v>
      </c>
      <c r="J35" s="133">
        <v>1</v>
      </c>
      <c r="K35" s="4">
        <v>1</v>
      </c>
      <c r="L35" s="4">
        <v>1</v>
      </c>
      <c r="M35" s="275">
        <v>1</v>
      </c>
      <c r="N35" s="275">
        <v>1</v>
      </c>
      <c r="O35" s="275">
        <v>1</v>
      </c>
      <c r="P35" s="133">
        <v>1</v>
      </c>
      <c r="Q35" s="275">
        <v>0.1</v>
      </c>
      <c r="R35" s="275">
        <v>0.1</v>
      </c>
      <c r="S35" s="275">
        <v>1</v>
      </c>
      <c r="T35" s="275">
        <v>1</v>
      </c>
      <c r="U35" s="275">
        <v>1</v>
      </c>
      <c r="V35" s="275">
        <v>1</v>
      </c>
      <c r="W35" s="275">
        <v>1</v>
      </c>
      <c r="X35" s="275">
        <v>0.1</v>
      </c>
      <c r="Y35" s="275">
        <v>0.1</v>
      </c>
      <c r="Z35" s="275">
        <v>1</v>
      </c>
      <c r="AA35" s="133">
        <v>1</v>
      </c>
      <c r="AB35" s="275">
        <v>1</v>
      </c>
      <c r="AC35" s="133">
        <v>1</v>
      </c>
      <c r="AD35" s="275">
        <v>0.1</v>
      </c>
      <c r="AE35" s="133">
        <v>1</v>
      </c>
      <c r="AF35" s="133">
        <v>1</v>
      </c>
      <c r="AG35" s="4">
        <v>1</v>
      </c>
      <c r="AH35" s="275">
        <v>1</v>
      </c>
      <c r="AI35" s="4">
        <v>1</v>
      </c>
      <c r="AJ35" s="133">
        <v>1</v>
      </c>
      <c r="AK35" s="275">
        <v>1</v>
      </c>
      <c r="AL35" s="275">
        <v>1</v>
      </c>
      <c r="AM35" s="275">
        <v>1</v>
      </c>
      <c r="AN35" s="275">
        <v>1</v>
      </c>
      <c r="AO35" s="275">
        <v>1</v>
      </c>
      <c r="AP35" s="133">
        <v>1</v>
      </c>
      <c r="AQ35" s="133">
        <v>1</v>
      </c>
      <c r="AR35" s="133">
        <v>1</v>
      </c>
      <c r="AS35" s="275">
        <v>1</v>
      </c>
      <c r="AT35" s="275">
        <v>1</v>
      </c>
      <c r="AU35" s="275">
        <v>1</v>
      </c>
      <c r="AV35" s="275">
        <v>1</v>
      </c>
      <c r="AW35" s="275">
        <v>1</v>
      </c>
      <c r="AX35" s="275">
        <v>1</v>
      </c>
      <c r="AY35" s="275">
        <v>1</v>
      </c>
      <c r="AZ35" s="275">
        <v>1</v>
      </c>
      <c r="BA35" s="275">
        <v>1</v>
      </c>
      <c r="BB35" s="275">
        <v>1</v>
      </c>
      <c r="BC35" s="275">
        <v>1</v>
      </c>
      <c r="BD35" s="4">
        <v>1</v>
      </c>
      <c r="BE35" s="275">
        <v>1</v>
      </c>
      <c r="BF35" s="133">
        <v>1</v>
      </c>
      <c r="BG35" s="275">
        <v>1</v>
      </c>
      <c r="BH35" s="275">
        <v>1</v>
      </c>
      <c r="BI35" s="275">
        <v>1</v>
      </c>
      <c r="BJ35" s="275">
        <v>1</v>
      </c>
      <c r="BK35" s="4">
        <v>0.1</v>
      </c>
      <c r="BL35" s="4">
        <v>0.1</v>
      </c>
      <c r="BM35" s="4">
        <v>0.1</v>
      </c>
      <c r="BN35" s="133">
        <v>1</v>
      </c>
      <c r="BO35" s="275">
        <v>1</v>
      </c>
      <c r="BP35" s="133">
        <v>1</v>
      </c>
      <c r="BQ35" s="275">
        <v>1</v>
      </c>
      <c r="BR35" s="4">
        <v>1</v>
      </c>
      <c r="BS35" s="275">
        <v>1</v>
      </c>
      <c r="BT35" s="275">
        <v>1</v>
      </c>
      <c r="BU35" s="275">
        <v>1</v>
      </c>
      <c r="BV35" s="275">
        <v>1</v>
      </c>
      <c r="BW35" s="133">
        <v>1</v>
      </c>
      <c r="BX35" s="275">
        <v>1</v>
      </c>
      <c r="BY35" s="275">
        <v>1</v>
      </c>
      <c r="BZ35" s="133">
        <v>1</v>
      </c>
      <c r="CA35" s="133">
        <v>1</v>
      </c>
      <c r="CB35" s="133">
        <v>1</v>
      </c>
      <c r="CC35" s="133">
        <v>1</v>
      </c>
      <c r="CD35" s="275">
        <v>1</v>
      </c>
      <c r="CE35" s="275">
        <v>1</v>
      </c>
      <c r="CF35" s="133">
        <v>1</v>
      </c>
      <c r="CG35" s="275">
        <v>1</v>
      </c>
      <c r="CH35" s="4">
        <v>1</v>
      </c>
      <c r="CI35" s="275">
        <v>1</v>
      </c>
      <c r="CJ35" s="275">
        <v>1</v>
      </c>
      <c r="CK35" s="275">
        <v>1</v>
      </c>
      <c r="CL35" s="275">
        <v>1</v>
      </c>
      <c r="CM35" s="275">
        <v>0.1</v>
      </c>
      <c r="CN35" s="275">
        <v>0.1</v>
      </c>
      <c r="CO35" s="275">
        <v>0.1</v>
      </c>
      <c r="CP35" s="275">
        <v>0.1</v>
      </c>
      <c r="CQ35" s="133">
        <v>1</v>
      </c>
      <c r="CR35" s="133">
        <v>1</v>
      </c>
      <c r="CS35" s="275">
        <v>1</v>
      </c>
      <c r="CT35" s="275">
        <v>1</v>
      </c>
      <c r="CU35" s="275">
        <v>1</v>
      </c>
      <c r="CV35" s="275">
        <v>1</v>
      </c>
      <c r="CW35" s="133">
        <v>1</v>
      </c>
      <c r="CX35" s="275">
        <v>0.1</v>
      </c>
      <c r="CY35" s="275">
        <v>1</v>
      </c>
      <c r="CZ35" s="275">
        <v>1</v>
      </c>
      <c r="DA35" s="133">
        <v>1</v>
      </c>
      <c r="DB35" s="275">
        <v>1</v>
      </c>
      <c r="DC35" s="133">
        <v>1</v>
      </c>
      <c r="DD35" s="133">
        <v>1</v>
      </c>
      <c r="DE35" s="133">
        <v>1</v>
      </c>
      <c r="DF35" s="133">
        <v>1</v>
      </c>
      <c r="DG35" s="133">
        <v>1</v>
      </c>
      <c r="DH35" s="133">
        <v>1</v>
      </c>
      <c r="DI35" s="133">
        <v>1</v>
      </c>
      <c r="DJ35" s="133">
        <v>1</v>
      </c>
      <c r="DK35" s="133">
        <v>1</v>
      </c>
      <c r="DL35" s="133">
        <v>1</v>
      </c>
      <c r="DM35" s="275">
        <v>1</v>
      </c>
      <c r="DN35" s="275">
        <v>1</v>
      </c>
      <c r="DO35" s="275">
        <v>1</v>
      </c>
      <c r="DP35" s="275">
        <v>1</v>
      </c>
      <c r="DQ35" s="275">
        <v>1</v>
      </c>
    </row>
    <row r="36" spans="2:121" ht="14.25" customHeight="1" x14ac:dyDescent="0.3">
      <c r="B36" s="108">
        <v>0.33333333333333298</v>
      </c>
      <c r="D36" s="4">
        <v>1</v>
      </c>
      <c r="E36" s="133">
        <v>1</v>
      </c>
      <c r="F36" s="275">
        <v>1</v>
      </c>
      <c r="G36" s="275">
        <v>1</v>
      </c>
      <c r="H36" s="275">
        <v>1</v>
      </c>
      <c r="I36" s="4">
        <v>0.1</v>
      </c>
      <c r="J36" s="133">
        <v>1</v>
      </c>
      <c r="K36" s="4">
        <v>1</v>
      </c>
      <c r="L36" s="4">
        <v>1</v>
      </c>
      <c r="M36" s="275">
        <v>1</v>
      </c>
      <c r="N36" s="275">
        <v>1</v>
      </c>
      <c r="O36" s="275">
        <v>1</v>
      </c>
      <c r="P36" s="133">
        <v>1</v>
      </c>
      <c r="Q36" s="275">
        <v>1</v>
      </c>
      <c r="R36" s="275">
        <v>1</v>
      </c>
      <c r="S36" s="275">
        <v>1</v>
      </c>
      <c r="T36" s="275">
        <v>1</v>
      </c>
      <c r="U36" s="275">
        <v>1</v>
      </c>
      <c r="V36" s="275">
        <v>1</v>
      </c>
      <c r="W36" s="275">
        <v>1</v>
      </c>
      <c r="X36" s="275">
        <v>0.1</v>
      </c>
      <c r="Y36" s="275">
        <v>0.1</v>
      </c>
      <c r="Z36" s="275">
        <v>1</v>
      </c>
      <c r="AA36" s="133">
        <v>1</v>
      </c>
      <c r="AB36" s="275">
        <v>1</v>
      </c>
      <c r="AC36" s="133">
        <v>1</v>
      </c>
      <c r="AD36" s="275">
        <v>0.1</v>
      </c>
      <c r="AE36" s="133">
        <v>1</v>
      </c>
      <c r="AF36" s="133">
        <v>1</v>
      </c>
      <c r="AG36" s="4">
        <v>1</v>
      </c>
      <c r="AH36" s="275">
        <v>1</v>
      </c>
      <c r="AI36" s="4">
        <v>1</v>
      </c>
      <c r="AJ36" s="133">
        <v>1</v>
      </c>
      <c r="AK36" s="275">
        <v>1</v>
      </c>
      <c r="AL36" s="275">
        <v>1</v>
      </c>
      <c r="AM36" s="275">
        <v>1</v>
      </c>
      <c r="AN36" s="275">
        <v>1</v>
      </c>
      <c r="AO36" s="275">
        <v>1</v>
      </c>
      <c r="AP36" s="133">
        <v>1</v>
      </c>
      <c r="AQ36" s="133">
        <v>1</v>
      </c>
      <c r="AR36" s="133">
        <v>1</v>
      </c>
      <c r="AS36" s="275">
        <v>1</v>
      </c>
      <c r="AT36" s="275">
        <v>1</v>
      </c>
      <c r="AU36" s="275">
        <v>1</v>
      </c>
      <c r="AV36" s="275">
        <v>1</v>
      </c>
      <c r="AW36" s="275">
        <v>1</v>
      </c>
      <c r="AX36" s="275">
        <v>1</v>
      </c>
      <c r="AY36" s="275">
        <v>1</v>
      </c>
      <c r="AZ36" s="275">
        <v>1</v>
      </c>
      <c r="BA36" s="275">
        <v>1</v>
      </c>
      <c r="BB36" s="275">
        <v>1</v>
      </c>
      <c r="BC36" s="275">
        <v>1</v>
      </c>
      <c r="BD36" s="4">
        <v>1</v>
      </c>
      <c r="BE36" s="275">
        <v>1</v>
      </c>
      <c r="BF36" s="133">
        <v>1</v>
      </c>
      <c r="BG36" s="275">
        <v>1</v>
      </c>
      <c r="BH36" s="275">
        <v>1</v>
      </c>
      <c r="BI36" s="275">
        <v>1</v>
      </c>
      <c r="BJ36" s="275">
        <v>1</v>
      </c>
      <c r="BK36" s="4">
        <v>0.1</v>
      </c>
      <c r="BL36" s="4">
        <v>0.1</v>
      </c>
      <c r="BM36" s="4">
        <v>0.1</v>
      </c>
      <c r="BN36" s="133">
        <v>1</v>
      </c>
      <c r="BO36" s="275">
        <v>1</v>
      </c>
      <c r="BP36" s="4">
        <v>0.1</v>
      </c>
      <c r="BQ36" s="275">
        <v>1</v>
      </c>
      <c r="BR36" s="4">
        <v>1</v>
      </c>
      <c r="BS36" s="275">
        <v>1</v>
      </c>
      <c r="BT36" s="275">
        <v>1</v>
      </c>
      <c r="BU36" s="275">
        <v>1</v>
      </c>
      <c r="BV36" s="275">
        <v>1</v>
      </c>
      <c r="BW36" s="133">
        <v>1</v>
      </c>
      <c r="BX36" s="275">
        <v>1</v>
      </c>
      <c r="BY36" s="275">
        <v>1</v>
      </c>
      <c r="BZ36" s="4">
        <v>0.1</v>
      </c>
      <c r="CA36" s="4">
        <v>0.1</v>
      </c>
      <c r="CB36" s="4">
        <v>0.1</v>
      </c>
      <c r="CC36" s="133">
        <v>1</v>
      </c>
      <c r="CD36" s="275">
        <v>1</v>
      </c>
      <c r="CE36" s="275">
        <v>1</v>
      </c>
      <c r="CF36" s="133">
        <v>1</v>
      </c>
      <c r="CG36" s="275">
        <v>1</v>
      </c>
      <c r="CH36" s="4">
        <v>1</v>
      </c>
      <c r="CI36" s="275">
        <v>1</v>
      </c>
      <c r="CJ36" s="275">
        <v>1</v>
      </c>
      <c r="CK36" s="275">
        <v>1</v>
      </c>
      <c r="CL36" s="275">
        <v>1</v>
      </c>
      <c r="CM36" s="275">
        <v>1</v>
      </c>
      <c r="CN36" s="275">
        <v>1</v>
      </c>
      <c r="CO36" s="275">
        <v>1</v>
      </c>
      <c r="CP36" s="275">
        <v>1</v>
      </c>
      <c r="CQ36" s="133">
        <v>1</v>
      </c>
      <c r="CR36" s="133">
        <v>1</v>
      </c>
      <c r="CS36" s="275">
        <v>1</v>
      </c>
      <c r="CT36" s="275">
        <v>1</v>
      </c>
      <c r="CU36" s="275">
        <v>1</v>
      </c>
      <c r="CV36" s="275">
        <v>1</v>
      </c>
      <c r="CW36" s="133">
        <v>1</v>
      </c>
      <c r="CX36" s="275">
        <v>0.1</v>
      </c>
      <c r="CY36" s="275">
        <v>1</v>
      </c>
      <c r="CZ36" s="275">
        <v>1</v>
      </c>
      <c r="DA36" s="133">
        <v>1</v>
      </c>
      <c r="DB36" s="275">
        <v>1</v>
      </c>
      <c r="DC36" s="133">
        <v>1</v>
      </c>
      <c r="DD36" s="133">
        <v>1</v>
      </c>
      <c r="DE36" s="133">
        <v>1</v>
      </c>
      <c r="DF36" s="133">
        <v>1</v>
      </c>
      <c r="DG36" s="133">
        <v>1</v>
      </c>
      <c r="DH36" s="133">
        <v>1</v>
      </c>
      <c r="DI36" s="133">
        <v>1</v>
      </c>
      <c r="DJ36" s="133">
        <v>1</v>
      </c>
      <c r="DK36" s="133">
        <v>1</v>
      </c>
      <c r="DL36" s="133">
        <v>1</v>
      </c>
      <c r="DM36" s="275">
        <v>1</v>
      </c>
      <c r="DN36" s="275">
        <v>1</v>
      </c>
      <c r="DO36" s="275">
        <v>1</v>
      </c>
      <c r="DP36" s="275">
        <v>1</v>
      </c>
      <c r="DQ36" s="275">
        <v>1</v>
      </c>
    </row>
    <row r="37" spans="2:121" ht="14.25" customHeight="1" x14ac:dyDescent="0.3">
      <c r="B37" s="108">
        <v>0.34375</v>
      </c>
      <c r="D37" s="4">
        <v>1</v>
      </c>
      <c r="E37" s="133">
        <v>1</v>
      </c>
      <c r="F37" s="275">
        <v>1</v>
      </c>
      <c r="G37" s="275">
        <v>1</v>
      </c>
      <c r="H37" s="275">
        <v>1</v>
      </c>
      <c r="I37" s="4">
        <v>0.1</v>
      </c>
      <c r="J37" s="133">
        <v>1</v>
      </c>
      <c r="K37" s="4">
        <v>1</v>
      </c>
      <c r="L37" s="4">
        <v>1</v>
      </c>
      <c r="M37" s="275">
        <v>1</v>
      </c>
      <c r="N37" s="275">
        <v>1</v>
      </c>
      <c r="O37" s="275">
        <v>1</v>
      </c>
      <c r="P37" s="133">
        <v>1</v>
      </c>
      <c r="Q37" s="275">
        <v>1</v>
      </c>
      <c r="R37" s="275">
        <v>1</v>
      </c>
      <c r="S37" s="275">
        <v>1</v>
      </c>
      <c r="T37" s="275">
        <v>1</v>
      </c>
      <c r="U37" s="275">
        <v>1</v>
      </c>
      <c r="V37" s="275">
        <v>1</v>
      </c>
      <c r="W37" s="275">
        <v>1</v>
      </c>
      <c r="X37" s="275">
        <v>0.1</v>
      </c>
      <c r="Y37" s="275">
        <v>0.1</v>
      </c>
      <c r="Z37" s="275">
        <v>1</v>
      </c>
      <c r="AA37" s="133">
        <v>1</v>
      </c>
      <c r="AB37" s="275">
        <v>1</v>
      </c>
      <c r="AC37" s="133">
        <v>1</v>
      </c>
      <c r="AD37" s="275">
        <v>0.1</v>
      </c>
      <c r="AE37" s="133">
        <v>1</v>
      </c>
      <c r="AF37" s="133">
        <v>1</v>
      </c>
      <c r="AG37" s="4">
        <v>1</v>
      </c>
      <c r="AH37" s="275">
        <v>1</v>
      </c>
      <c r="AI37" s="4">
        <v>1</v>
      </c>
      <c r="AJ37" s="133">
        <v>1</v>
      </c>
      <c r="AK37" s="275">
        <v>1</v>
      </c>
      <c r="AL37" s="275">
        <v>1</v>
      </c>
      <c r="AM37" s="275">
        <v>1</v>
      </c>
      <c r="AN37" s="275">
        <v>1</v>
      </c>
      <c r="AO37" s="275">
        <v>1</v>
      </c>
      <c r="AP37" s="133">
        <v>1</v>
      </c>
      <c r="AQ37" s="133">
        <v>1</v>
      </c>
      <c r="AR37" s="133">
        <v>1</v>
      </c>
      <c r="AS37" s="275">
        <v>1</v>
      </c>
      <c r="AT37" s="275">
        <v>1</v>
      </c>
      <c r="AU37" s="275">
        <v>1</v>
      </c>
      <c r="AV37" s="275">
        <v>1</v>
      </c>
      <c r="AW37" s="275">
        <v>1</v>
      </c>
      <c r="AX37" s="275">
        <v>1</v>
      </c>
      <c r="AY37" s="275">
        <v>1</v>
      </c>
      <c r="AZ37" s="275">
        <v>1</v>
      </c>
      <c r="BA37" s="275">
        <v>1</v>
      </c>
      <c r="BB37" s="275">
        <v>1</v>
      </c>
      <c r="BC37" s="275">
        <v>1</v>
      </c>
      <c r="BD37" s="4">
        <v>1</v>
      </c>
      <c r="BE37" s="275">
        <v>1</v>
      </c>
      <c r="BF37" s="133">
        <v>1</v>
      </c>
      <c r="BG37" s="275">
        <v>1</v>
      </c>
      <c r="BH37" s="275">
        <v>1</v>
      </c>
      <c r="BI37" s="275">
        <v>1</v>
      </c>
      <c r="BJ37" s="275">
        <v>1</v>
      </c>
      <c r="BK37" s="4">
        <v>0.1</v>
      </c>
      <c r="BL37" s="4">
        <v>0.1</v>
      </c>
      <c r="BM37" s="4">
        <v>0.1</v>
      </c>
      <c r="BN37" s="133">
        <v>1</v>
      </c>
      <c r="BO37" s="275">
        <v>1</v>
      </c>
      <c r="BP37" s="4">
        <v>0.1</v>
      </c>
      <c r="BQ37" s="275">
        <v>1</v>
      </c>
      <c r="BR37" s="4">
        <v>1</v>
      </c>
      <c r="BS37" s="275">
        <v>1</v>
      </c>
      <c r="BT37" s="275">
        <v>1</v>
      </c>
      <c r="BU37" s="275">
        <v>1</v>
      </c>
      <c r="BV37" s="275">
        <v>1</v>
      </c>
      <c r="BW37" s="133">
        <v>1</v>
      </c>
      <c r="BX37" s="275">
        <v>1</v>
      </c>
      <c r="BY37" s="275">
        <v>1</v>
      </c>
      <c r="BZ37" s="4">
        <v>0.1</v>
      </c>
      <c r="CA37" s="4">
        <v>0.1</v>
      </c>
      <c r="CB37" s="4">
        <v>0.1</v>
      </c>
      <c r="CC37" s="133">
        <v>1</v>
      </c>
      <c r="CD37" s="275">
        <v>1</v>
      </c>
      <c r="CE37" s="275">
        <v>1</v>
      </c>
      <c r="CF37" s="133">
        <v>1</v>
      </c>
      <c r="CG37" s="275">
        <v>1</v>
      </c>
      <c r="CH37" s="4">
        <v>1</v>
      </c>
      <c r="CI37" s="275">
        <v>1</v>
      </c>
      <c r="CJ37" s="275">
        <v>1</v>
      </c>
      <c r="CK37" s="275">
        <v>1</v>
      </c>
      <c r="CL37" s="275">
        <v>1</v>
      </c>
      <c r="CM37" s="275">
        <v>1</v>
      </c>
      <c r="CN37" s="275">
        <v>1</v>
      </c>
      <c r="CO37" s="275">
        <v>1</v>
      </c>
      <c r="CP37" s="275">
        <v>1</v>
      </c>
      <c r="CQ37" s="133">
        <v>1</v>
      </c>
      <c r="CR37" s="133">
        <v>1</v>
      </c>
      <c r="CS37" s="275">
        <v>1</v>
      </c>
      <c r="CT37" s="275">
        <v>1</v>
      </c>
      <c r="CU37" s="275">
        <v>1</v>
      </c>
      <c r="CV37" s="275">
        <v>1</v>
      </c>
      <c r="CW37" s="133">
        <v>1</v>
      </c>
      <c r="CX37" s="275">
        <v>0.1</v>
      </c>
      <c r="CY37" s="275">
        <v>1</v>
      </c>
      <c r="CZ37" s="275">
        <v>1</v>
      </c>
      <c r="DA37" s="133">
        <v>1</v>
      </c>
      <c r="DB37" s="275">
        <v>1</v>
      </c>
      <c r="DC37" s="133">
        <v>1</v>
      </c>
      <c r="DD37" s="133">
        <v>1</v>
      </c>
      <c r="DE37" s="133">
        <v>1</v>
      </c>
      <c r="DF37" s="133">
        <v>1</v>
      </c>
      <c r="DG37" s="133">
        <v>1</v>
      </c>
      <c r="DH37" s="133">
        <v>1</v>
      </c>
      <c r="DI37" s="133">
        <v>1</v>
      </c>
      <c r="DJ37" s="133">
        <v>1</v>
      </c>
      <c r="DK37" s="133">
        <v>1</v>
      </c>
      <c r="DL37" s="133">
        <v>1</v>
      </c>
      <c r="DM37" s="275">
        <v>1</v>
      </c>
      <c r="DN37" s="275">
        <v>1</v>
      </c>
      <c r="DO37" s="275">
        <v>1</v>
      </c>
      <c r="DP37" s="275">
        <v>1</v>
      </c>
      <c r="DQ37" s="275">
        <v>1</v>
      </c>
    </row>
    <row r="38" spans="2:121" ht="14.25" customHeight="1" x14ac:dyDescent="0.3">
      <c r="B38" s="108">
        <v>0.35416666666666702</v>
      </c>
      <c r="D38" s="4">
        <v>1</v>
      </c>
      <c r="E38" s="133">
        <v>1</v>
      </c>
      <c r="F38" s="275">
        <v>1</v>
      </c>
      <c r="G38" s="275">
        <v>1</v>
      </c>
      <c r="H38" s="275">
        <v>1</v>
      </c>
      <c r="I38" s="4">
        <v>1</v>
      </c>
      <c r="J38" s="133">
        <v>1</v>
      </c>
      <c r="K38" s="4">
        <v>1</v>
      </c>
      <c r="L38" s="4">
        <v>1</v>
      </c>
      <c r="M38" s="275">
        <v>1</v>
      </c>
      <c r="N38" s="275">
        <v>1</v>
      </c>
      <c r="O38" s="275">
        <v>1</v>
      </c>
      <c r="P38" s="133">
        <v>1</v>
      </c>
      <c r="Q38" s="275">
        <v>1</v>
      </c>
      <c r="R38" s="275">
        <v>1</v>
      </c>
      <c r="S38" s="275">
        <v>1</v>
      </c>
      <c r="T38" s="275">
        <v>1</v>
      </c>
      <c r="U38" s="275">
        <v>1</v>
      </c>
      <c r="V38" s="275">
        <v>1</v>
      </c>
      <c r="W38" s="275">
        <v>1</v>
      </c>
      <c r="X38" s="275">
        <v>0.1</v>
      </c>
      <c r="Y38" s="275">
        <v>0.1</v>
      </c>
      <c r="Z38" s="275">
        <v>1</v>
      </c>
      <c r="AA38" s="133">
        <v>1</v>
      </c>
      <c r="AB38" s="275">
        <v>1</v>
      </c>
      <c r="AC38" s="133">
        <v>1</v>
      </c>
      <c r="AD38" s="275">
        <v>0.1</v>
      </c>
      <c r="AE38" s="133">
        <v>1</v>
      </c>
      <c r="AF38" s="133">
        <v>1</v>
      </c>
      <c r="AG38" s="4">
        <v>1</v>
      </c>
      <c r="AH38" s="275">
        <v>1</v>
      </c>
      <c r="AI38" s="4">
        <v>0.1</v>
      </c>
      <c r="AJ38" s="133">
        <v>1</v>
      </c>
      <c r="AK38" s="275">
        <v>1</v>
      </c>
      <c r="AL38" s="275">
        <v>1</v>
      </c>
      <c r="AM38" s="275">
        <v>1</v>
      </c>
      <c r="AN38" s="275">
        <v>1</v>
      </c>
      <c r="AO38" s="275">
        <v>1</v>
      </c>
      <c r="AP38" s="133">
        <v>1</v>
      </c>
      <c r="AQ38" s="133">
        <v>1</v>
      </c>
      <c r="AR38" s="133">
        <v>1</v>
      </c>
      <c r="AS38" s="275">
        <v>1</v>
      </c>
      <c r="AT38" s="275">
        <v>1</v>
      </c>
      <c r="AU38" s="275">
        <v>1</v>
      </c>
      <c r="AV38" s="275">
        <v>1</v>
      </c>
      <c r="AW38" s="275">
        <v>1</v>
      </c>
      <c r="AX38" s="275">
        <v>1</v>
      </c>
      <c r="AY38" s="275">
        <v>1</v>
      </c>
      <c r="AZ38" s="275">
        <v>1</v>
      </c>
      <c r="BA38" s="275">
        <v>1</v>
      </c>
      <c r="BB38" s="275">
        <v>1</v>
      </c>
      <c r="BC38" s="275">
        <v>1</v>
      </c>
      <c r="BD38" s="4">
        <v>1</v>
      </c>
      <c r="BE38" s="275">
        <v>1</v>
      </c>
      <c r="BF38" s="133">
        <v>1</v>
      </c>
      <c r="BG38" s="275">
        <v>1</v>
      </c>
      <c r="BH38" s="275">
        <v>1</v>
      </c>
      <c r="BI38" s="275">
        <v>1</v>
      </c>
      <c r="BJ38" s="275">
        <v>1</v>
      </c>
      <c r="BK38" s="4">
        <v>0.1</v>
      </c>
      <c r="BL38" s="4">
        <v>0.1</v>
      </c>
      <c r="BM38" s="4">
        <v>0.1</v>
      </c>
      <c r="BN38" s="133">
        <v>1</v>
      </c>
      <c r="BO38" s="275">
        <v>1</v>
      </c>
      <c r="BP38" s="4">
        <v>1</v>
      </c>
      <c r="BQ38" s="275">
        <v>1</v>
      </c>
      <c r="BR38" s="4">
        <v>1</v>
      </c>
      <c r="BS38" s="275">
        <v>1</v>
      </c>
      <c r="BT38" s="275">
        <v>1</v>
      </c>
      <c r="BU38" s="275">
        <v>1</v>
      </c>
      <c r="BV38" s="275">
        <v>1</v>
      </c>
      <c r="BW38" s="133">
        <v>1</v>
      </c>
      <c r="BX38" s="275">
        <v>1</v>
      </c>
      <c r="BY38" s="275">
        <v>1</v>
      </c>
      <c r="BZ38" s="4">
        <v>1</v>
      </c>
      <c r="CA38" s="4">
        <v>1</v>
      </c>
      <c r="CB38" s="4">
        <v>1</v>
      </c>
      <c r="CC38" s="133">
        <v>1</v>
      </c>
      <c r="CD38" s="275">
        <v>1</v>
      </c>
      <c r="CE38" s="275">
        <v>1</v>
      </c>
      <c r="CF38" s="133">
        <v>1</v>
      </c>
      <c r="CG38" s="275">
        <v>1</v>
      </c>
      <c r="CH38" s="4">
        <v>1</v>
      </c>
      <c r="CI38" s="275">
        <v>1</v>
      </c>
      <c r="CJ38" s="275">
        <v>1</v>
      </c>
      <c r="CK38" s="275">
        <v>1</v>
      </c>
      <c r="CL38" s="275">
        <v>1</v>
      </c>
      <c r="CM38" s="275">
        <v>1</v>
      </c>
      <c r="CN38" s="275">
        <v>1</v>
      </c>
      <c r="CO38" s="275">
        <v>1</v>
      </c>
      <c r="CP38" s="275">
        <v>1</v>
      </c>
      <c r="CQ38" s="133">
        <v>1</v>
      </c>
      <c r="CR38" s="133">
        <v>1</v>
      </c>
      <c r="CS38" s="275">
        <v>1</v>
      </c>
      <c r="CT38" s="275">
        <v>1</v>
      </c>
      <c r="CU38" s="275">
        <v>1</v>
      </c>
      <c r="CV38" s="275">
        <v>1</v>
      </c>
      <c r="CW38" s="133">
        <v>1</v>
      </c>
      <c r="CX38" s="275">
        <v>0.1</v>
      </c>
      <c r="CY38" s="275">
        <v>1</v>
      </c>
      <c r="CZ38" s="275">
        <v>1</v>
      </c>
      <c r="DA38" s="133">
        <v>1</v>
      </c>
      <c r="DB38" s="275">
        <v>1</v>
      </c>
      <c r="DC38" s="133">
        <v>1</v>
      </c>
      <c r="DD38" s="133">
        <v>1</v>
      </c>
      <c r="DE38" s="133">
        <v>1</v>
      </c>
      <c r="DF38" s="133">
        <v>1</v>
      </c>
      <c r="DG38" s="133">
        <v>1</v>
      </c>
      <c r="DH38" s="133">
        <v>1</v>
      </c>
      <c r="DI38" s="133">
        <v>1</v>
      </c>
      <c r="DJ38" s="133">
        <v>1</v>
      </c>
      <c r="DK38" s="133">
        <v>1</v>
      </c>
      <c r="DL38" s="133">
        <v>1</v>
      </c>
      <c r="DM38" s="275">
        <v>1</v>
      </c>
      <c r="DN38" s="275">
        <v>1</v>
      </c>
      <c r="DO38" s="275">
        <v>1</v>
      </c>
      <c r="DP38" s="275">
        <v>1</v>
      </c>
      <c r="DQ38" s="275">
        <v>1</v>
      </c>
    </row>
    <row r="39" spans="2:121" ht="14.25" customHeight="1" x14ac:dyDescent="0.3">
      <c r="B39" s="108">
        <v>0.36458333333333298</v>
      </c>
      <c r="D39" s="4">
        <v>1</v>
      </c>
      <c r="E39" s="133">
        <v>1</v>
      </c>
      <c r="F39" s="275">
        <v>1</v>
      </c>
      <c r="G39" s="275">
        <v>1</v>
      </c>
      <c r="H39" s="275">
        <v>1</v>
      </c>
      <c r="I39" s="4">
        <v>1</v>
      </c>
      <c r="J39" s="133">
        <v>1</v>
      </c>
      <c r="K39" s="4">
        <v>1</v>
      </c>
      <c r="L39" s="4">
        <v>1</v>
      </c>
      <c r="M39" s="275">
        <v>1</v>
      </c>
      <c r="N39" s="275">
        <v>1</v>
      </c>
      <c r="O39" s="275">
        <v>1</v>
      </c>
      <c r="P39" s="133">
        <v>1</v>
      </c>
      <c r="Q39" s="275">
        <v>1</v>
      </c>
      <c r="R39" s="275">
        <v>1</v>
      </c>
      <c r="S39" s="275">
        <v>1</v>
      </c>
      <c r="T39" s="275">
        <v>1</v>
      </c>
      <c r="U39" s="275">
        <v>1</v>
      </c>
      <c r="V39" s="275">
        <v>1</v>
      </c>
      <c r="W39" s="275">
        <v>1</v>
      </c>
      <c r="X39" s="275">
        <v>0.1</v>
      </c>
      <c r="Y39" s="275">
        <v>0.1</v>
      </c>
      <c r="Z39" s="275">
        <v>1</v>
      </c>
      <c r="AA39" s="133">
        <v>1</v>
      </c>
      <c r="AB39" s="275">
        <v>1</v>
      </c>
      <c r="AC39" s="133">
        <v>1</v>
      </c>
      <c r="AD39" s="275">
        <v>0.1</v>
      </c>
      <c r="AE39" s="133">
        <v>1</v>
      </c>
      <c r="AF39" s="133">
        <v>1</v>
      </c>
      <c r="AG39" s="4">
        <v>1</v>
      </c>
      <c r="AH39" s="275">
        <v>1</v>
      </c>
      <c r="AI39" s="4">
        <v>0.1</v>
      </c>
      <c r="AJ39" s="133">
        <v>1</v>
      </c>
      <c r="AK39" s="275">
        <v>1</v>
      </c>
      <c r="AL39" s="275">
        <v>1</v>
      </c>
      <c r="AM39" s="275">
        <v>1</v>
      </c>
      <c r="AN39" s="275">
        <v>1</v>
      </c>
      <c r="AO39" s="275">
        <v>1</v>
      </c>
      <c r="AP39" s="133">
        <v>1</v>
      </c>
      <c r="AQ39" s="133">
        <v>1</v>
      </c>
      <c r="AR39" s="133">
        <v>1</v>
      </c>
      <c r="AS39" s="275">
        <v>1</v>
      </c>
      <c r="AT39" s="275">
        <v>1</v>
      </c>
      <c r="AU39" s="275">
        <v>1</v>
      </c>
      <c r="AV39" s="275">
        <v>1</v>
      </c>
      <c r="AW39" s="275">
        <v>1</v>
      </c>
      <c r="AX39" s="275">
        <v>1</v>
      </c>
      <c r="AY39" s="275">
        <v>1</v>
      </c>
      <c r="AZ39" s="275">
        <v>1</v>
      </c>
      <c r="BA39" s="275">
        <v>1</v>
      </c>
      <c r="BB39" s="275">
        <v>1</v>
      </c>
      <c r="BC39" s="275">
        <v>1</v>
      </c>
      <c r="BD39" s="4">
        <v>1</v>
      </c>
      <c r="BE39" s="275">
        <v>1</v>
      </c>
      <c r="BF39" s="133">
        <v>1</v>
      </c>
      <c r="BG39" s="275">
        <v>1</v>
      </c>
      <c r="BH39" s="275">
        <v>1</v>
      </c>
      <c r="BI39" s="275">
        <v>1</v>
      </c>
      <c r="BJ39" s="275">
        <v>1</v>
      </c>
      <c r="BK39" s="4">
        <v>0.1</v>
      </c>
      <c r="BL39" s="4">
        <v>0.1</v>
      </c>
      <c r="BM39" s="4">
        <v>0.1</v>
      </c>
      <c r="BN39" s="133">
        <v>1</v>
      </c>
      <c r="BO39" s="275">
        <v>1</v>
      </c>
      <c r="BP39" s="4">
        <v>1</v>
      </c>
      <c r="BQ39" s="275">
        <v>1</v>
      </c>
      <c r="BR39" s="4">
        <v>1</v>
      </c>
      <c r="BS39" s="275">
        <v>1</v>
      </c>
      <c r="BT39" s="275">
        <v>1</v>
      </c>
      <c r="BU39" s="275">
        <v>1</v>
      </c>
      <c r="BV39" s="275">
        <v>1</v>
      </c>
      <c r="BW39" s="133">
        <v>1</v>
      </c>
      <c r="BX39" s="275">
        <v>1</v>
      </c>
      <c r="BY39" s="275">
        <v>1</v>
      </c>
      <c r="BZ39" s="4">
        <v>1</v>
      </c>
      <c r="CA39" s="4">
        <v>1</v>
      </c>
      <c r="CB39" s="4">
        <v>1</v>
      </c>
      <c r="CC39" s="133">
        <v>1</v>
      </c>
      <c r="CD39" s="275">
        <v>1</v>
      </c>
      <c r="CE39" s="275">
        <v>1</v>
      </c>
      <c r="CF39" s="133">
        <v>1</v>
      </c>
      <c r="CG39" s="275">
        <v>1</v>
      </c>
      <c r="CH39" s="4">
        <v>1</v>
      </c>
      <c r="CI39" s="275">
        <v>1</v>
      </c>
      <c r="CJ39" s="275">
        <v>1</v>
      </c>
      <c r="CK39" s="275">
        <v>1</v>
      </c>
      <c r="CL39" s="275">
        <v>1</v>
      </c>
      <c r="CM39" s="275">
        <v>1</v>
      </c>
      <c r="CN39" s="275">
        <v>1</v>
      </c>
      <c r="CO39" s="275">
        <v>1</v>
      </c>
      <c r="CP39" s="275">
        <v>1</v>
      </c>
      <c r="CQ39" s="133">
        <v>1</v>
      </c>
      <c r="CR39" s="133">
        <v>1</v>
      </c>
      <c r="CS39" s="275">
        <v>1</v>
      </c>
      <c r="CT39" s="275">
        <v>1</v>
      </c>
      <c r="CU39" s="275">
        <v>1</v>
      </c>
      <c r="CV39" s="275">
        <v>1</v>
      </c>
      <c r="CW39" s="133">
        <v>1</v>
      </c>
      <c r="CX39" s="275">
        <v>0.1</v>
      </c>
      <c r="CY39" s="275">
        <v>1</v>
      </c>
      <c r="CZ39" s="275">
        <v>1</v>
      </c>
      <c r="DA39" s="133">
        <v>1</v>
      </c>
      <c r="DB39" s="275">
        <v>1</v>
      </c>
      <c r="DC39" s="133">
        <v>1</v>
      </c>
      <c r="DD39" s="133">
        <v>1</v>
      </c>
      <c r="DE39" s="133">
        <v>1</v>
      </c>
      <c r="DF39" s="133">
        <v>1</v>
      </c>
      <c r="DG39" s="133">
        <v>1</v>
      </c>
      <c r="DH39" s="133">
        <v>1</v>
      </c>
      <c r="DI39" s="133">
        <v>1</v>
      </c>
      <c r="DJ39" s="133">
        <v>1</v>
      </c>
      <c r="DK39" s="133">
        <v>1</v>
      </c>
      <c r="DL39" s="133">
        <v>1</v>
      </c>
      <c r="DM39" s="275">
        <v>1</v>
      </c>
      <c r="DN39" s="275">
        <v>1</v>
      </c>
      <c r="DO39" s="275">
        <v>1</v>
      </c>
      <c r="DP39" s="275">
        <v>1</v>
      </c>
      <c r="DQ39" s="275">
        <v>1</v>
      </c>
    </row>
    <row r="40" spans="2:121" ht="14.25" customHeight="1" x14ac:dyDescent="0.3">
      <c r="B40" s="108">
        <v>0.375</v>
      </c>
      <c r="D40" s="4">
        <v>1</v>
      </c>
      <c r="E40" s="133">
        <v>1</v>
      </c>
      <c r="F40" s="275">
        <v>1</v>
      </c>
      <c r="G40" s="275">
        <v>1</v>
      </c>
      <c r="H40" s="275">
        <v>1</v>
      </c>
      <c r="I40" s="4">
        <v>0.1</v>
      </c>
      <c r="J40" s="133">
        <v>1</v>
      </c>
      <c r="K40" s="4">
        <v>1</v>
      </c>
      <c r="L40" s="4">
        <v>1</v>
      </c>
      <c r="M40" s="275">
        <v>1</v>
      </c>
      <c r="N40" s="275">
        <v>1</v>
      </c>
      <c r="O40" s="275">
        <v>1</v>
      </c>
      <c r="P40" s="133">
        <v>1</v>
      </c>
      <c r="Q40" s="275">
        <v>1</v>
      </c>
      <c r="R40" s="275">
        <v>1</v>
      </c>
      <c r="S40" s="275">
        <v>1</v>
      </c>
      <c r="T40" s="275">
        <v>1</v>
      </c>
      <c r="U40" s="275">
        <v>1</v>
      </c>
      <c r="V40" s="275">
        <v>1</v>
      </c>
      <c r="W40" s="275">
        <v>1</v>
      </c>
      <c r="X40" s="275">
        <v>0.1</v>
      </c>
      <c r="Y40" s="275">
        <v>0.1</v>
      </c>
      <c r="Z40" s="275">
        <v>1</v>
      </c>
      <c r="AA40" s="133">
        <v>1</v>
      </c>
      <c r="AB40" s="275">
        <v>1</v>
      </c>
      <c r="AC40" s="133">
        <v>1</v>
      </c>
      <c r="AD40" s="275">
        <v>0.1</v>
      </c>
      <c r="AE40" s="133">
        <v>1</v>
      </c>
      <c r="AF40" s="133">
        <v>1</v>
      </c>
      <c r="AG40" s="4">
        <v>0.1</v>
      </c>
      <c r="AH40" s="275">
        <v>1</v>
      </c>
      <c r="AI40" s="4">
        <v>0.1</v>
      </c>
      <c r="AJ40" s="133">
        <v>1</v>
      </c>
      <c r="AK40" s="275">
        <v>1</v>
      </c>
      <c r="AL40" s="275">
        <v>1</v>
      </c>
      <c r="AM40" s="275">
        <v>1</v>
      </c>
      <c r="AN40" s="275">
        <v>1</v>
      </c>
      <c r="AO40" s="275">
        <v>1</v>
      </c>
      <c r="AP40" s="133">
        <v>1</v>
      </c>
      <c r="AQ40" s="133">
        <v>1</v>
      </c>
      <c r="AR40" s="133">
        <v>1</v>
      </c>
      <c r="AS40" s="275">
        <v>1</v>
      </c>
      <c r="AT40" s="275">
        <v>1</v>
      </c>
      <c r="AU40" s="275">
        <v>1</v>
      </c>
      <c r="AV40" s="275">
        <v>1</v>
      </c>
      <c r="AW40" s="275">
        <v>1</v>
      </c>
      <c r="AX40" s="275">
        <v>1</v>
      </c>
      <c r="AY40" s="275">
        <v>1</v>
      </c>
      <c r="AZ40" s="275">
        <v>1</v>
      </c>
      <c r="BA40" s="275">
        <v>1</v>
      </c>
      <c r="BB40" s="275">
        <v>1</v>
      </c>
      <c r="BC40" s="275">
        <v>1</v>
      </c>
      <c r="BD40" s="4">
        <v>1</v>
      </c>
      <c r="BE40" s="275">
        <v>1</v>
      </c>
      <c r="BF40" s="133">
        <v>1</v>
      </c>
      <c r="BG40" s="275">
        <v>1</v>
      </c>
      <c r="BH40" s="275">
        <v>1</v>
      </c>
      <c r="BI40" s="275">
        <v>1</v>
      </c>
      <c r="BJ40" s="275">
        <v>1</v>
      </c>
      <c r="BK40" s="4">
        <v>0.1</v>
      </c>
      <c r="BL40" s="4">
        <v>0.1</v>
      </c>
      <c r="BM40" s="4">
        <v>0.1</v>
      </c>
      <c r="BN40" s="133">
        <v>1</v>
      </c>
      <c r="BO40" s="275">
        <v>1</v>
      </c>
      <c r="BP40" s="4">
        <v>0.1</v>
      </c>
      <c r="BQ40" s="275">
        <v>1</v>
      </c>
      <c r="BR40" s="4">
        <v>1</v>
      </c>
      <c r="BS40" s="275">
        <v>1</v>
      </c>
      <c r="BT40" s="275">
        <v>1</v>
      </c>
      <c r="BU40" s="275">
        <v>1</v>
      </c>
      <c r="BV40" s="275">
        <v>1</v>
      </c>
      <c r="BW40" s="133">
        <v>1</v>
      </c>
      <c r="BX40" s="275">
        <v>1</v>
      </c>
      <c r="BY40" s="275">
        <v>1</v>
      </c>
      <c r="BZ40" s="4">
        <v>0.1</v>
      </c>
      <c r="CA40" s="4">
        <v>0.1</v>
      </c>
      <c r="CB40" s="4">
        <v>0.1</v>
      </c>
      <c r="CC40" s="133">
        <v>1</v>
      </c>
      <c r="CD40" s="275">
        <v>1</v>
      </c>
      <c r="CE40" s="275">
        <v>1</v>
      </c>
      <c r="CF40" s="133">
        <v>1</v>
      </c>
      <c r="CG40" s="275">
        <v>1</v>
      </c>
      <c r="CH40" s="4">
        <v>1</v>
      </c>
      <c r="CI40" s="275">
        <v>1</v>
      </c>
      <c r="CJ40" s="275">
        <v>1</v>
      </c>
      <c r="CK40" s="275">
        <v>1</v>
      </c>
      <c r="CL40" s="275">
        <v>1</v>
      </c>
      <c r="CM40" s="275">
        <v>1</v>
      </c>
      <c r="CN40" s="275">
        <v>1</v>
      </c>
      <c r="CO40" s="275">
        <v>1</v>
      </c>
      <c r="CP40" s="275">
        <v>1</v>
      </c>
      <c r="CQ40" s="133">
        <v>1</v>
      </c>
      <c r="CR40" s="133">
        <v>1</v>
      </c>
      <c r="CS40" s="275">
        <v>1</v>
      </c>
      <c r="CT40" s="275">
        <v>1</v>
      </c>
      <c r="CU40" s="275">
        <v>1</v>
      </c>
      <c r="CV40" s="275">
        <v>1</v>
      </c>
      <c r="CW40" s="133">
        <v>1</v>
      </c>
      <c r="CX40" s="275">
        <v>0.1</v>
      </c>
      <c r="CY40" s="275">
        <v>1</v>
      </c>
      <c r="CZ40" s="275">
        <v>1</v>
      </c>
      <c r="DA40" s="133">
        <v>1</v>
      </c>
      <c r="DB40" s="275">
        <v>1</v>
      </c>
      <c r="DC40" s="133">
        <v>1</v>
      </c>
      <c r="DD40" s="133">
        <v>1</v>
      </c>
      <c r="DE40" s="133">
        <v>1</v>
      </c>
      <c r="DF40" s="133">
        <v>1</v>
      </c>
      <c r="DG40" s="133">
        <v>1</v>
      </c>
      <c r="DH40" s="133">
        <v>1</v>
      </c>
      <c r="DI40" s="133">
        <v>1</v>
      </c>
      <c r="DJ40" s="133">
        <v>1</v>
      </c>
      <c r="DK40" s="133">
        <v>1</v>
      </c>
      <c r="DL40" s="133">
        <v>1</v>
      </c>
      <c r="DM40" s="275">
        <v>1</v>
      </c>
      <c r="DN40" s="275">
        <v>1</v>
      </c>
      <c r="DO40" s="275">
        <v>1</v>
      </c>
      <c r="DP40" s="275">
        <v>1</v>
      </c>
      <c r="DQ40" s="275">
        <v>1</v>
      </c>
    </row>
    <row r="41" spans="2:121" ht="14.25" customHeight="1" x14ac:dyDescent="0.3">
      <c r="B41" s="108">
        <v>0.38541666666666702</v>
      </c>
      <c r="D41" s="4">
        <v>1</v>
      </c>
      <c r="E41" s="133">
        <v>1</v>
      </c>
      <c r="F41" s="275">
        <v>1</v>
      </c>
      <c r="G41" s="275">
        <v>1</v>
      </c>
      <c r="H41" s="275">
        <v>1</v>
      </c>
      <c r="I41" s="4">
        <v>0.1</v>
      </c>
      <c r="J41" s="133">
        <v>1</v>
      </c>
      <c r="K41" s="4">
        <v>1</v>
      </c>
      <c r="L41" s="4">
        <v>1</v>
      </c>
      <c r="M41" s="275">
        <v>1</v>
      </c>
      <c r="N41" s="275">
        <v>1</v>
      </c>
      <c r="O41" s="275">
        <v>1</v>
      </c>
      <c r="P41" s="133">
        <v>1</v>
      </c>
      <c r="Q41" s="275">
        <v>1</v>
      </c>
      <c r="R41" s="275">
        <v>1</v>
      </c>
      <c r="S41" s="275">
        <v>1</v>
      </c>
      <c r="T41" s="275">
        <v>1</v>
      </c>
      <c r="U41" s="275">
        <v>1</v>
      </c>
      <c r="V41" s="275">
        <v>1</v>
      </c>
      <c r="W41" s="275">
        <v>1</v>
      </c>
      <c r="X41" s="275">
        <v>0.1</v>
      </c>
      <c r="Y41" s="275">
        <v>0.1</v>
      </c>
      <c r="Z41" s="275">
        <v>1</v>
      </c>
      <c r="AA41" s="133">
        <v>1</v>
      </c>
      <c r="AB41" s="275">
        <v>1</v>
      </c>
      <c r="AC41" s="133">
        <v>1</v>
      </c>
      <c r="AD41" s="275">
        <v>0.1</v>
      </c>
      <c r="AE41" s="133">
        <v>1</v>
      </c>
      <c r="AF41" s="133">
        <v>1</v>
      </c>
      <c r="AG41" s="4">
        <v>0.1</v>
      </c>
      <c r="AH41" s="275">
        <v>1</v>
      </c>
      <c r="AI41" s="4">
        <v>0.1</v>
      </c>
      <c r="AJ41" s="133">
        <v>1</v>
      </c>
      <c r="AK41" s="275">
        <v>1</v>
      </c>
      <c r="AL41" s="275">
        <v>1</v>
      </c>
      <c r="AM41" s="275">
        <v>1</v>
      </c>
      <c r="AN41" s="275">
        <v>1</v>
      </c>
      <c r="AO41" s="275">
        <v>1</v>
      </c>
      <c r="AP41" s="133">
        <v>1</v>
      </c>
      <c r="AQ41" s="133">
        <v>1</v>
      </c>
      <c r="AR41" s="133">
        <v>1</v>
      </c>
      <c r="AS41" s="275">
        <v>1</v>
      </c>
      <c r="AT41" s="275">
        <v>1</v>
      </c>
      <c r="AU41" s="275">
        <v>1</v>
      </c>
      <c r="AV41" s="275">
        <v>1</v>
      </c>
      <c r="AW41" s="275">
        <v>1</v>
      </c>
      <c r="AX41" s="275">
        <v>1</v>
      </c>
      <c r="AY41" s="275">
        <v>1</v>
      </c>
      <c r="AZ41" s="275">
        <v>1</v>
      </c>
      <c r="BA41" s="275">
        <v>1</v>
      </c>
      <c r="BB41" s="275">
        <v>1</v>
      </c>
      <c r="BC41" s="275">
        <v>1</v>
      </c>
      <c r="BD41" s="4">
        <v>1</v>
      </c>
      <c r="BE41" s="275">
        <v>1</v>
      </c>
      <c r="BF41" s="133">
        <v>1</v>
      </c>
      <c r="BG41" s="275">
        <v>1</v>
      </c>
      <c r="BH41" s="275">
        <v>1</v>
      </c>
      <c r="BI41" s="275">
        <v>1</v>
      </c>
      <c r="BJ41" s="275">
        <v>1</v>
      </c>
      <c r="BK41" s="4">
        <v>0.1</v>
      </c>
      <c r="BL41" s="4">
        <v>0.1</v>
      </c>
      <c r="BM41" s="4">
        <v>0.1</v>
      </c>
      <c r="BN41" s="133">
        <v>1</v>
      </c>
      <c r="BO41" s="275">
        <v>0.1</v>
      </c>
      <c r="BP41" s="4">
        <v>0.1</v>
      </c>
      <c r="BQ41" s="275">
        <v>1</v>
      </c>
      <c r="BR41" s="4">
        <v>1</v>
      </c>
      <c r="BS41" s="275">
        <v>1</v>
      </c>
      <c r="BT41" s="275">
        <v>1</v>
      </c>
      <c r="BU41" s="275">
        <v>1</v>
      </c>
      <c r="BV41" s="275">
        <v>1</v>
      </c>
      <c r="BW41" s="133">
        <v>1</v>
      </c>
      <c r="BX41" s="275">
        <v>1</v>
      </c>
      <c r="BY41" s="275">
        <v>1</v>
      </c>
      <c r="BZ41" s="4">
        <v>0.1</v>
      </c>
      <c r="CA41" s="4">
        <v>0.1</v>
      </c>
      <c r="CB41" s="4">
        <v>0.1</v>
      </c>
      <c r="CC41" s="133">
        <v>1</v>
      </c>
      <c r="CD41" s="275">
        <v>1</v>
      </c>
      <c r="CE41" s="275">
        <v>1</v>
      </c>
      <c r="CF41" s="133">
        <v>1</v>
      </c>
      <c r="CG41" s="275">
        <v>1</v>
      </c>
      <c r="CH41" s="4">
        <v>1</v>
      </c>
      <c r="CI41" s="275">
        <v>1</v>
      </c>
      <c r="CJ41" s="275">
        <v>1</v>
      </c>
      <c r="CK41" s="275">
        <v>1</v>
      </c>
      <c r="CL41" s="275">
        <v>1</v>
      </c>
      <c r="CM41" s="275">
        <v>1</v>
      </c>
      <c r="CN41" s="275">
        <v>1</v>
      </c>
      <c r="CO41" s="275">
        <v>1</v>
      </c>
      <c r="CP41" s="275">
        <v>1</v>
      </c>
      <c r="CQ41" s="133">
        <v>1</v>
      </c>
      <c r="CR41" s="133">
        <v>1</v>
      </c>
      <c r="CS41" s="275">
        <v>1</v>
      </c>
      <c r="CT41" s="275">
        <v>1</v>
      </c>
      <c r="CU41" s="275">
        <v>1</v>
      </c>
      <c r="CV41" s="275">
        <v>1</v>
      </c>
      <c r="CW41" s="133">
        <v>1</v>
      </c>
      <c r="CX41" s="275">
        <v>0.1</v>
      </c>
      <c r="CY41" s="275">
        <v>1</v>
      </c>
      <c r="CZ41" s="275">
        <v>1</v>
      </c>
      <c r="DA41" s="133">
        <v>1</v>
      </c>
      <c r="DB41" s="275">
        <v>1</v>
      </c>
      <c r="DC41" s="133">
        <v>1</v>
      </c>
      <c r="DD41" s="133">
        <v>1</v>
      </c>
      <c r="DE41" s="133">
        <v>1</v>
      </c>
      <c r="DF41" s="133">
        <v>1</v>
      </c>
      <c r="DG41" s="133">
        <v>1</v>
      </c>
      <c r="DH41" s="133">
        <v>1</v>
      </c>
      <c r="DI41" s="133">
        <v>1</v>
      </c>
      <c r="DJ41" s="133">
        <v>1</v>
      </c>
      <c r="DK41" s="133">
        <v>1</v>
      </c>
      <c r="DL41" s="133">
        <v>1</v>
      </c>
      <c r="DM41" s="275">
        <v>1</v>
      </c>
      <c r="DN41" s="275">
        <v>1</v>
      </c>
      <c r="DO41" s="275">
        <v>1</v>
      </c>
      <c r="DP41" s="275">
        <v>1</v>
      </c>
      <c r="DQ41" s="275">
        <v>1</v>
      </c>
    </row>
    <row r="42" spans="2:121" ht="14.25" customHeight="1" x14ac:dyDescent="0.3">
      <c r="B42" s="108">
        <v>0.39583333333333298</v>
      </c>
      <c r="D42" s="4">
        <v>1</v>
      </c>
      <c r="E42" s="133">
        <v>0.1</v>
      </c>
      <c r="F42" s="275">
        <v>1</v>
      </c>
      <c r="G42" s="275">
        <v>1</v>
      </c>
      <c r="H42" s="275">
        <v>1</v>
      </c>
      <c r="I42" s="133">
        <v>1</v>
      </c>
      <c r="J42" s="133">
        <v>0.1</v>
      </c>
      <c r="K42" s="4">
        <v>1</v>
      </c>
      <c r="L42" s="4">
        <v>1</v>
      </c>
      <c r="M42" s="275">
        <v>1</v>
      </c>
      <c r="N42" s="275">
        <v>1</v>
      </c>
      <c r="O42" s="275">
        <v>1</v>
      </c>
      <c r="P42" s="133">
        <v>0.1</v>
      </c>
      <c r="Q42" s="275">
        <v>1</v>
      </c>
      <c r="R42" s="275">
        <v>1</v>
      </c>
      <c r="S42" s="275">
        <v>1</v>
      </c>
      <c r="T42" s="275">
        <v>1</v>
      </c>
      <c r="U42" s="275">
        <v>1</v>
      </c>
      <c r="V42" s="275">
        <v>1</v>
      </c>
      <c r="W42" s="275">
        <v>1</v>
      </c>
      <c r="X42" s="275">
        <v>0.1</v>
      </c>
      <c r="Y42" s="275">
        <v>0.1</v>
      </c>
      <c r="Z42" s="275">
        <v>1</v>
      </c>
      <c r="AA42" s="133">
        <v>0.1</v>
      </c>
      <c r="AB42" s="275">
        <v>1</v>
      </c>
      <c r="AC42" s="133">
        <v>0.1</v>
      </c>
      <c r="AD42" s="275">
        <v>0.1</v>
      </c>
      <c r="AE42" s="133">
        <v>0.1</v>
      </c>
      <c r="AF42" s="133">
        <v>0.1</v>
      </c>
      <c r="AG42" s="4">
        <v>0.1</v>
      </c>
      <c r="AH42" s="275">
        <v>1</v>
      </c>
      <c r="AI42" s="4">
        <v>0.1</v>
      </c>
      <c r="AJ42" s="133">
        <v>0.1</v>
      </c>
      <c r="AK42" s="275">
        <v>1</v>
      </c>
      <c r="AL42" s="275">
        <v>1</v>
      </c>
      <c r="AM42" s="275">
        <v>1</v>
      </c>
      <c r="AN42" s="275">
        <v>1</v>
      </c>
      <c r="AO42" s="275">
        <v>1</v>
      </c>
      <c r="AP42" s="133">
        <v>0.1</v>
      </c>
      <c r="AQ42" s="133">
        <v>0.1</v>
      </c>
      <c r="AR42" s="133">
        <v>0.1</v>
      </c>
      <c r="AS42" s="275">
        <v>1</v>
      </c>
      <c r="AT42" s="275">
        <v>1</v>
      </c>
      <c r="AU42" s="275">
        <v>1</v>
      </c>
      <c r="AV42" s="275">
        <v>1</v>
      </c>
      <c r="AW42" s="275">
        <v>1</v>
      </c>
      <c r="AX42" s="275">
        <v>1</v>
      </c>
      <c r="AY42" s="275">
        <v>1</v>
      </c>
      <c r="AZ42" s="275">
        <v>1</v>
      </c>
      <c r="BA42" s="275">
        <v>1</v>
      </c>
      <c r="BB42" s="275">
        <v>1</v>
      </c>
      <c r="BC42" s="275">
        <v>1</v>
      </c>
      <c r="BD42" s="4">
        <v>1</v>
      </c>
      <c r="BE42" s="275">
        <v>1</v>
      </c>
      <c r="BF42" s="133">
        <v>0.1</v>
      </c>
      <c r="BG42" s="275">
        <v>1</v>
      </c>
      <c r="BH42" s="275">
        <v>1</v>
      </c>
      <c r="BI42" s="275">
        <v>1</v>
      </c>
      <c r="BJ42" s="275">
        <v>1</v>
      </c>
      <c r="BK42" s="4">
        <v>0.1</v>
      </c>
      <c r="BL42" s="4">
        <v>0.1</v>
      </c>
      <c r="BM42" s="4">
        <v>0.1</v>
      </c>
      <c r="BN42" s="133">
        <v>0.1</v>
      </c>
      <c r="BO42" s="275">
        <v>0.1</v>
      </c>
      <c r="BP42" s="133">
        <v>1</v>
      </c>
      <c r="BQ42" s="275">
        <v>1</v>
      </c>
      <c r="BR42" s="4">
        <v>1</v>
      </c>
      <c r="BS42" s="275">
        <v>1</v>
      </c>
      <c r="BT42" s="275">
        <v>1</v>
      </c>
      <c r="BU42" s="275">
        <v>1</v>
      </c>
      <c r="BV42" s="275">
        <v>1</v>
      </c>
      <c r="BW42" s="133">
        <v>0.1</v>
      </c>
      <c r="BX42" s="275">
        <v>1</v>
      </c>
      <c r="BY42" s="275">
        <v>1</v>
      </c>
      <c r="BZ42" s="133">
        <v>1</v>
      </c>
      <c r="CA42" s="133">
        <v>1</v>
      </c>
      <c r="CB42" s="133">
        <v>1</v>
      </c>
      <c r="CC42" s="133">
        <v>0.1</v>
      </c>
      <c r="CD42" s="275">
        <v>1</v>
      </c>
      <c r="CE42" s="275">
        <v>1</v>
      </c>
      <c r="CF42" s="133">
        <v>0.1</v>
      </c>
      <c r="CG42" s="275">
        <v>1</v>
      </c>
      <c r="CH42" s="4">
        <v>1</v>
      </c>
      <c r="CI42" s="275">
        <v>1</v>
      </c>
      <c r="CJ42" s="275">
        <v>1</v>
      </c>
      <c r="CK42" s="275">
        <v>1</v>
      </c>
      <c r="CL42" s="275">
        <v>1</v>
      </c>
      <c r="CM42" s="275">
        <v>0.1</v>
      </c>
      <c r="CN42" s="275">
        <v>0.1</v>
      </c>
      <c r="CO42" s="275">
        <v>1</v>
      </c>
      <c r="CP42" s="275">
        <v>0.1</v>
      </c>
      <c r="CQ42" s="133">
        <v>0.1</v>
      </c>
      <c r="CR42" s="133">
        <v>0.1</v>
      </c>
      <c r="CS42" s="275">
        <v>1</v>
      </c>
      <c r="CT42" s="275">
        <v>1</v>
      </c>
      <c r="CU42" s="275">
        <v>1</v>
      </c>
      <c r="CV42" s="275">
        <v>1</v>
      </c>
      <c r="CW42" s="133">
        <v>0.1</v>
      </c>
      <c r="CX42" s="275">
        <v>0.1</v>
      </c>
      <c r="CY42" s="275">
        <v>1</v>
      </c>
      <c r="CZ42" s="275">
        <v>1</v>
      </c>
      <c r="DA42" s="133">
        <v>1</v>
      </c>
      <c r="DB42" s="275">
        <v>1</v>
      </c>
      <c r="DC42" s="133">
        <v>1</v>
      </c>
      <c r="DD42" s="133">
        <v>1</v>
      </c>
      <c r="DE42" s="133">
        <v>1</v>
      </c>
      <c r="DF42" s="133">
        <v>1</v>
      </c>
      <c r="DG42" s="133">
        <v>1</v>
      </c>
      <c r="DH42" s="133">
        <v>1</v>
      </c>
      <c r="DI42" s="133">
        <v>1</v>
      </c>
      <c r="DJ42" s="133">
        <v>1</v>
      </c>
      <c r="DK42" s="133">
        <v>1</v>
      </c>
      <c r="DL42" s="133">
        <v>1</v>
      </c>
      <c r="DM42" s="275">
        <v>1</v>
      </c>
      <c r="DN42" s="275">
        <v>1</v>
      </c>
      <c r="DO42" s="275">
        <v>1</v>
      </c>
      <c r="DP42" s="275">
        <v>1</v>
      </c>
      <c r="DQ42" s="275">
        <v>1</v>
      </c>
    </row>
    <row r="43" spans="2:121" ht="14.25" customHeight="1" x14ac:dyDescent="0.3">
      <c r="B43" s="108">
        <v>0.40625</v>
      </c>
      <c r="D43" s="4">
        <v>1</v>
      </c>
      <c r="E43" s="133">
        <v>0.1</v>
      </c>
      <c r="F43" s="275">
        <v>1</v>
      </c>
      <c r="G43" s="275">
        <v>1</v>
      </c>
      <c r="H43" s="275">
        <v>1</v>
      </c>
      <c r="I43" s="133">
        <v>1</v>
      </c>
      <c r="J43" s="133">
        <v>0.1</v>
      </c>
      <c r="K43" s="4">
        <v>1</v>
      </c>
      <c r="L43" s="4">
        <v>1</v>
      </c>
      <c r="M43" s="275">
        <v>1</v>
      </c>
      <c r="N43" s="275">
        <v>1</v>
      </c>
      <c r="O43" s="275">
        <v>1</v>
      </c>
      <c r="P43" s="133">
        <v>0.1</v>
      </c>
      <c r="Q43" s="275">
        <v>1</v>
      </c>
      <c r="R43" s="275">
        <v>1</v>
      </c>
      <c r="S43" s="275">
        <v>1</v>
      </c>
      <c r="T43" s="275">
        <v>1</v>
      </c>
      <c r="U43" s="275">
        <v>1</v>
      </c>
      <c r="V43" s="275">
        <v>1</v>
      </c>
      <c r="W43" s="275">
        <v>1</v>
      </c>
      <c r="X43" s="275">
        <v>0.1</v>
      </c>
      <c r="Y43" s="275">
        <v>0.1</v>
      </c>
      <c r="Z43" s="275">
        <v>1</v>
      </c>
      <c r="AA43" s="133">
        <v>0.1</v>
      </c>
      <c r="AB43" s="275">
        <v>1</v>
      </c>
      <c r="AC43" s="133">
        <v>0.1</v>
      </c>
      <c r="AD43" s="275">
        <v>0.1</v>
      </c>
      <c r="AE43" s="133">
        <v>0.1</v>
      </c>
      <c r="AF43" s="133">
        <v>0.1</v>
      </c>
      <c r="AG43" s="4">
        <v>0.1</v>
      </c>
      <c r="AH43" s="275">
        <v>1</v>
      </c>
      <c r="AI43" s="4">
        <v>0.1</v>
      </c>
      <c r="AJ43" s="133">
        <v>0.1</v>
      </c>
      <c r="AK43" s="275">
        <v>1</v>
      </c>
      <c r="AL43" s="275">
        <v>1</v>
      </c>
      <c r="AM43" s="275">
        <v>1</v>
      </c>
      <c r="AN43" s="275">
        <v>1</v>
      </c>
      <c r="AO43" s="275">
        <v>1</v>
      </c>
      <c r="AP43" s="133">
        <v>0.1</v>
      </c>
      <c r="AQ43" s="133">
        <v>0.1</v>
      </c>
      <c r="AR43" s="133">
        <v>0.1</v>
      </c>
      <c r="AS43" s="275">
        <v>1</v>
      </c>
      <c r="AT43" s="275">
        <v>1</v>
      </c>
      <c r="AU43" s="275">
        <v>1</v>
      </c>
      <c r="AV43" s="275">
        <v>1</v>
      </c>
      <c r="AW43" s="275">
        <v>1</v>
      </c>
      <c r="AX43" s="275">
        <v>1</v>
      </c>
      <c r="AY43" s="275">
        <v>1</v>
      </c>
      <c r="AZ43" s="275">
        <v>1</v>
      </c>
      <c r="BA43" s="275">
        <v>1</v>
      </c>
      <c r="BB43" s="275">
        <v>1</v>
      </c>
      <c r="BC43" s="275">
        <v>1</v>
      </c>
      <c r="BD43" s="4">
        <v>1</v>
      </c>
      <c r="BE43" s="275">
        <v>1</v>
      </c>
      <c r="BF43" s="133">
        <v>0.1</v>
      </c>
      <c r="BG43" s="275">
        <v>1</v>
      </c>
      <c r="BH43" s="275">
        <v>1</v>
      </c>
      <c r="BI43" s="275">
        <v>1</v>
      </c>
      <c r="BJ43" s="275">
        <v>1</v>
      </c>
      <c r="BK43" s="4">
        <v>0.1</v>
      </c>
      <c r="BL43" s="4">
        <v>0.1</v>
      </c>
      <c r="BM43" s="4">
        <v>0.1</v>
      </c>
      <c r="BN43" s="133">
        <v>0.1</v>
      </c>
      <c r="BO43" s="275">
        <v>0.1</v>
      </c>
      <c r="BP43" s="133">
        <v>1</v>
      </c>
      <c r="BQ43" s="275">
        <v>1</v>
      </c>
      <c r="BR43" s="4">
        <v>1</v>
      </c>
      <c r="BS43" s="275">
        <v>1</v>
      </c>
      <c r="BT43" s="275">
        <v>1</v>
      </c>
      <c r="BU43" s="275">
        <v>1</v>
      </c>
      <c r="BV43" s="275">
        <v>1</v>
      </c>
      <c r="BW43" s="133">
        <v>0.1</v>
      </c>
      <c r="BX43" s="275">
        <v>1</v>
      </c>
      <c r="BY43" s="275">
        <v>1</v>
      </c>
      <c r="BZ43" s="133">
        <v>1</v>
      </c>
      <c r="CA43" s="133">
        <v>1</v>
      </c>
      <c r="CB43" s="133">
        <v>1</v>
      </c>
      <c r="CC43" s="133">
        <v>0.1</v>
      </c>
      <c r="CD43" s="275">
        <v>1</v>
      </c>
      <c r="CE43" s="275">
        <v>1</v>
      </c>
      <c r="CF43" s="133">
        <v>0.1</v>
      </c>
      <c r="CG43" s="275">
        <v>1</v>
      </c>
      <c r="CH43" s="4">
        <v>1</v>
      </c>
      <c r="CI43" s="275">
        <v>1</v>
      </c>
      <c r="CJ43" s="275">
        <v>1</v>
      </c>
      <c r="CK43" s="275">
        <v>1</v>
      </c>
      <c r="CL43" s="275">
        <v>1</v>
      </c>
      <c r="CM43" s="275">
        <v>0.1</v>
      </c>
      <c r="CN43" s="275">
        <v>0.1</v>
      </c>
      <c r="CO43" s="275">
        <v>1</v>
      </c>
      <c r="CP43" s="275">
        <v>0.1</v>
      </c>
      <c r="CQ43" s="133">
        <v>0.1</v>
      </c>
      <c r="CR43" s="133">
        <v>0.1</v>
      </c>
      <c r="CS43" s="275">
        <v>1</v>
      </c>
      <c r="CT43" s="275">
        <v>1</v>
      </c>
      <c r="CU43" s="275">
        <v>1</v>
      </c>
      <c r="CV43" s="275">
        <v>1</v>
      </c>
      <c r="CW43" s="133">
        <v>0.1</v>
      </c>
      <c r="CX43" s="275">
        <v>0.1</v>
      </c>
      <c r="CY43" s="275">
        <v>1</v>
      </c>
      <c r="CZ43" s="275">
        <v>1</v>
      </c>
      <c r="DA43" s="133">
        <v>1</v>
      </c>
      <c r="DB43" s="275">
        <v>0.1</v>
      </c>
      <c r="DC43" s="133">
        <v>1</v>
      </c>
      <c r="DD43" s="133">
        <v>1</v>
      </c>
      <c r="DE43" s="133">
        <v>1</v>
      </c>
      <c r="DF43" s="133">
        <v>1</v>
      </c>
      <c r="DG43" s="133">
        <v>1</v>
      </c>
      <c r="DH43" s="133">
        <v>1</v>
      </c>
      <c r="DI43" s="133">
        <v>1</v>
      </c>
      <c r="DJ43" s="133">
        <v>1</v>
      </c>
      <c r="DK43" s="133">
        <v>1</v>
      </c>
      <c r="DL43" s="133">
        <v>1</v>
      </c>
      <c r="DM43" s="275">
        <v>1</v>
      </c>
      <c r="DN43" s="275">
        <v>1</v>
      </c>
      <c r="DO43" s="275">
        <v>1</v>
      </c>
      <c r="DP43" s="275">
        <v>1</v>
      </c>
      <c r="DQ43" s="275">
        <v>1</v>
      </c>
    </row>
    <row r="44" spans="2:121" ht="14.25" customHeight="1" x14ac:dyDescent="0.3">
      <c r="B44" s="108">
        <v>0.41666666666666702</v>
      </c>
      <c r="D44" s="4">
        <v>1</v>
      </c>
      <c r="E44" s="133">
        <v>0.1</v>
      </c>
      <c r="F44" s="275">
        <v>1</v>
      </c>
      <c r="G44" s="275">
        <v>1</v>
      </c>
      <c r="H44" s="275">
        <v>1</v>
      </c>
      <c r="I44" s="4">
        <v>0.1</v>
      </c>
      <c r="J44" s="133">
        <v>0.1</v>
      </c>
      <c r="K44" s="4">
        <v>1</v>
      </c>
      <c r="L44" s="4">
        <v>1</v>
      </c>
      <c r="M44" s="275">
        <v>1</v>
      </c>
      <c r="N44" s="275">
        <v>1</v>
      </c>
      <c r="O44" s="275">
        <v>1</v>
      </c>
      <c r="P44" s="133">
        <v>0.1</v>
      </c>
      <c r="Q44" s="275">
        <v>1</v>
      </c>
      <c r="R44" s="275">
        <v>1</v>
      </c>
      <c r="S44" s="275">
        <v>1</v>
      </c>
      <c r="T44" s="275">
        <v>1</v>
      </c>
      <c r="U44" s="275">
        <v>1</v>
      </c>
      <c r="V44" s="275">
        <v>1</v>
      </c>
      <c r="W44" s="275">
        <v>1</v>
      </c>
      <c r="X44" s="275">
        <v>0.1</v>
      </c>
      <c r="Y44" s="275">
        <v>0.1</v>
      </c>
      <c r="Z44" s="275">
        <v>1</v>
      </c>
      <c r="AA44" s="133">
        <v>0.1</v>
      </c>
      <c r="AB44" s="275">
        <v>1</v>
      </c>
      <c r="AC44" s="133">
        <v>0.1</v>
      </c>
      <c r="AD44" s="275">
        <v>0.1</v>
      </c>
      <c r="AE44" s="133">
        <v>0.1</v>
      </c>
      <c r="AF44" s="133">
        <v>0.1</v>
      </c>
      <c r="AG44" s="4">
        <v>0.1</v>
      </c>
      <c r="AH44" s="275">
        <v>1</v>
      </c>
      <c r="AI44" s="4">
        <v>0.1</v>
      </c>
      <c r="AJ44" s="133">
        <v>0.1</v>
      </c>
      <c r="AK44" s="275">
        <v>1</v>
      </c>
      <c r="AL44" s="275">
        <v>1</v>
      </c>
      <c r="AM44" s="275">
        <v>1</v>
      </c>
      <c r="AN44" s="275">
        <v>1</v>
      </c>
      <c r="AO44" s="275">
        <v>1</v>
      </c>
      <c r="AP44" s="133">
        <v>0.1</v>
      </c>
      <c r="AQ44" s="133">
        <v>0.1</v>
      </c>
      <c r="AR44" s="133">
        <v>0.1</v>
      </c>
      <c r="AS44" s="275">
        <v>1</v>
      </c>
      <c r="AT44" s="275">
        <v>1</v>
      </c>
      <c r="AU44" s="275">
        <v>1</v>
      </c>
      <c r="AV44" s="275">
        <v>1</v>
      </c>
      <c r="AW44" s="275">
        <v>1</v>
      </c>
      <c r="AX44" s="275">
        <v>1</v>
      </c>
      <c r="AY44" s="275">
        <v>1</v>
      </c>
      <c r="AZ44" s="275">
        <v>1</v>
      </c>
      <c r="BA44" s="275">
        <v>1</v>
      </c>
      <c r="BB44" s="275">
        <v>1</v>
      </c>
      <c r="BC44" s="275">
        <v>1</v>
      </c>
      <c r="BD44" s="4">
        <v>1</v>
      </c>
      <c r="BE44" s="275">
        <v>1</v>
      </c>
      <c r="BF44" s="133">
        <v>0.1</v>
      </c>
      <c r="BG44" s="275">
        <v>1</v>
      </c>
      <c r="BH44" s="275">
        <v>1</v>
      </c>
      <c r="BI44" s="275">
        <v>1</v>
      </c>
      <c r="BJ44" s="275">
        <v>1</v>
      </c>
      <c r="BK44" s="4">
        <v>0.1</v>
      </c>
      <c r="BL44" s="4">
        <v>0.1</v>
      </c>
      <c r="BM44" s="4">
        <v>0.1</v>
      </c>
      <c r="BN44" s="133">
        <v>0.1</v>
      </c>
      <c r="BO44" s="316">
        <v>0.1</v>
      </c>
      <c r="BP44" s="4">
        <v>0.1</v>
      </c>
      <c r="BQ44" s="275">
        <v>1</v>
      </c>
      <c r="BR44" s="4">
        <v>1</v>
      </c>
      <c r="BS44" s="275">
        <v>1</v>
      </c>
      <c r="BT44" s="275">
        <v>1</v>
      </c>
      <c r="BU44" s="275">
        <v>1</v>
      </c>
      <c r="BV44" s="275">
        <v>1</v>
      </c>
      <c r="BW44" s="133">
        <v>0.1</v>
      </c>
      <c r="BX44" s="275">
        <v>1</v>
      </c>
      <c r="BY44" s="275">
        <v>1</v>
      </c>
      <c r="BZ44" s="4">
        <v>0.1</v>
      </c>
      <c r="CA44" s="4">
        <v>0.1</v>
      </c>
      <c r="CB44" s="4">
        <v>0.1</v>
      </c>
      <c r="CC44" s="133">
        <v>0.1</v>
      </c>
      <c r="CD44" s="275">
        <v>1</v>
      </c>
      <c r="CE44" s="275">
        <v>1</v>
      </c>
      <c r="CF44" s="133">
        <v>0.1</v>
      </c>
      <c r="CG44" s="275">
        <v>1</v>
      </c>
      <c r="CH44" s="4">
        <v>1</v>
      </c>
      <c r="CI44" s="275">
        <v>1</v>
      </c>
      <c r="CJ44" s="275">
        <v>1</v>
      </c>
      <c r="CK44" s="275">
        <v>1</v>
      </c>
      <c r="CL44" s="275">
        <v>1</v>
      </c>
      <c r="CM44" s="275">
        <v>0.1</v>
      </c>
      <c r="CN44" s="275">
        <v>0.1</v>
      </c>
      <c r="CO44" s="275">
        <v>1</v>
      </c>
      <c r="CP44" s="275">
        <v>0.1</v>
      </c>
      <c r="CQ44" s="133">
        <v>0.1</v>
      </c>
      <c r="CR44" s="133">
        <v>0.1</v>
      </c>
      <c r="CS44" s="275">
        <v>1</v>
      </c>
      <c r="CT44" s="275">
        <v>1</v>
      </c>
      <c r="CU44" s="275">
        <v>1</v>
      </c>
      <c r="CV44" s="275">
        <v>1</v>
      </c>
      <c r="CW44" s="133">
        <v>0.1</v>
      </c>
      <c r="CX44" s="275">
        <v>0.1</v>
      </c>
      <c r="CY44" s="275">
        <v>1</v>
      </c>
      <c r="CZ44" s="275">
        <v>1</v>
      </c>
      <c r="DA44" s="133">
        <v>1</v>
      </c>
      <c r="DB44" s="275">
        <v>0.1</v>
      </c>
      <c r="DC44" s="133">
        <v>1</v>
      </c>
      <c r="DD44" s="133">
        <v>1</v>
      </c>
      <c r="DE44" s="133">
        <v>1</v>
      </c>
      <c r="DF44" s="133">
        <v>1</v>
      </c>
      <c r="DG44" s="133">
        <v>1</v>
      </c>
      <c r="DH44" s="133">
        <v>1</v>
      </c>
      <c r="DI44" s="133">
        <v>1</v>
      </c>
      <c r="DJ44" s="133">
        <v>1</v>
      </c>
      <c r="DK44" s="133">
        <v>1</v>
      </c>
      <c r="DL44" s="133">
        <v>1</v>
      </c>
      <c r="DM44" s="275">
        <v>1</v>
      </c>
      <c r="DN44" s="275">
        <v>1</v>
      </c>
      <c r="DO44" s="275">
        <v>1</v>
      </c>
      <c r="DP44" s="275">
        <v>1</v>
      </c>
      <c r="DQ44" s="275">
        <v>1</v>
      </c>
    </row>
    <row r="45" spans="2:121" ht="14.25" customHeight="1" x14ac:dyDescent="0.3">
      <c r="B45" s="108">
        <v>0.42708333333333298</v>
      </c>
      <c r="D45" s="4">
        <v>1</v>
      </c>
      <c r="E45" s="133">
        <v>0.1</v>
      </c>
      <c r="F45" s="275">
        <v>1</v>
      </c>
      <c r="G45" s="275">
        <v>1</v>
      </c>
      <c r="H45" s="275">
        <v>1</v>
      </c>
      <c r="I45" s="4">
        <v>0.1</v>
      </c>
      <c r="J45" s="133">
        <v>0.1</v>
      </c>
      <c r="K45" s="4">
        <v>1</v>
      </c>
      <c r="L45" s="4">
        <v>1</v>
      </c>
      <c r="M45" s="275">
        <v>1</v>
      </c>
      <c r="N45" s="275">
        <v>1</v>
      </c>
      <c r="O45" s="275">
        <v>1</v>
      </c>
      <c r="P45" s="133">
        <v>0.1</v>
      </c>
      <c r="Q45" s="275">
        <v>1</v>
      </c>
      <c r="R45" s="275">
        <v>1</v>
      </c>
      <c r="S45" s="275">
        <v>1</v>
      </c>
      <c r="T45" s="275">
        <v>1</v>
      </c>
      <c r="U45" s="275">
        <v>1</v>
      </c>
      <c r="V45" s="275">
        <v>1</v>
      </c>
      <c r="W45" s="275">
        <v>1</v>
      </c>
      <c r="X45" s="275">
        <v>0.1</v>
      </c>
      <c r="Y45" s="275">
        <v>0.1</v>
      </c>
      <c r="Z45" s="275">
        <v>1</v>
      </c>
      <c r="AA45" s="133">
        <v>0.1</v>
      </c>
      <c r="AB45" s="275">
        <v>1</v>
      </c>
      <c r="AC45" s="133">
        <v>0.1</v>
      </c>
      <c r="AD45" s="275">
        <v>0.1</v>
      </c>
      <c r="AE45" s="133">
        <v>0.1</v>
      </c>
      <c r="AF45" s="133">
        <v>0.1</v>
      </c>
      <c r="AG45" s="4">
        <v>0.1</v>
      </c>
      <c r="AH45" s="275">
        <v>1</v>
      </c>
      <c r="AI45" s="4">
        <v>0.1</v>
      </c>
      <c r="AJ45" s="133">
        <v>0.1</v>
      </c>
      <c r="AK45" s="275">
        <v>1</v>
      </c>
      <c r="AL45" s="275">
        <v>1</v>
      </c>
      <c r="AM45" s="275">
        <v>1</v>
      </c>
      <c r="AN45" s="275">
        <v>1</v>
      </c>
      <c r="AO45" s="275">
        <v>1</v>
      </c>
      <c r="AP45" s="133">
        <v>0.1</v>
      </c>
      <c r="AQ45" s="133">
        <v>0.1</v>
      </c>
      <c r="AR45" s="133">
        <v>0.1</v>
      </c>
      <c r="AS45" s="275">
        <v>1</v>
      </c>
      <c r="AT45" s="275">
        <v>1</v>
      </c>
      <c r="AU45" s="275">
        <v>1</v>
      </c>
      <c r="AV45" s="275">
        <v>1</v>
      </c>
      <c r="AW45" s="275">
        <v>1</v>
      </c>
      <c r="AX45" s="275">
        <v>1</v>
      </c>
      <c r="AY45" s="275">
        <v>1</v>
      </c>
      <c r="AZ45" s="275">
        <v>1</v>
      </c>
      <c r="BA45" s="275">
        <v>1</v>
      </c>
      <c r="BB45" s="275">
        <v>1</v>
      </c>
      <c r="BC45" s="275">
        <v>1</v>
      </c>
      <c r="BD45" s="4">
        <v>1</v>
      </c>
      <c r="BE45" s="275">
        <v>1</v>
      </c>
      <c r="BF45" s="133">
        <v>0.1</v>
      </c>
      <c r="BG45" s="275">
        <v>1</v>
      </c>
      <c r="BH45" s="275">
        <v>1</v>
      </c>
      <c r="BI45" s="275">
        <v>1</v>
      </c>
      <c r="BJ45" s="275">
        <v>1</v>
      </c>
      <c r="BK45" s="4">
        <v>0.1</v>
      </c>
      <c r="BL45" s="4">
        <v>0.1</v>
      </c>
      <c r="BM45" s="4">
        <v>0.1</v>
      </c>
      <c r="BN45" s="133">
        <v>0.1</v>
      </c>
      <c r="BO45" s="275">
        <v>1</v>
      </c>
      <c r="BP45" s="4">
        <v>0.1</v>
      </c>
      <c r="BQ45" s="275">
        <v>1</v>
      </c>
      <c r="BR45" s="4">
        <v>1</v>
      </c>
      <c r="BS45" s="275">
        <v>1</v>
      </c>
      <c r="BT45" s="275">
        <v>1</v>
      </c>
      <c r="BU45" s="275">
        <v>1</v>
      </c>
      <c r="BV45" s="275">
        <v>1</v>
      </c>
      <c r="BW45" s="133">
        <v>0.1</v>
      </c>
      <c r="BX45" s="275">
        <v>1</v>
      </c>
      <c r="BY45" s="275">
        <v>1</v>
      </c>
      <c r="BZ45" s="4">
        <v>0.1</v>
      </c>
      <c r="CA45" s="4">
        <v>0.1</v>
      </c>
      <c r="CB45" s="4">
        <v>0.1</v>
      </c>
      <c r="CC45" s="133">
        <v>0.1</v>
      </c>
      <c r="CD45" s="275">
        <v>1</v>
      </c>
      <c r="CE45" s="275">
        <v>1</v>
      </c>
      <c r="CF45" s="133">
        <v>0.1</v>
      </c>
      <c r="CG45" s="275">
        <v>1</v>
      </c>
      <c r="CH45" s="4">
        <v>1</v>
      </c>
      <c r="CI45" s="275">
        <v>1</v>
      </c>
      <c r="CJ45" s="275">
        <v>1</v>
      </c>
      <c r="CK45" s="275">
        <v>1</v>
      </c>
      <c r="CL45" s="275">
        <v>1</v>
      </c>
      <c r="CM45" s="275">
        <v>0.1</v>
      </c>
      <c r="CN45" s="275">
        <v>0.1</v>
      </c>
      <c r="CO45" s="275">
        <v>1</v>
      </c>
      <c r="CP45" s="275">
        <v>0.1</v>
      </c>
      <c r="CQ45" s="133">
        <v>0.1</v>
      </c>
      <c r="CR45" s="133">
        <v>0.1</v>
      </c>
      <c r="CS45" s="275">
        <v>1</v>
      </c>
      <c r="CT45" s="275">
        <v>1</v>
      </c>
      <c r="CU45" s="275">
        <v>1</v>
      </c>
      <c r="CV45" s="275">
        <v>1</v>
      </c>
      <c r="CW45" s="133">
        <v>0.1</v>
      </c>
      <c r="CX45" s="275">
        <v>0.1</v>
      </c>
      <c r="CY45" s="275">
        <v>1</v>
      </c>
      <c r="CZ45" s="275">
        <v>1</v>
      </c>
      <c r="DA45" s="133">
        <v>1</v>
      </c>
      <c r="DB45" s="275">
        <v>0.1</v>
      </c>
      <c r="DC45" s="133">
        <v>1</v>
      </c>
      <c r="DD45" s="133">
        <v>1</v>
      </c>
      <c r="DE45" s="133">
        <v>1</v>
      </c>
      <c r="DF45" s="133">
        <v>1</v>
      </c>
      <c r="DG45" s="133">
        <v>1</v>
      </c>
      <c r="DH45" s="133">
        <v>1</v>
      </c>
      <c r="DI45" s="133">
        <v>1</v>
      </c>
      <c r="DJ45" s="133">
        <v>1</v>
      </c>
      <c r="DK45" s="133">
        <v>1</v>
      </c>
      <c r="DL45" s="133">
        <v>1</v>
      </c>
      <c r="DM45" s="275">
        <v>1</v>
      </c>
      <c r="DN45" s="275">
        <v>1</v>
      </c>
      <c r="DO45" s="275">
        <v>1</v>
      </c>
      <c r="DP45" s="275">
        <v>1</v>
      </c>
      <c r="DQ45" s="275">
        <v>1</v>
      </c>
    </row>
    <row r="46" spans="2:121" ht="14.25" customHeight="1" x14ac:dyDescent="0.3">
      <c r="B46" s="108">
        <v>0.4375</v>
      </c>
      <c r="D46" s="4">
        <v>1</v>
      </c>
      <c r="E46" s="133">
        <v>0.1</v>
      </c>
      <c r="F46" s="275">
        <v>1</v>
      </c>
      <c r="G46" s="275">
        <v>1</v>
      </c>
      <c r="H46" s="275">
        <v>1</v>
      </c>
      <c r="I46" s="4">
        <v>1</v>
      </c>
      <c r="J46" s="133">
        <v>0.1</v>
      </c>
      <c r="K46" s="4">
        <v>1</v>
      </c>
      <c r="L46" s="4">
        <v>1</v>
      </c>
      <c r="M46" s="275">
        <v>1</v>
      </c>
      <c r="N46" s="275">
        <v>1</v>
      </c>
      <c r="O46" s="275">
        <v>1</v>
      </c>
      <c r="P46" s="133">
        <v>0.1</v>
      </c>
      <c r="Q46" s="275">
        <v>1</v>
      </c>
      <c r="R46" s="275">
        <v>1</v>
      </c>
      <c r="S46" s="275">
        <v>1</v>
      </c>
      <c r="T46" s="275">
        <v>1</v>
      </c>
      <c r="U46" s="275">
        <v>1</v>
      </c>
      <c r="V46" s="275">
        <v>1</v>
      </c>
      <c r="W46" s="275">
        <v>1</v>
      </c>
      <c r="X46" s="275">
        <v>0.1</v>
      </c>
      <c r="Y46" s="275">
        <v>0.1</v>
      </c>
      <c r="Z46" s="275">
        <v>1</v>
      </c>
      <c r="AA46" s="133">
        <v>0.1</v>
      </c>
      <c r="AB46" s="275">
        <v>1</v>
      </c>
      <c r="AC46" s="133">
        <v>0.1</v>
      </c>
      <c r="AD46" s="275">
        <v>0.1</v>
      </c>
      <c r="AE46" s="133">
        <v>0.1</v>
      </c>
      <c r="AF46" s="133">
        <v>0.1</v>
      </c>
      <c r="AG46" s="4">
        <v>0.1</v>
      </c>
      <c r="AH46" s="275">
        <v>1</v>
      </c>
      <c r="AI46" s="4">
        <v>0.1</v>
      </c>
      <c r="AJ46" s="133">
        <v>0.1</v>
      </c>
      <c r="AK46" s="275">
        <v>1</v>
      </c>
      <c r="AL46" s="275">
        <v>1</v>
      </c>
      <c r="AM46" s="275">
        <v>1</v>
      </c>
      <c r="AN46" s="275">
        <v>1</v>
      </c>
      <c r="AO46" s="275">
        <v>1</v>
      </c>
      <c r="AP46" s="133">
        <v>0.1</v>
      </c>
      <c r="AQ46" s="133">
        <v>0.1</v>
      </c>
      <c r="AR46" s="133">
        <v>0.1</v>
      </c>
      <c r="AS46" s="275">
        <v>1</v>
      </c>
      <c r="AT46" s="275">
        <v>1</v>
      </c>
      <c r="AU46" s="275">
        <v>1</v>
      </c>
      <c r="AV46" s="275">
        <v>1</v>
      </c>
      <c r="AW46" s="275">
        <v>1</v>
      </c>
      <c r="AX46" s="275">
        <v>1</v>
      </c>
      <c r="AY46" s="275">
        <v>1</v>
      </c>
      <c r="AZ46" s="275">
        <v>1</v>
      </c>
      <c r="BA46" s="275">
        <v>1</v>
      </c>
      <c r="BB46" s="275">
        <v>1</v>
      </c>
      <c r="BC46" s="275">
        <v>1</v>
      </c>
      <c r="BD46" s="4">
        <v>1</v>
      </c>
      <c r="BE46" s="275">
        <v>1</v>
      </c>
      <c r="BF46" s="133">
        <v>0.1</v>
      </c>
      <c r="BG46" s="275">
        <v>1</v>
      </c>
      <c r="BH46" s="275">
        <v>1</v>
      </c>
      <c r="BI46" s="275">
        <v>1</v>
      </c>
      <c r="BJ46" s="275">
        <v>1</v>
      </c>
      <c r="BK46" s="4">
        <v>0.1</v>
      </c>
      <c r="BL46" s="4">
        <v>0.1</v>
      </c>
      <c r="BM46" s="4">
        <v>0.1</v>
      </c>
      <c r="BN46" s="133">
        <v>0.1</v>
      </c>
      <c r="BO46" s="275">
        <v>1</v>
      </c>
      <c r="BP46" s="4">
        <v>1</v>
      </c>
      <c r="BQ46" s="275">
        <v>1</v>
      </c>
      <c r="BR46" s="4">
        <v>1</v>
      </c>
      <c r="BS46" s="275">
        <v>1</v>
      </c>
      <c r="BT46" s="275">
        <v>1</v>
      </c>
      <c r="BU46" s="275">
        <v>1</v>
      </c>
      <c r="BV46" s="275">
        <v>1</v>
      </c>
      <c r="BW46" s="133">
        <v>0.1</v>
      </c>
      <c r="BX46" s="275">
        <v>1</v>
      </c>
      <c r="BY46" s="275">
        <v>1</v>
      </c>
      <c r="BZ46" s="4">
        <v>1</v>
      </c>
      <c r="CA46" s="4">
        <v>1</v>
      </c>
      <c r="CB46" s="4">
        <v>1</v>
      </c>
      <c r="CC46" s="133">
        <v>0.1</v>
      </c>
      <c r="CD46" s="275">
        <v>1</v>
      </c>
      <c r="CE46" s="275">
        <v>1</v>
      </c>
      <c r="CF46" s="133">
        <v>0.1</v>
      </c>
      <c r="CG46" s="275">
        <v>1</v>
      </c>
      <c r="CH46" s="4">
        <v>1</v>
      </c>
      <c r="CI46" s="275">
        <v>1</v>
      </c>
      <c r="CJ46" s="275">
        <v>1</v>
      </c>
      <c r="CK46" s="275">
        <v>1</v>
      </c>
      <c r="CL46" s="275">
        <v>1</v>
      </c>
      <c r="CM46" s="275">
        <v>0.1</v>
      </c>
      <c r="CN46" s="275">
        <v>0.1</v>
      </c>
      <c r="CO46" s="275">
        <v>1</v>
      </c>
      <c r="CP46" s="275">
        <v>0.1</v>
      </c>
      <c r="CQ46" s="133">
        <v>0.1</v>
      </c>
      <c r="CR46" s="133">
        <v>0.1</v>
      </c>
      <c r="CS46" s="275">
        <v>1</v>
      </c>
      <c r="CT46" s="275">
        <v>1</v>
      </c>
      <c r="CU46" s="275">
        <v>1</v>
      </c>
      <c r="CV46" s="275">
        <v>1</v>
      </c>
      <c r="CW46" s="133">
        <v>0.1</v>
      </c>
      <c r="CX46" s="275">
        <v>0.1</v>
      </c>
      <c r="CY46" s="275">
        <v>1</v>
      </c>
      <c r="CZ46" s="275">
        <v>1</v>
      </c>
      <c r="DA46" s="133">
        <v>1</v>
      </c>
      <c r="DB46" s="275">
        <v>0.1</v>
      </c>
      <c r="DC46" s="133">
        <v>1</v>
      </c>
      <c r="DD46" s="133">
        <v>1</v>
      </c>
      <c r="DE46" s="133">
        <v>1</v>
      </c>
      <c r="DF46" s="133">
        <v>1</v>
      </c>
      <c r="DG46" s="133">
        <v>1</v>
      </c>
      <c r="DH46" s="133">
        <v>1</v>
      </c>
      <c r="DI46" s="133">
        <v>1</v>
      </c>
      <c r="DJ46" s="133">
        <v>1</v>
      </c>
      <c r="DK46" s="133">
        <v>1</v>
      </c>
      <c r="DL46" s="133">
        <v>1</v>
      </c>
      <c r="DM46" s="275">
        <v>1</v>
      </c>
      <c r="DN46" s="275">
        <v>1</v>
      </c>
      <c r="DO46" s="275">
        <v>1</v>
      </c>
      <c r="DP46" s="275">
        <v>1</v>
      </c>
      <c r="DQ46" s="275">
        <v>1</v>
      </c>
    </row>
    <row r="47" spans="2:121" ht="14.25" customHeight="1" x14ac:dyDescent="0.3">
      <c r="B47" s="108">
        <v>0.44791666666666702</v>
      </c>
      <c r="D47" s="4">
        <v>1</v>
      </c>
      <c r="E47" s="133">
        <v>0.1</v>
      </c>
      <c r="F47" s="275">
        <v>1</v>
      </c>
      <c r="G47" s="275">
        <v>1</v>
      </c>
      <c r="H47" s="275">
        <v>1</v>
      </c>
      <c r="I47" s="4">
        <v>1</v>
      </c>
      <c r="J47" s="133">
        <v>0.1</v>
      </c>
      <c r="K47" s="4">
        <v>1</v>
      </c>
      <c r="L47" s="4">
        <v>1</v>
      </c>
      <c r="M47" s="275">
        <v>1</v>
      </c>
      <c r="N47" s="275">
        <v>1</v>
      </c>
      <c r="O47" s="275">
        <v>1</v>
      </c>
      <c r="P47" s="133">
        <v>0.1</v>
      </c>
      <c r="Q47" s="275">
        <v>1</v>
      </c>
      <c r="R47" s="275">
        <v>1</v>
      </c>
      <c r="S47" s="275">
        <v>1</v>
      </c>
      <c r="T47" s="275">
        <v>1</v>
      </c>
      <c r="U47" s="275">
        <v>1</v>
      </c>
      <c r="V47" s="275">
        <v>1</v>
      </c>
      <c r="W47" s="275">
        <v>1</v>
      </c>
      <c r="X47" s="275">
        <v>0.1</v>
      </c>
      <c r="Y47" s="275">
        <v>0.1</v>
      </c>
      <c r="Z47" s="275">
        <v>1</v>
      </c>
      <c r="AA47" s="133">
        <v>0.1</v>
      </c>
      <c r="AB47" s="275">
        <v>1</v>
      </c>
      <c r="AC47" s="133">
        <v>0.1</v>
      </c>
      <c r="AD47" s="275">
        <v>0.1</v>
      </c>
      <c r="AE47" s="133">
        <v>0.1</v>
      </c>
      <c r="AF47" s="133">
        <v>0.1</v>
      </c>
      <c r="AG47" s="4">
        <v>0.1</v>
      </c>
      <c r="AH47" s="275">
        <v>1</v>
      </c>
      <c r="AI47" s="4">
        <v>0.1</v>
      </c>
      <c r="AJ47" s="133">
        <v>0.1</v>
      </c>
      <c r="AK47" s="275">
        <v>1</v>
      </c>
      <c r="AL47" s="275">
        <v>1</v>
      </c>
      <c r="AM47" s="275">
        <v>1</v>
      </c>
      <c r="AN47" s="275">
        <v>1</v>
      </c>
      <c r="AO47" s="275">
        <v>1</v>
      </c>
      <c r="AP47" s="133">
        <v>0.1</v>
      </c>
      <c r="AQ47" s="133">
        <v>0.1</v>
      </c>
      <c r="AR47" s="133">
        <v>0.1</v>
      </c>
      <c r="AS47" s="275">
        <v>1</v>
      </c>
      <c r="AT47" s="275">
        <v>1</v>
      </c>
      <c r="AU47" s="275">
        <v>1</v>
      </c>
      <c r="AV47" s="275">
        <v>1</v>
      </c>
      <c r="AW47" s="275">
        <v>1</v>
      </c>
      <c r="AX47" s="275">
        <v>1</v>
      </c>
      <c r="AY47" s="275">
        <v>1</v>
      </c>
      <c r="AZ47" s="275">
        <v>1</v>
      </c>
      <c r="BA47" s="275">
        <v>1</v>
      </c>
      <c r="BB47" s="275">
        <v>1</v>
      </c>
      <c r="BC47" s="275">
        <v>1</v>
      </c>
      <c r="BD47" s="4">
        <v>1</v>
      </c>
      <c r="BE47" s="275">
        <v>1</v>
      </c>
      <c r="BF47" s="133">
        <v>0.1</v>
      </c>
      <c r="BG47" s="275">
        <v>1</v>
      </c>
      <c r="BH47" s="275">
        <v>1</v>
      </c>
      <c r="BI47" s="275">
        <v>1</v>
      </c>
      <c r="BJ47" s="275">
        <v>1</v>
      </c>
      <c r="BK47" s="4">
        <v>0.1</v>
      </c>
      <c r="BL47" s="4">
        <v>0.1</v>
      </c>
      <c r="BM47" s="4">
        <v>0.1</v>
      </c>
      <c r="BN47" s="133">
        <v>0.1</v>
      </c>
      <c r="BO47" s="275">
        <v>1</v>
      </c>
      <c r="BP47" s="4">
        <v>1</v>
      </c>
      <c r="BQ47" s="275">
        <v>1</v>
      </c>
      <c r="BR47" s="4">
        <v>1</v>
      </c>
      <c r="BS47" s="275">
        <v>1</v>
      </c>
      <c r="BT47" s="275">
        <v>1</v>
      </c>
      <c r="BU47" s="275">
        <v>1</v>
      </c>
      <c r="BV47" s="275">
        <v>1</v>
      </c>
      <c r="BW47" s="133">
        <v>0.1</v>
      </c>
      <c r="BX47" s="275">
        <v>1</v>
      </c>
      <c r="BY47" s="275">
        <v>1</v>
      </c>
      <c r="BZ47" s="4">
        <v>1</v>
      </c>
      <c r="CA47" s="4">
        <v>1</v>
      </c>
      <c r="CB47" s="4">
        <v>1</v>
      </c>
      <c r="CC47" s="133">
        <v>0.1</v>
      </c>
      <c r="CD47" s="275">
        <v>1</v>
      </c>
      <c r="CE47" s="275">
        <v>1</v>
      </c>
      <c r="CF47" s="133">
        <v>0.1</v>
      </c>
      <c r="CG47" s="275">
        <v>1</v>
      </c>
      <c r="CH47" s="4">
        <v>1</v>
      </c>
      <c r="CI47" s="275">
        <v>1</v>
      </c>
      <c r="CJ47" s="275">
        <v>1</v>
      </c>
      <c r="CK47" s="275">
        <v>1</v>
      </c>
      <c r="CL47" s="275">
        <v>1</v>
      </c>
      <c r="CM47" s="275">
        <v>0.1</v>
      </c>
      <c r="CN47" s="275">
        <v>0.1</v>
      </c>
      <c r="CO47" s="275">
        <v>1</v>
      </c>
      <c r="CP47" s="275">
        <v>0.1</v>
      </c>
      <c r="CQ47" s="133">
        <v>0.1</v>
      </c>
      <c r="CR47" s="133">
        <v>0.1</v>
      </c>
      <c r="CS47" s="275">
        <v>1</v>
      </c>
      <c r="CT47" s="275">
        <v>1</v>
      </c>
      <c r="CU47" s="275">
        <v>1</v>
      </c>
      <c r="CV47" s="275">
        <v>1</v>
      </c>
      <c r="CW47" s="133">
        <v>0.1</v>
      </c>
      <c r="CX47" s="275">
        <v>0.1</v>
      </c>
      <c r="CY47" s="275">
        <v>1</v>
      </c>
      <c r="CZ47" s="275">
        <v>1</v>
      </c>
      <c r="DA47" s="133">
        <v>1</v>
      </c>
      <c r="DB47" s="275">
        <v>0.1</v>
      </c>
      <c r="DC47" s="133">
        <v>1</v>
      </c>
      <c r="DD47" s="133">
        <v>1</v>
      </c>
      <c r="DE47" s="133">
        <v>1</v>
      </c>
      <c r="DF47" s="133">
        <v>1</v>
      </c>
      <c r="DG47" s="133">
        <v>1</v>
      </c>
      <c r="DH47" s="133">
        <v>1</v>
      </c>
      <c r="DI47" s="133">
        <v>1</v>
      </c>
      <c r="DJ47" s="133">
        <v>1</v>
      </c>
      <c r="DK47" s="133">
        <v>1</v>
      </c>
      <c r="DL47" s="133">
        <v>1</v>
      </c>
      <c r="DM47" s="275">
        <v>1</v>
      </c>
      <c r="DN47" s="275">
        <v>1</v>
      </c>
      <c r="DO47" s="275">
        <v>1</v>
      </c>
      <c r="DP47" s="275">
        <v>1</v>
      </c>
      <c r="DQ47" s="275">
        <v>1</v>
      </c>
    </row>
    <row r="48" spans="2:121" ht="14.25" customHeight="1" x14ac:dyDescent="0.3">
      <c r="B48" s="108">
        <v>0.45833333333333298</v>
      </c>
      <c r="D48" s="4">
        <v>1</v>
      </c>
      <c r="E48" s="133">
        <v>0.1</v>
      </c>
      <c r="F48" s="275">
        <v>1</v>
      </c>
      <c r="G48" s="275">
        <v>1</v>
      </c>
      <c r="H48" s="275">
        <v>1</v>
      </c>
      <c r="I48" s="4">
        <v>0.1</v>
      </c>
      <c r="J48" s="133">
        <v>0.1</v>
      </c>
      <c r="K48" s="4">
        <v>1</v>
      </c>
      <c r="L48" s="4">
        <v>1</v>
      </c>
      <c r="M48" s="275">
        <v>1</v>
      </c>
      <c r="N48" s="275">
        <v>1</v>
      </c>
      <c r="O48" s="275">
        <v>1</v>
      </c>
      <c r="P48" s="133">
        <v>0.1</v>
      </c>
      <c r="Q48" s="275">
        <v>1</v>
      </c>
      <c r="R48" s="275">
        <v>1</v>
      </c>
      <c r="S48" s="275">
        <v>1</v>
      </c>
      <c r="T48" s="275">
        <v>1</v>
      </c>
      <c r="U48" s="275">
        <v>1</v>
      </c>
      <c r="V48" s="275">
        <v>1</v>
      </c>
      <c r="W48" s="275">
        <v>1</v>
      </c>
      <c r="X48" s="275">
        <v>1</v>
      </c>
      <c r="Y48" s="275">
        <v>0.1</v>
      </c>
      <c r="Z48" s="275">
        <v>1</v>
      </c>
      <c r="AA48" s="133">
        <v>0.1</v>
      </c>
      <c r="AB48" s="275">
        <v>1</v>
      </c>
      <c r="AC48" s="133">
        <v>0.1</v>
      </c>
      <c r="AD48" s="275">
        <v>0.1</v>
      </c>
      <c r="AE48" s="133">
        <v>0.1</v>
      </c>
      <c r="AF48" s="133">
        <v>0.1</v>
      </c>
      <c r="AG48" s="4">
        <v>0.1</v>
      </c>
      <c r="AH48" s="275">
        <v>1</v>
      </c>
      <c r="AI48" s="4">
        <v>0.1</v>
      </c>
      <c r="AJ48" s="133">
        <v>0.1</v>
      </c>
      <c r="AK48" s="275">
        <v>1</v>
      </c>
      <c r="AL48" s="275">
        <v>1</v>
      </c>
      <c r="AM48" s="275">
        <v>1</v>
      </c>
      <c r="AN48" s="275">
        <v>1</v>
      </c>
      <c r="AO48" s="275">
        <v>1</v>
      </c>
      <c r="AP48" s="133">
        <v>0.1</v>
      </c>
      <c r="AQ48" s="133">
        <v>0.1</v>
      </c>
      <c r="AR48" s="133">
        <v>0.1</v>
      </c>
      <c r="AS48" s="275">
        <v>1</v>
      </c>
      <c r="AT48" s="275">
        <v>1</v>
      </c>
      <c r="AU48" s="275">
        <v>1</v>
      </c>
      <c r="AV48" s="275">
        <v>1</v>
      </c>
      <c r="AW48" s="275">
        <v>1</v>
      </c>
      <c r="AX48" s="275">
        <v>1</v>
      </c>
      <c r="AY48" s="275">
        <v>1</v>
      </c>
      <c r="AZ48" s="275">
        <v>1</v>
      </c>
      <c r="BA48" s="275">
        <v>1</v>
      </c>
      <c r="BB48" s="275">
        <v>1</v>
      </c>
      <c r="BC48" s="275">
        <v>1</v>
      </c>
      <c r="BD48" s="4">
        <v>1</v>
      </c>
      <c r="BE48" s="275">
        <v>1</v>
      </c>
      <c r="BF48" s="133">
        <v>0.1</v>
      </c>
      <c r="BG48" s="275">
        <v>1</v>
      </c>
      <c r="BH48" s="275">
        <v>1</v>
      </c>
      <c r="BI48" s="275">
        <v>1</v>
      </c>
      <c r="BJ48" s="275">
        <v>1</v>
      </c>
      <c r="BK48" s="4">
        <v>0.1</v>
      </c>
      <c r="BL48" s="4">
        <v>0.1</v>
      </c>
      <c r="BM48" s="4">
        <v>0.1</v>
      </c>
      <c r="BN48" s="133">
        <v>0.1</v>
      </c>
      <c r="BO48" s="275">
        <v>1</v>
      </c>
      <c r="BP48" s="4">
        <v>0.1</v>
      </c>
      <c r="BQ48" s="275">
        <v>1</v>
      </c>
      <c r="BR48" s="4">
        <v>1</v>
      </c>
      <c r="BS48" s="275">
        <v>1</v>
      </c>
      <c r="BT48" s="275">
        <v>1</v>
      </c>
      <c r="BU48" s="275">
        <v>1</v>
      </c>
      <c r="BV48" s="275">
        <v>1</v>
      </c>
      <c r="BW48" s="133">
        <v>0.1</v>
      </c>
      <c r="BX48" s="275">
        <v>1</v>
      </c>
      <c r="BY48" s="275">
        <v>1</v>
      </c>
      <c r="BZ48" s="4">
        <v>0.1</v>
      </c>
      <c r="CA48" s="4">
        <v>0.1</v>
      </c>
      <c r="CB48" s="4">
        <v>0.1</v>
      </c>
      <c r="CC48" s="133">
        <v>0.1</v>
      </c>
      <c r="CD48" s="275">
        <v>1</v>
      </c>
      <c r="CE48" s="275">
        <v>1</v>
      </c>
      <c r="CF48" s="133">
        <v>0.1</v>
      </c>
      <c r="CG48" s="275">
        <v>1</v>
      </c>
      <c r="CH48" s="4">
        <v>1</v>
      </c>
      <c r="CI48" s="275">
        <v>1</v>
      </c>
      <c r="CJ48" s="275">
        <v>1</v>
      </c>
      <c r="CK48" s="275">
        <v>1</v>
      </c>
      <c r="CL48" s="275">
        <v>1</v>
      </c>
      <c r="CM48" s="275">
        <v>0.1</v>
      </c>
      <c r="CN48" s="275">
        <v>0.1</v>
      </c>
      <c r="CO48" s="275">
        <v>1</v>
      </c>
      <c r="CP48" s="275">
        <v>0.1</v>
      </c>
      <c r="CQ48" s="133">
        <v>0.1</v>
      </c>
      <c r="CR48" s="133">
        <v>0.1</v>
      </c>
      <c r="CS48" s="275">
        <v>1</v>
      </c>
      <c r="CT48" s="275">
        <v>1</v>
      </c>
      <c r="CU48" s="275">
        <v>1</v>
      </c>
      <c r="CV48" s="275">
        <v>1</v>
      </c>
      <c r="CW48" s="133">
        <v>0.1</v>
      </c>
      <c r="CX48" s="275">
        <v>0.1</v>
      </c>
      <c r="CY48" s="275">
        <v>1</v>
      </c>
      <c r="CZ48" s="275">
        <v>1</v>
      </c>
      <c r="DA48" s="133">
        <v>1</v>
      </c>
      <c r="DB48" s="275">
        <v>0.1</v>
      </c>
      <c r="DC48" s="133">
        <v>1</v>
      </c>
      <c r="DD48" s="133">
        <v>1</v>
      </c>
      <c r="DE48" s="133">
        <v>1</v>
      </c>
      <c r="DF48" s="133">
        <v>1</v>
      </c>
      <c r="DG48" s="133">
        <v>1</v>
      </c>
      <c r="DH48" s="133">
        <v>1</v>
      </c>
      <c r="DI48" s="133">
        <v>1</v>
      </c>
      <c r="DJ48" s="133">
        <v>1</v>
      </c>
      <c r="DK48" s="133">
        <v>1</v>
      </c>
      <c r="DL48" s="133">
        <v>1</v>
      </c>
      <c r="DM48" s="275">
        <v>1</v>
      </c>
      <c r="DN48" s="275">
        <v>1</v>
      </c>
      <c r="DO48" s="275">
        <v>1</v>
      </c>
      <c r="DP48" s="275">
        <v>1</v>
      </c>
      <c r="DQ48" s="275">
        <v>1</v>
      </c>
    </row>
    <row r="49" spans="2:121" ht="14.25" customHeight="1" x14ac:dyDescent="0.3">
      <c r="B49" s="108">
        <v>0.46875</v>
      </c>
      <c r="D49" s="4">
        <v>1</v>
      </c>
      <c r="E49" s="133">
        <v>0.1</v>
      </c>
      <c r="F49" s="275">
        <v>1</v>
      </c>
      <c r="G49" s="275">
        <v>1</v>
      </c>
      <c r="H49" s="275">
        <v>1</v>
      </c>
      <c r="I49" s="4">
        <v>0.1</v>
      </c>
      <c r="J49" s="133">
        <v>0.1</v>
      </c>
      <c r="K49" s="4">
        <v>1</v>
      </c>
      <c r="L49" s="4">
        <v>1</v>
      </c>
      <c r="M49" s="275">
        <v>1</v>
      </c>
      <c r="N49" s="275">
        <v>1</v>
      </c>
      <c r="O49" s="275">
        <v>1</v>
      </c>
      <c r="P49" s="133">
        <v>0.1</v>
      </c>
      <c r="Q49" s="275">
        <v>1</v>
      </c>
      <c r="R49" s="275">
        <v>1</v>
      </c>
      <c r="S49" s="275">
        <v>1</v>
      </c>
      <c r="T49" s="275">
        <v>1</v>
      </c>
      <c r="U49" s="275">
        <v>1</v>
      </c>
      <c r="V49" s="275">
        <v>1</v>
      </c>
      <c r="W49" s="275">
        <v>1</v>
      </c>
      <c r="X49" s="275">
        <v>1</v>
      </c>
      <c r="Y49" s="275">
        <v>0.1</v>
      </c>
      <c r="Z49" s="275">
        <v>1</v>
      </c>
      <c r="AA49" s="133">
        <v>0.1</v>
      </c>
      <c r="AB49" s="275">
        <v>1</v>
      </c>
      <c r="AC49" s="133">
        <v>0.1</v>
      </c>
      <c r="AD49" s="275">
        <v>0.1</v>
      </c>
      <c r="AE49" s="133">
        <v>0.1</v>
      </c>
      <c r="AF49" s="133">
        <v>0.1</v>
      </c>
      <c r="AG49" s="4">
        <v>0.1</v>
      </c>
      <c r="AH49" s="275">
        <v>1</v>
      </c>
      <c r="AI49" s="4">
        <v>0.1</v>
      </c>
      <c r="AJ49" s="133">
        <v>0.1</v>
      </c>
      <c r="AK49" s="275">
        <v>1</v>
      </c>
      <c r="AL49" s="275">
        <v>1</v>
      </c>
      <c r="AM49" s="275">
        <v>1</v>
      </c>
      <c r="AN49" s="275">
        <v>1</v>
      </c>
      <c r="AO49" s="275">
        <v>1</v>
      </c>
      <c r="AP49" s="133">
        <v>0.1</v>
      </c>
      <c r="AQ49" s="133">
        <v>0.1</v>
      </c>
      <c r="AR49" s="133">
        <v>0.1</v>
      </c>
      <c r="AS49" s="275">
        <v>1</v>
      </c>
      <c r="AT49" s="275">
        <v>1</v>
      </c>
      <c r="AU49" s="275">
        <v>1</v>
      </c>
      <c r="AV49" s="275">
        <v>1</v>
      </c>
      <c r="AW49" s="275">
        <v>1</v>
      </c>
      <c r="AX49" s="275">
        <v>1</v>
      </c>
      <c r="AY49" s="275">
        <v>1</v>
      </c>
      <c r="AZ49" s="275">
        <v>1</v>
      </c>
      <c r="BA49" s="275">
        <v>1</v>
      </c>
      <c r="BB49" s="275">
        <v>1</v>
      </c>
      <c r="BC49" s="275">
        <v>1</v>
      </c>
      <c r="BD49" s="4">
        <v>1</v>
      </c>
      <c r="BE49" s="275">
        <v>1</v>
      </c>
      <c r="BF49" s="133">
        <v>0.1</v>
      </c>
      <c r="BG49" s="275">
        <v>1</v>
      </c>
      <c r="BH49" s="275">
        <v>1</v>
      </c>
      <c r="BI49" s="275">
        <v>1</v>
      </c>
      <c r="BJ49" s="275">
        <v>1</v>
      </c>
      <c r="BK49" s="4">
        <v>0.1</v>
      </c>
      <c r="BL49" s="4">
        <v>0.1</v>
      </c>
      <c r="BM49" s="4">
        <v>0.1</v>
      </c>
      <c r="BN49" s="133">
        <v>0.1</v>
      </c>
      <c r="BO49" s="275">
        <v>1</v>
      </c>
      <c r="BP49" s="4">
        <v>0.1</v>
      </c>
      <c r="BQ49" s="275">
        <v>1</v>
      </c>
      <c r="BR49" s="4">
        <v>1</v>
      </c>
      <c r="BS49" s="275">
        <v>1</v>
      </c>
      <c r="BT49" s="275">
        <v>1</v>
      </c>
      <c r="BU49" s="275">
        <v>1</v>
      </c>
      <c r="BV49" s="275">
        <v>1</v>
      </c>
      <c r="BW49" s="133">
        <v>0.1</v>
      </c>
      <c r="BX49" s="275">
        <v>1</v>
      </c>
      <c r="BY49" s="275">
        <v>1</v>
      </c>
      <c r="BZ49" s="4">
        <v>0.1</v>
      </c>
      <c r="CA49" s="4">
        <v>0.1</v>
      </c>
      <c r="CB49" s="4">
        <v>0.1</v>
      </c>
      <c r="CC49" s="133">
        <v>0.1</v>
      </c>
      <c r="CD49" s="275">
        <v>1</v>
      </c>
      <c r="CE49" s="275">
        <v>1</v>
      </c>
      <c r="CF49" s="133">
        <v>0.1</v>
      </c>
      <c r="CG49" s="275">
        <v>1</v>
      </c>
      <c r="CH49" s="4">
        <v>1</v>
      </c>
      <c r="CI49" s="275">
        <v>1</v>
      </c>
      <c r="CJ49" s="275">
        <v>1</v>
      </c>
      <c r="CK49" s="275">
        <v>1</v>
      </c>
      <c r="CL49" s="275">
        <v>1</v>
      </c>
      <c r="CM49" s="275">
        <v>0.1</v>
      </c>
      <c r="CN49" s="275">
        <v>0.1</v>
      </c>
      <c r="CO49" s="275">
        <v>1</v>
      </c>
      <c r="CP49" s="275">
        <v>0.1</v>
      </c>
      <c r="CQ49" s="133">
        <v>0.1</v>
      </c>
      <c r="CR49" s="133">
        <v>0.1</v>
      </c>
      <c r="CS49" s="275">
        <v>1</v>
      </c>
      <c r="CT49" s="275">
        <v>1</v>
      </c>
      <c r="CU49" s="275">
        <v>1</v>
      </c>
      <c r="CV49" s="275">
        <v>1</v>
      </c>
      <c r="CW49" s="133">
        <v>0.1</v>
      </c>
      <c r="CX49" s="275">
        <v>0.1</v>
      </c>
      <c r="CY49" s="275">
        <v>1</v>
      </c>
      <c r="CZ49" s="275">
        <v>1</v>
      </c>
      <c r="DA49" s="133">
        <v>1</v>
      </c>
      <c r="DB49" s="275">
        <v>1</v>
      </c>
      <c r="DC49" s="133">
        <v>1</v>
      </c>
      <c r="DD49" s="133">
        <v>1</v>
      </c>
      <c r="DE49" s="133">
        <v>1</v>
      </c>
      <c r="DF49" s="133">
        <v>1</v>
      </c>
      <c r="DG49" s="133">
        <v>1</v>
      </c>
      <c r="DH49" s="133">
        <v>1</v>
      </c>
      <c r="DI49" s="133">
        <v>1</v>
      </c>
      <c r="DJ49" s="133">
        <v>1</v>
      </c>
      <c r="DK49" s="133">
        <v>1</v>
      </c>
      <c r="DL49" s="133">
        <v>1</v>
      </c>
      <c r="DM49" s="275">
        <v>1</v>
      </c>
      <c r="DN49" s="275">
        <v>1</v>
      </c>
      <c r="DO49" s="275">
        <v>1</v>
      </c>
      <c r="DP49" s="275">
        <v>1</v>
      </c>
      <c r="DQ49" s="275">
        <v>1</v>
      </c>
    </row>
    <row r="50" spans="2:121" ht="14.25" customHeight="1" x14ac:dyDescent="0.3">
      <c r="B50" s="108">
        <v>0.47916666666666702</v>
      </c>
      <c r="D50" s="4">
        <v>1</v>
      </c>
      <c r="E50" s="133">
        <v>1</v>
      </c>
      <c r="F50" s="275">
        <v>1</v>
      </c>
      <c r="G50" s="275">
        <v>1</v>
      </c>
      <c r="H50" s="275">
        <v>1</v>
      </c>
      <c r="I50" s="133">
        <v>1</v>
      </c>
      <c r="J50" s="133">
        <v>1</v>
      </c>
      <c r="K50" s="4">
        <v>1</v>
      </c>
      <c r="L50" s="4">
        <v>1</v>
      </c>
      <c r="M50" s="275">
        <v>1</v>
      </c>
      <c r="N50" s="275">
        <v>1</v>
      </c>
      <c r="O50" s="275">
        <v>1</v>
      </c>
      <c r="P50" s="133">
        <v>0.1</v>
      </c>
      <c r="Q50" s="275">
        <v>1</v>
      </c>
      <c r="R50" s="275">
        <v>1</v>
      </c>
      <c r="S50" s="275">
        <v>1</v>
      </c>
      <c r="T50" s="275">
        <v>1</v>
      </c>
      <c r="U50" s="275">
        <v>1</v>
      </c>
      <c r="V50" s="275">
        <v>1</v>
      </c>
      <c r="W50" s="275">
        <v>1</v>
      </c>
      <c r="X50" s="275">
        <v>1</v>
      </c>
      <c r="Y50" s="275">
        <v>0.1</v>
      </c>
      <c r="Z50" s="275">
        <v>1</v>
      </c>
      <c r="AA50" s="133">
        <v>1</v>
      </c>
      <c r="AB50" s="275">
        <v>1</v>
      </c>
      <c r="AC50" s="133">
        <v>1</v>
      </c>
      <c r="AD50" s="275">
        <v>0.1</v>
      </c>
      <c r="AE50" s="133">
        <v>1</v>
      </c>
      <c r="AF50" s="133">
        <v>1</v>
      </c>
      <c r="AG50" s="4">
        <v>0.1</v>
      </c>
      <c r="AH50" s="275">
        <v>1</v>
      </c>
      <c r="AI50" s="4">
        <v>0.1</v>
      </c>
      <c r="AJ50" s="133">
        <v>0.1</v>
      </c>
      <c r="AK50" s="275">
        <v>1</v>
      </c>
      <c r="AL50" s="275">
        <v>1</v>
      </c>
      <c r="AM50" s="275">
        <v>1</v>
      </c>
      <c r="AN50" s="275">
        <v>1</v>
      </c>
      <c r="AO50" s="275">
        <v>1</v>
      </c>
      <c r="AP50" s="133">
        <v>1</v>
      </c>
      <c r="AQ50" s="133">
        <v>1</v>
      </c>
      <c r="AR50" s="133">
        <v>1</v>
      </c>
      <c r="AS50" s="275">
        <v>1</v>
      </c>
      <c r="AT50" s="275">
        <v>1</v>
      </c>
      <c r="AU50" s="275">
        <v>1</v>
      </c>
      <c r="AV50" s="275">
        <v>1</v>
      </c>
      <c r="AW50" s="275">
        <v>1</v>
      </c>
      <c r="AX50" s="275">
        <v>1</v>
      </c>
      <c r="AY50" s="275">
        <v>1</v>
      </c>
      <c r="AZ50" s="275">
        <v>1</v>
      </c>
      <c r="BA50" s="275">
        <v>1</v>
      </c>
      <c r="BB50" s="275">
        <v>1</v>
      </c>
      <c r="BC50" s="275">
        <v>1</v>
      </c>
      <c r="BD50" s="4">
        <v>1</v>
      </c>
      <c r="BE50" s="275">
        <v>1</v>
      </c>
      <c r="BF50" s="133">
        <v>1</v>
      </c>
      <c r="BG50" s="275">
        <v>1</v>
      </c>
      <c r="BH50" s="275">
        <v>1</v>
      </c>
      <c r="BI50" s="275">
        <v>1</v>
      </c>
      <c r="BJ50" s="275">
        <v>1</v>
      </c>
      <c r="BK50" s="4">
        <v>0.1</v>
      </c>
      <c r="BL50" s="4">
        <v>0.1</v>
      </c>
      <c r="BM50" s="4">
        <v>0.1</v>
      </c>
      <c r="BN50" s="133">
        <v>1</v>
      </c>
      <c r="BO50" s="275">
        <v>1</v>
      </c>
      <c r="BP50" s="133">
        <v>1</v>
      </c>
      <c r="BQ50" s="275">
        <v>1</v>
      </c>
      <c r="BR50" s="4">
        <v>1</v>
      </c>
      <c r="BS50" s="275">
        <v>1</v>
      </c>
      <c r="BT50" s="275">
        <v>1</v>
      </c>
      <c r="BU50" s="275">
        <v>1</v>
      </c>
      <c r="BV50" s="275">
        <v>1</v>
      </c>
      <c r="BW50" s="133">
        <v>1</v>
      </c>
      <c r="BX50" s="275">
        <v>1</v>
      </c>
      <c r="BY50" s="275">
        <v>1</v>
      </c>
      <c r="BZ50" s="133">
        <v>1</v>
      </c>
      <c r="CA50" s="133">
        <v>1</v>
      </c>
      <c r="CB50" s="133">
        <v>1</v>
      </c>
      <c r="CC50" s="133">
        <v>1</v>
      </c>
      <c r="CD50" s="275">
        <v>1</v>
      </c>
      <c r="CE50" s="275">
        <v>1</v>
      </c>
      <c r="CF50" s="133">
        <v>1</v>
      </c>
      <c r="CG50" s="275">
        <v>1</v>
      </c>
      <c r="CH50" s="4">
        <v>1</v>
      </c>
      <c r="CI50" s="275">
        <v>1</v>
      </c>
      <c r="CJ50" s="275">
        <v>1</v>
      </c>
      <c r="CK50" s="275">
        <v>1</v>
      </c>
      <c r="CL50" s="275">
        <v>1</v>
      </c>
      <c r="CM50" s="275">
        <v>0.1</v>
      </c>
      <c r="CN50" s="275">
        <v>0.1</v>
      </c>
      <c r="CO50" s="275">
        <v>1</v>
      </c>
      <c r="CP50" s="275">
        <v>0.1</v>
      </c>
      <c r="CQ50" s="133">
        <v>1</v>
      </c>
      <c r="CR50" s="133">
        <v>1</v>
      </c>
      <c r="CS50" s="275">
        <v>1</v>
      </c>
      <c r="CT50" s="275">
        <v>1</v>
      </c>
      <c r="CU50" s="275">
        <v>1</v>
      </c>
      <c r="CV50" s="275">
        <v>1</v>
      </c>
      <c r="CW50" s="133">
        <v>1</v>
      </c>
      <c r="CX50" s="275">
        <v>0.1</v>
      </c>
      <c r="CY50" s="275">
        <v>1</v>
      </c>
      <c r="CZ50" s="275">
        <v>1</v>
      </c>
      <c r="DA50" s="133">
        <v>1</v>
      </c>
      <c r="DB50" s="275">
        <v>1</v>
      </c>
      <c r="DC50" s="133">
        <v>1</v>
      </c>
      <c r="DD50" s="133">
        <v>1</v>
      </c>
      <c r="DE50" s="133">
        <v>1</v>
      </c>
      <c r="DF50" s="133">
        <v>1</v>
      </c>
      <c r="DG50" s="133">
        <v>1</v>
      </c>
      <c r="DH50" s="133">
        <v>1</v>
      </c>
      <c r="DI50" s="133">
        <v>1</v>
      </c>
      <c r="DJ50" s="133">
        <v>1</v>
      </c>
      <c r="DK50" s="133">
        <v>1</v>
      </c>
      <c r="DL50" s="133">
        <v>1</v>
      </c>
      <c r="DM50" s="275">
        <v>1</v>
      </c>
      <c r="DN50" s="275">
        <v>1</v>
      </c>
      <c r="DO50" s="275">
        <v>1</v>
      </c>
      <c r="DP50" s="275">
        <v>1</v>
      </c>
      <c r="DQ50" s="275">
        <v>1</v>
      </c>
    </row>
    <row r="51" spans="2:121" ht="14.25" customHeight="1" x14ac:dyDescent="0.3">
      <c r="B51" s="108">
        <v>0.48958333333333298</v>
      </c>
      <c r="D51" s="4">
        <v>1</v>
      </c>
      <c r="E51" s="133">
        <v>1</v>
      </c>
      <c r="F51" s="275">
        <v>1</v>
      </c>
      <c r="G51" s="275">
        <v>1</v>
      </c>
      <c r="H51" s="275">
        <v>1</v>
      </c>
      <c r="I51" s="133">
        <v>1</v>
      </c>
      <c r="J51" s="133">
        <v>1</v>
      </c>
      <c r="K51" s="4">
        <v>1</v>
      </c>
      <c r="L51" s="4">
        <v>1</v>
      </c>
      <c r="M51" s="275">
        <v>1</v>
      </c>
      <c r="N51" s="275">
        <v>1</v>
      </c>
      <c r="O51" s="275">
        <v>1</v>
      </c>
      <c r="P51" s="133">
        <v>0.1</v>
      </c>
      <c r="Q51" s="275">
        <v>1</v>
      </c>
      <c r="R51" s="275">
        <v>1</v>
      </c>
      <c r="S51" s="275">
        <v>1</v>
      </c>
      <c r="T51" s="275">
        <v>1</v>
      </c>
      <c r="U51" s="275">
        <v>1</v>
      </c>
      <c r="V51" s="275">
        <v>1</v>
      </c>
      <c r="W51" s="275">
        <v>1</v>
      </c>
      <c r="X51" s="275">
        <v>1</v>
      </c>
      <c r="Y51" s="275">
        <v>0.1</v>
      </c>
      <c r="Z51" s="275">
        <v>1</v>
      </c>
      <c r="AA51" s="133">
        <v>1</v>
      </c>
      <c r="AB51" s="275">
        <v>1</v>
      </c>
      <c r="AC51" s="133">
        <v>1</v>
      </c>
      <c r="AD51" s="275">
        <v>0.1</v>
      </c>
      <c r="AE51" s="133">
        <v>1</v>
      </c>
      <c r="AF51" s="133">
        <v>1</v>
      </c>
      <c r="AG51" s="4">
        <v>0.1</v>
      </c>
      <c r="AH51" s="275">
        <v>1</v>
      </c>
      <c r="AI51" s="4">
        <v>0.1</v>
      </c>
      <c r="AJ51" s="133">
        <v>0.1</v>
      </c>
      <c r="AK51" s="275">
        <v>1</v>
      </c>
      <c r="AL51" s="275">
        <v>1</v>
      </c>
      <c r="AM51" s="275">
        <v>1</v>
      </c>
      <c r="AN51" s="275">
        <v>1</v>
      </c>
      <c r="AO51" s="275">
        <v>1</v>
      </c>
      <c r="AP51" s="133">
        <v>1</v>
      </c>
      <c r="AQ51" s="133">
        <v>1</v>
      </c>
      <c r="AR51" s="133">
        <v>1</v>
      </c>
      <c r="AS51" s="275">
        <v>1</v>
      </c>
      <c r="AT51" s="275">
        <v>1</v>
      </c>
      <c r="AU51" s="275">
        <v>1</v>
      </c>
      <c r="AV51" s="275">
        <v>1</v>
      </c>
      <c r="AW51" s="275">
        <v>1</v>
      </c>
      <c r="AX51" s="275">
        <v>1</v>
      </c>
      <c r="AY51" s="275">
        <v>1</v>
      </c>
      <c r="AZ51" s="275">
        <v>1</v>
      </c>
      <c r="BA51" s="275">
        <v>1</v>
      </c>
      <c r="BB51" s="275">
        <v>1</v>
      </c>
      <c r="BC51" s="275">
        <v>1</v>
      </c>
      <c r="BD51" s="4">
        <v>1</v>
      </c>
      <c r="BE51" s="275">
        <v>1</v>
      </c>
      <c r="BF51" s="133">
        <v>1</v>
      </c>
      <c r="BG51" s="275">
        <v>1</v>
      </c>
      <c r="BH51" s="275">
        <v>1</v>
      </c>
      <c r="BI51" s="275">
        <v>1</v>
      </c>
      <c r="BJ51" s="275">
        <v>1</v>
      </c>
      <c r="BK51" s="4">
        <v>0.1</v>
      </c>
      <c r="BL51" s="4">
        <v>0.1</v>
      </c>
      <c r="BM51" s="4">
        <v>0.1</v>
      </c>
      <c r="BN51" s="133">
        <v>1</v>
      </c>
      <c r="BO51" s="275">
        <v>1</v>
      </c>
      <c r="BP51" s="133">
        <v>1</v>
      </c>
      <c r="BQ51" s="275">
        <v>1</v>
      </c>
      <c r="BR51" s="4">
        <v>1</v>
      </c>
      <c r="BS51" s="275">
        <v>1</v>
      </c>
      <c r="BT51" s="275">
        <v>1</v>
      </c>
      <c r="BU51" s="275">
        <v>1</v>
      </c>
      <c r="BV51" s="275">
        <v>1</v>
      </c>
      <c r="BW51" s="133">
        <v>1</v>
      </c>
      <c r="BX51" s="275">
        <v>1</v>
      </c>
      <c r="BY51" s="275">
        <v>1</v>
      </c>
      <c r="BZ51" s="133">
        <v>1</v>
      </c>
      <c r="CA51" s="133">
        <v>1</v>
      </c>
      <c r="CB51" s="133">
        <v>1</v>
      </c>
      <c r="CC51" s="133">
        <v>1</v>
      </c>
      <c r="CD51" s="275">
        <v>1</v>
      </c>
      <c r="CE51" s="275">
        <v>1</v>
      </c>
      <c r="CF51" s="133">
        <v>1</v>
      </c>
      <c r="CG51" s="275">
        <v>1</v>
      </c>
      <c r="CH51" s="4">
        <v>1</v>
      </c>
      <c r="CI51" s="275">
        <v>1</v>
      </c>
      <c r="CJ51" s="275">
        <v>1</v>
      </c>
      <c r="CK51" s="275">
        <v>1</v>
      </c>
      <c r="CL51" s="275">
        <v>1</v>
      </c>
      <c r="CM51" s="275">
        <v>0.1</v>
      </c>
      <c r="CN51" s="275">
        <v>0.1</v>
      </c>
      <c r="CO51" s="275">
        <v>1</v>
      </c>
      <c r="CP51" s="275">
        <v>0.1</v>
      </c>
      <c r="CQ51" s="133">
        <v>1</v>
      </c>
      <c r="CR51" s="133">
        <v>1</v>
      </c>
      <c r="CS51" s="275">
        <v>1</v>
      </c>
      <c r="CT51" s="275">
        <v>1</v>
      </c>
      <c r="CU51" s="275">
        <v>1</v>
      </c>
      <c r="CV51" s="275">
        <v>1</v>
      </c>
      <c r="CW51" s="133">
        <v>1</v>
      </c>
      <c r="CX51" s="275">
        <v>0.1</v>
      </c>
      <c r="CY51" s="275">
        <v>1</v>
      </c>
      <c r="CZ51" s="275">
        <v>1</v>
      </c>
      <c r="DA51" s="133">
        <v>1</v>
      </c>
      <c r="DB51" s="275">
        <v>1</v>
      </c>
      <c r="DC51" s="133">
        <v>1</v>
      </c>
      <c r="DD51" s="133">
        <v>1</v>
      </c>
      <c r="DE51" s="133">
        <v>1</v>
      </c>
      <c r="DF51" s="133">
        <v>1</v>
      </c>
      <c r="DG51" s="133">
        <v>1</v>
      </c>
      <c r="DH51" s="133">
        <v>1</v>
      </c>
      <c r="DI51" s="133">
        <v>1</v>
      </c>
      <c r="DJ51" s="133">
        <v>1</v>
      </c>
      <c r="DK51" s="133">
        <v>1</v>
      </c>
      <c r="DL51" s="133">
        <v>1</v>
      </c>
      <c r="DM51" s="275">
        <v>1</v>
      </c>
      <c r="DN51" s="275">
        <v>1</v>
      </c>
      <c r="DO51" s="275">
        <v>1</v>
      </c>
      <c r="DP51" s="275">
        <v>1</v>
      </c>
      <c r="DQ51" s="275">
        <v>1</v>
      </c>
    </row>
    <row r="52" spans="2:121" ht="14.25" customHeight="1" x14ac:dyDescent="0.3">
      <c r="B52" s="108">
        <v>0.5</v>
      </c>
      <c r="D52" s="4">
        <v>1</v>
      </c>
      <c r="E52" s="133">
        <v>1</v>
      </c>
      <c r="F52" s="275">
        <v>1</v>
      </c>
      <c r="G52" s="275">
        <v>1</v>
      </c>
      <c r="H52" s="275">
        <v>1</v>
      </c>
      <c r="I52" s="4">
        <v>0.1</v>
      </c>
      <c r="J52" s="133">
        <v>1</v>
      </c>
      <c r="K52" s="4">
        <v>1</v>
      </c>
      <c r="L52" s="4">
        <v>1</v>
      </c>
      <c r="M52" s="275">
        <v>1</v>
      </c>
      <c r="N52" s="275">
        <v>1</v>
      </c>
      <c r="O52" s="275">
        <v>1</v>
      </c>
      <c r="P52" s="133">
        <v>0.1</v>
      </c>
      <c r="Q52" s="275">
        <v>1</v>
      </c>
      <c r="R52" s="275">
        <v>1</v>
      </c>
      <c r="S52" s="275">
        <v>1</v>
      </c>
      <c r="T52" s="275">
        <v>1</v>
      </c>
      <c r="U52" s="275">
        <v>1</v>
      </c>
      <c r="V52" s="275">
        <v>1</v>
      </c>
      <c r="W52" s="275">
        <v>1</v>
      </c>
      <c r="X52" s="275">
        <v>1</v>
      </c>
      <c r="Y52" s="275">
        <v>0.1</v>
      </c>
      <c r="Z52" s="275">
        <v>1</v>
      </c>
      <c r="AA52" s="133">
        <v>1</v>
      </c>
      <c r="AB52" s="275">
        <v>1</v>
      </c>
      <c r="AC52" s="133">
        <v>1</v>
      </c>
      <c r="AD52" s="275">
        <v>0.1</v>
      </c>
      <c r="AE52" s="133">
        <v>1</v>
      </c>
      <c r="AF52" s="133">
        <v>1</v>
      </c>
      <c r="AG52" s="4">
        <v>0.1</v>
      </c>
      <c r="AH52" s="275">
        <v>1</v>
      </c>
      <c r="AI52" s="4">
        <v>0.1</v>
      </c>
      <c r="AJ52" s="133">
        <v>0.1</v>
      </c>
      <c r="AK52" s="275">
        <v>1</v>
      </c>
      <c r="AL52" s="275">
        <v>1</v>
      </c>
      <c r="AM52" s="275">
        <v>1</v>
      </c>
      <c r="AN52" s="275">
        <v>1</v>
      </c>
      <c r="AO52" s="275">
        <v>1</v>
      </c>
      <c r="AP52" s="133">
        <v>1</v>
      </c>
      <c r="AQ52" s="133">
        <v>1</v>
      </c>
      <c r="AR52" s="133">
        <v>1</v>
      </c>
      <c r="AS52" s="275">
        <v>1</v>
      </c>
      <c r="AT52" s="275">
        <v>1</v>
      </c>
      <c r="AU52" s="275">
        <v>1</v>
      </c>
      <c r="AV52" s="275">
        <v>1</v>
      </c>
      <c r="AW52" s="275">
        <v>1</v>
      </c>
      <c r="AX52" s="275">
        <v>1</v>
      </c>
      <c r="AY52" s="275">
        <v>1</v>
      </c>
      <c r="AZ52" s="275">
        <v>1</v>
      </c>
      <c r="BA52" s="275">
        <v>1</v>
      </c>
      <c r="BB52" s="275">
        <v>1</v>
      </c>
      <c r="BC52" s="275">
        <v>1</v>
      </c>
      <c r="BD52" s="4">
        <v>1</v>
      </c>
      <c r="BE52" s="275">
        <v>1</v>
      </c>
      <c r="BF52" s="133">
        <v>1</v>
      </c>
      <c r="BG52" s="275">
        <v>1</v>
      </c>
      <c r="BH52" s="275">
        <v>1</v>
      </c>
      <c r="BI52" s="275">
        <v>1</v>
      </c>
      <c r="BJ52" s="275">
        <v>1</v>
      </c>
      <c r="BK52" s="4">
        <v>0.1</v>
      </c>
      <c r="BL52" s="4">
        <v>0.1</v>
      </c>
      <c r="BM52" s="4">
        <v>0.1</v>
      </c>
      <c r="BN52" s="133">
        <v>1</v>
      </c>
      <c r="BO52" s="275">
        <v>1</v>
      </c>
      <c r="BP52" s="4">
        <v>0.1</v>
      </c>
      <c r="BQ52" s="275">
        <v>1</v>
      </c>
      <c r="BR52" s="4">
        <v>1</v>
      </c>
      <c r="BS52" s="275">
        <v>1</v>
      </c>
      <c r="BT52" s="275">
        <v>1</v>
      </c>
      <c r="BU52" s="275">
        <v>1</v>
      </c>
      <c r="BV52" s="275">
        <v>1</v>
      </c>
      <c r="BW52" s="133">
        <v>1</v>
      </c>
      <c r="BX52" s="275">
        <v>1</v>
      </c>
      <c r="BY52" s="275">
        <v>1</v>
      </c>
      <c r="BZ52" s="4">
        <v>0.1</v>
      </c>
      <c r="CA52" s="4">
        <v>0.1</v>
      </c>
      <c r="CB52" s="4">
        <v>0.1</v>
      </c>
      <c r="CC52" s="133">
        <v>1</v>
      </c>
      <c r="CD52" s="275">
        <v>1</v>
      </c>
      <c r="CE52" s="275">
        <v>1</v>
      </c>
      <c r="CF52" s="133">
        <v>1</v>
      </c>
      <c r="CG52" s="275">
        <v>1</v>
      </c>
      <c r="CH52" s="4">
        <v>1</v>
      </c>
      <c r="CI52" s="275">
        <v>1</v>
      </c>
      <c r="CJ52" s="275">
        <v>1</v>
      </c>
      <c r="CK52" s="275">
        <v>1</v>
      </c>
      <c r="CL52" s="275">
        <v>1</v>
      </c>
      <c r="CM52" s="275">
        <v>0.1</v>
      </c>
      <c r="CN52" s="275">
        <v>0.1</v>
      </c>
      <c r="CO52" s="275">
        <v>1</v>
      </c>
      <c r="CP52" s="275">
        <v>0.1</v>
      </c>
      <c r="CQ52" s="133">
        <v>1</v>
      </c>
      <c r="CR52" s="133">
        <v>1</v>
      </c>
      <c r="CS52" s="275">
        <v>1</v>
      </c>
      <c r="CT52" s="275">
        <v>1</v>
      </c>
      <c r="CU52" s="275">
        <v>1</v>
      </c>
      <c r="CV52" s="275">
        <v>1</v>
      </c>
      <c r="CW52" s="133">
        <v>1</v>
      </c>
      <c r="CX52" s="275">
        <v>0.1</v>
      </c>
      <c r="CY52" s="275">
        <v>1</v>
      </c>
      <c r="CZ52" s="275">
        <v>1</v>
      </c>
      <c r="DA52" s="133">
        <v>1</v>
      </c>
      <c r="DB52" s="275">
        <v>1</v>
      </c>
      <c r="DC52" s="133">
        <v>1</v>
      </c>
      <c r="DD52" s="133">
        <v>1</v>
      </c>
      <c r="DE52" s="133">
        <v>1</v>
      </c>
      <c r="DF52" s="133">
        <v>1</v>
      </c>
      <c r="DG52" s="133">
        <v>1</v>
      </c>
      <c r="DH52" s="133">
        <v>1</v>
      </c>
      <c r="DI52" s="133">
        <v>1</v>
      </c>
      <c r="DJ52" s="133">
        <v>1</v>
      </c>
      <c r="DK52" s="133">
        <v>1</v>
      </c>
      <c r="DL52" s="133">
        <v>1</v>
      </c>
      <c r="DM52" s="275">
        <v>1</v>
      </c>
      <c r="DN52" s="275">
        <v>1</v>
      </c>
      <c r="DO52" s="275">
        <v>1</v>
      </c>
      <c r="DP52" s="275">
        <v>1</v>
      </c>
      <c r="DQ52" s="275">
        <v>1</v>
      </c>
    </row>
    <row r="53" spans="2:121" ht="14.25" customHeight="1" x14ac:dyDescent="0.3">
      <c r="B53" s="108">
        <v>0.51041666666666696</v>
      </c>
      <c r="D53" s="4">
        <v>1</v>
      </c>
      <c r="E53" s="133">
        <v>1</v>
      </c>
      <c r="F53" s="275">
        <v>1</v>
      </c>
      <c r="G53" s="275">
        <v>1</v>
      </c>
      <c r="H53" s="275">
        <v>1</v>
      </c>
      <c r="I53" s="4">
        <v>0.1</v>
      </c>
      <c r="J53" s="133">
        <v>1</v>
      </c>
      <c r="K53" s="4">
        <v>1</v>
      </c>
      <c r="L53" s="4">
        <v>1</v>
      </c>
      <c r="M53" s="275">
        <v>1</v>
      </c>
      <c r="N53" s="275">
        <v>1</v>
      </c>
      <c r="O53" s="275">
        <v>1</v>
      </c>
      <c r="P53" s="133">
        <v>0.1</v>
      </c>
      <c r="Q53" s="275">
        <v>1</v>
      </c>
      <c r="R53" s="275">
        <v>1</v>
      </c>
      <c r="S53" s="275">
        <v>1</v>
      </c>
      <c r="T53" s="275">
        <v>1</v>
      </c>
      <c r="U53" s="275">
        <v>1</v>
      </c>
      <c r="V53" s="275">
        <v>1</v>
      </c>
      <c r="W53" s="275">
        <v>1</v>
      </c>
      <c r="X53" s="275">
        <v>1</v>
      </c>
      <c r="Y53" s="275">
        <v>0.1</v>
      </c>
      <c r="Z53" s="275">
        <v>1</v>
      </c>
      <c r="AA53" s="133">
        <v>1</v>
      </c>
      <c r="AB53" s="275">
        <v>1</v>
      </c>
      <c r="AC53" s="133">
        <v>1</v>
      </c>
      <c r="AD53" s="275">
        <v>0.1</v>
      </c>
      <c r="AE53" s="133">
        <v>1</v>
      </c>
      <c r="AF53" s="133">
        <v>1</v>
      </c>
      <c r="AG53" s="4">
        <v>0.1</v>
      </c>
      <c r="AH53" s="275">
        <v>1</v>
      </c>
      <c r="AI53" s="4">
        <v>0.1</v>
      </c>
      <c r="AJ53" s="133">
        <v>0.1</v>
      </c>
      <c r="AK53" s="275">
        <v>1</v>
      </c>
      <c r="AL53" s="275">
        <v>1</v>
      </c>
      <c r="AM53" s="275">
        <v>1</v>
      </c>
      <c r="AN53" s="275">
        <v>1</v>
      </c>
      <c r="AO53" s="275">
        <v>1</v>
      </c>
      <c r="AP53" s="133">
        <v>1</v>
      </c>
      <c r="AQ53" s="133">
        <v>1</v>
      </c>
      <c r="AR53" s="133">
        <v>1</v>
      </c>
      <c r="AS53" s="275">
        <v>1</v>
      </c>
      <c r="AT53" s="275">
        <v>1</v>
      </c>
      <c r="AU53" s="275">
        <v>1</v>
      </c>
      <c r="AV53" s="275">
        <v>1</v>
      </c>
      <c r="AW53" s="275">
        <v>1</v>
      </c>
      <c r="AX53" s="275">
        <v>1</v>
      </c>
      <c r="AY53" s="275">
        <v>1</v>
      </c>
      <c r="AZ53" s="275">
        <v>1</v>
      </c>
      <c r="BA53" s="275">
        <v>1</v>
      </c>
      <c r="BB53" s="275">
        <v>1</v>
      </c>
      <c r="BC53" s="275">
        <v>1</v>
      </c>
      <c r="BD53" s="4">
        <v>1</v>
      </c>
      <c r="BE53" s="275">
        <v>1</v>
      </c>
      <c r="BF53" s="133">
        <v>1</v>
      </c>
      <c r="BG53" s="275">
        <v>1</v>
      </c>
      <c r="BH53" s="275">
        <v>1</v>
      </c>
      <c r="BI53" s="275">
        <v>1</v>
      </c>
      <c r="BJ53" s="275">
        <v>1</v>
      </c>
      <c r="BK53" s="4">
        <v>0.1</v>
      </c>
      <c r="BL53" s="4">
        <v>0.1</v>
      </c>
      <c r="BM53" s="4">
        <v>0.1</v>
      </c>
      <c r="BN53" s="133">
        <v>1</v>
      </c>
      <c r="BO53" s="275">
        <v>0.1</v>
      </c>
      <c r="BP53" s="4">
        <v>0.1</v>
      </c>
      <c r="BQ53" s="275">
        <v>1</v>
      </c>
      <c r="BR53" s="4">
        <v>1</v>
      </c>
      <c r="BS53" s="275">
        <v>1</v>
      </c>
      <c r="BT53" s="275">
        <v>1</v>
      </c>
      <c r="BU53" s="275">
        <v>1</v>
      </c>
      <c r="BV53" s="275">
        <v>1</v>
      </c>
      <c r="BW53" s="133">
        <v>1</v>
      </c>
      <c r="BX53" s="275">
        <v>1</v>
      </c>
      <c r="BY53" s="275">
        <v>1</v>
      </c>
      <c r="BZ53" s="4">
        <v>0.1</v>
      </c>
      <c r="CA53" s="4">
        <v>0.1</v>
      </c>
      <c r="CB53" s="4">
        <v>0.1</v>
      </c>
      <c r="CC53" s="133">
        <v>1</v>
      </c>
      <c r="CD53" s="275">
        <v>1</v>
      </c>
      <c r="CE53" s="275">
        <v>1</v>
      </c>
      <c r="CF53" s="133">
        <v>1</v>
      </c>
      <c r="CG53" s="275">
        <v>1</v>
      </c>
      <c r="CH53" s="4">
        <v>1</v>
      </c>
      <c r="CI53" s="275">
        <v>1</v>
      </c>
      <c r="CJ53" s="275">
        <v>1</v>
      </c>
      <c r="CK53" s="275">
        <v>1</v>
      </c>
      <c r="CL53" s="275">
        <v>1</v>
      </c>
      <c r="CM53" s="275">
        <v>0.1</v>
      </c>
      <c r="CN53" s="275">
        <v>0.1</v>
      </c>
      <c r="CO53" s="275">
        <v>1</v>
      </c>
      <c r="CP53" s="275">
        <v>0.1</v>
      </c>
      <c r="CQ53" s="133">
        <v>1</v>
      </c>
      <c r="CR53" s="133">
        <v>1</v>
      </c>
      <c r="CS53" s="275">
        <v>1</v>
      </c>
      <c r="CT53" s="275">
        <v>1</v>
      </c>
      <c r="CU53" s="275">
        <v>1</v>
      </c>
      <c r="CV53" s="275">
        <v>1</v>
      </c>
      <c r="CW53" s="133">
        <v>1</v>
      </c>
      <c r="CX53" s="275">
        <v>0.1</v>
      </c>
      <c r="CY53" s="275">
        <v>1</v>
      </c>
      <c r="CZ53" s="275">
        <v>1</v>
      </c>
      <c r="DA53" s="133">
        <v>1</v>
      </c>
      <c r="DB53" s="275">
        <v>0.1</v>
      </c>
      <c r="DC53" s="133">
        <v>1</v>
      </c>
      <c r="DD53" s="133">
        <v>1</v>
      </c>
      <c r="DE53" s="133">
        <v>1</v>
      </c>
      <c r="DF53" s="133">
        <v>1</v>
      </c>
      <c r="DG53" s="133">
        <v>1</v>
      </c>
      <c r="DH53" s="133">
        <v>1</v>
      </c>
      <c r="DI53" s="133">
        <v>1</v>
      </c>
      <c r="DJ53" s="133">
        <v>1</v>
      </c>
      <c r="DK53" s="133">
        <v>1</v>
      </c>
      <c r="DL53" s="133">
        <v>1</v>
      </c>
      <c r="DM53" s="275">
        <v>1</v>
      </c>
      <c r="DN53" s="275">
        <v>1</v>
      </c>
      <c r="DO53" s="275">
        <v>1</v>
      </c>
      <c r="DP53" s="275">
        <v>1</v>
      </c>
      <c r="DQ53" s="275">
        <v>1</v>
      </c>
    </row>
    <row r="54" spans="2:121" ht="14.25" customHeight="1" x14ac:dyDescent="0.3">
      <c r="B54" s="108">
        <v>0.52083333333333304</v>
      </c>
      <c r="D54" s="4">
        <v>1</v>
      </c>
      <c r="E54" s="133">
        <v>1</v>
      </c>
      <c r="F54" s="275">
        <v>1</v>
      </c>
      <c r="G54" s="275">
        <v>1</v>
      </c>
      <c r="H54" s="275">
        <v>1</v>
      </c>
      <c r="I54" s="4">
        <v>1</v>
      </c>
      <c r="J54" s="133">
        <v>1</v>
      </c>
      <c r="K54" s="4">
        <v>1</v>
      </c>
      <c r="L54" s="4">
        <v>1</v>
      </c>
      <c r="M54" s="275">
        <v>1</v>
      </c>
      <c r="N54" s="275">
        <v>1</v>
      </c>
      <c r="O54" s="275">
        <v>1</v>
      </c>
      <c r="P54" s="133">
        <v>0.1</v>
      </c>
      <c r="Q54" s="275">
        <v>1</v>
      </c>
      <c r="R54" s="275">
        <v>1</v>
      </c>
      <c r="S54" s="275">
        <v>1</v>
      </c>
      <c r="T54" s="275">
        <v>1</v>
      </c>
      <c r="U54" s="275">
        <v>1</v>
      </c>
      <c r="V54" s="275">
        <v>1</v>
      </c>
      <c r="W54" s="275">
        <v>1</v>
      </c>
      <c r="X54" s="275">
        <v>1</v>
      </c>
      <c r="Y54" s="275">
        <v>0.1</v>
      </c>
      <c r="Z54" s="275">
        <v>1</v>
      </c>
      <c r="AA54" s="133">
        <v>1</v>
      </c>
      <c r="AB54" s="275">
        <v>1</v>
      </c>
      <c r="AC54" s="133">
        <v>1</v>
      </c>
      <c r="AD54" s="275">
        <v>0.1</v>
      </c>
      <c r="AE54" s="133">
        <v>1</v>
      </c>
      <c r="AF54" s="133">
        <v>1</v>
      </c>
      <c r="AG54" s="4">
        <v>0.1</v>
      </c>
      <c r="AH54" s="275">
        <v>1</v>
      </c>
      <c r="AI54" s="4">
        <v>0.1</v>
      </c>
      <c r="AJ54" s="133">
        <v>0.1</v>
      </c>
      <c r="AK54" s="275">
        <v>1</v>
      </c>
      <c r="AL54" s="275">
        <v>1</v>
      </c>
      <c r="AM54" s="275">
        <v>1</v>
      </c>
      <c r="AN54" s="275">
        <v>1</v>
      </c>
      <c r="AO54" s="275">
        <v>1</v>
      </c>
      <c r="AP54" s="133">
        <v>1</v>
      </c>
      <c r="AQ54" s="133">
        <v>1</v>
      </c>
      <c r="AR54" s="133">
        <v>1</v>
      </c>
      <c r="AS54" s="275">
        <v>1</v>
      </c>
      <c r="AT54" s="275">
        <v>1</v>
      </c>
      <c r="AU54" s="275">
        <v>1</v>
      </c>
      <c r="AV54" s="275">
        <v>1</v>
      </c>
      <c r="AW54" s="275">
        <v>1</v>
      </c>
      <c r="AX54" s="275">
        <v>1</v>
      </c>
      <c r="AY54" s="275">
        <v>1</v>
      </c>
      <c r="AZ54" s="275">
        <v>1</v>
      </c>
      <c r="BA54" s="275">
        <v>1</v>
      </c>
      <c r="BB54" s="275">
        <v>1</v>
      </c>
      <c r="BC54" s="275">
        <v>1</v>
      </c>
      <c r="BD54" s="4">
        <v>1</v>
      </c>
      <c r="BE54" s="275">
        <v>1</v>
      </c>
      <c r="BF54" s="133">
        <v>1</v>
      </c>
      <c r="BG54" s="275">
        <v>1</v>
      </c>
      <c r="BH54" s="275">
        <v>1</v>
      </c>
      <c r="BI54" s="275">
        <v>1</v>
      </c>
      <c r="BJ54" s="275">
        <v>1</v>
      </c>
      <c r="BK54" s="4">
        <v>0.1</v>
      </c>
      <c r="BL54" s="4">
        <v>0.1</v>
      </c>
      <c r="BM54" s="4">
        <v>0.1</v>
      </c>
      <c r="BN54" s="133">
        <v>1</v>
      </c>
      <c r="BO54" s="275">
        <v>0.1</v>
      </c>
      <c r="BP54" s="4">
        <v>1</v>
      </c>
      <c r="BQ54" s="275">
        <v>1</v>
      </c>
      <c r="BR54" s="4">
        <v>1</v>
      </c>
      <c r="BS54" s="275">
        <v>1</v>
      </c>
      <c r="BT54" s="275">
        <v>1</v>
      </c>
      <c r="BU54" s="275">
        <v>1</v>
      </c>
      <c r="BV54" s="275">
        <v>1</v>
      </c>
      <c r="BW54" s="133">
        <v>1</v>
      </c>
      <c r="BX54" s="275">
        <v>1</v>
      </c>
      <c r="BY54" s="275">
        <v>1</v>
      </c>
      <c r="BZ54" s="4">
        <v>1</v>
      </c>
      <c r="CA54" s="4">
        <v>1</v>
      </c>
      <c r="CB54" s="4">
        <v>1</v>
      </c>
      <c r="CC54" s="133">
        <v>1</v>
      </c>
      <c r="CD54" s="275">
        <v>1</v>
      </c>
      <c r="CE54" s="275">
        <v>1</v>
      </c>
      <c r="CF54" s="133">
        <v>1</v>
      </c>
      <c r="CG54" s="275">
        <v>1</v>
      </c>
      <c r="CH54" s="4">
        <v>1</v>
      </c>
      <c r="CI54" s="275">
        <v>1</v>
      </c>
      <c r="CJ54" s="275">
        <v>1</v>
      </c>
      <c r="CK54" s="275">
        <v>1</v>
      </c>
      <c r="CL54" s="275">
        <v>1</v>
      </c>
      <c r="CM54" s="275">
        <v>0.1</v>
      </c>
      <c r="CN54" s="275">
        <v>0.1</v>
      </c>
      <c r="CO54" s="275">
        <v>1</v>
      </c>
      <c r="CP54" s="275">
        <v>0.1</v>
      </c>
      <c r="CQ54" s="133">
        <v>1</v>
      </c>
      <c r="CR54" s="133">
        <v>1</v>
      </c>
      <c r="CS54" s="275">
        <v>1</v>
      </c>
      <c r="CT54" s="275">
        <v>1</v>
      </c>
      <c r="CU54" s="275">
        <v>1</v>
      </c>
      <c r="CV54" s="275">
        <v>1</v>
      </c>
      <c r="CW54" s="133">
        <v>1</v>
      </c>
      <c r="CX54" s="275">
        <v>0.1</v>
      </c>
      <c r="CY54" s="275">
        <v>1</v>
      </c>
      <c r="CZ54" s="275">
        <v>1</v>
      </c>
      <c r="DA54" s="133">
        <v>1</v>
      </c>
      <c r="DB54" s="275">
        <v>0.1</v>
      </c>
      <c r="DC54" s="133">
        <v>1</v>
      </c>
      <c r="DD54" s="133">
        <v>1</v>
      </c>
      <c r="DE54" s="133">
        <v>1</v>
      </c>
      <c r="DF54" s="133">
        <v>1</v>
      </c>
      <c r="DG54" s="133">
        <v>1</v>
      </c>
      <c r="DH54" s="133">
        <v>1</v>
      </c>
      <c r="DI54" s="133">
        <v>1</v>
      </c>
      <c r="DJ54" s="133">
        <v>1</v>
      </c>
      <c r="DK54" s="133">
        <v>1</v>
      </c>
      <c r="DL54" s="133">
        <v>1</v>
      </c>
      <c r="DM54" s="275">
        <v>1</v>
      </c>
      <c r="DN54" s="275">
        <v>1</v>
      </c>
      <c r="DO54" s="275">
        <v>1</v>
      </c>
      <c r="DP54" s="275">
        <v>1</v>
      </c>
      <c r="DQ54" s="275">
        <v>1</v>
      </c>
    </row>
    <row r="55" spans="2:121" ht="14.25" customHeight="1" x14ac:dyDescent="0.3">
      <c r="B55" s="108">
        <v>0.53125</v>
      </c>
      <c r="D55" s="4">
        <v>1</v>
      </c>
      <c r="E55" s="133">
        <v>1</v>
      </c>
      <c r="F55" s="275">
        <v>1</v>
      </c>
      <c r="G55" s="275">
        <v>1</v>
      </c>
      <c r="H55" s="275">
        <v>1</v>
      </c>
      <c r="I55" s="4">
        <v>1</v>
      </c>
      <c r="J55" s="133">
        <v>1</v>
      </c>
      <c r="K55" s="4">
        <v>1</v>
      </c>
      <c r="L55" s="4">
        <v>1</v>
      </c>
      <c r="M55" s="275">
        <v>1</v>
      </c>
      <c r="N55" s="275">
        <v>1</v>
      </c>
      <c r="O55" s="275">
        <v>1</v>
      </c>
      <c r="P55" s="133">
        <v>0.1</v>
      </c>
      <c r="Q55" s="275">
        <v>1</v>
      </c>
      <c r="R55" s="275">
        <v>1</v>
      </c>
      <c r="S55" s="275">
        <v>1</v>
      </c>
      <c r="T55" s="275">
        <v>1</v>
      </c>
      <c r="U55" s="275">
        <v>1</v>
      </c>
      <c r="V55" s="275">
        <v>1</v>
      </c>
      <c r="W55" s="275">
        <v>1</v>
      </c>
      <c r="X55" s="275">
        <v>1</v>
      </c>
      <c r="Y55" s="275">
        <v>0.1</v>
      </c>
      <c r="Z55" s="275">
        <v>1</v>
      </c>
      <c r="AA55" s="133">
        <v>1</v>
      </c>
      <c r="AB55" s="275">
        <v>1</v>
      </c>
      <c r="AC55" s="133">
        <v>1</v>
      </c>
      <c r="AD55" s="275">
        <v>0.1</v>
      </c>
      <c r="AE55" s="133">
        <v>1</v>
      </c>
      <c r="AF55" s="133">
        <v>1</v>
      </c>
      <c r="AG55" s="4">
        <v>0.1</v>
      </c>
      <c r="AH55" s="275">
        <v>1</v>
      </c>
      <c r="AI55" s="4">
        <v>0.1</v>
      </c>
      <c r="AJ55" s="133">
        <v>0.1</v>
      </c>
      <c r="AK55" s="275">
        <v>1</v>
      </c>
      <c r="AL55" s="275">
        <v>1</v>
      </c>
      <c r="AM55" s="275">
        <v>1</v>
      </c>
      <c r="AN55" s="275">
        <v>1</v>
      </c>
      <c r="AO55" s="275">
        <v>1</v>
      </c>
      <c r="AP55" s="133">
        <v>1</v>
      </c>
      <c r="AQ55" s="133">
        <v>1</v>
      </c>
      <c r="AR55" s="133">
        <v>1</v>
      </c>
      <c r="AS55" s="275">
        <v>1</v>
      </c>
      <c r="AT55" s="275">
        <v>1</v>
      </c>
      <c r="AU55" s="275">
        <v>1</v>
      </c>
      <c r="AV55" s="275">
        <v>1</v>
      </c>
      <c r="AW55" s="275">
        <v>1</v>
      </c>
      <c r="AX55" s="275">
        <v>1</v>
      </c>
      <c r="AY55" s="275">
        <v>1</v>
      </c>
      <c r="AZ55" s="275">
        <v>1</v>
      </c>
      <c r="BA55" s="275">
        <v>1</v>
      </c>
      <c r="BB55" s="275">
        <v>1</v>
      </c>
      <c r="BC55" s="275">
        <v>1</v>
      </c>
      <c r="BD55" s="4">
        <v>1</v>
      </c>
      <c r="BE55" s="275">
        <v>1</v>
      </c>
      <c r="BF55" s="133">
        <v>1</v>
      </c>
      <c r="BG55" s="275">
        <v>1</v>
      </c>
      <c r="BH55" s="275">
        <v>1</v>
      </c>
      <c r="BI55" s="275">
        <v>1</v>
      </c>
      <c r="BJ55" s="275">
        <v>1</v>
      </c>
      <c r="BK55" s="4">
        <v>0.1</v>
      </c>
      <c r="BL55" s="4">
        <v>0.1</v>
      </c>
      <c r="BM55" s="4">
        <v>0.1</v>
      </c>
      <c r="BN55" s="133">
        <v>1</v>
      </c>
      <c r="BO55" s="275">
        <v>0.1</v>
      </c>
      <c r="BP55" s="4">
        <v>1</v>
      </c>
      <c r="BQ55" s="275">
        <v>1</v>
      </c>
      <c r="BR55" s="4">
        <v>1</v>
      </c>
      <c r="BS55" s="275">
        <v>1</v>
      </c>
      <c r="BT55" s="275">
        <v>1</v>
      </c>
      <c r="BU55" s="275">
        <v>1</v>
      </c>
      <c r="BV55" s="275">
        <v>1</v>
      </c>
      <c r="BW55" s="133">
        <v>1</v>
      </c>
      <c r="BX55" s="275">
        <v>1</v>
      </c>
      <c r="BY55" s="275">
        <v>1</v>
      </c>
      <c r="BZ55" s="4">
        <v>1</v>
      </c>
      <c r="CA55" s="4">
        <v>1</v>
      </c>
      <c r="CB55" s="4">
        <v>1</v>
      </c>
      <c r="CC55" s="133">
        <v>1</v>
      </c>
      <c r="CD55" s="275">
        <v>1</v>
      </c>
      <c r="CE55" s="275">
        <v>1</v>
      </c>
      <c r="CF55" s="133">
        <v>1</v>
      </c>
      <c r="CG55" s="275">
        <v>1</v>
      </c>
      <c r="CH55" s="4">
        <v>1</v>
      </c>
      <c r="CI55" s="275">
        <v>1</v>
      </c>
      <c r="CJ55" s="275">
        <v>1</v>
      </c>
      <c r="CK55" s="275">
        <v>1</v>
      </c>
      <c r="CL55" s="275">
        <v>1</v>
      </c>
      <c r="CM55" s="275">
        <v>0.1</v>
      </c>
      <c r="CN55" s="275">
        <v>0.1</v>
      </c>
      <c r="CO55" s="275">
        <v>1</v>
      </c>
      <c r="CP55" s="275">
        <v>0.1</v>
      </c>
      <c r="CQ55" s="133">
        <v>1</v>
      </c>
      <c r="CR55" s="133">
        <v>1</v>
      </c>
      <c r="CS55" s="275">
        <v>1</v>
      </c>
      <c r="CT55" s="275">
        <v>1</v>
      </c>
      <c r="CU55" s="275">
        <v>1</v>
      </c>
      <c r="CV55" s="275">
        <v>1</v>
      </c>
      <c r="CW55" s="133">
        <v>1</v>
      </c>
      <c r="CX55" s="275">
        <v>0.1</v>
      </c>
      <c r="CY55" s="275">
        <v>1</v>
      </c>
      <c r="CZ55" s="275">
        <v>1</v>
      </c>
      <c r="DA55" s="133">
        <v>1</v>
      </c>
      <c r="DB55" s="275">
        <v>0.1</v>
      </c>
      <c r="DC55" s="133">
        <v>1</v>
      </c>
      <c r="DD55" s="133">
        <v>1</v>
      </c>
      <c r="DE55" s="133">
        <v>1</v>
      </c>
      <c r="DF55" s="133">
        <v>1</v>
      </c>
      <c r="DG55" s="133">
        <v>1</v>
      </c>
      <c r="DH55" s="133">
        <v>1</v>
      </c>
      <c r="DI55" s="133">
        <v>1</v>
      </c>
      <c r="DJ55" s="133">
        <v>1</v>
      </c>
      <c r="DK55" s="133">
        <v>1</v>
      </c>
      <c r="DL55" s="133">
        <v>1</v>
      </c>
      <c r="DM55" s="275">
        <v>1</v>
      </c>
      <c r="DN55" s="275">
        <v>1</v>
      </c>
      <c r="DO55" s="275">
        <v>1</v>
      </c>
      <c r="DP55" s="275">
        <v>1</v>
      </c>
      <c r="DQ55" s="275">
        <v>1</v>
      </c>
    </row>
    <row r="56" spans="2:121" ht="14.25" customHeight="1" x14ac:dyDescent="0.3">
      <c r="B56" s="108">
        <v>0.54166666666666696</v>
      </c>
      <c r="D56" s="4">
        <v>1</v>
      </c>
      <c r="E56" s="133">
        <v>1</v>
      </c>
      <c r="F56" s="275">
        <v>1</v>
      </c>
      <c r="G56" s="275">
        <v>1</v>
      </c>
      <c r="H56" s="275">
        <v>1</v>
      </c>
      <c r="I56" s="4">
        <v>0.1</v>
      </c>
      <c r="J56" s="133">
        <v>1</v>
      </c>
      <c r="K56" s="4">
        <v>1</v>
      </c>
      <c r="L56" s="4">
        <v>1</v>
      </c>
      <c r="M56" s="275">
        <v>1</v>
      </c>
      <c r="N56" s="275">
        <v>1</v>
      </c>
      <c r="O56" s="275">
        <v>1</v>
      </c>
      <c r="P56" s="133">
        <v>0.1</v>
      </c>
      <c r="Q56" s="275">
        <v>1</v>
      </c>
      <c r="R56" s="275">
        <v>1</v>
      </c>
      <c r="S56" s="275">
        <v>1</v>
      </c>
      <c r="T56" s="275">
        <v>1</v>
      </c>
      <c r="U56" s="275">
        <v>1</v>
      </c>
      <c r="V56" s="275">
        <v>1</v>
      </c>
      <c r="W56" s="275">
        <v>1</v>
      </c>
      <c r="X56" s="275">
        <v>1</v>
      </c>
      <c r="Y56" s="275">
        <v>0.1</v>
      </c>
      <c r="Z56" s="275">
        <v>1</v>
      </c>
      <c r="AA56" s="133">
        <v>1</v>
      </c>
      <c r="AB56" s="275">
        <v>1</v>
      </c>
      <c r="AC56" s="133">
        <v>1</v>
      </c>
      <c r="AD56" s="275">
        <v>0.1</v>
      </c>
      <c r="AE56" s="133">
        <v>1</v>
      </c>
      <c r="AF56" s="133">
        <v>1</v>
      </c>
      <c r="AG56" s="4">
        <v>0.1</v>
      </c>
      <c r="AH56" s="275">
        <v>1</v>
      </c>
      <c r="AI56" s="4">
        <v>0.1</v>
      </c>
      <c r="AJ56" s="133">
        <v>0.1</v>
      </c>
      <c r="AK56" s="275">
        <v>1</v>
      </c>
      <c r="AL56" s="275">
        <v>1</v>
      </c>
      <c r="AM56" s="275">
        <v>1</v>
      </c>
      <c r="AN56" s="275">
        <v>1</v>
      </c>
      <c r="AO56" s="275">
        <v>1</v>
      </c>
      <c r="AP56" s="133">
        <v>1</v>
      </c>
      <c r="AQ56" s="133">
        <v>1</v>
      </c>
      <c r="AR56" s="133">
        <v>1</v>
      </c>
      <c r="AS56" s="275">
        <v>1</v>
      </c>
      <c r="AT56" s="275">
        <v>1</v>
      </c>
      <c r="AU56" s="275">
        <v>1</v>
      </c>
      <c r="AV56" s="275">
        <v>1</v>
      </c>
      <c r="AW56" s="275">
        <v>1</v>
      </c>
      <c r="AX56" s="275">
        <v>1</v>
      </c>
      <c r="AY56" s="275">
        <v>1</v>
      </c>
      <c r="AZ56" s="275">
        <v>1</v>
      </c>
      <c r="BA56" s="275">
        <v>1</v>
      </c>
      <c r="BB56" s="275">
        <v>1</v>
      </c>
      <c r="BC56" s="275">
        <v>1</v>
      </c>
      <c r="BD56" s="4">
        <v>1</v>
      </c>
      <c r="BE56" s="275">
        <v>1</v>
      </c>
      <c r="BF56" s="133">
        <v>1</v>
      </c>
      <c r="BG56" s="275">
        <v>1</v>
      </c>
      <c r="BH56" s="275">
        <v>1</v>
      </c>
      <c r="BI56" s="275">
        <v>1</v>
      </c>
      <c r="BJ56" s="275">
        <v>1</v>
      </c>
      <c r="BK56" s="4">
        <v>0.1</v>
      </c>
      <c r="BL56" s="4">
        <v>0.1</v>
      </c>
      <c r="BM56" s="4">
        <v>0.1</v>
      </c>
      <c r="BN56" s="133">
        <v>1</v>
      </c>
      <c r="BO56" s="275">
        <v>0.1</v>
      </c>
      <c r="BP56" s="4">
        <v>0.1</v>
      </c>
      <c r="BQ56" s="275">
        <v>1</v>
      </c>
      <c r="BR56" s="4">
        <v>1</v>
      </c>
      <c r="BS56" s="275">
        <v>1</v>
      </c>
      <c r="BT56" s="275">
        <v>1</v>
      </c>
      <c r="BU56" s="275">
        <v>1</v>
      </c>
      <c r="BV56" s="275">
        <v>1</v>
      </c>
      <c r="BW56" s="133">
        <v>1</v>
      </c>
      <c r="BX56" s="275">
        <v>1</v>
      </c>
      <c r="BY56" s="275">
        <v>1</v>
      </c>
      <c r="BZ56" s="4">
        <v>0.1</v>
      </c>
      <c r="CA56" s="4">
        <v>0.1</v>
      </c>
      <c r="CB56" s="4">
        <v>0.1</v>
      </c>
      <c r="CC56" s="133">
        <v>1</v>
      </c>
      <c r="CD56" s="275">
        <v>1</v>
      </c>
      <c r="CE56" s="275">
        <v>1</v>
      </c>
      <c r="CF56" s="133">
        <v>1</v>
      </c>
      <c r="CG56" s="275">
        <v>1</v>
      </c>
      <c r="CH56" s="4">
        <v>1</v>
      </c>
      <c r="CI56" s="275">
        <v>1</v>
      </c>
      <c r="CJ56" s="275">
        <v>1</v>
      </c>
      <c r="CK56" s="275">
        <v>1</v>
      </c>
      <c r="CL56" s="275">
        <v>1</v>
      </c>
      <c r="CM56" s="275">
        <v>0.1</v>
      </c>
      <c r="CN56" s="275">
        <v>0.1</v>
      </c>
      <c r="CO56" s="275">
        <v>1</v>
      </c>
      <c r="CP56" s="275">
        <v>0.1</v>
      </c>
      <c r="CQ56" s="133">
        <v>1</v>
      </c>
      <c r="CR56" s="133">
        <v>1</v>
      </c>
      <c r="CS56" s="275">
        <v>1</v>
      </c>
      <c r="CT56" s="275">
        <v>1</v>
      </c>
      <c r="CU56" s="275">
        <v>1</v>
      </c>
      <c r="CV56" s="275">
        <v>1</v>
      </c>
      <c r="CW56" s="133">
        <v>1</v>
      </c>
      <c r="CX56" s="275">
        <v>0.1</v>
      </c>
      <c r="CY56" s="275">
        <v>1</v>
      </c>
      <c r="CZ56" s="275">
        <v>1</v>
      </c>
      <c r="DA56" s="133">
        <v>1</v>
      </c>
      <c r="DB56" s="275">
        <v>0.1</v>
      </c>
      <c r="DC56" s="133">
        <v>1</v>
      </c>
      <c r="DD56" s="133">
        <v>1</v>
      </c>
      <c r="DE56" s="133">
        <v>1</v>
      </c>
      <c r="DF56" s="133">
        <v>1</v>
      </c>
      <c r="DG56" s="133">
        <v>1</v>
      </c>
      <c r="DH56" s="133">
        <v>1</v>
      </c>
      <c r="DI56" s="133">
        <v>1</v>
      </c>
      <c r="DJ56" s="133">
        <v>1</v>
      </c>
      <c r="DK56" s="133">
        <v>1</v>
      </c>
      <c r="DL56" s="133">
        <v>1</v>
      </c>
      <c r="DM56" s="275">
        <v>1</v>
      </c>
      <c r="DN56" s="275">
        <v>1</v>
      </c>
      <c r="DO56" s="275">
        <v>1</v>
      </c>
      <c r="DP56" s="275">
        <v>1</v>
      </c>
      <c r="DQ56" s="275">
        <v>1</v>
      </c>
    </row>
    <row r="57" spans="2:121" ht="14.25" customHeight="1" x14ac:dyDescent="0.3">
      <c r="B57" s="108">
        <v>0.55208333333333304</v>
      </c>
      <c r="D57" s="4">
        <v>1</v>
      </c>
      <c r="E57" s="133">
        <v>1</v>
      </c>
      <c r="F57" s="275">
        <v>1</v>
      </c>
      <c r="G57" s="275">
        <v>1</v>
      </c>
      <c r="H57" s="275">
        <v>1</v>
      </c>
      <c r="I57" s="4">
        <v>0.1</v>
      </c>
      <c r="J57" s="133">
        <v>1</v>
      </c>
      <c r="K57" s="4">
        <v>1</v>
      </c>
      <c r="L57" s="4">
        <v>1</v>
      </c>
      <c r="M57" s="275">
        <v>1</v>
      </c>
      <c r="N57" s="275">
        <v>1</v>
      </c>
      <c r="O57" s="275">
        <v>1</v>
      </c>
      <c r="P57" s="133">
        <v>0.1</v>
      </c>
      <c r="Q57" s="275">
        <v>1</v>
      </c>
      <c r="R57" s="275">
        <v>1</v>
      </c>
      <c r="S57" s="275">
        <v>1</v>
      </c>
      <c r="T57" s="275">
        <v>1</v>
      </c>
      <c r="U57" s="275">
        <v>1</v>
      </c>
      <c r="V57" s="275">
        <v>1</v>
      </c>
      <c r="W57" s="275">
        <v>1</v>
      </c>
      <c r="X57" s="275">
        <v>1</v>
      </c>
      <c r="Y57" s="275">
        <v>0.1</v>
      </c>
      <c r="Z57" s="275">
        <v>1</v>
      </c>
      <c r="AA57" s="133">
        <v>1</v>
      </c>
      <c r="AB57" s="275">
        <v>1</v>
      </c>
      <c r="AC57" s="133">
        <v>1</v>
      </c>
      <c r="AD57" s="275">
        <v>0.1</v>
      </c>
      <c r="AE57" s="133">
        <v>1</v>
      </c>
      <c r="AF57" s="133">
        <v>1</v>
      </c>
      <c r="AG57" s="4">
        <v>0.1</v>
      </c>
      <c r="AH57" s="275">
        <v>1</v>
      </c>
      <c r="AI57" s="4">
        <v>0.1</v>
      </c>
      <c r="AJ57" s="133">
        <v>0.1</v>
      </c>
      <c r="AK57" s="275">
        <v>1</v>
      </c>
      <c r="AL57" s="275">
        <v>1</v>
      </c>
      <c r="AM57" s="275">
        <v>1</v>
      </c>
      <c r="AN57" s="275">
        <v>1</v>
      </c>
      <c r="AO57" s="275">
        <v>1</v>
      </c>
      <c r="AP57" s="133">
        <v>1</v>
      </c>
      <c r="AQ57" s="133">
        <v>1</v>
      </c>
      <c r="AR57" s="133">
        <v>1</v>
      </c>
      <c r="AS57" s="275">
        <v>1</v>
      </c>
      <c r="AT57" s="275">
        <v>1</v>
      </c>
      <c r="AU57" s="275">
        <v>1</v>
      </c>
      <c r="AV57" s="275">
        <v>1</v>
      </c>
      <c r="AW57" s="275">
        <v>1</v>
      </c>
      <c r="AX57" s="275">
        <v>1</v>
      </c>
      <c r="AY57" s="275">
        <v>1</v>
      </c>
      <c r="AZ57" s="275">
        <v>1</v>
      </c>
      <c r="BA57" s="275">
        <v>1</v>
      </c>
      <c r="BB57" s="275">
        <v>1</v>
      </c>
      <c r="BC57" s="275">
        <v>1</v>
      </c>
      <c r="BD57" s="4">
        <v>1</v>
      </c>
      <c r="BE57" s="275">
        <v>1</v>
      </c>
      <c r="BF57" s="133">
        <v>1</v>
      </c>
      <c r="BG57" s="275">
        <v>1</v>
      </c>
      <c r="BH57" s="275">
        <v>1</v>
      </c>
      <c r="BI57" s="275">
        <v>1</v>
      </c>
      <c r="BJ57" s="275">
        <v>1</v>
      </c>
      <c r="BK57" s="4">
        <v>0.1</v>
      </c>
      <c r="BL57" s="4">
        <v>0.1</v>
      </c>
      <c r="BM57" s="4">
        <v>0.1</v>
      </c>
      <c r="BN57" s="133">
        <v>1</v>
      </c>
      <c r="BO57" s="275">
        <v>0.1</v>
      </c>
      <c r="BP57" s="4">
        <v>0.1</v>
      </c>
      <c r="BQ57" s="275">
        <v>1</v>
      </c>
      <c r="BR57" s="4">
        <v>1</v>
      </c>
      <c r="BS57" s="275">
        <v>1</v>
      </c>
      <c r="BT57" s="275">
        <v>1</v>
      </c>
      <c r="BU57" s="275">
        <v>1</v>
      </c>
      <c r="BV57" s="275">
        <v>1</v>
      </c>
      <c r="BW57" s="133">
        <v>1</v>
      </c>
      <c r="BX57" s="275">
        <v>1</v>
      </c>
      <c r="BY57" s="275">
        <v>1</v>
      </c>
      <c r="BZ57" s="4">
        <v>0.1</v>
      </c>
      <c r="CA57" s="4">
        <v>0.1</v>
      </c>
      <c r="CB57" s="4">
        <v>0.1</v>
      </c>
      <c r="CC57" s="133">
        <v>1</v>
      </c>
      <c r="CD57" s="275">
        <v>1</v>
      </c>
      <c r="CE57" s="275">
        <v>1</v>
      </c>
      <c r="CF57" s="133">
        <v>1</v>
      </c>
      <c r="CG57" s="275">
        <v>1</v>
      </c>
      <c r="CH57" s="4">
        <v>1</v>
      </c>
      <c r="CI57" s="275">
        <v>1</v>
      </c>
      <c r="CJ57" s="275">
        <v>1</v>
      </c>
      <c r="CK57" s="275">
        <v>1</v>
      </c>
      <c r="CL57" s="275">
        <v>1</v>
      </c>
      <c r="CM57" s="275">
        <v>0.1</v>
      </c>
      <c r="CN57" s="275">
        <v>0.1</v>
      </c>
      <c r="CO57" s="275">
        <v>1</v>
      </c>
      <c r="CP57" s="275">
        <v>0.1</v>
      </c>
      <c r="CQ57" s="133">
        <v>1</v>
      </c>
      <c r="CR57" s="133">
        <v>1</v>
      </c>
      <c r="CS57" s="275">
        <v>1</v>
      </c>
      <c r="CT57" s="275">
        <v>1</v>
      </c>
      <c r="CU57" s="275">
        <v>1</v>
      </c>
      <c r="CV57" s="275">
        <v>1</v>
      </c>
      <c r="CW57" s="133">
        <v>1</v>
      </c>
      <c r="CX57" s="275">
        <v>0.1</v>
      </c>
      <c r="CY57" s="275">
        <v>1</v>
      </c>
      <c r="CZ57" s="275">
        <v>1</v>
      </c>
      <c r="DA57" s="133">
        <v>1</v>
      </c>
      <c r="DB57" s="275">
        <v>0.1</v>
      </c>
      <c r="DC57" s="133">
        <v>1</v>
      </c>
      <c r="DD57" s="133">
        <v>1</v>
      </c>
      <c r="DE57" s="133">
        <v>1</v>
      </c>
      <c r="DF57" s="133">
        <v>1</v>
      </c>
      <c r="DG57" s="133">
        <v>1</v>
      </c>
      <c r="DH57" s="133">
        <v>1</v>
      </c>
      <c r="DI57" s="133">
        <v>1</v>
      </c>
      <c r="DJ57" s="133">
        <v>1</v>
      </c>
      <c r="DK57" s="133">
        <v>1</v>
      </c>
      <c r="DL57" s="133">
        <v>1</v>
      </c>
      <c r="DM57" s="275">
        <v>1</v>
      </c>
      <c r="DN57" s="275">
        <v>1</v>
      </c>
      <c r="DO57" s="275">
        <v>1</v>
      </c>
      <c r="DP57" s="275">
        <v>1</v>
      </c>
      <c r="DQ57" s="275">
        <v>1</v>
      </c>
    </row>
    <row r="58" spans="2:121" ht="14.25" customHeight="1" x14ac:dyDescent="0.3">
      <c r="B58" s="108">
        <v>0.5625</v>
      </c>
      <c r="D58" s="4">
        <v>1</v>
      </c>
      <c r="E58" s="133">
        <v>0.1</v>
      </c>
      <c r="F58" s="275">
        <v>1</v>
      </c>
      <c r="G58" s="275">
        <v>1</v>
      </c>
      <c r="H58" s="275">
        <v>1</v>
      </c>
      <c r="I58" s="133">
        <v>1</v>
      </c>
      <c r="J58" s="133">
        <v>0.1</v>
      </c>
      <c r="K58" s="4">
        <v>1</v>
      </c>
      <c r="L58" s="4">
        <v>1</v>
      </c>
      <c r="M58" s="275">
        <v>1</v>
      </c>
      <c r="N58" s="275">
        <v>1</v>
      </c>
      <c r="O58" s="275">
        <v>1</v>
      </c>
      <c r="P58" s="133">
        <v>0.1</v>
      </c>
      <c r="Q58" s="275">
        <v>1</v>
      </c>
      <c r="R58" s="275">
        <v>1</v>
      </c>
      <c r="S58" s="275">
        <v>1</v>
      </c>
      <c r="T58" s="275">
        <v>1</v>
      </c>
      <c r="U58" s="275">
        <v>1</v>
      </c>
      <c r="V58" s="275">
        <v>1</v>
      </c>
      <c r="W58" s="275">
        <v>1</v>
      </c>
      <c r="X58" s="275">
        <v>1</v>
      </c>
      <c r="Y58" s="275">
        <v>0.1</v>
      </c>
      <c r="Z58" s="275">
        <v>1</v>
      </c>
      <c r="AA58" s="133">
        <v>0.1</v>
      </c>
      <c r="AB58" s="275">
        <v>1</v>
      </c>
      <c r="AC58" s="133">
        <v>0.1</v>
      </c>
      <c r="AD58" s="278">
        <v>0.1</v>
      </c>
      <c r="AE58" s="133">
        <v>0.1</v>
      </c>
      <c r="AF58" s="133">
        <v>0.1</v>
      </c>
      <c r="AG58" s="4">
        <v>0.1</v>
      </c>
      <c r="AH58" s="275">
        <v>1</v>
      </c>
      <c r="AI58" s="4">
        <v>0.1</v>
      </c>
      <c r="AJ58" s="133">
        <v>0.1</v>
      </c>
      <c r="AK58" s="275">
        <v>1</v>
      </c>
      <c r="AL58" s="275">
        <v>1</v>
      </c>
      <c r="AM58" s="275">
        <v>1</v>
      </c>
      <c r="AN58" s="275">
        <v>1</v>
      </c>
      <c r="AO58" s="275">
        <v>1</v>
      </c>
      <c r="AP58" s="133">
        <v>0.1</v>
      </c>
      <c r="AQ58" s="133">
        <v>0.1</v>
      </c>
      <c r="AR58" s="133">
        <v>0.1</v>
      </c>
      <c r="AS58" s="275">
        <v>1</v>
      </c>
      <c r="AT58" s="275">
        <v>1</v>
      </c>
      <c r="AU58" s="275">
        <v>1</v>
      </c>
      <c r="AV58" s="275">
        <v>1</v>
      </c>
      <c r="AW58" s="275">
        <v>1</v>
      </c>
      <c r="AX58" s="275">
        <v>1</v>
      </c>
      <c r="AY58" s="275">
        <v>1</v>
      </c>
      <c r="AZ58" s="275">
        <v>1</v>
      </c>
      <c r="BA58" s="275">
        <v>1</v>
      </c>
      <c r="BB58" s="275">
        <v>1</v>
      </c>
      <c r="BC58" s="275">
        <v>1</v>
      </c>
      <c r="BD58" s="4">
        <v>1</v>
      </c>
      <c r="BE58" s="275">
        <v>1</v>
      </c>
      <c r="BF58" s="133">
        <v>0.1</v>
      </c>
      <c r="BG58" s="275">
        <v>1</v>
      </c>
      <c r="BH58" s="275">
        <v>1</v>
      </c>
      <c r="BI58" s="275">
        <v>1</v>
      </c>
      <c r="BJ58" s="275">
        <v>1</v>
      </c>
      <c r="BK58" s="4">
        <v>0.1</v>
      </c>
      <c r="BL58" s="4">
        <v>0.1</v>
      </c>
      <c r="BM58" s="4">
        <v>0.1</v>
      </c>
      <c r="BN58" s="133">
        <v>0.1</v>
      </c>
      <c r="BO58" s="275">
        <v>0.1</v>
      </c>
      <c r="BP58" s="133">
        <v>1</v>
      </c>
      <c r="BQ58" s="275">
        <v>1</v>
      </c>
      <c r="BR58" s="4">
        <v>1</v>
      </c>
      <c r="BS58" s="275">
        <v>1</v>
      </c>
      <c r="BT58" s="275">
        <v>1</v>
      </c>
      <c r="BU58" s="275">
        <v>1</v>
      </c>
      <c r="BV58" s="275">
        <v>1</v>
      </c>
      <c r="BW58" s="133">
        <v>0.1</v>
      </c>
      <c r="BX58" s="275">
        <v>1</v>
      </c>
      <c r="BY58" s="275">
        <v>1</v>
      </c>
      <c r="BZ58" s="133">
        <v>1</v>
      </c>
      <c r="CA58" s="133">
        <v>1</v>
      </c>
      <c r="CB58" s="133">
        <v>1</v>
      </c>
      <c r="CC58" s="133">
        <v>0.1</v>
      </c>
      <c r="CD58" s="275">
        <v>1</v>
      </c>
      <c r="CE58" s="275">
        <v>1</v>
      </c>
      <c r="CF58" s="133">
        <v>0.1</v>
      </c>
      <c r="CG58" s="275">
        <v>1</v>
      </c>
      <c r="CH58" s="4">
        <v>1</v>
      </c>
      <c r="CI58" s="275">
        <v>1</v>
      </c>
      <c r="CJ58" s="275">
        <v>1</v>
      </c>
      <c r="CK58" s="275">
        <v>1</v>
      </c>
      <c r="CL58" s="275">
        <v>1</v>
      </c>
      <c r="CM58" s="275">
        <v>0.1</v>
      </c>
      <c r="CN58" s="275">
        <v>0.1</v>
      </c>
      <c r="CO58" s="275">
        <v>1</v>
      </c>
      <c r="CP58" s="275">
        <v>0.1</v>
      </c>
      <c r="CQ58" s="133">
        <v>0.1</v>
      </c>
      <c r="CR58" s="133">
        <v>0.1</v>
      </c>
      <c r="CS58" s="275">
        <v>1</v>
      </c>
      <c r="CT58" s="275">
        <v>1</v>
      </c>
      <c r="CU58" s="275">
        <v>1</v>
      </c>
      <c r="CV58" s="275">
        <v>1</v>
      </c>
      <c r="CW58" s="133">
        <v>0.1</v>
      </c>
      <c r="CX58" s="275">
        <v>0.1</v>
      </c>
      <c r="CY58" s="275">
        <v>1</v>
      </c>
      <c r="CZ58" s="275">
        <v>1</v>
      </c>
      <c r="DA58" s="133">
        <v>1</v>
      </c>
      <c r="DB58" s="275">
        <v>0.1</v>
      </c>
      <c r="DC58" s="133">
        <v>1</v>
      </c>
      <c r="DD58" s="133">
        <v>1</v>
      </c>
      <c r="DE58" s="133">
        <v>1</v>
      </c>
      <c r="DF58" s="133">
        <v>1</v>
      </c>
      <c r="DG58" s="133">
        <v>1</v>
      </c>
      <c r="DH58" s="133">
        <v>1</v>
      </c>
      <c r="DI58" s="133">
        <v>1</v>
      </c>
      <c r="DJ58" s="133">
        <v>1</v>
      </c>
      <c r="DK58" s="133">
        <v>1</v>
      </c>
      <c r="DL58" s="133">
        <v>1</v>
      </c>
      <c r="DM58" s="275">
        <v>1</v>
      </c>
      <c r="DN58" s="275">
        <v>1</v>
      </c>
      <c r="DO58" s="275">
        <v>1</v>
      </c>
      <c r="DP58" s="275">
        <v>1</v>
      </c>
      <c r="DQ58" s="275">
        <v>1</v>
      </c>
    </row>
    <row r="59" spans="2:121" ht="14.25" customHeight="1" x14ac:dyDescent="0.3">
      <c r="B59" s="108">
        <v>0.57291666666666696</v>
      </c>
      <c r="D59" s="4">
        <v>1</v>
      </c>
      <c r="E59" s="133">
        <v>0.1</v>
      </c>
      <c r="F59" s="275">
        <v>1</v>
      </c>
      <c r="G59" s="275">
        <v>1</v>
      </c>
      <c r="H59" s="275">
        <v>1</v>
      </c>
      <c r="I59" s="133">
        <v>1</v>
      </c>
      <c r="J59" s="133">
        <v>0.1</v>
      </c>
      <c r="K59" s="4">
        <v>1</v>
      </c>
      <c r="L59" s="4">
        <v>1</v>
      </c>
      <c r="M59" s="275">
        <v>1</v>
      </c>
      <c r="N59" s="275">
        <v>1</v>
      </c>
      <c r="O59" s="275">
        <v>1</v>
      </c>
      <c r="P59" s="133">
        <v>0.1</v>
      </c>
      <c r="Q59" s="275">
        <v>1</v>
      </c>
      <c r="R59" s="275">
        <v>1</v>
      </c>
      <c r="S59" s="275">
        <v>1</v>
      </c>
      <c r="T59" s="275">
        <v>1</v>
      </c>
      <c r="U59" s="275">
        <v>1</v>
      </c>
      <c r="V59" s="275">
        <v>1</v>
      </c>
      <c r="W59" s="275">
        <v>1</v>
      </c>
      <c r="X59" s="275">
        <v>1</v>
      </c>
      <c r="Y59" s="275">
        <v>0.1</v>
      </c>
      <c r="Z59" s="275">
        <v>1</v>
      </c>
      <c r="AA59" s="133">
        <v>0.1</v>
      </c>
      <c r="AB59" s="275">
        <v>1</v>
      </c>
      <c r="AC59" s="133">
        <v>0.1</v>
      </c>
      <c r="AD59" s="275">
        <v>0.1</v>
      </c>
      <c r="AE59" s="133">
        <v>0.1</v>
      </c>
      <c r="AF59" s="133">
        <v>0.1</v>
      </c>
      <c r="AG59" s="4">
        <v>0.1</v>
      </c>
      <c r="AH59" s="275">
        <v>1</v>
      </c>
      <c r="AI59" s="4">
        <v>0.1</v>
      </c>
      <c r="AJ59" s="133">
        <v>0.1</v>
      </c>
      <c r="AK59" s="275">
        <v>1</v>
      </c>
      <c r="AL59" s="275">
        <v>1</v>
      </c>
      <c r="AM59" s="275">
        <v>1</v>
      </c>
      <c r="AN59" s="275">
        <v>1</v>
      </c>
      <c r="AO59" s="275">
        <v>1</v>
      </c>
      <c r="AP59" s="133">
        <v>0.1</v>
      </c>
      <c r="AQ59" s="133">
        <v>0.1</v>
      </c>
      <c r="AR59" s="133">
        <v>0.1</v>
      </c>
      <c r="AS59" s="275">
        <v>1</v>
      </c>
      <c r="AT59" s="275">
        <v>1</v>
      </c>
      <c r="AU59" s="275">
        <v>1</v>
      </c>
      <c r="AV59" s="275">
        <v>1</v>
      </c>
      <c r="AW59" s="275">
        <v>1</v>
      </c>
      <c r="AX59" s="275">
        <v>1</v>
      </c>
      <c r="AY59" s="275">
        <v>1</v>
      </c>
      <c r="AZ59" s="275">
        <v>1</v>
      </c>
      <c r="BA59" s="275">
        <v>1</v>
      </c>
      <c r="BB59" s="275">
        <v>1</v>
      </c>
      <c r="BC59" s="275">
        <v>1</v>
      </c>
      <c r="BD59" s="4">
        <v>1</v>
      </c>
      <c r="BE59" s="275">
        <v>1</v>
      </c>
      <c r="BF59" s="133">
        <v>0.1</v>
      </c>
      <c r="BG59" s="275">
        <v>1</v>
      </c>
      <c r="BH59" s="275">
        <v>1</v>
      </c>
      <c r="BI59" s="275">
        <v>1</v>
      </c>
      <c r="BJ59" s="275">
        <v>1</v>
      </c>
      <c r="BK59" s="4">
        <v>0.1</v>
      </c>
      <c r="BL59" s="4">
        <v>0.1</v>
      </c>
      <c r="BM59" s="4">
        <v>0.1</v>
      </c>
      <c r="BN59" s="133">
        <v>0.1</v>
      </c>
      <c r="BO59" s="275">
        <v>0.1</v>
      </c>
      <c r="BP59" s="133">
        <v>1</v>
      </c>
      <c r="BQ59" s="275">
        <v>1</v>
      </c>
      <c r="BR59" s="4">
        <v>1</v>
      </c>
      <c r="BS59" s="275">
        <v>1</v>
      </c>
      <c r="BT59" s="275">
        <v>1</v>
      </c>
      <c r="BU59" s="275">
        <v>1</v>
      </c>
      <c r="BV59" s="275">
        <v>1</v>
      </c>
      <c r="BW59" s="133">
        <v>0.1</v>
      </c>
      <c r="BX59" s="275">
        <v>1</v>
      </c>
      <c r="BY59" s="275">
        <v>1</v>
      </c>
      <c r="BZ59" s="133">
        <v>1</v>
      </c>
      <c r="CA59" s="133">
        <v>1</v>
      </c>
      <c r="CB59" s="133">
        <v>1</v>
      </c>
      <c r="CC59" s="133">
        <v>0.1</v>
      </c>
      <c r="CD59" s="275">
        <v>1</v>
      </c>
      <c r="CE59" s="275">
        <v>1</v>
      </c>
      <c r="CF59" s="133">
        <v>0.1</v>
      </c>
      <c r="CG59" s="275">
        <v>1</v>
      </c>
      <c r="CH59" s="4">
        <v>1</v>
      </c>
      <c r="CI59" s="275">
        <v>1</v>
      </c>
      <c r="CJ59" s="275">
        <v>1</v>
      </c>
      <c r="CK59" s="275">
        <v>1</v>
      </c>
      <c r="CL59" s="275">
        <v>1</v>
      </c>
      <c r="CM59" s="275">
        <v>0.1</v>
      </c>
      <c r="CN59" s="275">
        <v>0.1</v>
      </c>
      <c r="CO59" s="275">
        <v>1</v>
      </c>
      <c r="CP59" s="275">
        <v>0.1</v>
      </c>
      <c r="CQ59" s="133">
        <v>0.1</v>
      </c>
      <c r="CR59" s="133">
        <v>0.1</v>
      </c>
      <c r="CS59" s="275">
        <v>1</v>
      </c>
      <c r="CT59" s="275">
        <v>1</v>
      </c>
      <c r="CU59" s="275">
        <v>1</v>
      </c>
      <c r="CV59" s="275">
        <v>1</v>
      </c>
      <c r="CW59" s="133">
        <v>0.1</v>
      </c>
      <c r="CX59" s="275">
        <v>0.1</v>
      </c>
      <c r="CY59" s="275">
        <v>1</v>
      </c>
      <c r="CZ59" s="275">
        <v>1</v>
      </c>
      <c r="DA59" s="133">
        <v>1</v>
      </c>
      <c r="DB59" s="275">
        <v>0.1</v>
      </c>
      <c r="DC59" s="133">
        <v>1</v>
      </c>
      <c r="DD59" s="133">
        <v>1</v>
      </c>
      <c r="DE59" s="133">
        <v>1</v>
      </c>
      <c r="DF59" s="133">
        <v>1</v>
      </c>
      <c r="DG59" s="133">
        <v>1</v>
      </c>
      <c r="DH59" s="133">
        <v>1</v>
      </c>
      <c r="DI59" s="133">
        <v>1</v>
      </c>
      <c r="DJ59" s="133">
        <v>1</v>
      </c>
      <c r="DK59" s="133">
        <v>1</v>
      </c>
      <c r="DL59" s="133">
        <v>1</v>
      </c>
      <c r="DM59" s="275">
        <v>1</v>
      </c>
      <c r="DN59" s="275">
        <v>1</v>
      </c>
      <c r="DO59" s="275">
        <v>1</v>
      </c>
      <c r="DP59" s="275">
        <v>1</v>
      </c>
      <c r="DQ59" s="275">
        <v>1</v>
      </c>
    </row>
    <row r="60" spans="2:121" ht="14.25" customHeight="1" x14ac:dyDescent="0.3">
      <c r="B60" s="108">
        <v>0.58333333333333304</v>
      </c>
      <c r="D60" s="4">
        <v>1</v>
      </c>
      <c r="E60" s="133">
        <v>0.1</v>
      </c>
      <c r="F60" s="275">
        <v>1</v>
      </c>
      <c r="G60" s="275">
        <v>1</v>
      </c>
      <c r="H60" s="275">
        <v>1</v>
      </c>
      <c r="I60" s="4">
        <v>0.1</v>
      </c>
      <c r="J60" s="133">
        <v>0.1</v>
      </c>
      <c r="K60" s="4">
        <v>1</v>
      </c>
      <c r="L60" s="4">
        <v>1</v>
      </c>
      <c r="M60" s="275">
        <v>1</v>
      </c>
      <c r="N60" s="275">
        <v>1</v>
      </c>
      <c r="O60" s="275">
        <v>1</v>
      </c>
      <c r="P60" s="133">
        <v>0.1</v>
      </c>
      <c r="Q60" s="275">
        <v>1</v>
      </c>
      <c r="R60" s="275">
        <v>1</v>
      </c>
      <c r="S60" s="275">
        <v>1</v>
      </c>
      <c r="T60" s="275">
        <v>1</v>
      </c>
      <c r="U60" s="275">
        <v>1</v>
      </c>
      <c r="V60" s="275">
        <v>1</v>
      </c>
      <c r="W60" s="275">
        <v>1</v>
      </c>
      <c r="X60" s="275">
        <v>0.1</v>
      </c>
      <c r="Y60" s="275">
        <v>0.1</v>
      </c>
      <c r="Z60" s="275">
        <v>1</v>
      </c>
      <c r="AA60" s="133">
        <v>0.1</v>
      </c>
      <c r="AB60" s="275">
        <v>1</v>
      </c>
      <c r="AC60" s="133">
        <v>0.1</v>
      </c>
      <c r="AD60" s="275">
        <v>0.1</v>
      </c>
      <c r="AE60" s="133">
        <v>0.1</v>
      </c>
      <c r="AF60" s="133">
        <v>0.1</v>
      </c>
      <c r="AG60" s="4">
        <v>0.1</v>
      </c>
      <c r="AH60" s="275">
        <v>1</v>
      </c>
      <c r="AI60" s="4">
        <v>0.1</v>
      </c>
      <c r="AJ60" s="133">
        <v>0.1</v>
      </c>
      <c r="AK60" s="275">
        <v>1</v>
      </c>
      <c r="AL60" s="275">
        <v>1</v>
      </c>
      <c r="AM60" s="275">
        <v>1</v>
      </c>
      <c r="AN60" s="275">
        <v>1</v>
      </c>
      <c r="AO60" s="275">
        <v>1</v>
      </c>
      <c r="AP60" s="133">
        <v>0.1</v>
      </c>
      <c r="AQ60" s="133">
        <v>0.1</v>
      </c>
      <c r="AR60" s="133">
        <v>0.1</v>
      </c>
      <c r="AS60" s="275">
        <v>1</v>
      </c>
      <c r="AT60" s="275">
        <v>1</v>
      </c>
      <c r="AU60" s="275">
        <v>1</v>
      </c>
      <c r="AV60" s="275">
        <v>1</v>
      </c>
      <c r="AW60" s="275">
        <v>1</v>
      </c>
      <c r="AX60" s="275">
        <v>1</v>
      </c>
      <c r="AY60" s="275">
        <v>1</v>
      </c>
      <c r="AZ60" s="275">
        <v>1</v>
      </c>
      <c r="BA60" s="275">
        <v>1</v>
      </c>
      <c r="BB60" s="275">
        <v>1</v>
      </c>
      <c r="BC60" s="275">
        <v>1</v>
      </c>
      <c r="BD60" s="4">
        <v>1</v>
      </c>
      <c r="BE60" s="275">
        <v>1</v>
      </c>
      <c r="BF60" s="133">
        <v>0.1</v>
      </c>
      <c r="BG60" s="275">
        <v>1</v>
      </c>
      <c r="BH60" s="275">
        <v>1</v>
      </c>
      <c r="BI60" s="275">
        <v>1</v>
      </c>
      <c r="BJ60" s="275">
        <v>1</v>
      </c>
      <c r="BK60" s="4">
        <v>0.1</v>
      </c>
      <c r="BL60" s="4">
        <v>0.1</v>
      </c>
      <c r="BM60" s="4">
        <v>0.1</v>
      </c>
      <c r="BN60" s="133">
        <v>0.1</v>
      </c>
      <c r="BO60" s="275">
        <v>0.1</v>
      </c>
      <c r="BP60" s="4">
        <v>0.1</v>
      </c>
      <c r="BQ60" s="275">
        <v>1</v>
      </c>
      <c r="BR60" s="4">
        <v>1</v>
      </c>
      <c r="BS60" s="275">
        <v>1</v>
      </c>
      <c r="BT60" s="275">
        <v>1</v>
      </c>
      <c r="BU60" s="275">
        <v>1</v>
      </c>
      <c r="BV60" s="275">
        <v>1</v>
      </c>
      <c r="BW60" s="133">
        <v>0.1</v>
      </c>
      <c r="BX60" s="275">
        <v>1</v>
      </c>
      <c r="BY60" s="275">
        <v>1</v>
      </c>
      <c r="BZ60" s="4">
        <v>0.1</v>
      </c>
      <c r="CA60" s="4">
        <v>0.1</v>
      </c>
      <c r="CB60" s="4">
        <v>0.1</v>
      </c>
      <c r="CC60" s="133">
        <v>0.1</v>
      </c>
      <c r="CD60" s="275">
        <v>1</v>
      </c>
      <c r="CE60" s="275">
        <v>1</v>
      </c>
      <c r="CF60" s="133">
        <v>0.1</v>
      </c>
      <c r="CG60" s="275">
        <v>1</v>
      </c>
      <c r="CH60" s="4">
        <v>1</v>
      </c>
      <c r="CI60" s="275">
        <v>1</v>
      </c>
      <c r="CJ60" s="275">
        <v>1</v>
      </c>
      <c r="CK60" s="275">
        <v>1</v>
      </c>
      <c r="CL60" s="275">
        <v>1</v>
      </c>
      <c r="CM60" s="275">
        <v>0.1</v>
      </c>
      <c r="CN60" s="275">
        <v>0.1</v>
      </c>
      <c r="CO60" s="275">
        <v>1</v>
      </c>
      <c r="CP60" s="275">
        <v>0.1</v>
      </c>
      <c r="CQ60" s="133">
        <v>0.1</v>
      </c>
      <c r="CR60" s="133">
        <v>0.1</v>
      </c>
      <c r="CS60" s="275">
        <v>1</v>
      </c>
      <c r="CT60" s="275">
        <v>1</v>
      </c>
      <c r="CU60" s="275">
        <v>1</v>
      </c>
      <c r="CV60" s="275">
        <v>1</v>
      </c>
      <c r="CW60" s="133">
        <v>0.1</v>
      </c>
      <c r="CX60" s="275">
        <v>0.1</v>
      </c>
      <c r="CY60" s="275">
        <v>1</v>
      </c>
      <c r="CZ60" s="275">
        <v>1</v>
      </c>
      <c r="DA60" s="133">
        <v>1</v>
      </c>
      <c r="DB60" s="275">
        <v>0.1</v>
      </c>
      <c r="DC60" s="133">
        <v>1</v>
      </c>
      <c r="DD60" s="133">
        <v>1</v>
      </c>
      <c r="DE60" s="133">
        <v>1</v>
      </c>
      <c r="DF60" s="133">
        <v>1</v>
      </c>
      <c r="DG60" s="133">
        <v>1</v>
      </c>
      <c r="DH60" s="133">
        <v>1</v>
      </c>
      <c r="DI60" s="133">
        <v>1</v>
      </c>
      <c r="DJ60" s="133">
        <v>1</v>
      </c>
      <c r="DK60" s="133">
        <v>1</v>
      </c>
      <c r="DL60" s="133">
        <v>1</v>
      </c>
      <c r="DM60" s="275">
        <v>1</v>
      </c>
      <c r="DN60" s="275">
        <v>1</v>
      </c>
      <c r="DO60" s="275">
        <v>1</v>
      </c>
      <c r="DP60" s="275">
        <v>1</v>
      </c>
      <c r="DQ60" s="275">
        <v>1</v>
      </c>
    </row>
    <row r="61" spans="2:121" ht="14.25" customHeight="1" x14ac:dyDescent="0.3">
      <c r="B61" s="108">
        <v>0.59375</v>
      </c>
      <c r="D61" s="4">
        <v>1</v>
      </c>
      <c r="E61" s="133">
        <v>0.1</v>
      </c>
      <c r="F61" s="275">
        <v>1</v>
      </c>
      <c r="G61" s="275">
        <v>1</v>
      </c>
      <c r="H61" s="275">
        <v>1</v>
      </c>
      <c r="I61" s="4">
        <v>0.1</v>
      </c>
      <c r="J61" s="133">
        <v>0.1</v>
      </c>
      <c r="K61" s="4">
        <v>1</v>
      </c>
      <c r="L61" s="4">
        <v>1</v>
      </c>
      <c r="M61" s="275">
        <v>1</v>
      </c>
      <c r="N61" s="275">
        <v>1</v>
      </c>
      <c r="O61" s="275">
        <v>1</v>
      </c>
      <c r="P61" s="133">
        <v>0.1</v>
      </c>
      <c r="Q61" s="275">
        <v>1</v>
      </c>
      <c r="R61" s="275">
        <v>1</v>
      </c>
      <c r="S61" s="275">
        <v>1</v>
      </c>
      <c r="T61" s="275">
        <v>1</v>
      </c>
      <c r="U61" s="275">
        <v>1</v>
      </c>
      <c r="V61" s="275">
        <v>1</v>
      </c>
      <c r="W61" s="275">
        <v>1</v>
      </c>
      <c r="X61" s="275">
        <v>0.1</v>
      </c>
      <c r="Y61" s="275">
        <v>0.1</v>
      </c>
      <c r="Z61" s="275">
        <v>1</v>
      </c>
      <c r="AA61" s="133">
        <v>0.1</v>
      </c>
      <c r="AB61" s="275">
        <v>1</v>
      </c>
      <c r="AC61" s="133">
        <v>0.1</v>
      </c>
      <c r="AD61" s="275">
        <v>0.1</v>
      </c>
      <c r="AE61" s="133">
        <v>0.1</v>
      </c>
      <c r="AF61" s="133">
        <v>0.1</v>
      </c>
      <c r="AG61" s="4">
        <v>0.1</v>
      </c>
      <c r="AH61" s="275">
        <v>1</v>
      </c>
      <c r="AI61" s="4">
        <v>0.1</v>
      </c>
      <c r="AJ61" s="133">
        <v>0.1</v>
      </c>
      <c r="AK61" s="275">
        <v>1</v>
      </c>
      <c r="AL61" s="275">
        <v>1</v>
      </c>
      <c r="AM61" s="275">
        <v>1</v>
      </c>
      <c r="AN61" s="275">
        <v>1</v>
      </c>
      <c r="AO61" s="275">
        <v>1</v>
      </c>
      <c r="AP61" s="133">
        <v>0.1</v>
      </c>
      <c r="AQ61" s="133">
        <v>0.1</v>
      </c>
      <c r="AR61" s="133">
        <v>0.1</v>
      </c>
      <c r="AS61" s="275">
        <v>1</v>
      </c>
      <c r="AT61" s="275">
        <v>1</v>
      </c>
      <c r="AU61" s="275">
        <v>1</v>
      </c>
      <c r="AV61" s="275">
        <v>1</v>
      </c>
      <c r="AW61" s="275">
        <v>1</v>
      </c>
      <c r="AX61" s="275">
        <v>1</v>
      </c>
      <c r="AY61" s="275">
        <v>1</v>
      </c>
      <c r="AZ61" s="275">
        <v>1</v>
      </c>
      <c r="BA61" s="275">
        <v>1</v>
      </c>
      <c r="BB61" s="275">
        <v>1</v>
      </c>
      <c r="BC61" s="275">
        <v>1</v>
      </c>
      <c r="BD61" s="4">
        <v>1</v>
      </c>
      <c r="BE61" s="275">
        <v>1</v>
      </c>
      <c r="BF61" s="133">
        <v>0.1</v>
      </c>
      <c r="BG61" s="275">
        <v>1</v>
      </c>
      <c r="BH61" s="275">
        <v>1</v>
      </c>
      <c r="BI61" s="275">
        <v>1</v>
      </c>
      <c r="BJ61" s="275">
        <v>1</v>
      </c>
      <c r="BK61" s="4">
        <v>0.1</v>
      </c>
      <c r="BL61" s="4">
        <v>0.1</v>
      </c>
      <c r="BM61" s="4">
        <v>0.1</v>
      </c>
      <c r="BN61" s="133">
        <v>0.1</v>
      </c>
      <c r="BO61" s="275">
        <v>0.1</v>
      </c>
      <c r="BP61" s="4">
        <v>0.1</v>
      </c>
      <c r="BQ61" s="275">
        <v>1</v>
      </c>
      <c r="BR61" s="4">
        <v>1</v>
      </c>
      <c r="BS61" s="275">
        <v>1</v>
      </c>
      <c r="BT61" s="275">
        <v>1</v>
      </c>
      <c r="BU61" s="275">
        <v>1</v>
      </c>
      <c r="BV61" s="275">
        <v>1</v>
      </c>
      <c r="BW61" s="133">
        <v>0.1</v>
      </c>
      <c r="BX61" s="275">
        <v>1</v>
      </c>
      <c r="BY61" s="275">
        <v>1</v>
      </c>
      <c r="BZ61" s="4">
        <v>0.1</v>
      </c>
      <c r="CA61" s="4">
        <v>0.1</v>
      </c>
      <c r="CB61" s="4">
        <v>0.1</v>
      </c>
      <c r="CC61" s="133">
        <v>0.1</v>
      </c>
      <c r="CD61" s="275">
        <v>1</v>
      </c>
      <c r="CE61" s="275">
        <v>1</v>
      </c>
      <c r="CF61" s="133">
        <v>0.1</v>
      </c>
      <c r="CG61" s="275">
        <v>1</v>
      </c>
      <c r="CH61" s="4">
        <v>1</v>
      </c>
      <c r="CI61" s="275">
        <v>1</v>
      </c>
      <c r="CJ61" s="275">
        <v>1</v>
      </c>
      <c r="CK61" s="275">
        <v>1</v>
      </c>
      <c r="CL61" s="275">
        <v>1</v>
      </c>
      <c r="CM61" s="275">
        <v>0.1</v>
      </c>
      <c r="CN61" s="275">
        <v>0.1</v>
      </c>
      <c r="CO61" s="275">
        <v>1</v>
      </c>
      <c r="CP61" s="275">
        <v>0.1</v>
      </c>
      <c r="CQ61" s="133">
        <v>0.1</v>
      </c>
      <c r="CR61" s="133">
        <v>0.1</v>
      </c>
      <c r="CS61" s="275">
        <v>1</v>
      </c>
      <c r="CT61" s="275">
        <v>1</v>
      </c>
      <c r="CU61" s="275">
        <v>1</v>
      </c>
      <c r="CV61" s="275">
        <v>1</v>
      </c>
      <c r="CW61" s="133">
        <v>0.1</v>
      </c>
      <c r="CX61" s="275">
        <v>0.1</v>
      </c>
      <c r="CY61" s="275">
        <v>1</v>
      </c>
      <c r="CZ61" s="275">
        <v>1</v>
      </c>
      <c r="DA61" s="133">
        <v>1</v>
      </c>
      <c r="DB61" s="275">
        <v>0.1</v>
      </c>
      <c r="DC61" s="133">
        <v>1</v>
      </c>
      <c r="DD61" s="133">
        <v>1</v>
      </c>
      <c r="DE61" s="133">
        <v>1</v>
      </c>
      <c r="DF61" s="133">
        <v>1</v>
      </c>
      <c r="DG61" s="133">
        <v>1</v>
      </c>
      <c r="DH61" s="133">
        <v>1</v>
      </c>
      <c r="DI61" s="133">
        <v>1</v>
      </c>
      <c r="DJ61" s="133">
        <v>1</v>
      </c>
      <c r="DK61" s="133">
        <v>1</v>
      </c>
      <c r="DL61" s="133">
        <v>1</v>
      </c>
      <c r="DM61" s="275">
        <v>1</v>
      </c>
      <c r="DN61" s="275">
        <v>1</v>
      </c>
      <c r="DO61" s="275">
        <v>1</v>
      </c>
      <c r="DP61" s="275">
        <v>1</v>
      </c>
      <c r="DQ61" s="275">
        <v>1</v>
      </c>
    </row>
    <row r="62" spans="2:121" ht="14.25" customHeight="1" x14ac:dyDescent="0.3">
      <c r="B62" s="108">
        <v>0.60416666666666696</v>
      </c>
      <c r="D62" s="4">
        <v>1</v>
      </c>
      <c r="E62" s="133">
        <v>0.1</v>
      </c>
      <c r="F62" s="275">
        <v>1</v>
      </c>
      <c r="G62" s="275">
        <v>1</v>
      </c>
      <c r="H62" s="275">
        <v>1</v>
      </c>
      <c r="I62" s="4">
        <v>1</v>
      </c>
      <c r="J62" s="133">
        <v>0.1</v>
      </c>
      <c r="K62" s="4">
        <v>1</v>
      </c>
      <c r="L62" s="4">
        <v>1</v>
      </c>
      <c r="M62" s="275">
        <v>1</v>
      </c>
      <c r="N62" s="275">
        <v>1</v>
      </c>
      <c r="O62" s="275">
        <v>1</v>
      </c>
      <c r="P62" s="133">
        <v>0.1</v>
      </c>
      <c r="Q62" s="275">
        <v>1</v>
      </c>
      <c r="R62" s="275">
        <v>1</v>
      </c>
      <c r="S62" s="275">
        <v>1</v>
      </c>
      <c r="T62" s="275">
        <v>1</v>
      </c>
      <c r="U62" s="275">
        <v>1</v>
      </c>
      <c r="V62" s="275">
        <v>1</v>
      </c>
      <c r="W62" s="275">
        <v>1</v>
      </c>
      <c r="X62" s="275">
        <v>0.1</v>
      </c>
      <c r="Y62" s="275">
        <v>0.1</v>
      </c>
      <c r="Z62" s="275">
        <v>1</v>
      </c>
      <c r="AA62" s="133">
        <v>0.1</v>
      </c>
      <c r="AB62" s="275">
        <v>1</v>
      </c>
      <c r="AC62" s="133">
        <v>0.1</v>
      </c>
      <c r="AD62" s="275">
        <v>0.1</v>
      </c>
      <c r="AE62" s="133">
        <v>0.1</v>
      </c>
      <c r="AF62" s="133">
        <v>0.1</v>
      </c>
      <c r="AG62" s="4">
        <v>0.1</v>
      </c>
      <c r="AH62" s="275">
        <v>1</v>
      </c>
      <c r="AI62" s="4">
        <v>0.1</v>
      </c>
      <c r="AJ62" s="133">
        <v>0.1</v>
      </c>
      <c r="AK62" s="275">
        <v>1</v>
      </c>
      <c r="AL62" s="275">
        <v>1</v>
      </c>
      <c r="AM62" s="275">
        <v>1</v>
      </c>
      <c r="AN62" s="275">
        <v>1</v>
      </c>
      <c r="AO62" s="275">
        <v>1</v>
      </c>
      <c r="AP62" s="133">
        <v>0.1</v>
      </c>
      <c r="AQ62" s="133">
        <v>0.1</v>
      </c>
      <c r="AR62" s="133">
        <v>0.1</v>
      </c>
      <c r="AS62" s="275">
        <v>1</v>
      </c>
      <c r="AT62" s="275">
        <v>1</v>
      </c>
      <c r="AU62" s="275">
        <v>1</v>
      </c>
      <c r="AV62" s="275">
        <v>1</v>
      </c>
      <c r="AW62" s="275">
        <v>1</v>
      </c>
      <c r="AX62" s="275">
        <v>1</v>
      </c>
      <c r="AY62" s="275">
        <v>1</v>
      </c>
      <c r="AZ62" s="275">
        <v>1</v>
      </c>
      <c r="BA62" s="275">
        <v>1</v>
      </c>
      <c r="BB62" s="275">
        <v>1</v>
      </c>
      <c r="BC62" s="275">
        <v>1</v>
      </c>
      <c r="BD62" s="4">
        <v>1</v>
      </c>
      <c r="BE62" s="275">
        <v>1</v>
      </c>
      <c r="BF62" s="133">
        <v>0.1</v>
      </c>
      <c r="BG62" s="275">
        <v>1</v>
      </c>
      <c r="BH62" s="275">
        <v>1</v>
      </c>
      <c r="BI62" s="275">
        <v>1</v>
      </c>
      <c r="BJ62" s="275">
        <v>1</v>
      </c>
      <c r="BK62" s="4">
        <v>0.1</v>
      </c>
      <c r="BL62" s="4">
        <v>0.1</v>
      </c>
      <c r="BM62" s="4">
        <v>0.1</v>
      </c>
      <c r="BN62" s="133">
        <v>0.1</v>
      </c>
      <c r="BO62" s="275">
        <v>0.1</v>
      </c>
      <c r="BP62" s="4">
        <v>1</v>
      </c>
      <c r="BQ62" s="275">
        <v>1</v>
      </c>
      <c r="BR62" s="4">
        <v>1</v>
      </c>
      <c r="BS62" s="275">
        <v>1</v>
      </c>
      <c r="BT62" s="275">
        <v>1</v>
      </c>
      <c r="BU62" s="275">
        <v>1</v>
      </c>
      <c r="BV62" s="275">
        <v>1</v>
      </c>
      <c r="BW62" s="133">
        <v>0.1</v>
      </c>
      <c r="BX62" s="275">
        <v>1</v>
      </c>
      <c r="BY62" s="275">
        <v>1</v>
      </c>
      <c r="BZ62" s="4">
        <v>1</v>
      </c>
      <c r="CA62" s="4">
        <v>1</v>
      </c>
      <c r="CB62" s="4">
        <v>1</v>
      </c>
      <c r="CC62" s="133">
        <v>0.1</v>
      </c>
      <c r="CD62" s="275">
        <v>1</v>
      </c>
      <c r="CE62" s="275">
        <v>1</v>
      </c>
      <c r="CF62" s="133">
        <v>0.1</v>
      </c>
      <c r="CG62" s="275">
        <v>1</v>
      </c>
      <c r="CH62" s="4">
        <v>1</v>
      </c>
      <c r="CI62" s="275">
        <v>1</v>
      </c>
      <c r="CJ62" s="275">
        <v>1</v>
      </c>
      <c r="CK62" s="275">
        <v>1</v>
      </c>
      <c r="CL62" s="275">
        <v>1</v>
      </c>
      <c r="CM62" s="275">
        <v>0.1</v>
      </c>
      <c r="CN62" s="275">
        <v>0.1</v>
      </c>
      <c r="CO62" s="275">
        <v>1</v>
      </c>
      <c r="CP62" s="275">
        <v>0.1</v>
      </c>
      <c r="CQ62" s="133">
        <v>0.1</v>
      </c>
      <c r="CR62" s="133">
        <v>0.1</v>
      </c>
      <c r="CS62" s="275">
        <v>1</v>
      </c>
      <c r="CT62" s="275">
        <v>1</v>
      </c>
      <c r="CU62" s="275">
        <v>1</v>
      </c>
      <c r="CV62" s="275">
        <v>1</v>
      </c>
      <c r="CW62" s="133">
        <v>0.1</v>
      </c>
      <c r="CX62" s="275">
        <v>0.1</v>
      </c>
      <c r="CY62" s="275">
        <v>1</v>
      </c>
      <c r="CZ62" s="275">
        <v>1</v>
      </c>
      <c r="DA62" s="133">
        <v>1</v>
      </c>
      <c r="DB62" s="275">
        <v>0.1</v>
      </c>
      <c r="DC62" s="133">
        <v>1</v>
      </c>
      <c r="DD62" s="133">
        <v>1</v>
      </c>
      <c r="DE62" s="133">
        <v>1</v>
      </c>
      <c r="DF62" s="133">
        <v>1</v>
      </c>
      <c r="DG62" s="133">
        <v>1</v>
      </c>
      <c r="DH62" s="133">
        <v>1</v>
      </c>
      <c r="DI62" s="133">
        <v>1</v>
      </c>
      <c r="DJ62" s="133">
        <v>1</v>
      </c>
      <c r="DK62" s="133">
        <v>1</v>
      </c>
      <c r="DL62" s="133">
        <v>1</v>
      </c>
      <c r="DM62" s="275">
        <v>1</v>
      </c>
      <c r="DN62" s="275">
        <v>1</v>
      </c>
      <c r="DO62" s="275">
        <v>1</v>
      </c>
      <c r="DP62" s="275">
        <v>1</v>
      </c>
      <c r="DQ62" s="275">
        <v>1</v>
      </c>
    </row>
    <row r="63" spans="2:121" ht="14.25" customHeight="1" x14ac:dyDescent="0.3">
      <c r="B63" s="108">
        <v>0.61458333333333304</v>
      </c>
      <c r="D63" s="4">
        <v>1</v>
      </c>
      <c r="E63" s="133">
        <v>0.1</v>
      </c>
      <c r="F63" s="275">
        <v>1</v>
      </c>
      <c r="G63" s="275">
        <v>1</v>
      </c>
      <c r="H63" s="275">
        <v>1</v>
      </c>
      <c r="I63" s="4">
        <v>1</v>
      </c>
      <c r="J63" s="133">
        <v>0.1</v>
      </c>
      <c r="K63" s="4">
        <v>1</v>
      </c>
      <c r="L63" s="4">
        <v>1</v>
      </c>
      <c r="M63" s="275">
        <v>1</v>
      </c>
      <c r="N63" s="275">
        <v>1</v>
      </c>
      <c r="O63" s="275">
        <v>1</v>
      </c>
      <c r="P63" s="133">
        <v>0.1</v>
      </c>
      <c r="Q63" s="275">
        <v>1</v>
      </c>
      <c r="R63" s="275">
        <v>1</v>
      </c>
      <c r="S63" s="275">
        <v>1</v>
      </c>
      <c r="T63" s="275">
        <v>1</v>
      </c>
      <c r="U63" s="275">
        <v>1</v>
      </c>
      <c r="V63" s="275">
        <v>1</v>
      </c>
      <c r="W63" s="275">
        <v>1</v>
      </c>
      <c r="X63" s="275">
        <v>0.1</v>
      </c>
      <c r="Y63" s="275">
        <v>0.1</v>
      </c>
      <c r="Z63" s="275">
        <v>1</v>
      </c>
      <c r="AA63" s="133">
        <v>0.1</v>
      </c>
      <c r="AB63" s="275">
        <v>1</v>
      </c>
      <c r="AC63" s="133">
        <v>0.1</v>
      </c>
      <c r="AD63" s="275">
        <v>0.1</v>
      </c>
      <c r="AE63" s="133">
        <v>0.1</v>
      </c>
      <c r="AF63" s="133">
        <v>0.1</v>
      </c>
      <c r="AG63" s="4">
        <v>0.1</v>
      </c>
      <c r="AH63" s="275">
        <v>1</v>
      </c>
      <c r="AI63" s="4">
        <v>0.1</v>
      </c>
      <c r="AJ63" s="133">
        <v>0.1</v>
      </c>
      <c r="AK63" s="275">
        <v>1</v>
      </c>
      <c r="AL63" s="275">
        <v>1</v>
      </c>
      <c r="AM63" s="275">
        <v>1</v>
      </c>
      <c r="AN63" s="275">
        <v>1</v>
      </c>
      <c r="AO63" s="275">
        <v>1</v>
      </c>
      <c r="AP63" s="133">
        <v>0.1</v>
      </c>
      <c r="AQ63" s="133">
        <v>0.1</v>
      </c>
      <c r="AR63" s="133">
        <v>0.1</v>
      </c>
      <c r="AS63" s="275">
        <v>1</v>
      </c>
      <c r="AT63" s="275">
        <v>1</v>
      </c>
      <c r="AU63" s="275">
        <v>1</v>
      </c>
      <c r="AV63" s="275">
        <v>1</v>
      </c>
      <c r="AW63" s="275">
        <v>1</v>
      </c>
      <c r="AX63" s="275">
        <v>1</v>
      </c>
      <c r="AY63" s="275">
        <v>1</v>
      </c>
      <c r="AZ63" s="275">
        <v>1</v>
      </c>
      <c r="BA63" s="275">
        <v>1</v>
      </c>
      <c r="BB63" s="275">
        <v>1</v>
      </c>
      <c r="BC63" s="275">
        <v>1</v>
      </c>
      <c r="BD63" s="4">
        <v>1</v>
      </c>
      <c r="BE63" s="275">
        <v>1</v>
      </c>
      <c r="BF63" s="133">
        <v>0.1</v>
      </c>
      <c r="BG63" s="275">
        <v>1</v>
      </c>
      <c r="BH63" s="275">
        <v>1</v>
      </c>
      <c r="BI63" s="275">
        <v>1</v>
      </c>
      <c r="BJ63" s="275">
        <v>1</v>
      </c>
      <c r="BK63" s="4">
        <v>0.1</v>
      </c>
      <c r="BL63" s="4">
        <v>0.1</v>
      </c>
      <c r="BM63" s="4">
        <v>0.1</v>
      </c>
      <c r="BN63" s="133">
        <v>0.1</v>
      </c>
      <c r="BO63" s="275">
        <v>0.1</v>
      </c>
      <c r="BP63" s="4">
        <v>1</v>
      </c>
      <c r="BQ63" s="275">
        <v>1</v>
      </c>
      <c r="BR63" s="4">
        <v>1</v>
      </c>
      <c r="BS63" s="275">
        <v>1</v>
      </c>
      <c r="BT63" s="275">
        <v>1</v>
      </c>
      <c r="BU63" s="275">
        <v>1</v>
      </c>
      <c r="BV63" s="275">
        <v>1</v>
      </c>
      <c r="BW63" s="133">
        <v>0.1</v>
      </c>
      <c r="BX63" s="275">
        <v>1</v>
      </c>
      <c r="BY63" s="275">
        <v>1</v>
      </c>
      <c r="BZ63" s="4">
        <v>1</v>
      </c>
      <c r="CA63" s="4">
        <v>1</v>
      </c>
      <c r="CB63" s="4">
        <v>1</v>
      </c>
      <c r="CC63" s="133">
        <v>0.1</v>
      </c>
      <c r="CD63" s="275">
        <v>1</v>
      </c>
      <c r="CE63" s="275">
        <v>1</v>
      </c>
      <c r="CF63" s="133">
        <v>0.1</v>
      </c>
      <c r="CG63" s="275">
        <v>1</v>
      </c>
      <c r="CH63" s="4">
        <v>1</v>
      </c>
      <c r="CI63" s="275">
        <v>1</v>
      </c>
      <c r="CJ63" s="275">
        <v>1</v>
      </c>
      <c r="CK63" s="275">
        <v>1</v>
      </c>
      <c r="CL63" s="275">
        <v>1</v>
      </c>
      <c r="CM63" s="275">
        <v>0.1</v>
      </c>
      <c r="CN63" s="275">
        <v>0.1</v>
      </c>
      <c r="CO63" s="275">
        <v>1</v>
      </c>
      <c r="CP63" s="275">
        <v>0.1</v>
      </c>
      <c r="CQ63" s="133">
        <v>0.1</v>
      </c>
      <c r="CR63" s="133">
        <v>0.1</v>
      </c>
      <c r="CS63" s="275">
        <v>1</v>
      </c>
      <c r="CT63" s="275">
        <v>1</v>
      </c>
      <c r="CU63" s="275">
        <v>1</v>
      </c>
      <c r="CV63" s="275">
        <v>1</v>
      </c>
      <c r="CW63" s="133">
        <v>0.1</v>
      </c>
      <c r="CX63" s="275">
        <v>0.1</v>
      </c>
      <c r="CY63" s="275">
        <v>1</v>
      </c>
      <c r="CZ63" s="275">
        <v>1</v>
      </c>
      <c r="DA63" s="133">
        <v>1</v>
      </c>
      <c r="DB63" s="275">
        <v>0.1</v>
      </c>
      <c r="DC63" s="133">
        <v>1</v>
      </c>
      <c r="DD63" s="133">
        <v>1</v>
      </c>
      <c r="DE63" s="133">
        <v>1</v>
      </c>
      <c r="DF63" s="133">
        <v>1</v>
      </c>
      <c r="DG63" s="133">
        <v>1</v>
      </c>
      <c r="DH63" s="133">
        <v>1</v>
      </c>
      <c r="DI63" s="133">
        <v>1</v>
      </c>
      <c r="DJ63" s="133">
        <v>1</v>
      </c>
      <c r="DK63" s="133">
        <v>1</v>
      </c>
      <c r="DL63" s="133">
        <v>1</v>
      </c>
      <c r="DM63" s="275">
        <v>1</v>
      </c>
      <c r="DN63" s="275">
        <v>1</v>
      </c>
      <c r="DO63" s="275">
        <v>1</v>
      </c>
      <c r="DP63" s="275">
        <v>1</v>
      </c>
      <c r="DQ63" s="275">
        <v>1</v>
      </c>
    </row>
    <row r="64" spans="2:121" ht="14.25" customHeight="1" x14ac:dyDescent="0.3">
      <c r="B64" s="108">
        <v>0.625</v>
      </c>
      <c r="D64" s="4">
        <v>1</v>
      </c>
      <c r="E64" s="133">
        <v>0.1</v>
      </c>
      <c r="F64" s="275">
        <v>1</v>
      </c>
      <c r="G64" s="275">
        <v>1</v>
      </c>
      <c r="H64" s="275">
        <v>1</v>
      </c>
      <c r="I64" s="4">
        <v>0.1</v>
      </c>
      <c r="J64" s="133">
        <v>0.1</v>
      </c>
      <c r="K64" s="4">
        <v>1</v>
      </c>
      <c r="L64" s="4">
        <v>1</v>
      </c>
      <c r="M64" s="275">
        <v>1</v>
      </c>
      <c r="N64" s="275">
        <v>1</v>
      </c>
      <c r="O64" s="275">
        <v>1</v>
      </c>
      <c r="P64" s="133">
        <v>0.1</v>
      </c>
      <c r="Q64" s="275">
        <v>1</v>
      </c>
      <c r="R64" s="275">
        <v>1</v>
      </c>
      <c r="S64" s="275">
        <v>1</v>
      </c>
      <c r="T64" s="275">
        <v>1</v>
      </c>
      <c r="U64" s="275">
        <v>1</v>
      </c>
      <c r="V64" s="275">
        <v>1</v>
      </c>
      <c r="W64" s="275">
        <v>1</v>
      </c>
      <c r="X64" s="275">
        <v>0.1</v>
      </c>
      <c r="Y64" s="275">
        <v>0.1</v>
      </c>
      <c r="Z64" s="275">
        <v>1</v>
      </c>
      <c r="AA64" s="133">
        <v>0.1</v>
      </c>
      <c r="AB64" s="275">
        <v>1</v>
      </c>
      <c r="AC64" s="133">
        <v>0.1</v>
      </c>
      <c r="AD64" s="275">
        <v>0.1</v>
      </c>
      <c r="AE64" s="133">
        <v>0.1</v>
      </c>
      <c r="AF64" s="133">
        <v>0.1</v>
      </c>
      <c r="AG64" s="4">
        <v>0.1</v>
      </c>
      <c r="AH64" s="275">
        <v>1</v>
      </c>
      <c r="AI64" s="4">
        <v>0.1</v>
      </c>
      <c r="AJ64" s="133">
        <v>0.1</v>
      </c>
      <c r="AK64" s="275">
        <v>1</v>
      </c>
      <c r="AL64" s="275">
        <v>1</v>
      </c>
      <c r="AM64" s="275">
        <v>1</v>
      </c>
      <c r="AN64" s="275">
        <v>1</v>
      </c>
      <c r="AO64" s="275">
        <v>1</v>
      </c>
      <c r="AP64" s="133">
        <v>0.1</v>
      </c>
      <c r="AQ64" s="133">
        <v>0.1</v>
      </c>
      <c r="AR64" s="133">
        <v>0.1</v>
      </c>
      <c r="AS64" s="275">
        <v>1</v>
      </c>
      <c r="AT64" s="275">
        <v>1</v>
      </c>
      <c r="AU64" s="275">
        <v>1</v>
      </c>
      <c r="AV64" s="275">
        <v>1</v>
      </c>
      <c r="AW64" s="275">
        <v>1</v>
      </c>
      <c r="AX64" s="275">
        <v>1</v>
      </c>
      <c r="AY64" s="275">
        <v>1</v>
      </c>
      <c r="AZ64" s="275">
        <v>1</v>
      </c>
      <c r="BA64" s="275">
        <v>1</v>
      </c>
      <c r="BB64" s="275">
        <v>1</v>
      </c>
      <c r="BC64" s="275">
        <v>1</v>
      </c>
      <c r="BD64" s="4">
        <v>1</v>
      </c>
      <c r="BE64" s="275">
        <v>1</v>
      </c>
      <c r="BF64" s="133">
        <v>0.1</v>
      </c>
      <c r="BG64" s="275">
        <v>1</v>
      </c>
      <c r="BH64" s="275">
        <v>1</v>
      </c>
      <c r="BI64" s="275">
        <v>1</v>
      </c>
      <c r="BJ64" s="275">
        <v>1</v>
      </c>
      <c r="BK64" s="4">
        <v>0.1</v>
      </c>
      <c r="BL64" s="4">
        <v>0.1</v>
      </c>
      <c r="BM64" s="4">
        <v>0.1</v>
      </c>
      <c r="BN64" s="133">
        <v>0.1</v>
      </c>
      <c r="BO64" s="275">
        <v>0.1</v>
      </c>
      <c r="BP64" s="4">
        <v>0.1</v>
      </c>
      <c r="BQ64" s="275">
        <v>1</v>
      </c>
      <c r="BR64" s="4">
        <v>1</v>
      </c>
      <c r="BS64" s="275">
        <v>1</v>
      </c>
      <c r="BT64" s="275">
        <v>1</v>
      </c>
      <c r="BU64" s="275">
        <v>1</v>
      </c>
      <c r="BV64" s="275">
        <v>1</v>
      </c>
      <c r="BW64" s="133">
        <v>0.1</v>
      </c>
      <c r="BX64" s="275">
        <v>1</v>
      </c>
      <c r="BY64" s="275">
        <v>1</v>
      </c>
      <c r="BZ64" s="4">
        <v>0.1</v>
      </c>
      <c r="CA64" s="4">
        <v>0.1</v>
      </c>
      <c r="CB64" s="4">
        <v>0.1</v>
      </c>
      <c r="CC64" s="133">
        <v>0.1</v>
      </c>
      <c r="CD64" s="275">
        <v>1</v>
      </c>
      <c r="CE64" s="275">
        <v>1</v>
      </c>
      <c r="CF64" s="133">
        <v>0.1</v>
      </c>
      <c r="CG64" s="275">
        <v>1</v>
      </c>
      <c r="CH64" s="4">
        <v>1</v>
      </c>
      <c r="CI64" s="275">
        <v>1</v>
      </c>
      <c r="CJ64" s="275">
        <v>1</v>
      </c>
      <c r="CK64" s="275">
        <v>1</v>
      </c>
      <c r="CL64" s="275">
        <v>1</v>
      </c>
      <c r="CM64" s="275">
        <v>0.1</v>
      </c>
      <c r="CN64" s="275">
        <v>0.1</v>
      </c>
      <c r="CO64" s="275">
        <v>1</v>
      </c>
      <c r="CP64" s="275">
        <v>0.1</v>
      </c>
      <c r="CQ64" s="133">
        <v>0.1</v>
      </c>
      <c r="CR64" s="133">
        <v>0.1</v>
      </c>
      <c r="CS64" s="275">
        <v>1</v>
      </c>
      <c r="CT64" s="275">
        <v>1</v>
      </c>
      <c r="CU64" s="275">
        <v>1</v>
      </c>
      <c r="CV64" s="275">
        <v>1</v>
      </c>
      <c r="CW64" s="133">
        <v>0.1</v>
      </c>
      <c r="CX64" s="275">
        <v>0.1</v>
      </c>
      <c r="CY64" s="275">
        <v>1</v>
      </c>
      <c r="CZ64" s="275">
        <v>1</v>
      </c>
      <c r="DA64" s="133">
        <v>1</v>
      </c>
      <c r="DB64" s="275">
        <v>0.1</v>
      </c>
      <c r="DC64" s="133">
        <v>1</v>
      </c>
      <c r="DD64" s="133">
        <v>1</v>
      </c>
      <c r="DE64" s="133">
        <v>1</v>
      </c>
      <c r="DF64" s="133">
        <v>1</v>
      </c>
      <c r="DG64" s="133">
        <v>1</v>
      </c>
      <c r="DH64" s="133">
        <v>1</v>
      </c>
      <c r="DI64" s="133">
        <v>1</v>
      </c>
      <c r="DJ64" s="133">
        <v>1</v>
      </c>
      <c r="DK64" s="133">
        <v>1</v>
      </c>
      <c r="DL64" s="133">
        <v>1</v>
      </c>
      <c r="DM64" s="275">
        <v>1</v>
      </c>
      <c r="DN64" s="275">
        <v>1</v>
      </c>
      <c r="DO64" s="275">
        <v>1</v>
      </c>
      <c r="DP64" s="275">
        <v>1</v>
      </c>
      <c r="DQ64" s="275">
        <v>1</v>
      </c>
    </row>
    <row r="65" spans="2:121" ht="14.25" customHeight="1" x14ac:dyDescent="0.3">
      <c r="B65" s="108">
        <v>0.63541666666666696</v>
      </c>
      <c r="D65" s="4">
        <v>1</v>
      </c>
      <c r="E65" s="133">
        <v>0.1</v>
      </c>
      <c r="F65" s="275">
        <v>1</v>
      </c>
      <c r="G65" s="275">
        <v>1</v>
      </c>
      <c r="H65" s="275">
        <v>1</v>
      </c>
      <c r="I65" s="4">
        <v>0.1</v>
      </c>
      <c r="J65" s="133">
        <v>0.1</v>
      </c>
      <c r="K65" s="4">
        <v>1</v>
      </c>
      <c r="L65" s="4">
        <v>1</v>
      </c>
      <c r="M65" s="275">
        <v>1</v>
      </c>
      <c r="N65" s="275">
        <v>1</v>
      </c>
      <c r="O65" s="275">
        <v>1</v>
      </c>
      <c r="P65" s="133">
        <v>0.1</v>
      </c>
      <c r="Q65" s="275">
        <v>1</v>
      </c>
      <c r="R65" s="275">
        <v>1</v>
      </c>
      <c r="S65" s="275">
        <v>1</v>
      </c>
      <c r="T65" s="275">
        <v>1</v>
      </c>
      <c r="U65" s="275">
        <v>1</v>
      </c>
      <c r="V65" s="275">
        <v>1</v>
      </c>
      <c r="W65" s="275">
        <v>1</v>
      </c>
      <c r="X65" s="275">
        <v>0.1</v>
      </c>
      <c r="Y65" s="275">
        <v>0.1</v>
      </c>
      <c r="Z65" s="275">
        <v>1</v>
      </c>
      <c r="AA65" s="133">
        <v>0.1</v>
      </c>
      <c r="AB65" s="275">
        <v>1</v>
      </c>
      <c r="AC65" s="133">
        <v>0.1</v>
      </c>
      <c r="AD65" s="275">
        <v>0.1</v>
      </c>
      <c r="AE65" s="133">
        <v>0.1</v>
      </c>
      <c r="AF65" s="133">
        <v>0.1</v>
      </c>
      <c r="AG65" s="4">
        <v>0.1</v>
      </c>
      <c r="AH65" s="275">
        <v>1</v>
      </c>
      <c r="AI65" s="4">
        <v>0.1</v>
      </c>
      <c r="AJ65" s="133">
        <v>0.1</v>
      </c>
      <c r="AK65" s="275">
        <v>1</v>
      </c>
      <c r="AL65" s="275">
        <v>1</v>
      </c>
      <c r="AM65" s="275">
        <v>1</v>
      </c>
      <c r="AN65" s="275">
        <v>1</v>
      </c>
      <c r="AO65" s="275">
        <v>1</v>
      </c>
      <c r="AP65" s="133">
        <v>0.1</v>
      </c>
      <c r="AQ65" s="133">
        <v>0.1</v>
      </c>
      <c r="AR65" s="133">
        <v>0.1</v>
      </c>
      <c r="AS65" s="275">
        <v>1</v>
      </c>
      <c r="AT65" s="275">
        <v>1</v>
      </c>
      <c r="AU65" s="275">
        <v>1</v>
      </c>
      <c r="AV65" s="275">
        <v>1</v>
      </c>
      <c r="AW65" s="275">
        <v>1</v>
      </c>
      <c r="AX65" s="275">
        <v>1</v>
      </c>
      <c r="AY65" s="275">
        <v>1</v>
      </c>
      <c r="AZ65" s="275">
        <v>1</v>
      </c>
      <c r="BA65" s="275">
        <v>1</v>
      </c>
      <c r="BB65" s="275">
        <v>1</v>
      </c>
      <c r="BC65" s="275">
        <v>1</v>
      </c>
      <c r="BD65" s="4">
        <v>1</v>
      </c>
      <c r="BE65" s="275">
        <v>1</v>
      </c>
      <c r="BF65" s="133">
        <v>0.1</v>
      </c>
      <c r="BG65" s="275">
        <v>1</v>
      </c>
      <c r="BH65" s="275">
        <v>1</v>
      </c>
      <c r="BI65" s="275">
        <v>1</v>
      </c>
      <c r="BJ65" s="275">
        <v>1</v>
      </c>
      <c r="BK65" s="4">
        <v>0.1</v>
      </c>
      <c r="BL65" s="4">
        <v>0.1</v>
      </c>
      <c r="BM65" s="4">
        <v>0.1</v>
      </c>
      <c r="BN65" s="133">
        <v>0.1</v>
      </c>
      <c r="BO65" s="275">
        <v>0.1</v>
      </c>
      <c r="BP65" s="4">
        <v>0.1</v>
      </c>
      <c r="BQ65" s="275">
        <v>1</v>
      </c>
      <c r="BR65" s="4">
        <v>1</v>
      </c>
      <c r="BS65" s="275">
        <v>1</v>
      </c>
      <c r="BT65" s="275">
        <v>1</v>
      </c>
      <c r="BU65" s="275">
        <v>1</v>
      </c>
      <c r="BV65" s="275">
        <v>1</v>
      </c>
      <c r="BW65" s="133">
        <v>0.1</v>
      </c>
      <c r="BX65" s="275">
        <v>1</v>
      </c>
      <c r="BY65" s="275">
        <v>1</v>
      </c>
      <c r="BZ65" s="4">
        <v>0.1</v>
      </c>
      <c r="CA65" s="4">
        <v>0.1</v>
      </c>
      <c r="CB65" s="4">
        <v>0.1</v>
      </c>
      <c r="CC65" s="133">
        <v>0.1</v>
      </c>
      <c r="CD65" s="275">
        <v>1</v>
      </c>
      <c r="CE65" s="275">
        <v>1</v>
      </c>
      <c r="CF65" s="133">
        <v>0.1</v>
      </c>
      <c r="CG65" s="275">
        <v>1</v>
      </c>
      <c r="CH65" s="4">
        <v>1</v>
      </c>
      <c r="CI65" s="275">
        <v>1</v>
      </c>
      <c r="CJ65" s="275">
        <v>1</v>
      </c>
      <c r="CK65" s="275">
        <v>1</v>
      </c>
      <c r="CL65" s="275">
        <v>1</v>
      </c>
      <c r="CM65" s="275">
        <v>0.1</v>
      </c>
      <c r="CN65" s="275">
        <v>0.1</v>
      </c>
      <c r="CO65" s="275">
        <v>1</v>
      </c>
      <c r="CP65" s="275">
        <v>0.1</v>
      </c>
      <c r="CQ65" s="133">
        <v>0.1</v>
      </c>
      <c r="CR65" s="133">
        <v>0.1</v>
      </c>
      <c r="CS65" s="275">
        <v>1</v>
      </c>
      <c r="CT65" s="275">
        <v>1</v>
      </c>
      <c r="CU65" s="275">
        <v>1</v>
      </c>
      <c r="CV65" s="275">
        <v>1</v>
      </c>
      <c r="CW65" s="133">
        <v>0.1</v>
      </c>
      <c r="CX65" s="275">
        <v>0.1</v>
      </c>
      <c r="CY65" s="275">
        <v>1</v>
      </c>
      <c r="CZ65" s="275">
        <v>1</v>
      </c>
      <c r="DA65" s="133">
        <v>1</v>
      </c>
      <c r="DB65" s="275">
        <v>0.1</v>
      </c>
      <c r="DC65" s="133">
        <v>1</v>
      </c>
      <c r="DD65" s="133">
        <v>1</v>
      </c>
      <c r="DE65" s="133">
        <v>1</v>
      </c>
      <c r="DF65" s="133">
        <v>1</v>
      </c>
      <c r="DG65" s="133">
        <v>1</v>
      </c>
      <c r="DH65" s="133">
        <v>1</v>
      </c>
      <c r="DI65" s="133">
        <v>1</v>
      </c>
      <c r="DJ65" s="133">
        <v>1</v>
      </c>
      <c r="DK65" s="133">
        <v>1</v>
      </c>
      <c r="DL65" s="133">
        <v>1</v>
      </c>
      <c r="DM65" s="275">
        <v>1</v>
      </c>
      <c r="DN65" s="275">
        <v>1</v>
      </c>
      <c r="DO65" s="275">
        <v>1</v>
      </c>
      <c r="DP65" s="275">
        <v>1</v>
      </c>
      <c r="DQ65" s="275">
        <v>1</v>
      </c>
    </row>
    <row r="66" spans="2:121" ht="14.25" customHeight="1" x14ac:dyDescent="0.3">
      <c r="B66" s="108">
        <v>0.64583333333333304</v>
      </c>
      <c r="D66" s="4">
        <v>1</v>
      </c>
      <c r="E66" s="133">
        <v>0.1</v>
      </c>
      <c r="F66" s="275">
        <v>1</v>
      </c>
      <c r="G66" s="275">
        <v>1</v>
      </c>
      <c r="H66" s="275">
        <v>1</v>
      </c>
      <c r="I66" s="133">
        <v>1</v>
      </c>
      <c r="J66" s="133">
        <v>0.1</v>
      </c>
      <c r="K66" s="4">
        <v>1</v>
      </c>
      <c r="L66" s="4">
        <v>1</v>
      </c>
      <c r="M66" s="275">
        <v>1</v>
      </c>
      <c r="N66" s="275">
        <v>1</v>
      </c>
      <c r="O66" s="275">
        <v>1</v>
      </c>
      <c r="P66" s="133">
        <v>0.1</v>
      </c>
      <c r="Q66" s="275">
        <v>1</v>
      </c>
      <c r="R66" s="275">
        <v>1</v>
      </c>
      <c r="S66" s="275">
        <v>1</v>
      </c>
      <c r="T66" s="275">
        <v>1</v>
      </c>
      <c r="U66" s="275">
        <v>1</v>
      </c>
      <c r="V66" s="275">
        <v>1</v>
      </c>
      <c r="W66" s="275">
        <v>1</v>
      </c>
      <c r="X66" s="275">
        <v>0.1</v>
      </c>
      <c r="Y66" s="275">
        <v>0.1</v>
      </c>
      <c r="Z66" s="275">
        <v>1</v>
      </c>
      <c r="AA66" s="133">
        <v>0.1</v>
      </c>
      <c r="AB66" s="275">
        <v>1</v>
      </c>
      <c r="AC66" s="133">
        <v>0.1</v>
      </c>
      <c r="AD66" s="275">
        <v>0.1</v>
      </c>
      <c r="AE66" s="133">
        <v>0.1</v>
      </c>
      <c r="AF66" s="133">
        <v>0.1</v>
      </c>
      <c r="AG66" s="4">
        <v>0.1</v>
      </c>
      <c r="AH66" s="275">
        <v>1</v>
      </c>
      <c r="AI66" s="4">
        <v>0.1</v>
      </c>
      <c r="AJ66" s="133">
        <v>0.1</v>
      </c>
      <c r="AK66" s="275">
        <v>1</v>
      </c>
      <c r="AL66" s="275">
        <v>1</v>
      </c>
      <c r="AM66" s="275">
        <v>1</v>
      </c>
      <c r="AN66" s="275">
        <v>1</v>
      </c>
      <c r="AO66" s="275">
        <v>1</v>
      </c>
      <c r="AP66" s="133">
        <v>0.1</v>
      </c>
      <c r="AQ66" s="133">
        <v>0.1</v>
      </c>
      <c r="AR66" s="133">
        <v>0.1</v>
      </c>
      <c r="AS66" s="275">
        <v>1</v>
      </c>
      <c r="AT66" s="275">
        <v>1</v>
      </c>
      <c r="AU66" s="275">
        <v>1</v>
      </c>
      <c r="AV66" s="275">
        <v>1</v>
      </c>
      <c r="AW66" s="275">
        <v>1</v>
      </c>
      <c r="AX66" s="275">
        <v>1</v>
      </c>
      <c r="AY66" s="275">
        <v>1</v>
      </c>
      <c r="AZ66" s="275">
        <v>1</v>
      </c>
      <c r="BA66" s="275">
        <v>1</v>
      </c>
      <c r="BB66" s="275">
        <v>1</v>
      </c>
      <c r="BC66" s="275">
        <v>1</v>
      </c>
      <c r="BD66" s="4">
        <v>1</v>
      </c>
      <c r="BE66" s="275">
        <v>1</v>
      </c>
      <c r="BF66" s="133">
        <v>0.1</v>
      </c>
      <c r="BG66" s="275">
        <v>1</v>
      </c>
      <c r="BH66" s="275">
        <v>1</v>
      </c>
      <c r="BI66" s="275">
        <v>1</v>
      </c>
      <c r="BJ66" s="275">
        <v>1</v>
      </c>
      <c r="BK66" s="4">
        <v>0.1</v>
      </c>
      <c r="BL66" s="4">
        <v>0.1</v>
      </c>
      <c r="BM66" s="4">
        <v>0.1</v>
      </c>
      <c r="BN66" s="133">
        <v>0.1</v>
      </c>
      <c r="BO66" s="275">
        <v>0.1</v>
      </c>
      <c r="BP66" s="133">
        <v>1</v>
      </c>
      <c r="BQ66" s="275">
        <v>1</v>
      </c>
      <c r="BR66" s="4">
        <v>1</v>
      </c>
      <c r="BS66" s="275">
        <v>1</v>
      </c>
      <c r="BT66" s="275">
        <v>1</v>
      </c>
      <c r="BU66" s="275">
        <v>1</v>
      </c>
      <c r="BV66" s="275">
        <v>1</v>
      </c>
      <c r="BW66" s="133">
        <v>0.1</v>
      </c>
      <c r="BX66" s="275">
        <v>1</v>
      </c>
      <c r="BY66" s="275">
        <v>1</v>
      </c>
      <c r="BZ66" s="133">
        <v>1</v>
      </c>
      <c r="CA66" s="133">
        <v>1</v>
      </c>
      <c r="CB66" s="133">
        <v>1</v>
      </c>
      <c r="CC66" s="133">
        <v>0.1</v>
      </c>
      <c r="CD66" s="275">
        <v>1</v>
      </c>
      <c r="CE66" s="275">
        <v>1</v>
      </c>
      <c r="CF66" s="133">
        <v>0.1</v>
      </c>
      <c r="CG66" s="275">
        <v>1</v>
      </c>
      <c r="CH66" s="4">
        <v>1</v>
      </c>
      <c r="CI66" s="275">
        <v>1</v>
      </c>
      <c r="CJ66" s="275">
        <v>1</v>
      </c>
      <c r="CK66" s="275">
        <v>1</v>
      </c>
      <c r="CL66" s="275">
        <v>1</v>
      </c>
      <c r="CM66" s="275">
        <v>0.1</v>
      </c>
      <c r="CN66" s="275">
        <v>0.1</v>
      </c>
      <c r="CO66" s="275">
        <v>1</v>
      </c>
      <c r="CP66" s="275">
        <v>0.1</v>
      </c>
      <c r="CQ66" s="133">
        <v>0.1</v>
      </c>
      <c r="CR66" s="133">
        <v>0.1</v>
      </c>
      <c r="CS66" s="275">
        <v>1</v>
      </c>
      <c r="CT66" s="275">
        <v>1</v>
      </c>
      <c r="CU66" s="275">
        <v>1</v>
      </c>
      <c r="CV66" s="275">
        <v>1</v>
      </c>
      <c r="CW66" s="133">
        <v>0.1</v>
      </c>
      <c r="CX66" s="275">
        <v>0.1</v>
      </c>
      <c r="CY66" s="275">
        <v>1</v>
      </c>
      <c r="CZ66" s="275">
        <v>1</v>
      </c>
      <c r="DA66" s="133">
        <v>1</v>
      </c>
      <c r="DB66" s="275">
        <v>0.1</v>
      </c>
      <c r="DC66" s="133">
        <v>1</v>
      </c>
      <c r="DD66" s="133">
        <v>1</v>
      </c>
      <c r="DE66" s="133">
        <v>1</v>
      </c>
      <c r="DF66" s="133">
        <v>1</v>
      </c>
      <c r="DG66" s="133">
        <v>1</v>
      </c>
      <c r="DH66" s="133">
        <v>1</v>
      </c>
      <c r="DI66" s="133">
        <v>1</v>
      </c>
      <c r="DJ66" s="133">
        <v>1</v>
      </c>
      <c r="DK66" s="133">
        <v>1</v>
      </c>
      <c r="DL66" s="133">
        <v>1</v>
      </c>
      <c r="DM66" s="275">
        <v>1</v>
      </c>
      <c r="DN66" s="275">
        <v>1</v>
      </c>
      <c r="DO66" s="275">
        <v>1</v>
      </c>
      <c r="DP66" s="275">
        <v>1</v>
      </c>
      <c r="DQ66" s="275">
        <v>1</v>
      </c>
    </row>
    <row r="67" spans="2:121" ht="14.25" customHeight="1" x14ac:dyDescent="0.3">
      <c r="B67" s="108">
        <v>0.65625</v>
      </c>
      <c r="D67" s="4">
        <v>1</v>
      </c>
      <c r="E67" s="133">
        <v>0.1</v>
      </c>
      <c r="F67" s="275">
        <v>1</v>
      </c>
      <c r="G67" s="275">
        <v>1</v>
      </c>
      <c r="H67" s="275">
        <v>1</v>
      </c>
      <c r="I67" s="133">
        <v>1</v>
      </c>
      <c r="J67" s="133">
        <v>0.1</v>
      </c>
      <c r="K67" s="4">
        <v>1</v>
      </c>
      <c r="L67" s="4">
        <v>1</v>
      </c>
      <c r="M67" s="275">
        <v>1</v>
      </c>
      <c r="N67" s="275">
        <v>1</v>
      </c>
      <c r="O67" s="275">
        <v>1</v>
      </c>
      <c r="P67" s="133">
        <v>0.1</v>
      </c>
      <c r="Q67" s="275">
        <v>1</v>
      </c>
      <c r="R67" s="275">
        <v>1</v>
      </c>
      <c r="S67" s="275">
        <v>1</v>
      </c>
      <c r="T67" s="275">
        <v>1</v>
      </c>
      <c r="U67" s="275">
        <v>1</v>
      </c>
      <c r="V67" s="275">
        <v>1</v>
      </c>
      <c r="W67" s="275">
        <v>1</v>
      </c>
      <c r="X67" s="275">
        <v>0.1</v>
      </c>
      <c r="Y67" s="275">
        <v>0.1</v>
      </c>
      <c r="Z67" s="275">
        <v>1</v>
      </c>
      <c r="AA67" s="133">
        <v>0.1</v>
      </c>
      <c r="AB67" s="275">
        <v>1</v>
      </c>
      <c r="AC67" s="133">
        <v>0.1</v>
      </c>
      <c r="AD67" s="275">
        <v>0.1</v>
      </c>
      <c r="AE67" s="133">
        <v>0.1</v>
      </c>
      <c r="AF67" s="133">
        <v>0.1</v>
      </c>
      <c r="AG67" s="4">
        <v>0.1</v>
      </c>
      <c r="AH67" s="275">
        <v>1</v>
      </c>
      <c r="AI67" s="4">
        <v>0.1</v>
      </c>
      <c r="AJ67" s="133">
        <v>0.1</v>
      </c>
      <c r="AK67" s="275">
        <v>1</v>
      </c>
      <c r="AL67" s="275">
        <v>1</v>
      </c>
      <c r="AM67" s="275">
        <v>1</v>
      </c>
      <c r="AN67" s="275">
        <v>1</v>
      </c>
      <c r="AO67" s="275">
        <v>1</v>
      </c>
      <c r="AP67" s="133">
        <v>0.1</v>
      </c>
      <c r="AQ67" s="133">
        <v>0.1</v>
      </c>
      <c r="AR67" s="133">
        <v>0.1</v>
      </c>
      <c r="AS67" s="275">
        <v>1</v>
      </c>
      <c r="AT67" s="275">
        <v>1</v>
      </c>
      <c r="AU67" s="275">
        <v>1</v>
      </c>
      <c r="AV67" s="275">
        <v>1</v>
      </c>
      <c r="AW67" s="275">
        <v>1</v>
      </c>
      <c r="AX67" s="275">
        <v>1</v>
      </c>
      <c r="AY67" s="275">
        <v>1</v>
      </c>
      <c r="AZ67" s="275">
        <v>1</v>
      </c>
      <c r="BA67" s="275">
        <v>1</v>
      </c>
      <c r="BB67" s="275">
        <v>1</v>
      </c>
      <c r="BC67" s="275">
        <v>1</v>
      </c>
      <c r="BD67" s="4">
        <v>1</v>
      </c>
      <c r="BE67" s="275">
        <v>1</v>
      </c>
      <c r="BF67" s="133">
        <v>0.1</v>
      </c>
      <c r="BG67" s="275">
        <v>1</v>
      </c>
      <c r="BH67" s="275">
        <v>1</v>
      </c>
      <c r="BI67" s="275">
        <v>1</v>
      </c>
      <c r="BJ67" s="275">
        <v>1</v>
      </c>
      <c r="BK67" s="4">
        <v>0.1</v>
      </c>
      <c r="BL67" s="4">
        <v>0.1</v>
      </c>
      <c r="BM67" s="4">
        <v>0.1</v>
      </c>
      <c r="BN67" s="133">
        <v>0.1</v>
      </c>
      <c r="BO67" s="275">
        <v>0.1</v>
      </c>
      <c r="BP67" s="133">
        <v>1</v>
      </c>
      <c r="BQ67" s="275">
        <v>1</v>
      </c>
      <c r="BR67" s="4">
        <v>1</v>
      </c>
      <c r="BS67" s="275">
        <v>1</v>
      </c>
      <c r="BT67" s="275">
        <v>1</v>
      </c>
      <c r="BU67" s="275">
        <v>1</v>
      </c>
      <c r="BV67" s="275">
        <v>1</v>
      </c>
      <c r="BW67" s="133">
        <v>0.1</v>
      </c>
      <c r="BX67" s="275">
        <v>1</v>
      </c>
      <c r="BY67" s="275">
        <v>1</v>
      </c>
      <c r="BZ67" s="133">
        <v>1</v>
      </c>
      <c r="CA67" s="133">
        <v>1</v>
      </c>
      <c r="CB67" s="133">
        <v>1</v>
      </c>
      <c r="CC67" s="133">
        <v>0.1</v>
      </c>
      <c r="CD67" s="275">
        <v>1</v>
      </c>
      <c r="CE67" s="275">
        <v>1</v>
      </c>
      <c r="CF67" s="133">
        <v>0.1</v>
      </c>
      <c r="CG67" s="275">
        <v>1</v>
      </c>
      <c r="CH67" s="4">
        <v>1</v>
      </c>
      <c r="CI67" s="275">
        <v>1</v>
      </c>
      <c r="CJ67" s="275">
        <v>1</v>
      </c>
      <c r="CK67" s="275">
        <v>1</v>
      </c>
      <c r="CL67" s="275">
        <v>1</v>
      </c>
      <c r="CM67" s="275">
        <v>0.1</v>
      </c>
      <c r="CN67" s="275">
        <v>0.1</v>
      </c>
      <c r="CO67" s="275">
        <v>1</v>
      </c>
      <c r="CP67" s="275">
        <v>0.1</v>
      </c>
      <c r="CQ67" s="133">
        <v>0.1</v>
      </c>
      <c r="CR67" s="133">
        <v>0.1</v>
      </c>
      <c r="CS67" s="275">
        <v>1</v>
      </c>
      <c r="CT67" s="275">
        <v>1</v>
      </c>
      <c r="CU67" s="275">
        <v>1</v>
      </c>
      <c r="CV67" s="275">
        <v>1</v>
      </c>
      <c r="CW67" s="133">
        <v>0.1</v>
      </c>
      <c r="CX67" s="275">
        <v>0.1</v>
      </c>
      <c r="CY67" s="275">
        <v>1</v>
      </c>
      <c r="CZ67" s="275">
        <v>1</v>
      </c>
      <c r="DA67" s="133">
        <v>1</v>
      </c>
      <c r="DB67" s="275">
        <v>0.1</v>
      </c>
      <c r="DC67" s="133">
        <v>1</v>
      </c>
      <c r="DD67" s="133">
        <v>1</v>
      </c>
      <c r="DE67" s="133">
        <v>1</v>
      </c>
      <c r="DF67" s="133">
        <v>1</v>
      </c>
      <c r="DG67" s="133">
        <v>1</v>
      </c>
      <c r="DH67" s="133">
        <v>1</v>
      </c>
      <c r="DI67" s="133">
        <v>1</v>
      </c>
      <c r="DJ67" s="133">
        <v>1</v>
      </c>
      <c r="DK67" s="133">
        <v>1</v>
      </c>
      <c r="DL67" s="133">
        <v>1</v>
      </c>
      <c r="DM67" s="275">
        <v>1</v>
      </c>
      <c r="DN67" s="275">
        <v>1</v>
      </c>
      <c r="DO67" s="275">
        <v>1</v>
      </c>
      <c r="DP67" s="275">
        <v>1</v>
      </c>
      <c r="DQ67" s="275">
        <v>1</v>
      </c>
    </row>
    <row r="68" spans="2:121" ht="14.25" customHeight="1" x14ac:dyDescent="0.3">
      <c r="B68" s="108">
        <v>0.66666666666666696</v>
      </c>
      <c r="D68" s="4">
        <v>1</v>
      </c>
      <c r="E68" s="133">
        <v>0.1</v>
      </c>
      <c r="F68" s="275">
        <v>1</v>
      </c>
      <c r="G68" s="275">
        <v>1</v>
      </c>
      <c r="H68" s="275">
        <v>1</v>
      </c>
      <c r="I68" s="4">
        <v>0.1</v>
      </c>
      <c r="J68" s="133">
        <v>0.1</v>
      </c>
      <c r="K68" s="4">
        <v>1</v>
      </c>
      <c r="L68" s="4">
        <v>1</v>
      </c>
      <c r="M68" s="275">
        <v>1</v>
      </c>
      <c r="N68" s="275">
        <v>1</v>
      </c>
      <c r="O68" s="275">
        <v>1</v>
      </c>
      <c r="P68" s="133">
        <v>0.1</v>
      </c>
      <c r="Q68" s="275">
        <v>1</v>
      </c>
      <c r="R68" s="275">
        <v>1</v>
      </c>
      <c r="S68" s="275">
        <v>1</v>
      </c>
      <c r="T68" s="275">
        <v>1</v>
      </c>
      <c r="U68" s="275">
        <v>1</v>
      </c>
      <c r="V68" s="275">
        <v>1</v>
      </c>
      <c r="W68" s="275">
        <v>1</v>
      </c>
      <c r="X68" s="275">
        <v>0.1</v>
      </c>
      <c r="Y68" s="275">
        <v>0.1</v>
      </c>
      <c r="Z68" s="275">
        <v>1</v>
      </c>
      <c r="AA68" s="133">
        <v>0.1</v>
      </c>
      <c r="AB68" s="275">
        <v>1</v>
      </c>
      <c r="AC68" s="133">
        <v>0.1</v>
      </c>
      <c r="AD68" s="275">
        <v>0.1</v>
      </c>
      <c r="AE68" s="133">
        <v>0.1</v>
      </c>
      <c r="AF68" s="133">
        <v>0.1</v>
      </c>
      <c r="AG68" s="4">
        <v>0.1</v>
      </c>
      <c r="AH68" s="275">
        <v>1</v>
      </c>
      <c r="AI68" s="4">
        <v>0.1</v>
      </c>
      <c r="AJ68" s="133">
        <v>0.1</v>
      </c>
      <c r="AK68" s="275">
        <v>1</v>
      </c>
      <c r="AL68" s="275">
        <v>1</v>
      </c>
      <c r="AM68" s="275">
        <v>1</v>
      </c>
      <c r="AN68" s="275">
        <v>1</v>
      </c>
      <c r="AO68" s="275">
        <v>1</v>
      </c>
      <c r="AP68" s="133">
        <v>0.1</v>
      </c>
      <c r="AQ68" s="133">
        <v>0.1</v>
      </c>
      <c r="AR68" s="133">
        <v>0.1</v>
      </c>
      <c r="AS68" s="275">
        <v>1</v>
      </c>
      <c r="AT68" s="275">
        <v>1</v>
      </c>
      <c r="AU68" s="275">
        <v>1</v>
      </c>
      <c r="AV68" s="275">
        <v>1</v>
      </c>
      <c r="AW68" s="275">
        <v>1</v>
      </c>
      <c r="AX68" s="275">
        <v>1</v>
      </c>
      <c r="AY68" s="275">
        <v>1</v>
      </c>
      <c r="AZ68" s="275">
        <v>1</v>
      </c>
      <c r="BA68" s="275">
        <v>1</v>
      </c>
      <c r="BB68" s="275">
        <v>1</v>
      </c>
      <c r="BC68" s="275">
        <v>1</v>
      </c>
      <c r="BD68" s="4">
        <v>1</v>
      </c>
      <c r="BE68" s="275">
        <v>1</v>
      </c>
      <c r="BF68" s="133">
        <v>0.1</v>
      </c>
      <c r="BG68" s="275">
        <v>1</v>
      </c>
      <c r="BH68" s="275">
        <v>1</v>
      </c>
      <c r="BI68" s="275">
        <v>1</v>
      </c>
      <c r="BJ68" s="275">
        <v>1</v>
      </c>
      <c r="BK68" s="4">
        <v>0.1</v>
      </c>
      <c r="BL68" s="4">
        <v>0.1</v>
      </c>
      <c r="BM68" s="4">
        <v>0.1</v>
      </c>
      <c r="BN68" s="133">
        <v>0.1</v>
      </c>
      <c r="BO68" s="275">
        <v>1</v>
      </c>
      <c r="BP68" s="4">
        <v>0.1</v>
      </c>
      <c r="BQ68" s="275">
        <v>1</v>
      </c>
      <c r="BR68" s="4">
        <v>1</v>
      </c>
      <c r="BS68" s="275">
        <v>1</v>
      </c>
      <c r="BT68" s="275">
        <v>1</v>
      </c>
      <c r="BU68" s="275">
        <v>1</v>
      </c>
      <c r="BV68" s="275">
        <v>1</v>
      </c>
      <c r="BW68" s="133">
        <v>0.1</v>
      </c>
      <c r="BX68" s="275">
        <v>1</v>
      </c>
      <c r="BY68" s="275">
        <v>1</v>
      </c>
      <c r="BZ68" s="4">
        <v>0.1</v>
      </c>
      <c r="CA68" s="4">
        <v>0.1</v>
      </c>
      <c r="CB68" s="4">
        <v>0.1</v>
      </c>
      <c r="CC68" s="133">
        <v>0.1</v>
      </c>
      <c r="CD68" s="275">
        <v>1</v>
      </c>
      <c r="CE68" s="275">
        <v>1</v>
      </c>
      <c r="CF68" s="133">
        <v>0.1</v>
      </c>
      <c r="CG68" s="275">
        <v>1</v>
      </c>
      <c r="CH68" s="4">
        <v>1</v>
      </c>
      <c r="CI68" s="275">
        <v>1</v>
      </c>
      <c r="CJ68" s="275">
        <v>1</v>
      </c>
      <c r="CK68" s="275">
        <v>1</v>
      </c>
      <c r="CL68" s="275">
        <v>1</v>
      </c>
      <c r="CM68" s="275">
        <v>0.1</v>
      </c>
      <c r="CN68" s="275">
        <v>0.1</v>
      </c>
      <c r="CO68" s="275">
        <v>1</v>
      </c>
      <c r="CP68" s="275">
        <v>0.1</v>
      </c>
      <c r="CQ68" s="133">
        <v>0.1</v>
      </c>
      <c r="CR68" s="133">
        <v>0.1</v>
      </c>
      <c r="CS68" s="275">
        <v>1</v>
      </c>
      <c r="CT68" s="275">
        <v>1</v>
      </c>
      <c r="CU68" s="275">
        <v>1</v>
      </c>
      <c r="CV68" s="275">
        <v>1</v>
      </c>
      <c r="CW68" s="133">
        <v>0.1</v>
      </c>
      <c r="CX68" s="275">
        <v>0.1</v>
      </c>
      <c r="CY68" s="275">
        <v>1</v>
      </c>
      <c r="CZ68" s="275">
        <v>1</v>
      </c>
      <c r="DA68" s="133">
        <v>1</v>
      </c>
      <c r="DB68" s="275">
        <v>0.1</v>
      </c>
      <c r="DC68" s="133">
        <v>1</v>
      </c>
      <c r="DD68" s="133">
        <v>1</v>
      </c>
      <c r="DE68" s="133">
        <v>1</v>
      </c>
      <c r="DF68" s="133">
        <v>1</v>
      </c>
      <c r="DG68" s="133">
        <v>1</v>
      </c>
      <c r="DH68" s="133">
        <v>1</v>
      </c>
      <c r="DI68" s="133">
        <v>1</v>
      </c>
      <c r="DJ68" s="133">
        <v>1</v>
      </c>
      <c r="DK68" s="133">
        <v>1</v>
      </c>
      <c r="DL68" s="133">
        <v>1</v>
      </c>
      <c r="DM68" s="275">
        <v>1</v>
      </c>
      <c r="DN68" s="275">
        <v>1</v>
      </c>
      <c r="DO68" s="275">
        <v>1</v>
      </c>
      <c r="DP68" s="275">
        <v>1</v>
      </c>
      <c r="DQ68" s="275">
        <v>1</v>
      </c>
    </row>
    <row r="69" spans="2:121" ht="14.25" customHeight="1" x14ac:dyDescent="0.3">
      <c r="B69" s="108">
        <v>0.67708333333333304</v>
      </c>
      <c r="D69" s="4">
        <v>1</v>
      </c>
      <c r="E69" s="133">
        <v>0.1</v>
      </c>
      <c r="F69" s="275">
        <v>1</v>
      </c>
      <c r="G69" s="275">
        <v>1</v>
      </c>
      <c r="H69" s="275">
        <v>1</v>
      </c>
      <c r="I69" s="4">
        <v>0.1</v>
      </c>
      <c r="J69" s="133">
        <v>0.1</v>
      </c>
      <c r="K69" s="4">
        <v>1</v>
      </c>
      <c r="L69" s="4">
        <v>1</v>
      </c>
      <c r="M69" s="275">
        <v>1</v>
      </c>
      <c r="N69" s="275">
        <v>1</v>
      </c>
      <c r="O69" s="275">
        <v>1</v>
      </c>
      <c r="P69" s="133">
        <v>0.1</v>
      </c>
      <c r="Q69" s="275">
        <v>1</v>
      </c>
      <c r="R69" s="275">
        <v>1</v>
      </c>
      <c r="S69" s="275">
        <v>1</v>
      </c>
      <c r="T69" s="275">
        <v>1</v>
      </c>
      <c r="U69" s="275">
        <v>1</v>
      </c>
      <c r="V69" s="275">
        <v>1</v>
      </c>
      <c r="W69" s="275">
        <v>1</v>
      </c>
      <c r="X69" s="275">
        <v>0.1</v>
      </c>
      <c r="Y69" s="275">
        <v>0.1</v>
      </c>
      <c r="Z69" s="275">
        <v>1</v>
      </c>
      <c r="AA69" s="133">
        <v>0.1</v>
      </c>
      <c r="AB69" s="275">
        <v>1</v>
      </c>
      <c r="AC69" s="133">
        <v>0.1</v>
      </c>
      <c r="AD69" s="275">
        <v>0.1</v>
      </c>
      <c r="AE69" s="133">
        <v>0.1</v>
      </c>
      <c r="AF69" s="133">
        <v>0.1</v>
      </c>
      <c r="AG69" s="4">
        <v>0.1</v>
      </c>
      <c r="AH69" s="275">
        <v>1</v>
      </c>
      <c r="AI69" s="4">
        <v>0.1</v>
      </c>
      <c r="AJ69" s="133">
        <v>0.1</v>
      </c>
      <c r="AK69" s="275">
        <v>1</v>
      </c>
      <c r="AL69" s="275">
        <v>1</v>
      </c>
      <c r="AM69" s="275">
        <v>1</v>
      </c>
      <c r="AN69" s="275">
        <v>1</v>
      </c>
      <c r="AO69" s="275">
        <v>1</v>
      </c>
      <c r="AP69" s="133">
        <v>0.1</v>
      </c>
      <c r="AQ69" s="133">
        <v>0.1</v>
      </c>
      <c r="AR69" s="133">
        <v>0.1</v>
      </c>
      <c r="AS69" s="275">
        <v>1</v>
      </c>
      <c r="AT69" s="275">
        <v>1</v>
      </c>
      <c r="AU69" s="275">
        <v>1</v>
      </c>
      <c r="AV69" s="275">
        <v>1</v>
      </c>
      <c r="AW69" s="275">
        <v>1</v>
      </c>
      <c r="AX69" s="275">
        <v>1</v>
      </c>
      <c r="AY69" s="275">
        <v>1</v>
      </c>
      <c r="AZ69" s="275">
        <v>1</v>
      </c>
      <c r="BA69" s="275">
        <v>1</v>
      </c>
      <c r="BB69" s="275">
        <v>1</v>
      </c>
      <c r="BC69" s="275">
        <v>1</v>
      </c>
      <c r="BD69" s="4">
        <v>1</v>
      </c>
      <c r="BE69" s="275">
        <v>1</v>
      </c>
      <c r="BF69" s="133">
        <v>0.1</v>
      </c>
      <c r="BG69" s="275">
        <v>1</v>
      </c>
      <c r="BH69" s="275">
        <v>1</v>
      </c>
      <c r="BI69" s="275">
        <v>1</v>
      </c>
      <c r="BJ69" s="275">
        <v>1</v>
      </c>
      <c r="BK69" s="4">
        <v>0.1</v>
      </c>
      <c r="BL69" s="4">
        <v>0.1</v>
      </c>
      <c r="BM69" s="4">
        <v>0.1</v>
      </c>
      <c r="BN69" s="133">
        <v>0.1</v>
      </c>
      <c r="BO69" s="275">
        <v>1</v>
      </c>
      <c r="BP69" s="4">
        <v>0.1</v>
      </c>
      <c r="BQ69" s="275">
        <v>1</v>
      </c>
      <c r="BR69" s="4">
        <v>1</v>
      </c>
      <c r="BS69" s="275">
        <v>1</v>
      </c>
      <c r="BT69" s="275">
        <v>1</v>
      </c>
      <c r="BU69" s="275">
        <v>1</v>
      </c>
      <c r="BV69" s="275">
        <v>1</v>
      </c>
      <c r="BW69" s="133">
        <v>0.1</v>
      </c>
      <c r="BX69" s="275">
        <v>1</v>
      </c>
      <c r="BY69" s="275">
        <v>1</v>
      </c>
      <c r="BZ69" s="4">
        <v>0.1</v>
      </c>
      <c r="CA69" s="4">
        <v>0.1</v>
      </c>
      <c r="CB69" s="4">
        <v>0.1</v>
      </c>
      <c r="CC69" s="133">
        <v>0.1</v>
      </c>
      <c r="CD69" s="275">
        <v>1</v>
      </c>
      <c r="CE69" s="275">
        <v>1</v>
      </c>
      <c r="CF69" s="133">
        <v>0.1</v>
      </c>
      <c r="CG69" s="275">
        <v>1</v>
      </c>
      <c r="CH69" s="4">
        <v>1</v>
      </c>
      <c r="CI69" s="275">
        <v>1</v>
      </c>
      <c r="CJ69" s="275">
        <v>1</v>
      </c>
      <c r="CK69" s="275">
        <v>1</v>
      </c>
      <c r="CL69" s="275">
        <v>1</v>
      </c>
      <c r="CM69" s="275">
        <v>0.1</v>
      </c>
      <c r="CN69" s="275">
        <v>0.1</v>
      </c>
      <c r="CO69" s="275">
        <v>1</v>
      </c>
      <c r="CP69" s="275">
        <v>0.1</v>
      </c>
      <c r="CQ69" s="133">
        <v>0.1</v>
      </c>
      <c r="CR69" s="133">
        <v>0.1</v>
      </c>
      <c r="CS69" s="275">
        <v>1</v>
      </c>
      <c r="CT69" s="275">
        <v>1</v>
      </c>
      <c r="CU69" s="275">
        <v>1</v>
      </c>
      <c r="CV69" s="275">
        <v>1</v>
      </c>
      <c r="CW69" s="133">
        <v>0.1</v>
      </c>
      <c r="CX69" s="275">
        <v>1</v>
      </c>
      <c r="CY69" s="275">
        <v>1</v>
      </c>
      <c r="CZ69" s="275">
        <v>1</v>
      </c>
      <c r="DA69" s="133">
        <v>1</v>
      </c>
      <c r="DB69" s="275">
        <v>0.1</v>
      </c>
      <c r="DC69" s="133">
        <v>1</v>
      </c>
      <c r="DD69" s="133">
        <v>1</v>
      </c>
      <c r="DE69" s="133">
        <v>1</v>
      </c>
      <c r="DF69" s="133">
        <v>1</v>
      </c>
      <c r="DG69" s="133">
        <v>1</v>
      </c>
      <c r="DH69" s="133">
        <v>1</v>
      </c>
      <c r="DI69" s="133">
        <v>1</v>
      </c>
      <c r="DJ69" s="133">
        <v>1</v>
      </c>
      <c r="DK69" s="133">
        <v>1</v>
      </c>
      <c r="DL69" s="133">
        <v>1</v>
      </c>
      <c r="DM69" s="275">
        <v>1</v>
      </c>
      <c r="DN69" s="275">
        <v>1</v>
      </c>
      <c r="DO69" s="275">
        <v>1</v>
      </c>
      <c r="DP69" s="275">
        <v>1</v>
      </c>
      <c r="DQ69" s="275">
        <v>1</v>
      </c>
    </row>
    <row r="70" spans="2:121" ht="14.25" customHeight="1" x14ac:dyDescent="0.3">
      <c r="B70" s="108">
        <v>0.6875</v>
      </c>
      <c r="D70" s="4">
        <v>1</v>
      </c>
      <c r="E70" s="133">
        <v>0.1</v>
      </c>
      <c r="F70" s="275">
        <v>1</v>
      </c>
      <c r="G70" s="275">
        <v>1</v>
      </c>
      <c r="H70" s="275">
        <v>1</v>
      </c>
      <c r="I70" s="4">
        <v>1</v>
      </c>
      <c r="J70" s="133">
        <v>0.1</v>
      </c>
      <c r="K70" s="4">
        <v>1</v>
      </c>
      <c r="L70" s="4">
        <v>1</v>
      </c>
      <c r="M70" s="275">
        <v>1</v>
      </c>
      <c r="N70" s="275">
        <v>1</v>
      </c>
      <c r="O70" s="275">
        <v>1</v>
      </c>
      <c r="P70" s="133">
        <v>0.1</v>
      </c>
      <c r="Q70" s="275">
        <v>1</v>
      </c>
      <c r="R70" s="275">
        <v>1</v>
      </c>
      <c r="S70" s="275">
        <v>1</v>
      </c>
      <c r="T70" s="275">
        <v>1</v>
      </c>
      <c r="U70" s="275">
        <v>1</v>
      </c>
      <c r="V70" s="275">
        <v>1</v>
      </c>
      <c r="W70" s="275">
        <v>1</v>
      </c>
      <c r="X70" s="275">
        <v>0.1</v>
      </c>
      <c r="Y70" s="275">
        <v>0.1</v>
      </c>
      <c r="Z70" s="275">
        <v>1</v>
      </c>
      <c r="AA70" s="133">
        <v>0.1</v>
      </c>
      <c r="AB70" s="275">
        <v>1</v>
      </c>
      <c r="AC70" s="133">
        <v>0.1</v>
      </c>
      <c r="AD70" s="275">
        <v>0.1</v>
      </c>
      <c r="AE70" s="133">
        <v>0.1</v>
      </c>
      <c r="AF70" s="133">
        <v>0.1</v>
      </c>
      <c r="AG70" s="4">
        <v>0.1</v>
      </c>
      <c r="AH70" s="275">
        <v>1</v>
      </c>
      <c r="AI70" s="4">
        <v>0.1</v>
      </c>
      <c r="AJ70" s="133">
        <v>0.1</v>
      </c>
      <c r="AK70" s="275">
        <v>1</v>
      </c>
      <c r="AL70" s="275">
        <v>1</v>
      </c>
      <c r="AM70" s="275">
        <v>1</v>
      </c>
      <c r="AN70" s="275">
        <v>1</v>
      </c>
      <c r="AO70" s="275">
        <v>1</v>
      </c>
      <c r="AP70" s="133">
        <v>0.1</v>
      </c>
      <c r="AQ70" s="133">
        <v>0.1</v>
      </c>
      <c r="AR70" s="133">
        <v>0.1</v>
      </c>
      <c r="AS70" s="275">
        <v>1</v>
      </c>
      <c r="AT70" s="275">
        <v>1</v>
      </c>
      <c r="AU70" s="275">
        <v>1</v>
      </c>
      <c r="AV70" s="275">
        <v>1</v>
      </c>
      <c r="AW70" s="275">
        <v>1</v>
      </c>
      <c r="AX70" s="275">
        <v>1</v>
      </c>
      <c r="AY70" s="275">
        <v>1</v>
      </c>
      <c r="AZ70" s="275">
        <v>1</v>
      </c>
      <c r="BA70" s="275">
        <v>1</v>
      </c>
      <c r="BB70" s="275">
        <v>1</v>
      </c>
      <c r="BC70" s="275">
        <v>1</v>
      </c>
      <c r="BD70" s="4">
        <v>1</v>
      </c>
      <c r="BE70" s="275">
        <v>1</v>
      </c>
      <c r="BF70" s="133">
        <v>0.1</v>
      </c>
      <c r="BG70" s="275">
        <v>1</v>
      </c>
      <c r="BH70" s="275">
        <v>1</v>
      </c>
      <c r="BI70" s="275">
        <v>1</v>
      </c>
      <c r="BJ70" s="275">
        <v>1</v>
      </c>
      <c r="BK70" s="4">
        <v>0.1</v>
      </c>
      <c r="BL70" s="4">
        <v>0.1</v>
      </c>
      <c r="BM70" s="4">
        <v>0.1</v>
      </c>
      <c r="BN70" s="133">
        <v>0.1</v>
      </c>
      <c r="BO70" s="275">
        <v>1</v>
      </c>
      <c r="BP70" s="4">
        <v>1</v>
      </c>
      <c r="BQ70" s="275">
        <v>1</v>
      </c>
      <c r="BR70" s="4">
        <v>1</v>
      </c>
      <c r="BS70" s="275">
        <v>1</v>
      </c>
      <c r="BT70" s="275">
        <v>1</v>
      </c>
      <c r="BU70" s="275">
        <v>1</v>
      </c>
      <c r="BV70" s="275">
        <v>1</v>
      </c>
      <c r="BW70" s="133">
        <v>0.1</v>
      </c>
      <c r="BX70" s="275">
        <v>1</v>
      </c>
      <c r="BY70" s="275">
        <v>1</v>
      </c>
      <c r="BZ70" s="4">
        <v>1</v>
      </c>
      <c r="CA70" s="4">
        <v>1</v>
      </c>
      <c r="CB70" s="4">
        <v>1</v>
      </c>
      <c r="CC70" s="133">
        <v>0.1</v>
      </c>
      <c r="CD70" s="275">
        <v>1</v>
      </c>
      <c r="CE70" s="275">
        <v>1</v>
      </c>
      <c r="CF70" s="133">
        <v>0.1</v>
      </c>
      <c r="CG70" s="275">
        <v>1</v>
      </c>
      <c r="CH70" s="4">
        <v>1</v>
      </c>
      <c r="CI70" s="275">
        <v>1</v>
      </c>
      <c r="CJ70" s="275">
        <v>1</v>
      </c>
      <c r="CK70" s="275">
        <v>1</v>
      </c>
      <c r="CL70" s="275">
        <v>1</v>
      </c>
      <c r="CM70" s="275">
        <v>0.1</v>
      </c>
      <c r="CN70" s="275">
        <v>0.1</v>
      </c>
      <c r="CO70" s="275">
        <v>1</v>
      </c>
      <c r="CP70" s="275">
        <v>0.1</v>
      </c>
      <c r="CQ70" s="133">
        <v>0.1</v>
      </c>
      <c r="CR70" s="133">
        <v>0.1</v>
      </c>
      <c r="CS70" s="275">
        <v>1</v>
      </c>
      <c r="CT70" s="275">
        <v>1</v>
      </c>
      <c r="CU70" s="275">
        <v>1</v>
      </c>
      <c r="CV70" s="275">
        <v>1</v>
      </c>
      <c r="CW70" s="133">
        <v>0.1</v>
      </c>
      <c r="CX70" s="275">
        <v>1</v>
      </c>
      <c r="CY70" s="275">
        <v>1</v>
      </c>
      <c r="CZ70" s="275">
        <v>1</v>
      </c>
      <c r="DA70" s="133">
        <v>1</v>
      </c>
      <c r="DB70" s="275">
        <v>0.1</v>
      </c>
      <c r="DC70" s="133">
        <v>1</v>
      </c>
      <c r="DD70" s="133">
        <v>1</v>
      </c>
      <c r="DE70" s="133">
        <v>1</v>
      </c>
      <c r="DF70" s="133">
        <v>1</v>
      </c>
      <c r="DG70" s="133">
        <v>1</v>
      </c>
      <c r="DH70" s="133">
        <v>1</v>
      </c>
      <c r="DI70" s="133">
        <v>1</v>
      </c>
      <c r="DJ70" s="133">
        <v>1</v>
      </c>
      <c r="DK70" s="133">
        <v>1</v>
      </c>
      <c r="DL70" s="133">
        <v>1</v>
      </c>
      <c r="DM70" s="275">
        <v>1</v>
      </c>
      <c r="DN70" s="275">
        <v>1</v>
      </c>
      <c r="DO70" s="275">
        <v>1</v>
      </c>
      <c r="DP70" s="275">
        <v>1</v>
      </c>
      <c r="DQ70" s="275">
        <v>1</v>
      </c>
    </row>
    <row r="71" spans="2:121" ht="14.25" customHeight="1" x14ac:dyDescent="0.3">
      <c r="B71" s="108">
        <v>0.69791666666666696</v>
      </c>
      <c r="D71" s="4">
        <v>1</v>
      </c>
      <c r="E71" s="133">
        <v>0.1</v>
      </c>
      <c r="F71" s="275">
        <v>1</v>
      </c>
      <c r="G71" s="275">
        <v>1</v>
      </c>
      <c r="H71" s="275">
        <v>1</v>
      </c>
      <c r="I71" s="4">
        <v>1</v>
      </c>
      <c r="J71" s="133">
        <v>0.1</v>
      </c>
      <c r="K71" s="4">
        <v>1</v>
      </c>
      <c r="L71" s="4">
        <v>1</v>
      </c>
      <c r="M71" s="275">
        <v>1</v>
      </c>
      <c r="N71" s="275">
        <v>1</v>
      </c>
      <c r="O71" s="275">
        <v>1</v>
      </c>
      <c r="P71" s="133">
        <v>0.1</v>
      </c>
      <c r="Q71" s="275">
        <v>1</v>
      </c>
      <c r="R71" s="275">
        <v>1</v>
      </c>
      <c r="S71" s="275">
        <v>1</v>
      </c>
      <c r="T71" s="275">
        <v>1</v>
      </c>
      <c r="U71" s="275">
        <v>1</v>
      </c>
      <c r="V71" s="275">
        <v>1</v>
      </c>
      <c r="W71" s="275">
        <v>1</v>
      </c>
      <c r="X71" s="275">
        <v>0.1</v>
      </c>
      <c r="Y71" s="275">
        <v>0.1</v>
      </c>
      <c r="Z71" s="275">
        <v>1</v>
      </c>
      <c r="AA71" s="133">
        <v>0.1</v>
      </c>
      <c r="AB71" s="275">
        <v>1</v>
      </c>
      <c r="AC71" s="133">
        <v>0.1</v>
      </c>
      <c r="AD71" s="275">
        <v>0.1</v>
      </c>
      <c r="AE71" s="133">
        <v>0.1</v>
      </c>
      <c r="AF71" s="133">
        <v>0.1</v>
      </c>
      <c r="AG71" s="4">
        <v>0.1</v>
      </c>
      <c r="AH71" s="275">
        <v>1</v>
      </c>
      <c r="AI71" s="4">
        <v>0.1</v>
      </c>
      <c r="AJ71" s="133">
        <v>0.1</v>
      </c>
      <c r="AK71" s="275">
        <v>1</v>
      </c>
      <c r="AL71" s="275">
        <v>1</v>
      </c>
      <c r="AM71" s="275">
        <v>1</v>
      </c>
      <c r="AN71" s="275">
        <v>1</v>
      </c>
      <c r="AO71" s="275">
        <v>1</v>
      </c>
      <c r="AP71" s="133">
        <v>0.1</v>
      </c>
      <c r="AQ71" s="133">
        <v>0.1</v>
      </c>
      <c r="AR71" s="133">
        <v>0.1</v>
      </c>
      <c r="AS71" s="275">
        <v>1</v>
      </c>
      <c r="AT71" s="275">
        <v>1</v>
      </c>
      <c r="AU71" s="275">
        <v>1</v>
      </c>
      <c r="AV71" s="275">
        <v>1</v>
      </c>
      <c r="AW71" s="275">
        <v>1</v>
      </c>
      <c r="AX71" s="275">
        <v>1</v>
      </c>
      <c r="AY71" s="275">
        <v>1</v>
      </c>
      <c r="AZ71" s="275">
        <v>1</v>
      </c>
      <c r="BA71" s="275">
        <v>1</v>
      </c>
      <c r="BB71" s="275">
        <v>1</v>
      </c>
      <c r="BC71" s="275">
        <v>1</v>
      </c>
      <c r="BD71" s="4">
        <v>1</v>
      </c>
      <c r="BE71" s="275">
        <v>1</v>
      </c>
      <c r="BF71" s="133">
        <v>0.1</v>
      </c>
      <c r="BG71" s="275">
        <v>1</v>
      </c>
      <c r="BH71" s="275">
        <v>1</v>
      </c>
      <c r="BI71" s="275">
        <v>1</v>
      </c>
      <c r="BJ71" s="275">
        <v>1</v>
      </c>
      <c r="BK71" s="4">
        <v>0.1</v>
      </c>
      <c r="BL71" s="4">
        <v>0.1</v>
      </c>
      <c r="BM71" s="4">
        <v>0.1</v>
      </c>
      <c r="BN71" s="133">
        <v>0.1</v>
      </c>
      <c r="BO71" s="275">
        <v>1</v>
      </c>
      <c r="BP71" s="4">
        <v>1</v>
      </c>
      <c r="BQ71" s="275">
        <v>1</v>
      </c>
      <c r="BR71" s="4">
        <v>1</v>
      </c>
      <c r="BS71" s="275">
        <v>1</v>
      </c>
      <c r="BT71" s="275">
        <v>1</v>
      </c>
      <c r="BU71" s="275">
        <v>1</v>
      </c>
      <c r="BV71" s="275">
        <v>1</v>
      </c>
      <c r="BW71" s="133">
        <v>0.1</v>
      </c>
      <c r="BX71" s="275">
        <v>1</v>
      </c>
      <c r="BY71" s="275">
        <v>1</v>
      </c>
      <c r="BZ71" s="4">
        <v>1</v>
      </c>
      <c r="CA71" s="4">
        <v>1</v>
      </c>
      <c r="CB71" s="4">
        <v>1</v>
      </c>
      <c r="CC71" s="133">
        <v>0.1</v>
      </c>
      <c r="CD71" s="275">
        <v>1</v>
      </c>
      <c r="CE71" s="275">
        <v>1</v>
      </c>
      <c r="CF71" s="133">
        <v>0.1</v>
      </c>
      <c r="CG71" s="275">
        <v>1</v>
      </c>
      <c r="CH71" s="4">
        <v>1</v>
      </c>
      <c r="CI71" s="275">
        <v>1</v>
      </c>
      <c r="CJ71" s="275">
        <v>1</v>
      </c>
      <c r="CK71" s="275">
        <v>1</v>
      </c>
      <c r="CL71" s="275">
        <v>1</v>
      </c>
      <c r="CM71" s="275">
        <v>0.1</v>
      </c>
      <c r="CN71" s="275">
        <v>0.1</v>
      </c>
      <c r="CO71" s="275">
        <v>1</v>
      </c>
      <c r="CP71" s="275">
        <v>0.1</v>
      </c>
      <c r="CQ71" s="133">
        <v>0.1</v>
      </c>
      <c r="CR71" s="133">
        <v>0.1</v>
      </c>
      <c r="CS71" s="275">
        <v>1</v>
      </c>
      <c r="CT71" s="275">
        <v>1</v>
      </c>
      <c r="CU71" s="275">
        <v>1</v>
      </c>
      <c r="CV71" s="275">
        <v>1</v>
      </c>
      <c r="CW71" s="133">
        <v>0.1</v>
      </c>
      <c r="CX71" s="282">
        <v>1</v>
      </c>
      <c r="CY71" s="275">
        <v>1</v>
      </c>
      <c r="CZ71" s="275">
        <v>1</v>
      </c>
      <c r="DA71" s="133">
        <v>1</v>
      </c>
      <c r="DB71" s="275">
        <v>0.1</v>
      </c>
      <c r="DC71" s="133">
        <v>1</v>
      </c>
      <c r="DD71" s="133">
        <v>1</v>
      </c>
      <c r="DE71" s="133">
        <v>1</v>
      </c>
      <c r="DF71" s="133">
        <v>1</v>
      </c>
      <c r="DG71" s="133">
        <v>1</v>
      </c>
      <c r="DH71" s="133">
        <v>1</v>
      </c>
      <c r="DI71" s="133">
        <v>1</v>
      </c>
      <c r="DJ71" s="133">
        <v>1</v>
      </c>
      <c r="DK71" s="133">
        <v>1</v>
      </c>
      <c r="DL71" s="133">
        <v>1</v>
      </c>
      <c r="DM71" s="275">
        <v>1</v>
      </c>
      <c r="DN71" s="275">
        <v>1</v>
      </c>
      <c r="DO71" s="275">
        <v>1</v>
      </c>
      <c r="DP71" s="275">
        <v>1</v>
      </c>
      <c r="DQ71" s="275">
        <v>1</v>
      </c>
    </row>
    <row r="72" spans="2:121" ht="14.25" customHeight="1" x14ac:dyDescent="0.3">
      <c r="B72" s="108">
        <v>0.70833333333333304</v>
      </c>
      <c r="D72" s="4">
        <v>1</v>
      </c>
      <c r="E72" s="133">
        <v>0.1</v>
      </c>
      <c r="F72" s="275">
        <v>1</v>
      </c>
      <c r="G72" s="275">
        <v>1</v>
      </c>
      <c r="H72" s="275">
        <v>1</v>
      </c>
      <c r="I72" s="4">
        <v>0.1</v>
      </c>
      <c r="J72" s="133">
        <v>0.1</v>
      </c>
      <c r="K72" s="4">
        <v>1</v>
      </c>
      <c r="L72" s="4">
        <v>1</v>
      </c>
      <c r="M72" s="275">
        <v>1</v>
      </c>
      <c r="N72" s="275">
        <v>1</v>
      </c>
      <c r="O72" s="275">
        <v>1</v>
      </c>
      <c r="P72" s="133">
        <v>0.1</v>
      </c>
      <c r="Q72" s="275">
        <v>1</v>
      </c>
      <c r="R72" s="275">
        <v>1</v>
      </c>
      <c r="S72" s="275">
        <v>1</v>
      </c>
      <c r="T72" s="275">
        <v>1</v>
      </c>
      <c r="U72" s="275">
        <v>1</v>
      </c>
      <c r="V72" s="275">
        <v>1</v>
      </c>
      <c r="W72" s="275">
        <v>1</v>
      </c>
      <c r="X72" s="275">
        <v>0.1</v>
      </c>
      <c r="Y72" s="275">
        <v>0.1</v>
      </c>
      <c r="Z72" s="275">
        <v>1</v>
      </c>
      <c r="AA72" s="133">
        <v>0.1</v>
      </c>
      <c r="AB72" s="275">
        <v>1</v>
      </c>
      <c r="AC72" s="133">
        <v>0.1</v>
      </c>
      <c r="AD72" s="275">
        <v>0.1</v>
      </c>
      <c r="AE72" s="133">
        <v>0.1</v>
      </c>
      <c r="AF72" s="133">
        <v>0.1</v>
      </c>
      <c r="AG72" s="4">
        <v>0.1</v>
      </c>
      <c r="AH72" s="275">
        <v>1</v>
      </c>
      <c r="AI72" s="4">
        <v>0.1</v>
      </c>
      <c r="AJ72" s="133">
        <v>0.1</v>
      </c>
      <c r="AK72" s="275">
        <v>1</v>
      </c>
      <c r="AL72" s="275">
        <v>1</v>
      </c>
      <c r="AM72" s="275">
        <v>1</v>
      </c>
      <c r="AN72" s="275">
        <v>1</v>
      </c>
      <c r="AO72" s="275">
        <v>1</v>
      </c>
      <c r="AP72" s="133">
        <v>0.1</v>
      </c>
      <c r="AQ72" s="133">
        <v>0.1</v>
      </c>
      <c r="AR72" s="133">
        <v>0.1</v>
      </c>
      <c r="AS72" s="275">
        <v>1</v>
      </c>
      <c r="AT72" s="275">
        <v>1</v>
      </c>
      <c r="AU72" s="275">
        <v>1</v>
      </c>
      <c r="AV72" s="275">
        <v>1</v>
      </c>
      <c r="AW72" s="275">
        <v>1</v>
      </c>
      <c r="AX72" s="275">
        <v>1</v>
      </c>
      <c r="AY72" s="275">
        <v>1</v>
      </c>
      <c r="AZ72" s="275">
        <v>1</v>
      </c>
      <c r="BA72" s="275">
        <v>1</v>
      </c>
      <c r="BB72" s="275">
        <v>1</v>
      </c>
      <c r="BC72" s="275">
        <v>1</v>
      </c>
      <c r="BD72" s="4">
        <v>1</v>
      </c>
      <c r="BE72" s="275">
        <v>1</v>
      </c>
      <c r="BF72" s="133">
        <v>0.1</v>
      </c>
      <c r="BG72" s="275">
        <v>1</v>
      </c>
      <c r="BH72" s="275">
        <v>1</v>
      </c>
      <c r="BI72" s="275">
        <v>1</v>
      </c>
      <c r="BJ72" s="275">
        <v>1</v>
      </c>
      <c r="BK72" s="4">
        <v>1</v>
      </c>
      <c r="BL72" s="4">
        <v>1</v>
      </c>
      <c r="BM72" s="4">
        <v>1</v>
      </c>
      <c r="BN72" s="133">
        <v>0.1</v>
      </c>
      <c r="BO72" s="275">
        <v>1</v>
      </c>
      <c r="BP72" s="4">
        <v>0.1</v>
      </c>
      <c r="BQ72" s="275">
        <v>1</v>
      </c>
      <c r="BR72" s="4">
        <v>1</v>
      </c>
      <c r="BS72" s="275">
        <v>1</v>
      </c>
      <c r="BT72" s="275">
        <v>1</v>
      </c>
      <c r="BU72" s="275">
        <v>1</v>
      </c>
      <c r="BV72" s="275">
        <v>1</v>
      </c>
      <c r="BW72" s="133">
        <v>0.1</v>
      </c>
      <c r="BX72" s="275">
        <v>1</v>
      </c>
      <c r="BY72" s="275">
        <v>1</v>
      </c>
      <c r="BZ72" s="4">
        <v>0.1</v>
      </c>
      <c r="CA72" s="4">
        <v>0.1</v>
      </c>
      <c r="CB72" s="4">
        <v>0.1</v>
      </c>
      <c r="CC72" s="133">
        <v>0.1</v>
      </c>
      <c r="CD72" s="275">
        <v>1</v>
      </c>
      <c r="CE72" s="275">
        <v>1</v>
      </c>
      <c r="CF72" s="133">
        <v>0.1</v>
      </c>
      <c r="CG72" s="275">
        <v>1</v>
      </c>
      <c r="CH72" s="4">
        <v>1</v>
      </c>
      <c r="CI72" s="275">
        <v>1</v>
      </c>
      <c r="CJ72" s="275">
        <v>1</v>
      </c>
      <c r="CK72" s="275">
        <v>1</v>
      </c>
      <c r="CL72" s="275">
        <v>1</v>
      </c>
      <c r="CM72" s="275">
        <v>1</v>
      </c>
      <c r="CN72" s="275">
        <v>1</v>
      </c>
      <c r="CO72" s="275">
        <v>1</v>
      </c>
      <c r="CP72" s="275">
        <v>1</v>
      </c>
      <c r="CQ72" s="133">
        <v>0.1</v>
      </c>
      <c r="CR72" s="133">
        <v>0.1</v>
      </c>
      <c r="CS72" s="275">
        <v>1</v>
      </c>
      <c r="CT72" s="275">
        <v>1</v>
      </c>
      <c r="CU72" s="275">
        <v>1</v>
      </c>
      <c r="CV72" s="275">
        <v>1</v>
      </c>
      <c r="CW72" s="133">
        <v>0.1</v>
      </c>
      <c r="CX72" s="275">
        <v>1</v>
      </c>
      <c r="CY72" s="275">
        <v>1</v>
      </c>
      <c r="CZ72" s="275">
        <v>1</v>
      </c>
      <c r="DA72" s="133">
        <v>1</v>
      </c>
      <c r="DB72" s="275">
        <v>0.1</v>
      </c>
      <c r="DC72" s="133">
        <v>1</v>
      </c>
      <c r="DD72" s="133">
        <v>1</v>
      </c>
      <c r="DE72" s="133">
        <v>1</v>
      </c>
      <c r="DF72" s="133">
        <v>1</v>
      </c>
      <c r="DG72" s="133">
        <v>1</v>
      </c>
      <c r="DH72" s="133">
        <v>1</v>
      </c>
      <c r="DI72" s="133">
        <v>1</v>
      </c>
      <c r="DJ72" s="133">
        <v>1</v>
      </c>
      <c r="DK72" s="133">
        <v>1</v>
      </c>
      <c r="DL72" s="133">
        <v>1</v>
      </c>
      <c r="DM72" s="275">
        <v>1</v>
      </c>
      <c r="DN72" s="275">
        <v>1</v>
      </c>
      <c r="DO72" s="275">
        <v>1</v>
      </c>
      <c r="DP72" s="275">
        <v>1</v>
      </c>
      <c r="DQ72" s="275">
        <v>1</v>
      </c>
    </row>
    <row r="73" spans="2:121" ht="14.25" customHeight="1" x14ac:dyDescent="0.3">
      <c r="B73" s="108">
        <v>0.71875</v>
      </c>
      <c r="D73" s="4">
        <v>1</v>
      </c>
      <c r="E73" s="133">
        <v>0.1</v>
      </c>
      <c r="F73" s="275">
        <v>1</v>
      </c>
      <c r="G73" s="275">
        <v>1</v>
      </c>
      <c r="H73" s="275">
        <v>1</v>
      </c>
      <c r="I73" s="4">
        <v>0.1</v>
      </c>
      <c r="J73" s="133">
        <v>0.1</v>
      </c>
      <c r="K73" s="4">
        <v>1</v>
      </c>
      <c r="L73" s="4">
        <v>1</v>
      </c>
      <c r="M73" s="275">
        <v>1</v>
      </c>
      <c r="N73" s="275">
        <v>1</v>
      </c>
      <c r="O73" s="275">
        <v>1</v>
      </c>
      <c r="P73" s="133">
        <v>0.1</v>
      </c>
      <c r="Q73" s="275">
        <v>1</v>
      </c>
      <c r="R73" s="275">
        <v>1</v>
      </c>
      <c r="S73" s="275">
        <v>1</v>
      </c>
      <c r="T73" s="275">
        <v>1</v>
      </c>
      <c r="U73" s="275">
        <v>1</v>
      </c>
      <c r="V73" s="275">
        <v>1</v>
      </c>
      <c r="W73" s="275">
        <v>1</v>
      </c>
      <c r="X73" s="275">
        <v>0.1</v>
      </c>
      <c r="Y73" s="275">
        <v>0.1</v>
      </c>
      <c r="Z73" s="275">
        <v>1</v>
      </c>
      <c r="AA73" s="133">
        <v>0.1</v>
      </c>
      <c r="AB73" s="275">
        <v>1</v>
      </c>
      <c r="AC73" s="133">
        <v>0.1</v>
      </c>
      <c r="AD73" s="275">
        <v>0.1</v>
      </c>
      <c r="AE73" s="133">
        <v>0.1</v>
      </c>
      <c r="AF73" s="133">
        <v>0.1</v>
      </c>
      <c r="AG73" s="4">
        <v>0.1</v>
      </c>
      <c r="AH73" s="275">
        <v>1</v>
      </c>
      <c r="AI73" s="4">
        <v>0.1</v>
      </c>
      <c r="AJ73" s="133">
        <v>0.1</v>
      </c>
      <c r="AK73" s="275">
        <v>1</v>
      </c>
      <c r="AL73" s="275">
        <v>1</v>
      </c>
      <c r="AM73" s="275">
        <v>1</v>
      </c>
      <c r="AN73" s="275">
        <v>1</v>
      </c>
      <c r="AO73" s="275">
        <v>1</v>
      </c>
      <c r="AP73" s="133">
        <v>0.1</v>
      </c>
      <c r="AQ73" s="133">
        <v>0.1</v>
      </c>
      <c r="AR73" s="133">
        <v>0.1</v>
      </c>
      <c r="AS73" s="275">
        <v>1</v>
      </c>
      <c r="AT73" s="275">
        <v>1</v>
      </c>
      <c r="AU73" s="275">
        <v>1</v>
      </c>
      <c r="AV73" s="275">
        <v>1</v>
      </c>
      <c r="AW73" s="275">
        <v>1</v>
      </c>
      <c r="AX73" s="275">
        <v>1</v>
      </c>
      <c r="AY73" s="275">
        <v>1</v>
      </c>
      <c r="AZ73" s="275">
        <v>1</v>
      </c>
      <c r="BA73" s="275">
        <v>1</v>
      </c>
      <c r="BB73" s="275">
        <v>1</v>
      </c>
      <c r="BC73" s="275">
        <v>1</v>
      </c>
      <c r="BD73" s="4">
        <v>1</v>
      </c>
      <c r="BE73" s="275">
        <v>1</v>
      </c>
      <c r="BF73" s="133">
        <v>0.1</v>
      </c>
      <c r="BG73" s="275">
        <v>1</v>
      </c>
      <c r="BH73" s="275">
        <v>1</v>
      </c>
      <c r="BI73" s="275">
        <v>1</v>
      </c>
      <c r="BJ73" s="275">
        <v>1</v>
      </c>
      <c r="BK73" s="4">
        <v>1</v>
      </c>
      <c r="BL73" s="4">
        <v>1</v>
      </c>
      <c r="BM73" s="4">
        <v>1</v>
      </c>
      <c r="BN73" s="133">
        <v>0.1</v>
      </c>
      <c r="BO73" s="275">
        <v>1</v>
      </c>
      <c r="BP73" s="4">
        <v>0.1</v>
      </c>
      <c r="BQ73" s="275">
        <v>1</v>
      </c>
      <c r="BR73" s="4">
        <v>1</v>
      </c>
      <c r="BS73" s="275">
        <v>1</v>
      </c>
      <c r="BT73" s="275">
        <v>1</v>
      </c>
      <c r="BU73" s="275">
        <v>1</v>
      </c>
      <c r="BV73" s="275">
        <v>1</v>
      </c>
      <c r="BW73" s="133">
        <v>0.1</v>
      </c>
      <c r="BX73" s="275">
        <v>1</v>
      </c>
      <c r="BY73" s="275">
        <v>1</v>
      </c>
      <c r="BZ73" s="4">
        <v>0.1</v>
      </c>
      <c r="CA73" s="4">
        <v>0.1</v>
      </c>
      <c r="CB73" s="4">
        <v>0.1</v>
      </c>
      <c r="CC73" s="133">
        <v>0.1</v>
      </c>
      <c r="CD73" s="275">
        <v>1</v>
      </c>
      <c r="CE73" s="275">
        <v>1</v>
      </c>
      <c r="CF73" s="133">
        <v>0.1</v>
      </c>
      <c r="CG73" s="275">
        <v>1</v>
      </c>
      <c r="CH73" s="4">
        <v>1</v>
      </c>
      <c r="CI73" s="275">
        <v>1</v>
      </c>
      <c r="CJ73" s="275">
        <v>1</v>
      </c>
      <c r="CK73" s="275">
        <v>1</v>
      </c>
      <c r="CL73" s="275">
        <v>1</v>
      </c>
      <c r="CM73" s="275">
        <v>1</v>
      </c>
      <c r="CN73" s="275">
        <v>1</v>
      </c>
      <c r="CO73" s="275">
        <v>1</v>
      </c>
      <c r="CP73" s="275">
        <v>1</v>
      </c>
      <c r="CQ73" s="133">
        <v>0.1</v>
      </c>
      <c r="CR73" s="133">
        <v>0.1</v>
      </c>
      <c r="CS73" s="275">
        <v>1</v>
      </c>
      <c r="CT73" s="275">
        <v>1</v>
      </c>
      <c r="CU73" s="275">
        <v>1</v>
      </c>
      <c r="CV73" s="275">
        <v>1</v>
      </c>
      <c r="CW73" s="133">
        <v>0.1</v>
      </c>
      <c r="CX73" s="275">
        <v>1</v>
      </c>
      <c r="CY73" s="275">
        <v>1</v>
      </c>
      <c r="CZ73" s="275">
        <v>1</v>
      </c>
      <c r="DA73" s="133">
        <v>1</v>
      </c>
      <c r="DB73" s="275">
        <v>0.1</v>
      </c>
      <c r="DC73" s="133">
        <v>1</v>
      </c>
      <c r="DD73" s="133">
        <v>1</v>
      </c>
      <c r="DE73" s="133">
        <v>1</v>
      </c>
      <c r="DF73" s="133">
        <v>1</v>
      </c>
      <c r="DG73" s="133">
        <v>1</v>
      </c>
      <c r="DH73" s="133">
        <v>1</v>
      </c>
      <c r="DI73" s="133">
        <v>1</v>
      </c>
      <c r="DJ73" s="133">
        <v>1</v>
      </c>
      <c r="DK73" s="133">
        <v>1</v>
      </c>
      <c r="DL73" s="133">
        <v>1</v>
      </c>
      <c r="DM73" s="275">
        <v>1</v>
      </c>
      <c r="DN73" s="275">
        <v>1</v>
      </c>
      <c r="DO73" s="275">
        <v>1</v>
      </c>
      <c r="DP73" s="275">
        <v>1</v>
      </c>
      <c r="DQ73" s="275">
        <v>1</v>
      </c>
    </row>
    <row r="74" spans="2:121" ht="14.25" customHeight="1" x14ac:dyDescent="0.3">
      <c r="B74" s="108">
        <v>0.72916666666666696</v>
      </c>
      <c r="D74" s="4">
        <v>1</v>
      </c>
      <c r="E74" s="133">
        <v>0.1</v>
      </c>
      <c r="F74" s="275">
        <v>1</v>
      </c>
      <c r="G74" s="275">
        <v>1</v>
      </c>
      <c r="H74" s="275">
        <v>1</v>
      </c>
      <c r="I74" s="133">
        <v>1</v>
      </c>
      <c r="J74" s="133">
        <v>0.1</v>
      </c>
      <c r="K74" s="4">
        <v>1</v>
      </c>
      <c r="L74" s="4">
        <v>1</v>
      </c>
      <c r="M74" s="275">
        <v>1</v>
      </c>
      <c r="N74" s="275">
        <v>1</v>
      </c>
      <c r="O74" s="275">
        <v>1</v>
      </c>
      <c r="P74" s="133">
        <v>0.1</v>
      </c>
      <c r="Q74" s="275">
        <v>1</v>
      </c>
      <c r="R74" s="275">
        <v>1</v>
      </c>
      <c r="S74" s="275">
        <v>1</v>
      </c>
      <c r="T74" s="275">
        <v>1</v>
      </c>
      <c r="U74" s="275">
        <v>1</v>
      </c>
      <c r="V74" s="275">
        <v>1</v>
      </c>
      <c r="W74" s="275">
        <v>1</v>
      </c>
      <c r="X74" s="275">
        <v>0.1</v>
      </c>
      <c r="Y74" s="275">
        <v>0.1</v>
      </c>
      <c r="Z74" s="275">
        <v>1</v>
      </c>
      <c r="AA74" s="133">
        <v>0.1</v>
      </c>
      <c r="AB74" s="275">
        <v>1</v>
      </c>
      <c r="AC74" s="133">
        <v>0.1</v>
      </c>
      <c r="AD74" s="275">
        <v>0.1</v>
      </c>
      <c r="AE74" s="133">
        <v>0.1</v>
      </c>
      <c r="AF74" s="133">
        <v>0.1</v>
      </c>
      <c r="AG74" s="4">
        <v>0.1</v>
      </c>
      <c r="AH74" s="275">
        <v>1</v>
      </c>
      <c r="AI74" s="4">
        <v>0.1</v>
      </c>
      <c r="AJ74" s="133">
        <v>0.1</v>
      </c>
      <c r="AK74" s="275">
        <v>1</v>
      </c>
      <c r="AL74" s="275">
        <v>1</v>
      </c>
      <c r="AM74" s="275">
        <v>1</v>
      </c>
      <c r="AN74" s="275">
        <v>1</v>
      </c>
      <c r="AO74" s="275">
        <v>1</v>
      </c>
      <c r="AP74" s="133">
        <v>0.1</v>
      </c>
      <c r="AQ74" s="133">
        <v>0.1</v>
      </c>
      <c r="AR74" s="133">
        <v>0.1</v>
      </c>
      <c r="AS74" s="275">
        <v>1</v>
      </c>
      <c r="AT74" s="275">
        <v>1</v>
      </c>
      <c r="AU74" s="275">
        <v>1</v>
      </c>
      <c r="AV74" s="275">
        <v>1</v>
      </c>
      <c r="AW74" s="275">
        <v>1</v>
      </c>
      <c r="AX74" s="275">
        <v>1</v>
      </c>
      <c r="AY74" s="275">
        <v>1</v>
      </c>
      <c r="AZ74" s="275">
        <v>1</v>
      </c>
      <c r="BA74" s="275">
        <v>1</v>
      </c>
      <c r="BB74" s="275">
        <v>1</v>
      </c>
      <c r="BC74" s="275">
        <v>1</v>
      </c>
      <c r="BD74" s="4">
        <v>1</v>
      </c>
      <c r="BE74" s="275">
        <v>1</v>
      </c>
      <c r="BF74" s="133">
        <v>0.1</v>
      </c>
      <c r="BG74" s="275">
        <v>1</v>
      </c>
      <c r="BH74" s="275">
        <v>1</v>
      </c>
      <c r="BI74" s="275">
        <v>1</v>
      </c>
      <c r="BJ74" s="275">
        <v>1</v>
      </c>
      <c r="BK74" s="4">
        <v>1</v>
      </c>
      <c r="BL74" s="4">
        <v>1</v>
      </c>
      <c r="BM74" s="4">
        <v>1</v>
      </c>
      <c r="BN74" s="133">
        <v>0.1</v>
      </c>
      <c r="BO74" s="275">
        <v>1</v>
      </c>
      <c r="BP74" s="133">
        <v>1</v>
      </c>
      <c r="BQ74" s="275">
        <v>1</v>
      </c>
      <c r="BR74" s="4">
        <v>1</v>
      </c>
      <c r="BS74" s="275">
        <v>1</v>
      </c>
      <c r="BT74" s="275">
        <v>1</v>
      </c>
      <c r="BU74" s="275">
        <v>1</v>
      </c>
      <c r="BV74" s="275">
        <v>1</v>
      </c>
      <c r="BW74" s="133">
        <v>0.1</v>
      </c>
      <c r="BX74" s="275">
        <v>1</v>
      </c>
      <c r="BY74" s="275">
        <v>1</v>
      </c>
      <c r="BZ74" s="133">
        <v>1</v>
      </c>
      <c r="CA74" s="133">
        <v>1</v>
      </c>
      <c r="CB74" s="133">
        <v>1</v>
      </c>
      <c r="CC74" s="133">
        <v>0.1</v>
      </c>
      <c r="CD74" s="275">
        <v>1</v>
      </c>
      <c r="CE74" s="275">
        <v>1</v>
      </c>
      <c r="CF74" s="133">
        <v>0.1</v>
      </c>
      <c r="CG74" s="275">
        <v>1</v>
      </c>
      <c r="CH74" s="4">
        <v>1</v>
      </c>
      <c r="CI74" s="275">
        <v>1</v>
      </c>
      <c r="CJ74" s="275">
        <v>1</v>
      </c>
      <c r="CK74" s="275">
        <v>1</v>
      </c>
      <c r="CL74" s="275">
        <v>1</v>
      </c>
      <c r="CM74" s="275">
        <v>1</v>
      </c>
      <c r="CN74" s="275">
        <v>1</v>
      </c>
      <c r="CO74" s="275">
        <v>1</v>
      </c>
      <c r="CP74" s="275">
        <v>1</v>
      </c>
      <c r="CQ74" s="133">
        <v>0.1</v>
      </c>
      <c r="CR74" s="133">
        <v>0.1</v>
      </c>
      <c r="CS74" s="275">
        <v>1</v>
      </c>
      <c r="CT74" s="275">
        <v>1</v>
      </c>
      <c r="CU74" s="275">
        <v>1</v>
      </c>
      <c r="CV74" s="275">
        <v>1</v>
      </c>
      <c r="CW74" s="133">
        <v>0.1</v>
      </c>
      <c r="CX74" s="275">
        <v>1</v>
      </c>
      <c r="CY74" s="275">
        <v>1</v>
      </c>
      <c r="CZ74" s="275">
        <v>1</v>
      </c>
      <c r="DA74" s="133">
        <v>1</v>
      </c>
      <c r="DB74" s="275">
        <v>0.1</v>
      </c>
      <c r="DC74" s="133">
        <v>1</v>
      </c>
      <c r="DD74" s="133">
        <v>1</v>
      </c>
      <c r="DE74" s="133">
        <v>1</v>
      </c>
      <c r="DF74" s="133">
        <v>1</v>
      </c>
      <c r="DG74" s="133">
        <v>1</v>
      </c>
      <c r="DH74" s="133">
        <v>1</v>
      </c>
      <c r="DI74" s="133">
        <v>1</v>
      </c>
      <c r="DJ74" s="133">
        <v>1</v>
      </c>
      <c r="DK74" s="133">
        <v>1</v>
      </c>
      <c r="DL74" s="133">
        <v>1</v>
      </c>
      <c r="DM74" s="275">
        <v>1</v>
      </c>
      <c r="DN74" s="275">
        <v>1</v>
      </c>
      <c r="DO74" s="275">
        <v>1</v>
      </c>
      <c r="DP74" s="275">
        <v>1</v>
      </c>
      <c r="DQ74" s="275">
        <v>1</v>
      </c>
    </row>
    <row r="75" spans="2:121" ht="14.25" customHeight="1" x14ac:dyDescent="0.3">
      <c r="B75" s="108">
        <v>0.73958333333333304</v>
      </c>
      <c r="D75" s="4">
        <v>1</v>
      </c>
      <c r="E75" s="133">
        <v>1</v>
      </c>
      <c r="F75" s="275">
        <v>1</v>
      </c>
      <c r="G75" s="275">
        <v>1</v>
      </c>
      <c r="H75" s="275">
        <v>1</v>
      </c>
      <c r="I75" s="133">
        <v>1</v>
      </c>
      <c r="J75" s="133">
        <v>1</v>
      </c>
      <c r="K75" s="4">
        <v>1</v>
      </c>
      <c r="L75" s="4">
        <v>1</v>
      </c>
      <c r="M75" s="275">
        <v>1</v>
      </c>
      <c r="N75" s="275">
        <v>1</v>
      </c>
      <c r="O75" s="275">
        <v>1</v>
      </c>
      <c r="P75" s="133">
        <v>0.1</v>
      </c>
      <c r="Q75" s="275">
        <v>1</v>
      </c>
      <c r="R75" s="275">
        <v>1</v>
      </c>
      <c r="S75" s="275">
        <v>1</v>
      </c>
      <c r="T75" s="275">
        <v>1</v>
      </c>
      <c r="U75" s="275">
        <v>1</v>
      </c>
      <c r="V75" s="275">
        <v>1</v>
      </c>
      <c r="W75" s="275">
        <v>1</v>
      </c>
      <c r="X75" s="275">
        <v>0.1</v>
      </c>
      <c r="Y75" s="275">
        <v>0.1</v>
      </c>
      <c r="Z75" s="275">
        <v>1</v>
      </c>
      <c r="AA75" s="133">
        <v>1</v>
      </c>
      <c r="AB75" s="275">
        <v>1</v>
      </c>
      <c r="AC75" s="133">
        <v>1</v>
      </c>
      <c r="AD75" s="275">
        <v>1</v>
      </c>
      <c r="AE75" s="133">
        <v>1</v>
      </c>
      <c r="AF75" s="133">
        <v>1</v>
      </c>
      <c r="AG75" s="4">
        <v>0.1</v>
      </c>
      <c r="AH75" s="275">
        <v>1</v>
      </c>
      <c r="AI75" s="4">
        <v>0.1</v>
      </c>
      <c r="AJ75" s="133">
        <v>0.1</v>
      </c>
      <c r="AK75" s="275">
        <v>1</v>
      </c>
      <c r="AL75" s="275">
        <v>1</v>
      </c>
      <c r="AM75" s="275">
        <v>1</v>
      </c>
      <c r="AN75" s="275">
        <v>1</v>
      </c>
      <c r="AO75" s="275">
        <v>1</v>
      </c>
      <c r="AP75" s="133">
        <v>1</v>
      </c>
      <c r="AQ75" s="133">
        <v>1</v>
      </c>
      <c r="AR75" s="133">
        <v>1</v>
      </c>
      <c r="AS75" s="275">
        <v>1</v>
      </c>
      <c r="AT75" s="275">
        <v>1</v>
      </c>
      <c r="AU75" s="275">
        <v>1</v>
      </c>
      <c r="AV75" s="275">
        <v>1</v>
      </c>
      <c r="AW75" s="275">
        <v>1</v>
      </c>
      <c r="AX75" s="275">
        <v>1</v>
      </c>
      <c r="AY75" s="275">
        <v>1</v>
      </c>
      <c r="AZ75" s="275">
        <v>1</v>
      </c>
      <c r="BA75" s="275">
        <v>1</v>
      </c>
      <c r="BB75" s="275">
        <v>1</v>
      </c>
      <c r="BC75" s="275">
        <v>1</v>
      </c>
      <c r="BD75" s="4">
        <v>1</v>
      </c>
      <c r="BE75" s="275">
        <v>1</v>
      </c>
      <c r="BF75" s="133">
        <v>1</v>
      </c>
      <c r="BG75" s="275">
        <v>1</v>
      </c>
      <c r="BH75" s="275">
        <v>1</v>
      </c>
      <c r="BI75" s="275">
        <v>1</v>
      </c>
      <c r="BJ75" s="275">
        <v>1</v>
      </c>
      <c r="BK75" s="4">
        <v>1</v>
      </c>
      <c r="BL75" s="4">
        <v>1</v>
      </c>
      <c r="BM75" s="4">
        <v>1</v>
      </c>
      <c r="BN75" s="133">
        <v>1</v>
      </c>
      <c r="BO75" s="275">
        <v>1</v>
      </c>
      <c r="BP75" s="133">
        <v>1</v>
      </c>
      <c r="BQ75" s="275">
        <v>1</v>
      </c>
      <c r="BR75" s="4">
        <v>1</v>
      </c>
      <c r="BS75" s="275">
        <v>1</v>
      </c>
      <c r="BT75" s="275">
        <v>1</v>
      </c>
      <c r="BU75" s="275">
        <v>1</v>
      </c>
      <c r="BV75" s="275">
        <v>1</v>
      </c>
      <c r="BW75" s="133">
        <v>1</v>
      </c>
      <c r="BX75" s="275">
        <v>1</v>
      </c>
      <c r="BY75" s="275">
        <v>1</v>
      </c>
      <c r="BZ75" s="133">
        <v>1</v>
      </c>
      <c r="CA75" s="133">
        <v>1</v>
      </c>
      <c r="CB75" s="133">
        <v>1</v>
      </c>
      <c r="CC75" s="133">
        <v>1</v>
      </c>
      <c r="CD75" s="275">
        <v>1</v>
      </c>
      <c r="CE75" s="275">
        <v>1</v>
      </c>
      <c r="CF75" s="133">
        <v>1</v>
      </c>
      <c r="CG75" s="275">
        <v>1</v>
      </c>
      <c r="CH75" s="4">
        <v>1</v>
      </c>
      <c r="CI75" s="275">
        <v>1</v>
      </c>
      <c r="CJ75" s="275">
        <v>1</v>
      </c>
      <c r="CK75" s="275">
        <v>1</v>
      </c>
      <c r="CL75" s="275">
        <v>1</v>
      </c>
      <c r="CM75" s="275">
        <v>1</v>
      </c>
      <c r="CN75" s="275">
        <v>1</v>
      </c>
      <c r="CO75" s="275">
        <v>1</v>
      </c>
      <c r="CP75" s="275">
        <v>1</v>
      </c>
      <c r="CQ75" s="133">
        <v>1</v>
      </c>
      <c r="CR75" s="133">
        <v>1</v>
      </c>
      <c r="CS75" s="275">
        <v>1</v>
      </c>
      <c r="CT75" s="275">
        <v>1</v>
      </c>
      <c r="CU75" s="275">
        <v>1</v>
      </c>
      <c r="CV75" s="275">
        <v>1</v>
      </c>
      <c r="CW75" s="133">
        <v>1</v>
      </c>
      <c r="CX75" s="275">
        <v>0.1</v>
      </c>
      <c r="CY75" s="275">
        <v>1</v>
      </c>
      <c r="CZ75" s="275">
        <v>1</v>
      </c>
      <c r="DA75" s="133">
        <v>1</v>
      </c>
      <c r="DB75" s="275">
        <v>0.1</v>
      </c>
      <c r="DC75" s="133">
        <v>1</v>
      </c>
      <c r="DD75" s="133">
        <v>1</v>
      </c>
      <c r="DE75" s="133">
        <v>1</v>
      </c>
      <c r="DF75" s="133">
        <v>1</v>
      </c>
      <c r="DG75" s="133">
        <v>1</v>
      </c>
      <c r="DH75" s="133">
        <v>1</v>
      </c>
      <c r="DI75" s="133">
        <v>1</v>
      </c>
      <c r="DJ75" s="133">
        <v>1</v>
      </c>
      <c r="DK75" s="133">
        <v>1</v>
      </c>
      <c r="DL75" s="133">
        <v>1</v>
      </c>
      <c r="DM75" s="275">
        <v>1</v>
      </c>
      <c r="DN75" s="275">
        <v>1</v>
      </c>
      <c r="DO75" s="275">
        <v>1</v>
      </c>
      <c r="DP75" s="275">
        <v>1</v>
      </c>
      <c r="DQ75" s="275">
        <v>1</v>
      </c>
    </row>
    <row r="76" spans="2:121" ht="14.25" customHeight="1" x14ac:dyDescent="0.3">
      <c r="B76" s="108">
        <v>0.75</v>
      </c>
      <c r="D76" s="4">
        <v>1</v>
      </c>
      <c r="E76" s="133">
        <v>1</v>
      </c>
      <c r="F76" s="275">
        <v>1</v>
      </c>
      <c r="G76" s="275">
        <v>1</v>
      </c>
      <c r="H76" s="275">
        <v>1</v>
      </c>
      <c r="I76" s="4">
        <v>0.1</v>
      </c>
      <c r="J76" s="133">
        <v>1</v>
      </c>
      <c r="K76" s="4">
        <v>1</v>
      </c>
      <c r="L76" s="4">
        <v>1</v>
      </c>
      <c r="M76" s="275">
        <v>1</v>
      </c>
      <c r="N76" s="275">
        <v>1</v>
      </c>
      <c r="O76" s="275">
        <v>1</v>
      </c>
      <c r="P76" s="133">
        <v>0.1</v>
      </c>
      <c r="Q76" s="275">
        <v>1</v>
      </c>
      <c r="R76" s="275">
        <v>1</v>
      </c>
      <c r="S76" s="275">
        <v>1</v>
      </c>
      <c r="T76" s="275">
        <v>1</v>
      </c>
      <c r="U76" s="275">
        <v>1</v>
      </c>
      <c r="V76" s="275">
        <v>1</v>
      </c>
      <c r="W76" s="275">
        <v>1</v>
      </c>
      <c r="X76" s="275">
        <v>0.1</v>
      </c>
      <c r="Y76" s="275">
        <v>0.1</v>
      </c>
      <c r="Z76" s="275">
        <v>1</v>
      </c>
      <c r="AA76" s="133">
        <v>1</v>
      </c>
      <c r="AB76" s="275">
        <v>1</v>
      </c>
      <c r="AC76" s="133">
        <v>1</v>
      </c>
      <c r="AD76" s="275">
        <v>1</v>
      </c>
      <c r="AE76" s="133">
        <v>1</v>
      </c>
      <c r="AF76" s="133">
        <v>1</v>
      </c>
      <c r="AG76" s="4">
        <v>0.1</v>
      </c>
      <c r="AH76" s="275">
        <v>1</v>
      </c>
      <c r="AI76" s="4">
        <v>0.1</v>
      </c>
      <c r="AJ76" s="133">
        <v>0.1</v>
      </c>
      <c r="AK76" s="275">
        <v>1</v>
      </c>
      <c r="AL76" s="275">
        <v>1</v>
      </c>
      <c r="AM76" s="275">
        <v>1</v>
      </c>
      <c r="AN76" s="275">
        <v>1</v>
      </c>
      <c r="AO76" s="275">
        <v>1</v>
      </c>
      <c r="AP76" s="133">
        <v>1</v>
      </c>
      <c r="AQ76" s="133">
        <v>1</v>
      </c>
      <c r="AR76" s="133">
        <v>1</v>
      </c>
      <c r="AS76" s="275">
        <v>1</v>
      </c>
      <c r="AT76" s="275">
        <v>1</v>
      </c>
      <c r="AU76" s="275">
        <v>1</v>
      </c>
      <c r="AV76" s="275">
        <v>1</v>
      </c>
      <c r="AW76" s="275">
        <v>1</v>
      </c>
      <c r="AX76" s="275">
        <v>1</v>
      </c>
      <c r="AY76" s="275">
        <v>1</v>
      </c>
      <c r="AZ76" s="275">
        <v>1</v>
      </c>
      <c r="BA76" s="275">
        <v>1</v>
      </c>
      <c r="BB76" s="275">
        <v>1</v>
      </c>
      <c r="BC76" s="275">
        <v>1</v>
      </c>
      <c r="BD76" s="4">
        <v>1</v>
      </c>
      <c r="BE76" s="275">
        <v>1</v>
      </c>
      <c r="BF76" s="133">
        <v>1</v>
      </c>
      <c r="BG76" s="275">
        <v>1</v>
      </c>
      <c r="BH76" s="275">
        <v>1</v>
      </c>
      <c r="BI76" s="275">
        <v>1</v>
      </c>
      <c r="BJ76" s="275">
        <v>1</v>
      </c>
      <c r="BK76" s="4">
        <v>1</v>
      </c>
      <c r="BL76" s="4">
        <v>1</v>
      </c>
      <c r="BM76" s="4">
        <v>1</v>
      </c>
      <c r="BN76" s="133">
        <v>1</v>
      </c>
      <c r="BO76" s="275">
        <v>0.1</v>
      </c>
      <c r="BP76" s="4">
        <v>0.1</v>
      </c>
      <c r="BQ76" s="275">
        <v>1</v>
      </c>
      <c r="BR76" s="4">
        <v>1</v>
      </c>
      <c r="BS76" s="275">
        <v>1</v>
      </c>
      <c r="BT76" s="275">
        <v>1</v>
      </c>
      <c r="BU76" s="275">
        <v>1</v>
      </c>
      <c r="BV76" s="275">
        <v>1</v>
      </c>
      <c r="BW76" s="133">
        <v>1</v>
      </c>
      <c r="BX76" s="275">
        <v>1</v>
      </c>
      <c r="BY76" s="275">
        <v>1</v>
      </c>
      <c r="BZ76" s="4">
        <v>0.1</v>
      </c>
      <c r="CA76" s="4">
        <v>0.1</v>
      </c>
      <c r="CB76" s="4">
        <v>0.1</v>
      </c>
      <c r="CC76" s="133">
        <v>1</v>
      </c>
      <c r="CD76" s="275">
        <v>1</v>
      </c>
      <c r="CE76" s="275">
        <v>1</v>
      </c>
      <c r="CF76" s="133">
        <v>1</v>
      </c>
      <c r="CG76" s="275">
        <v>1</v>
      </c>
      <c r="CH76" s="4">
        <v>1</v>
      </c>
      <c r="CI76" s="275">
        <v>1</v>
      </c>
      <c r="CJ76" s="275">
        <v>1</v>
      </c>
      <c r="CK76" s="275">
        <v>1</v>
      </c>
      <c r="CL76" s="275">
        <v>1</v>
      </c>
      <c r="CM76" s="275">
        <v>1</v>
      </c>
      <c r="CN76" s="275">
        <v>1</v>
      </c>
      <c r="CO76" s="275">
        <v>1</v>
      </c>
      <c r="CP76" s="275">
        <v>1</v>
      </c>
      <c r="CQ76" s="133">
        <v>1</v>
      </c>
      <c r="CR76" s="133">
        <v>1</v>
      </c>
      <c r="CS76" s="275">
        <v>1</v>
      </c>
      <c r="CT76" s="275">
        <v>1</v>
      </c>
      <c r="CU76" s="275">
        <v>1</v>
      </c>
      <c r="CV76" s="275">
        <v>1</v>
      </c>
      <c r="CW76" s="133">
        <v>1</v>
      </c>
      <c r="CX76" s="275">
        <v>0.1</v>
      </c>
      <c r="CY76" s="275">
        <v>1</v>
      </c>
      <c r="CZ76" s="275">
        <v>1</v>
      </c>
      <c r="DA76" s="133">
        <v>1</v>
      </c>
      <c r="DB76" s="275">
        <v>0.1</v>
      </c>
      <c r="DC76" s="133">
        <v>1</v>
      </c>
      <c r="DD76" s="133">
        <v>1</v>
      </c>
      <c r="DE76" s="133">
        <v>1</v>
      </c>
      <c r="DF76" s="133">
        <v>1</v>
      </c>
      <c r="DG76" s="133">
        <v>1</v>
      </c>
      <c r="DH76" s="133">
        <v>1</v>
      </c>
      <c r="DI76" s="133">
        <v>1</v>
      </c>
      <c r="DJ76" s="133">
        <v>1</v>
      </c>
      <c r="DK76" s="133">
        <v>1</v>
      </c>
      <c r="DL76" s="133">
        <v>1</v>
      </c>
      <c r="DM76" s="275">
        <v>1</v>
      </c>
      <c r="DN76" s="275">
        <v>1</v>
      </c>
      <c r="DO76" s="275">
        <v>1</v>
      </c>
      <c r="DP76" s="275">
        <v>1</v>
      </c>
      <c r="DQ76" s="275">
        <v>1</v>
      </c>
    </row>
    <row r="77" spans="2:121" ht="14.25" customHeight="1" x14ac:dyDescent="0.3">
      <c r="B77" s="108">
        <v>0.76041666666666696</v>
      </c>
      <c r="D77" s="4">
        <v>1</v>
      </c>
      <c r="E77" s="133">
        <v>1</v>
      </c>
      <c r="F77" s="275">
        <v>1</v>
      </c>
      <c r="G77" s="275">
        <v>1</v>
      </c>
      <c r="H77" s="275">
        <v>1</v>
      </c>
      <c r="I77" s="4">
        <v>0.1</v>
      </c>
      <c r="J77" s="133">
        <v>1</v>
      </c>
      <c r="K77" s="4">
        <v>1</v>
      </c>
      <c r="L77" s="4">
        <v>1</v>
      </c>
      <c r="M77" s="275">
        <v>1</v>
      </c>
      <c r="N77" s="275">
        <v>1</v>
      </c>
      <c r="O77" s="275">
        <v>1</v>
      </c>
      <c r="P77" s="133">
        <v>0.1</v>
      </c>
      <c r="Q77" s="275">
        <v>1</v>
      </c>
      <c r="R77" s="275">
        <v>1</v>
      </c>
      <c r="S77" s="275">
        <v>1</v>
      </c>
      <c r="T77" s="275">
        <v>1</v>
      </c>
      <c r="U77" s="275">
        <v>1</v>
      </c>
      <c r="V77" s="275">
        <v>1</v>
      </c>
      <c r="W77" s="275">
        <v>1</v>
      </c>
      <c r="X77" s="275">
        <v>0.1</v>
      </c>
      <c r="Y77" s="275">
        <v>0.1</v>
      </c>
      <c r="Z77" s="275">
        <v>1</v>
      </c>
      <c r="AA77" s="133">
        <v>1</v>
      </c>
      <c r="AB77" s="275">
        <v>1</v>
      </c>
      <c r="AC77" s="133">
        <v>1</v>
      </c>
      <c r="AD77" s="275">
        <v>1</v>
      </c>
      <c r="AE77" s="133">
        <v>1</v>
      </c>
      <c r="AF77" s="133">
        <v>1</v>
      </c>
      <c r="AG77" s="4">
        <v>0.1</v>
      </c>
      <c r="AH77" s="275">
        <v>1</v>
      </c>
      <c r="AI77" s="4">
        <v>0.1</v>
      </c>
      <c r="AJ77" s="133">
        <v>0.1</v>
      </c>
      <c r="AK77" s="275">
        <v>1</v>
      </c>
      <c r="AL77" s="275">
        <v>1</v>
      </c>
      <c r="AM77" s="275">
        <v>1</v>
      </c>
      <c r="AN77" s="275">
        <v>1</v>
      </c>
      <c r="AO77" s="275">
        <v>1</v>
      </c>
      <c r="AP77" s="133">
        <v>1</v>
      </c>
      <c r="AQ77" s="133">
        <v>1</v>
      </c>
      <c r="AR77" s="133">
        <v>1</v>
      </c>
      <c r="AS77" s="275">
        <v>1</v>
      </c>
      <c r="AT77" s="275">
        <v>1</v>
      </c>
      <c r="AU77" s="275">
        <v>1</v>
      </c>
      <c r="AV77" s="275">
        <v>1</v>
      </c>
      <c r="AW77" s="275">
        <v>1</v>
      </c>
      <c r="AX77" s="275">
        <v>1</v>
      </c>
      <c r="AY77" s="275">
        <v>1</v>
      </c>
      <c r="AZ77" s="275">
        <v>1</v>
      </c>
      <c r="BA77" s="275">
        <v>1</v>
      </c>
      <c r="BB77" s="275">
        <v>1</v>
      </c>
      <c r="BC77" s="275">
        <v>1</v>
      </c>
      <c r="BD77" s="4">
        <v>1</v>
      </c>
      <c r="BE77" s="275">
        <v>1</v>
      </c>
      <c r="BF77" s="133">
        <v>1</v>
      </c>
      <c r="BG77" s="275">
        <v>1</v>
      </c>
      <c r="BH77" s="275">
        <v>1</v>
      </c>
      <c r="BI77" s="275">
        <v>1</v>
      </c>
      <c r="BJ77" s="275">
        <v>1</v>
      </c>
      <c r="BK77" s="4">
        <v>1</v>
      </c>
      <c r="BL77" s="4">
        <v>1</v>
      </c>
      <c r="BM77" s="4">
        <v>1</v>
      </c>
      <c r="BN77" s="133">
        <v>1</v>
      </c>
      <c r="BO77" s="275">
        <v>0.1</v>
      </c>
      <c r="BP77" s="4">
        <v>0.1</v>
      </c>
      <c r="BQ77" s="275">
        <v>1</v>
      </c>
      <c r="BR77" s="4">
        <v>1</v>
      </c>
      <c r="BS77" s="275">
        <v>1</v>
      </c>
      <c r="BT77" s="275">
        <v>1</v>
      </c>
      <c r="BU77" s="275">
        <v>1</v>
      </c>
      <c r="BV77" s="275">
        <v>1</v>
      </c>
      <c r="BW77" s="133">
        <v>1</v>
      </c>
      <c r="BX77" s="275">
        <v>1</v>
      </c>
      <c r="BY77" s="275">
        <v>1</v>
      </c>
      <c r="BZ77" s="4">
        <v>0.1</v>
      </c>
      <c r="CA77" s="4">
        <v>0.1</v>
      </c>
      <c r="CB77" s="4">
        <v>0.1</v>
      </c>
      <c r="CC77" s="133">
        <v>1</v>
      </c>
      <c r="CD77" s="275">
        <v>1</v>
      </c>
      <c r="CE77" s="275">
        <v>1</v>
      </c>
      <c r="CF77" s="133">
        <v>1</v>
      </c>
      <c r="CG77" s="275">
        <v>1</v>
      </c>
      <c r="CH77" s="4">
        <v>1</v>
      </c>
      <c r="CI77" s="275">
        <v>1</v>
      </c>
      <c r="CJ77" s="275">
        <v>1</v>
      </c>
      <c r="CK77" s="275">
        <v>1</v>
      </c>
      <c r="CL77" s="275">
        <v>1</v>
      </c>
      <c r="CM77" s="275">
        <v>1</v>
      </c>
      <c r="CN77" s="275">
        <v>1</v>
      </c>
      <c r="CO77" s="275">
        <v>1</v>
      </c>
      <c r="CP77" s="275">
        <v>1</v>
      </c>
      <c r="CQ77" s="133">
        <v>1</v>
      </c>
      <c r="CR77" s="133">
        <v>1</v>
      </c>
      <c r="CS77" s="275">
        <v>1</v>
      </c>
      <c r="CT77" s="275">
        <v>1</v>
      </c>
      <c r="CU77" s="275">
        <v>1</v>
      </c>
      <c r="CV77" s="275">
        <v>1</v>
      </c>
      <c r="CW77" s="133">
        <v>1</v>
      </c>
      <c r="CX77" s="275">
        <v>0.1</v>
      </c>
      <c r="CY77" s="275">
        <v>1</v>
      </c>
      <c r="CZ77" s="275">
        <v>1</v>
      </c>
      <c r="DA77" s="133">
        <v>1</v>
      </c>
      <c r="DB77" s="275">
        <v>0.1</v>
      </c>
      <c r="DC77" s="133">
        <v>1</v>
      </c>
      <c r="DD77" s="133">
        <v>1</v>
      </c>
      <c r="DE77" s="133">
        <v>1</v>
      </c>
      <c r="DF77" s="133">
        <v>1</v>
      </c>
      <c r="DG77" s="133">
        <v>1</v>
      </c>
      <c r="DH77" s="133">
        <v>1</v>
      </c>
      <c r="DI77" s="133">
        <v>1</v>
      </c>
      <c r="DJ77" s="133">
        <v>1</v>
      </c>
      <c r="DK77" s="133">
        <v>1</v>
      </c>
      <c r="DL77" s="133">
        <v>1</v>
      </c>
      <c r="DM77" s="275">
        <v>1</v>
      </c>
      <c r="DN77" s="275">
        <v>1</v>
      </c>
      <c r="DO77" s="275">
        <v>1</v>
      </c>
      <c r="DP77" s="275">
        <v>1</v>
      </c>
      <c r="DQ77" s="275">
        <v>1</v>
      </c>
    </row>
    <row r="78" spans="2:121" ht="14.25" customHeight="1" x14ac:dyDescent="0.3">
      <c r="B78" s="108">
        <v>0.77083333333333304</v>
      </c>
      <c r="D78" s="4">
        <v>1</v>
      </c>
      <c r="E78" s="133">
        <v>1</v>
      </c>
      <c r="F78" s="275">
        <v>1</v>
      </c>
      <c r="G78" s="275">
        <v>1</v>
      </c>
      <c r="H78" s="275">
        <v>1</v>
      </c>
      <c r="I78" s="4">
        <v>1</v>
      </c>
      <c r="J78" s="133">
        <v>1</v>
      </c>
      <c r="K78" s="4">
        <v>1</v>
      </c>
      <c r="L78" s="4">
        <v>1</v>
      </c>
      <c r="M78" s="275">
        <v>1</v>
      </c>
      <c r="N78" s="275">
        <v>1</v>
      </c>
      <c r="O78" s="275">
        <v>1</v>
      </c>
      <c r="P78" s="133">
        <v>0.1</v>
      </c>
      <c r="Q78" s="275">
        <v>1</v>
      </c>
      <c r="R78" s="275">
        <v>1</v>
      </c>
      <c r="S78" s="275">
        <v>1</v>
      </c>
      <c r="T78" s="275">
        <v>1</v>
      </c>
      <c r="U78" s="275">
        <v>1</v>
      </c>
      <c r="V78" s="275">
        <v>1</v>
      </c>
      <c r="W78" s="275">
        <v>1</v>
      </c>
      <c r="X78" s="275">
        <v>0.1</v>
      </c>
      <c r="Y78" s="275">
        <v>0.1</v>
      </c>
      <c r="Z78" s="275">
        <v>1</v>
      </c>
      <c r="AA78" s="133">
        <v>1</v>
      </c>
      <c r="AB78" s="275">
        <v>1</v>
      </c>
      <c r="AC78" s="133">
        <v>1</v>
      </c>
      <c r="AD78" s="275">
        <v>1</v>
      </c>
      <c r="AE78" s="133">
        <v>1</v>
      </c>
      <c r="AF78" s="133">
        <v>1</v>
      </c>
      <c r="AG78" s="4">
        <v>1</v>
      </c>
      <c r="AH78" s="275">
        <v>1</v>
      </c>
      <c r="AI78" s="4">
        <v>0.1</v>
      </c>
      <c r="AJ78" s="133">
        <v>0.1</v>
      </c>
      <c r="AK78" s="275">
        <v>1</v>
      </c>
      <c r="AL78" s="275">
        <v>1</v>
      </c>
      <c r="AM78" s="275">
        <v>1</v>
      </c>
      <c r="AN78" s="275">
        <v>1</v>
      </c>
      <c r="AO78" s="275">
        <v>1</v>
      </c>
      <c r="AP78" s="133">
        <v>1</v>
      </c>
      <c r="AQ78" s="133">
        <v>1</v>
      </c>
      <c r="AR78" s="133">
        <v>1</v>
      </c>
      <c r="AS78" s="275">
        <v>1</v>
      </c>
      <c r="AT78" s="275">
        <v>1</v>
      </c>
      <c r="AU78" s="275">
        <v>1</v>
      </c>
      <c r="AV78" s="275">
        <v>1</v>
      </c>
      <c r="AW78" s="275">
        <v>1</v>
      </c>
      <c r="AX78" s="275">
        <v>1</v>
      </c>
      <c r="AY78" s="275">
        <v>1</v>
      </c>
      <c r="AZ78" s="275">
        <v>1</v>
      </c>
      <c r="BA78" s="275">
        <v>1</v>
      </c>
      <c r="BB78" s="275">
        <v>1</v>
      </c>
      <c r="BC78" s="275">
        <v>1</v>
      </c>
      <c r="BD78" s="4">
        <v>1</v>
      </c>
      <c r="BE78" s="275">
        <v>1</v>
      </c>
      <c r="BF78" s="133">
        <v>1</v>
      </c>
      <c r="BG78" s="275">
        <v>1</v>
      </c>
      <c r="BH78" s="275">
        <v>1</v>
      </c>
      <c r="BI78" s="275">
        <v>1</v>
      </c>
      <c r="BJ78" s="275">
        <v>1</v>
      </c>
      <c r="BK78" s="4">
        <v>1</v>
      </c>
      <c r="BL78" s="4">
        <v>1</v>
      </c>
      <c r="BM78" s="4">
        <v>1</v>
      </c>
      <c r="BN78" s="133">
        <v>1</v>
      </c>
      <c r="BO78" s="275">
        <v>0.1</v>
      </c>
      <c r="BP78" s="4">
        <v>1</v>
      </c>
      <c r="BQ78" s="275">
        <v>1</v>
      </c>
      <c r="BR78" s="4">
        <v>1</v>
      </c>
      <c r="BS78" s="275">
        <v>1</v>
      </c>
      <c r="BT78" s="275">
        <v>1</v>
      </c>
      <c r="BU78" s="275">
        <v>1</v>
      </c>
      <c r="BV78" s="275">
        <v>1</v>
      </c>
      <c r="BW78" s="133">
        <v>1</v>
      </c>
      <c r="BX78" s="275">
        <v>1</v>
      </c>
      <c r="BY78" s="275">
        <v>1</v>
      </c>
      <c r="BZ78" s="4">
        <v>1</v>
      </c>
      <c r="CA78" s="4">
        <v>1</v>
      </c>
      <c r="CB78" s="4">
        <v>1</v>
      </c>
      <c r="CC78" s="133">
        <v>1</v>
      </c>
      <c r="CD78" s="275">
        <v>1</v>
      </c>
      <c r="CE78" s="275">
        <v>1</v>
      </c>
      <c r="CF78" s="133">
        <v>1</v>
      </c>
      <c r="CG78" s="275">
        <v>1</v>
      </c>
      <c r="CH78" s="4">
        <v>1</v>
      </c>
      <c r="CI78" s="275">
        <v>1</v>
      </c>
      <c r="CJ78" s="275">
        <v>1</v>
      </c>
      <c r="CK78" s="275">
        <v>1</v>
      </c>
      <c r="CL78" s="275">
        <v>1</v>
      </c>
      <c r="CM78" s="275">
        <v>1</v>
      </c>
      <c r="CN78" s="275">
        <v>1</v>
      </c>
      <c r="CO78" s="275">
        <v>1</v>
      </c>
      <c r="CP78" s="275">
        <v>1</v>
      </c>
      <c r="CQ78" s="133">
        <v>1</v>
      </c>
      <c r="CR78" s="133">
        <v>1</v>
      </c>
      <c r="CS78" s="275">
        <v>1</v>
      </c>
      <c r="CT78" s="275">
        <v>1</v>
      </c>
      <c r="CU78" s="275">
        <v>1</v>
      </c>
      <c r="CV78" s="275">
        <v>1</v>
      </c>
      <c r="CW78" s="133">
        <v>1</v>
      </c>
      <c r="CX78" s="275">
        <v>0.1</v>
      </c>
      <c r="CY78" s="275">
        <v>1</v>
      </c>
      <c r="CZ78" s="275">
        <v>1</v>
      </c>
      <c r="DA78" s="133">
        <v>1</v>
      </c>
      <c r="DB78" s="275">
        <v>0.1</v>
      </c>
      <c r="DC78" s="133">
        <v>1</v>
      </c>
      <c r="DD78" s="133">
        <v>1</v>
      </c>
      <c r="DE78" s="133">
        <v>1</v>
      </c>
      <c r="DF78" s="133">
        <v>1</v>
      </c>
      <c r="DG78" s="133">
        <v>1</v>
      </c>
      <c r="DH78" s="133">
        <v>1</v>
      </c>
      <c r="DI78" s="133">
        <v>1</v>
      </c>
      <c r="DJ78" s="133">
        <v>1</v>
      </c>
      <c r="DK78" s="133">
        <v>1</v>
      </c>
      <c r="DL78" s="133">
        <v>1</v>
      </c>
      <c r="DM78" s="275">
        <v>1</v>
      </c>
      <c r="DN78" s="275">
        <v>1</v>
      </c>
      <c r="DO78" s="275">
        <v>1</v>
      </c>
      <c r="DP78" s="275">
        <v>1</v>
      </c>
      <c r="DQ78" s="275">
        <v>1</v>
      </c>
    </row>
    <row r="79" spans="2:121" ht="14.25" customHeight="1" x14ac:dyDescent="0.3">
      <c r="B79" s="108">
        <v>0.78125</v>
      </c>
      <c r="D79" s="4">
        <v>1</v>
      </c>
      <c r="E79" s="133">
        <v>1</v>
      </c>
      <c r="F79" s="275">
        <v>1</v>
      </c>
      <c r="G79" s="275">
        <v>1</v>
      </c>
      <c r="H79" s="275">
        <v>1</v>
      </c>
      <c r="I79" s="4">
        <v>1</v>
      </c>
      <c r="J79" s="133">
        <v>1</v>
      </c>
      <c r="K79" s="4">
        <v>1</v>
      </c>
      <c r="L79" s="4">
        <v>1</v>
      </c>
      <c r="M79" s="275">
        <v>1</v>
      </c>
      <c r="N79" s="275">
        <v>1</v>
      </c>
      <c r="O79" s="275">
        <v>1</v>
      </c>
      <c r="P79" s="133">
        <v>0.1</v>
      </c>
      <c r="Q79" s="275">
        <v>1</v>
      </c>
      <c r="R79" s="275">
        <v>1</v>
      </c>
      <c r="S79" s="275">
        <v>1</v>
      </c>
      <c r="T79" s="275">
        <v>1</v>
      </c>
      <c r="U79" s="275">
        <v>1</v>
      </c>
      <c r="V79" s="275">
        <v>1</v>
      </c>
      <c r="W79" s="275">
        <v>1</v>
      </c>
      <c r="X79" s="275">
        <v>0.1</v>
      </c>
      <c r="Y79" s="275">
        <v>0.1</v>
      </c>
      <c r="Z79" s="275">
        <v>1</v>
      </c>
      <c r="AA79" s="133">
        <v>1</v>
      </c>
      <c r="AB79" s="275">
        <v>1</v>
      </c>
      <c r="AC79" s="133">
        <v>1</v>
      </c>
      <c r="AD79" s="275">
        <v>1</v>
      </c>
      <c r="AE79" s="133">
        <v>1</v>
      </c>
      <c r="AF79" s="133">
        <v>1</v>
      </c>
      <c r="AG79" s="4">
        <v>1</v>
      </c>
      <c r="AH79" s="275">
        <v>1</v>
      </c>
      <c r="AI79" s="4">
        <v>0.1</v>
      </c>
      <c r="AJ79" s="133">
        <v>0.1</v>
      </c>
      <c r="AK79" s="275">
        <v>1</v>
      </c>
      <c r="AL79" s="275">
        <v>1</v>
      </c>
      <c r="AM79" s="275">
        <v>1</v>
      </c>
      <c r="AN79" s="275">
        <v>1</v>
      </c>
      <c r="AO79" s="275">
        <v>1</v>
      </c>
      <c r="AP79" s="133">
        <v>1</v>
      </c>
      <c r="AQ79" s="133">
        <v>1</v>
      </c>
      <c r="AR79" s="133">
        <v>1</v>
      </c>
      <c r="AS79" s="275">
        <v>1</v>
      </c>
      <c r="AT79" s="275">
        <v>1</v>
      </c>
      <c r="AU79" s="275">
        <v>1</v>
      </c>
      <c r="AV79" s="275">
        <v>1</v>
      </c>
      <c r="AW79" s="275">
        <v>1</v>
      </c>
      <c r="AX79" s="275">
        <v>1</v>
      </c>
      <c r="AY79" s="275">
        <v>1</v>
      </c>
      <c r="AZ79" s="275">
        <v>1</v>
      </c>
      <c r="BA79" s="275">
        <v>1</v>
      </c>
      <c r="BB79" s="275">
        <v>1</v>
      </c>
      <c r="BC79" s="275">
        <v>1</v>
      </c>
      <c r="BD79" s="4">
        <v>1</v>
      </c>
      <c r="BE79" s="275">
        <v>1</v>
      </c>
      <c r="BF79" s="133">
        <v>1</v>
      </c>
      <c r="BG79" s="275">
        <v>1</v>
      </c>
      <c r="BH79" s="275">
        <v>1</v>
      </c>
      <c r="BI79" s="275">
        <v>1</v>
      </c>
      <c r="BJ79" s="275">
        <v>1</v>
      </c>
      <c r="BK79" s="4">
        <v>1</v>
      </c>
      <c r="BL79" s="4">
        <v>1</v>
      </c>
      <c r="BM79" s="4">
        <v>1</v>
      </c>
      <c r="BN79" s="133">
        <v>1</v>
      </c>
      <c r="BO79" s="275">
        <v>0.1</v>
      </c>
      <c r="BP79" s="4">
        <v>1</v>
      </c>
      <c r="BQ79" s="275">
        <v>1</v>
      </c>
      <c r="BR79" s="4">
        <v>1</v>
      </c>
      <c r="BS79" s="275">
        <v>1</v>
      </c>
      <c r="BT79" s="275">
        <v>1</v>
      </c>
      <c r="BU79" s="275">
        <v>1</v>
      </c>
      <c r="BV79" s="275">
        <v>1</v>
      </c>
      <c r="BW79" s="133">
        <v>1</v>
      </c>
      <c r="BX79" s="275">
        <v>1</v>
      </c>
      <c r="BY79" s="275">
        <v>1</v>
      </c>
      <c r="BZ79" s="4">
        <v>1</v>
      </c>
      <c r="CA79" s="4">
        <v>1</v>
      </c>
      <c r="CB79" s="4">
        <v>1</v>
      </c>
      <c r="CC79" s="133">
        <v>1</v>
      </c>
      <c r="CD79" s="275">
        <v>1</v>
      </c>
      <c r="CE79" s="275">
        <v>1</v>
      </c>
      <c r="CF79" s="133">
        <v>1</v>
      </c>
      <c r="CG79" s="275">
        <v>1</v>
      </c>
      <c r="CH79" s="4">
        <v>1</v>
      </c>
      <c r="CI79" s="275">
        <v>1</v>
      </c>
      <c r="CJ79" s="275">
        <v>1</v>
      </c>
      <c r="CK79" s="275">
        <v>1</v>
      </c>
      <c r="CL79" s="275">
        <v>1</v>
      </c>
      <c r="CM79" s="275">
        <v>1</v>
      </c>
      <c r="CN79" s="275">
        <v>1</v>
      </c>
      <c r="CO79" s="275">
        <v>1</v>
      </c>
      <c r="CP79" s="275">
        <v>1</v>
      </c>
      <c r="CQ79" s="133">
        <v>1</v>
      </c>
      <c r="CR79" s="133">
        <v>1</v>
      </c>
      <c r="CS79" s="275">
        <v>1</v>
      </c>
      <c r="CT79" s="275">
        <v>1</v>
      </c>
      <c r="CU79" s="275">
        <v>1</v>
      </c>
      <c r="CV79" s="275">
        <v>1</v>
      </c>
      <c r="CW79" s="133">
        <v>1</v>
      </c>
      <c r="CX79" s="275">
        <v>0.1</v>
      </c>
      <c r="CY79" s="275">
        <v>1</v>
      </c>
      <c r="CZ79" s="275">
        <v>1</v>
      </c>
      <c r="DA79" s="133">
        <v>1</v>
      </c>
      <c r="DB79" s="275">
        <v>1</v>
      </c>
      <c r="DC79" s="133">
        <v>1</v>
      </c>
      <c r="DD79" s="133">
        <v>1</v>
      </c>
      <c r="DE79" s="133">
        <v>1</v>
      </c>
      <c r="DF79" s="133">
        <v>1</v>
      </c>
      <c r="DG79" s="133">
        <v>1</v>
      </c>
      <c r="DH79" s="133">
        <v>1</v>
      </c>
      <c r="DI79" s="133">
        <v>1</v>
      </c>
      <c r="DJ79" s="133">
        <v>1</v>
      </c>
      <c r="DK79" s="133">
        <v>1</v>
      </c>
      <c r="DL79" s="133">
        <v>1</v>
      </c>
      <c r="DM79" s="275">
        <v>1</v>
      </c>
      <c r="DN79" s="275">
        <v>1</v>
      </c>
      <c r="DO79" s="275">
        <v>1</v>
      </c>
      <c r="DP79" s="275">
        <v>1</v>
      </c>
      <c r="DQ79" s="275">
        <v>1</v>
      </c>
    </row>
    <row r="80" spans="2:121" ht="14.25" customHeight="1" x14ac:dyDescent="0.3">
      <c r="B80" s="108">
        <v>0.79166666666666696</v>
      </c>
      <c r="D80" s="4">
        <v>1</v>
      </c>
      <c r="E80" s="133">
        <v>1</v>
      </c>
      <c r="F80" s="275">
        <v>1</v>
      </c>
      <c r="G80" s="275">
        <v>1</v>
      </c>
      <c r="H80" s="275">
        <v>1</v>
      </c>
      <c r="I80" s="4">
        <v>0.1</v>
      </c>
      <c r="J80" s="133">
        <v>1</v>
      </c>
      <c r="K80" s="4">
        <v>1</v>
      </c>
      <c r="L80" s="4">
        <v>1</v>
      </c>
      <c r="M80" s="275">
        <v>1</v>
      </c>
      <c r="N80" s="275">
        <v>1</v>
      </c>
      <c r="O80" s="275">
        <v>1</v>
      </c>
      <c r="P80" s="133">
        <v>0.1</v>
      </c>
      <c r="Q80" s="275">
        <v>1</v>
      </c>
      <c r="R80" s="275">
        <v>1</v>
      </c>
      <c r="S80" s="275">
        <v>1</v>
      </c>
      <c r="T80" s="275">
        <v>1</v>
      </c>
      <c r="U80" s="275">
        <v>1</v>
      </c>
      <c r="V80" s="275">
        <v>1</v>
      </c>
      <c r="W80" s="275">
        <v>1</v>
      </c>
      <c r="X80" s="275">
        <v>0.1</v>
      </c>
      <c r="Y80" s="275">
        <v>0.1</v>
      </c>
      <c r="Z80" s="275">
        <v>1</v>
      </c>
      <c r="AA80" s="133">
        <v>1</v>
      </c>
      <c r="AB80" s="275">
        <v>1</v>
      </c>
      <c r="AC80" s="133">
        <v>1</v>
      </c>
      <c r="AD80" s="275">
        <v>1</v>
      </c>
      <c r="AE80" s="133">
        <v>1</v>
      </c>
      <c r="AF80" s="133">
        <v>1</v>
      </c>
      <c r="AG80" s="4">
        <v>1</v>
      </c>
      <c r="AH80" s="275">
        <v>1</v>
      </c>
      <c r="AI80" s="4">
        <v>0.1</v>
      </c>
      <c r="AJ80" s="133">
        <v>0.1</v>
      </c>
      <c r="AK80" s="275">
        <v>1</v>
      </c>
      <c r="AL80" s="275">
        <v>1</v>
      </c>
      <c r="AM80" s="275">
        <v>1</v>
      </c>
      <c r="AN80" s="275">
        <v>1</v>
      </c>
      <c r="AO80" s="275">
        <v>1</v>
      </c>
      <c r="AP80" s="133">
        <v>1</v>
      </c>
      <c r="AQ80" s="133">
        <v>1</v>
      </c>
      <c r="AR80" s="133">
        <v>1</v>
      </c>
      <c r="AS80" s="275">
        <v>1</v>
      </c>
      <c r="AT80" s="275">
        <v>1</v>
      </c>
      <c r="AU80" s="275">
        <v>1</v>
      </c>
      <c r="AV80" s="275">
        <v>1</v>
      </c>
      <c r="AW80" s="275">
        <v>1</v>
      </c>
      <c r="AX80" s="275">
        <v>1</v>
      </c>
      <c r="AY80" s="275">
        <v>1</v>
      </c>
      <c r="AZ80" s="275">
        <v>1</v>
      </c>
      <c r="BA80" s="275">
        <v>1</v>
      </c>
      <c r="BB80" s="275">
        <v>1</v>
      </c>
      <c r="BC80" s="275">
        <v>1</v>
      </c>
      <c r="BD80" s="4">
        <v>1</v>
      </c>
      <c r="BE80" s="275">
        <v>1</v>
      </c>
      <c r="BF80" s="133">
        <v>1</v>
      </c>
      <c r="BG80" s="275">
        <v>1</v>
      </c>
      <c r="BH80" s="275">
        <v>1</v>
      </c>
      <c r="BI80" s="275">
        <v>1</v>
      </c>
      <c r="BJ80" s="275">
        <v>1</v>
      </c>
      <c r="BK80" s="4">
        <v>1</v>
      </c>
      <c r="BL80" s="4">
        <v>1</v>
      </c>
      <c r="BM80" s="4">
        <v>1</v>
      </c>
      <c r="BN80" s="133">
        <v>1</v>
      </c>
      <c r="BO80" s="275">
        <v>0.1</v>
      </c>
      <c r="BP80" s="4">
        <v>0.1</v>
      </c>
      <c r="BQ80" s="275">
        <v>1</v>
      </c>
      <c r="BR80" s="4">
        <v>1</v>
      </c>
      <c r="BS80" s="275">
        <v>1</v>
      </c>
      <c r="BT80" s="275">
        <v>1</v>
      </c>
      <c r="BU80" s="275">
        <v>1</v>
      </c>
      <c r="BV80" s="275">
        <v>1</v>
      </c>
      <c r="BW80" s="133">
        <v>1</v>
      </c>
      <c r="BX80" s="275">
        <v>1</v>
      </c>
      <c r="BY80" s="275">
        <v>1</v>
      </c>
      <c r="BZ80" s="4">
        <v>0.1</v>
      </c>
      <c r="CA80" s="4">
        <v>0.1</v>
      </c>
      <c r="CB80" s="4">
        <v>0.1</v>
      </c>
      <c r="CC80" s="133">
        <v>1</v>
      </c>
      <c r="CD80" s="275">
        <v>1</v>
      </c>
      <c r="CE80" s="275">
        <v>1</v>
      </c>
      <c r="CF80" s="133">
        <v>1</v>
      </c>
      <c r="CG80" s="275">
        <v>1</v>
      </c>
      <c r="CH80" s="4">
        <v>1</v>
      </c>
      <c r="CI80" s="275">
        <v>1</v>
      </c>
      <c r="CJ80" s="275">
        <v>1</v>
      </c>
      <c r="CK80" s="275">
        <v>1</v>
      </c>
      <c r="CL80" s="275">
        <v>1</v>
      </c>
      <c r="CM80" s="275">
        <v>1</v>
      </c>
      <c r="CN80" s="275">
        <v>1</v>
      </c>
      <c r="CO80" s="275">
        <v>1</v>
      </c>
      <c r="CP80" s="275">
        <v>1</v>
      </c>
      <c r="CQ80" s="133">
        <v>1</v>
      </c>
      <c r="CR80" s="133">
        <v>1</v>
      </c>
      <c r="CS80" s="275">
        <v>1</v>
      </c>
      <c r="CT80" s="275">
        <v>1</v>
      </c>
      <c r="CU80" s="275">
        <v>1</v>
      </c>
      <c r="CV80" s="275">
        <v>1</v>
      </c>
      <c r="CW80" s="133">
        <v>1</v>
      </c>
      <c r="CX80" s="275">
        <v>0.1</v>
      </c>
      <c r="CY80" s="275">
        <v>1</v>
      </c>
      <c r="CZ80" s="275">
        <v>1</v>
      </c>
      <c r="DA80" s="133">
        <v>1</v>
      </c>
      <c r="DB80" s="275">
        <v>1</v>
      </c>
      <c r="DC80" s="133">
        <v>1</v>
      </c>
      <c r="DD80" s="133">
        <v>1</v>
      </c>
      <c r="DE80" s="133">
        <v>1</v>
      </c>
      <c r="DF80" s="133">
        <v>1</v>
      </c>
      <c r="DG80" s="133">
        <v>1</v>
      </c>
      <c r="DH80" s="133">
        <v>1</v>
      </c>
      <c r="DI80" s="133">
        <v>1</v>
      </c>
      <c r="DJ80" s="133">
        <v>1</v>
      </c>
      <c r="DK80" s="133">
        <v>1</v>
      </c>
      <c r="DL80" s="133">
        <v>1</v>
      </c>
      <c r="DM80" s="275">
        <v>1</v>
      </c>
      <c r="DN80" s="275">
        <v>1</v>
      </c>
      <c r="DO80" s="275">
        <v>1</v>
      </c>
      <c r="DP80" s="275">
        <v>1</v>
      </c>
      <c r="DQ80" s="275">
        <v>1</v>
      </c>
    </row>
    <row r="81" spans="2:121" ht="14.25" customHeight="1" x14ac:dyDescent="0.3">
      <c r="B81" s="108">
        <v>0.80208333333333304</v>
      </c>
      <c r="D81" s="4">
        <v>1</v>
      </c>
      <c r="E81" s="133">
        <v>1</v>
      </c>
      <c r="F81" s="275">
        <v>1</v>
      </c>
      <c r="G81" s="275">
        <v>1</v>
      </c>
      <c r="H81" s="275">
        <v>1</v>
      </c>
      <c r="I81" s="4">
        <v>0.1</v>
      </c>
      <c r="J81" s="133">
        <v>1</v>
      </c>
      <c r="K81" s="4">
        <v>1</v>
      </c>
      <c r="L81" s="4">
        <v>1</v>
      </c>
      <c r="M81" s="275">
        <v>1</v>
      </c>
      <c r="N81" s="275">
        <v>1</v>
      </c>
      <c r="O81" s="275">
        <v>1</v>
      </c>
      <c r="P81" s="133">
        <v>0.1</v>
      </c>
      <c r="Q81" s="275">
        <v>1</v>
      </c>
      <c r="R81" s="275">
        <v>1</v>
      </c>
      <c r="S81" s="275">
        <v>1</v>
      </c>
      <c r="T81" s="275">
        <v>1</v>
      </c>
      <c r="U81" s="275">
        <v>1</v>
      </c>
      <c r="V81" s="275">
        <v>1</v>
      </c>
      <c r="W81" s="275">
        <v>1</v>
      </c>
      <c r="X81" s="275">
        <v>0.1</v>
      </c>
      <c r="Y81" s="275">
        <v>0.1</v>
      </c>
      <c r="Z81" s="275">
        <v>1</v>
      </c>
      <c r="AA81" s="133">
        <v>1</v>
      </c>
      <c r="AB81" s="275">
        <v>1</v>
      </c>
      <c r="AC81" s="133">
        <v>1</v>
      </c>
      <c r="AD81" s="275">
        <v>1</v>
      </c>
      <c r="AE81" s="133">
        <v>1</v>
      </c>
      <c r="AF81" s="133">
        <v>1</v>
      </c>
      <c r="AG81" s="4">
        <v>1</v>
      </c>
      <c r="AH81" s="275">
        <v>1</v>
      </c>
      <c r="AI81" s="4">
        <v>0.1</v>
      </c>
      <c r="AJ81" s="133">
        <v>0.1</v>
      </c>
      <c r="AK81" s="275">
        <v>1</v>
      </c>
      <c r="AL81" s="275">
        <v>1</v>
      </c>
      <c r="AM81" s="275">
        <v>1</v>
      </c>
      <c r="AN81" s="275">
        <v>1</v>
      </c>
      <c r="AO81" s="275">
        <v>1</v>
      </c>
      <c r="AP81" s="133">
        <v>1</v>
      </c>
      <c r="AQ81" s="133">
        <v>1</v>
      </c>
      <c r="AR81" s="133">
        <v>1</v>
      </c>
      <c r="AS81" s="275">
        <v>1</v>
      </c>
      <c r="AT81" s="275">
        <v>1</v>
      </c>
      <c r="AU81" s="275">
        <v>1</v>
      </c>
      <c r="AV81" s="275">
        <v>1</v>
      </c>
      <c r="AW81" s="275">
        <v>1</v>
      </c>
      <c r="AX81" s="275">
        <v>1</v>
      </c>
      <c r="AY81" s="275">
        <v>1</v>
      </c>
      <c r="AZ81" s="275">
        <v>1</v>
      </c>
      <c r="BA81" s="275">
        <v>1</v>
      </c>
      <c r="BB81" s="275">
        <v>1</v>
      </c>
      <c r="BC81" s="275">
        <v>1</v>
      </c>
      <c r="BD81" s="4">
        <v>1</v>
      </c>
      <c r="BE81" s="275">
        <v>1</v>
      </c>
      <c r="BF81" s="133">
        <v>1</v>
      </c>
      <c r="BG81" s="275">
        <v>1</v>
      </c>
      <c r="BH81" s="275">
        <v>1</v>
      </c>
      <c r="BI81" s="275">
        <v>1</v>
      </c>
      <c r="BJ81" s="275">
        <v>1</v>
      </c>
      <c r="BK81" s="4">
        <v>1</v>
      </c>
      <c r="BL81" s="4">
        <v>1</v>
      </c>
      <c r="BM81" s="4">
        <v>1</v>
      </c>
      <c r="BN81" s="133">
        <v>1</v>
      </c>
      <c r="BO81" s="275">
        <v>0.1</v>
      </c>
      <c r="BP81" s="4">
        <v>0.1</v>
      </c>
      <c r="BQ81" s="275">
        <v>1</v>
      </c>
      <c r="BR81" s="4">
        <v>1</v>
      </c>
      <c r="BS81" s="275">
        <v>1</v>
      </c>
      <c r="BT81" s="275">
        <v>1</v>
      </c>
      <c r="BU81" s="275">
        <v>1</v>
      </c>
      <c r="BV81" s="275">
        <v>1</v>
      </c>
      <c r="BW81" s="133">
        <v>1</v>
      </c>
      <c r="BX81" s="275">
        <v>1</v>
      </c>
      <c r="BY81" s="275">
        <v>1</v>
      </c>
      <c r="BZ81" s="4">
        <v>0.1</v>
      </c>
      <c r="CA81" s="4">
        <v>0.1</v>
      </c>
      <c r="CB81" s="4">
        <v>0.1</v>
      </c>
      <c r="CC81" s="133">
        <v>1</v>
      </c>
      <c r="CD81" s="275">
        <v>1</v>
      </c>
      <c r="CE81" s="275">
        <v>1</v>
      </c>
      <c r="CF81" s="133">
        <v>1</v>
      </c>
      <c r="CG81" s="275">
        <v>1</v>
      </c>
      <c r="CH81" s="4">
        <v>1</v>
      </c>
      <c r="CI81" s="275">
        <v>1</v>
      </c>
      <c r="CJ81" s="275">
        <v>1</v>
      </c>
      <c r="CK81" s="275">
        <v>1</v>
      </c>
      <c r="CL81" s="275">
        <v>1</v>
      </c>
      <c r="CM81" s="275">
        <v>1</v>
      </c>
      <c r="CN81" s="275">
        <v>1</v>
      </c>
      <c r="CO81" s="275">
        <v>1</v>
      </c>
      <c r="CP81" s="275">
        <v>1</v>
      </c>
      <c r="CQ81" s="133">
        <v>1</v>
      </c>
      <c r="CR81" s="133">
        <v>1</v>
      </c>
      <c r="CS81" s="275">
        <v>1</v>
      </c>
      <c r="CT81" s="275">
        <v>1</v>
      </c>
      <c r="CU81" s="275">
        <v>1</v>
      </c>
      <c r="CV81" s="275">
        <v>1</v>
      </c>
      <c r="CW81" s="133">
        <v>1</v>
      </c>
      <c r="CX81" s="275">
        <v>0.1</v>
      </c>
      <c r="CY81" s="275">
        <v>1</v>
      </c>
      <c r="CZ81" s="275">
        <v>1</v>
      </c>
      <c r="DA81" s="133">
        <v>1</v>
      </c>
      <c r="DB81" s="275">
        <v>1</v>
      </c>
      <c r="DC81" s="133">
        <v>1</v>
      </c>
      <c r="DD81" s="133">
        <v>1</v>
      </c>
      <c r="DE81" s="133">
        <v>1</v>
      </c>
      <c r="DF81" s="133">
        <v>1</v>
      </c>
      <c r="DG81" s="133">
        <v>1</v>
      </c>
      <c r="DH81" s="133">
        <v>1</v>
      </c>
      <c r="DI81" s="133">
        <v>1</v>
      </c>
      <c r="DJ81" s="133">
        <v>1</v>
      </c>
      <c r="DK81" s="133">
        <v>1</v>
      </c>
      <c r="DL81" s="133">
        <v>1</v>
      </c>
      <c r="DM81" s="275">
        <v>1</v>
      </c>
      <c r="DN81" s="275">
        <v>1</v>
      </c>
      <c r="DO81" s="275">
        <v>1</v>
      </c>
      <c r="DP81" s="275">
        <v>1</v>
      </c>
      <c r="DQ81" s="275">
        <v>1</v>
      </c>
    </row>
    <row r="82" spans="2:121" ht="14.25" customHeight="1" x14ac:dyDescent="0.3">
      <c r="B82" s="108">
        <v>0.8125</v>
      </c>
      <c r="D82" s="4">
        <v>1</v>
      </c>
      <c r="E82" s="133">
        <v>1</v>
      </c>
      <c r="F82" s="275">
        <v>1</v>
      </c>
      <c r="G82" s="275">
        <v>1</v>
      </c>
      <c r="H82" s="275">
        <v>1</v>
      </c>
      <c r="I82" s="133">
        <v>1</v>
      </c>
      <c r="J82" s="133">
        <v>1</v>
      </c>
      <c r="K82" s="4">
        <v>1</v>
      </c>
      <c r="L82" s="4">
        <v>1</v>
      </c>
      <c r="M82" s="275">
        <v>1</v>
      </c>
      <c r="N82" s="275">
        <v>1</v>
      </c>
      <c r="O82" s="275">
        <v>1</v>
      </c>
      <c r="P82" s="133">
        <v>0.1</v>
      </c>
      <c r="Q82" s="275">
        <v>1</v>
      </c>
      <c r="R82" s="275">
        <v>1</v>
      </c>
      <c r="S82" s="275">
        <v>1</v>
      </c>
      <c r="T82" s="275">
        <v>1</v>
      </c>
      <c r="U82" s="275">
        <v>1</v>
      </c>
      <c r="V82" s="275">
        <v>1</v>
      </c>
      <c r="W82" s="275">
        <v>1</v>
      </c>
      <c r="X82" s="275">
        <v>0.1</v>
      </c>
      <c r="Y82" s="275">
        <v>0.1</v>
      </c>
      <c r="Z82" s="275">
        <v>1</v>
      </c>
      <c r="AA82" s="133">
        <v>1</v>
      </c>
      <c r="AB82" s="275">
        <v>1</v>
      </c>
      <c r="AC82" s="133">
        <v>1</v>
      </c>
      <c r="AD82" s="275">
        <v>1</v>
      </c>
      <c r="AE82" s="133">
        <v>1</v>
      </c>
      <c r="AF82" s="133">
        <v>1</v>
      </c>
      <c r="AG82" s="4">
        <v>1</v>
      </c>
      <c r="AH82" s="275">
        <v>1</v>
      </c>
      <c r="AI82" s="4">
        <v>0.1</v>
      </c>
      <c r="AJ82" s="133">
        <v>0.1</v>
      </c>
      <c r="AK82" s="275">
        <v>1</v>
      </c>
      <c r="AL82" s="275">
        <v>1</v>
      </c>
      <c r="AM82" s="275">
        <v>1</v>
      </c>
      <c r="AN82" s="275">
        <v>1</v>
      </c>
      <c r="AO82" s="275">
        <v>1</v>
      </c>
      <c r="AP82" s="133">
        <v>1</v>
      </c>
      <c r="AQ82" s="133">
        <v>1</v>
      </c>
      <c r="AR82" s="133">
        <v>1</v>
      </c>
      <c r="AS82" s="275">
        <v>1</v>
      </c>
      <c r="AT82" s="275">
        <v>1</v>
      </c>
      <c r="AU82" s="275">
        <v>1</v>
      </c>
      <c r="AV82" s="275">
        <v>1</v>
      </c>
      <c r="AW82" s="275">
        <v>1</v>
      </c>
      <c r="AX82" s="275">
        <v>1</v>
      </c>
      <c r="AY82" s="275">
        <v>1</v>
      </c>
      <c r="AZ82" s="275">
        <v>1</v>
      </c>
      <c r="BA82" s="275">
        <v>1</v>
      </c>
      <c r="BB82" s="275">
        <v>1</v>
      </c>
      <c r="BC82" s="275">
        <v>1</v>
      </c>
      <c r="BD82" s="4">
        <v>1</v>
      </c>
      <c r="BE82" s="275">
        <v>1</v>
      </c>
      <c r="BF82" s="133">
        <v>1</v>
      </c>
      <c r="BG82" s="275">
        <v>1</v>
      </c>
      <c r="BH82" s="275">
        <v>1</v>
      </c>
      <c r="BI82" s="275">
        <v>1</v>
      </c>
      <c r="BJ82" s="275">
        <v>1</v>
      </c>
      <c r="BK82" s="4">
        <v>1</v>
      </c>
      <c r="BL82" s="4">
        <v>1</v>
      </c>
      <c r="BM82" s="4">
        <v>1</v>
      </c>
      <c r="BN82" s="133">
        <v>1</v>
      </c>
      <c r="BO82" s="275">
        <v>0.1</v>
      </c>
      <c r="BP82" s="133">
        <v>1</v>
      </c>
      <c r="BQ82" s="275">
        <v>1</v>
      </c>
      <c r="BR82" s="4">
        <v>1</v>
      </c>
      <c r="BS82" s="275">
        <v>1</v>
      </c>
      <c r="BT82" s="275">
        <v>1</v>
      </c>
      <c r="BU82" s="275">
        <v>1</v>
      </c>
      <c r="BV82" s="275">
        <v>1</v>
      </c>
      <c r="BW82" s="133">
        <v>1</v>
      </c>
      <c r="BX82" s="275">
        <v>1</v>
      </c>
      <c r="BY82" s="275">
        <v>1</v>
      </c>
      <c r="BZ82" s="133">
        <v>1</v>
      </c>
      <c r="CA82" s="133">
        <v>1</v>
      </c>
      <c r="CB82" s="133">
        <v>1</v>
      </c>
      <c r="CC82" s="133">
        <v>1</v>
      </c>
      <c r="CD82" s="275">
        <v>1</v>
      </c>
      <c r="CE82" s="275">
        <v>1</v>
      </c>
      <c r="CF82" s="133">
        <v>1</v>
      </c>
      <c r="CG82" s="275">
        <v>1</v>
      </c>
      <c r="CH82" s="4">
        <v>1</v>
      </c>
      <c r="CI82" s="275">
        <v>1</v>
      </c>
      <c r="CJ82" s="275">
        <v>1</v>
      </c>
      <c r="CK82" s="275">
        <v>1</v>
      </c>
      <c r="CL82" s="275">
        <v>1</v>
      </c>
      <c r="CM82" s="275">
        <v>1</v>
      </c>
      <c r="CN82" s="275">
        <v>1</v>
      </c>
      <c r="CO82" s="275">
        <v>1</v>
      </c>
      <c r="CP82" s="275">
        <v>1</v>
      </c>
      <c r="CQ82" s="133">
        <v>1</v>
      </c>
      <c r="CR82" s="133">
        <v>1</v>
      </c>
      <c r="CS82" s="275">
        <v>1</v>
      </c>
      <c r="CT82" s="275">
        <v>1</v>
      </c>
      <c r="CU82" s="275">
        <v>1</v>
      </c>
      <c r="CV82" s="275">
        <v>1</v>
      </c>
      <c r="CW82" s="133">
        <v>1</v>
      </c>
      <c r="CX82" s="275">
        <v>0.1</v>
      </c>
      <c r="CY82" s="275">
        <v>1</v>
      </c>
      <c r="CZ82" s="275">
        <v>1</v>
      </c>
      <c r="DA82" s="133">
        <v>1</v>
      </c>
      <c r="DB82" s="275">
        <v>1</v>
      </c>
      <c r="DC82" s="133">
        <v>1</v>
      </c>
      <c r="DD82" s="133">
        <v>1</v>
      </c>
      <c r="DE82" s="133">
        <v>1</v>
      </c>
      <c r="DF82" s="133">
        <v>1</v>
      </c>
      <c r="DG82" s="133">
        <v>1</v>
      </c>
      <c r="DH82" s="133">
        <v>1</v>
      </c>
      <c r="DI82" s="133">
        <v>1</v>
      </c>
      <c r="DJ82" s="133">
        <v>1</v>
      </c>
      <c r="DK82" s="133">
        <v>1</v>
      </c>
      <c r="DL82" s="133">
        <v>1</v>
      </c>
      <c r="DM82" s="275">
        <v>1</v>
      </c>
      <c r="DN82" s="275">
        <v>1</v>
      </c>
      <c r="DO82" s="275">
        <v>1</v>
      </c>
      <c r="DP82" s="275">
        <v>1</v>
      </c>
      <c r="DQ82" s="275">
        <v>1</v>
      </c>
    </row>
    <row r="83" spans="2:121" ht="14.25" customHeight="1" x14ac:dyDescent="0.3">
      <c r="B83" s="108">
        <v>0.82291666666666696</v>
      </c>
      <c r="D83" s="4">
        <v>1</v>
      </c>
      <c r="E83" s="133">
        <v>1</v>
      </c>
      <c r="F83" s="275">
        <v>1</v>
      </c>
      <c r="G83" s="275">
        <v>1</v>
      </c>
      <c r="H83" s="275">
        <v>1</v>
      </c>
      <c r="I83" s="133">
        <v>1</v>
      </c>
      <c r="J83" s="133">
        <v>1</v>
      </c>
      <c r="K83" s="4">
        <v>1</v>
      </c>
      <c r="L83" s="4">
        <v>1</v>
      </c>
      <c r="M83" s="275">
        <v>1</v>
      </c>
      <c r="N83" s="275">
        <v>1</v>
      </c>
      <c r="O83" s="275">
        <v>1</v>
      </c>
      <c r="P83" s="133">
        <v>0.1</v>
      </c>
      <c r="Q83" s="275">
        <v>1</v>
      </c>
      <c r="R83" s="275">
        <v>1</v>
      </c>
      <c r="S83" s="275">
        <v>1</v>
      </c>
      <c r="T83" s="275">
        <v>1</v>
      </c>
      <c r="U83" s="275">
        <v>1</v>
      </c>
      <c r="V83" s="275">
        <v>1</v>
      </c>
      <c r="W83" s="275">
        <v>1</v>
      </c>
      <c r="X83" s="275">
        <v>0.1</v>
      </c>
      <c r="Y83" s="275">
        <v>0.1</v>
      </c>
      <c r="Z83" s="275">
        <v>1</v>
      </c>
      <c r="AA83" s="133">
        <v>1</v>
      </c>
      <c r="AB83" s="275">
        <v>1</v>
      </c>
      <c r="AC83" s="133">
        <v>1</v>
      </c>
      <c r="AD83" s="275">
        <v>0.1</v>
      </c>
      <c r="AE83" s="133">
        <v>1</v>
      </c>
      <c r="AF83" s="133">
        <v>1</v>
      </c>
      <c r="AG83" s="4">
        <v>1</v>
      </c>
      <c r="AH83" s="275">
        <v>1</v>
      </c>
      <c r="AI83" s="4">
        <v>0.1</v>
      </c>
      <c r="AJ83" s="133">
        <v>0.1</v>
      </c>
      <c r="AK83" s="275">
        <v>1</v>
      </c>
      <c r="AL83" s="275">
        <v>1</v>
      </c>
      <c r="AM83" s="275">
        <v>1</v>
      </c>
      <c r="AN83" s="275">
        <v>1</v>
      </c>
      <c r="AO83" s="275">
        <v>1</v>
      </c>
      <c r="AP83" s="133">
        <v>1</v>
      </c>
      <c r="AQ83" s="133">
        <v>1</v>
      </c>
      <c r="AR83" s="133">
        <v>1</v>
      </c>
      <c r="AS83" s="275">
        <v>1</v>
      </c>
      <c r="AT83" s="275">
        <v>1</v>
      </c>
      <c r="AU83" s="275">
        <v>1</v>
      </c>
      <c r="AV83" s="275">
        <v>1</v>
      </c>
      <c r="AW83" s="275">
        <v>1</v>
      </c>
      <c r="AX83" s="275">
        <v>1</v>
      </c>
      <c r="AY83" s="275">
        <v>1</v>
      </c>
      <c r="AZ83" s="275">
        <v>1</v>
      </c>
      <c r="BA83" s="275">
        <v>1</v>
      </c>
      <c r="BB83" s="275">
        <v>1</v>
      </c>
      <c r="BC83" s="275">
        <v>1</v>
      </c>
      <c r="BD83" s="4">
        <v>1</v>
      </c>
      <c r="BE83" s="275">
        <v>1</v>
      </c>
      <c r="BF83" s="133">
        <v>1</v>
      </c>
      <c r="BG83" s="275">
        <v>1</v>
      </c>
      <c r="BH83" s="275">
        <v>1</v>
      </c>
      <c r="BI83" s="275">
        <v>1</v>
      </c>
      <c r="BJ83" s="275">
        <v>1</v>
      </c>
      <c r="BK83" s="4">
        <v>1</v>
      </c>
      <c r="BL83" s="4">
        <v>1</v>
      </c>
      <c r="BM83" s="4">
        <v>1</v>
      </c>
      <c r="BN83" s="133">
        <v>1</v>
      </c>
      <c r="BO83" s="275">
        <v>0.1</v>
      </c>
      <c r="BP83" s="133">
        <v>1</v>
      </c>
      <c r="BQ83" s="275">
        <v>1</v>
      </c>
      <c r="BR83" s="4">
        <v>1</v>
      </c>
      <c r="BS83" s="275">
        <v>1</v>
      </c>
      <c r="BT83" s="275">
        <v>1</v>
      </c>
      <c r="BU83" s="275">
        <v>1</v>
      </c>
      <c r="BV83" s="275">
        <v>1</v>
      </c>
      <c r="BW83" s="133">
        <v>1</v>
      </c>
      <c r="BX83" s="275">
        <v>1</v>
      </c>
      <c r="BY83" s="275">
        <v>1</v>
      </c>
      <c r="BZ83" s="133">
        <v>1</v>
      </c>
      <c r="CA83" s="133">
        <v>1</v>
      </c>
      <c r="CB83" s="133">
        <v>1</v>
      </c>
      <c r="CC83" s="133">
        <v>1</v>
      </c>
      <c r="CD83" s="275">
        <v>1</v>
      </c>
      <c r="CE83" s="275">
        <v>1</v>
      </c>
      <c r="CF83" s="133">
        <v>1</v>
      </c>
      <c r="CG83" s="275">
        <v>1</v>
      </c>
      <c r="CH83" s="4">
        <v>1</v>
      </c>
      <c r="CI83" s="275">
        <v>1</v>
      </c>
      <c r="CJ83" s="275">
        <v>1</v>
      </c>
      <c r="CK83" s="275">
        <v>1</v>
      </c>
      <c r="CL83" s="275">
        <v>1</v>
      </c>
      <c r="CM83" s="275">
        <v>1</v>
      </c>
      <c r="CN83" s="275">
        <v>1</v>
      </c>
      <c r="CO83" s="275">
        <v>1</v>
      </c>
      <c r="CP83" s="275">
        <v>1</v>
      </c>
      <c r="CQ83" s="133">
        <v>1</v>
      </c>
      <c r="CR83" s="133">
        <v>1</v>
      </c>
      <c r="CS83" s="275">
        <v>1</v>
      </c>
      <c r="CT83" s="275">
        <v>1</v>
      </c>
      <c r="CU83" s="275">
        <v>1</v>
      </c>
      <c r="CV83" s="275">
        <v>1</v>
      </c>
      <c r="CW83" s="133">
        <v>1</v>
      </c>
      <c r="CX83" s="275">
        <v>0.1</v>
      </c>
      <c r="CY83" s="275">
        <v>1</v>
      </c>
      <c r="CZ83" s="275">
        <v>1</v>
      </c>
      <c r="DA83" s="133">
        <v>1</v>
      </c>
      <c r="DB83" s="275">
        <v>1</v>
      </c>
      <c r="DC83" s="133">
        <v>1</v>
      </c>
      <c r="DD83" s="133">
        <v>1</v>
      </c>
      <c r="DE83" s="133">
        <v>1</v>
      </c>
      <c r="DF83" s="133">
        <v>1</v>
      </c>
      <c r="DG83" s="133">
        <v>1</v>
      </c>
      <c r="DH83" s="133">
        <v>1</v>
      </c>
      <c r="DI83" s="133">
        <v>1</v>
      </c>
      <c r="DJ83" s="133">
        <v>1</v>
      </c>
      <c r="DK83" s="133">
        <v>1</v>
      </c>
      <c r="DL83" s="133">
        <v>1</v>
      </c>
      <c r="DM83" s="275">
        <v>1</v>
      </c>
      <c r="DN83" s="275">
        <v>1</v>
      </c>
      <c r="DO83" s="275">
        <v>1</v>
      </c>
      <c r="DP83" s="275">
        <v>1</v>
      </c>
      <c r="DQ83" s="275">
        <v>1</v>
      </c>
    </row>
    <row r="84" spans="2:121" ht="14.25" customHeight="1" x14ac:dyDescent="0.3">
      <c r="B84" s="108">
        <v>0.83333333333333304</v>
      </c>
      <c r="D84" s="4">
        <v>1</v>
      </c>
      <c r="E84" s="133">
        <v>1</v>
      </c>
      <c r="F84" s="275">
        <v>1</v>
      </c>
      <c r="G84" s="275">
        <v>1</v>
      </c>
      <c r="H84" s="275">
        <v>1</v>
      </c>
      <c r="I84" s="4">
        <v>0.1</v>
      </c>
      <c r="J84" s="133">
        <v>1</v>
      </c>
      <c r="K84" s="4">
        <v>1</v>
      </c>
      <c r="L84" s="4">
        <v>1</v>
      </c>
      <c r="M84" s="275">
        <v>1</v>
      </c>
      <c r="N84" s="275">
        <v>1</v>
      </c>
      <c r="O84" s="275">
        <v>1</v>
      </c>
      <c r="P84" s="133">
        <v>0.1</v>
      </c>
      <c r="Q84" s="275">
        <v>1</v>
      </c>
      <c r="R84" s="275">
        <v>1</v>
      </c>
      <c r="S84" s="275">
        <v>1</v>
      </c>
      <c r="T84" s="275">
        <v>1</v>
      </c>
      <c r="U84" s="275">
        <v>1</v>
      </c>
      <c r="V84" s="275">
        <v>1</v>
      </c>
      <c r="W84" s="275">
        <v>1</v>
      </c>
      <c r="X84" s="275">
        <v>0.1</v>
      </c>
      <c r="Y84" s="275">
        <v>0.1</v>
      </c>
      <c r="Z84" s="275">
        <v>1</v>
      </c>
      <c r="AA84" s="133">
        <v>1</v>
      </c>
      <c r="AB84" s="275">
        <v>1</v>
      </c>
      <c r="AC84" s="133">
        <v>1</v>
      </c>
      <c r="AD84" s="275">
        <v>0.1</v>
      </c>
      <c r="AE84" s="133">
        <v>1</v>
      </c>
      <c r="AF84" s="133">
        <v>1</v>
      </c>
      <c r="AG84" s="4">
        <v>1</v>
      </c>
      <c r="AH84" s="275">
        <v>1</v>
      </c>
      <c r="AI84" s="4">
        <v>0.1</v>
      </c>
      <c r="AJ84" s="133">
        <v>0.1</v>
      </c>
      <c r="AK84" s="275">
        <v>1</v>
      </c>
      <c r="AL84" s="275">
        <v>1</v>
      </c>
      <c r="AM84" s="275">
        <v>1</v>
      </c>
      <c r="AN84" s="275">
        <v>1</v>
      </c>
      <c r="AO84" s="275">
        <v>1</v>
      </c>
      <c r="AP84" s="133">
        <v>1</v>
      </c>
      <c r="AQ84" s="133">
        <v>1</v>
      </c>
      <c r="AR84" s="133">
        <v>1</v>
      </c>
      <c r="AS84" s="275">
        <v>1</v>
      </c>
      <c r="AT84" s="275">
        <v>1</v>
      </c>
      <c r="AU84" s="275">
        <v>1</v>
      </c>
      <c r="AV84" s="275">
        <v>1</v>
      </c>
      <c r="AW84" s="275">
        <v>1</v>
      </c>
      <c r="AX84" s="275">
        <v>1</v>
      </c>
      <c r="AY84" s="275">
        <v>1</v>
      </c>
      <c r="AZ84" s="275">
        <v>1</v>
      </c>
      <c r="BA84" s="275">
        <v>1</v>
      </c>
      <c r="BB84" s="275">
        <v>1</v>
      </c>
      <c r="BC84" s="275">
        <v>1</v>
      </c>
      <c r="BD84" s="4">
        <v>1</v>
      </c>
      <c r="BE84" s="275">
        <v>1</v>
      </c>
      <c r="BF84" s="133">
        <v>1</v>
      </c>
      <c r="BG84" s="275">
        <v>1</v>
      </c>
      <c r="BH84" s="275">
        <v>1</v>
      </c>
      <c r="BI84" s="275">
        <v>1</v>
      </c>
      <c r="BJ84" s="275">
        <v>1</v>
      </c>
      <c r="BK84" s="4">
        <v>1</v>
      </c>
      <c r="BL84" s="4">
        <v>1</v>
      </c>
      <c r="BM84" s="4">
        <v>1</v>
      </c>
      <c r="BN84" s="133">
        <v>1</v>
      </c>
      <c r="BO84" s="275">
        <v>0.1</v>
      </c>
      <c r="BP84" s="4">
        <v>0.1</v>
      </c>
      <c r="BQ84" s="275">
        <v>1</v>
      </c>
      <c r="BR84" s="4">
        <v>1</v>
      </c>
      <c r="BS84" s="275">
        <v>1</v>
      </c>
      <c r="BT84" s="275">
        <v>1</v>
      </c>
      <c r="BU84" s="275">
        <v>1</v>
      </c>
      <c r="BV84" s="275">
        <v>1</v>
      </c>
      <c r="BW84" s="133">
        <v>1</v>
      </c>
      <c r="BX84" s="275">
        <v>1</v>
      </c>
      <c r="BY84" s="275">
        <v>1</v>
      </c>
      <c r="BZ84" s="4">
        <v>0.1</v>
      </c>
      <c r="CA84" s="4">
        <v>0.1</v>
      </c>
      <c r="CB84" s="4">
        <v>0.1</v>
      </c>
      <c r="CC84" s="133">
        <v>1</v>
      </c>
      <c r="CD84" s="275">
        <v>1</v>
      </c>
      <c r="CE84" s="275">
        <v>1</v>
      </c>
      <c r="CF84" s="133">
        <v>1</v>
      </c>
      <c r="CG84" s="275">
        <v>1</v>
      </c>
      <c r="CH84" s="4">
        <v>1</v>
      </c>
      <c r="CI84" s="275">
        <v>1</v>
      </c>
      <c r="CJ84" s="275">
        <v>1</v>
      </c>
      <c r="CK84" s="275">
        <v>1</v>
      </c>
      <c r="CL84" s="275">
        <v>1</v>
      </c>
      <c r="CM84" s="275">
        <v>1</v>
      </c>
      <c r="CN84" s="275">
        <v>1</v>
      </c>
      <c r="CO84" s="275">
        <v>1</v>
      </c>
      <c r="CP84" s="275">
        <v>1</v>
      </c>
      <c r="CQ84" s="133">
        <v>1</v>
      </c>
      <c r="CR84" s="133">
        <v>1</v>
      </c>
      <c r="CS84" s="275">
        <v>1</v>
      </c>
      <c r="CT84" s="275">
        <v>1</v>
      </c>
      <c r="CU84" s="275">
        <v>1</v>
      </c>
      <c r="CV84" s="275">
        <v>1</v>
      </c>
      <c r="CW84" s="133">
        <v>1</v>
      </c>
      <c r="CX84" s="275">
        <v>0.1</v>
      </c>
      <c r="CY84" s="275">
        <v>1</v>
      </c>
      <c r="CZ84" s="275">
        <v>1</v>
      </c>
      <c r="DA84" s="133">
        <v>1</v>
      </c>
      <c r="DB84" s="275">
        <v>1</v>
      </c>
      <c r="DC84" s="133">
        <v>1</v>
      </c>
      <c r="DD84" s="133">
        <v>1</v>
      </c>
      <c r="DE84" s="133">
        <v>1</v>
      </c>
      <c r="DF84" s="133">
        <v>1</v>
      </c>
      <c r="DG84" s="133">
        <v>1</v>
      </c>
      <c r="DH84" s="133">
        <v>1</v>
      </c>
      <c r="DI84" s="133">
        <v>1</v>
      </c>
      <c r="DJ84" s="133">
        <v>1</v>
      </c>
      <c r="DK84" s="133">
        <v>1</v>
      </c>
      <c r="DL84" s="133">
        <v>1</v>
      </c>
      <c r="DM84" s="275">
        <v>1</v>
      </c>
      <c r="DN84" s="275">
        <v>1</v>
      </c>
      <c r="DO84" s="275">
        <v>1</v>
      </c>
      <c r="DP84" s="275">
        <v>1</v>
      </c>
      <c r="DQ84" s="275">
        <v>1</v>
      </c>
    </row>
    <row r="85" spans="2:121" ht="14.25" customHeight="1" x14ac:dyDescent="0.3">
      <c r="B85" s="108">
        <v>0.84375</v>
      </c>
      <c r="D85" s="4">
        <v>1</v>
      </c>
      <c r="E85" s="133">
        <v>0.1</v>
      </c>
      <c r="F85" s="275">
        <v>1</v>
      </c>
      <c r="G85" s="275">
        <v>1</v>
      </c>
      <c r="H85" s="275">
        <v>1</v>
      </c>
      <c r="I85" s="4">
        <v>0.1</v>
      </c>
      <c r="J85" s="133">
        <v>0.1</v>
      </c>
      <c r="K85" s="4">
        <v>1</v>
      </c>
      <c r="L85" s="4">
        <v>1</v>
      </c>
      <c r="M85" s="275">
        <v>1</v>
      </c>
      <c r="N85" s="275">
        <v>1</v>
      </c>
      <c r="O85" s="275">
        <v>1</v>
      </c>
      <c r="P85" s="133">
        <v>0.1</v>
      </c>
      <c r="Q85" s="275">
        <v>1</v>
      </c>
      <c r="R85" s="275">
        <v>1</v>
      </c>
      <c r="S85" s="275">
        <v>1</v>
      </c>
      <c r="T85" s="275">
        <v>1</v>
      </c>
      <c r="U85" s="275">
        <v>1</v>
      </c>
      <c r="V85" s="275">
        <v>1</v>
      </c>
      <c r="W85" s="275">
        <v>1</v>
      </c>
      <c r="X85" s="275">
        <v>0.1</v>
      </c>
      <c r="Y85" s="275">
        <v>0.1</v>
      </c>
      <c r="Z85" s="275">
        <v>1</v>
      </c>
      <c r="AA85" s="133">
        <v>0.1</v>
      </c>
      <c r="AB85" s="275">
        <v>1</v>
      </c>
      <c r="AC85" s="133">
        <v>0.1</v>
      </c>
      <c r="AD85" s="275">
        <v>0.1</v>
      </c>
      <c r="AE85" s="133">
        <v>0.1</v>
      </c>
      <c r="AF85" s="133">
        <v>0.1</v>
      </c>
      <c r="AG85" s="4">
        <v>1</v>
      </c>
      <c r="AH85" s="275">
        <v>1</v>
      </c>
      <c r="AI85" s="4">
        <v>0.1</v>
      </c>
      <c r="AJ85" s="133">
        <v>0.1</v>
      </c>
      <c r="AK85" s="275">
        <v>1</v>
      </c>
      <c r="AL85" s="275">
        <v>1</v>
      </c>
      <c r="AM85" s="275">
        <v>1</v>
      </c>
      <c r="AN85" s="275">
        <v>1</v>
      </c>
      <c r="AO85" s="275">
        <v>1</v>
      </c>
      <c r="AP85" s="133">
        <v>0.1</v>
      </c>
      <c r="AQ85" s="133">
        <v>0.1</v>
      </c>
      <c r="AR85" s="133">
        <v>0.1</v>
      </c>
      <c r="AS85" s="275">
        <v>1</v>
      </c>
      <c r="AT85" s="275">
        <v>1</v>
      </c>
      <c r="AU85" s="275">
        <v>1</v>
      </c>
      <c r="AV85" s="275">
        <v>1</v>
      </c>
      <c r="AW85" s="275">
        <v>1</v>
      </c>
      <c r="AX85" s="275">
        <v>1</v>
      </c>
      <c r="AY85" s="275">
        <v>1</v>
      </c>
      <c r="AZ85" s="275">
        <v>1</v>
      </c>
      <c r="BA85" s="275">
        <v>1</v>
      </c>
      <c r="BB85" s="275">
        <v>1</v>
      </c>
      <c r="BC85" s="275">
        <v>1</v>
      </c>
      <c r="BD85" s="4">
        <v>1</v>
      </c>
      <c r="BE85" s="275">
        <v>1</v>
      </c>
      <c r="BF85" s="133">
        <v>0.1</v>
      </c>
      <c r="BG85" s="275">
        <v>1</v>
      </c>
      <c r="BH85" s="275">
        <v>1</v>
      </c>
      <c r="BI85" s="275">
        <v>1</v>
      </c>
      <c r="BJ85" s="275">
        <v>1</v>
      </c>
      <c r="BK85" s="4">
        <v>1</v>
      </c>
      <c r="BL85" s="4">
        <v>1</v>
      </c>
      <c r="BM85" s="4">
        <v>1</v>
      </c>
      <c r="BN85" s="133">
        <v>0.1</v>
      </c>
      <c r="BO85" s="275">
        <v>0.1</v>
      </c>
      <c r="BP85" s="4">
        <v>0.1</v>
      </c>
      <c r="BQ85" s="275">
        <v>1</v>
      </c>
      <c r="BR85" s="4">
        <v>1</v>
      </c>
      <c r="BS85" s="275">
        <v>1</v>
      </c>
      <c r="BT85" s="275">
        <v>1</v>
      </c>
      <c r="BU85" s="275">
        <v>1</v>
      </c>
      <c r="BV85" s="275">
        <v>1</v>
      </c>
      <c r="BW85" s="133">
        <v>0.1</v>
      </c>
      <c r="BX85" s="275">
        <v>1</v>
      </c>
      <c r="BY85" s="275">
        <v>1</v>
      </c>
      <c r="BZ85" s="4">
        <v>0.1</v>
      </c>
      <c r="CA85" s="4">
        <v>0.1</v>
      </c>
      <c r="CB85" s="4">
        <v>0.1</v>
      </c>
      <c r="CC85" s="133">
        <v>0.1</v>
      </c>
      <c r="CD85" s="275">
        <v>1</v>
      </c>
      <c r="CE85" s="275">
        <v>1</v>
      </c>
      <c r="CF85" s="133">
        <v>0.1</v>
      </c>
      <c r="CG85" s="275">
        <v>1</v>
      </c>
      <c r="CH85" s="4">
        <v>1</v>
      </c>
      <c r="CI85" s="275">
        <v>1</v>
      </c>
      <c r="CJ85" s="275">
        <v>1</v>
      </c>
      <c r="CK85" s="275">
        <v>1</v>
      </c>
      <c r="CL85" s="275">
        <v>1</v>
      </c>
      <c r="CM85" s="275">
        <v>1</v>
      </c>
      <c r="CN85" s="275">
        <v>1</v>
      </c>
      <c r="CO85" s="275">
        <v>1</v>
      </c>
      <c r="CP85" s="275">
        <v>1</v>
      </c>
      <c r="CQ85" s="133">
        <v>0.1</v>
      </c>
      <c r="CR85" s="133">
        <v>0.1</v>
      </c>
      <c r="CS85" s="275">
        <v>1</v>
      </c>
      <c r="CT85" s="275">
        <v>1</v>
      </c>
      <c r="CU85" s="275">
        <v>1</v>
      </c>
      <c r="CV85" s="275">
        <v>1</v>
      </c>
      <c r="CW85" s="133">
        <v>0.1</v>
      </c>
      <c r="CX85" s="275">
        <v>0.1</v>
      </c>
      <c r="CY85" s="275">
        <v>1</v>
      </c>
      <c r="CZ85" s="275">
        <v>1</v>
      </c>
      <c r="DA85" s="133">
        <v>1</v>
      </c>
      <c r="DB85" s="275">
        <v>1</v>
      </c>
      <c r="DC85" s="133">
        <v>1</v>
      </c>
      <c r="DD85" s="133">
        <v>1</v>
      </c>
      <c r="DE85" s="133">
        <v>1</v>
      </c>
      <c r="DF85" s="133">
        <v>1</v>
      </c>
      <c r="DG85" s="133">
        <v>1</v>
      </c>
      <c r="DH85" s="133">
        <v>1</v>
      </c>
      <c r="DI85" s="133">
        <v>1</v>
      </c>
      <c r="DJ85" s="133">
        <v>1</v>
      </c>
      <c r="DK85" s="133">
        <v>1</v>
      </c>
      <c r="DL85" s="133">
        <v>1</v>
      </c>
      <c r="DM85" s="275">
        <v>1</v>
      </c>
      <c r="DN85" s="275">
        <v>1</v>
      </c>
      <c r="DO85" s="275">
        <v>1</v>
      </c>
      <c r="DP85" s="275">
        <v>1</v>
      </c>
      <c r="DQ85" s="275">
        <v>1</v>
      </c>
    </row>
    <row r="86" spans="2:121" ht="14.25" customHeight="1" x14ac:dyDescent="0.3">
      <c r="B86" s="108">
        <v>0.85416666666666696</v>
      </c>
      <c r="D86" s="4">
        <v>1</v>
      </c>
      <c r="E86" s="133">
        <v>0.1</v>
      </c>
      <c r="F86" s="275">
        <v>1</v>
      </c>
      <c r="G86" s="275">
        <v>1</v>
      </c>
      <c r="H86" s="275">
        <v>1</v>
      </c>
      <c r="I86" s="4">
        <v>1</v>
      </c>
      <c r="J86" s="133">
        <v>0.1</v>
      </c>
      <c r="K86" s="4">
        <v>1</v>
      </c>
      <c r="L86" s="4">
        <v>1</v>
      </c>
      <c r="M86" s="275">
        <v>1</v>
      </c>
      <c r="N86" s="275">
        <v>1</v>
      </c>
      <c r="O86" s="275">
        <v>1</v>
      </c>
      <c r="P86" s="133">
        <v>0.1</v>
      </c>
      <c r="Q86" s="275">
        <v>1</v>
      </c>
      <c r="R86" s="275">
        <v>1</v>
      </c>
      <c r="S86" s="275">
        <v>1</v>
      </c>
      <c r="T86" s="275">
        <v>1</v>
      </c>
      <c r="U86" s="275">
        <v>1</v>
      </c>
      <c r="V86" s="275">
        <v>1</v>
      </c>
      <c r="W86" s="275">
        <v>1</v>
      </c>
      <c r="X86" s="275">
        <v>0.1</v>
      </c>
      <c r="Y86" s="275">
        <v>0.1</v>
      </c>
      <c r="Z86" s="275">
        <v>1</v>
      </c>
      <c r="AA86" s="133">
        <v>0.1</v>
      </c>
      <c r="AB86" s="275">
        <v>1</v>
      </c>
      <c r="AC86" s="133">
        <v>0.1</v>
      </c>
      <c r="AD86" s="275">
        <v>0.1</v>
      </c>
      <c r="AE86" s="133">
        <v>0.1</v>
      </c>
      <c r="AF86" s="133">
        <v>0.1</v>
      </c>
      <c r="AG86" s="4">
        <v>1</v>
      </c>
      <c r="AH86" s="275">
        <v>1</v>
      </c>
      <c r="AI86" s="4">
        <v>0.1</v>
      </c>
      <c r="AJ86" s="133">
        <v>0.1</v>
      </c>
      <c r="AK86" s="275">
        <v>1</v>
      </c>
      <c r="AL86" s="275">
        <v>1</v>
      </c>
      <c r="AM86" s="275">
        <v>1</v>
      </c>
      <c r="AN86" s="275">
        <v>1</v>
      </c>
      <c r="AO86" s="275">
        <v>1</v>
      </c>
      <c r="AP86" s="133">
        <v>0.1</v>
      </c>
      <c r="AQ86" s="133">
        <v>0.1</v>
      </c>
      <c r="AR86" s="133">
        <v>0.1</v>
      </c>
      <c r="AS86" s="275">
        <v>1</v>
      </c>
      <c r="AT86" s="275">
        <v>1</v>
      </c>
      <c r="AU86" s="275">
        <v>1</v>
      </c>
      <c r="AV86" s="275">
        <v>1</v>
      </c>
      <c r="AW86" s="275">
        <v>1</v>
      </c>
      <c r="AX86" s="275">
        <v>1</v>
      </c>
      <c r="AY86" s="275">
        <v>1</v>
      </c>
      <c r="AZ86" s="275">
        <v>1</v>
      </c>
      <c r="BA86" s="275">
        <v>1</v>
      </c>
      <c r="BB86" s="275">
        <v>1</v>
      </c>
      <c r="BC86" s="275">
        <v>1</v>
      </c>
      <c r="BD86" s="4">
        <v>1</v>
      </c>
      <c r="BE86" s="275">
        <v>1</v>
      </c>
      <c r="BF86" s="133">
        <v>0.1</v>
      </c>
      <c r="BG86" s="275">
        <v>1</v>
      </c>
      <c r="BH86" s="275">
        <v>1</v>
      </c>
      <c r="BI86" s="275">
        <v>1</v>
      </c>
      <c r="BJ86" s="275">
        <v>1</v>
      </c>
      <c r="BK86" s="4">
        <v>1</v>
      </c>
      <c r="BL86" s="4">
        <v>1</v>
      </c>
      <c r="BM86" s="4">
        <v>1</v>
      </c>
      <c r="BN86" s="133">
        <v>0.1</v>
      </c>
      <c r="BO86" s="275">
        <v>0.1</v>
      </c>
      <c r="BP86" s="4">
        <v>1</v>
      </c>
      <c r="BQ86" s="275">
        <v>1</v>
      </c>
      <c r="BR86" s="4">
        <v>1</v>
      </c>
      <c r="BS86" s="275">
        <v>1</v>
      </c>
      <c r="BT86" s="275">
        <v>1</v>
      </c>
      <c r="BU86" s="275">
        <v>1</v>
      </c>
      <c r="BV86" s="275">
        <v>1</v>
      </c>
      <c r="BW86" s="133">
        <v>0.1</v>
      </c>
      <c r="BX86" s="275">
        <v>1</v>
      </c>
      <c r="BY86" s="275">
        <v>1</v>
      </c>
      <c r="BZ86" s="4">
        <v>1</v>
      </c>
      <c r="CA86" s="4">
        <v>1</v>
      </c>
      <c r="CB86" s="4">
        <v>1</v>
      </c>
      <c r="CC86" s="133">
        <v>0.1</v>
      </c>
      <c r="CD86" s="275">
        <v>1</v>
      </c>
      <c r="CE86" s="275">
        <v>1</v>
      </c>
      <c r="CF86" s="133">
        <v>0.1</v>
      </c>
      <c r="CG86" s="275">
        <v>1</v>
      </c>
      <c r="CH86" s="4">
        <v>1</v>
      </c>
      <c r="CI86" s="275">
        <v>1</v>
      </c>
      <c r="CJ86" s="275">
        <v>1</v>
      </c>
      <c r="CK86" s="275">
        <v>1</v>
      </c>
      <c r="CL86" s="275">
        <v>1</v>
      </c>
      <c r="CM86" s="275">
        <v>1</v>
      </c>
      <c r="CN86" s="275">
        <v>1</v>
      </c>
      <c r="CO86" s="275">
        <v>1</v>
      </c>
      <c r="CP86" s="275">
        <v>1</v>
      </c>
      <c r="CQ86" s="133">
        <v>0.1</v>
      </c>
      <c r="CR86" s="133">
        <v>0.1</v>
      </c>
      <c r="CS86" s="275">
        <v>1</v>
      </c>
      <c r="CT86" s="275">
        <v>1</v>
      </c>
      <c r="CU86" s="275">
        <v>1</v>
      </c>
      <c r="CV86" s="275">
        <v>1</v>
      </c>
      <c r="CW86" s="133">
        <v>0.1</v>
      </c>
      <c r="CX86" s="275">
        <v>0.1</v>
      </c>
      <c r="CY86" s="275">
        <v>1</v>
      </c>
      <c r="CZ86" s="275">
        <v>1</v>
      </c>
      <c r="DA86" s="133">
        <v>1</v>
      </c>
      <c r="DB86" s="275">
        <v>1</v>
      </c>
      <c r="DC86" s="133">
        <v>1</v>
      </c>
      <c r="DD86" s="133">
        <v>1</v>
      </c>
      <c r="DE86" s="133">
        <v>1</v>
      </c>
      <c r="DF86" s="133">
        <v>1</v>
      </c>
      <c r="DG86" s="133">
        <v>1</v>
      </c>
      <c r="DH86" s="133">
        <v>1</v>
      </c>
      <c r="DI86" s="133">
        <v>1</v>
      </c>
      <c r="DJ86" s="133">
        <v>1</v>
      </c>
      <c r="DK86" s="133">
        <v>1</v>
      </c>
      <c r="DL86" s="133">
        <v>1</v>
      </c>
      <c r="DM86" s="275">
        <v>1</v>
      </c>
      <c r="DN86" s="275">
        <v>1</v>
      </c>
      <c r="DO86" s="275">
        <v>1</v>
      </c>
      <c r="DP86" s="275">
        <v>1</v>
      </c>
      <c r="DQ86" s="275">
        <v>1</v>
      </c>
    </row>
    <row r="87" spans="2:121" ht="14.25" customHeight="1" x14ac:dyDescent="0.3">
      <c r="B87" s="108">
        <v>0.86458333333333304</v>
      </c>
      <c r="D87" s="4">
        <v>1</v>
      </c>
      <c r="E87" s="133">
        <v>0.1</v>
      </c>
      <c r="F87" s="275">
        <v>1</v>
      </c>
      <c r="G87" s="275">
        <v>1</v>
      </c>
      <c r="H87" s="275">
        <v>1</v>
      </c>
      <c r="I87" s="4">
        <v>1</v>
      </c>
      <c r="J87" s="133">
        <v>0.1</v>
      </c>
      <c r="K87" s="4">
        <v>1</v>
      </c>
      <c r="L87" s="4">
        <v>1</v>
      </c>
      <c r="M87" s="275">
        <v>1</v>
      </c>
      <c r="N87" s="275">
        <v>1</v>
      </c>
      <c r="O87" s="275">
        <v>1</v>
      </c>
      <c r="P87" s="133">
        <v>0.1</v>
      </c>
      <c r="Q87" s="275">
        <v>1</v>
      </c>
      <c r="R87" s="275">
        <v>1</v>
      </c>
      <c r="S87" s="275">
        <v>1</v>
      </c>
      <c r="T87" s="275">
        <v>1</v>
      </c>
      <c r="U87" s="275">
        <v>1</v>
      </c>
      <c r="V87" s="275">
        <v>1</v>
      </c>
      <c r="W87" s="275">
        <v>1</v>
      </c>
      <c r="X87" s="275">
        <v>0.1</v>
      </c>
      <c r="Y87" s="275">
        <v>0.1</v>
      </c>
      <c r="Z87" s="275">
        <v>1</v>
      </c>
      <c r="AA87" s="133">
        <v>0.1</v>
      </c>
      <c r="AB87" s="275">
        <v>1</v>
      </c>
      <c r="AC87" s="133">
        <v>0.1</v>
      </c>
      <c r="AD87" s="275">
        <v>0.1</v>
      </c>
      <c r="AE87" s="133">
        <v>0.1</v>
      </c>
      <c r="AF87" s="133">
        <v>0.1</v>
      </c>
      <c r="AG87" s="4">
        <v>1</v>
      </c>
      <c r="AH87" s="275">
        <v>1</v>
      </c>
      <c r="AI87" s="4">
        <v>0.1</v>
      </c>
      <c r="AJ87" s="133">
        <v>0.1</v>
      </c>
      <c r="AK87" s="275">
        <v>1</v>
      </c>
      <c r="AL87" s="275">
        <v>1</v>
      </c>
      <c r="AM87" s="275">
        <v>1</v>
      </c>
      <c r="AN87" s="275">
        <v>1</v>
      </c>
      <c r="AO87" s="275">
        <v>1</v>
      </c>
      <c r="AP87" s="133">
        <v>0.1</v>
      </c>
      <c r="AQ87" s="133">
        <v>0.1</v>
      </c>
      <c r="AR87" s="133">
        <v>0.1</v>
      </c>
      <c r="AS87" s="275">
        <v>1</v>
      </c>
      <c r="AT87" s="275">
        <v>1</v>
      </c>
      <c r="AU87" s="275">
        <v>1</v>
      </c>
      <c r="AV87" s="275">
        <v>1</v>
      </c>
      <c r="AW87" s="275">
        <v>1</v>
      </c>
      <c r="AX87" s="275">
        <v>1</v>
      </c>
      <c r="AY87" s="275">
        <v>1</v>
      </c>
      <c r="AZ87" s="275">
        <v>1</v>
      </c>
      <c r="BA87" s="275">
        <v>1</v>
      </c>
      <c r="BB87" s="275">
        <v>1</v>
      </c>
      <c r="BC87" s="275">
        <v>1</v>
      </c>
      <c r="BD87" s="4">
        <v>1</v>
      </c>
      <c r="BE87" s="275">
        <v>1</v>
      </c>
      <c r="BF87" s="133">
        <v>0.1</v>
      </c>
      <c r="BG87" s="275">
        <v>1</v>
      </c>
      <c r="BH87" s="275">
        <v>1</v>
      </c>
      <c r="BI87" s="275">
        <v>1</v>
      </c>
      <c r="BJ87" s="275">
        <v>1</v>
      </c>
      <c r="BK87" s="4">
        <v>1</v>
      </c>
      <c r="BL87" s="4">
        <v>1</v>
      </c>
      <c r="BM87" s="4">
        <v>1</v>
      </c>
      <c r="BN87" s="133">
        <v>0.1</v>
      </c>
      <c r="BO87" s="275">
        <v>0.1</v>
      </c>
      <c r="BP87" s="4">
        <v>1</v>
      </c>
      <c r="BQ87" s="275">
        <v>1</v>
      </c>
      <c r="BR87" s="4">
        <v>1</v>
      </c>
      <c r="BS87" s="275">
        <v>1</v>
      </c>
      <c r="BT87" s="275">
        <v>1</v>
      </c>
      <c r="BU87" s="275">
        <v>1</v>
      </c>
      <c r="BV87" s="275">
        <v>1</v>
      </c>
      <c r="BW87" s="133">
        <v>0.1</v>
      </c>
      <c r="BX87" s="275">
        <v>1</v>
      </c>
      <c r="BY87" s="275">
        <v>1</v>
      </c>
      <c r="BZ87" s="4">
        <v>1</v>
      </c>
      <c r="CA87" s="4">
        <v>1</v>
      </c>
      <c r="CB87" s="4">
        <v>1</v>
      </c>
      <c r="CC87" s="133">
        <v>0.1</v>
      </c>
      <c r="CD87" s="275">
        <v>1</v>
      </c>
      <c r="CE87" s="275">
        <v>1</v>
      </c>
      <c r="CF87" s="133">
        <v>0.1</v>
      </c>
      <c r="CG87" s="275">
        <v>1</v>
      </c>
      <c r="CH87" s="4">
        <v>1</v>
      </c>
      <c r="CI87" s="275">
        <v>1</v>
      </c>
      <c r="CJ87" s="275">
        <v>1</v>
      </c>
      <c r="CK87" s="275">
        <v>1</v>
      </c>
      <c r="CL87" s="275">
        <v>1</v>
      </c>
      <c r="CM87" s="275">
        <v>1</v>
      </c>
      <c r="CN87" s="275">
        <v>1</v>
      </c>
      <c r="CO87" s="275">
        <v>1</v>
      </c>
      <c r="CP87" s="275">
        <v>1</v>
      </c>
      <c r="CQ87" s="133">
        <v>0.1</v>
      </c>
      <c r="CR87" s="133">
        <v>0.1</v>
      </c>
      <c r="CS87" s="275">
        <v>1</v>
      </c>
      <c r="CT87" s="275">
        <v>1</v>
      </c>
      <c r="CU87" s="275">
        <v>1</v>
      </c>
      <c r="CV87" s="275">
        <v>1</v>
      </c>
      <c r="CW87" s="133">
        <v>0.1</v>
      </c>
      <c r="CX87" s="275">
        <v>0.1</v>
      </c>
      <c r="CY87" s="275">
        <v>1</v>
      </c>
      <c r="CZ87" s="275">
        <v>1</v>
      </c>
      <c r="DA87" s="133">
        <v>1</v>
      </c>
      <c r="DB87" s="275">
        <v>0.1</v>
      </c>
      <c r="DC87" s="133">
        <v>1</v>
      </c>
      <c r="DD87" s="133">
        <v>1</v>
      </c>
      <c r="DE87" s="133">
        <v>1</v>
      </c>
      <c r="DF87" s="133">
        <v>1</v>
      </c>
      <c r="DG87" s="133">
        <v>1</v>
      </c>
      <c r="DH87" s="133">
        <v>1</v>
      </c>
      <c r="DI87" s="133">
        <v>1</v>
      </c>
      <c r="DJ87" s="133">
        <v>1</v>
      </c>
      <c r="DK87" s="133">
        <v>1</v>
      </c>
      <c r="DL87" s="133">
        <v>1</v>
      </c>
      <c r="DM87" s="275">
        <v>1</v>
      </c>
      <c r="DN87" s="275">
        <v>1</v>
      </c>
      <c r="DO87" s="275">
        <v>1</v>
      </c>
      <c r="DP87" s="275">
        <v>1</v>
      </c>
      <c r="DQ87" s="275">
        <v>1</v>
      </c>
    </row>
    <row r="88" spans="2:121" ht="14.25" customHeight="1" x14ac:dyDescent="0.3">
      <c r="B88" s="108">
        <v>0.875</v>
      </c>
      <c r="D88" s="4">
        <v>1</v>
      </c>
      <c r="E88" s="133">
        <v>0.1</v>
      </c>
      <c r="F88" s="275">
        <v>1</v>
      </c>
      <c r="G88" s="275">
        <v>1</v>
      </c>
      <c r="H88" s="275">
        <v>1</v>
      </c>
      <c r="I88" s="4">
        <v>0.1</v>
      </c>
      <c r="J88" s="133">
        <v>0.1</v>
      </c>
      <c r="K88" s="4">
        <v>1</v>
      </c>
      <c r="L88" s="4">
        <v>1</v>
      </c>
      <c r="M88" s="275">
        <v>1</v>
      </c>
      <c r="N88" s="275">
        <v>1</v>
      </c>
      <c r="O88" s="275">
        <v>1</v>
      </c>
      <c r="P88" s="133">
        <v>0.1</v>
      </c>
      <c r="Q88" s="275">
        <v>1</v>
      </c>
      <c r="R88" s="275">
        <v>1</v>
      </c>
      <c r="S88" s="275">
        <v>1</v>
      </c>
      <c r="T88" s="275">
        <v>1</v>
      </c>
      <c r="U88" s="275">
        <v>1</v>
      </c>
      <c r="V88" s="275">
        <v>1</v>
      </c>
      <c r="W88" s="275">
        <v>1</v>
      </c>
      <c r="X88" s="275">
        <v>0.1</v>
      </c>
      <c r="Y88" s="275">
        <v>1</v>
      </c>
      <c r="Z88" s="275">
        <v>1</v>
      </c>
      <c r="AA88" s="133">
        <v>0.1</v>
      </c>
      <c r="AB88" s="275">
        <v>1</v>
      </c>
      <c r="AC88" s="133">
        <v>0.1</v>
      </c>
      <c r="AD88" s="275">
        <v>0.1</v>
      </c>
      <c r="AE88" s="133">
        <v>0.1</v>
      </c>
      <c r="AF88" s="133">
        <v>0.1</v>
      </c>
      <c r="AG88" s="4">
        <v>0.1</v>
      </c>
      <c r="AH88" s="275">
        <v>1</v>
      </c>
      <c r="AI88" s="4">
        <v>0.1</v>
      </c>
      <c r="AJ88" s="133">
        <v>0.1</v>
      </c>
      <c r="AK88" s="275">
        <v>1</v>
      </c>
      <c r="AL88" s="275">
        <v>1</v>
      </c>
      <c r="AM88" s="275">
        <v>1</v>
      </c>
      <c r="AN88" s="275">
        <v>1</v>
      </c>
      <c r="AO88" s="275">
        <v>1</v>
      </c>
      <c r="AP88" s="133">
        <v>0.1</v>
      </c>
      <c r="AQ88" s="133">
        <v>0.1</v>
      </c>
      <c r="AR88" s="133">
        <v>0.1</v>
      </c>
      <c r="AS88" s="275">
        <v>1</v>
      </c>
      <c r="AT88" s="275">
        <v>1</v>
      </c>
      <c r="AU88" s="275">
        <v>1</v>
      </c>
      <c r="AV88" s="275">
        <v>1</v>
      </c>
      <c r="AW88" s="275">
        <v>1</v>
      </c>
      <c r="AX88" s="275">
        <v>1</v>
      </c>
      <c r="AY88" s="275">
        <v>1</v>
      </c>
      <c r="AZ88" s="275">
        <v>1</v>
      </c>
      <c r="BA88" s="275">
        <v>1</v>
      </c>
      <c r="BB88" s="275">
        <v>1</v>
      </c>
      <c r="BC88" s="275">
        <v>1</v>
      </c>
      <c r="BD88" s="4">
        <v>1</v>
      </c>
      <c r="BE88" s="275">
        <v>1</v>
      </c>
      <c r="BF88" s="133">
        <v>0.1</v>
      </c>
      <c r="BG88" s="275">
        <v>1</v>
      </c>
      <c r="BH88" s="275">
        <v>1</v>
      </c>
      <c r="BI88" s="275">
        <v>1</v>
      </c>
      <c r="BJ88" s="275">
        <v>1</v>
      </c>
      <c r="BK88" s="4">
        <v>1</v>
      </c>
      <c r="BL88" s="4">
        <v>1</v>
      </c>
      <c r="BM88" s="4">
        <v>1</v>
      </c>
      <c r="BN88" s="133">
        <v>0.1</v>
      </c>
      <c r="BO88" s="275">
        <v>0.1</v>
      </c>
      <c r="BP88" s="4">
        <v>0.1</v>
      </c>
      <c r="BQ88" s="275">
        <v>1</v>
      </c>
      <c r="BR88" s="4">
        <v>1</v>
      </c>
      <c r="BS88" s="275">
        <v>1</v>
      </c>
      <c r="BT88" s="275">
        <v>1</v>
      </c>
      <c r="BU88" s="275">
        <v>1</v>
      </c>
      <c r="BV88" s="275">
        <v>1</v>
      </c>
      <c r="BW88" s="133">
        <v>0.1</v>
      </c>
      <c r="BX88" s="275">
        <v>1</v>
      </c>
      <c r="BY88" s="275">
        <v>1</v>
      </c>
      <c r="BZ88" s="4">
        <v>0.1</v>
      </c>
      <c r="CA88" s="4">
        <v>0.1</v>
      </c>
      <c r="CB88" s="4">
        <v>0.1</v>
      </c>
      <c r="CC88" s="133">
        <v>0.1</v>
      </c>
      <c r="CD88" s="275">
        <v>1</v>
      </c>
      <c r="CE88" s="275">
        <v>1</v>
      </c>
      <c r="CF88" s="133">
        <v>0.1</v>
      </c>
      <c r="CG88" s="275">
        <v>1</v>
      </c>
      <c r="CH88" s="4">
        <v>1</v>
      </c>
      <c r="CI88" s="275">
        <v>1</v>
      </c>
      <c r="CJ88" s="275">
        <v>1</v>
      </c>
      <c r="CK88" s="275">
        <v>1</v>
      </c>
      <c r="CL88" s="275">
        <v>1</v>
      </c>
      <c r="CM88" s="275">
        <v>1</v>
      </c>
      <c r="CN88" s="275">
        <v>1</v>
      </c>
      <c r="CO88" s="275">
        <v>1</v>
      </c>
      <c r="CP88" s="275">
        <v>1</v>
      </c>
      <c r="CQ88" s="133">
        <v>0.1</v>
      </c>
      <c r="CR88" s="133">
        <v>0.1</v>
      </c>
      <c r="CS88" s="275">
        <v>1</v>
      </c>
      <c r="CT88" s="275">
        <v>1</v>
      </c>
      <c r="CU88" s="275">
        <v>1</v>
      </c>
      <c r="CV88" s="275">
        <v>1</v>
      </c>
      <c r="CW88" s="133">
        <v>0.1</v>
      </c>
      <c r="CX88" s="275">
        <v>0.1</v>
      </c>
      <c r="CY88" s="275">
        <v>1</v>
      </c>
      <c r="CZ88" s="275">
        <v>1</v>
      </c>
      <c r="DA88" s="133">
        <v>0.1</v>
      </c>
      <c r="DB88" s="275">
        <v>0.1</v>
      </c>
      <c r="DC88" s="133">
        <v>0.1</v>
      </c>
      <c r="DD88" s="133">
        <v>0.1</v>
      </c>
      <c r="DE88" s="133">
        <v>0.1</v>
      </c>
      <c r="DF88" s="133">
        <v>0.1</v>
      </c>
      <c r="DG88" s="133">
        <v>0.1</v>
      </c>
      <c r="DH88" s="133">
        <v>0.1</v>
      </c>
      <c r="DI88" s="133">
        <v>0.1</v>
      </c>
      <c r="DJ88" s="133">
        <v>0.1</v>
      </c>
      <c r="DK88" s="133">
        <v>0.1</v>
      </c>
      <c r="DL88" s="133">
        <v>0.1</v>
      </c>
      <c r="DM88" s="275">
        <v>1</v>
      </c>
      <c r="DN88" s="275">
        <v>1</v>
      </c>
      <c r="DO88" s="275">
        <v>1</v>
      </c>
      <c r="DP88" s="275">
        <v>1</v>
      </c>
      <c r="DQ88" s="275">
        <v>1</v>
      </c>
    </row>
    <row r="89" spans="2:121" ht="14.25" customHeight="1" x14ac:dyDescent="0.3">
      <c r="B89" s="108">
        <v>0.88541666666666696</v>
      </c>
      <c r="D89" s="4">
        <v>1</v>
      </c>
      <c r="E89" s="133">
        <v>0.1</v>
      </c>
      <c r="F89" s="275">
        <v>1</v>
      </c>
      <c r="G89" s="275">
        <v>1</v>
      </c>
      <c r="H89" s="275">
        <v>1</v>
      </c>
      <c r="I89" s="4">
        <v>0.1</v>
      </c>
      <c r="J89" s="133">
        <v>0.1</v>
      </c>
      <c r="K89" s="4">
        <v>1</v>
      </c>
      <c r="L89" s="4">
        <v>1</v>
      </c>
      <c r="M89" s="275">
        <v>1</v>
      </c>
      <c r="N89" s="275">
        <v>1</v>
      </c>
      <c r="O89" s="275">
        <v>1</v>
      </c>
      <c r="P89" s="133">
        <v>0.1</v>
      </c>
      <c r="Q89" s="275">
        <v>1</v>
      </c>
      <c r="R89" s="275">
        <v>1</v>
      </c>
      <c r="S89" s="275">
        <v>1</v>
      </c>
      <c r="T89" s="275">
        <v>1</v>
      </c>
      <c r="U89" s="275">
        <v>1</v>
      </c>
      <c r="V89" s="275">
        <v>1</v>
      </c>
      <c r="W89" s="275">
        <v>1</v>
      </c>
      <c r="X89" s="275">
        <v>0.1</v>
      </c>
      <c r="Y89" s="275">
        <v>1</v>
      </c>
      <c r="Z89" s="275">
        <v>1</v>
      </c>
      <c r="AA89" s="133">
        <v>0.1</v>
      </c>
      <c r="AB89" s="275">
        <v>1</v>
      </c>
      <c r="AC89" s="133">
        <v>0.1</v>
      </c>
      <c r="AD89" s="275">
        <v>0.1</v>
      </c>
      <c r="AE89" s="133">
        <v>0.1</v>
      </c>
      <c r="AF89" s="133">
        <v>0.1</v>
      </c>
      <c r="AG89" s="4">
        <v>0.1</v>
      </c>
      <c r="AH89" s="275">
        <v>1</v>
      </c>
      <c r="AI89" s="4">
        <v>0.1</v>
      </c>
      <c r="AJ89" s="133">
        <v>0.1</v>
      </c>
      <c r="AK89" s="275">
        <v>1</v>
      </c>
      <c r="AL89" s="275">
        <v>1</v>
      </c>
      <c r="AM89" s="275">
        <v>1</v>
      </c>
      <c r="AN89" s="275">
        <v>1</v>
      </c>
      <c r="AO89" s="275">
        <v>1</v>
      </c>
      <c r="AP89" s="133">
        <v>0.1</v>
      </c>
      <c r="AQ89" s="133">
        <v>0.1</v>
      </c>
      <c r="AR89" s="133">
        <v>0.1</v>
      </c>
      <c r="AS89" s="275">
        <v>1</v>
      </c>
      <c r="AT89" s="275">
        <v>1</v>
      </c>
      <c r="AU89" s="275">
        <v>1</v>
      </c>
      <c r="AV89" s="275">
        <v>1</v>
      </c>
      <c r="AW89" s="275">
        <v>1</v>
      </c>
      <c r="AX89" s="275">
        <v>1</v>
      </c>
      <c r="AY89" s="275">
        <v>1</v>
      </c>
      <c r="AZ89" s="275">
        <v>1</v>
      </c>
      <c r="BA89" s="275">
        <v>1</v>
      </c>
      <c r="BB89" s="275">
        <v>1</v>
      </c>
      <c r="BC89" s="275">
        <v>1</v>
      </c>
      <c r="BD89" s="4">
        <v>1</v>
      </c>
      <c r="BE89" s="275">
        <v>1</v>
      </c>
      <c r="BF89" s="133">
        <v>0.1</v>
      </c>
      <c r="BG89" s="275">
        <v>1</v>
      </c>
      <c r="BH89" s="275">
        <v>1</v>
      </c>
      <c r="BI89" s="275">
        <v>1</v>
      </c>
      <c r="BJ89" s="275">
        <v>1</v>
      </c>
      <c r="BK89" s="4">
        <v>1</v>
      </c>
      <c r="BL89" s="4">
        <v>1</v>
      </c>
      <c r="BM89" s="4">
        <v>1</v>
      </c>
      <c r="BN89" s="133">
        <v>0.1</v>
      </c>
      <c r="BO89" s="275">
        <v>0.1</v>
      </c>
      <c r="BP89" s="4">
        <v>0.1</v>
      </c>
      <c r="BQ89" s="275">
        <v>1</v>
      </c>
      <c r="BR89" s="4">
        <v>1</v>
      </c>
      <c r="BS89" s="275">
        <v>1</v>
      </c>
      <c r="BT89" s="275">
        <v>1</v>
      </c>
      <c r="BU89" s="275">
        <v>1</v>
      </c>
      <c r="BV89" s="275">
        <v>1</v>
      </c>
      <c r="BW89" s="133">
        <v>0.1</v>
      </c>
      <c r="BX89" s="275">
        <v>1</v>
      </c>
      <c r="BY89" s="275">
        <v>1</v>
      </c>
      <c r="BZ89" s="4">
        <v>0.1</v>
      </c>
      <c r="CA89" s="4">
        <v>0.1</v>
      </c>
      <c r="CB89" s="4">
        <v>0.1</v>
      </c>
      <c r="CC89" s="133">
        <v>0.1</v>
      </c>
      <c r="CD89" s="275">
        <v>1</v>
      </c>
      <c r="CE89" s="275">
        <v>1</v>
      </c>
      <c r="CF89" s="133">
        <v>0.1</v>
      </c>
      <c r="CG89" s="275">
        <v>1</v>
      </c>
      <c r="CH89" s="4">
        <v>1</v>
      </c>
      <c r="CI89" s="275">
        <v>1</v>
      </c>
      <c r="CJ89" s="275">
        <v>1</v>
      </c>
      <c r="CK89" s="275">
        <v>1</v>
      </c>
      <c r="CL89" s="275">
        <v>1</v>
      </c>
      <c r="CM89" s="275">
        <v>1</v>
      </c>
      <c r="CN89" s="275">
        <v>1</v>
      </c>
      <c r="CO89" s="275">
        <v>1</v>
      </c>
      <c r="CP89" s="275">
        <v>1</v>
      </c>
      <c r="CQ89" s="133">
        <v>0.1</v>
      </c>
      <c r="CR89" s="133">
        <v>0.1</v>
      </c>
      <c r="CS89" s="275">
        <v>1</v>
      </c>
      <c r="CT89" s="275">
        <v>1</v>
      </c>
      <c r="CU89" s="275">
        <v>1</v>
      </c>
      <c r="CV89" s="275">
        <v>1</v>
      </c>
      <c r="CW89" s="133">
        <v>0.1</v>
      </c>
      <c r="CX89" s="275">
        <v>0.1</v>
      </c>
      <c r="CY89" s="275">
        <v>1</v>
      </c>
      <c r="CZ89" s="275">
        <v>1</v>
      </c>
      <c r="DA89" s="133">
        <v>0.1</v>
      </c>
      <c r="DB89" s="275">
        <v>0.1</v>
      </c>
      <c r="DC89" s="133">
        <v>0.1</v>
      </c>
      <c r="DD89" s="133">
        <v>0.1</v>
      </c>
      <c r="DE89" s="133">
        <v>0.1</v>
      </c>
      <c r="DF89" s="133">
        <v>0.1</v>
      </c>
      <c r="DG89" s="133">
        <v>0.1</v>
      </c>
      <c r="DH89" s="133">
        <v>0.1</v>
      </c>
      <c r="DI89" s="133">
        <v>0.1</v>
      </c>
      <c r="DJ89" s="133">
        <v>0.1</v>
      </c>
      <c r="DK89" s="133">
        <v>0.1</v>
      </c>
      <c r="DL89" s="133">
        <v>0.1</v>
      </c>
      <c r="DM89" s="275">
        <v>1</v>
      </c>
      <c r="DN89" s="275">
        <v>1</v>
      </c>
      <c r="DO89" s="275">
        <v>1</v>
      </c>
      <c r="DP89" s="275">
        <v>1</v>
      </c>
      <c r="DQ89" s="275">
        <v>1</v>
      </c>
    </row>
    <row r="90" spans="2:121" ht="14.25" customHeight="1" x14ac:dyDescent="0.3">
      <c r="B90" s="108">
        <v>0.89583333333333304</v>
      </c>
      <c r="D90" s="4">
        <v>1</v>
      </c>
      <c r="E90" s="133">
        <v>0.1</v>
      </c>
      <c r="F90" s="275">
        <v>1</v>
      </c>
      <c r="G90" s="275">
        <v>1</v>
      </c>
      <c r="H90" s="275">
        <v>1</v>
      </c>
      <c r="I90" s="133">
        <v>1</v>
      </c>
      <c r="J90" s="133">
        <v>0.1</v>
      </c>
      <c r="K90" s="4">
        <v>1</v>
      </c>
      <c r="L90" s="4">
        <v>1</v>
      </c>
      <c r="M90" s="275">
        <v>1</v>
      </c>
      <c r="N90" s="275">
        <v>1</v>
      </c>
      <c r="O90" s="275">
        <v>1</v>
      </c>
      <c r="P90" s="133">
        <v>0.1</v>
      </c>
      <c r="Q90" s="275">
        <v>1</v>
      </c>
      <c r="R90" s="275">
        <v>1</v>
      </c>
      <c r="S90" s="275">
        <v>1</v>
      </c>
      <c r="T90" s="275">
        <v>1</v>
      </c>
      <c r="U90" s="275">
        <v>1</v>
      </c>
      <c r="V90" s="275">
        <v>1</v>
      </c>
      <c r="W90" s="275">
        <v>1</v>
      </c>
      <c r="X90" s="275">
        <v>0.1</v>
      </c>
      <c r="Y90" s="275">
        <v>1</v>
      </c>
      <c r="Z90" s="275">
        <v>1</v>
      </c>
      <c r="AA90" s="133">
        <v>0.1</v>
      </c>
      <c r="AB90" s="275">
        <v>1</v>
      </c>
      <c r="AC90" s="133">
        <v>0.1</v>
      </c>
      <c r="AD90" s="275">
        <v>0.1</v>
      </c>
      <c r="AE90" s="133">
        <v>0.1</v>
      </c>
      <c r="AF90" s="133">
        <v>0.1</v>
      </c>
      <c r="AG90" s="4">
        <v>0.1</v>
      </c>
      <c r="AH90" s="275">
        <v>1</v>
      </c>
      <c r="AI90" s="4">
        <v>0.1</v>
      </c>
      <c r="AJ90" s="133">
        <v>0.1</v>
      </c>
      <c r="AK90" s="275">
        <v>1</v>
      </c>
      <c r="AL90" s="275">
        <v>1</v>
      </c>
      <c r="AM90" s="275">
        <v>1</v>
      </c>
      <c r="AN90" s="275">
        <v>1</v>
      </c>
      <c r="AO90" s="275">
        <v>1</v>
      </c>
      <c r="AP90" s="133">
        <v>0.1</v>
      </c>
      <c r="AQ90" s="133">
        <v>0.1</v>
      </c>
      <c r="AR90" s="133">
        <v>0.1</v>
      </c>
      <c r="AS90" s="275">
        <v>1</v>
      </c>
      <c r="AT90" s="275">
        <v>1</v>
      </c>
      <c r="AU90" s="275">
        <v>1</v>
      </c>
      <c r="AV90" s="275">
        <v>1</v>
      </c>
      <c r="AW90" s="275">
        <v>1</v>
      </c>
      <c r="AX90" s="275">
        <v>1</v>
      </c>
      <c r="AY90" s="275">
        <v>1</v>
      </c>
      <c r="AZ90" s="275">
        <v>1</v>
      </c>
      <c r="BA90" s="275">
        <v>1</v>
      </c>
      <c r="BB90" s="275">
        <v>1</v>
      </c>
      <c r="BC90" s="275">
        <v>1</v>
      </c>
      <c r="BD90" s="4">
        <v>1</v>
      </c>
      <c r="BE90" s="275">
        <v>1</v>
      </c>
      <c r="BF90" s="133">
        <v>0.1</v>
      </c>
      <c r="BG90" s="275">
        <v>1</v>
      </c>
      <c r="BH90" s="275">
        <v>1</v>
      </c>
      <c r="BI90" s="275">
        <v>1</v>
      </c>
      <c r="BJ90" s="275">
        <v>1</v>
      </c>
      <c r="BK90" s="4">
        <v>1</v>
      </c>
      <c r="BL90" s="4">
        <v>1</v>
      </c>
      <c r="BM90" s="4">
        <v>1</v>
      </c>
      <c r="BN90" s="133">
        <v>0.1</v>
      </c>
      <c r="BO90" s="275">
        <v>0.1</v>
      </c>
      <c r="BP90" s="133">
        <v>1</v>
      </c>
      <c r="BQ90" s="275">
        <v>1</v>
      </c>
      <c r="BR90" s="4">
        <v>1</v>
      </c>
      <c r="BS90" s="275">
        <v>1</v>
      </c>
      <c r="BT90" s="275">
        <v>1</v>
      </c>
      <c r="BU90" s="275">
        <v>1</v>
      </c>
      <c r="BV90" s="275">
        <v>1</v>
      </c>
      <c r="BW90" s="133">
        <v>0.1</v>
      </c>
      <c r="BX90" s="275">
        <v>1</v>
      </c>
      <c r="BY90" s="275">
        <v>1</v>
      </c>
      <c r="BZ90" s="133">
        <v>1</v>
      </c>
      <c r="CA90" s="133">
        <v>1</v>
      </c>
      <c r="CB90" s="133">
        <v>1</v>
      </c>
      <c r="CC90" s="133">
        <v>0.1</v>
      </c>
      <c r="CD90" s="275">
        <v>1</v>
      </c>
      <c r="CE90" s="275">
        <v>1</v>
      </c>
      <c r="CF90" s="133">
        <v>0.1</v>
      </c>
      <c r="CG90" s="275">
        <v>1</v>
      </c>
      <c r="CH90" s="4">
        <v>1</v>
      </c>
      <c r="CI90" s="275">
        <v>1</v>
      </c>
      <c r="CJ90" s="275">
        <v>1</v>
      </c>
      <c r="CK90" s="275">
        <v>1</v>
      </c>
      <c r="CL90" s="275">
        <v>1</v>
      </c>
      <c r="CM90" s="275">
        <v>1</v>
      </c>
      <c r="CN90" s="275">
        <v>1</v>
      </c>
      <c r="CO90" s="275">
        <v>1</v>
      </c>
      <c r="CP90" s="275">
        <v>1</v>
      </c>
      <c r="CQ90" s="133">
        <v>0.1</v>
      </c>
      <c r="CR90" s="133">
        <v>0.1</v>
      </c>
      <c r="CS90" s="275">
        <v>1</v>
      </c>
      <c r="CT90" s="275">
        <v>1</v>
      </c>
      <c r="CU90" s="275">
        <v>1</v>
      </c>
      <c r="CV90" s="275">
        <v>1</v>
      </c>
      <c r="CW90" s="133">
        <v>0.1</v>
      </c>
      <c r="CX90" s="275">
        <v>0.1</v>
      </c>
      <c r="CY90" s="275">
        <v>1</v>
      </c>
      <c r="CZ90" s="275">
        <v>1</v>
      </c>
      <c r="DA90" s="133">
        <v>0.1</v>
      </c>
      <c r="DB90" s="275">
        <v>0.1</v>
      </c>
      <c r="DC90" s="133">
        <v>0.1</v>
      </c>
      <c r="DD90" s="133">
        <v>0.1</v>
      </c>
      <c r="DE90" s="133">
        <v>0.1</v>
      </c>
      <c r="DF90" s="133">
        <v>0.1</v>
      </c>
      <c r="DG90" s="133">
        <v>0.1</v>
      </c>
      <c r="DH90" s="133">
        <v>0.1</v>
      </c>
      <c r="DI90" s="133">
        <v>0.1</v>
      </c>
      <c r="DJ90" s="133">
        <v>0.1</v>
      </c>
      <c r="DK90" s="133">
        <v>0.1</v>
      </c>
      <c r="DL90" s="133">
        <v>0.1</v>
      </c>
      <c r="DM90" s="275">
        <v>1</v>
      </c>
      <c r="DN90" s="275">
        <v>1</v>
      </c>
      <c r="DO90" s="275">
        <v>1</v>
      </c>
      <c r="DP90" s="275">
        <v>1</v>
      </c>
      <c r="DQ90" s="275">
        <v>1</v>
      </c>
    </row>
    <row r="91" spans="2:121" ht="14.25" customHeight="1" x14ac:dyDescent="0.3">
      <c r="B91" s="108">
        <v>0.90625</v>
      </c>
      <c r="D91" s="4">
        <v>1</v>
      </c>
      <c r="E91" s="133">
        <v>0.1</v>
      </c>
      <c r="F91" s="275">
        <v>1</v>
      </c>
      <c r="G91" s="275">
        <v>1</v>
      </c>
      <c r="H91" s="275">
        <v>1</v>
      </c>
      <c r="I91" s="133">
        <v>1</v>
      </c>
      <c r="J91" s="133">
        <v>0.1</v>
      </c>
      <c r="K91" s="4">
        <v>1</v>
      </c>
      <c r="L91" s="4">
        <v>1</v>
      </c>
      <c r="M91" s="275">
        <v>1</v>
      </c>
      <c r="N91" s="275">
        <v>1</v>
      </c>
      <c r="O91" s="275">
        <v>1</v>
      </c>
      <c r="P91" s="133">
        <v>0.1</v>
      </c>
      <c r="Q91" s="275">
        <v>1</v>
      </c>
      <c r="R91" s="275">
        <v>1</v>
      </c>
      <c r="S91" s="275">
        <v>1</v>
      </c>
      <c r="T91" s="275">
        <v>1</v>
      </c>
      <c r="U91" s="275">
        <v>1</v>
      </c>
      <c r="V91" s="275">
        <v>1</v>
      </c>
      <c r="W91" s="275">
        <v>1</v>
      </c>
      <c r="X91" s="275">
        <v>0.1</v>
      </c>
      <c r="Y91" s="275">
        <v>1</v>
      </c>
      <c r="Z91" s="275">
        <v>1</v>
      </c>
      <c r="AA91" s="133">
        <v>0.1</v>
      </c>
      <c r="AB91" s="275">
        <v>1</v>
      </c>
      <c r="AC91" s="133">
        <v>0.1</v>
      </c>
      <c r="AD91" s="275">
        <v>0.1</v>
      </c>
      <c r="AE91" s="133">
        <v>0.1</v>
      </c>
      <c r="AF91" s="133">
        <v>0.1</v>
      </c>
      <c r="AG91" s="4">
        <v>0.1</v>
      </c>
      <c r="AH91" s="275">
        <v>1</v>
      </c>
      <c r="AI91" s="4">
        <v>0.1</v>
      </c>
      <c r="AJ91" s="133">
        <v>0.1</v>
      </c>
      <c r="AK91" s="275">
        <v>1</v>
      </c>
      <c r="AL91" s="275">
        <v>1</v>
      </c>
      <c r="AM91" s="275">
        <v>1</v>
      </c>
      <c r="AN91" s="275">
        <v>1</v>
      </c>
      <c r="AO91" s="275">
        <v>1</v>
      </c>
      <c r="AP91" s="133">
        <v>0.1</v>
      </c>
      <c r="AQ91" s="133">
        <v>0.1</v>
      </c>
      <c r="AR91" s="133">
        <v>0.1</v>
      </c>
      <c r="AS91" s="275">
        <v>1</v>
      </c>
      <c r="AT91" s="275">
        <v>1</v>
      </c>
      <c r="AU91" s="275">
        <v>1</v>
      </c>
      <c r="AV91" s="275">
        <v>1</v>
      </c>
      <c r="AW91" s="275">
        <v>1</v>
      </c>
      <c r="AX91" s="275">
        <v>1</v>
      </c>
      <c r="AY91" s="275">
        <v>1</v>
      </c>
      <c r="AZ91" s="275">
        <v>1</v>
      </c>
      <c r="BA91" s="275">
        <v>1</v>
      </c>
      <c r="BB91" s="275">
        <v>1</v>
      </c>
      <c r="BC91" s="275">
        <v>1</v>
      </c>
      <c r="BD91" s="4">
        <v>1</v>
      </c>
      <c r="BE91" s="275">
        <v>1</v>
      </c>
      <c r="BF91" s="133">
        <v>0.1</v>
      </c>
      <c r="BG91" s="275">
        <v>1</v>
      </c>
      <c r="BH91" s="275">
        <v>1</v>
      </c>
      <c r="BI91" s="275">
        <v>1</v>
      </c>
      <c r="BJ91" s="275">
        <v>1</v>
      </c>
      <c r="BK91" s="4">
        <v>1</v>
      </c>
      <c r="BL91" s="4">
        <v>1</v>
      </c>
      <c r="BM91" s="4">
        <v>1</v>
      </c>
      <c r="BN91" s="133">
        <v>0.1</v>
      </c>
      <c r="BO91" s="275">
        <v>0.1</v>
      </c>
      <c r="BP91" s="133">
        <v>1</v>
      </c>
      <c r="BQ91" s="275">
        <v>1</v>
      </c>
      <c r="BR91" s="4">
        <v>1</v>
      </c>
      <c r="BS91" s="275">
        <v>1</v>
      </c>
      <c r="BT91" s="275">
        <v>1</v>
      </c>
      <c r="BU91" s="275">
        <v>1</v>
      </c>
      <c r="BV91" s="275">
        <v>1</v>
      </c>
      <c r="BW91" s="133">
        <v>0.1</v>
      </c>
      <c r="BX91" s="275">
        <v>1</v>
      </c>
      <c r="BY91" s="275">
        <v>1</v>
      </c>
      <c r="BZ91" s="133">
        <v>1</v>
      </c>
      <c r="CA91" s="133">
        <v>1</v>
      </c>
      <c r="CB91" s="133">
        <v>1</v>
      </c>
      <c r="CC91" s="133">
        <v>0.1</v>
      </c>
      <c r="CD91" s="275">
        <v>1</v>
      </c>
      <c r="CE91" s="275">
        <v>1</v>
      </c>
      <c r="CF91" s="133">
        <v>0.1</v>
      </c>
      <c r="CG91" s="275">
        <v>1</v>
      </c>
      <c r="CH91" s="4">
        <v>1</v>
      </c>
      <c r="CI91" s="275">
        <v>1</v>
      </c>
      <c r="CJ91" s="275">
        <v>1</v>
      </c>
      <c r="CK91" s="275">
        <v>1</v>
      </c>
      <c r="CL91" s="275">
        <v>1</v>
      </c>
      <c r="CM91" s="275">
        <v>1</v>
      </c>
      <c r="CN91" s="275">
        <v>1</v>
      </c>
      <c r="CO91" s="275">
        <v>1</v>
      </c>
      <c r="CP91" s="275">
        <v>1</v>
      </c>
      <c r="CQ91" s="133">
        <v>0.1</v>
      </c>
      <c r="CR91" s="133">
        <v>0.1</v>
      </c>
      <c r="CS91" s="275">
        <v>1</v>
      </c>
      <c r="CT91" s="275">
        <v>1</v>
      </c>
      <c r="CU91" s="275">
        <v>1</v>
      </c>
      <c r="CV91" s="275">
        <v>1</v>
      </c>
      <c r="CW91" s="133">
        <v>0.1</v>
      </c>
      <c r="CX91" s="275">
        <v>0.1</v>
      </c>
      <c r="CY91" s="275">
        <v>1</v>
      </c>
      <c r="CZ91" s="275">
        <v>1</v>
      </c>
      <c r="DA91" s="133">
        <v>0.1</v>
      </c>
      <c r="DB91" s="275">
        <v>0.1</v>
      </c>
      <c r="DC91" s="133">
        <v>0.1</v>
      </c>
      <c r="DD91" s="133">
        <v>0.1</v>
      </c>
      <c r="DE91" s="133">
        <v>0.1</v>
      </c>
      <c r="DF91" s="133">
        <v>0.1</v>
      </c>
      <c r="DG91" s="133">
        <v>0.1</v>
      </c>
      <c r="DH91" s="133">
        <v>0.1</v>
      </c>
      <c r="DI91" s="133">
        <v>0.1</v>
      </c>
      <c r="DJ91" s="133">
        <v>0.1</v>
      </c>
      <c r="DK91" s="133">
        <v>0.1</v>
      </c>
      <c r="DL91" s="133">
        <v>0.1</v>
      </c>
      <c r="DM91" s="275">
        <v>1</v>
      </c>
      <c r="DN91" s="275">
        <v>1</v>
      </c>
      <c r="DO91" s="275">
        <v>1</v>
      </c>
      <c r="DP91" s="275">
        <v>1</v>
      </c>
      <c r="DQ91" s="275">
        <v>1</v>
      </c>
    </row>
    <row r="92" spans="2:121" ht="14.25" customHeight="1" x14ac:dyDescent="0.3">
      <c r="B92" s="108">
        <v>0.91666666666666696</v>
      </c>
      <c r="D92" s="4">
        <v>1</v>
      </c>
      <c r="E92" s="133">
        <v>0.1</v>
      </c>
      <c r="F92" s="275">
        <v>1</v>
      </c>
      <c r="G92" s="275">
        <v>1</v>
      </c>
      <c r="H92" s="275">
        <v>1</v>
      </c>
      <c r="I92" s="4">
        <v>0.1</v>
      </c>
      <c r="J92" s="133">
        <v>0.1</v>
      </c>
      <c r="K92" s="4">
        <v>1</v>
      </c>
      <c r="L92" s="4">
        <v>1</v>
      </c>
      <c r="M92" s="275">
        <v>1</v>
      </c>
      <c r="N92" s="275">
        <v>1</v>
      </c>
      <c r="O92" s="275">
        <v>1</v>
      </c>
      <c r="P92" s="133">
        <v>0.1</v>
      </c>
      <c r="Q92" s="275">
        <v>1</v>
      </c>
      <c r="R92" s="275">
        <v>0.1</v>
      </c>
      <c r="S92" s="275">
        <v>1</v>
      </c>
      <c r="T92" s="275">
        <v>1</v>
      </c>
      <c r="U92" s="275">
        <v>1</v>
      </c>
      <c r="V92" s="275">
        <v>1</v>
      </c>
      <c r="W92" s="275">
        <v>1</v>
      </c>
      <c r="X92" s="275">
        <v>0.1</v>
      </c>
      <c r="Y92" s="275">
        <v>1</v>
      </c>
      <c r="Z92" s="275">
        <v>1</v>
      </c>
      <c r="AA92" s="133">
        <v>0.1</v>
      </c>
      <c r="AB92" s="275">
        <v>1</v>
      </c>
      <c r="AC92" s="133">
        <v>0.1</v>
      </c>
      <c r="AD92" s="275">
        <v>0.1</v>
      </c>
      <c r="AE92" s="133">
        <v>0.1</v>
      </c>
      <c r="AF92" s="133">
        <v>0.1</v>
      </c>
      <c r="AG92" s="4">
        <v>0.1</v>
      </c>
      <c r="AH92" s="275">
        <v>1</v>
      </c>
      <c r="AI92" s="4">
        <v>0.1</v>
      </c>
      <c r="AJ92" s="133">
        <v>0.1</v>
      </c>
      <c r="AK92" s="275">
        <v>1</v>
      </c>
      <c r="AL92" s="275">
        <v>1</v>
      </c>
      <c r="AM92" s="275">
        <v>1</v>
      </c>
      <c r="AN92" s="275">
        <v>1</v>
      </c>
      <c r="AO92" s="275">
        <v>1</v>
      </c>
      <c r="AP92" s="133">
        <v>0.1</v>
      </c>
      <c r="AQ92" s="133">
        <v>0.1</v>
      </c>
      <c r="AR92" s="133">
        <v>0.1</v>
      </c>
      <c r="AS92" s="275">
        <v>1</v>
      </c>
      <c r="AT92" s="275">
        <v>1</v>
      </c>
      <c r="AU92" s="275">
        <v>1</v>
      </c>
      <c r="AV92" s="275">
        <v>1</v>
      </c>
      <c r="AW92" s="275">
        <v>1</v>
      </c>
      <c r="AX92" s="275">
        <v>1</v>
      </c>
      <c r="AY92" s="275">
        <v>1</v>
      </c>
      <c r="AZ92" s="275">
        <v>1</v>
      </c>
      <c r="BA92" s="275">
        <v>1</v>
      </c>
      <c r="BB92" s="275">
        <v>1</v>
      </c>
      <c r="BC92" s="275">
        <v>1</v>
      </c>
      <c r="BD92" s="4">
        <v>1</v>
      </c>
      <c r="BE92" s="275">
        <v>1</v>
      </c>
      <c r="BF92" s="133">
        <v>0.1</v>
      </c>
      <c r="BG92" s="275">
        <v>1</v>
      </c>
      <c r="BH92" s="275">
        <v>1</v>
      </c>
      <c r="BI92" s="275">
        <v>1</v>
      </c>
      <c r="BJ92" s="275">
        <v>1</v>
      </c>
      <c r="BK92" s="4">
        <v>1</v>
      </c>
      <c r="BL92" s="4">
        <v>1</v>
      </c>
      <c r="BM92" s="4">
        <v>1</v>
      </c>
      <c r="BN92" s="133">
        <v>0.1</v>
      </c>
      <c r="BO92" s="275">
        <v>0.1</v>
      </c>
      <c r="BP92" s="4">
        <v>0.1</v>
      </c>
      <c r="BQ92" s="275">
        <v>1</v>
      </c>
      <c r="BR92" s="4">
        <v>1</v>
      </c>
      <c r="BS92" s="275">
        <v>1</v>
      </c>
      <c r="BT92" s="275">
        <v>1</v>
      </c>
      <c r="BU92" s="275">
        <v>1</v>
      </c>
      <c r="BV92" s="275">
        <v>1</v>
      </c>
      <c r="BW92" s="133">
        <v>0.1</v>
      </c>
      <c r="BX92" s="275">
        <v>1</v>
      </c>
      <c r="BY92" s="275">
        <v>1</v>
      </c>
      <c r="BZ92" s="4">
        <v>0.1</v>
      </c>
      <c r="CA92" s="4">
        <v>0.1</v>
      </c>
      <c r="CB92" s="4">
        <v>0.1</v>
      </c>
      <c r="CC92" s="133">
        <v>0.1</v>
      </c>
      <c r="CD92" s="275">
        <v>1</v>
      </c>
      <c r="CE92" s="275">
        <v>1</v>
      </c>
      <c r="CF92" s="133">
        <v>0.1</v>
      </c>
      <c r="CG92" s="275">
        <v>1</v>
      </c>
      <c r="CH92" s="4">
        <v>1</v>
      </c>
      <c r="CI92" s="275">
        <v>1</v>
      </c>
      <c r="CJ92" s="275">
        <v>1</v>
      </c>
      <c r="CK92" s="275">
        <v>1</v>
      </c>
      <c r="CL92" s="275">
        <v>1</v>
      </c>
      <c r="CM92" s="275">
        <v>1</v>
      </c>
      <c r="CN92" s="275">
        <v>1</v>
      </c>
      <c r="CO92" s="275">
        <v>0.1</v>
      </c>
      <c r="CP92" s="275">
        <v>1</v>
      </c>
      <c r="CQ92" s="133">
        <v>0.1</v>
      </c>
      <c r="CR92" s="133">
        <v>0.1</v>
      </c>
      <c r="CS92" s="275">
        <v>1</v>
      </c>
      <c r="CT92" s="275">
        <v>1</v>
      </c>
      <c r="CU92" s="275">
        <v>1</v>
      </c>
      <c r="CV92" s="275">
        <v>1</v>
      </c>
      <c r="CW92" s="133">
        <v>0.1</v>
      </c>
      <c r="CX92" s="275">
        <v>0.1</v>
      </c>
      <c r="CY92" s="275">
        <v>1</v>
      </c>
      <c r="CZ92" s="275">
        <v>1</v>
      </c>
      <c r="DA92" s="133">
        <v>0.1</v>
      </c>
      <c r="DB92" s="275">
        <v>0.1</v>
      </c>
      <c r="DC92" s="133">
        <v>0.1</v>
      </c>
      <c r="DD92" s="133">
        <v>0.1</v>
      </c>
      <c r="DE92" s="133">
        <v>0.1</v>
      </c>
      <c r="DF92" s="133">
        <v>0.1</v>
      </c>
      <c r="DG92" s="133">
        <v>0.1</v>
      </c>
      <c r="DH92" s="133">
        <v>0.1</v>
      </c>
      <c r="DI92" s="133">
        <v>0.1</v>
      </c>
      <c r="DJ92" s="133">
        <v>0.1</v>
      </c>
      <c r="DK92" s="133">
        <v>0.1</v>
      </c>
      <c r="DL92" s="133">
        <v>0.1</v>
      </c>
      <c r="DM92" s="275">
        <v>1</v>
      </c>
      <c r="DN92" s="275">
        <v>1</v>
      </c>
      <c r="DO92" s="275">
        <v>1</v>
      </c>
      <c r="DP92" s="275">
        <v>1</v>
      </c>
      <c r="DQ92" s="275">
        <v>1</v>
      </c>
    </row>
    <row r="93" spans="2:121" ht="14.25" customHeight="1" x14ac:dyDescent="0.3">
      <c r="B93" s="108">
        <v>0.92708333333333304</v>
      </c>
      <c r="D93" s="4">
        <v>1</v>
      </c>
      <c r="E93" s="133">
        <v>0.1</v>
      </c>
      <c r="F93" s="275">
        <v>1</v>
      </c>
      <c r="G93" s="275">
        <v>1</v>
      </c>
      <c r="H93" s="275">
        <v>1</v>
      </c>
      <c r="I93" s="4">
        <v>0.1</v>
      </c>
      <c r="J93" s="133">
        <v>0.1</v>
      </c>
      <c r="K93" s="4">
        <v>1</v>
      </c>
      <c r="L93" s="4">
        <v>1</v>
      </c>
      <c r="M93" s="275">
        <v>1</v>
      </c>
      <c r="N93" s="275">
        <v>1</v>
      </c>
      <c r="O93" s="275">
        <v>1</v>
      </c>
      <c r="P93" s="133">
        <v>0.1</v>
      </c>
      <c r="Q93" s="275">
        <v>1</v>
      </c>
      <c r="R93" s="275">
        <v>0.1</v>
      </c>
      <c r="S93" s="275">
        <v>1</v>
      </c>
      <c r="T93" s="275">
        <v>1</v>
      </c>
      <c r="U93" s="275">
        <v>1</v>
      </c>
      <c r="V93" s="275">
        <v>1</v>
      </c>
      <c r="W93" s="275">
        <v>1</v>
      </c>
      <c r="X93" s="275">
        <v>0.1</v>
      </c>
      <c r="Y93" s="275">
        <v>1</v>
      </c>
      <c r="Z93" s="275">
        <v>1</v>
      </c>
      <c r="AA93" s="133">
        <v>0.1</v>
      </c>
      <c r="AB93" s="275">
        <v>1</v>
      </c>
      <c r="AC93" s="133">
        <v>0.1</v>
      </c>
      <c r="AD93" s="275">
        <v>0.1</v>
      </c>
      <c r="AE93" s="133">
        <v>0.1</v>
      </c>
      <c r="AF93" s="133">
        <v>0.1</v>
      </c>
      <c r="AG93" s="4">
        <v>0.1</v>
      </c>
      <c r="AH93" s="275">
        <v>1</v>
      </c>
      <c r="AI93" s="4">
        <v>0.1</v>
      </c>
      <c r="AJ93" s="133">
        <v>0.1</v>
      </c>
      <c r="AK93" s="275">
        <v>1</v>
      </c>
      <c r="AL93" s="275">
        <v>1</v>
      </c>
      <c r="AM93" s="275">
        <v>1</v>
      </c>
      <c r="AN93" s="275">
        <v>1</v>
      </c>
      <c r="AO93" s="275">
        <v>1</v>
      </c>
      <c r="AP93" s="133">
        <v>0.1</v>
      </c>
      <c r="AQ93" s="133">
        <v>0.1</v>
      </c>
      <c r="AR93" s="133">
        <v>0.1</v>
      </c>
      <c r="AS93" s="275">
        <v>1</v>
      </c>
      <c r="AT93" s="275">
        <v>1</v>
      </c>
      <c r="AU93" s="275">
        <v>1</v>
      </c>
      <c r="AV93" s="275">
        <v>1</v>
      </c>
      <c r="AW93" s="275">
        <v>1</v>
      </c>
      <c r="AX93" s="275">
        <v>1</v>
      </c>
      <c r="AY93" s="275">
        <v>1</v>
      </c>
      <c r="AZ93" s="275">
        <v>1</v>
      </c>
      <c r="BA93" s="275">
        <v>1</v>
      </c>
      <c r="BB93" s="275">
        <v>1</v>
      </c>
      <c r="BC93" s="275">
        <v>1</v>
      </c>
      <c r="BD93" s="4">
        <v>1</v>
      </c>
      <c r="BE93" s="275">
        <v>1</v>
      </c>
      <c r="BF93" s="133">
        <v>0.1</v>
      </c>
      <c r="BG93" s="275">
        <v>1</v>
      </c>
      <c r="BH93" s="275">
        <v>1</v>
      </c>
      <c r="BI93" s="275">
        <v>1</v>
      </c>
      <c r="BJ93" s="275">
        <v>1</v>
      </c>
      <c r="BK93" s="4">
        <v>1</v>
      </c>
      <c r="BL93" s="4">
        <v>1</v>
      </c>
      <c r="BM93" s="4">
        <v>1</v>
      </c>
      <c r="BN93" s="133">
        <v>0.1</v>
      </c>
      <c r="BO93" s="275">
        <v>0.1</v>
      </c>
      <c r="BP93" s="4">
        <v>0.1</v>
      </c>
      <c r="BQ93" s="275">
        <v>1</v>
      </c>
      <c r="BR93" s="4">
        <v>1</v>
      </c>
      <c r="BS93" s="275">
        <v>1</v>
      </c>
      <c r="BT93" s="275">
        <v>1</v>
      </c>
      <c r="BU93" s="275">
        <v>1</v>
      </c>
      <c r="BV93" s="275">
        <v>1</v>
      </c>
      <c r="BW93" s="133">
        <v>0.1</v>
      </c>
      <c r="BX93" s="275">
        <v>1</v>
      </c>
      <c r="BY93" s="275">
        <v>1</v>
      </c>
      <c r="BZ93" s="4">
        <v>0.1</v>
      </c>
      <c r="CA93" s="4">
        <v>0.1</v>
      </c>
      <c r="CB93" s="4">
        <v>0.1</v>
      </c>
      <c r="CC93" s="133">
        <v>0.1</v>
      </c>
      <c r="CD93" s="275">
        <v>1</v>
      </c>
      <c r="CE93" s="275">
        <v>1</v>
      </c>
      <c r="CF93" s="133">
        <v>0.1</v>
      </c>
      <c r="CG93" s="275">
        <v>1</v>
      </c>
      <c r="CH93" s="4">
        <v>1</v>
      </c>
      <c r="CI93" s="275">
        <v>1</v>
      </c>
      <c r="CJ93" s="275">
        <v>1</v>
      </c>
      <c r="CK93" s="275">
        <v>1</v>
      </c>
      <c r="CL93" s="275">
        <v>1</v>
      </c>
      <c r="CM93" s="275">
        <v>1</v>
      </c>
      <c r="CN93" s="275">
        <v>1</v>
      </c>
      <c r="CO93" s="275">
        <v>0.1</v>
      </c>
      <c r="CP93" s="275">
        <v>1</v>
      </c>
      <c r="CQ93" s="133">
        <v>0.1</v>
      </c>
      <c r="CR93" s="133">
        <v>0.1</v>
      </c>
      <c r="CS93" s="275">
        <v>1</v>
      </c>
      <c r="CT93" s="275">
        <v>1</v>
      </c>
      <c r="CU93" s="275">
        <v>1</v>
      </c>
      <c r="CV93" s="275">
        <v>1</v>
      </c>
      <c r="CW93" s="133">
        <v>0.1</v>
      </c>
      <c r="CX93" s="275">
        <v>0.1</v>
      </c>
      <c r="CY93" s="275">
        <v>1</v>
      </c>
      <c r="CZ93" s="275">
        <v>1</v>
      </c>
      <c r="DA93" s="133">
        <v>0.1</v>
      </c>
      <c r="DB93" s="275">
        <v>0.1</v>
      </c>
      <c r="DC93" s="133">
        <v>0.1</v>
      </c>
      <c r="DD93" s="133">
        <v>0.1</v>
      </c>
      <c r="DE93" s="133">
        <v>0.1</v>
      </c>
      <c r="DF93" s="133">
        <v>0.1</v>
      </c>
      <c r="DG93" s="133">
        <v>0.1</v>
      </c>
      <c r="DH93" s="133">
        <v>0.1</v>
      </c>
      <c r="DI93" s="133">
        <v>0.1</v>
      </c>
      <c r="DJ93" s="133">
        <v>0.1</v>
      </c>
      <c r="DK93" s="133">
        <v>0.1</v>
      </c>
      <c r="DL93" s="133">
        <v>0.1</v>
      </c>
      <c r="DM93" s="275">
        <v>1</v>
      </c>
      <c r="DN93" s="275">
        <v>1</v>
      </c>
      <c r="DO93" s="275">
        <v>1</v>
      </c>
      <c r="DP93" s="275">
        <v>1</v>
      </c>
      <c r="DQ93" s="275">
        <v>1</v>
      </c>
    </row>
    <row r="94" spans="2:121" ht="14.25" customHeight="1" x14ac:dyDescent="0.3">
      <c r="B94" s="108">
        <v>0.9375</v>
      </c>
      <c r="D94" s="4">
        <v>1</v>
      </c>
      <c r="E94" s="133">
        <v>0.1</v>
      </c>
      <c r="F94" s="275">
        <v>1</v>
      </c>
      <c r="G94" s="275">
        <v>1</v>
      </c>
      <c r="H94" s="275">
        <v>1</v>
      </c>
      <c r="I94" s="4">
        <v>1</v>
      </c>
      <c r="J94" s="133">
        <v>0.1</v>
      </c>
      <c r="K94" s="4">
        <v>1</v>
      </c>
      <c r="L94" s="4">
        <v>1</v>
      </c>
      <c r="M94" s="275">
        <v>1</v>
      </c>
      <c r="N94" s="275">
        <v>1</v>
      </c>
      <c r="O94" s="275">
        <v>1</v>
      </c>
      <c r="P94" s="133">
        <v>0.1</v>
      </c>
      <c r="Q94" s="275">
        <v>1</v>
      </c>
      <c r="R94" s="275">
        <v>0.1</v>
      </c>
      <c r="S94" s="275">
        <v>1</v>
      </c>
      <c r="T94" s="275">
        <v>1</v>
      </c>
      <c r="U94" s="275">
        <v>1</v>
      </c>
      <c r="V94" s="275">
        <v>1</v>
      </c>
      <c r="W94" s="275">
        <v>1</v>
      </c>
      <c r="X94" s="275">
        <v>0.1</v>
      </c>
      <c r="Y94" s="275">
        <v>1</v>
      </c>
      <c r="Z94" s="275">
        <v>1</v>
      </c>
      <c r="AA94" s="133">
        <v>0.1</v>
      </c>
      <c r="AB94" s="275">
        <v>1</v>
      </c>
      <c r="AC94" s="133">
        <v>0.1</v>
      </c>
      <c r="AD94" s="275">
        <v>0.1</v>
      </c>
      <c r="AE94" s="133">
        <v>0.1</v>
      </c>
      <c r="AF94" s="133">
        <v>0.1</v>
      </c>
      <c r="AG94" s="4">
        <v>0.1</v>
      </c>
      <c r="AH94" s="275">
        <v>1</v>
      </c>
      <c r="AI94" s="4">
        <v>0.1</v>
      </c>
      <c r="AJ94" s="133">
        <v>0.1</v>
      </c>
      <c r="AK94" s="275">
        <v>1</v>
      </c>
      <c r="AL94" s="275">
        <v>1</v>
      </c>
      <c r="AM94" s="275">
        <v>1</v>
      </c>
      <c r="AN94" s="275">
        <v>1</v>
      </c>
      <c r="AO94" s="275">
        <v>1</v>
      </c>
      <c r="AP94" s="133">
        <v>0.1</v>
      </c>
      <c r="AQ94" s="133">
        <v>0.1</v>
      </c>
      <c r="AR94" s="133">
        <v>0.1</v>
      </c>
      <c r="AS94" s="275">
        <v>1</v>
      </c>
      <c r="AT94" s="275">
        <v>1</v>
      </c>
      <c r="AU94" s="275">
        <v>1</v>
      </c>
      <c r="AV94" s="275">
        <v>1</v>
      </c>
      <c r="AW94" s="275">
        <v>1</v>
      </c>
      <c r="AX94" s="275">
        <v>1</v>
      </c>
      <c r="AY94" s="275">
        <v>1</v>
      </c>
      <c r="AZ94" s="275">
        <v>1</v>
      </c>
      <c r="BA94" s="275">
        <v>1</v>
      </c>
      <c r="BB94" s="275">
        <v>1</v>
      </c>
      <c r="BC94" s="275">
        <v>1</v>
      </c>
      <c r="BD94" s="4">
        <v>1</v>
      </c>
      <c r="BE94" s="275">
        <v>1</v>
      </c>
      <c r="BF94" s="133">
        <v>0.1</v>
      </c>
      <c r="BG94" s="275">
        <v>1</v>
      </c>
      <c r="BH94" s="275">
        <v>1</v>
      </c>
      <c r="BI94" s="275">
        <v>1</v>
      </c>
      <c r="BJ94" s="275">
        <v>1</v>
      </c>
      <c r="BK94" s="4">
        <v>1</v>
      </c>
      <c r="BL94" s="4">
        <v>1</v>
      </c>
      <c r="BM94" s="4">
        <v>1</v>
      </c>
      <c r="BN94" s="133">
        <v>0.1</v>
      </c>
      <c r="BO94" s="275">
        <v>0.1</v>
      </c>
      <c r="BP94" s="4">
        <v>1</v>
      </c>
      <c r="BQ94" s="275">
        <v>1</v>
      </c>
      <c r="BR94" s="4">
        <v>1</v>
      </c>
      <c r="BS94" s="275">
        <v>1</v>
      </c>
      <c r="BT94" s="275">
        <v>1</v>
      </c>
      <c r="BU94" s="275">
        <v>1</v>
      </c>
      <c r="BV94" s="275">
        <v>1</v>
      </c>
      <c r="BW94" s="133">
        <v>0.1</v>
      </c>
      <c r="BX94" s="275">
        <v>1</v>
      </c>
      <c r="BY94" s="275">
        <v>1</v>
      </c>
      <c r="BZ94" s="4">
        <v>1</v>
      </c>
      <c r="CA94" s="4">
        <v>1</v>
      </c>
      <c r="CB94" s="4">
        <v>1</v>
      </c>
      <c r="CC94" s="133">
        <v>0.1</v>
      </c>
      <c r="CD94" s="275">
        <v>1</v>
      </c>
      <c r="CE94" s="275">
        <v>1</v>
      </c>
      <c r="CF94" s="133">
        <v>0.1</v>
      </c>
      <c r="CG94" s="275">
        <v>1</v>
      </c>
      <c r="CH94" s="4">
        <v>1</v>
      </c>
      <c r="CI94" s="275">
        <v>1</v>
      </c>
      <c r="CJ94" s="275">
        <v>1</v>
      </c>
      <c r="CK94" s="275">
        <v>1</v>
      </c>
      <c r="CL94" s="275">
        <v>1</v>
      </c>
      <c r="CM94" s="275">
        <v>1</v>
      </c>
      <c r="CN94" s="275">
        <v>1</v>
      </c>
      <c r="CO94" s="275">
        <v>0.1</v>
      </c>
      <c r="CP94" s="275">
        <v>1</v>
      </c>
      <c r="CQ94" s="133">
        <v>0.1</v>
      </c>
      <c r="CR94" s="133">
        <v>0.1</v>
      </c>
      <c r="CS94" s="275">
        <v>1</v>
      </c>
      <c r="CT94" s="275">
        <v>1</v>
      </c>
      <c r="CU94" s="275">
        <v>1</v>
      </c>
      <c r="CV94" s="275">
        <v>1</v>
      </c>
      <c r="CW94" s="133">
        <v>0.1</v>
      </c>
      <c r="CX94" s="275">
        <v>0.1</v>
      </c>
      <c r="CY94" s="275">
        <v>1</v>
      </c>
      <c r="CZ94" s="275">
        <v>1</v>
      </c>
      <c r="DA94" s="133">
        <v>0.1</v>
      </c>
      <c r="DB94" s="275">
        <v>0.1</v>
      </c>
      <c r="DC94" s="133">
        <v>0.1</v>
      </c>
      <c r="DD94" s="133">
        <v>0.1</v>
      </c>
      <c r="DE94" s="133">
        <v>0.1</v>
      </c>
      <c r="DF94" s="133">
        <v>0.1</v>
      </c>
      <c r="DG94" s="133">
        <v>0.1</v>
      </c>
      <c r="DH94" s="133">
        <v>0.1</v>
      </c>
      <c r="DI94" s="133">
        <v>0.1</v>
      </c>
      <c r="DJ94" s="133">
        <v>0.1</v>
      </c>
      <c r="DK94" s="133">
        <v>0.1</v>
      </c>
      <c r="DL94" s="133">
        <v>0.1</v>
      </c>
      <c r="DM94" s="275">
        <v>1</v>
      </c>
      <c r="DN94" s="275">
        <v>1</v>
      </c>
      <c r="DO94" s="275">
        <v>1</v>
      </c>
      <c r="DP94" s="275">
        <v>1</v>
      </c>
      <c r="DQ94" s="275">
        <v>1</v>
      </c>
    </row>
    <row r="95" spans="2:121" ht="14.25" customHeight="1" x14ac:dyDescent="0.3">
      <c r="B95" s="108">
        <v>0.94791666666666696</v>
      </c>
      <c r="D95" s="4">
        <v>1</v>
      </c>
      <c r="E95" s="133">
        <v>0.1</v>
      </c>
      <c r="F95" s="275">
        <v>1</v>
      </c>
      <c r="G95" s="275">
        <v>1</v>
      </c>
      <c r="H95" s="275">
        <v>1</v>
      </c>
      <c r="I95" s="4">
        <v>1</v>
      </c>
      <c r="J95" s="133">
        <v>0.1</v>
      </c>
      <c r="K95" s="4">
        <v>1</v>
      </c>
      <c r="L95" s="4">
        <v>1</v>
      </c>
      <c r="M95" s="275">
        <v>1</v>
      </c>
      <c r="N95" s="275">
        <v>1</v>
      </c>
      <c r="O95" s="275">
        <v>1</v>
      </c>
      <c r="P95" s="133">
        <v>0.1</v>
      </c>
      <c r="Q95" s="275">
        <v>1</v>
      </c>
      <c r="R95" s="275">
        <v>0.1</v>
      </c>
      <c r="S95" s="275">
        <v>1</v>
      </c>
      <c r="T95" s="275">
        <v>1</v>
      </c>
      <c r="U95" s="275">
        <v>1</v>
      </c>
      <c r="V95" s="275">
        <v>1</v>
      </c>
      <c r="W95" s="275">
        <v>1</v>
      </c>
      <c r="X95" s="275">
        <v>0.1</v>
      </c>
      <c r="Y95" s="275">
        <v>1</v>
      </c>
      <c r="Z95" s="275">
        <v>1</v>
      </c>
      <c r="AA95" s="133">
        <v>0.1</v>
      </c>
      <c r="AB95" s="275">
        <v>1</v>
      </c>
      <c r="AC95" s="133">
        <v>0.1</v>
      </c>
      <c r="AD95" s="275">
        <v>0.1</v>
      </c>
      <c r="AE95" s="133">
        <v>0.1</v>
      </c>
      <c r="AF95" s="133">
        <v>0.1</v>
      </c>
      <c r="AG95" s="4">
        <v>0.1</v>
      </c>
      <c r="AH95" s="275">
        <v>1</v>
      </c>
      <c r="AI95" s="4">
        <v>0.1</v>
      </c>
      <c r="AJ95" s="133">
        <v>0.1</v>
      </c>
      <c r="AK95" s="275">
        <v>1</v>
      </c>
      <c r="AL95" s="275">
        <v>1</v>
      </c>
      <c r="AM95" s="275">
        <v>1</v>
      </c>
      <c r="AN95" s="275">
        <v>1</v>
      </c>
      <c r="AO95" s="275">
        <v>1</v>
      </c>
      <c r="AP95" s="133">
        <v>0.1</v>
      </c>
      <c r="AQ95" s="133">
        <v>0.1</v>
      </c>
      <c r="AR95" s="133">
        <v>0.1</v>
      </c>
      <c r="AS95" s="275">
        <v>1</v>
      </c>
      <c r="AT95" s="275">
        <v>1</v>
      </c>
      <c r="AU95" s="275">
        <v>1</v>
      </c>
      <c r="AV95" s="275">
        <v>1</v>
      </c>
      <c r="AW95" s="275">
        <v>1</v>
      </c>
      <c r="AX95" s="275">
        <v>1</v>
      </c>
      <c r="AY95" s="275">
        <v>1</v>
      </c>
      <c r="AZ95" s="275">
        <v>1</v>
      </c>
      <c r="BA95" s="275">
        <v>1</v>
      </c>
      <c r="BB95" s="275">
        <v>1</v>
      </c>
      <c r="BC95" s="275">
        <v>1</v>
      </c>
      <c r="BD95" s="4">
        <v>1</v>
      </c>
      <c r="BE95" s="275">
        <v>1</v>
      </c>
      <c r="BF95" s="133">
        <v>0.1</v>
      </c>
      <c r="BG95" s="275">
        <v>1</v>
      </c>
      <c r="BH95" s="275">
        <v>1</v>
      </c>
      <c r="BI95" s="275">
        <v>1</v>
      </c>
      <c r="BJ95" s="275">
        <v>1</v>
      </c>
      <c r="BK95" s="4">
        <v>1</v>
      </c>
      <c r="BL95" s="4">
        <v>1</v>
      </c>
      <c r="BM95" s="4">
        <v>1</v>
      </c>
      <c r="BN95" s="133">
        <v>0.1</v>
      </c>
      <c r="BO95" s="275">
        <v>0.1</v>
      </c>
      <c r="BP95" s="4">
        <v>1</v>
      </c>
      <c r="BQ95" s="275">
        <v>1</v>
      </c>
      <c r="BR95" s="4">
        <v>1</v>
      </c>
      <c r="BS95" s="275">
        <v>1</v>
      </c>
      <c r="BT95" s="275">
        <v>1</v>
      </c>
      <c r="BU95" s="275">
        <v>1</v>
      </c>
      <c r="BV95" s="275">
        <v>1</v>
      </c>
      <c r="BW95" s="133">
        <v>0.1</v>
      </c>
      <c r="BX95" s="275">
        <v>1</v>
      </c>
      <c r="BY95" s="275">
        <v>1</v>
      </c>
      <c r="BZ95" s="4">
        <v>1</v>
      </c>
      <c r="CA95" s="4">
        <v>1</v>
      </c>
      <c r="CB95" s="4">
        <v>1</v>
      </c>
      <c r="CC95" s="133">
        <v>0.1</v>
      </c>
      <c r="CD95" s="275">
        <v>1</v>
      </c>
      <c r="CE95" s="275">
        <v>1</v>
      </c>
      <c r="CF95" s="133">
        <v>0.1</v>
      </c>
      <c r="CG95" s="275">
        <v>1</v>
      </c>
      <c r="CH95" s="4">
        <v>1</v>
      </c>
      <c r="CI95" s="275">
        <v>1</v>
      </c>
      <c r="CJ95" s="275">
        <v>1</v>
      </c>
      <c r="CK95" s="275">
        <v>1</v>
      </c>
      <c r="CL95" s="275">
        <v>1</v>
      </c>
      <c r="CM95" s="275">
        <v>1</v>
      </c>
      <c r="CN95" s="275">
        <v>1</v>
      </c>
      <c r="CO95" s="275">
        <v>0.1</v>
      </c>
      <c r="CP95" s="275">
        <v>1</v>
      </c>
      <c r="CQ95" s="133">
        <v>0.1</v>
      </c>
      <c r="CR95" s="133">
        <v>0.1</v>
      </c>
      <c r="CS95" s="275">
        <v>1</v>
      </c>
      <c r="CT95" s="275">
        <v>1</v>
      </c>
      <c r="CU95" s="275">
        <v>1</v>
      </c>
      <c r="CV95" s="275">
        <v>1</v>
      </c>
      <c r="CW95" s="133">
        <v>0.1</v>
      </c>
      <c r="CX95" s="275">
        <v>0.1</v>
      </c>
      <c r="CY95" s="275">
        <v>1</v>
      </c>
      <c r="CZ95" s="275">
        <v>1</v>
      </c>
      <c r="DA95" s="133">
        <v>0.1</v>
      </c>
      <c r="DB95" s="275">
        <v>0.1</v>
      </c>
      <c r="DC95" s="133">
        <v>0.1</v>
      </c>
      <c r="DD95" s="133">
        <v>0.1</v>
      </c>
      <c r="DE95" s="133">
        <v>0.1</v>
      </c>
      <c r="DF95" s="133">
        <v>0.1</v>
      </c>
      <c r="DG95" s="133">
        <v>0.1</v>
      </c>
      <c r="DH95" s="133">
        <v>0.1</v>
      </c>
      <c r="DI95" s="133">
        <v>0.1</v>
      </c>
      <c r="DJ95" s="133">
        <v>0.1</v>
      </c>
      <c r="DK95" s="133">
        <v>0.1</v>
      </c>
      <c r="DL95" s="133">
        <v>0.1</v>
      </c>
      <c r="DM95" s="275">
        <v>1</v>
      </c>
      <c r="DN95" s="275">
        <v>1</v>
      </c>
      <c r="DO95" s="275">
        <v>1</v>
      </c>
      <c r="DP95" s="275">
        <v>1</v>
      </c>
      <c r="DQ95" s="275">
        <v>1</v>
      </c>
    </row>
    <row r="96" spans="2:121" ht="14.25" customHeight="1" x14ac:dyDescent="0.3">
      <c r="B96" s="108">
        <v>0.95833333333333304</v>
      </c>
      <c r="D96" s="4">
        <v>1</v>
      </c>
      <c r="E96" s="133">
        <v>0.1</v>
      </c>
      <c r="F96" s="275">
        <v>1</v>
      </c>
      <c r="G96" s="275">
        <v>1</v>
      </c>
      <c r="H96" s="275">
        <v>1</v>
      </c>
      <c r="I96" s="4">
        <v>0.1</v>
      </c>
      <c r="J96" s="133">
        <v>0.1</v>
      </c>
      <c r="K96" s="4">
        <v>1</v>
      </c>
      <c r="L96" s="4">
        <v>1</v>
      </c>
      <c r="M96" s="275">
        <v>1</v>
      </c>
      <c r="N96" s="275">
        <v>1</v>
      </c>
      <c r="O96" s="275">
        <v>1</v>
      </c>
      <c r="P96" s="133">
        <v>0.1</v>
      </c>
      <c r="Q96" s="275">
        <v>1</v>
      </c>
      <c r="R96" s="275">
        <v>0.1</v>
      </c>
      <c r="S96" s="275">
        <v>1</v>
      </c>
      <c r="T96" s="275">
        <v>1</v>
      </c>
      <c r="U96" s="275">
        <v>1</v>
      </c>
      <c r="V96" s="275">
        <v>1</v>
      </c>
      <c r="W96" s="275">
        <v>1</v>
      </c>
      <c r="X96" s="275">
        <v>0.1</v>
      </c>
      <c r="Y96" s="275">
        <v>0.1</v>
      </c>
      <c r="Z96" s="275">
        <v>1</v>
      </c>
      <c r="AA96" s="133">
        <v>0.1</v>
      </c>
      <c r="AB96" s="275">
        <v>1</v>
      </c>
      <c r="AC96" s="133">
        <v>0.1</v>
      </c>
      <c r="AD96" s="275">
        <v>0.1</v>
      </c>
      <c r="AE96" s="133">
        <v>0.1</v>
      </c>
      <c r="AF96" s="133">
        <v>0.1</v>
      </c>
      <c r="AG96" s="4">
        <v>0.1</v>
      </c>
      <c r="AH96" s="275">
        <v>1</v>
      </c>
      <c r="AI96" s="4">
        <v>0.1</v>
      </c>
      <c r="AJ96" s="133">
        <v>0.1</v>
      </c>
      <c r="AK96" s="275">
        <v>1</v>
      </c>
      <c r="AL96" s="275">
        <v>1</v>
      </c>
      <c r="AM96" s="275">
        <v>1</v>
      </c>
      <c r="AN96" s="275">
        <v>1</v>
      </c>
      <c r="AO96" s="275">
        <v>1</v>
      </c>
      <c r="AP96" s="133">
        <v>0.1</v>
      </c>
      <c r="AQ96" s="133">
        <v>0.1</v>
      </c>
      <c r="AR96" s="133">
        <v>0.1</v>
      </c>
      <c r="AS96" s="275">
        <v>1</v>
      </c>
      <c r="AT96" s="275">
        <v>1</v>
      </c>
      <c r="AU96" s="275">
        <v>1</v>
      </c>
      <c r="AV96" s="275">
        <v>1</v>
      </c>
      <c r="AW96" s="275">
        <v>1</v>
      </c>
      <c r="AX96" s="275">
        <v>1</v>
      </c>
      <c r="AY96" s="275">
        <v>1</v>
      </c>
      <c r="AZ96" s="275">
        <v>1</v>
      </c>
      <c r="BA96" s="275">
        <v>1</v>
      </c>
      <c r="BB96" s="275">
        <v>1</v>
      </c>
      <c r="BC96" s="275">
        <v>1</v>
      </c>
      <c r="BD96" s="4">
        <v>1</v>
      </c>
      <c r="BE96" s="275">
        <v>1</v>
      </c>
      <c r="BF96" s="133">
        <v>0.1</v>
      </c>
      <c r="BG96" s="275">
        <v>1</v>
      </c>
      <c r="BH96" s="275">
        <v>1</v>
      </c>
      <c r="BI96" s="275">
        <v>1</v>
      </c>
      <c r="BJ96" s="275">
        <v>1</v>
      </c>
      <c r="BK96" s="4">
        <v>1</v>
      </c>
      <c r="BL96" s="4">
        <v>1</v>
      </c>
      <c r="BM96" s="4">
        <v>1</v>
      </c>
      <c r="BN96" s="133">
        <v>0.1</v>
      </c>
      <c r="BO96" s="275">
        <v>0.1</v>
      </c>
      <c r="BP96" s="4">
        <v>0.1</v>
      </c>
      <c r="BQ96" s="275">
        <v>1</v>
      </c>
      <c r="BR96" s="4">
        <v>1</v>
      </c>
      <c r="BS96" s="275">
        <v>1</v>
      </c>
      <c r="BT96" s="275">
        <v>1</v>
      </c>
      <c r="BU96" s="275">
        <v>1</v>
      </c>
      <c r="BV96" s="275">
        <v>1</v>
      </c>
      <c r="BW96" s="133">
        <v>0.1</v>
      </c>
      <c r="BX96" s="275">
        <v>1</v>
      </c>
      <c r="BY96" s="275">
        <v>1</v>
      </c>
      <c r="BZ96" s="4">
        <v>0.1</v>
      </c>
      <c r="CA96" s="4">
        <v>0.1</v>
      </c>
      <c r="CB96" s="4">
        <v>0.1</v>
      </c>
      <c r="CC96" s="133">
        <v>0.1</v>
      </c>
      <c r="CD96" s="275">
        <v>1</v>
      </c>
      <c r="CE96" s="275">
        <v>1</v>
      </c>
      <c r="CF96" s="133">
        <v>0.1</v>
      </c>
      <c r="CG96" s="275">
        <v>1</v>
      </c>
      <c r="CH96" s="4">
        <v>1</v>
      </c>
      <c r="CI96" s="275">
        <v>1</v>
      </c>
      <c r="CJ96" s="275">
        <v>1</v>
      </c>
      <c r="CK96" s="275">
        <v>1</v>
      </c>
      <c r="CL96" s="275">
        <v>1</v>
      </c>
      <c r="CM96" s="275">
        <v>1</v>
      </c>
      <c r="CN96" s="275">
        <v>1</v>
      </c>
      <c r="CO96" s="275">
        <v>0.1</v>
      </c>
      <c r="CP96" s="275">
        <v>1</v>
      </c>
      <c r="CQ96" s="133">
        <v>0.1</v>
      </c>
      <c r="CR96" s="133">
        <v>0.1</v>
      </c>
      <c r="CS96" s="275">
        <v>1</v>
      </c>
      <c r="CT96" s="275">
        <v>1</v>
      </c>
      <c r="CU96" s="275">
        <v>1</v>
      </c>
      <c r="CV96" s="275">
        <v>1</v>
      </c>
      <c r="CW96" s="133">
        <v>0.1</v>
      </c>
      <c r="CX96" s="275">
        <v>0.1</v>
      </c>
      <c r="CY96" s="275">
        <v>1</v>
      </c>
      <c r="CZ96" s="275">
        <v>1</v>
      </c>
      <c r="DA96" s="133">
        <v>0.1</v>
      </c>
      <c r="DB96" s="275">
        <v>0.1</v>
      </c>
      <c r="DC96" s="133">
        <v>0.1</v>
      </c>
      <c r="DD96" s="133">
        <v>0.1</v>
      </c>
      <c r="DE96" s="133">
        <v>0.1</v>
      </c>
      <c r="DF96" s="133">
        <v>0.1</v>
      </c>
      <c r="DG96" s="133">
        <v>0.1</v>
      </c>
      <c r="DH96" s="133">
        <v>0.1</v>
      </c>
      <c r="DI96" s="133">
        <v>0.1</v>
      </c>
      <c r="DJ96" s="133">
        <v>0.1</v>
      </c>
      <c r="DK96" s="133">
        <v>0.1</v>
      </c>
      <c r="DL96" s="133">
        <v>0.1</v>
      </c>
      <c r="DM96" s="275">
        <v>1</v>
      </c>
      <c r="DN96" s="275">
        <v>1</v>
      </c>
      <c r="DO96" s="275">
        <v>1</v>
      </c>
      <c r="DP96" s="275">
        <v>1</v>
      </c>
      <c r="DQ96" s="275">
        <v>1</v>
      </c>
    </row>
    <row r="97" spans="2:121" ht="14.25" customHeight="1" x14ac:dyDescent="0.3">
      <c r="B97" s="108">
        <v>0.96875</v>
      </c>
      <c r="D97" s="4">
        <v>1</v>
      </c>
      <c r="E97" s="133">
        <v>0.1</v>
      </c>
      <c r="F97" s="275">
        <v>1</v>
      </c>
      <c r="G97" s="275">
        <v>1</v>
      </c>
      <c r="H97" s="275">
        <v>1</v>
      </c>
      <c r="I97" s="4">
        <v>0.1</v>
      </c>
      <c r="J97" s="133">
        <v>0.1</v>
      </c>
      <c r="K97" s="4">
        <v>1</v>
      </c>
      <c r="L97" s="4">
        <v>1</v>
      </c>
      <c r="M97" s="275">
        <v>1</v>
      </c>
      <c r="N97" s="275">
        <v>1</v>
      </c>
      <c r="O97" s="275">
        <v>1</v>
      </c>
      <c r="P97" s="133">
        <v>0.1</v>
      </c>
      <c r="Q97" s="275">
        <v>1</v>
      </c>
      <c r="R97" s="275">
        <v>0.1</v>
      </c>
      <c r="S97" s="275">
        <v>1</v>
      </c>
      <c r="T97" s="275">
        <v>1</v>
      </c>
      <c r="U97" s="275">
        <v>1</v>
      </c>
      <c r="V97" s="275">
        <v>1</v>
      </c>
      <c r="W97" s="275">
        <v>1</v>
      </c>
      <c r="X97" s="275">
        <v>0.1</v>
      </c>
      <c r="Y97" s="275">
        <v>0.1</v>
      </c>
      <c r="Z97" s="275">
        <v>1</v>
      </c>
      <c r="AA97" s="133">
        <v>0.1</v>
      </c>
      <c r="AB97" s="275">
        <v>1</v>
      </c>
      <c r="AC97" s="133">
        <v>0.1</v>
      </c>
      <c r="AD97" s="275">
        <v>0.1</v>
      </c>
      <c r="AE97" s="133">
        <v>0.1</v>
      </c>
      <c r="AF97" s="133">
        <v>0.1</v>
      </c>
      <c r="AG97" s="4">
        <v>0.1</v>
      </c>
      <c r="AH97" s="275">
        <v>1</v>
      </c>
      <c r="AI97" s="4">
        <v>0.1</v>
      </c>
      <c r="AJ97" s="133">
        <v>0.1</v>
      </c>
      <c r="AK97" s="275">
        <v>1</v>
      </c>
      <c r="AL97" s="275">
        <v>1</v>
      </c>
      <c r="AM97" s="275">
        <v>1</v>
      </c>
      <c r="AN97" s="275">
        <v>1</v>
      </c>
      <c r="AO97" s="275">
        <v>1</v>
      </c>
      <c r="AP97" s="133">
        <v>0.1</v>
      </c>
      <c r="AQ97" s="133">
        <v>0.1</v>
      </c>
      <c r="AR97" s="133">
        <v>0.1</v>
      </c>
      <c r="AS97" s="275">
        <v>1</v>
      </c>
      <c r="AT97" s="275">
        <v>1</v>
      </c>
      <c r="AU97" s="275">
        <v>1</v>
      </c>
      <c r="AV97" s="275">
        <v>1</v>
      </c>
      <c r="AW97" s="275">
        <v>1</v>
      </c>
      <c r="AX97" s="275">
        <v>1</v>
      </c>
      <c r="AY97" s="275">
        <v>1</v>
      </c>
      <c r="AZ97" s="275">
        <v>1</v>
      </c>
      <c r="BA97" s="275">
        <v>1</v>
      </c>
      <c r="BB97" s="275">
        <v>1</v>
      </c>
      <c r="BC97" s="275">
        <v>1</v>
      </c>
      <c r="BD97" s="4">
        <v>1</v>
      </c>
      <c r="BE97" s="275">
        <v>1</v>
      </c>
      <c r="BF97" s="133">
        <v>0.1</v>
      </c>
      <c r="BG97" s="275">
        <v>1</v>
      </c>
      <c r="BH97" s="275">
        <v>1</v>
      </c>
      <c r="BI97" s="275">
        <v>1</v>
      </c>
      <c r="BJ97" s="275">
        <v>1</v>
      </c>
      <c r="BK97" s="4">
        <v>1</v>
      </c>
      <c r="BL97" s="4">
        <v>1</v>
      </c>
      <c r="BM97" s="4">
        <v>1</v>
      </c>
      <c r="BN97" s="133">
        <v>0.1</v>
      </c>
      <c r="BO97" s="275">
        <v>0.1</v>
      </c>
      <c r="BP97" s="4">
        <v>0.1</v>
      </c>
      <c r="BQ97" s="275">
        <v>1</v>
      </c>
      <c r="BR97" s="4">
        <v>1</v>
      </c>
      <c r="BS97" s="275">
        <v>1</v>
      </c>
      <c r="BT97" s="275">
        <v>1</v>
      </c>
      <c r="BU97" s="275">
        <v>1</v>
      </c>
      <c r="BV97" s="275">
        <v>1</v>
      </c>
      <c r="BW97" s="133">
        <v>0.1</v>
      </c>
      <c r="BX97" s="275">
        <v>1</v>
      </c>
      <c r="BY97" s="275">
        <v>1</v>
      </c>
      <c r="BZ97" s="4">
        <v>0.1</v>
      </c>
      <c r="CA97" s="4">
        <v>0.1</v>
      </c>
      <c r="CB97" s="4">
        <v>0.1</v>
      </c>
      <c r="CC97" s="133">
        <v>0.1</v>
      </c>
      <c r="CD97" s="275">
        <v>1</v>
      </c>
      <c r="CE97" s="275">
        <v>1</v>
      </c>
      <c r="CF97" s="133">
        <v>0.1</v>
      </c>
      <c r="CG97" s="275">
        <v>1</v>
      </c>
      <c r="CH97" s="4">
        <v>1</v>
      </c>
      <c r="CI97" s="275">
        <v>1</v>
      </c>
      <c r="CJ97" s="275">
        <v>1</v>
      </c>
      <c r="CK97" s="275">
        <v>1</v>
      </c>
      <c r="CL97" s="275">
        <v>1</v>
      </c>
      <c r="CM97" s="275">
        <v>1</v>
      </c>
      <c r="CN97" s="275">
        <v>1</v>
      </c>
      <c r="CO97" s="275">
        <v>0.1</v>
      </c>
      <c r="CP97" s="275">
        <v>1</v>
      </c>
      <c r="CQ97" s="133">
        <v>0.1</v>
      </c>
      <c r="CR97" s="133">
        <v>0.1</v>
      </c>
      <c r="CS97" s="275">
        <v>1</v>
      </c>
      <c r="CT97" s="275">
        <v>1</v>
      </c>
      <c r="CU97" s="275">
        <v>1</v>
      </c>
      <c r="CV97" s="275">
        <v>1</v>
      </c>
      <c r="CW97" s="133">
        <v>0.1</v>
      </c>
      <c r="CX97" s="275">
        <v>0.1</v>
      </c>
      <c r="CY97" s="275">
        <v>1</v>
      </c>
      <c r="CZ97" s="275">
        <v>1</v>
      </c>
      <c r="DA97" s="133">
        <v>0.1</v>
      </c>
      <c r="DB97" s="275">
        <v>0.1</v>
      </c>
      <c r="DC97" s="133">
        <v>0.1</v>
      </c>
      <c r="DD97" s="133">
        <v>0.1</v>
      </c>
      <c r="DE97" s="133">
        <v>0.1</v>
      </c>
      <c r="DF97" s="133">
        <v>0.1</v>
      </c>
      <c r="DG97" s="133">
        <v>0.1</v>
      </c>
      <c r="DH97" s="133">
        <v>0.1</v>
      </c>
      <c r="DI97" s="133">
        <v>0.1</v>
      </c>
      <c r="DJ97" s="133">
        <v>0.1</v>
      </c>
      <c r="DK97" s="133">
        <v>0.1</v>
      </c>
      <c r="DL97" s="133">
        <v>0.1</v>
      </c>
      <c r="DM97" s="275">
        <v>1</v>
      </c>
      <c r="DN97" s="275">
        <v>1</v>
      </c>
      <c r="DO97" s="275">
        <v>1</v>
      </c>
      <c r="DP97" s="275">
        <v>1</v>
      </c>
      <c r="DQ97" s="275">
        <v>1</v>
      </c>
    </row>
    <row r="98" spans="2:121" ht="14.25" customHeight="1" x14ac:dyDescent="0.3">
      <c r="B98" s="108">
        <v>0.97916666666666696</v>
      </c>
      <c r="D98" s="4">
        <v>1</v>
      </c>
      <c r="E98" s="133">
        <v>0.1</v>
      </c>
      <c r="F98" s="275">
        <v>1</v>
      </c>
      <c r="G98" s="275">
        <v>1</v>
      </c>
      <c r="H98" s="275">
        <v>1</v>
      </c>
      <c r="I98" s="133">
        <v>1</v>
      </c>
      <c r="J98" s="133">
        <v>0.1</v>
      </c>
      <c r="K98" s="4">
        <v>1</v>
      </c>
      <c r="L98" s="4">
        <v>1</v>
      </c>
      <c r="M98" s="275">
        <v>1</v>
      </c>
      <c r="N98" s="275">
        <v>1</v>
      </c>
      <c r="O98" s="275">
        <v>1</v>
      </c>
      <c r="P98" s="133">
        <v>0.1</v>
      </c>
      <c r="Q98" s="275">
        <v>1</v>
      </c>
      <c r="R98" s="275">
        <v>0.1</v>
      </c>
      <c r="S98" s="275">
        <v>1</v>
      </c>
      <c r="T98" s="275">
        <v>1</v>
      </c>
      <c r="U98" s="275">
        <v>1</v>
      </c>
      <c r="V98" s="275">
        <v>1</v>
      </c>
      <c r="W98" s="275">
        <v>1</v>
      </c>
      <c r="X98" s="275">
        <v>0.1</v>
      </c>
      <c r="Y98" s="275">
        <v>0.1</v>
      </c>
      <c r="Z98" s="275">
        <v>1</v>
      </c>
      <c r="AA98" s="133">
        <v>0.1</v>
      </c>
      <c r="AB98" s="275">
        <v>1</v>
      </c>
      <c r="AC98" s="133">
        <v>0.1</v>
      </c>
      <c r="AD98" s="275">
        <v>0.1</v>
      </c>
      <c r="AE98" s="133">
        <v>0.1</v>
      </c>
      <c r="AF98" s="133">
        <v>0.1</v>
      </c>
      <c r="AG98" s="4">
        <v>0.1</v>
      </c>
      <c r="AH98" s="275">
        <v>1</v>
      </c>
      <c r="AI98" s="4">
        <v>0.1</v>
      </c>
      <c r="AJ98" s="133">
        <v>0.1</v>
      </c>
      <c r="AK98" s="275">
        <v>1</v>
      </c>
      <c r="AL98" s="275">
        <v>1</v>
      </c>
      <c r="AM98" s="275">
        <v>1</v>
      </c>
      <c r="AN98" s="275">
        <v>1</v>
      </c>
      <c r="AO98" s="275">
        <v>1</v>
      </c>
      <c r="AP98" s="133">
        <v>0.1</v>
      </c>
      <c r="AQ98" s="133">
        <v>0.1</v>
      </c>
      <c r="AR98" s="133">
        <v>0.1</v>
      </c>
      <c r="AS98" s="275">
        <v>1</v>
      </c>
      <c r="AT98" s="275">
        <v>1</v>
      </c>
      <c r="AU98" s="275">
        <v>1</v>
      </c>
      <c r="AV98" s="275">
        <v>1</v>
      </c>
      <c r="AW98" s="275">
        <v>1</v>
      </c>
      <c r="AX98" s="275">
        <v>1</v>
      </c>
      <c r="AY98" s="275">
        <v>1</v>
      </c>
      <c r="AZ98" s="275">
        <v>1</v>
      </c>
      <c r="BA98" s="275">
        <v>1</v>
      </c>
      <c r="BB98" s="275">
        <v>1</v>
      </c>
      <c r="BC98" s="275">
        <v>1</v>
      </c>
      <c r="BD98" s="4">
        <v>1</v>
      </c>
      <c r="BE98" s="275">
        <v>1</v>
      </c>
      <c r="BF98" s="133">
        <v>0.1</v>
      </c>
      <c r="BG98" s="275">
        <v>1</v>
      </c>
      <c r="BH98" s="275">
        <v>1</v>
      </c>
      <c r="BI98" s="275">
        <v>1</v>
      </c>
      <c r="BJ98" s="275">
        <v>1</v>
      </c>
      <c r="BK98" s="4">
        <v>1</v>
      </c>
      <c r="BL98" s="4">
        <v>1</v>
      </c>
      <c r="BM98" s="4">
        <v>1</v>
      </c>
      <c r="BN98" s="133">
        <v>0.1</v>
      </c>
      <c r="BO98" s="275">
        <v>0.1</v>
      </c>
      <c r="BP98" s="133">
        <v>1</v>
      </c>
      <c r="BQ98" s="275">
        <v>1</v>
      </c>
      <c r="BR98" s="4">
        <v>1</v>
      </c>
      <c r="BS98" s="275">
        <v>1</v>
      </c>
      <c r="BT98" s="275">
        <v>1</v>
      </c>
      <c r="BU98" s="275">
        <v>1</v>
      </c>
      <c r="BV98" s="275">
        <v>1</v>
      </c>
      <c r="BW98" s="133">
        <v>0.1</v>
      </c>
      <c r="BX98" s="275">
        <v>1</v>
      </c>
      <c r="BY98" s="275">
        <v>1</v>
      </c>
      <c r="BZ98" s="133">
        <v>1</v>
      </c>
      <c r="CA98" s="133">
        <v>1</v>
      </c>
      <c r="CB98" s="133">
        <v>1</v>
      </c>
      <c r="CC98" s="133">
        <v>0.1</v>
      </c>
      <c r="CD98" s="275">
        <v>1</v>
      </c>
      <c r="CE98" s="275">
        <v>1</v>
      </c>
      <c r="CF98" s="133">
        <v>0.1</v>
      </c>
      <c r="CG98" s="275">
        <v>1</v>
      </c>
      <c r="CH98" s="4">
        <v>1</v>
      </c>
      <c r="CI98" s="275">
        <v>1</v>
      </c>
      <c r="CJ98" s="275">
        <v>1</v>
      </c>
      <c r="CK98" s="275">
        <v>1</v>
      </c>
      <c r="CL98" s="275">
        <v>1</v>
      </c>
      <c r="CM98" s="275">
        <v>1</v>
      </c>
      <c r="CN98" s="275">
        <v>1</v>
      </c>
      <c r="CO98" s="275">
        <v>0.1</v>
      </c>
      <c r="CP98" s="275">
        <v>1</v>
      </c>
      <c r="CQ98" s="133">
        <v>0.1</v>
      </c>
      <c r="CR98" s="133">
        <v>0.1</v>
      </c>
      <c r="CS98" s="275">
        <v>1</v>
      </c>
      <c r="CT98" s="275">
        <v>1</v>
      </c>
      <c r="CU98" s="275">
        <v>1</v>
      </c>
      <c r="CV98" s="275">
        <v>1</v>
      </c>
      <c r="CW98" s="133">
        <v>0.1</v>
      </c>
      <c r="CX98" s="275">
        <v>0.1</v>
      </c>
      <c r="CY98" s="275">
        <v>1</v>
      </c>
      <c r="CZ98" s="275">
        <v>1</v>
      </c>
      <c r="DA98" s="133">
        <v>0.1</v>
      </c>
      <c r="DB98" s="275">
        <v>0.1</v>
      </c>
      <c r="DC98" s="133">
        <v>0.1</v>
      </c>
      <c r="DD98" s="133">
        <v>0.1</v>
      </c>
      <c r="DE98" s="133">
        <v>0.1</v>
      </c>
      <c r="DF98" s="133">
        <v>0.1</v>
      </c>
      <c r="DG98" s="133">
        <v>0.1</v>
      </c>
      <c r="DH98" s="133">
        <v>0.1</v>
      </c>
      <c r="DI98" s="133">
        <v>0.1</v>
      </c>
      <c r="DJ98" s="133">
        <v>0.1</v>
      </c>
      <c r="DK98" s="133">
        <v>0.1</v>
      </c>
      <c r="DL98" s="133">
        <v>0.1</v>
      </c>
      <c r="DM98" s="275">
        <v>1</v>
      </c>
      <c r="DN98" s="275">
        <v>1</v>
      </c>
      <c r="DO98" s="275">
        <v>1</v>
      </c>
      <c r="DP98" s="275">
        <v>1</v>
      </c>
      <c r="DQ98" s="275">
        <v>1</v>
      </c>
    </row>
    <row r="99" spans="2:121" ht="14.25" customHeight="1" x14ac:dyDescent="0.3">
      <c r="B99" s="108">
        <v>0.98958333333333304</v>
      </c>
      <c r="D99" s="4">
        <v>1</v>
      </c>
      <c r="E99" s="133">
        <v>0.1</v>
      </c>
      <c r="F99" s="275">
        <v>1</v>
      </c>
      <c r="G99" s="275">
        <v>1</v>
      </c>
      <c r="H99" s="275">
        <v>1</v>
      </c>
      <c r="I99" s="133">
        <v>1</v>
      </c>
      <c r="J99" s="133">
        <v>0.1</v>
      </c>
      <c r="K99" s="4">
        <v>1</v>
      </c>
      <c r="L99" s="4">
        <v>1</v>
      </c>
      <c r="M99" s="275">
        <v>1</v>
      </c>
      <c r="N99" s="275">
        <v>1</v>
      </c>
      <c r="O99" s="275">
        <v>1</v>
      </c>
      <c r="P99" s="133">
        <v>0.1</v>
      </c>
      <c r="Q99" s="275">
        <v>1</v>
      </c>
      <c r="R99" s="275">
        <v>0.1</v>
      </c>
      <c r="S99" s="275">
        <v>1</v>
      </c>
      <c r="T99" s="275">
        <v>1</v>
      </c>
      <c r="U99" s="275">
        <v>1</v>
      </c>
      <c r="V99" s="275">
        <v>1</v>
      </c>
      <c r="W99" s="275">
        <v>1</v>
      </c>
      <c r="X99" s="275">
        <v>0.1</v>
      </c>
      <c r="Y99" s="275">
        <v>0.1</v>
      </c>
      <c r="Z99" s="275">
        <v>1</v>
      </c>
      <c r="AA99" s="133">
        <v>0.1</v>
      </c>
      <c r="AB99" s="275">
        <v>1</v>
      </c>
      <c r="AC99" s="133">
        <v>0.1</v>
      </c>
      <c r="AD99" s="275">
        <v>0.1</v>
      </c>
      <c r="AE99" s="133">
        <v>0.1</v>
      </c>
      <c r="AF99" s="133">
        <v>0.1</v>
      </c>
      <c r="AG99" s="4">
        <v>0.1</v>
      </c>
      <c r="AH99" s="275">
        <v>1</v>
      </c>
      <c r="AI99" s="4">
        <v>0.1</v>
      </c>
      <c r="AJ99" s="133">
        <v>0.1</v>
      </c>
      <c r="AK99" s="275">
        <v>1</v>
      </c>
      <c r="AL99" s="275">
        <v>1</v>
      </c>
      <c r="AM99" s="275">
        <v>1</v>
      </c>
      <c r="AN99" s="275">
        <v>1</v>
      </c>
      <c r="AO99" s="275">
        <v>1</v>
      </c>
      <c r="AP99" s="133">
        <v>0.1</v>
      </c>
      <c r="AQ99" s="133">
        <v>0.1</v>
      </c>
      <c r="AR99" s="133">
        <v>0.1</v>
      </c>
      <c r="AS99" s="275">
        <v>1</v>
      </c>
      <c r="AT99" s="275">
        <v>1</v>
      </c>
      <c r="AU99" s="275">
        <v>1</v>
      </c>
      <c r="AV99" s="275">
        <v>1</v>
      </c>
      <c r="AW99" s="275">
        <v>1</v>
      </c>
      <c r="AX99" s="275">
        <v>1</v>
      </c>
      <c r="AY99" s="275">
        <v>1</v>
      </c>
      <c r="AZ99" s="275">
        <v>1</v>
      </c>
      <c r="BA99" s="275">
        <v>1</v>
      </c>
      <c r="BB99" s="275">
        <v>1</v>
      </c>
      <c r="BC99" s="275">
        <v>1</v>
      </c>
      <c r="BD99" s="4">
        <v>1</v>
      </c>
      <c r="BE99" s="275">
        <v>1</v>
      </c>
      <c r="BF99" s="133">
        <v>0.1</v>
      </c>
      <c r="BG99" s="275">
        <v>1</v>
      </c>
      <c r="BH99" s="275">
        <v>1</v>
      </c>
      <c r="BI99" s="275">
        <v>1</v>
      </c>
      <c r="BJ99" s="275">
        <v>1</v>
      </c>
      <c r="BK99" s="4">
        <v>1</v>
      </c>
      <c r="BL99" s="4">
        <v>1</v>
      </c>
      <c r="BM99" s="4">
        <v>1</v>
      </c>
      <c r="BN99" s="133">
        <v>0.1</v>
      </c>
      <c r="BO99" s="275">
        <v>0.1</v>
      </c>
      <c r="BP99" s="133">
        <v>1</v>
      </c>
      <c r="BQ99" s="275">
        <v>1</v>
      </c>
      <c r="BR99" s="4">
        <v>1</v>
      </c>
      <c r="BS99" s="275">
        <v>1</v>
      </c>
      <c r="BT99" s="275">
        <v>1</v>
      </c>
      <c r="BU99" s="275">
        <v>1</v>
      </c>
      <c r="BV99" s="275">
        <v>1</v>
      </c>
      <c r="BW99" s="133">
        <v>0.1</v>
      </c>
      <c r="BX99" s="275">
        <v>1</v>
      </c>
      <c r="BY99" s="275">
        <v>1</v>
      </c>
      <c r="BZ99" s="133">
        <v>1</v>
      </c>
      <c r="CA99" s="133">
        <v>1</v>
      </c>
      <c r="CB99" s="133">
        <v>1</v>
      </c>
      <c r="CC99" s="133">
        <v>0.1</v>
      </c>
      <c r="CD99" s="275">
        <v>1</v>
      </c>
      <c r="CE99" s="275">
        <v>1</v>
      </c>
      <c r="CF99" s="133">
        <v>0.1</v>
      </c>
      <c r="CG99" s="275">
        <v>1</v>
      </c>
      <c r="CH99" s="4">
        <v>1</v>
      </c>
      <c r="CI99" s="275">
        <v>1</v>
      </c>
      <c r="CJ99" s="275">
        <v>1</v>
      </c>
      <c r="CK99" s="275">
        <v>1</v>
      </c>
      <c r="CL99" s="275">
        <v>1</v>
      </c>
      <c r="CM99" s="275">
        <v>1</v>
      </c>
      <c r="CN99" s="275">
        <v>1</v>
      </c>
      <c r="CO99" s="275">
        <v>0.1</v>
      </c>
      <c r="CP99" s="275">
        <v>1</v>
      </c>
      <c r="CQ99" s="133">
        <v>0.1</v>
      </c>
      <c r="CR99" s="133">
        <v>0.1</v>
      </c>
      <c r="CS99" s="275">
        <v>1</v>
      </c>
      <c r="CT99" s="275">
        <v>1</v>
      </c>
      <c r="CU99" s="275">
        <v>1</v>
      </c>
      <c r="CV99" s="275">
        <v>1</v>
      </c>
      <c r="CW99" s="133">
        <v>0.1</v>
      </c>
      <c r="CX99" s="275">
        <v>0.1</v>
      </c>
      <c r="CY99" s="275">
        <v>1</v>
      </c>
      <c r="CZ99" s="275">
        <v>1</v>
      </c>
      <c r="DA99" s="133">
        <v>0.1</v>
      </c>
      <c r="DB99" s="275">
        <v>0.1</v>
      </c>
      <c r="DC99" s="133">
        <v>0.1</v>
      </c>
      <c r="DD99" s="133">
        <v>0.1</v>
      </c>
      <c r="DE99" s="133">
        <v>0.1</v>
      </c>
      <c r="DF99" s="133">
        <v>0.1</v>
      </c>
      <c r="DG99" s="133">
        <v>0.1</v>
      </c>
      <c r="DH99" s="133">
        <v>0.1</v>
      </c>
      <c r="DI99" s="133">
        <v>0.1</v>
      </c>
      <c r="DJ99" s="133">
        <v>0.1</v>
      </c>
      <c r="DK99" s="133">
        <v>0.1</v>
      </c>
      <c r="DL99" s="133">
        <v>0.1</v>
      </c>
      <c r="DM99" s="275">
        <v>1</v>
      </c>
      <c r="DN99" s="275">
        <v>1</v>
      </c>
      <c r="DO99" s="275">
        <v>1</v>
      </c>
      <c r="DP99" s="275">
        <v>1</v>
      </c>
      <c r="DQ99" s="275">
        <v>1</v>
      </c>
    </row>
    <row r="100" spans="2:121" ht="14.25" customHeight="1" x14ac:dyDescent="0.3">
      <c r="BL100" s="4"/>
      <c r="CZ100" s="4"/>
      <c r="DA100" s="4"/>
      <c r="DB100" s="4"/>
    </row>
    <row r="101" spans="2:121" ht="14.25" customHeight="1" x14ac:dyDescent="0.3">
      <c r="CZ101" s="4"/>
      <c r="DA101" s="4"/>
      <c r="DB101" s="4"/>
    </row>
    <row r="102" spans="2:121" ht="14.25" customHeight="1" x14ac:dyDescent="0.3">
      <c r="CZ102" s="4"/>
      <c r="DA102" s="4"/>
      <c r="DB102" s="4"/>
    </row>
    <row r="103" spans="2:121" ht="14.25" customHeight="1" x14ac:dyDescent="0.3">
      <c r="CZ103" s="4"/>
      <c r="DA103" s="4"/>
      <c r="DB103" s="4"/>
    </row>
    <row r="104" spans="2:121" ht="14.25" customHeight="1" x14ac:dyDescent="0.3">
      <c r="CZ104" s="4"/>
      <c r="DA104" s="4"/>
      <c r="DB104" s="4"/>
    </row>
    <row r="105" spans="2:121" ht="14.25" customHeight="1" x14ac:dyDescent="0.3">
      <c r="CZ105" s="4"/>
      <c r="DA105" s="4"/>
      <c r="DB105" s="4"/>
    </row>
    <row r="106" spans="2:121" ht="14.25" customHeight="1" x14ac:dyDescent="0.3">
      <c r="CZ106" s="4"/>
      <c r="DA106" s="4"/>
      <c r="DB106" s="4"/>
    </row>
    <row r="107" spans="2:121" ht="14.25" customHeight="1" x14ac:dyDescent="0.3">
      <c r="CZ107" s="4"/>
      <c r="DA107" s="4"/>
      <c r="DB107" s="4"/>
    </row>
    <row r="108" spans="2:121" ht="14.25" customHeight="1" x14ac:dyDescent="0.3">
      <c r="CZ108" s="4"/>
      <c r="DA108" s="4"/>
      <c r="DB108" s="4"/>
    </row>
    <row r="109" spans="2:121" ht="14.25" customHeight="1" x14ac:dyDescent="0.3">
      <c r="CZ109" s="4"/>
      <c r="DA109" s="4"/>
      <c r="DB109" s="4"/>
    </row>
    <row r="110" spans="2:121" ht="14.25" customHeight="1" x14ac:dyDescent="0.3">
      <c r="CZ110" s="4"/>
      <c r="DA110" s="4"/>
      <c r="DB110" s="4"/>
    </row>
    <row r="111" spans="2:121" ht="14.25" customHeight="1" x14ac:dyDescent="0.3">
      <c r="CZ111" s="4"/>
      <c r="DA111" s="4"/>
      <c r="DB111" s="4"/>
    </row>
    <row r="112" spans="2:121" ht="14.25" customHeight="1" x14ac:dyDescent="0.3">
      <c r="CZ112" s="4"/>
      <c r="DA112" s="4"/>
      <c r="DB112" s="4"/>
    </row>
    <row r="113" spans="104:106" ht="14.25" customHeight="1" x14ac:dyDescent="0.3">
      <c r="CZ113" s="4"/>
      <c r="DA113" s="4"/>
      <c r="DB113" s="4"/>
    </row>
    <row r="114" spans="104:106" ht="14.25" customHeight="1" x14ac:dyDescent="0.3">
      <c r="CZ114" s="4"/>
      <c r="DA114" s="4"/>
      <c r="DB114" s="4"/>
    </row>
    <row r="115" spans="104:106" ht="14.25" customHeight="1" x14ac:dyDescent="0.3">
      <c r="CZ115" s="4"/>
      <c r="DA115" s="4"/>
      <c r="DB115" s="4"/>
    </row>
    <row r="116" spans="104:106" ht="14.25" customHeight="1" x14ac:dyDescent="0.3">
      <c r="CZ116" s="4"/>
      <c r="DA116" s="4"/>
      <c r="DB116" s="4"/>
    </row>
    <row r="117" spans="104:106" ht="14.25" customHeight="1" x14ac:dyDescent="0.3">
      <c r="CZ117" s="4"/>
      <c r="DA117" s="4"/>
      <c r="DB117" s="4"/>
    </row>
    <row r="118" spans="104:106" ht="14.25" customHeight="1" x14ac:dyDescent="0.3">
      <c r="CZ118" s="4"/>
      <c r="DA118" s="4"/>
      <c r="DB118" s="4"/>
    </row>
    <row r="119" spans="104:106" ht="14.25" customHeight="1" x14ac:dyDescent="0.3">
      <c r="CZ119" s="4"/>
      <c r="DA119" s="4"/>
      <c r="DB119" s="4"/>
    </row>
    <row r="120" spans="104:106" ht="14.25" customHeight="1" x14ac:dyDescent="0.3">
      <c r="CZ120" s="4"/>
      <c r="DA120" s="4"/>
      <c r="DB120" s="4"/>
    </row>
    <row r="121" spans="104:106" ht="14.25" customHeight="1" x14ac:dyDescent="0.3">
      <c r="CZ121" s="4"/>
      <c r="DA121" s="4"/>
      <c r="DB121" s="4"/>
    </row>
    <row r="122" spans="104:106" ht="14.25" customHeight="1" x14ac:dyDescent="0.3">
      <c r="CZ122" s="4"/>
      <c r="DA122" s="4"/>
      <c r="DB122" s="4"/>
    </row>
    <row r="123" spans="104:106" ht="14.25" customHeight="1" x14ac:dyDescent="0.3">
      <c r="CZ123" s="4"/>
      <c r="DA123" s="4"/>
      <c r="DB123" s="4"/>
    </row>
    <row r="124" spans="104:106" ht="14.25" customHeight="1" x14ac:dyDescent="0.3">
      <c r="CZ124" s="4"/>
      <c r="DA124" s="4"/>
      <c r="DB124" s="4"/>
    </row>
    <row r="125" spans="104:106" ht="14.25" customHeight="1" x14ac:dyDescent="0.3">
      <c r="CZ125" s="4"/>
      <c r="DA125" s="4"/>
      <c r="DB125" s="4"/>
    </row>
    <row r="126" spans="104:106" ht="14.25" customHeight="1" x14ac:dyDescent="0.3"/>
    <row r="127" spans="104:106" ht="14.25" customHeight="1" x14ac:dyDescent="0.3"/>
    <row r="128" spans="104:106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1">
    <mergeCell ref="D2:DQ2"/>
  </mergeCell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2DC29-B86B-4609-B945-FB9E605799E8}">
  <sheetPr codeName="Sheet6"/>
  <dimension ref="B1:H99"/>
  <sheetViews>
    <sheetView zoomScale="80" zoomScaleNormal="80" workbookViewId="0"/>
  </sheetViews>
  <sheetFormatPr defaultRowHeight="14.4" x14ac:dyDescent="0.3"/>
  <cols>
    <col min="2" max="2" width="11.5546875" customWidth="1"/>
    <col min="4" max="8" width="23.77734375" customWidth="1"/>
  </cols>
  <sheetData>
    <row r="1" spans="2:8" x14ac:dyDescent="0.3">
      <c r="D1" s="214"/>
    </row>
    <row r="2" spans="2:8" x14ac:dyDescent="0.3">
      <c r="D2" s="356" t="s">
        <v>267</v>
      </c>
      <c r="E2" s="357"/>
      <c r="F2" s="357"/>
      <c r="G2" s="357"/>
      <c r="H2" s="357"/>
    </row>
    <row r="3" spans="2:8" ht="28.8" x14ac:dyDescent="0.3">
      <c r="B3" s="8" t="s">
        <v>48</v>
      </c>
      <c r="D3" s="9" t="s">
        <v>3</v>
      </c>
      <c r="E3" s="9" t="s">
        <v>4</v>
      </c>
      <c r="F3" s="10" t="s">
        <v>208</v>
      </c>
      <c r="G3" s="9" t="s">
        <v>5</v>
      </c>
      <c r="H3" s="9" t="s">
        <v>158</v>
      </c>
    </row>
    <row r="4" spans="2:8" x14ac:dyDescent="0.3">
      <c r="B4" s="108">
        <v>0</v>
      </c>
      <c r="D4">
        <v>1</v>
      </c>
      <c r="E4">
        <v>1</v>
      </c>
      <c r="F4">
        <v>1</v>
      </c>
      <c r="G4">
        <v>1</v>
      </c>
      <c r="H4">
        <v>1</v>
      </c>
    </row>
    <row r="5" spans="2:8" x14ac:dyDescent="0.3">
      <c r="B5" s="108">
        <v>1.0416666666666666E-2</v>
      </c>
      <c r="D5">
        <v>1</v>
      </c>
      <c r="E5">
        <v>1</v>
      </c>
      <c r="F5">
        <v>1</v>
      </c>
      <c r="G5">
        <v>1</v>
      </c>
      <c r="H5">
        <v>1</v>
      </c>
    </row>
    <row r="6" spans="2:8" x14ac:dyDescent="0.3">
      <c r="B6" s="108">
        <v>2.0833333333333301E-2</v>
      </c>
      <c r="D6">
        <v>1</v>
      </c>
      <c r="E6">
        <v>1</v>
      </c>
      <c r="F6">
        <v>1</v>
      </c>
      <c r="G6">
        <v>1</v>
      </c>
      <c r="H6">
        <v>1</v>
      </c>
    </row>
    <row r="7" spans="2:8" x14ac:dyDescent="0.3">
      <c r="B7" s="108">
        <v>3.125E-2</v>
      </c>
      <c r="D7">
        <v>1</v>
      </c>
      <c r="E7">
        <v>1</v>
      </c>
      <c r="F7">
        <v>1</v>
      </c>
      <c r="G7">
        <v>1</v>
      </c>
      <c r="H7">
        <v>1</v>
      </c>
    </row>
    <row r="8" spans="2:8" x14ac:dyDescent="0.3">
      <c r="B8" s="108">
        <v>4.1666666666666699E-2</v>
      </c>
      <c r="D8">
        <v>1</v>
      </c>
      <c r="E8">
        <v>1</v>
      </c>
      <c r="F8">
        <v>1</v>
      </c>
      <c r="G8">
        <v>1</v>
      </c>
      <c r="H8">
        <v>1</v>
      </c>
    </row>
    <row r="9" spans="2:8" x14ac:dyDescent="0.3">
      <c r="B9" s="108">
        <v>5.2083333333333301E-2</v>
      </c>
      <c r="D9">
        <v>1</v>
      </c>
      <c r="E9">
        <v>1</v>
      </c>
      <c r="F9">
        <v>1</v>
      </c>
      <c r="G9">
        <v>1</v>
      </c>
      <c r="H9">
        <v>1</v>
      </c>
    </row>
    <row r="10" spans="2:8" x14ac:dyDescent="0.3">
      <c r="B10" s="108">
        <v>6.25E-2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2:8" x14ac:dyDescent="0.3">
      <c r="B11" s="108">
        <v>7.2916666666666699E-2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2:8" x14ac:dyDescent="0.3">
      <c r="B12" s="108">
        <v>8.3333333333333301E-2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2:8" x14ac:dyDescent="0.3">
      <c r="B13" s="108">
        <v>9.375E-2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2:8" x14ac:dyDescent="0.3">
      <c r="B14" s="108">
        <v>0.104166666666667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2:8" x14ac:dyDescent="0.3">
      <c r="B15" s="108">
        <v>0.114583333333333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2:8" x14ac:dyDescent="0.3">
      <c r="B16" s="108">
        <v>0.125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2:8" x14ac:dyDescent="0.3">
      <c r="B17" s="108">
        <v>0.13541666666666699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2:8" x14ac:dyDescent="0.3">
      <c r="B18" s="108">
        <v>0.14583333333333301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2:8" x14ac:dyDescent="0.3">
      <c r="B19" s="108">
        <v>0.15625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2:8" x14ac:dyDescent="0.3">
      <c r="B20" s="108">
        <v>0.16666666666666699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2:8" x14ac:dyDescent="0.3">
      <c r="B21" s="108">
        <v>0.17708333333333301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2:8" x14ac:dyDescent="0.3">
      <c r="B22" s="108">
        <v>0.1875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2:8" x14ac:dyDescent="0.3">
      <c r="B23" s="108">
        <v>0.19791666666666699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2:8" x14ac:dyDescent="0.3">
      <c r="B24" s="108">
        <v>0.20833333333333301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2:8" x14ac:dyDescent="0.3">
      <c r="B25" s="108">
        <v>0.21875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2:8" x14ac:dyDescent="0.3">
      <c r="B26" s="108">
        <v>0.22916666666666699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2:8" x14ac:dyDescent="0.3">
      <c r="B27" s="108">
        <v>0.23958333333333301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2:8" x14ac:dyDescent="0.3">
      <c r="B28" s="108">
        <v>0.25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2:8" x14ac:dyDescent="0.3">
      <c r="B29" s="108">
        <v>0.26041666666666702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2:8" x14ac:dyDescent="0.3">
      <c r="B30" s="108">
        <v>0.27083333333333298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2:8" x14ac:dyDescent="0.3">
      <c r="B31" s="108">
        <v>0.28125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2:8" x14ac:dyDescent="0.3">
      <c r="B32" s="108">
        <v>0.29166666666666702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2:8" x14ac:dyDescent="0.3">
      <c r="B33" s="108">
        <v>0.30208333333333298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2:8" x14ac:dyDescent="0.3">
      <c r="B34" s="108">
        <v>0.3125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2:8" x14ac:dyDescent="0.3">
      <c r="B35" s="108">
        <v>0.32291666666666702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2:8" x14ac:dyDescent="0.3">
      <c r="B36" s="108">
        <v>0.33333333333333298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2:8" x14ac:dyDescent="0.3">
      <c r="B37" s="108">
        <v>0.34375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2:8" x14ac:dyDescent="0.3">
      <c r="B38" s="108">
        <v>0.35416666666666702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2:8" x14ac:dyDescent="0.3">
      <c r="B39" s="108">
        <v>0.36458333333333298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2:8" x14ac:dyDescent="0.3">
      <c r="B40" s="108">
        <v>0.375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2:8" x14ac:dyDescent="0.3">
      <c r="B41" s="108">
        <v>0.38541666666666702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2:8" x14ac:dyDescent="0.3">
      <c r="B42" s="108">
        <v>0.39583333333333298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2:8" x14ac:dyDescent="0.3">
      <c r="B43" s="108">
        <v>0.40625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2:8" x14ac:dyDescent="0.3">
      <c r="B44" s="108">
        <v>0.41666666666666702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2:8" x14ac:dyDescent="0.3">
      <c r="B45" s="108">
        <v>0.42708333333333298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2:8" x14ac:dyDescent="0.3">
      <c r="B46" s="108">
        <v>0.4375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2:8" x14ac:dyDescent="0.3">
      <c r="B47" s="108">
        <v>0.44791666666666702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2:8" x14ac:dyDescent="0.3">
      <c r="B48" s="108">
        <v>0.45833333333333298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2:8" x14ac:dyDescent="0.3">
      <c r="B49" s="108">
        <v>0.46875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2:8" x14ac:dyDescent="0.3">
      <c r="B50" s="108">
        <v>0.47916666666666702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2:8" x14ac:dyDescent="0.3">
      <c r="B51" s="108">
        <v>0.48958333333333298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2:8" x14ac:dyDescent="0.3">
      <c r="B52" s="108">
        <v>0.5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2:8" x14ac:dyDescent="0.3">
      <c r="B53" s="108">
        <v>0.51041666666666696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2:8" x14ac:dyDescent="0.3">
      <c r="B54" s="108">
        <v>0.52083333333333304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2:8" x14ac:dyDescent="0.3">
      <c r="B55" s="108">
        <v>0.53125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2:8" x14ac:dyDescent="0.3">
      <c r="B56" s="108">
        <v>0.54166666666666696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2:8" x14ac:dyDescent="0.3">
      <c r="B57" s="108">
        <v>0.55208333333333304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2:8" x14ac:dyDescent="0.3">
      <c r="B58" s="108">
        <v>0.5625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2:8" x14ac:dyDescent="0.3">
      <c r="B59" s="108">
        <v>0.57291666666666696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2:8" x14ac:dyDescent="0.3">
      <c r="B60" s="108">
        <v>0.58333333333333304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2:8" x14ac:dyDescent="0.3">
      <c r="B61" s="108">
        <v>0.59375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2:8" x14ac:dyDescent="0.3">
      <c r="B62" s="108">
        <v>0.60416666666666696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2:8" x14ac:dyDescent="0.3">
      <c r="B63" s="108">
        <v>0.61458333333333304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2:8" x14ac:dyDescent="0.3">
      <c r="B64" s="108">
        <v>0.625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2:8" x14ac:dyDescent="0.3">
      <c r="B65" s="108">
        <v>0.63541666666666696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2:8" x14ac:dyDescent="0.3">
      <c r="B66" s="108">
        <v>0.64583333333333304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2:8" x14ac:dyDescent="0.3">
      <c r="B67" s="108">
        <v>0.65625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2:8" x14ac:dyDescent="0.3">
      <c r="B68" s="108">
        <v>0.66666666666666696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2:8" x14ac:dyDescent="0.3">
      <c r="B69" s="108">
        <v>0.67708333333333304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2:8" x14ac:dyDescent="0.3">
      <c r="B70" s="108">
        <v>0.6875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2:8" x14ac:dyDescent="0.3">
      <c r="B71" s="108">
        <v>0.69791666666666696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2:8" x14ac:dyDescent="0.3">
      <c r="B72" s="108">
        <v>0.70833333333333304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2:8" x14ac:dyDescent="0.3">
      <c r="B73" s="108">
        <v>0.71875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2:8" x14ac:dyDescent="0.3">
      <c r="B74" s="108">
        <v>0.72916666666666696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2:8" x14ac:dyDescent="0.3">
      <c r="B75" s="108">
        <v>0.73958333333333304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2:8" x14ac:dyDescent="0.3">
      <c r="B76" s="108">
        <v>0.75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2:8" x14ac:dyDescent="0.3">
      <c r="B77" s="108">
        <v>0.76041666666666696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2:8" x14ac:dyDescent="0.3">
      <c r="B78" s="108">
        <v>0.77083333333333304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2:8" x14ac:dyDescent="0.3">
      <c r="B79" s="108">
        <v>0.78125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2:8" x14ac:dyDescent="0.3">
      <c r="B80" s="108">
        <v>0.79166666666666696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2:8" x14ac:dyDescent="0.3">
      <c r="B81" s="108">
        <v>0.80208333333333304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2:8" x14ac:dyDescent="0.3">
      <c r="B82" s="108">
        <v>0.8125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2:8" x14ac:dyDescent="0.3">
      <c r="B83" s="108">
        <v>0.82291666666666696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2:8" x14ac:dyDescent="0.3">
      <c r="B84" s="108">
        <v>0.83333333333333304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2:8" x14ac:dyDescent="0.3">
      <c r="B85" s="108">
        <v>0.84375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2:8" x14ac:dyDescent="0.3">
      <c r="B86" s="108">
        <v>0.85416666666666696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2:8" x14ac:dyDescent="0.3">
      <c r="B87" s="108">
        <v>0.86458333333333304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2:8" x14ac:dyDescent="0.3">
      <c r="B88" s="108">
        <v>0.875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2:8" x14ac:dyDescent="0.3">
      <c r="B89" s="108">
        <v>0.88541666666666696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2:8" x14ac:dyDescent="0.3">
      <c r="B90" s="108">
        <v>0.89583333333333304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2:8" x14ac:dyDescent="0.3">
      <c r="B91" s="108">
        <v>0.90625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2:8" x14ac:dyDescent="0.3">
      <c r="B92" s="108">
        <v>0.91666666666666696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2:8" x14ac:dyDescent="0.3">
      <c r="B93" s="108">
        <v>0.92708333333333304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2:8" x14ac:dyDescent="0.3">
      <c r="B94" s="108">
        <v>0.9375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2:8" x14ac:dyDescent="0.3">
      <c r="B95" s="108">
        <v>0.94791666666666696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2:8" x14ac:dyDescent="0.3">
      <c r="B96" s="108">
        <v>0.95833333333333304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2:8" x14ac:dyDescent="0.3">
      <c r="B97" s="108">
        <v>0.96875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2:8" x14ac:dyDescent="0.3">
      <c r="B98" s="108">
        <v>0.97916666666666696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2:8" x14ac:dyDescent="0.3">
      <c r="B99" s="108">
        <v>0.98958333333333304</v>
      </c>
      <c r="D99">
        <v>1</v>
      </c>
      <c r="E99">
        <v>1</v>
      </c>
      <c r="F99">
        <v>1</v>
      </c>
      <c r="G99">
        <v>1</v>
      </c>
      <c r="H99">
        <v>1</v>
      </c>
    </row>
  </sheetData>
  <mergeCells count="1">
    <mergeCell ref="D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Glossary</vt:lpstr>
      <vt:lpstr>User Interface</vt:lpstr>
      <vt:lpstr>Calculation Values</vt:lpstr>
      <vt:lpstr>Optimization Results</vt:lpstr>
      <vt:lpstr>A</vt:lpstr>
      <vt:lpstr>b</vt:lpstr>
      <vt:lpstr>c</vt:lpstr>
      <vt:lpstr>List Options</vt:lpstr>
      <vt:lpstr>Actual Home Load Profiles</vt:lpstr>
      <vt:lpstr>PV Profiles</vt:lpstr>
      <vt:lpstr>Temperature Profiles</vt:lpstr>
      <vt:lpstr>HVAC Appliances</vt:lpstr>
      <vt:lpstr>HVAC Appliances Austin</vt:lpstr>
      <vt:lpstr>HVAC Appliances Amarillo</vt:lpstr>
      <vt:lpstr>Preferred Appliance Timings</vt:lpstr>
      <vt:lpstr>Preferred Backup Source Timings</vt:lpstr>
      <vt:lpstr>Appliances_List</vt:lpstr>
      <vt:lpstr>Communications_List</vt:lpstr>
      <vt:lpstr>Cooking_List</vt:lpstr>
      <vt:lpstr>Discretionary_Appliances_List</vt:lpstr>
      <vt:lpstr>Entertainment_List</vt:lpstr>
      <vt:lpstr>Food_Preservation_List</vt:lpstr>
      <vt:lpstr>Heating_Cooling_HVAC_List</vt:lpstr>
      <vt:lpstr>Lighting_List</vt:lpstr>
      <vt:lpstr>Water_Wastewater_List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 Daniel</dc:creator>
  <cp:lastModifiedBy>Lea Daniel</cp:lastModifiedBy>
  <cp:lastPrinted>2022-04-07T02:29:58Z</cp:lastPrinted>
  <dcterms:created xsi:type="dcterms:W3CDTF">2022-03-24T03:37:42Z</dcterms:created>
  <dcterms:modified xsi:type="dcterms:W3CDTF">2023-04-13T15:50:10Z</dcterms:modified>
</cp:coreProperties>
</file>